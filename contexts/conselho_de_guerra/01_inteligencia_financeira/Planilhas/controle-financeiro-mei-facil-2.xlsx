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charts/chart1.xml" ContentType="application/vnd.openxmlformats-officedocument.drawingml.chart+xml"/>
  <Override PartName="/xl/drawings/drawing14.xml" ContentType="application/vnd.openxmlformats-officedocument.drawingml.chartshapes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5.xml" ContentType="application/vnd.openxmlformats-officedocument.spreadsheetml.worksheet+xml"/>
  <Override PartName="/xl/drawings/drawing16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png" ContentType="application/vnd.openxmlformats-officedocument.drawing+xml"/>
  <Default Extension="jpeg" ContentType="application/vnd.openxmlformats-officedocument.drawing+xml"/>
  <Default Extension="xml" ContentType="application/xml"/>
  <Default Extension="rels" ContentType="application/vnd.openxmlformats-package.relationships+xml"/>
</Types>
</file>

<file path=_rels/.rels><?xml version='1.0' encoding='UTF-8' standalone='yes' ?><Relationships xmlns="http://schemas.openxmlformats.org/package/2006/relationships"><Relationship Id="rId3" Type="http://schemas.openxmlformats.org/officeDocument/2006/relationships/extended-properties" Target="docProps/app.xml" TargetMode="Internal" /><Relationship Id="rId2" Type="http://schemas.openxmlformats.org/package/2006/relationships/metadata/core-properties" Target="docProps/core.xml" TargetMode="Internal" /><Relationship Id="rId1" Type="http://schemas.openxmlformats.org/officeDocument/2006/relationships/officeDocument" Target="xl/workbook.xml" TargetMode="Internal" /></Relationships>
</file>

<file path=xl/workbook.xml><?xml version="1.0" encoding="utf-8"?>
<workbook xmlns="http://schemas.openxmlformats.org/spreadsheetml/2006/main" xmlns:r="http://schemas.openxmlformats.org/officeDocument/2006/relationships">
  <workbookPr codeName="EstaPastaDeTrabalho"/>
  <bookViews>
    <workbookView activeTab="0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  <sheet name="Declaração anual" sheetId="13" r:id="rId13"/>
    <sheet name="Jan_exemplo" sheetId="14" r:id="rId14"/>
    <sheet name="Fev_exemplo" sheetId="15" r:id="rId15"/>
  </sheets>
  <definedNames>
    <definedName name="SUMIFS" hidden="1">#NOME?</definedName>
  </definedNames>
  <calcPr/>
</workbook>
</file>

<file path=xl/sharedStrings.xml><?xml version="1.0" encoding="utf-8"?>
<sst xmlns="http://schemas.openxmlformats.org/spreadsheetml/2006/main" uniqueCount="93">
  <si>
    <t>Data</t>
  </si>
  <si>
    <t>Cliente</t>
  </si>
  <si>
    <t>Produto/Serviço</t>
  </si>
  <si>
    <t>Valor</t>
  </si>
  <si>
    <t>Pago</t>
  </si>
  <si>
    <t>1/2</t>
  </si>
  <si>
    <t>Sim</t>
  </si>
  <si>
    <t>Não</t>
  </si>
  <si>
    <t>Maira</t>
  </si>
  <si>
    <t>Recebido</t>
  </si>
  <si>
    <t>2/2</t>
  </si>
  <si>
    <t>Parcelas</t>
  </si>
  <si>
    <t>Dinheiro</t>
  </si>
  <si>
    <t>Tipo de despesa</t>
  </si>
  <si>
    <t>Parcelamento2</t>
  </si>
  <si>
    <t>Ano:</t>
  </si>
  <si>
    <t>Mês:</t>
  </si>
  <si>
    <t>Janeiro</t>
  </si>
  <si>
    <t>Tipo</t>
  </si>
  <si>
    <t>Produto</t>
  </si>
  <si>
    <t>CONTROLE FINANCEIRO</t>
  </si>
  <si>
    <t>Forma 
de
 pagamento</t>
  </si>
  <si>
    <t>VENDAS TOTAL</t>
  </si>
  <si>
    <t>OUTROS MESES</t>
  </si>
  <si>
    <t>TOTAL DO MÊS</t>
  </si>
  <si>
    <t>GANHOS</t>
  </si>
  <si>
    <t>Forma
 de 
pagamento</t>
  </si>
  <si>
    <t>DESPESAS TOTAIS</t>
  </si>
  <si>
    <t>Nota 
Fiscal</t>
  </si>
  <si>
    <t>mês</t>
  </si>
  <si>
    <t>Fevereiro</t>
  </si>
  <si>
    <t>Parcelas2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</si>
  <si>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</si>
  <si>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</si>
  <si>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</si>
  <si>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</si>
  <si>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</si>
  <si>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</si>
  <si>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</si>
  <si>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</si>
  <si>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</si>
  <si>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</si>
  <si>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Nome da empresa:</t>
  </si>
  <si>
    <t>Boleto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</si>
  <si>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</si>
  <si>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</si>
  <si>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</si>
  <si>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</si>
  <si>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</si>
  <si>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</si>
  <si>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</si>
  <si>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</si>
  <si>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</si>
  <si>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</si>
  <si>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</si>
  <si>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</si>
  <si>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Serviço</t>
  </si>
  <si>
    <t>TOTAL A DECLARAR</t>
  </si>
  <si>
    <t>Valores recebidos 
por mês</t>
  </si>
  <si>
    <t>DESPESAS</t>
  </si>
  <si>
    <t>Luzia</t>
  </si>
  <si>
    <t>Pé e Mão</t>
  </si>
  <si>
    <t>Cartão de débito</t>
  </si>
  <si>
    <t>Ronaldo</t>
  </si>
  <si>
    <t>Xampú</t>
  </si>
  <si>
    <t>Creme Hidratante</t>
  </si>
  <si>
    <t>3/2</t>
  </si>
  <si>
    <t>2/3</t>
  </si>
  <si>
    <t>3/3</t>
  </si>
  <si>
    <t>Ana</t>
  </si>
  <si>
    <t>Fabi</t>
  </si>
  <si>
    <t>Condicionador</t>
  </si>
  <si>
    <t>30/02/2019</t>
  </si>
  <si>
    <t>Conta de água</t>
  </si>
  <si>
    <t>Conta de Luz</t>
  </si>
  <si>
    <t>Conta de luz jan</t>
  </si>
  <si>
    <t>Ana cabelereira</t>
  </si>
  <si>
    <t xml:space="preserve"> </t>
  </si>
  <si>
    <t>Iolanda</t>
  </si>
  <si>
    <t>Escova+Hidratação</t>
  </si>
  <si>
    <t>João</t>
  </si>
  <si>
    <t>Barba</t>
  </si>
  <si>
    <t>DAS MEI</t>
  </si>
  <si>
    <t>TOTAL RECEBIDO NO MÊS</t>
  </si>
  <si>
    <t>TOTAL PAGO NO MÊS</t>
  </si>
  <si>
    <t>VENDAS DO MÊS</t>
  </si>
  <si>
    <t>*Essa parte da planilha te ajuda a ver o quanto você faturou por mês sobre produtos e serviços, de forma separada</t>
  </si>
  <si>
    <t>**Isso te ajuda a saber o valor do seu faturamento bruto e os valores para o MEI fazer sua Declaração Anual Obrigatória.</t>
  </si>
  <si>
    <t>CONTROLE FINANCEIRO ANUAL*</t>
  </si>
  <si>
    <t>***Faça a Declaração Anual do MEI no app da MEI Fácil!</t>
  </si>
  <si>
    <t>Veja abaixo um exemplo de como preencher a planilha e controlar tudo o que for parcelado, à vista, o que foi pago ou recebido e o que ainda está pendente de outros meses.</t>
  </si>
  <si>
    <t>Faturamento bruto do ano</t>
  </si>
  <si>
    <t/>
  </si>
</sst>
</file>

<file path=xl/styles.xml><?xml version="1.0" encoding="utf-8"?>
<styleSheet xmlns="http://schemas.openxmlformats.org/spreadsheetml/2006/main">
  <numFmts count="4">
    <numFmt numFmtId="0" formatCode="General"/>
    <numFmt numFmtId="14" formatCode="d/m/yyyy"/>
    <numFmt numFmtId="44" formatCode="_-&quot;R$&quot;\ * #,##0.00_-;\-&quot;R$&quot;\ * #,##0.00_-;_-&quot;R$&quot;\ * &quot;-&quot;??_-;_-@_-"/>
    <numFmt numFmtId="49" formatCode="@"/>
  </numFmts>
  <fonts count="17">
    <font>
      <sz val="11.0"/>
      <color rgb="FF000000"/>
      <name val="Calibri"/>
    </font>
    <font>
      <sz val="11.0"/>
      <color rgb="FF000000"/>
      <name val="Helvetica"/>
    </font>
    <font>
      <sz val="11.0"/>
      <color rgb="FF000000"/>
      <name val="Helvetica Black"/>
    </font>
    <font>
      <sz val="12.0"/>
      <color rgb="FF000000"/>
      <name val="Calibri"/>
    </font>
    <font>
      <b/>
      <sz val="16.0"/>
      <color rgb="FF000000"/>
      <name val="Helvetica Black"/>
    </font>
    <font>
      <b/>
      <sz val="11.0"/>
      <color rgb="FF000000"/>
      <name val="Calibri"/>
    </font>
    <font>
      <b/>
      <sz val="16.0"/>
      <color rgb="FF000000"/>
      <name val="Calibri"/>
    </font>
    <font>
      <b/>
      <sz val="18.0"/>
      <color rgb="FF000000"/>
      <name val="Helvetica Light"/>
    </font>
    <font>
      <b/>
      <sz val="18.0"/>
      <color rgb="FFFFFFFF"/>
      <name val="Calibri"/>
    </font>
    <font>
      <b/>
      <sz val="11.0"/>
      <color rgb="FFFFFFFF"/>
      <name val="Calibri"/>
    </font>
    <font>
      <sz val="24.0"/>
      <color rgb="FFFF6600"/>
      <name val="Calibri"/>
    </font>
    <font>
      <sz val="24.0"/>
      <color rgb="FF008000"/>
      <name val="Calibri"/>
    </font>
    <font>
      <b/>
      <sz val="14.0"/>
      <color rgb="FFFFFFFF"/>
      <name val="Calibri"/>
    </font>
    <font>
      <b/>
      <sz val="12.0"/>
      <color rgb="FFFFFFFF"/>
      <name val="Helvetica"/>
    </font>
    <font>
      <b/>
      <sz val="12.0"/>
      <color rgb="FFFFFFFF"/>
      <name val="Calibri"/>
    </font>
    <font>
      <sz val="11.0"/>
      <color rgb="FFFFFFFF"/>
      <name val="Calibri"/>
    </font>
    <font>
      <sz val="14.0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8000"/>
        <bgColor rgb="FF000000"/>
      </patternFill>
    </fill>
    <fill>
      <patternFill patternType="solid">
        <fgColor rgb="FFFF6600"/>
        <bgColor rgb="FF000000"/>
      </patternFill>
    </fill>
    <fill>
      <patternFill patternType="solid">
        <fgColor rgb="FF99CC00"/>
        <bgColor rgb="FF000000"/>
      </patternFill>
    </fill>
    <fill>
      <patternFill patternType="solid">
        <fgColor rgb="FF333399"/>
        <bgColor rgb="FF000000"/>
      </patternFill>
    </fill>
    <fill>
      <patternFill patternType="solid">
        <fgColor rgb="FF0066CC"/>
        <bgColor rgb="FF000000"/>
      </patternFill>
    </fill>
  </fills>
  <borders count="42">
    <border>
      <left/>
      <right/>
      <top/>
      <bottom/>
      <diagonal/>
    </border>
    <border>
      <left style="thin">
        <color rgb="FF008000"/>
      </left>
      <right/>
      <top style="thin">
        <color rgb="FF008000"/>
      </top>
      <bottom/>
      <diagonal/>
    </border>
    <border>
      <left/>
      <right/>
      <top style="thin">
        <color rgb="FF008000"/>
      </top>
      <bottom/>
      <diagonal/>
    </border>
    <border>
      <left/>
      <right style="thin">
        <color rgb="FF008000"/>
      </right>
      <top style="thin">
        <color rgb="FF008000"/>
      </top>
      <bottom/>
      <diagonal/>
    </border>
    <border>
      <left style="thin">
        <color rgb="FF008000"/>
      </left>
      <right/>
      <top/>
      <bottom/>
      <diagonal/>
    </border>
    <border>
      <left/>
      <right style="thin">
        <color rgb="FF008000"/>
      </right>
      <top/>
      <bottom/>
      <diagonal/>
    </border>
    <border>
      <left style="thin">
        <color rgb="FF008000"/>
      </left>
      <right/>
      <top/>
      <bottom style="thin">
        <color rgb="FF008000"/>
      </bottom>
      <diagonal/>
    </border>
    <border>
      <left/>
      <right/>
      <top/>
      <bottom style="thin">
        <color rgb="FF008000"/>
      </bottom>
      <diagonal/>
    </border>
    <border>
      <left/>
      <right style="thin">
        <color rgb="FF008000"/>
      </right>
      <top/>
      <bottom style="thin">
        <color rgb="FF008000"/>
      </bottom>
      <diagonal/>
    </border>
    <border>
      <left style="thin">
        <color rgb="FF993300"/>
      </left>
      <right/>
      <top style="thin">
        <color rgb="FF993300"/>
      </top>
      <bottom/>
      <diagonal/>
    </border>
    <border>
      <left/>
      <right/>
      <top style="thin">
        <color rgb="FF993300"/>
      </top>
      <bottom/>
      <diagonal/>
    </border>
    <border>
      <left/>
      <right style="thin">
        <color rgb="FF993300"/>
      </right>
      <top style="thin">
        <color rgb="FF993300"/>
      </top>
      <bottom/>
      <diagonal/>
    </border>
    <border>
      <left style="thin">
        <color rgb="FF993300"/>
      </left>
      <right/>
      <top/>
      <bottom/>
      <diagonal/>
    </border>
    <border>
      <left/>
      <right style="thin">
        <color rgb="FF993300"/>
      </right>
      <top/>
      <bottom/>
      <diagonal/>
    </border>
    <border>
      <left style="thin">
        <color rgb="FF993300"/>
      </left>
      <right/>
      <top/>
      <bottom style="thin">
        <color rgb="FF993300"/>
      </bottom>
      <diagonal/>
    </border>
    <border>
      <left/>
      <right/>
      <top/>
      <bottom style="thin">
        <color rgb="FF993300"/>
      </bottom>
      <diagonal/>
    </border>
    <border>
      <left/>
      <right style="thin">
        <color rgb="FF993300"/>
      </right>
      <top/>
      <bottom style="thin">
        <color rgb="FF9933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8000"/>
      </left>
      <right style="thin">
        <color rgb="FF008000"/>
      </right>
      <top/>
      <bottom style="thin">
        <color rgb="FF008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/>
      <bottom/>
      <diagonal/>
    </border>
    <border>
      <left/>
      <right style="thin">
        <color rgb="FFC0C0C0"/>
      </right>
      <top/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/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rgb="FF993300"/>
      </left>
      <right style="thin">
        <color rgb="FF993300"/>
      </right>
      <top/>
      <bottom style="thin">
        <color rgb="FF993300"/>
      </bottom>
      <diagonal/>
    </border>
    <border>
      <left style="thin">
        <color rgb="FF993300"/>
      </left>
      <right style="thin">
        <color rgb="FF993300"/>
      </right>
      <top style="thin">
        <color rgb="FF993300"/>
      </top>
      <bottom style="thin">
        <color rgb="FF9933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8000"/>
      </left>
      <right style="thin">
        <color rgb="FF008000"/>
      </right>
      <top style="thin">
        <color rgb="FF008000"/>
      </top>
      <bottom/>
      <diagonal/>
    </border>
    <border>
      <left style="thin">
        <color rgb="FF008000"/>
      </left>
      <right style="thin">
        <color rgb="FF008000"/>
      </right>
      <top/>
      <bottom/>
      <diagonal/>
    </border>
    <border>
      <left style="thin">
        <color rgb="FF99CC00"/>
      </left>
      <right/>
      <top style="thin">
        <color rgb="FF99CC00"/>
      </top>
      <bottom/>
      <diagonal/>
    </border>
    <border>
      <left/>
      <right style="thin">
        <color rgb="FF99CC00"/>
      </right>
      <top style="thin">
        <color rgb="FF99CC00"/>
      </top>
      <bottom/>
      <diagonal/>
    </border>
    <border>
      <left style="thin">
        <color rgb="FF99CC00"/>
      </left>
      <right/>
      <top/>
      <bottom style="thin">
        <color rgb="FF99CC00"/>
      </bottom>
      <diagonal/>
    </border>
    <border>
      <left/>
      <right style="thin">
        <color rgb="FF99CC00"/>
      </right>
      <top/>
      <bottom style="thin">
        <color rgb="FF99CC00"/>
      </bottom>
      <diagonal/>
    </border>
    <border>
      <left style="thin">
        <color rgb="FF0066CC"/>
      </left>
      <right/>
      <top style="thin">
        <color rgb="FF0066CC"/>
      </top>
      <bottom/>
      <diagonal/>
    </border>
    <border>
      <left/>
      <right style="thin">
        <color rgb="FF0066CC"/>
      </right>
      <top style="thin">
        <color rgb="FF0066CC"/>
      </top>
      <bottom/>
      <diagonal/>
    </border>
    <border>
      <left style="thin">
        <color rgb="FF0066CC"/>
      </left>
      <right/>
      <top/>
      <bottom style="thin">
        <color rgb="FF0066CC"/>
      </bottom>
      <diagonal/>
    </border>
    <border>
      <left/>
      <right style="thin">
        <color rgb="FF0066CC"/>
      </right>
      <top/>
      <bottom style="thin">
        <color rgb="FF0066CC"/>
      </bottom>
      <diagonal/>
    </border>
  </borders>
  <cellStyleXfs count="1">
    <xf numFmtId="0" fontId="0" fillId="0" borderId="0"/>
  </cellStyleXfs>
  <cellXfs count="181">
    <xf numFmtId="0" fontId="0" fillId="0" borderId="0" xfId="0" applyAlignment="1">
      <alignment horizontal="general" vertical="bottom"/>
      <protection/>
    </xf>
    <xf numFmtId="0" fontId="0" fillId="0" borderId="0" xfId="0" applyAlignment="1">
      <alignment horizontal="center" vertical="bottom"/>
      <protection/>
    </xf>
    <xf numFmtId="0" fontId="0" fillId="0" borderId="0" xfId="0" applyAlignment="1">
      <alignment horizontal="right" vertical="bottom"/>
      <protection/>
    </xf>
    <xf numFmtId="0" fontId="0" fillId="0" borderId="0" xfId="0" applyAlignment="1">
      <alignment horizontal="general" vertical="bottom"/>
      <protection/>
    </xf>
    <xf numFmtId="0" fontId="1" fillId="0" borderId="0" xfId="0" applyFont="1" applyAlignment="1">
      <alignment horizontal="general" vertical="bottom"/>
      <protection locked="0"/>
    </xf>
    <xf numFmtId="14" fontId="0" fillId="0" borderId="1" xfId="0" applyNumberFormat="1" applyBorder="1" applyAlignment="1">
      <alignment horizontal="general" vertical="bottom"/>
      <protection locked="0"/>
    </xf>
    <xf numFmtId="0" fontId="0" fillId="0" borderId="2" xfId="0" applyBorder="1" applyAlignment="1">
      <alignment horizontal="general" vertical="bottom"/>
      <protection locked="0"/>
    </xf>
    <xf numFmtId="44" fontId="0" fillId="0" borderId="2" xfId="0" applyNumberFormat="1" applyBorder="1" applyAlignment="1">
      <alignment horizontal="general" vertical="bottom"/>
      <protection locked="0"/>
    </xf>
    <xf numFmtId="49" fontId="0" fillId="0" borderId="2" xfId="0" applyNumberFormat="1" applyBorder="1" applyAlignment="1">
      <alignment horizontal="center" vertical="bottom"/>
      <protection locked="0"/>
    </xf>
    <xf numFmtId="0" fontId="0" fillId="0" borderId="3" xfId="0" applyBorder="1" applyAlignment="1">
      <alignment horizontal="general" vertical="bottom"/>
      <protection locked="0"/>
    </xf>
    <xf numFmtId="14" fontId="0" fillId="0" borderId="4" xfId="0" applyNumberFormat="1" applyBorder="1" applyAlignment="1">
      <alignment horizontal="general" vertical="bottom"/>
      <protection locked="0"/>
    </xf>
    <xf numFmtId="0" fontId="0" fillId="0" borderId="0" xfId="0" applyAlignment="1">
      <alignment horizontal="general" vertical="bottom"/>
      <protection locked="0"/>
    </xf>
    <xf numFmtId="44" fontId="0" fillId="0" borderId="0" xfId="0" applyNumberFormat="1" applyAlignment="1">
      <alignment horizontal="general" vertical="bottom"/>
      <protection locked="0"/>
    </xf>
    <xf numFmtId="49" fontId="0" fillId="0" borderId="0" xfId="0" applyNumberFormat="1" applyAlignment="1">
      <alignment horizontal="center" vertical="bottom"/>
      <protection locked="0"/>
    </xf>
    <xf numFmtId="0" fontId="0" fillId="0" borderId="5" xfId="0" applyBorder="1" applyAlignment="1">
      <alignment horizontal="general" vertical="bottom"/>
      <protection locked="0"/>
    </xf>
    <xf numFmtId="0" fontId="0" fillId="0" borderId="4" xfId="0" applyBorder="1" applyAlignment="1">
      <alignment horizontal="general" vertical="bottom"/>
      <protection locked="0"/>
    </xf>
    <xf numFmtId="0" fontId="0" fillId="0" borderId="6" xfId="0" applyBorder="1" applyAlignment="1">
      <alignment horizontal="general" vertical="bottom"/>
      <protection locked="0"/>
    </xf>
    <xf numFmtId="0" fontId="0" fillId="0" borderId="7" xfId="0" applyBorder="1" applyAlignment="1">
      <alignment horizontal="general" vertical="bottom"/>
      <protection locked="0"/>
    </xf>
    <xf numFmtId="44" fontId="0" fillId="0" borderId="7" xfId="0" applyNumberFormat="1" applyBorder="1" applyAlignment="1">
      <alignment horizontal="general" vertical="bottom"/>
      <protection locked="0"/>
    </xf>
    <xf numFmtId="49" fontId="0" fillId="0" borderId="7" xfId="0" applyNumberFormat="1" applyBorder="1" applyAlignment="1">
      <alignment horizontal="center" vertical="bottom"/>
      <protection locked="0"/>
    </xf>
    <xf numFmtId="0" fontId="0" fillId="0" borderId="8" xfId="0" applyBorder="1" applyAlignment="1">
      <alignment horizontal="general" vertical="bottom"/>
      <protection locked="0"/>
    </xf>
    <xf numFmtId="14" fontId="0" fillId="0" borderId="9" xfId="0" applyNumberFormat="1" applyBorder="1" applyAlignment="1">
      <alignment horizontal="general" vertical="bottom"/>
      <protection locked="0"/>
    </xf>
    <xf numFmtId="0" fontId="0" fillId="0" borderId="10" xfId="0" applyBorder="1" applyAlignment="1">
      <alignment horizontal="general" vertical="bottom"/>
      <protection locked="0"/>
    </xf>
    <xf numFmtId="44" fontId="0" fillId="0" borderId="10" xfId="0" applyNumberFormat="1" applyBorder="1" applyAlignment="1">
      <alignment horizontal="general" vertical="bottom"/>
      <protection locked="0"/>
    </xf>
    <xf numFmtId="49" fontId="0" fillId="0" borderId="10" xfId="0" applyNumberFormat="1" applyBorder="1" applyAlignment="1">
      <alignment horizontal="center" vertical="bottom"/>
      <protection locked="0"/>
    </xf>
    <xf numFmtId="0" fontId="0" fillId="0" borderId="11" xfId="0" applyBorder="1" applyAlignment="1">
      <alignment horizontal="general" vertical="bottom"/>
      <protection locked="0"/>
    </xf>
    <xf numFmtId="14" fontId="0" fillId="0" borderId="12" xfId="0" applyNumberFormat="1" applyBorder="1" applyAlignment="1">
      <alignment horizontal="general" vertical="bottom"/>
      <protection locked="0"/>
    </xf>
    <xf numFmtId="0" fontId="0" fillId="0" borderId="13" xfId="0" applyBorder="1" applyAlignment="1">
      <alignment horizontal="general" vertical="bottom"/>
      <protection locked="0"/>
    </xf>
    <xf numFmtId="14" fontId="0" fillId="0" borderId="14" xfId="0" applyNumberFormat="1" applyBorder="1" applyAlignment="1">
      <alignment horizontal="general" vertical="bottom"/>
      <protection locked="0"/>
    </xf>
    <xf numFmtId="0" fontId="0" fillId="0" borderId="15" xfId="0" applyBorder="1" applyAlignment="1">
      <alignment horizontal="general" vertical="bottom"/>
      <protection locked="0"/>
    </xf>
    <xf numFmtId="44" fontId="0" fillId="0" borderId="15" xfId="0" applyNumberFormat="1" applyBorder="1" applyAlignment="1">
      <alignment horizontal="general" vertical="bottom"/>
      <protection locked="0"/>
    </xf>
    <xf numFmtId="49" fontId="0" fillId="0" borderId="15" xfId="0" applyNumberFormat="1" applyBorder="1" applyAlignment="1">
      <alignment horizontal="center" vertical="bottom"/>
      <protection locked="0"/>
    </xf>
    <xf numFmtId="0" fontId="0" fillId="0" borderId="16" xfId="0" applyBorder="1" applyAlignment="1">
      <alignment horizontal="general" vertical="bottom"/>
      <protection locked="0"/>
    </xf>
    <xf numFmtId="0" fontId="0" fillId="0" borderId="0" xfId="0" applyAlignment="1">
      <alignment horizontal="general" vertical="bottom"/>
      <protection locked="0"/>
    </xf>
    <xf numFmtId="44" fontId="0" fillId="0" borderId="0" xfId="0" applyNumberFormat="1" applyAlignment="1">
      <alignment horizontal="general" vertical="bottom"/>
      <protection locked="0"/>
    </xf>
    <xf numFmtId="49" fontId="0" fillId="0" borderId="0" xfId="0" applyNumberFormat="1" applyAlignment="1">
      <alignment horizontal="general" vertical="bottom"/>
      <protection locked="0"/>
    </xf>
    <xf numFmtId="0" fontId="2" fillId="0" borderId="0" xfId="0" applyFont="1" applyAlignment="1">
      <alignment horizontal="right" vertical="bottom"/>
      <protection locked="0"/>
    </xf>
    <xf numFmtId="0" fontId="0" fillId="0" borderId="0" xfId="0" applyAlignment="1">
      <alignment horizontal="right" vertical="bottom"/>
      <protection locked="0"/>
    </xf>
    <xf numFmtId="0" fontId="3" fillId="0" borderId="17" xfId="0" applyFont="1" applyBorder="1" applyAlignment="1">
      <alignment horizontal="center" vertical="center" wrapText="1"/>
      <protection locked="0"/>
    </xf>
    <xf numFmtId="44" fontId="3" fillId="0" borderId="17" xfId="0" applyNumberFormat="1" applyFont="1" applyBorder="1" applyAlignment="1">
      <alignment horizontal="center" vertical="center" wrapText="1"/>
      <protection locked="0"/>
    </xf>
    <xf numFmtId="49" fontId="3" fillId="0" borderId="17" xfId="0" applyNumberFormat="1" applyFont="1" applyBorder="1" applyAlignment="1">
      <alignment horizontal="center" vertical="center" wrapText="1"/>
      <protection locked="0"/>
    </xf>
    <xf numFmtId="0" fontId="0" fillId="0" borderId="0" xfId="0" applyAlignment="1">
      <alignment horizontal="center" vertical="center"/>
      <protection locked="0"/>
    </xf>
    <xf numFmtId="0" fontId="0" fillId="0" borderId="0" xfId="0" applyAlignment="1">
      <alignment horizontal="center" vertical="center" wrapText="1"/>
      <protection locked="0"/>
    </xf>
    <xf numFmtId="0" fontId="3" fillId="0" borderId="17" xfId="0" applyFont="1" applyBorder="1" applyAlignment="1">
      <alignment horizontal="center" vertical="center"/>
      <protection locked="0"/>
    </xf>
    <xf numFmtId="0" fontId="0" fillId="0" borderId="18" xfId="0" applyBorder="1" applyAlignment="1">
      <alignment horizontal="center" vertical="center"/>
      <protection locked="0"/>
    </xf>
    <xf numFmtId="0" fontId="0" fillId="0" borderId="0" xfId="0" applyAlignment="1">
      <alignment horizontal="general" vertical="bottom"/>
      <protection locked="0"/>
    </xf>
    <xf numFmtId="0" fontId="0" fillId="0" borderId="4" xfId="0" applyBorder="1" applyAlignment="1">
      <alignment horizontal="general" vertical="bottom"/>
      <protection locked="0"/>
    </xf>
    <xf numFmtId="0" fontId="3" fillId="0" borderId="19" xfId="0" applyFont="1" applyBorder="1" applyAlignment="1">
      <alignment horizontal="center" vertical="bottom"/>
      <protection locked="0"/>
    </xf>
    <xf numFmtId="0" fontId="3" fillId="0" borderId="0" xfId="0" applyFont="1" applyAlignment="1">
      <alignment horizontal="general" vertical="bottom"/>
      <protection locked="0"/>
    </xf>
    <xf numFmtId="44" fontId="0" fillId="0" borderId="0" xfId="0" applyNumberFormat="1" applyAlignment="1">
      <alignment horizontal="general" vertical="bottom"/>
      <protection locked="0"/>
    </xf>
    <xf numFmtId="0" fontId="0" fillId="0" borderId="2" xfId="0" applyBorder="1" applyAlignment="1">
      <alignment horizontal="general" vertical="bottom"/>
      <protection locked="0"/>
    </xf>
    <xf numFmtId="44" fontId="0" fillId="0" borderId="20" xfId="0" applyNumberFormat="1" applyBorder="1" applyAlignment="1">
      <alignment horizontal="general" vertical="bottom"/>
      <protection/>
    </xf>
    <xf numFmtId="0" fontId="4" fillId="0" borderId="0" xfId="0" applyFont="1" applyAlignment="1">
      <alignment horizontal="general" vertical="bottom"/>
      <protection locked="0"/>
    </xf>
    <xf numFmtId="0" fontId="4" fillId="0" borderId="0" xfId="0" applyFont="1" applyAlignment="1">
      <alignment horizontal="center" vertical="center"/>
      <protection locked="0"/>
    </xf>
    <xf numFmtId="0" fontId="0" fillId="0" borderId="21" xfId="0" applyBorder="1" applyAlignment="1">
      <alignment horizontal="general" vertical="bottom"/>
      <protection/>
    </xf>
    <xf numFmtId="0" fontId="0" fillId="0" borderId="22" xfId="0" applyBorder="1" applyAlignment="1">
      <alignment horizontal="general" vertical="bottom"/>
      <protection/>
    </xf>
    <xf numFmtId="0" fontId="0" fillId="0" borderId="23" xfId="0" applyBorder="1" applyAlignment="1">
      <alignment horizontal="general" vertical="bottom"/>
      <protection/>
    </xf>
    <xf numFmtId="0" fontId="0" fillId="0" borderId="24" xfId="0" applyBorder="1" applyAlignment="1">
      <alignment horizontal="general" vertical="bottom"/>
      <protection/>
    </xf>
    <xf numFmtId="0" fontId="0" fillId="0" borderId="25" xfId="0" applyBorder="1" applyAlignment="1">
      <alignment horizontal="general" vertical="bottom"/>
      <protection/>
    </xf>
    <xf numFmtId="0" fontId="0" fillId="0" borderId="26" xfId="0" applyBorder="1" applyAlignment="1">
      <alignment horizontal="general" vertical="bottom"/>
      <protection/>
    </xf>
    <xf numFmtId="0" fontId="0" fillId="0" borderId="27" xfId="0" applyBorder="1" applyAlignment="1">
      <alignment horizontal="general" vertical="bottom"/>
      <protection/>
    </xf>
    <xf numFmtId="0" fontId="0" fillId="0" borderId="28" xfId="0" applyBorder="1" applyAlignment="1">
      <alignment horizontal="general" vertical="bottom"/>
      <protection/>
    </xf>
    <xf numFmtId="49" fontId="0" fillId="0" borderId="0" xfId="0" applyNumberFormat="1" applyAlignment="1">
      <alignment horizontal="center" vertical="bottom"/>
      <protection locked="0"/>
    </xf>
    <xf numFmtId="49" fontId="5" fillId="0" borderId="0" xfId="0" applyNumberFormat="1" applyFont="1" applyAlignment="1">
      <alignment horizontal="general" vertical="center"/>
      <protection locked="0"/>
    </xf>
    <xf numFmtId="49" fontId="0" fillId="0" borderId="0" xfId="0" applyNumberFormat="1" applyAlignment="1">
      <alignment horizontal="general" vertical="center"/>
      <protection locked="0"/>
    </xf>
    <xf numFmtId="44" fontId="6" fillId="0" borderId="0" xfId="0" applyNumberFormat="1" applyFont="1" applyAlignment="1">
      <alignment horizontal="general" vertical="center"/>
      <protection locked="0"/>
    </xf>
    <xf numFmtId="0" fontId="6" fillId="0" borderId="0" xfId="0" applyFont="1" applyAlignment="1">
      <alignment horizontal="general" vertical="center"/>
      <protection locked="0"/>
    </xf>
    <xf numFmtId="0" fontId="3" fillId="0" borderId="29" xfId="0" applyFont="1" applyBorder="1" applyAlignment="1">
      <alignment horizontal="center" vertical="bottom"/>
      <protection locked="0"/>
    </xf>
    <xf numFmtId="44" fontId="7" fillId="0" borderId="30" xfId="0" applyNumberFormat="1" applyFont="1" applyBorder="1" applyAlignment="1">
      <alignment horizontal="center" vertical="center"/>
      <protection/>
    </xf>
    <xf numFmtId="0" fontId="7" fillId="0" borderId="30" xfId="0" applyFont="1" applyBorder="1" applyAlignment="1">
      <alignment horizontal="center" vertical="center"/>
      <protection/>
    </xf>
    <xf numFmtId="0" fontId="8" fillId="2" borderId="0" xfId="0" applyFont="1" applyFill="1" applyAlignment="1">
      <alignment horizontal="center" vertical="center"/>
      <protection locked="0"/>
    </xf>
    <xf numFmtId="0" fontId="4" fillId="0" borderId="0" xfId="0" applyFont="1" applyAlignment="1">
      <alignment horizontal="center" vertical="bottom"/>
      <protection locked="0"/>
    </xf>
    <xf numFmtId="0" fontId="9" fillId="2" borderId="0" xfId="0" applyFont="1" applyFill="1" applyAlignment="1">
      <alignment horizontal="center" vertical="center"/>
      <protection locked="0"/>
    </xf>
    <xf numFmtId="0" fontId="9" fillId="3" borderId="0" xfId="0" applyFont="1" applyFill="1" applyAlignment="1">
      <alignment horizontal="center" vertical="center"/>
      <protection locked="0"/>
    </xf>
    <xf numFmtId="44" fontId="10" fillId="0" borderId="30" xfId="0" applyNumberFormat="1" applyFont="1" applyBorder="1" applyAlignment="1">
      <alignment horizontal="center" vertical="center"/>
      <protection/>
    </xf>
    <xf numFmtId="0" fontId="8" fillId="3" borderId="0" xfId="0" applyFont="1" applyFill="1" applyAlignment="1">
      <alignment horizontal="center" vertical="center"/>
      <protection locked="0"/>
    </xf>
    <xf numFmtId="0" fontId="3" fillId="0" borderId="6" xfId="0" applyFont="1" applyBorder="1" applyAlignment="1">
      <alignment horizontal="center" vertical="bottom"/>
      <protection locked="0"/>
    </xf>
    <xf numFmtId="0" fontId="3" fillId="0" borderId="8" xfId="0" applyFont="1" applyBorder="1" applyAlignment="1">
      <alignment horizontal="center" vertical="bottom"/>
      <protection locked="0"/>
    </xf>
    <xf numFmtId="44" fontId="7" fillId="0" borderId="1" xfId="0" applyNumberFormat="1" applyFont="1" applyBorder="1" applyAlignment="1">
      <alignment horizontal="center" vertical="center"/>
      <protection/>
    </xf>
    <xf numFmtId="0" fontId="7" fillId="0" borderId="3" xfId="0" applyFont="1" applyBorder="1" applyAlignment="1">
      <alignment horizontal="center" vertical="center"/>
      <protection/>
    </xf>
    <xf numFmtId="0" fontId="7" fillId="0" borderId="4" xfId="0" applyFont="1" applyBorder="1" applyAlignment="1">
      <alignment horizontal="center" vertical="center"/>
      <protection/>
    </xf>
    <xf numFmtId="0" fontId="7" fillId="0" borderId="5" xfId="0" applyFont="1" applyBorder="1" applyAlignment="1">
      <alignment horizontal="center" vertical="center"/>
      <protection/>
    </xf>
    <xf numFmtId="0" fontId="7" fillId="0" borderId="6" xfId="0" applyFont="1" applyBorder="1" applyAlignment="1">
      <alignment horizontal="center" vertical="center"/>
      <protection/>
    </xf>
    <xf numFmtId="0" fontId="7" fillId="0" borderId="8" xfId="0" applyFont="1" applyBorder="1" applyAlignment="1">
      <alignment horizontal="center" vertical="center"/>
      <protection/>
    </xf>
    <xf numFmtId="0" fontId="1" fillId="0" borderId="31" xfId="0" applyFont="1" applyBorder="1" applyAlignment="1">
      <alignment horizontal="center" vertical="bottom"/>
      <protection locked="0"/>
    </xf>
    <xf numFmtId="0" fontId="0" fillId="0" borderId="29" xfId="0" applyBorder="1" applyAlignment="1">
      <alignment horizontal="center" vertical="bottom"/>
      <protection locked="0"/>
    </xf>
    <xf numFmtId="49" fontId="5" fillId="0" borderId="0" xfId="0" applyNumberFormat="1" applyFont="1" applyAlignment="1">
      <alignment horizontal="right" vertical="center"/>
      <protection locked="0"/>
    </xf>
    <xf numFmtId="49" fontId="0" fillId="0" borderId="0" xfId="0" applyNumberFormat="1" applyAlignment="1">
      <alignment horizontal="right" vertical="center"/>
      <protection locked="0"/>
    </xf>
    <xf numFmtId="44" fontId="6" fillId="0" borderId="0" xfId="0" applyNumberFormat="1" applyFont="1" applyAlignment="1">
      <alignment horizontal="center" vertical="center"/>
      <protection locked="0"/>
    </xf>
    <xf numFmtId="0" fontId="6" fillId="0" borderId="0" xfId="0" applyFont="1" applyAlignment="1">
      <alignment horizontal="center" vertical="center"/>
      <protection locked="0"/>
    </xf>
    <xf numFmtId="44" fontId="7" fillId="0" borderId="32" xfId="0" applyNumberFormat="1" applyFont="1" applyBorder="1" applyAlignment="1">
      <alignment horizontal="center" vertical="center"/>
      <protection/>
    </xf>
    <xf numFmtId="0" fontId="7" fillId="0" borderId="33" xfId="0" applyFont="1" applyBorder="1" applyAlignment="1">
      <alignment horizontal="center" vertical="center"/>
      <protection/>
    </xf>
    <xf numFmtId="0" fontId="7" fillId="0" borderId="19" xfId="0" applyFont="1" applyBorder="1" applyAlignment="1">
      <alignment horizontal="center" vertical="center"/>
      <protection/>
    </xf>
    <xf numFmtId="49" fontId="3" fillId="0" borderId="6" xfId="0" applyNumberFormat="1" applyFont="1" applyBorder="1" applyAlignment="1">
      <alignment horizontal="center" vertical="bottom"/>
      <protection locked="0"/>
    </xf>
    <xf numFmtId="49" fontId="3" fillId="0" borderId="7" xfId="0" applyNumberFormat="1" applyFont="1" applyBorder="1" applyAlignment="1">
      <alignment horizontal="center" vertical="bottom"/>
      <protection locked="0"/>
    </xf>
    <xf numFmtId="49" fontId="3" fillId="0" borderId="8" xfId="0" applyNumberFormat="1" applyFont="1" applyBorder="1" applyAlignment="1">
      <alignment horizontal="center" vertical="bottom"/>
      <protection locked="0"/>
    </xf>
    <xf numFmtId="44" fontId="11" fillId="0" borderId="1" xfId="0" applyNumberFormat="1" applyFont="1" applyBorder="1" applyAlignment="1">
      <alignment horizontal="center" vertical="bottom"/>
      <protection/>
    </xf>
    <xf numFmtId="44" fontId="11" fillId="0" borderId="2" xfId="0" applyNumberFormat="1" applyFont="1" applyBorder="1" applyAlignment="1">
      <alignment horizontal="center" vertical="bottom"/>
      <protection/>
    </xf>
    <xf numFmtId="44" fontId="11" fillId="0" borderId="3" xfId="0" applyNumberFormat="1" applyFont="1" applyBorder="1" applyAlignment="1">
      <alignment horizontal="center" vertical="bottom"/>
      <protection/>
    </xf>
    <xf numFmtId="44" fontId="11" fillId="0" borderId="4" xfId="0" applyNumberFormat="1" applyFont="1" applyBorder="1" applyAlignment="1">
      <alignment horizontal="center" vertical="bottom"/>
      <protection/>
    </xf>
    <xf numFmtId="44" fontId="11" fillId="0" borderId="0" xfId="0" applyNumberFormat="1" applyFont="1" applyAlignment="1">
      <alignment horizontal="center" vertical="bottom"/>
      <protection/>
    </xf>
    <xf numFmtId="44" fontId="11" fillId="0" borderId="5" xfId="0" applyNumberFormat="1" applyFont="1" applyBorder="1" applyAlignment="1">
      <alignment horizontal="center" vertical="bottom"/>
      <protection/>
    </xf>
    <xf numFmtId="44" fontId="11" fillId="0" borderId="6" xfId="0" applyNumberFormat="1" applyFont="1" applyBorder="1" applyAlignment="1">
      <alignment horizontal="center" vertical="bottom"/>
      <protection/>
    </xf>
    <xf numFmtId="44" fontId="11" fillId="0" borderId="7" xfId="0" applyNumberFormat="1" applyFont="1" applyBorder="1" applyAlignment="1">
      <alignment horizontal="center" vertical="bottom"/>
      <protection/>
    </xf>
    <xf numFmtId="44" fontId="11" fillId="0" borderId="8" xfId="0" applyNumberFormat="1" applyFont="1" applyBorder="1" applyAlignment="1">
      <alignment horizontal="center" vertical="bottom"/>
      <protection/>
    </xf>
    <xf numFmtId="0" fontId="4" fillId="0" borderId="0" xfId="0" applyFont="1" applyAlignment="1">
      <alignment horizontal="center" vertical="center"/>
      <protection locked="0"/>
    </xf>
    <xf numFmtId="0" fontId="12" fillId="4" borderId="0" xfId="0" applyFont="1" applyFill="1" applyAlignment="1">
      <alignment horizontal="center" vertical="center"/>
      <protection/>
    </xf>
    <xf numFmtId="44" fontId="0" fillId="0" borderId="34" xfId="0" applyNumberFormat="1" applyBorder="1" applyAlignment="1">
      <alignment horizontal="center" vertical="center"/>
      <protection/>
    </xf>
    <xf numFmtId="44" fontId="0" fillId="0" borderId="35" xfId="0" applyNumberFormat="1" applyBorder="1" applyAlignment="1">
      <alignment horizontal="center" vertical="center"/>
      <protection/>
    </xf>
    <xf numFmtId="44" fontId="0" fillId="0" borderId="36" xfId="0" applyNumberFormat="1" applyBorder="1" applyAlignment="1">
      <alignment horizontal="center" vertical="center"/>
      <protection/>
    </xf>
    <xf numFmtId="44" fontId="0" fillId="0" borderId="37" xfId="0" applyNumberFormat="1" applyBorder="1" applyAlignment="1">
      <alignment horizontal="center" vertical="center"/>
      <protection/>
    </xf>
    <xf numFmtId="0" fontId="13" fillId="5" borderId="0" xfId="0" applyFont="1" applyFill="1" applyAlignment="1">
      <alignment horizontal="center" vertical="center"/>
      <protection/>
    </xf>
    <xf numFmtId="0" fontId="13" fillId="5" borderId="27" xfId="0" applyFont="1" applyFill="1" applyBorder="1" applyAlignment="1">
      <alignment horizontal="center" vertical="center"/>
      <protection/>
    </xf>
    <xf numFmtId="0" fontId="14" fillId="6" borderId="0" xfId="0" applyFont="1" applyFill="1" applyAlignment="1">
      <alignment horizontal="center" vertical="center"/>
      <protection/>
    </xf>
    <xf numFmtId="44" fontId="6" fillId="0" borderId="38" xfId="0" applyNumberFormat="1" applyFont="1" applyBorder="1" applyAlignment="1">
      <alignment horizontal="center" vertical="center"/>
      <protection/>
    </xf>
    <xf numFmtId="44" fontId="6" fillId="0" borderId="39" xfId="0" applyNumberFormat="1" applyFont="1" applyBorder="1" applyAlignment="1">
      <alignment horizontal="center" vertical="center"/>
      <protection/>
    </xf>
    <xf numFmtId="44" fontId="6" fillId="0" borderId="40" xfId="0" applyNumberFormat="1" applyFont="1" applyBorder="1" applyAlignment="1">
      <alignment horizontal="center" vertical="center"/>
      <protection/>
    </xf>
    <xf numFmtId="44" fontId="6" fillId="0" borderId="41" xfId="0" applyNumberFormat="1" applyFont="1" applyBorder="1" applyAlignment="1">
      <alignment horizontal="center" vertical="center"/>
      <protection/>
    </xf>
    <xf numFmtId="0" fontId="15" fillId="4" borderId="0" xfId="0" applyFont="1" applyFill="1" applyAlignment="1">
      <alignment horizontal="center" vertical="center"/>
      <protection/>
    </xf>
    <xf numFmtId="0" fontId="5" fillId="0" borderId="1" xfId="0" applyFont="1" applyBorder="1" applyAlignment="1">
      <alignment horizontal="center" vertical="center" wrapText="1"/>
      <protection/>
    </xf>
    <xf numFmtId="0" fontId="5" fillId="0" borderId="3" xfId="0" applyFont="1" applyBorder="1" applyAlignment="1">
      <alignment horizontal="center" vertical="center"/>
      <protection/>
    </xf>
    <xf numFmtId="0" fontId="5" fillId="0" borderId="6" xfId="0" applyFont="1" applyBorder="1" applyAlignment="1">
      <alignment horizontal="center" vertical="center"/>
      <protection/>
    </xf>
    <xf numFmtId="0" fontId="5" fillId="0" borderId="8" xfId="0" applyFont="1" applyBorder="1" applyAlignment="1">
      <alignment horizontal="center" vertical="center"/>
      <protection/>
    </xf>
    <xf numFmtId="44" fontId="16" fillId="0" borderId="0" xfId="0" applyNumberFormat="1" applyFont="1" applyAlignment="1">
      <alignment horizontal="center" vertical="bottom" wrapText="1"/>
      <protection locked="0"/>
    </xf>
    <xf numFmtId="0" fontId="7" fillId="0" borderId="19" xfId="0" applyFont="1" applyBorder="1" applyAlignment="1">
      <alignment horizontal="center" vertical="center"/>
      <protection/>
    </xf>
    <xf numFmtId="0" fontId="7" fillId="0" borderId="33" xfId="0" applyFont="1" applyBorder="1" applyAlignment="1">
      <alignment horizontal="center" vertical="center"/>
      <protection/>
    </xf>
    <xf numFmtId="44" fontId="7" fillId="0" borderId="32" xfId="0" applyNumberFormat="1" applyFont="1" applyBorder="1" applyAlignment="1">
      <alignment horizontal="center" vertical="center"/>
      <protection/>
    </xf>
    <xf numFmtId="49" fontId="3" fillId="0" borderId="8" xfId="0" applyNumberFormat="1" applyFont="1" applyBorder="1" applyAlignment="1">
      <alignment horizontal="center" vertical="bottom"/>
      <protection locked="0"/>
    </xf>
    <xf numFmtId="49" fontId="3" fillId="0" borderId="7" xfId="0" applyNumberFormat="1" applyFont="1" applyBorder="1" applyAlignment="1">
      <alignment horizontal="center" vertical="bottom"/>
      <protection locked="0"/>
    </xf>
    <xf numFmtId="49" fontId="3" fillId="0" borderId="6" xfId="0" applyNumberFormat="1" applyFont="1" applyBorder="1" applyAlignment="1">
      <alignment horizontal="center" vertical="bottom"/>
      <protection locked="0"/>
    </xf>
    <xf numFmtId="44" fontId="11" fillId="0" borderId="8" xfId="0" applyNumberFormat="1" applyFont="1" applyBorder="1" applyAlignment="1">
      <alignment horizontal="center" vertical="bottom"/>
      <protection/>
    </xf>
    <xf numFmtId="44" fontId="11" fillId="0" borderId="7" xfId="0" applyNumberFormat="1" applyFont="1" applyBorder="1" applyAlignment="1">
      <alignment horizontal="center" vertical="bottom"/>
      <protection/>
    </xf>
    <xf numFmtId="44" fontId="11" fillId="0" borderId="6" xfId="0" applyNumberFormat="1" applyFont="1" applyBorder="1" applyAlignment="1">
      <alignment horizontal="center" vertical="bottom"/>
      <protection/>
    </xf>
    <xf numFmtId="44" fontId="11" fillId="0" borderId="5" xfId="0" applyNumberFormat="1" applyFont="1" applyBorder="1" applyAlignment="1">
      <alignment horizontal="center" vertical="bottom"/>
      <protection/>
    </xf>
    <xf numFmtId="44" fontId="11" fillId="0" borderId="0" xfId="0" applyNumberFormat="1" applyFont="1" applyAlignment="1">
      <alignment horizontal="center" vertical="bottom"/>
      <protection/>
    </xf>
    <xf numFmtId="44" fontId="11" fillId="0" borderId="4" xfId="0" applyNumberFormat="1" applyFont="1" applyBorder="1" applyAlignment="1">
      <alignment horizontal="center" vertical="bottom"/>
      <protection/>
    </xf>
    <xf numFmtId="44" fontId="11" fillId="0" borderId="3" xfId="0" applyNumberFormat="1" applyFont="1" applyBorder="1" applyAlignment="1">
      <alignment horizontal="center" vertical="bottom"/>
      <protection/>
    </xf>
    <xf numFmtId="44" fontId="11" fillId="0" borderId="2" xfId="0" applyNumberFormat="1" applyFont="1" applyBorder="1" applyAlignment="1">
      <alignment horizontal="center" vertical="bottom"/>
      <protection/>
    </xf>
    <xf numFmtId="44" fontId="11" fillId="0" borderId="1" xfId="0" applyNumberFormat="1" applyFont="1" applyBorder="1" applyAlignment="1">
      <alignment horizontal="center" vertical="bottom"/>
      <protection/>
    </xf>
    <xf numFmtId="0" fontId="3" fillId="0" borderId="29" xfId="0" applyFont="1" applyBorder="1" applyAlignment="1">
      <alignment horizontal="center" vertical="bottom"/>
      <protection locked="0"/>
    </xf>
    <xf numFmtId="0" fontId="7" fillId="0" borderId="30" xfId="0" applyFont="1" applyBorder="1" applyAlignment="1">
      <alignment horizontal="center" vertical="center"/>
      <protection/>
    </xf>
    <xf numFmtId="44" fontId="7" fillId="0" borderId="30" xfId="0" applyNumberFormat="1" applyFont="1" applyBorder="1" applyAlignment="1">
      <alignment horizontal="center" vertical="center"/>
      <protection/>
    </xf>
    <xf numFmtId="0" fontId="8" fillId="2" borderId="0" xfId="0" applyFont="1" applyFill="1" applyAlignment="1">
      <alignment horizontal="center" vertical="center"/>
      <protection locked="0"/>
    </xf>
    <xf numFmtId="0" fontId="4" fillId="0" borderId="0" xfId="0" applyFont="1" applyAlignment="1">
      <alignment horizontal="center" vertical="bottom"/>
      <protection locked="0"/>
    </xf>
    <xf numFmtId="0" fontId="9" fillId="2" borderId="0" xfId="0" applyFont="1" applyFill="1" applyAlignment="1">
      <alignment horizontal="center" vertical="center"/>
      <protection locked="0"/>
    </xf>
    <xf numFmtId="0" fontId="9" fillId="3" borderId="0" xfId="0" applyFont="1" applyFill="1" applyAlignment="1">
      <alignment horizontal="center" vertical="center"/>
      <protection locked="0"/>
    </xf>
    <xf numFmtId="44" fontId="10" fillId="0" borderId="30" xfId="0" applyNumberFormat="1" applyFont="1" applyBorder="1" applyAlignment="1">
      <alignment horizontal="center" vertical="center"/>
      <protection/>
    </xf>
    <xf numFmtId="0" fontId="8" fillId="3" borderId="0" xfId="0" applyFont="1" applyFill="1" applyAlignment="1">
      <alignment horizontal="center" vertical="center"/>
      <protection locked="0"/>
    </xf>
    <xf numFmtId="0" fontId="3" fillId="0" borderId="8" xfId="0" applyFont="1" applyBorder="1" applyAlignment="1">
      <alignment horizontal="center" vertical="bottom"/>
      <protection locked="0"/>
    </xf>
    <xf numFmtId="0" fontId="3" fillId="0" borderId="6" xfId="0" applyFont="1" applyBorder="1" applyAlignment="1">
      <alignment horizontal="center" vertical="bottom"/>
      <protection locked="0"/>
    </xf>
    <xf numFmtId="0" fontId="7" fillId="0" borderId="8" xfId="0" applyFont="1" applyBorder="1" applyAlignment="1">
      <alignment horizontal="center" vertical="center"/>
      <protection/>
    </xf>
    <xf numFmtId="0" fontId="7" fillId="0" borderId="6" xfId="0" applyFont="1" applyBorder="1" applyAlignment="1">
      <alignment horizontal="center" vertical="center"/>
      <protection/>
    </xf>
    <xf numFmtId="0" fontId="7" fillId="0" borderId="5" xfId="0" applyFont="1" applyBorder="1" applyAlignment="1">
      <alignment horizontal="center" vertical="center"/>
      <protection/>
    </xf>
    <xf numFmtId="0" fontId="7" fillId="0" borderId="4" xfId="0" applyFont="1" applyBorder="1" applyAlignment="1">
      <alignment horizontal="center" vertical="center"/>
      <protection/>
    </xf>
    <xf numFmtId="0" fontId="7" fillId="0" borderId="3" xfId="0" applyFont="1" applyBorder="1" applyAlignment="1">
      <alignment horizontal="center" vertical="center"/>
      <protection/>
    </xf>
    <xf numFmtId="44" fontId="7" fillId="0" borderId="1" xfId="0" applyNumberFormat="1" applyFont="1" applyBorder="1" applyAlignment="1">
      <alignment horizontal="center" vertical="center"/>
      <protection/>
    </xf>
    <xf numFmtId="0" fontId="1" fillId="0" borderId="31" xfId="0" applyFont="1" applyBorder="1" applyAlignment="1">
      <alignment horizontal="center" vertical="bottom"/>
      <protection locked="0"/>
    </xf>
    <xf numFmtId="0" fontId="0" fillId="0" borderId="29" xfId="0" applyBorder="1" applyAlignment="1">
      <alignment horizontal="center" vertical="bottom"/>
      <protection locked="0"/>
    </xf>
    <xf numFmtId="49" fontId="0" fillId="0" borderId="0" xfId="0" applyNumberFormat="1" applyAlignment="1">
      <alignment horizontal="right" vertical="center"/>
      <protection locked="0"/>
    </xf>
    <xf numFmtId="49" fontId="5" fillId="0" borderId="0" xfId="0" applyNumberFormat="1" applyFont="1" applyAlignment="1">
      <alignment horizontal="right" vertical="center"/>
      <protection locked="0"/>
    </xf>
    <xf numFmtId="0" fontId="6" fillId="0" borderId="0" xfId="0" applyFont="1" applyAlignment="1">
      <alignment horizontal="center" vertical="center"/>
      <protection locked="0"/>
    </xf>
    <xf numFmtId="44" fontId="6" fillId="0" borderId="0" xfId="0" applyNumberFormat="1" applyFont="1" applyAlignment="1">
      <alignment horizontal="center" vertical="center"/>
      <protection locked="0"/>
    </xf>
    <xf numFmtId="0" fontId="14" fillId="6" borderId="0" xfId="0" applyFont="1" applyFill="1" applyAlignment="1">
      <alignment horizontal="center" vertical="center"/>
      <protection/>
    </xf>
    <xf numFmtId="44" fontId="6" fillId="0" borderId="41" xfId="0" applyNumberFormat="1" applyFont="1" applyBorder="1" applyAlignment="1">
      <alignment horizontal="center" vertical="center"/>
      <protection/>
    </xf>
    <xf numFmtId="44" fontId="6" fillId="0" borderId="40" xfId="0" applyNumberFormat="1" applyFont="1" applyBorder="1" applyAlignment="1">
      <alignment horizontal="center" vertical="center"/>
      <protection/>
    </xf>
    <xf numFmtId="44" fontId="6" fillId="0" borderId="39" xfId="0" applyNumberFormat="1" applyFont="1" applyBorder="1" applyAlignment="1">
      <alignment horizontal="center" vertical="center"/>
      <protection/>
    </xf>
    <xf numFmtId="44" fontId="6" fillId="0" borderId="38" xfId="0" applyNumberFormat="1" applyFont="1" applyBorder="1" applyAlignment="1">
      <alignment horizontal="center" vertical="center"/>
      <protection/>
    </xf>
    <xf numFmtId="0" fontId="15" fillId="4" borderId="0" xfId="0" applyFont="1" applyFill="1" applyAlignment="1">
      <alignment horizontal="center" vertical="center"/>
      <protection/>
    </xf>
    <xf numFmtId="0" fontId="5" fillId="0" borderId="8" xfId="0" applyFont="1" applyBorder="1" applyAlignment="1">
      <alignment horizontal="center" vertical="center"/>
      <protection/>
    </xf>
    <xf numFmtId="0" fontId="5" fillId="0" borderId="6" xfId="0" applyFont="1" applyBorder="1" applyAlignment="1">
      <alignment horizontal="center" vertical="center"/>
      <protection/>
    </xf>
    <xf numFmtId="0" fontId="5" fillId="0" borderId="3" xfId="0" applyFont="1" applyBorder="1" applyAlignment="1">
      <alignment horizontal="center" vertical="center"/>
      <protection/>
    </xf>
    <xf numFmtId="0" fontId="5" fillId="0" borderId="1" xfId="0" applyFont="1" applyBorder="1" applyAlignment="1">
      <alignment horizontal="center" vertical="center" wrapText="1"/>
      <protection/>
    </xf>
    <xf numFmtId="0" fontId="4" fillId="0" borderId="0" xfId="0" applyFont="1" applyAlignment="1">
      <alignment horizontal="center" vertical="center"/>
      <protection locked="0"/>
    </xf>
    <xf numFmtId="0" fontId="12" fillId="4" borderId="0" xfId="0" applyFont="1" applyFill="1" applyAlignment="1">
      <alignment horizontal="center" vertical="center"/>
      <protection/>
    </xf>
    <xf numFmtId="44" fontId="0" fillId="0" borderId="37" xfId="0" applyNumberFormat="1" applyBorder="1" applyAlignment="1">
      <alignment horizontal="center" vertical="center"/>
      <protection/>
    </xf>
    <xf numFmtId="44" fontId="0" fillId="0" borderId="36" xfId="0" applyNumberFormat="1" applyBorder="1" applyAlignment="1">
      <alignment horizontal="center" vertical="center"/>
      <protection/>
    </xf>
    <xf numFmtId="44" fontId="0" fillId="0" borderId="35" xfId="0" applyNumberFormat="1" applyBorder="1" applyAlignment="1">
      <alignment horizontal="center" vertical="center"/>
      <protection/>
    </xf>
    <xf numFmtId="44" fontId="0" fillId="0" borderId="34" xfId="0" applyNumberFormat="1" applyBorder="1" applyAlignment="1">
      <alignment horizontal="center" vertical="center"/>
      <protection/>
    </xf>
    <xf numFmtId="0" fontId="13" fillId="5" borderId="27" xfId="0" applyFont="1" applyFill="1" applyBorder="1" applyAlignment="1">
      <alignment horizontal="center" vertical="center"/>
      <protection/>
    </xf>
    <xf numFmtId="0" fontId="13" fillId="5" borderId="0" xfId="0" applyFont="1" applyFill="1" applyAlignment="1">
      <alignment horizontal="center" vertical="center"/>
      <protection/>
    </xf>
    <xf numFmtId="44" fontId="16" fillId="0" borderId="0" xfId="0" applyNumberFormat="1" applyFont="1" applyAlignment="1">
      <alignment horizontal="center" vertical="bottom" wrapText="1"/>
      <protection locked="0"/>
    </xf>
  </cellXfs>
  <cellStyles count="1">
    <cellStyle name="Normal" xfId="0" builtinId="0"/>
  </cellStyles>
  <dxfs count="323">
    <dxf>
      <numFmt formatCode="General" numFmtId="0"/>
    </dxf>
    <dxf>
      <border>
        <left/>
        <right style="thin">
          <color rgb="FF993300"/>
        </right>
        <top/>
        <bottom/>
        <vertical/>
        <horizontal/>
      </border>
    </dxf>
    <dxf/>
    <dxf/>
    <dxf/>
    <dxf/>
    <dxf>
      <numFmt formatCode="dd/mm/yyyy" numFmtId="19"/>
      <border>
        <left style="thin">
          <color rgb="FF993300"/>
        </left>
        <right/>
        <top/>
        <bottom/>
        <vertical/>
        <horizontal/>
      </border>
    </dxf>
    <dxf/>
    <dxf>
      <border>
        <left/>
        <right/>
        <top/>
        <bottom style="thin">
          <color rgb="FFFFFFFF"/>
        </bottom>
        <vertical/>
        <horizontal/>
      </border>
    </dxf>
    <dxf>
      <border>
        <left style="thin">
          <color rgb="FFFFFFFF"/>
        </left>
        <right style="thin">
          <color rgb="FFFFFFFF"/>
        </right>
        <top/>
        <bottom/>
        <vertical/>
        <horizontal/>
      </border>
    </dxf>
    <dxf>
      <numFmt formatCode="General" numFmtId="0"/>
    </dxf>
    <dxf/>
    <dxf>
      <border>
        <left/>
        <right style="thin">
          <color rgb="FF008000"/>
        </right>
        <top/>
        <bottom/>
        <vertical/>
        <horizontal/>
      </border>
    </dxf>
    <dxf/>
    <dxf>
      <numFmt formatCode="@" numFmtId="30"/>
    </dxf>
    <dxf/>
    <dxf>
      <font>
        <b val="0"/>
        <i val="0"/>
        <sz val="11"/>
        <color rgb="FF000000"/>
        <name val="Calibri"/>
      </font>
    </dxf>
    <dxf/>
    <dxf/>
    <dxf/>
    <dxf>
      <border>
        <left style="thin">
          <color rgb="FF008000"/>
        </left>
        <right/>
        <top/>
        <bottom/>
        <vertical/>
        <horizontal/>
      </border>
    </dxf>
    <dxf/>
    <dxf/>
    <dxf>
      <numFmt formatCode="General" numFmtId="0"/>
    </dxf>
    <dxf>
      <border>
        <left/>
        <right style="thin">
          <color rgb="FF993300"/>
        </right>
        <top/>
        <bottom/>
        <vertical/>
        <horizontal/>
      </border>
    </dxf>
    <dxf/>
    <dxf/>
    <dxf/>
    <dxf/>
    <dxf>
      <numFmt formatCode="dd/mm/yyyy" numFmtId="19"/>
      <border>
        <left style="thin">
          <color rgb="FF993300"/>
        </left>
        <right/>
        <top/>
        <bottom/>
        <vertical/>
        <horizontal/>
      </border>
    </dxf>
    <dxf/>
    <dxf>
      <border>
        <left/>
        <right/>
        <top/>
        <bottom style="thin">
          <color rgb="FFFFFFFF"/>
        </bottom>
        <vertical/>
        <horizontal/>
      </border>
    </dxf>
    <dxf>
      <border>
        <left style="thin">
          <color rgb="FFFFFFFF"/>
        </left>
        <right style="thin">
          <color rgb="FFFFFFFF"/>
        </right>
        <top/>
        <bottom/>
        <vertical/>
        <horizontal/>
      </border>
    </dxf>
    <dxf>
      <numFmt formatCode="General" numFmtId="0"/>
    </dxf>
    <dxf/>
    <dxf>
      <border>
        <left/>
        <right style="thin">
          <color rgb="FF008000"/>
        </right>
        <top/>
        <bottom/>
        <vertical/>
        <horizontal/>
      </border>
    </dxf>
    <dxf/>
    <dxf>
      <numFmt formatCode="@" numFmtId="30"/>
    </dxf>
    <dxf/>
    <dxf>
      <font>
        <b val="0"/>
        <i val="0"/>
        <sz val="11"/>
        <color rgb="FF000000"/>
        <name val="Calibri"/>
      </font>
    </dxf>
    <dxf/>
    <dxf/>
    <dxf/>
    <dxf>
      <border>
        <left style="thin">
          <color rgb="FF008000"/>
        </left>
        <right/>
        <top/>
        <bottom/>
        <vertical/>
        <horizontal/>
      </border>
    </dxf>
    <dxf/>
    <dxf/>
    <dxf>
      <numFmt formatCode="General" numFmtId="0"/>
    </dxf>
    <dxf>
      <border>
        <left/>
        <right style="thin">
          <color rgb="FF993300"/>
        </right>
        <top/>
        <bottom/>
        <vertical/>
        <horizontal/>
      </border>
    </dxf>
    <dxf/>
    <dxf/>
    <dxf/>
    <dxf/>
    <dxf>
      <numFmt formatCode="dd/mm/yyyy" numFmtId="19"/>
      <border>
        <left style="thin">
          <color rgb="FF993300"/>
        </left>
        <right/>
        <top/>
        <bottom/>
        <vertical/>
        <horizontal/>
      </border>
    </dxf>
    <dxf/>
    <dxf>
      <border>
        <left/>
        <right/>
        <top/>
        <bottom style="thin">
          <color rgb="FFFFFFFF"/>
        </bottom>
        <vertical/>
        <horizontal/>
      </border>
    </dxf>
    <dxf>
      <border>
        <left style="thin">
          <color rgb="FFFFFFFF"/>
        </left>
        <right style="thin">
          <color rgb="FFFFFFFF"/>
        </right>
        <top/>
        <bottom/>
        <vertical/>
        <horizontal/>
      </border>
    </dxf>
    <dxf>
      <numFmt formatCode="General" numFmtId="0"/>
    </dxf>
    <dxf/>
    <dxf>
      <border>
        <left/>
        <right style="thin">
          <color rgb="FF008000"/>
        </right>
        <top/>
        <bottom/>
        <vertical/>
        <horizontal/>
      </border>
    </dxf>
    <dxf/>
    <dxf>
      <numFmt formatCode="@" numFmtId="30"/>
    </dxf>
    <dxf/>
    <dxf>
      <font>
        <b val="0"/>
        <i val="0"/>
        <sz val="11"/>
        <color rgb="FF000000"/>
        <name val="Calibri"/>
      </font>
    </dxf>
    <dxf/>
    <dxf/>
    <dxf/>
    <dxf>
      <border>
        <left style="thin">
          <color rgb="FF008000"/>
        </left>
        <right/>
        <top/>
        <bottom/>
        <vertical/>
        <horizontal/>
      </border>
    </dxf>
    <dxf/>
    <dxf/>
    <dxf>
      <numFmt formatCode="General" numFmtId="0"/>
    </dxf>
    <dxf>
      <border>
        <left/>
        <right style="thin">
          <color rgb="FF993300"/>
        </right>
        <top/>
        <bottom/>
        <vertical/>
        <horizontal/>
      </border>
    </dxf>
    <dxf/>
    <dxf/>
    <dxf/>
    <dxf/>
    <dxf>
      <numFmt formatCode="dd/mm/yyyy" numFmtId="19"/>
      <border>
        <left style="thin">
          <color rgb="FF993300"/>
        </left>
        <right/>
        <top/>
        <bottom/>
        <vertical/>
        <horizontal/>
      </border>
    </dxf>
    <dxf/>
    <dxf>
      <border>
        <left/>
        <right/>
        <top/>
        <bottom style="thin">
          <color rgb="FFFFFFFF"/>
        </bottom>
        <vertical/>
        <horizontal/>
      </border>
    </dxf>
    <dxf>
      <border>
        <left style="thin">
          <color rgb="FFFFFFFF"/>
        </left>
        <right style="thin">
          <color rgb="FFFFFFFF"/>
        </right>
        <top/>
        <bottom/>
        <vertical/>
        <horizontal/>
      </border>
    </dxf>
    <dxf>
      <numFmt formatCode="General" numFmtId="0"/>
    </dxf>
    <dxf/>
    <dxf>
      <border>
        <left/>
        <right style="thin">
          <color rgb="FF008000"/>
        </right>
        <top/>
        <bottom/>
        <vertical/>
        <horizontal/>
      </border>
    </dxf>
    <dxf/>
    <dxf>
      <numFmt formatCode="@" numFmtId="30"/>
    </dxf>
    <dxf/>
    <dxf>
      <font>
        <b val="0"/>
        <i val="0"/>
        <sz val="11"/>
        <color rgb="FF000000"/>
        <name val="Calibri"/>
      </font>
    </dxf>
    <dxf/>
    <dxf/>
    <dxf/>
    <dxf>
      <border>
        <left style="thin">
          <color rgb="FF008000"/>
        </left>
        <right/>
        <top/>
        <bottom/>
        <vertical/>
        <horizontal/>
      </border>
    </dxf>
    <dxf/>
    <dxf/>
    <dxf>
      <numFmt formatCode="General" numFmtId="0"/>
    </dxf>
    <dxf>
      <border>
        <left/>
        <right style="thin">
          <color rgb="FF993300"/>
        </right>
        <top/>
        <bottom/>
        <vertical/>
        <horizontal/>
      </border>
    </dxf>
    <dxf/>
    <dxf/>
    <dxf/>
    <dxf/>
    <dxf>
      <numFmt formatCode="dd/mm/yyyy" numFmtId="19"/>
      <border>
        <left style="thin">
          <color rgb="FF993300"/>
        </left>
        <right/>
        <top/>
        <bottom/>
        <vertical/>
        <horizontal/>
      </border>
    </dxf>
    <dxf/>
    <dxf>
      <border>
        <left/>
        <right/>
        <top/>
        <bottom style="thin">
          <color rgb="FFFFFFFF"/>
        </bottom>
        <vertical/>
        <horizontal/>
      </border>
    </dxf>
    <dxf>
      <border>
        <left style="thin">
          <color rgb="FFFFFFFF"/>
        </left>
        <right style="thin">
          <color rgb="FFFFFFFF"/>
        </right>
        <top/>
        <bottom/>
        <vertical/>
        <horizontal/>
      </border>
    </dxf>
    <dxf>
      <numFmt formatCode="General" numFmtId="0"/>
    </dxf>
    <dxf/>
    <dxf>
      <border>
        <left/>
        <right style="thin">
          <color rgb="FF008000"/>
        </right>
        <top/>
        <bottom/>
        <vertical/>
        <horizontal/>
      </border>
    </dxf>
    <dxf/>
    <dxf>
      <numFmt formatCode="@" numFmtId="30"/>
    </dxf>
    <dxf/>
    <dxf>
      <font>
        <b val="0"/>
        <i val="0"/>
        <sz val="11"/>
        <color rgb="FF000000"/>
        <name val="Calibri"/>
      </font>
    </dxf>
    <dxf/>
    <dxf/>
    <dxf/>
    <dxf>
      <border>
        <left style="thin">
          <color rgb="FF008000"/>
        </left>
        <right/>
        <top/>
        <bottom/>
        <vertical/>
        <horizontal/>
      </border>
    </dxf>
    <dxf/>
    <dxf/>
    <dxf>
      <numFmt formatCode="General" numFmtId="0"/>
    </dxf>
    <dxf>
      <border>
        <left/>
        <right style="thin">
          <color rgb="FF993300"/>
        </right>
        <top/>
        <bottom/>
        <vertical/>
        <horizontal/>
      </border>
    </dxf>
    <dxf/>
    <dxf/>
    <dxf/>
    <dxf/>
    <dxf>
      <numFmt formatCode="dd/mm/yyyy" numFmtId="19"/>
      <border>
        <left style="thin">
          <color rgb="FF993300"/>
        </left>
        <right/>
        <top/>
        <bottom/>
        <vertical/>
        <horizontal/>
      </border>
    </dxf>
    <dxf/>
    <dxf>
      <border>
        <left/>
        <right/>
        <top/>
        <bottom style="thin">
          <color rgb="FFFFFFFF"/>
        </bottom>
        <vertical/>
        <horizontal/>
      </border>
    </dxf>
    <dxf>
      <border>
        <left style="thin">
          <color rgb="FFFFFFFF"/>
        </left>
        <right style="thin">
          <color rgb="FFFFFFFF"/>
        </right>
        <top/>
        <bottom/>
        <vertical/>
        <horizontal/>
      </border>
    </dxf>
    <dxf>
      <numFmt formatCode="General" numFmtId="0"/>
    </dxf>
    <dxf/>
    <dxf>
      <border>
        <left/>
        <right style="thin">
          <color rgb="FF008000"/>
        </right>
        <top/>
        <bottom/>
        <vertical/>
        <horizontal/>
      </border>
    </dxf>
    <dxf/>
    <dxf>
      <numFmt formatCode="@" numFmtId="30"/>
    </dxf>
    <dxf/>
    <dxf>
      <font>
        <b val="0"/>
        <i val="0"/>
        <sz val="11"/>
        <color rgb="FF000000"/>
        <name val="Calibri"/>
      </font>
    </dxf>
    <dxf/>
    <dxf/>
    <dxf/>
    <dxf>
      <border>
        <left style="thin">
          <color rgb="FF008000"/>
        </left>
        <right/>
        <top/>
        <bottom/>
        <vertical/>
        <horizontal/>
      </border>
    </dxf>
    <dxf/>
    <dxf/>
    <dxf>
      <numFmt formatCode="General" numFmtId="0"/>
    </dxf>
    <dxf>
      <border>
        <left/>
        <right style="thin">
          <color rgb="FF993300"/>
        </right>
        <top/>
        <bottom/>
        <vertical/>
        <horizontal/>
      </border>
    </dxf>
    <dxf/>
    <dxf/>
    <dxf/>
    <dxf/>
    <dxf>
      <numFmt formatCode="dd/mm/yyyy" numFmtId="19"/>
      <border>
        <left style="thin">
          <color rgb="FF993300"/>
        </left>
        <right/>
        <top/>
        <bottom/>
        <vertical/>
        <horizontal/>
      </border>
    </dxf>
    <dxf/>
    <dxf>
      <border>
        <left/>
        <right/>
        <top/>
        <bottom style="thin">
          <color rgb="FFFFFFFF"/>
        </bottom>
        <vertical/>
        <horizontal/>
      </border>
    </dxf>
    <dxf>
      <border>
        <left style="thin">
          <color rgb="FFFFFFFF"/>
        </left>
        <right style="thin">
          <color rgb="FFFFFFFF"/>
        </right>
        <top/>
        <bottom/>
        <vertical/>
        <horizontal/>
      </border>
    </dxf>
    <dxf>
      <numFmt formatCode="General" numFmtId="0"/>
    </dxf>
    <dxf/>
    <dxf>
      <border>
        <left/>
        <right style="thin">
          <color rgb="FF008000"/>
        </right>
        <top/>
        <bottom/>
        <vertical/>
        <horizontal/>
      </border>
    </dxf>
    <dxf/>
    <dxf>
      <numFmt formatCode="@" numFmtId="30"/>
    </dxf>
    <dxf/>
    <dxf>
      <font>
        <b val="0"/>
        <i val="0"/>
        <sz val="11"/>
        <color rgb="FF000000"/>
        <name val="Calibri"/>
      </font>
    </dxf>
    <dxf/>
    <dxf/>
    <dxf/>
    <dxf>
      <border>
        <left style="thin">
          <color rgb="FF008000"/>
        </left>
        <right/>
        <top/>
        <bottom/>
        <vertical/>
        <horizontal/>
      </border>
    </dxf>
    <dxf/>
    <dxf/>
    <dxf>
      <numFmt formatCode="General" numFmtId="0"/>
    </dxf>
    <dxf>
      <border>
        <left/>
        <right style="thin">
          <color rgb="FF993300"/>
        </right>
        <top/>
        <bottom/>
        <vertical/>
        <horizontal/>
      </border>
    </dxf>
    <dxf/>
    <dxf/>
    <dxf/>
    <dxf/>
    <dxf>
      <numFmt formatCode="dd/mm/yyyy" numFmtId="19"/>
      <border>
        <left style="thin">
          <color rgb="FF993300"/>
        </left>
        <right/>
        <top/>
        <bottom/>
        <vertical/>
        <horizontal/>
      </border>
    </dxf>
    <dxf/>
    <dxf>
      <border>
        <left/>
        <right/>
        <top/>
        <bottom style="thin">
          <color rgb="FFFFFFFF"/>
        </bottom>
        <vertical/>
        <horizontal/>
      </border>
    </dxf>
    <dxf>
      <border>
        <left style="thin">
          <color rgb="FFFFFFFF"/>
        </left>
        <right style="thin">
          <color rgb="FFFFFFFF"/>
        </right>
        <top/>
        <bottom/>
        <vertical/>
        <horizontal/>
      </border>
    </dxf>
    <dxf>
      <numFmt formatCode="General" numFmtId="0"/>
    </dxf>
    <dxf/>
    <dxf>
      <border>
        <left/>
        <right style="thin">
          <color rgb="FF008000"/>
        </right>
        <top/>
        <bottom/>
        <vertical/>
        <horizontal/>
      </border>
    </dxf>
    <dxf/>
    <dxf>
      <numFmt formatCode="@" numFmtId="30"/>
    </dxf>
    <dxf/>
    <dxf>
      <font>
        <b val="0"/>
        <i val="0"/>
        <sz val="11"/>
        <color rgb="FF000000"/>
        <name val="Calibri"/>
      </font>
    </dxf>
    <dxf/>
    <dxf/>
    <dxf/>
    <dxf>
      <border>
        <left style="thin">
          <color rgb="FF008000"/>
        </left>
        <right/>
        <top/>
        <bottom/>
        <vertical/>
        <horizontal/>
      </border>
    </dxf>
    <dxf/>
    <dxf/>
    <dxf>
      <numFmt formatCode="General" numFmtId="0"/>
    </dxf>
    <dxf>
      <border>
        <left/>
        <right style="thin">
          <color rgb="FF993300"/>
        </right>
        <top/>
        <bottom/>
        <vertical/>
        <horizontal/>
      </border>
    </dxf>
    <dxf/>
    <dxf/>
    <dxf/>
    <dxf/>
    <dxf>
      <numFmt formatCode="dd/mm/yyyy" numFmtId="19"/>
      <border>
        <left style="thin">
          <color rgb="FF993300"/>
        </left>
        <right/>
        <top/>
        <bottom/>
        <vertical/>
        <horizontal/>
      </border>
    </dxf>
    <dxf/>
    <dxf>
      <border>
        <left/>
        <right/>
        <top/>
        <bottom style="thin">
          <color rgb="FFFFFFFF"/>
        </bottom>
        <vertical/>
        <horizontal/>
      </border>
    </dxf>
    <dxf>
      <border>
        <left style="thin">
          <color rgb="FFFFFFFF"/>
        </left>
        <right style="thin">
          <color rgb="FFFFFFFF"/>
        </right>
        <top/>
        <bottom/>
        <vertical/>
        <horizontal/>
      </border>
    </dxf>
    <dxf>
      <numFmt formatCode="General" numFmtId="0"/>
    </dxf>
    <dxf/>
    <dxf>
      <border>
        <left/>
        <right style="thin">
          <color rgb="FF008000"/>
        </right>
        <top/>
        <bottom/>
        <vertical/>
        <horizontal/>
      </border>
    </dxf>
    <dxf/>
    <dxf>
      <numFmt formatCode="@" numFmtId="30"/>
    </dxf>
    <dxf/>
    <dxf>
      <font>
        <b val="0"/>
        <i val="0"/>
        <sz val="11"/>
        <color rgb="FF000000"/>
        <name val="Calibri"/>
      </font>
    </dxf>
    <dxf/>
    <dxf/>
    <dxf/>
    <dxf>
      <border>
        <left style="thin">
          <color rgb="FF008000"/>
        </left>
        <right/>
        <top/>
        <bottom/>
        <vertical/>
        <horizontal/>
      </border>
    </dxf>
    <dxf/>
    <dxf/>
    <dxf>
      <numFmt formatCode="General" numFmtId="0"/>
    </dxf>
    <dxf>
      <border>
        <left/>
        <right style="thin">
          <color rgb="FF993300"/>
        </right>
        <top/>
        <bottom/>
        <vertical/>
        <horizontal/>
      </border>
    </dxf>
    <dxf/>
    <dxf/>
    <dxf/>
    <dxf/>
    <dxf>
      <numFmt formatCode="dd/mm/yyyy" numFmtId="19"/>
      <border>
        <left style="thin">
          <color rgb="FF993300"/>
        </left>
        <right/>
        <top/>
        <bottom/>
        <vertical/>
        <horizontal/>
      </border>
    </dxf>
    <dxf/>
    <dxf>
      <border>
        <left/>
        <right/>
        <top/>
        <bottom style="thin">
          <color rgb="FFFFFFFF"/>
        </bottom>
        <vertical/>
        <horizontal/>
      </border>
    </dxf>
    <dxf>
      <border>
        <left style="thin">
          <color rgb="FFFFFFFF"/>
        </left>
        <right style="thin">
          <color rgb="FFFFFFFF"/>
        </right>
        <top/>
        <bottom/>
        <vertical/>
        <horizontal/>
      </border>
    </dxf>
    <dxf>
      <numFmt formatCode="General" numFmtId="0"/>
    </dxf>
    <dxf/>
    <dxf>
      <border>
        <left/>
        <right style="thin">
          <color rgb="FF008000"/>
        </right>
        <top/>
        <bottom/>
        <vertical/>
        <horizontal/>
      </border>
    </dxf>
    <dxf/>
    <dxf>
      <numFmt formatCode="@" numFmtId="30"/>
    </dxf>
    <dxf/>
    <dxf>
      <font>
        <b val="0"/>
        <i val="0"/>
        <sz val="11"/>
        <color rgb="FF000000"/>
        <name val="Calibri"/>
      </font>
    </dxf>
    <dxf/>
    <dxf/>
    <dxf/>
    <dxf>
      <border>
        <left style="thin">
          <color rgb="FF008000"/>
        </left>
        <right/>
        <top/>
        <bottom/>
        <vertical/>
        <horizontal/>
      </border>
    </dxf>
    <dxf/>
    <dxf/>
    <dxf>
      <numFmt formatCode="General" numFmtId="0"/>
    </dxf>
    <dxf>
      <border>
        <left/>
        <right style="thin">
          <color rgb="FF993300"/>
        </right>
        <top/>
        <bottom/>
        <vertical/>
        <horizontal/>
      </border>
    </dxf>
    <dxf/>
    <dxf/>
    <dxf/>
    <dxf/>
    <dxf>
      <numFmt formatCode="dd/mm/yyyy" numFmtId="19"/>
      <border>
        <left style="thin">
          <color rgb="FF993300"/>
        </left>
        <right/>
        <top/>
        <bottom/>
        <vertical/>
        <horizontal/>
      </border>
    </dxf>
    <dxf/>
    <dxf>
      <border>
        <left/>
        <right/>
        <top/>
        <bottom style="thin">
          <color rgb="FFFFFFFF"/>
        </bottom>
        <vertical/>
        <horizontal/>
      </border>
    </dxf>
    <dxf>
      <border>
        <left style="thin">
          <color rgb="FFFFFFFF"/>
        </left>
        <right style="thin">
          <color rgb="FFFFFFFF"/>
        </right>
        <top/>
        <bottom/>
        <vertical/>
        <horizontal/>
      </border>
    </dxf>
    <dxf>
      <numFmt formatCode="General" numFmtId="0"/>
    </dxf>
    <dxf/>
    <dxf>
      <border>
        <left/>
        <right style="thin">
          <color rgb="FF008000"/>
        </right>
        <top/>
        <bottom/>
        <vertical/>
        <horizontal/>
      </border>
    </dxf>
    <dxf/>
    <dxf>
      <numFmt formatCode="@" numFmtId="30"/>
    </dxf>
    <dxf/>
    <dxf>
      <font>
        <b val="0"/>
        <i val="0"/>
        <sz val="11"/>
        <color rgb="FF000000"/>
        <name val="Calibri"/>
      </font>
    </dxf>
    <dxf/>
    <dxf/>
    <dxf/>
    <dxf>
      <border>
        <left style="thin">
          <color rgb="FF008000"/>
        </left>
        <right/>
        <top/>
        <bottom/>
        <vertical/>
        <horizontal/>
      </border>
    </dxf>
    <dxf/>
    <dxf/>
    <dxf>
      <numFmt formatCode="General" numFmtId="0"/>
    </dxf>
    <dxf>
      <border>
        <left/>
        <right style="thin">
          <color rgb="FF993300"/>
        </right>
        <top/>
        <bottom/>
        <vertical/>
        <horizontal/>
      </border>
    </dxf>
    <dxf/>
    <dxf/>
    <dxf/>
    <dxf/>
    <dxf>
      <numFmt formatCode="dd/mm/yyyy" numFmtId="19"/>
      <border>
        <left style="thin">
          <color rgb="FF993300"/>
        </left>
        <right/>
        <top/>
        <bottom/>
        <vertical/>
        <horizontal/>
      </border>
    </dxf>
    <dxf/>
    <dxf>
      <border>
        <left/>
        <right/>
        <top/>
        <bottom style="thin">
          <color rgb="FFFFFFFF"/>
        </bottom>
        <vertical/>
        <horizontal/>
      </border>
    </dxf>
    <dxf>
      <border>
        <left style="thin">
          <color rgb="FFFFFFFF"/>
        </left>
        <right style="thin">
          <color rgb="FFFFFFFF"/>
        </right>
        <top/>
        <bottom/>
        <vertical/>
        <horizontal/>
      </border>
    </dxf>
    <dxf>
      <numFmt formatCode="General" numFmtId="0"/>
    </dxf>
    <dxf/>
    <dxf>
      <border>
        <left/>
        <right style="thin">
          <color rgb="FF008000"/>
        </right>
        <top/>
        <bottom/>
        <vertical/>
        <horizontal/>
      </border>
    </dxf>
    <dxf/>
    <dxf>
      <numFmt formatCode="@" numFmtId="30"/>
    </dxf>
    <dxf/>
    <dxf>
      <font>
        <b val="0"/>
        <i val="0"/>
        <sz val="11"/>
        <color rgb="FF000000"/>
        <name val="Calibri"/>
      </font>
    </dxf>
    <dxf/>
    <dxf/>
    <dxf/>
    <dxf>
      <border>
        <left style="thin">
          <color rgb="FF008000"/>
        </left>
        <right/>
        <top/>
        <bottom/>
        <vertical/>
        <horizontal/>
      </border>
    </dxf>
    <dxf/>
    <dxf/>
    <dxf>
      <numFmt formatCode="General" numFmtId="0"/>
    </dxf>
    <dxf>
      <border>
        <left/>
        <right style="thin">
          <color rgb="FF993300"/>
        </right>
        <top/>
        <bottom/>
        <vertical/>
        <horizontal/>
      </border>
    </dxf>
    <dxf/>
    <dxf/>
    <dxf/>
    <dxf/>
    <dxf>
      <numFmt formatCode="dd/mm/yyyy" numFmtId="19"/>
      <border>
        <left style="thin">
          <color rgb="FF993300"/>
        </left>
        <right/>
        <top/>
        <bottom/>
        <vertical/>
        <horizontal/>
      </border>
    </dxf>
    <dxf/>
    <dxf>
      <border>
        <left/>
        <right/>
        <top/>
        <bottom style="thin">
          <color rgb="FFFFFFFF"/>
        </bottom>
        <vertical/>
        <horizontal/>
      </border>
    </dxf>
    <dxf>
      <border>
        <left style="thin">
          <color rgb="FFFFFFFF"/>
        </left>
        <right style="thin">
          <color rgb="FFFFFFFF"/>
        </right>
        <top/>
        <bottom/>
        <vertical/>
        <horizontal/>
      </border>
    </dxf>
    <dxf>
      <numFmt formatCode="General" numFmtId="0"/>
    </dxf>
    <dxf/>
    <dxf>
      <border>
        <left/>
        <right style="thin">
          <color rgb="FF008000"/>
        </right>
        <top/>
        <bottom/>
        <vertical/>
        <horizontal/>
      </border>
    </dxf>
    <dxf/>
    <dxf>
      <numFmt formatCode="@" numFmtId="30"/>
    </dxf>
    <dxf/>
    <dxf>
      <font>
        <b val="0"/>
        <i val="0"/>
        <sz val="11"/>
        <color rgb="FF000000"/>
        <name val="Calibri"/>
      </font>
    </dxf>
    <dxf/>
    <dxf/>
    <dxf/>
    <dxf>
      <border>
        <left style="thin">
          <color rgb="FF008000"/>
        </left>
        <right/>
        <top/>
        <bottom/>
        <vertical/>
        <horizontal/>
      </border>
    </dxf>
    <dxf/>
    <dxf/>
    <dxf>
      <numFmt formatCode="General" numFmtId="0"/>
    </dxf>
    <dxf>
      <border>
        <left/>
        <right style="thin">
          <color rgb="FF993300"/>
        </right>
        <top/>
        <bottom/>
        <vertical/>
        <horizontal/>
      </border>
    </dxf>
    <dxf/>
    <dxf/>
    <dxf/>
    <dxf/>
    <dxf>
      <numFmt formatCode="dd/mm/yyyy" numFmtId="19"/>
      <border>
        <left style="thin">
          <color rgb="FF993300"/>
        </left>
        <right/>
        <top/>
        <bottom/>
        <vertical/>
        <horizontal/>
      </border>
    </dxf>
    <dxf/>
    <dxf>
      <border>
        <left/>
        <right/>
        <top/>
        <bottom style="thin">
          <color rgb="FFFFFFFF"/>
        </bottom>
        <vertical/>
        <horizontal/>
      </border>
    </dxf>
    <dxf>
      <border>
        <left style="thin">
          <color rgb="FFFFFFFF"/>
        </left>
        <right style="thin">
          <color rgb="FFFFFFFF"/>
        </right>
        <top/>
        <bottom/>
        <vertical/>
        <horizontal/>
      </border>
    </dxf>
    <dxf>
      <numFmt formatCode="General" numFmtId="0"/>
    </dxf>
    <dxf/>
    <dxf>
      <border>
        <left/>
        <right style="thin">
          <color rgb="FF008000"/>
        </right>
        <top/>
        <bottom/>
        <vertical/>
        <horizontal/>
      </border>
    </dxf>
    <dxf/>
    <dxf>
      <numFmt formatCode="@" numFmtId="30"/>
    </dxf>
    <dxf/>
    <dxf>
      <font>
        <b val="0"/>
        <i val="0"/>
        <sz val="11"/>
        <color rgb="FF000000"/>
        <name val="Calibri"/>
      </font>
    </dxf>
    <dxf/>
    <dxf/>
    <dxf/>
    <dxf>
      <border>
        <left style="thin">
          <color rgb="FF008000"/>
        </left>
        <right/>
        <top/>
        <bottom/>
        <vertical/>
        <horizontal/>
      </border>
    </dxf>
    <dxf/>
    <dxf/>
    <dxf>
      <fill>
        <patternFill>
          <bgColor rgb="FFFF0000"/>
        </patternFill>
      </fill>
    </dxf>
  </dxfs>
</styleSheet>
</file>

<file path=xl/_rels/workbook.xml.rels><?xml version='1.0' encoding='UTF-8' standalone='yes' ?><Relationships xmlns="http://schemas.openxmlformats.org/package/2006/relationships"><Relationship Id="rId5" Type="http://schemas.openxmlformats.org/officeDocument/2006/relationships/worksheet" Target="worksheets/sheet5.xml" TargetMode="Internal" /><Relationship Id="rId12" Type="http://schemas.openxmlformats.org/officeDocument/2006/relationships/worksheet" Target="worksheets/sheet12.xml" TargetMode="Internal" /><Relationship Id="rId16" Type="http://schemas.openxmlformats.org/officeDocument/2006/relationships/styles" Target="styles.xml" TargetMode="Internal" /><Relationship Id="rId15" Type="http://schemas.openxmlformats.org/officeDocument/2006/relationships/worksheet" Target="worksheets/sheet15.xml" TargetMode="Internal" /><Relationship Id="rId11" Type="http://schemas.openxmlformats.org/officeDocument/2006/relationships/worksheet" Target="worksheets/sheet11.xml" TargetMode="Internal" /><Relationship Id="rId14" Type="http://schemas.openxmlformats.org/officeDocument/2006/relationships/worksheet" Target="worksheets/sheet14.xml" TargetMode="Internal" /><Relationship Id="rId7" Type="http://schemas.openxmlformats.org/officeDocument/2006/relationships/worksheet" Target="worksheets/sheet7.xml" TargetMode="Internal" /><Relationship Id="rId2" Type="http://schemas.openxmlformats.org/officeDocument/2006/relationships/worksheet" Target="worksheets/sheet2.xml" TargetMode="Internal" /><Relationship Id="rId10" Type="http://schemas.openxmlformats.org/officeDocument/2006/relationships/worksheet" Target="worksheets/sheet10.xml" TargetMode="Internal" /><Relationship Id="rId13" Type="http://schemas.openxmlformats.org/officeDocument/2006/relationships/worksheet" Target="worksheets/sheet13.xml" TargetMode="Internal" /><Relationship Id="rId8" Type="http://schemas.openxmlformats.org/officeDocument/2006/relationships/worksheet" Target="worksheets/sheet8.xml" TargetMode="Internal" /><Relationship Id="rId17" Type="http://schemas.openxmlformats.org/officeDocument/2006/relationships/sharedStrings" Target="sharedStrings.xml" TargetMode="Internal" /><Relationship Id="rId4" Type="http://schemas.openxmlformats.org/officeDocument/2006/relationships/worksheet" Target="worksheets/sheet4.xml" TargetMode="Internal" /><Relationship Id="rId9" Type="http://schemas.openxmlformats.org/officeDocument/2006/relationships/worksheet" Target="worksheets/sheet9.xml" TargetMode="Internal" /><Relationship Id="rId3" Type="http://schemas.openxmlformats.org/officeDocument/2006/relationships/worksheet" Target="worksheets/sheet3.xml" TargetMode="Internal" /><Relationship Id="rId6" Type="http://schemas.openxmlformats.org/officeDocument/2006/relationships/worksheet" Target="worksheets/sheet6.xml" TargetMode="Internal" /><Relationship Id="rId1" Type="http://schemas.openxmlformats.org/officeDocument/2006/relationships/worksheet" Target="worksheets/sheet1.xml" TargetMode="Internal" /></Relationships>
</file>

<file path=xl/charts/_rels/chart1.xml.rels><?xml version='1.0' encoding='UTF-8' standalone='yes' ?><Relationships xmlns="http://schemas.openxmlformats.org/package/2006/relationships"><Relationship Id="rId1" Type="http://schemas.openxmlformats.org/officeDocument/2006/relationships/chartUserShapes" Target="../drawings/drawing14.xml" TargetMode="Interna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_br-BR"/>
  <c:roundedCorners val="0"/>
  <c:chart>
    <c:title>
      <c:tx>
        <c:rich>
          <a:bodyPr rot="0" vert="horz"/>
          <a:lstStyle/>
          <a:p>
            <a:pPr>
              <a:defRPr sz="1400" b="0" i="0" u="none" strike="noStrike" baseline="0">
                <a:solidFill>
                  <a:srgbClr val="969696"/>
                </a:solidFill>
                <a:cs typeface="+mn-cs"/>
              </a:defRPr>
            </a:pPr>
            <a:r>
              <a:rPr lang="pt_br-BR" altLang="pt_br-BR"/>
              <a:t>Vendas anuais</a:t>
            </a:r>
          </a:p>
        </c:rich>
      </c:tx>
      <c:overlay val="0"/>
      <c:spPr>
        <a:noFill/>
        <a:ln w="3175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'Declaração anual'!$C$7:$C$8</c:f>
              <c:strCache>
                <c:ptCount val="2"/>
                <c:pt idx="0">
                  <c:v>Produto</c:v>
                </c:pt>
                <c:pt idx="1">
                  <c:v/>
                </c:pt>
              </c:strCache>
            </c:strRef>
          </c:tx>
          <c:spPr>
            <a:solidFill>
              <a:srgbClr val="2f5597"/>
            </a:solidFill>
            <a:ln w="3175">
              <a:noFill/>
            </a:ln>
          </c:spPr>
          <c:cat>
            <c:strRef>
              <c:f>'Declaração anual'!$B$9:$B$20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'Declaração anual'!$C$9:$C$20</c:f>
              <c:numCache>
                <c:formatCode>_("R$"* #,##0.00_);_("R$"* \(#,##0.00\);_("R$"* "-"??_);_(@_)</c:formatCode>
                <c:ptCount val="12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'Declaração anual'!$D$7:$D$8</c:f>
              <c:strCache>
                <c:ptCount val="2"/>
                <c:pt idx="0">
                  <c:v>Serviço</c:v>
                </c:pt>
                <c:pt idx="1">
                  <c:v/>
                </c:pt>
              </c:strCache>
            </c:strRef>
          </c:tx>
          <c:spPr>
            <a:solidFill>
              <a:srgbClr val="548235"/>
            </a:solidFill>
            <a:ln w="3175">
              <a:noFill/>
            </a:ln>
          </c:spPr>
          <c:cat>
            <c:strRef>
              <c:f>'Declaração anual'!$B$9:$B$20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'Declaração anual'!$D$9:$D$20</c:f>
              <c:numCache>
                <c:formatCode>_("R$"* #,##0.00_);_("R$"* \(#,##0.00\);_("R$"* "-"??_);_(@_)</c:formatCode>
                <c:ptCount val="12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</c:numCache>
            </c:numRef>
          </c:val>
        </c:ser>
        <c:gapWidth val="219"/>
        <c:overlap val="-27"/>
        <c:axId val="7872"/>
        <c:axId val="1873"/>
      </c:barChart>
      <c:catAx>
        <c:axId val="7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d9d9d9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969696"/>
                </a:solidFill>
                <a:cs typeface="+mn-cs"/>
              </a:defRPr>
            </a:pPr>
            <a:endParaRPr lang="pt_br-BR"/>
          </a:p>
        </c:txPr>
        <c:crossAx val="1873"/>
        <c:crosses val="autoZero"/>
        <c:auto val="1"/>
        <c:lblAlgn val="ctr"/>
        <c:lblOffset val="100"/>
        <c:tickLblSkip val="1"/>
        <c:tickMarkSkip val="1"/>
      </c:catAx>
      <c:valAx>
        <c:axId val="1873"/>
        <c:scaling>
          <c:orientation val="minMax"/>
        </c:scaling>
        <c:delete val="0"/>
        <c:axPos val="l"/>
        <c:majorGridlines>
          <c:spPr>
            <a:ln w="3175">
              <a:solidFill>
                <a:srgbClr val="d9d9d9"/>
              </a:solidFill>
              <a:prstDash val="solid"/>
            </a:ln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ln w="317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969696"/>
                </a:solidFill>
                <a:cs typeface="+mn-cs"/>
              </a:defRPr>
            </a:pPr>
            <a:endParaRPr lang="pt_br-BR"/>
          </a:p>
        </c:txPr>
        <c:crossAx val="7872"/>
        <c:crosses val="autoZero"/>
        <c:crossBetween val="between"/>
      </c:valAx>
      <c:spPr>
        <a:noFill/>
        <a:ln w="3175">
          <a:noFill/>
        </a:ln>
      </c:spPr>
    </c:plotArea>
    <c:legend>
      <c:legendPos val="b"/>
      <c:overlay val="0"/>
      <c:spPr>
        <a:noFill/>
        <a:ln w="12700">
          <a:noFill/>
        </a:ln>
      </c:spPr>
      <c:txPr>
        <a:bodyPr rot="0" vert="horz"/>
        <a:lstStyle/>
        <a:p>
          <a:pPr>
            <a:defRPr sz="900" b="0" i="0" u="none" strike="noStrike" baseline="0">
              <a:solidFill>
                <a:srgbClr val="969696"/>
              </a:solidFill>
              <a:cs typeface="+mn-cs"/>
            </a:defRPr>
          </a:pPr>
          <a:endParaRPr lang="pt_br-BR"/>
        </a:p>
      </c:txPr>
    </c:legend>
  </c:chart>
  <c:spPr>
    <a:solidFill>
      <a:srgbClr val="ffffff"/>
    </a:solidFill>
    <a:ln w="3175">
      <a:solidFill>
        <a:srgbClr val="d9d9d9"/>
      </a:solidFill>
      <a:prstDash val="solid"/>
    </a:ln>
  </c:spPr>
  <c:txPr>
    <a:bodyPr rot="0" vert="horz"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_br-BR"/>
    </a:p>
  </c:txPr>
  <c:userShapes r:id="rId1"/>
</c:chartSpace>
</file>

<file path=xl/drawings/_rels/drawing1.xml.rels><?xml version='1.0' encoding='UTF-8' standalone='yes' ?><Relationships xmlns="http://schemas.openxmlformats.org/package/2006/relationships"><Relationship Id="rId3" Type="http://schemas.openxmlformats.org/officeDocument/2006/relationships/image" Target="../media/image3.png" TargetMode="Internal" /><Relationship Id="rId2" Type="http://schemas.openxmlformats.org/officeDocument/2006/relationships/image" Target="../media/image2.png" TargetMode="Internal" /><Relationship Id="rId4" Type="http://schemas.openxmlformats.org/officeDocument/2006/relationships/image" Target="../media/image4.jpeg" TargetMode="Internal" /><Relationship Id="rId1" Type="http://schemas.openxmlformats.org/officeDocument/2006/relationships/image" Target="../media/image1.png" TargetMode="Internal" /></Relationships>
</file>

<file path=xl/drawings/_rels/drawing2.xml.rels><?xml version='1.0' encoding='UTF-8' standalone='yes' ?><Relationships xmlns="http://schemas.openxmlformats.org/package/2006/relationships"><Relationship Id="rId3" Type="http://schemas.openxmlformats.org/officeDocument/2006/relationships/image" Target="../media/image2.png" TargetMode="Internal" /><Relationship Id="rId2" Type="http://schemas.openxmlformats.org/officeDocument/2006/relationships/image" Target="../media/image6.jpeg" TargetMode="Internal" /><Relationship Id="rId4" Type="http://schemas.openxmlformats.org/officeDocument/2006/relationships/image" Target="../media/image3.png" TargetMode="Internal" /><Relationship Id="rId1" Type="http://schemas.openxmlformats.org/officeDocument/2006/relationships/image" Target="../media/image5.png" TargetMode="Internal" /></Relationships>
</file>

<file path=xl/drawings/_rels/drawing3.xml.rels><?xml version='1.0' encoding='UTF-8' standalone='yes' ?><Relationships xmlns="http://schemas.openxmlformats.org/package/2006/relationships"><Relationship Id="rId3" Type="http://schemas.openxmlformats.org/officeDocument/2006/relationships/image" Target="../media/image2.png" TargetMode="Internal" /><Relationship Id="rId2" Type="http://schemas.openxmlformats.org/officeDocument/2006/relationships/image" Target="../media/image6.jpeg" TargetMode="Internal" /><Relationship Id="rId4" Type="http://schemas.openxmlformats.org/officeDocument/2006/relationships/image" Target="../media/image3.png" TargetMode="Internal" /><Relationship Id="rId1" Type="http://schemas.openxmlformats.org/officeDocument/2006/relationships/image" Target="../media/image5.png" TargetMode="Internal" /></Relationships>
</file>

<file path=xl/drawings/_rels/drawing4.xml.rels><?xml version='1.0' encoding='UTF-8' standalone='yes' ?><Relationships xmlns="http://schemas.openxmlformats.org/package/2006/relationships"><Relationship Id="rId3" Type="http://schemas.openxmlformats.org/officeDocument/2006/relationships/image" Target="../media/image2.png" TargetMode="Internal" /><Relationship Id="rId2" Type="http://schemas.openxmlformats.org/officeDocument/2006/relationships/image" Target="../media/image6.jpeg" TargetMode="Internal" /><Relationship Id="rId4" Type="http://schemas.openxmlformats.org/officeDocument/2006/relationships/image" Target="../media/image3.png" TargetMode="Internal" /><Relationship Id="rId1" Type="http://schemas.openxmlformats.org/officeDocument/2006/relationships/image" Target="../media/image5.png" TargetMode="Internal" /></Relationships>
</file>

<file path=xl/drawings/_rels/drawing5.xml.rels><?xml version='1.0' encoding='UTF-8' standalone='yes' ?><Relationships xmlns="http://schemas.openxmlformats.org/package/2006/relationships"><Relationship Id="rId3" Type="http://schemas.openxmlformats.org/officeDocument/2006/relationships/image" Target="../media/image2.png" TargetMode="Internal" /><Relationship Id="rId2" Type="http://schemas.openxmlformats.org/officeDocument/2006/relationships/image" Target="../media/image6.jpeg" TargetMode="Internal" /><Relationship Id="rId4" Type="http://schemas.openxmlformats.org/officeDocument/2006/relationships/image" Target="../media/image3.png" TargetMode="Internal" /><Relationship Id="rId1" Type="http://schemas.openxmlformats.org/officeDocument/2006/relationships/image" Target="../media/image5.png" TargetMode="Internal" /></Relationships>
</file>

<file path=xl/drawings/_rels/drawing6.xml.rels><?xml version='1.0' encoding='UTF-8' standalone='yes' ?><Relationships xmlns="http://schemas.openxmlformats.org/package/2006/relationships"><Relationship Id="rId3" Type="http://schemas.openxmlformats.org/officeDocument/2006/relationships/image" Target="../media/image2.png" TargetMode="Internal" /><Relationship Id="rId2" Type="http://schemas.openxmlformats.org/officeDocument/2006/relationships/image" Target="../media/image6.jpeg" TargetMode="Internal" /><Relationship Id="rId4" Type="http://schemas.openxmlformats.org/officeDocument/2006/relationships/image" Target="../media/image3.png" TargetMode="Internal" /><Relationship Id="rId1" Type="http://schemas.openxmlformats.org/officeDocument/2006/relationships/image" Target="../media/image5.png" TargetMode="Internal" /></Relationships>
</file>

<file path=xl/drawings/_rels/drawing7.xml.rels><?xml version='1.0' encoding='UTF-8' standalone='yes' ?><Relationships xmlns="http://schemas.openxmlformats.org/package/2006/relationships"><Relationship Id="rId3" Type="http://schemas.openxmlformats.org/officeDocument/2006/relationships/image" Target="../media/image2.png" TargetMode="Internal" /><Relationship Id="rId2" Type="http://schemas.openxmlformats.org/officeDocument/2006/relationships/image" Target="../media/image6.jpeg" TargetMode="Internal" /><Relationship Id="rId4" Type="http://schemas.openxmlformats.org/officeDocument/2006/relationships/image" Target="../media/image3.png" TargetMode="Internal" /><Relationship Id="rId1" Type="http://schemas.openxmlformats.org/officeDocument/2006/relationships/image" Target="../media/image5.png" TargetMode="Internal" /></Relationships>
</file>

<file path=xl/drawings/_rels/drawing8.xml.rels><?xml version='1.0' encoding='UTF-8' standalone='yes' ?><Relationships xmlns="http://schemas.openxmlformats.org/package/2006/relationships"><Relationship Id="rId3" Type="http://schemas.openxmlformats.org/officeDocument/2006/relationships/image" Target="../media/image2.png" TargetMode="Internal" /><Relationship Id="rId2" Type="http://schemas.openxmlformats.org/officeDocument/2006/relationships/image" Target="../media/image6.jpeg" TargetMode="Internal" /><Relationship Id="rId4" Type="http://schemas.openxmlformats.org/officeDocument/2006/relationships/image" Target="../media/image3.png" TargetMode="Internal" /><Relationship Id="rId1" Type="http://schemas.openxmlformats.org/officeDocument/2006/relationships/image" Target="../media/image5.png" TargetMode="Internal" /></Relationships>
</file>

<file path=xl/drawings/_rels/drawing9.xml.rels><?xml version='1.0' encoding='UTF-8' standalone='yes' ?><Relationships xmlns="http://schemas.openxmlformats.org/package/2006/relationships"><Relationship Id="rId3" Type="http://schemas.openxmlformats.org/officeDocument/2006/relationships/image" Target="../media/image2.png" TargetMode="Internal" /><Relationship Id="rId2" Type="http://schemas.openxmlformats.org/officeDocument/2006/relationships/image" Target="../media/image6.jpeg" TargetMode="Internal" /><Relationship Id="rId4" Type="http://schemas.openxmlformats.org/officeDocument/2006/relationships/image" Target="../media/image3.png" TargetMode="Internal" /><Relationship Id="rId1" Type="http://schemas.openxmlformats.org/officeDocument/2006/relationships/image" Target="../media/image5.png" TargetMode="Internal" /></Relationships>
</file>

<file path=xl/drawings/_rels/drawing10.xml.rels><?xml version='1.0' encoding='UTF-8' standalone='yes' ?><Relationships xmlns="http://schemas.openxmlformats.org/package/2006/relationships"><Relationship Id="rId3" Type="http://schemas.openxmlformats.org/officeDocument/2006/relationships/image" Target="../media/image2.png" TargetMode="Internal" /><Relationship Id="rId2" Type="http://schemas.openxmlformats.org/officeDocument/2006/relationships/image" Target="../media/image6.jpeg" TargetMode="Internal" /><Relationship Id="rId4" Type="http://schemas.openxmlformats.org/officeDocument/2006/relationships/image" Target="../media/image3.png" TargetMode="Internal" /><Relationship Id="rId1" Type="http://schemas.openxmlformats.org/officeDocument/2006/relationships/image" Target="../media/image5.png" TargetMode="Internal" /></Relationships>
</file>

<file path=xl/drawings/_rels/drawing11.xml.rels><?xml version='1.0' encoding='UTF-8' standalone='yes' ?><Relationships xmlns="http://schemas.openxmlformats.org/package/2006/relationships"><Relationship Id="rId3" Type="http://schemas.openxmlformats.org/officeDocument/2006/relationships/image" Target="../media/image2.png" TargetMode="Internal" /><Relationship Id="rId2" Type="http://schemas.openxmlformats.org/officeDocument/2006/relationships/image" Target="../media/image6.jpeg" TargetMode="Internal" /><Relationship Id="rId4" Type="http://schemas.openxmlformats.org/officeDocument/2006/relationships/image" Target="../media/image3.png" TargetMode="Internal" /><Relationship Id="rId1" Type="http://schemas.openxmlformats.org/officeDocument/2006/relationships/image" Target="../media/image5.png" TargetMode="Internal" /></Relationships>
</file>

<file path=xl/drawings/_rels/drawing12.xml.rels><?xml version='1.0' encoding='UTF-8' standalone='yes' ?><Relationships xmlns="http://schemas.openxmlformats.org/package/2006/relationships"><Relationship Id="rId3" Type="http://schemas.openxmlformats.org/officeDocument/2006/relationships/image" Target="../media/image2.png" TargetMode="Internal" /><Relationship Id="rId2" Type="http://schemas.openxmlformats.org/officeDocument/2006/relationships/image" Target="../media/image6.jpeg" TargetMode="Internal" /><Relationship Id="rId4" Type="http://schemas.openxmlformats.org/officeDocument/2006/relationships/image" Target="../media/image3.png" TargetMode="Internal" /><Relationship Id="rId1" Type="http://schemas.openxmlformats.org/officeDocument/2006/relationships/image" Target="../media/image5.png" TargetMode="Internal" /></Relationships>
</file>

<file path=xl/drawings/_rels/drawing13.xml.rels><?xml version='1.0' encoding='UTF-8' standalone='yes' ?><Relationships xmlns="http://schemas.openxmlformats.org/package/2006/relationships"><Relationship Id="rId2" Type="http://schemas.openxmlformats.org/officeDocument/2006/relationships/chart" Target="../charts/chart1.xml" TargetMode="Internal" /><Relationship Id="rId1" Type="http://schemas.openxmlformats.org/officeDocument/2006/relationships/image" Target="../media/image5.png" TargetMode="Internal" /></Relationships>
</file>

<file path=xl/drawings/_rels/drawing15.xml.rels><?xml version='1.0' encoding='UTF-8' standalone='yes' ?><Relationships xmlns="http://schemas.openxmlformats.org/package/2006/relationships"><Relationship Id="rId1" Type="http://schemas.openxmlformats.org/officeDocument/2006/relationships/image" Target="../media/image5.png" TargetMode="Internal" /></Relationships>
</file>

<file path=xl/drawings/_rels/drawing16.xml.rels><?xml version='1.0' encoding='UTF-8' standalone='yes' ?><Relationships xmlns="http://schemas.openxmlformats.org/package/2006/relationships"><Relationship Id="rId1" Type="http://schemas.openxmlformats.org/officeDocument/2006/relationships/image" Target="../media/image5.png" TargetMode="Interna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880110</xdr:colOff>
      <xdr:row>1</xdr:row>
      <xdr:rowOff>45720</xdr:rowOff>
    </xdr:from>
    <xdr:to>
      <xdr:col>17</xdr:col>
      <xdr:colOff>716280</xdr:colOff>
      <xdr:row>6</xdr:row>
      <xdr:rowOff>75902</xdr:rowOff>
    </xdr:to>
    <xdr:pic>
      <xdr:nvPicPr>
        <xdr:cNvPr id="1025" name="ShapeProperty" hidden="0"/>
        <xdr:cNvPicPr>
          <a:picLocks noChangeAspect="1"/>
        </xdr:cNvPicPr>
      </xdr:nvPicPr>
      <xdr:blipFill xmlns:r="http://schemas.openxmlformats.org/officeDocument/2006/relationships">
        <a:blip xmlns:r="http://schemas.openxmlformats.org/officeDocument/2006/relationships" r:embed="rId1"/>
        <a:stretch/>
      </xdr:blipFill>
      <xdr:spPr>
        <a:xfrm>
          <a:off x="14413230" y="289560"/>
          <a:ext cx="2834640" cy="853440"/>
        </a:xfrm>
        <a:prstGeom prst="rect">
          <a:avLst/>
        </a:prstGeom>
        <a:noFill/>
        <a:ln w="9525">
          <a:noFill/>
        </a:ln>
        <a:effectLst/>
      </xdr:spPr>
    </xdr:pic>
    <xdr:clientData/>
  </xdr:twoCellAnchor>
  <xdr:twoCellAnchor>
    <xdr:from>
      <xdr:col>15</xdr:col>
      <xdr:colOff>701040</xdr:colOff>
      <xdr:row>40</xdr:row>
      <xdr:rowOff>125016</xdr:rowOff>
    </xdr:from>
    <xdr:to>
      <xdr:col>16</xdr:col>
      <xdr:colOff>533400</xdr:colOff>
      <xdr:row>42</xdr:row>
      <xdr:rowOff>52834</xdr:rowOff>
    </xdr:to>
    <xdr:grpSp>
      <xdr:nvGrpSpPr>
        <xdr:cNvPr id="1026" name="Group 1026"/>
        <xdr:cNvGrpSpPr/>
      </xdr:nvGrpSpPr>
      <xdr:grpSpPr>
        <a:xfrm>
          <a:off x="15213330" y="10066020"/>
          <a:ext cx="842010" cy="308610"/>
          <a:chOff x="15213330" y="10066020"/>
          <a:chExt cx="842010" cy="308610"/>
        </a:xfrm>
      </xdr:grpSpPr>
      <xdr:sp macro="" textlink="">
        <xdr:nvSpPr>
          <xdr:cNvPr id="1027" name=""/>
          <xdr:cNvSpPr/>
        </xdr:nvSpPr>
        <xdr:spPr>
          <a:xfrm>
            <a:off x="15213330" y="10066020"/>
            <a:ext cx="842010" cy="308610"/>
          </a:xfrm>
          <a:prstGeom prst="roundRect">
            <a:avLst>
              <a:gd name="adj" fmla="val 16666"/>
            </a:avLst>
          </a:prstGeom>
          <a:solidFill>
            <a:srgbClr val="2f5597"/>
          </a:solidFill>
          <a:ln w="12700" cap="flat" cmpd="sng">
            <a:solidFill>
              <a:srgbClr val="2f528f"/>
            </a:solidFill>
            <a:prstDash val="solid"/>
            <a:miter/>
          </a:ln>
          <a:effectLst/>
        </xdr:spPr>
      </xdr:sp>
      <xdr:grpSp>
        <xdr:nvGrpSpPr>
          <xdr:cNvPr id="1028" name="Group 1028"/>
          <xdr:cNvGrpSpPr/>
        </xdr:nvGrpSpPr>
        <xdr:grpSpPr>
          <a:xfrm>
            <a:off x="15281910" y="10107930"/>
            <a:ext cx="704850" cy="232410"/>
            <a:chOff x="15281910" y="10107930"/>
            <a:chExt cx="704850" cy="232410"/>
          </a:xfrm>
        </xdr:grpSpPr>
        <xdr:sp macro="" textlink="">
          <xdr:nvSpPr>
            <xdr:cNvPr id="1029" name=""/>
            <xdr:cNvSpPr/>
          </xdr:nvSpPr>
          <xdr:spPr>
            <a:xfrm>
              <a:off x="15281910" y="10111740"/>
              <a:ext cx="480060" cy="217170"/>
            </a:xfrm>
            <a:prstGeom prst="rect">
              <a:avLst/>
            </a:prstGeom>
            <a:noFill/>
            <a:ln w="9525">
              <a:noFill/>
            </a:ln>
            <a:effectLst/>
          </xdr:spPr>
          <xdr:txBody>
            <a:bodyPr vertOverflow="clip" wrap="square" rtlCol="0" anchor="t">
              <a:spAutoFit/>
            </a:bodyPr>
            <a:lstStyle/>
            <a:p>
              <a:pPr algn="l" rtl="0">
                <a:defRPr lang="pt_br-BR" altLang="pt_br-BR" sz="1100"/>
              </a:pPr>
              <a:r>
                <a:rPr lang="pt_br-BR" altLang="pt_br-BR" sz="800" b="1">
                  <a:solidFill>
                    <a:srgbClr val="ffffff"/>
                  </a:solidFill>
                  <a:latin typeface="Helvetica Black" pitchFamily="50" charset="-127"/>
                  <a:ea typeface="Helvetica Black" pitchFamily="50" charset="-127"/>
                </a:rPr>
                <a:t>Blog</a:t>
              </a:r>
              <a:endParaRPr lang="pt_br-BR">
                <a:latin typeface="Calibri"/>
                <a:ea typeface="Calibri"/>
                <a:cs typeface="Calibri"/>
              </a:endParaRPr>
            </a:p>
          </xdr:txBody>
        </xdr:sp>
        <xdr:pic>
          <xdr:nvPicPr>
            <xdr:cNvPr id="1030" name="ShapeProperty" hidden="0"/>
            <xdr:cNvPicPr>
              <a:picLocks noChangeAspect="1"/>
            </xdr:cNvPicPr>
          </xdr:nvPicPr>
          <xdr:blipFill xmlns:r="http://schemas.openxmlformats.org/officeDocument/2006/relationships">
            <a:blip xmlns:r="http://schemas.openxmlformats.org/officeDocument/2006/relationships" r:embed="rId2"/>
            <a:srcRect l="0" t="0" r="74676" b="0"/>
            <a:stretch/>
          </xdr:blipFill>
          <xdr:spPr>
            <a:xfrm>
              <a:off x="15761970" y="10107930"/>
              <a:ext cx="224790" cy="232410"/>
            </a:xfrm>
            <a:prstGeom prst="rect">
              <a:avLst/>
            </a:prstGeom>
            <a:noFill/>
            <a:ln w="9525">
              <a:noFill/>
            </a:ln>
            <a:effectLst/>
          </xdr:spPr>
        </xdr:pic>
      </xdr:grpSp>
    </xdr:grpSp>
    <xdr:clientData/>
  </xdr:twoCellAnchor>
  <xdr:twoCellAnchor>
    <xdr:from>
      <xdr:col>16</xdr:col>
      <xdr:colOff>948690</xdr:colOff>
      <xdr:row>40</xdr:row>
      <xdr:rowOff>125016</xdr:rowOff>
    </xdr:from>
    <xdr:to>
      <xdr:col>17</xdr:col>
      <xdr:colOff>281940</xdr:colOff>
      <xdr:row>42</xdr:row>
      <xdr:rowOff>52834</xdr:rowOff>
    </xdr:to>
    <xdr:pic>
      <xdr:nvPicPr>
        <xdr:cNvPr id="1031" name="ShapeProperty" hidden="0"/>
        <xdr:cNvPicPr>
          <a:picLocks noChangeAspect="1"/>
        </xdr:cNvPicPr>
      </xdr:nvPicPr>
      <xdr:blipFill xmlns:r="http://schemas.openxmlformats.org/officeDocument/2006/relationships">
        <a:blip xmlns:r="http://schemas.openxmlformats.org/officeDocument/2006/relationships" r:embed="rId3"/>
        <a:stretch/>
      </xdr:blipFill>
      <xdr:spPr>
        <a:xfrm>
          <a:off x="16470630" y="10066020"/>
          <a:ext cx="342900" cy="308610"/>
        </a:xfrm>
        <a:prstGeom prst="rect">
          <a:avLst/>
        </a:prstGeom>
        <a:noFill/>
        <a:ln w="9525">
          <a:noFill/>
        </a:ln>
        <a:effectLst/>
      </xdr:spPr>
    </xdr:pic>
    <xdr:clientData/>
  </xdr:twoCellAnchor>
  <xdr:twoCellAnchor>
    <xdr:from>
      <xdr:col>15</xdr:col>
      <xdr:colOff>735330</xdr:colOff>
      <xdr:row>40</xdr:row>
      <xdr:rowOff>125016</xdr:rowOff>
    </xdr:from>
    <xdr:to>
      <xdr:col>19</xdr:col>
      <xdr:colOff>26670</xdr:colOff>
      <xdr:row>42</xdr:row>
      <xdr:rowOff>52834</xdr:rowOff>
    </xdr:to>
    <xdr:grpSp>
      <xdr:nvGrpSpPr>
        <xdr:cNvPr id="1032" name="Group 1032"/>
        <xdr:cNvGrpSpPr/>
      </xdr:nvGrpSpPr>
      <xdr:grpSpPr>
        <a:xfrm>
          <a:off x="15247620" y="10066020"/>
          <a:ext cx="2320290" cy="308610"/>
          <a:chOff x="15247620" y="10066020"/>
          <a:chExt cx="2320290" cy="308610"/>
        </a:xfrm>
      </xdr:grpSpPr>
      <xdr:pic>
        <xdr:nvPicPr>
          <xdr:cNvPr id="1033" name="ShapeProperty" hidden="0"/>
          <xdr:cNvPicPr>
            <a:picLocks noChangeAspect="1"/>
          </xdr:cNvPicPr>
        </xdr:nvPicPr>
        <xdr:blipFill xmlns:r="http://schemas.openxmlformats.org/officeDocument/2006/relationships">
          <a:blip xmlns:r="http://schemas.openxmlformats.org/officeDocument/2006/relationships" r:embed="rId4"/>
          <a:srcRect l="11723" t="11770" r="12426" b="11742"/>
          <a:stretch/>
        </xdr:blipFill>
        <xdr:spPr>
          <a:xfrm>
            <a:off x="17243424" y="10066020"/>
            <a:ext cx="324485" cy="308610"/>
          </a:xfrm>
          <a:prstGeom prst="rect">
            <a:avLst/>
          </a:prstGeom>
          <a:noFill/>
          <a:ln w="9525">
            <a:noFill/>
          </a:ln>
          <a:effectLst/>
        </xdr:spPr>
      </xdr:pic>
      <xdr:grpSp>
        <xdr:nvGrpSpPr>
          <xdr:cNvPr id="1034" name="Group 1034"/>
          <xdr:cNvGrpSpPr/>
        </xdr:nvGrpSpPr>
        <xdr:grpSpPr>
          <a:xfrm>
            <a:off x="15247620" y="10066020"/>
            <a:ext cx="845908" cy="308610"/>
            <a:chOff x="15247620" y="10066020"/>
            <a:chExt cx="845908" cy="308610"/>
          </a:xfrm>
        </xdr:grpSpPr>
        <xdr:sp macro="" textlink="">
          <xdr:nvSpPr>
            <xdr:cNvPr id="1035" name=""/>
            <xdr:cNvSpPr/>
          </xdr:nvSpPr>
          <xdr:spPr>
            <a:xfrm>
              <a:off x="15247620" y="10066020"/>
              <a:ext cx="845820" cy="308610"/>
            </a:xfrm>
            <a:prstGeom prst="roundRect">
              <a:avLst>
                <a:gd name="adj" fmla="val 16666"/>
              </a:avLst>
            </a:prstGeom>
            <a:solidFill>
              <a:srgbClr val="2f5597"/>
            </a:solidFill>
            <a:ln w="12700" cap="flat" cmpd="sng">
              <a:solidFill>
                <a:srgbClr val="2f528f"/>
              </a:solidFill>
              <a:prstDash val="solid"/>
              <a:miter/>
            </a:ln>
            <a:effectLst/>
          </xdr:spPr>
        </xdr:sp>
        <xdr:grpSp>
          <xdr:nvGrpSpPr>
            <xdr:cNvPr id="1036" name="Group 1036"/>
            <xdr:cNvGrpSpPr/>
          </xdr:nvGrpSpPr>
          <xdr:grpSpPr>
            <a:xfrm>
              <a:off x="15316126" y="10107930"/>
              <a:ext cx="708895" cy="232410"/>
              <a:chOff x="15316126" y="10107930"/>
              <a:chExt cx="708895" cy="232410"/>
            </a:xfrm>
          </xdr:grpSpPr>
          <xdr:sp macro="" textlink="">
            <xdr:nvSpPr>
              <xdr:cNvPr id="1037" name=""/>
              <xdr:cNvSpPr/>
            </xdr:nvSpPr>
            <xdr:spPr>
              <a:xfrm>
                <a:off x="15316200" y="10111740"/>
                <a:ext cx="482600" cy="217170"/>
              </a:xfrm>
              <a:prstGeom prst="rect">
                <a:avLst/>
              </a:prstGeom>
              <a:noFill/>
              <a:ln w="9525">
                <a:noFill/>
              </a:ln>
              <a:effectLst/>
            </xdr:spPr>
            <xdr:txBody>
              <a:bodyPr vertOverflow="clip" wrap="square" rtlCol="0" anchor="t">
                <a:spAutoFit/>
              </a:bodyPr>
              <a:lstStyle/>
              <a:p>
                <a:pPr algn="l" rtl="0">
                  <a:defRPr lang="pt_br-BR" altLang="pt_br-BR" sz="1100"/>
                </a:pPr>
                <a:r>
                  <a:rPr lang="pt_br-BR" altLang="pt_br-BR" sz="800" b="1">
                    <a:solidFill>
                      <a:srgbClr val="ffffff"/>
                    </a:solidFill>
                    <a:latin typeface="Helvetica Black" pitchFamily="50" charset="-127"/>
                    <a:ea typeface="Helvetica Black" pitchFamily="50" charset="-127"/>
                  </a:rPr>
                  <a:t>Blog</a:t>
                </a:r>
                <a:endParaRPr lang="pt_br-BR">
                  <a:latin typeface="Calibri"/>
                  <a:ea typeface="Calibri"/>
                  <a:cs typeface="Calibri"/>
                </a:endParaRPr>
              </a:p>
            </xdr:txBody>
          </xdr:sp>
          <xdr:pic>
            <xdr:nvPicPr>
              <xdr:cNvPr id="1038" name="ShapeProperty" hidden="0"/>
              <xdr:cNvPicPr>
                <a:picLocks noChangeAspect="1"/>
              </xdr:cNvPicPr>
            </xdr:nvPicPr>
            <xdr:blipFill xmlns:r="http://schemas.openxmlformats.org/officeDocument/2006/relationships">
              <a:blip xmlns:r="http://schemas.openxmlformats.org/officeDocument/2006/relationships" r:embed="rId2"/>
              <a:srcRect l="0" t="0" r="74676" b="0"/>
              <a:stretch/>
            </xdr:blipFill>
            <xdr:spPr>
              <a:xfrm>
                <a:off x="15798800" y="10107930"/>
                <a:ext cx="226060" cy="232410"/>
              </a:xfrm>
              <a:prstGeom prst="rect">
                <a:avLst/>
              </a:prstGeom>
              <a:noFill/>
              <a:ln w="9525">
                <a:noFill/>
              </a:ln>
              <a:effectLst/>
            </xdr:spPr>
          </xdr:pic>
        </xdr:grpSp>
      </xdr:grpSp>
      <xdr:pic>
        <xdr:nvPicPr>
          <xdr:cNvPr id="1039" name="ShapeProperty" hidden="0"/>
          <xdr:cNvPicPr>
            <a:picLocks noChangeAspect="1"/>
          </xdr:cNvPicPr>
        </xdr:nvPicPr>
        <xdr:blipFill xmlns:r="http://schemas.openxmlformats.org/officeDocument/2006/relationships">
          <a:blip xmlns:r="http://schemas.openxmlformats.org/officeDocument/2006/relationships" r:embed="rId3"/>
          <a:stretch/>
        </xdr:blipFill>
        <xdr:spPr>
          <a:xfrm>
            <a:off x="16519525" y="10066020"/>
            <a:ext cx="327660" cy="308610"/>
          </a:xfrm>
          <a:prstGeom prst="rect">
            <a:avLst/>
          </a:prstGeom>
          <a:noFill/>
          <a:ln w="9525">
            <a:noFill/>
          </a:ln>
          <a:effectLst/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880110</xdr:colOff>
      <xdr:row>1</xdr:row>
      <xdr:rowOff>41672</xdr:rowOff>
    </xdr:from>
    <xdr:to>
      <xdr:col>17</xdr:col>
      <xdr:colOff>716280</xdr:colOff>
      <xdr:row>6</xdr:row>
      <xdr:rowOff>75843</xdr:rowOff>
    </xdr:to>
    <xdr:pic>
      <xdr:nvPicPr>
        <xdr:cNvPr id="2049" name="ShapeProperty" hidden="0"/>
        <xdr:cNvPicPr>
          <a:picLocks noChangeAspect="1"/>
        </xdr:cNvPicPr>
      </xdr:nvPicPr>
      <xdr:blipFill xmlns:r="http://schemas.openxmlformats.org/officeDocument/2006/relationships">
        <a:blip xmlns:r="http://schemas.openxmlformats.org/officeDocument/2006/relationships" r:embed="rId1"/>
        <a:stretch/>
      </xdr:blipFill>
      <xdr:spPr>
        <a:xfrm>
          <a:off x="14344650" y="232410"/>
          <a:ext cx="2834640" cy="750570"/>
        </a:xfrm>
        <a:prstGeom prst="rect">
          <a:avLst/>
        </a:prstGeom>
        <a:noFill/>
        <a:ln w="9525">
          <a:noFill/>
        </a:ln>
        <a:effectLst/>
      </xdr:spPr>
    </xdr:pic>
    <xdr:clientData/>
  </xdr:twoCellAnchor>
  <xdr:twoCellAnchor>
    <xdr:from>
      <xdr:col>15</xdr:col>
      <xdr:colOff>674370</xdr:colOff>
      <xdr:row>39</xdr:row>
      <xdr:rowOff>144363</xdr:rowOff>
    </xdr:from>
    <xdr:to>
      <xdr:col>17</xdr:col>
      <xdr:colOff>967740</xdr:colOff>
      <xdr:row>41</xdr:row>
      <xdr:rowOff>72182</xdr:rowOff>
    </xdr:to>
    <xdr:grpSp>
      <xdr:nvGrpSpPr>
        <xdr:cNvPr id="2050" name="Group 2050"/>
        <xdr:cNvGrpSpPr/>
      </xdr:nvGrpSpPr>
      <xdr:grpSpPr>
        <a:xfrm>
          <a:off x="15118080" y="7722870"/>
          <a:ext cx="2312670" cy="308610"/>
          <a:chOff x="15118080" y="7722870"/>
          <a:chExt cx="2312670" cy="308610"/>
        </a:xfrm>
      </xdr:grpSpPr>
      <xdr:pic>
        <xdr:nvPicPr>
          <xdr:cNvPr id="2051" name="ShapeProperty" hidden="0"/>
          <xdr:cNvPicPr>
            <a:picLocks noChangeAspect="1"/>
          </xdr:cNvPicPr>
        </xdr:nvPicPr>
        <xdr:blipFill xmlns:r="http://schemas.openxmlformats.org/officeDocument/2006/relationships">
          <a:blip xmlns:r="http://schemas.openxmlformats.org/officeDocument/2006/relationships" r:embed="rId2"/>
          <a:srcRect l="11723" t="11770" r="12426" b="11742"/>
          <a:stretch/>
        </xdr:blipFill>
        <xdr:spPr>
          <a:xfrm>
            <a:off x="17106900" y="7722870"/>
            <a:ext cx="323850" cy="308610"/>
          </a:xfrm>
          <a:prstGeom prst="rect">
            <a:avLst/>
          </a:prstGeom>
          <a:noFill/>
          <a:ln w="9525">
            <a:noFill/>
          </a:ln>
          <a:effectLst/>
        </xdr:spPr>
      </xdr:pic>
      <xdr:grpSp>
        <xdr:nvGrpSpPr>
          <xdr:cNvPr id="2052" name="Group 2052"/>
          <xdr:cNvGrpSpPr/>
        </xdr:nvGrpSpPr>
        <xdr:grpSpPr>
          <a:xfrm>
            <a:off x="15118080" y="7722870"/>
            <a:ext cx="842010" cy="308610"/>
            <a:chOff x="15118080" y="7722870"/>
            <a:chExt cx="842010" cy="308610"/>
          </a:xfrm>
        </xdr:grpSpPr>
        <xdr:sp macro="" textlink="">
          <xdr:nvSpPr>
            <xdr:cNvPr id="2053" name=""/>
            <xdr:cNvSpPr/>
          </xdr:nvSpPr>
          <xdr:spPr>
            <a:xfrm>
              <a:off x="15118080" y="7722870"/>
              <a:ext cx="842010" cy="308610"/>
            </a:xfrm>
            <a:prstGeom prst="roundRect">
              <a:avLst>
                <a:gd name="adj" fmla="val 16666"/>
              </a:avLst>
            </a:prstGeom>
            <a:solidFill>
              <a:srgbClr val="2f5597"/>
            </a:solidFill>
            <a:ln w="12700" cap="flat" cmpd="sng">
              <a:solidFill>
                <a:srgbClr val="2f528f"/>
              </a:solidFill>
              <a:prstDash val="solid"/>
              <a:miter/>
            </a:ln>
            <a:effectLst/>
          </xdr:spPr>
        </xdr:sp>
        <xdr:grpSp>
          <xdr:nvGrpSpPr>
            <xdr:cNvPr id="2054" name="Group 2054"/>
            <xdr:cNvGrpSpPr/>
          </xdr:nvGrpSpPr>
          <xdr:grpSpPr>
            <a:xfrm>
              <a:off x="15186660" y="7764780"/>
              <a:ext cx="704850" cy="232410"/>
              <a:chOff x="15186660" y="7764780"/>
              <a:chExt cx="704850" cy="232410"/>
            </a:xfrm>
          </xdr:grpSpPr>
          <xdr:sp macro="" textlink="">
            <xdr:nvSpPr>
              <xdr:cNvPr id="2055" name=""/>
              <xdr:cNvSpPr/>
            </xdr:nvSpPr>
            <xdr:spPr>
              <a:xfrm>
                <a:off x="15186660" y="7768590"/>
                <a:ext cx="480060" cy="217170"/>
              </a:xfrm>
              <a:prstGeom prst="rect">
                <a:avLst/>
              </a:prstGeom>
              <a:noFill/>
              <a:ln w="9525">
                <a:noFill/>
              </a:ln>
              <a:effectLst/>
            </xdr:spPr>
            <xdr:txBody>
              <a:bodyPr vertOverflow="clip" wrap="square" rtlCol="0" anchor="t">
                <a:spAutoFit/>
              </a:bodyPr>
              <a:lstStyle/>
              <a:p>
                <a:pPr algn="l" rtl="0">
                  <a:defRPr lang="pt_br-BR" altLang="pt_br-BR" sz="1100"/>
                </a:pPr>
                <a:r>
                  <a:rPr lang="pt_br-BR" altLang="pt_br-BR" sz="800" b="1">
                    <a:solidFill>
                      <a:srgbClr val="ffffff"/>
                    </a:solidFill>
                    <a:latin typeface="Helvetica Black" pitchFamily="50" charset="-127"/>
                    <a:ea typeface="Helvetica Black" pitchFamily="50" charset="-127"/>
                  </a:rPr>
                  <a:t>Blog</a:t>
                </a:r>
                <a:endParaRPr lang="pt_br-BR">
                  <a:latin typeface="Calibri"/>
                  <a:ea typeface="Calibri"/>
                  <a:cs typeface="Calibri"/>
                </a:endParaRPr>
              </a:p>
            </xdr:txBody>
          </xdr:sp>
          <xdr:pic>
            <xdr:nvPicPr>
              <xdr:cNvPr id="2056" name="ShapeProperty" hidden="0"/>
              <xdr:cNvPicPr>
                <a:picLocks noChangeAspect="1"/>
              </xdr:cNvPicPr>
            </xdr:nvPicPr>
            <xdr:blipFill xmlns:r="http://schemas.openxmlformats.org/officeDocument/2006/relationships">
              <a:blip xmlns:r="http://schemas.openxmlformats.org/officeDocument/2006/relationships" r:embed="rId3"/>
              <a:srcRect l="0" t="0" r="74676" b="0"/>
              <a:stretch/>
            </xdr:blipFill>
            <xdr:spPr>
              <a:xfrm>
                <a:off x="15666720" y="7764780"/>
                <a:ext cx="224790" cy="232410"/>
              </a:xfrm>
              <a:prstGeom prst="rect">
                <a:avLst/>
              </a:prstGeom>
              <a:noFill/>
              <a:ln w="9525">
                <a:noFill/>
              </a:ln>
              <a:effectLst/>
            </xdr:spPr>
          </xdr:pic>
        </xdr:grpSp>
      </xdr:grpSp>
      <xdr:pic>
        <xdr:nvPicPr>
          <xdr:cNvPr id="2057" name="ShapeProperty" hidden="0"/>
          <xdr:cNvPicPr>
            <a:picLocks noChangeAspect="1"/>
          </xdr:cNvPicPr>
        </xdr:nvPicPr>
        <xdr:blipFill xmlns:r="http://schemas.openxmlformats.org/officeDocument/2006/relationships">
          <a:blip xmlns:r="http://schemas.openxmlformats.org/officeDocument/2006/relationships" r:embed="rId4"/>
          <a:stretch/>
        </xdr:blipFill>
        <xdr:spPr>
          <a:xfrm>
            <a:off x="16386810" y="7722870"/>
            <a:ext cx="327660" cy="308610"/>
          </a:xfrm>
          <a:prstGeom prst="rect">
            <a:avLst/>
          </a:prstGeom>
          <a:noFill/>
          <a:ln w="9525">
            <a:noFill/>
          </a:ln>
          <a:effectLst/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880110</xdr:colOff>
      <xdr:row>1</xdr:row>
      <xdr:rowOff>41672</xdr:rowOff>
    </xdr:from>
    <xdr:to>
      <xdr:col>17</xdr:col>
      <xdr:colOff>716280</xdr:colOff>
      <xdr:row>6</xdr:row>
      <xdr:rowOff>75843</xdr:rowOff>
    </xdr:to>
    <xdr:pic>
      <xdr:nvPicPr>
        <xdr:cNvPr id="3073" name="ShapeProperty" hidden="0"/>
        <xdr:cNvPicPr>
          <a:picLocks noChangeAspect="1"/>
        </xdr:cNvPicPr>
      </xdr:nvPicPr>
      <xdr:blipFill xmlns:r="http://schemas.openxmlformats.org/officeDocument/2006/relationships">
        <a:blip xmlns:r="http://schemas.openxmlformats.org/officeDocument/2006/relationships" r:embed="rId1"/>
        <a:stretch/>
      </xdr:blipFill>
      <xdr:spPr>
        <a:xfrm>
          <a:off x="14344650" y="232410"/>
          <a:ext cx="2834640" cy="750570"/>
        </a:xfrm>
        <a:prstGeom prst="rect">
          <a:avLst/>
        </a:prstGeom>
        <a:noFill/>
        <a:ln w="9525">
          <a:noFill/>
        </a:ln>
        <a:effectLst/>
      </xdr:spPr>
    </xdr:pic>
    <xdr:clientData/>
  </xdr:twoCellAnchor>
  <xdr:twoCellAnchor>
    <xdr:from>
      <xdr:col>15</xdr:col>
      <xdr:colOff>594360</xdr:colOff>
      <xdr:row>40</xdr:row>
      <xdr:rowOff>102691</xdr:rowOff>
    </xdr:from>
    <xdr:to>
      <xdr:col>17</xdr:col>
      <xdr:colOff>883920</xdr:colOff>
      <xdr:row>42</xdr:row>
      <xdr:rowOff>29766</xdr:rowOff>
    </xdr:to>
    <xdr:grpSp>
      <xdr:nvGrpSpPr>
        <xdr:cNvPr id="3074" name="Group 3074"/>
        <xdr:cNvGrpSpPr/>
      </xdr:nvGrpSpPr>
      <xdr:grpSpPr>
        <a:xfrm>
          <a:off x="15038070" y="7871460"/>
          <a:ext cx="2308860" cy="308610"/>
          <a:chOff x="15038070" y="7871460"/>
          <a:chExt cx="2308860" cy="308610"/>
        </a:xfrm>
      </xdr:grpSpPr>
      <xdr:pic>
        <xdr:nvPicPr>
          <xdr:cNvPr id="3075" name="ShapeProperty" hidden="0"/>
          <xdr:cNvPicPr>
            <a:picLocks noChangeAspect="1"/>
          </xdr:cNvPicPr>
        </xdr:nvPicPr>
        <xdr:blipFill xmlns:r="http://schemas.openxmlformats.org/officeDocument/2006/relationships">
          <a:blip xmlns:r="http://schemas.openxmlformats.org/officeDocument/2006/relationships" r:embed="rId2"/>
          <a:srcRect l="11723" t="11770" r="12426" b="11742"/>
          <a:stretch/>
        </xdr:blipFill>
        <xdr:spPr>
          <a:xfrm>
            <a:off x="17023080" y="7871460"/>
            <a:ext cx="323850" cy="308610"/>
          </a:xfrm>
          <a:prstGeom prst="rect">
            <a:avLst/>
          </a:prstGeom>
          <a:noFill/>
          <a:ln w="9525">
            <a:noFill/>
          </a:ln>
          <a:effectLst/>
        </xdr:spPr>
      </xdr:pic>
      <xdr:grpSp>
        <xdr:nvGrpSpPr>
          <xdr:cNvPr id="3076" name="Group 3076"/>
          <xdr:cNvGrpSpPr/>
        </xdr:nvGrpSpPr>
        <xdr:grpSpPr>
          <a:xfrm>
            <a:off x="15038070" y="7871460"/>
            <a:ext cx="842010" cy="308610"/>
            <a:chOff x="15038070" y="7871460"/>
            <a:chExt cx="842010" cy="308610"/>
          </a:xfrm>
        </xdr:grpSpPr>
        <xdr:sp macro="" textlink="">
          <xdr:nvSpPr>
            <xdr:cNvPr id="3077" name=""/>
            <xdr:cNvSpPr/>
          </xdr:nvSpPr>
          <xdr:spPr>
            <a:xfrm>
              <a:off x="15038070" y="7871460"/>
              <a:ext cx="842010" cy="308610"/>
            </a:xfrm>
            <a:prstGeom prst="roundRect">
              <a:avLst>
                <a:gd name="adj" fmla="val 16666"/>
              </a:avLst>
            </a:prstGeom>
            <a:solidFill>
              <a:srgbClr val="2f5597"/>
            </a:solidFill>
            <a:ln w="12700" cap="flat" cmpd="sng">
              <a:solidFill>
                <a:srgbClr val="2f528f"/>
              </a:solidFill>
              <a:prstDash val="solid"/>
              <a:miter/>
            </a:ln>
            <a:effectLst/>
          </xdr:spPr>
        </xdr:sp>
        <xdr:grpSp>
          <xdr:nvGrpSpPr>
            <xdr:cNvPr id="3078" name="Group 3078"/>
            <xdr:cNvGrpSpPr/>
          </xdr:nvGrpSpPr>
          <xdr:grpSpPr>
            <a:xfrm>
              <a:off x="15106650" y="7913370"/>
              <a:ext cx="704850" cy="232410"/>
              <a:chOff x="15106650" y="7913370"/>
              <a:chExt cx="704850" cy="232410"/>
            </a:xfrm>
          </xdr:grpSpPr>
          <xdr:sp macro="" textlink="">
            <xdr:nvSpPr>
              <xdr:cNvPr id="3079" name=""/>
              <xdr:cNvSpPr/>
            </xdr:nvSpPr>
            <xdr:spPr>
              <a:xfrm>
                <a:off x="15106650" y="7917180"/>
                <a:ext cx="480060" cy="217170"/>
              </a:xfrm>
              <a:prstGeom prst="rect">
                <a:avLst/>
              </a:prstGeom>
              <a:noFill/>
              <a:ln w="9525">
                <a:noFill/>
              </a:ln>
              <a:effectLst/>
            </xdr:spPr>
            <xdr:txBody>
              <a:bodyPr vertOverflow="clip" wrap="square" rtlCol="0" anchor="t">
                <a:spAutoFit/>
              </a:bodyPr>
              <a:lstStyle/>
              <a:p>
                <a:pPr algn="l" rtl="0">
                  <a:defRPr lang="pt_br-BR" altLang="pt_br-BR" sz="1100"/>
                </a:pPr>
                <a:r>
                  <a:rPr lang="pt_br-BR" altLang="pt_br-BR" sz="800" b="1">
                    <a:solidFill>
                      <a:srgbClr val="ffffff"/>
                    </a:solidFill>
                    <a:latin typeface="Helvetica Black" pitchFamily="50" charset="-127"/>
                    <a:ea typeface="Helvetica Black" pitchFamily="50" charset="-127"/>
                  </a:rPr>
                  <a:t>Blog</a:t>
                </a:r>
                <a:endParaRPr lang="pt_br-BR">
                  <a:latin typeface="Calibri"/>
                  <a:ea typeface="Calibri"/>
                  <a:cs typeface="Calibri"/>
                </a:endParaRPr>
              </a:p>
            </xdr:txBody>
          </xdr:sp>
          <xdr:pic>
            <xdr:nvPicPr>
              <xdr:cNvPr id="3080" name="ShapeProperty" hidden="0"/>
              <xdr:cNvPicPr>
                <a:picLocks noChangeAspect="1"/>
              </xdr:cNvPicPr>
            </xdr:nvPicPr>
            <xdr:blipFill xmlns:r="http://schemas.openxmlformats.org/officeDocument/2006/relationships">
              <a:blip xmlns:r="http://schemas.openxmlformats.org/officeDocument/2006/relationships" r:embed="rId3"/>
              <a:srcRect l="0" t="0" r="74676" b="0"/>
              <a:stretch/>
            </xdr:blipFill>
            <xdr:spPr>
              <a:xfrm>
                <a:off x="15586710" y="7913370"/>
                <a:ext cx="224790" cy="232410"/>
              </a:xfrm>
              <a:prstGeom prst="rect">
                <a:avLst/>
              </a:prstGeom>
              <a:noFill/>
              <a:ln w="9525">
                <a:noFill/>
              </a:ln>
              <a:effectLst/>
            </xdr:spPr>
          </xdr:pic>
        </xdr:grpSp>
      </xdr:grpSp>
      <xdr:pic>
        <xdr:nvPicPr>
          <xdr:cNvPr id="3081" name="ShapeProperty" hidden="0"/>
          <xdr:cNvPicPr>
            <a:picLocks noChangeAspect="1"/>
          </xdr:cNvPicPr>
        </xdr:nvPicPr>
        <xdr:blipFill xmlns:r="http://schemas.openxmlformats.org/officeDocument/2006/relationships">
          <a:blip xmlns:r="http://schemas.openxmlformats.org/officeDocument/2006/relationships" r:embed="rId4"/>
          <a:stretch/>
        </xdr:blipFill>
        <xdr:spPr>
          <a:xfrm>
            <a:off x="16306800" y="7871460"/>
            <a:ext cx="327660" cy="308610"/>
          </a:xfrm>
          <a:prstGeom prst="rect">
            <a:avLst/>
          </a:prstGeom>
          <a:noFill/>
          <a:ln w="9525">
            <a:noFill/>
          </a:ln>
          <a:effectLst/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880110</xdr:colOff>
      <xdr:row>1</xdr:row>
      <xdr:rowOff>41672</xdr:rowOff>
    </xdr:from>
    <xdr:to>
      <xdr:col>17</xdr:col>
      <xdr:colOff>716280</xdr:colOff>
      <xdr:row>6</xdr:row>
      <xdr:rowOff>75843</xdr:rowOff>
    </xdr:to>
    <xdr:pic>
      <xdr:nvPicPr>
        <xdr:cNvPr id="4097" name="ShapeProperty" hidden="0"/>
        <xdr:cNvPicPr>
          <a:picLocks noChangeAspect="1"/>
        </xdr:cNvPicPr>
      </xdr:nvPicPr>
      <xdr:blipFill xmlns:r="http://schemas.openxmlformats.org/officeDocument/2006/relationships">
        <a:blip xmlns:r="http://schemas.openxmlformats.org/officeDocument/2006/relationships" r:embed="rId1"/>
        <a:stretch/>
      </xdr:blipFill>
      <xdr:spPr>
        <a:xfrm>
          <a:off x="14344650" y="232410"/>
          <a:ext cx="2834640" cy="750570"/>
        </a:xfrm>
        <a:prstGeom prst="rect">
          <a:avLst/>
        </a:prstGeom>
        <a:noFill/>
        <a:ln w="9525">
          <a:noFill/>
        </a:ln>
        <a:effectLst/>
      </xdr:spPr>
    </xdr:pic>
    <xdr:clientData/>
  </xdr:twoCellAnchor>
  <xdr:twoCellAnchor>
    <xdr:from>
      <xdr:col>15</xdr:col>
      <xdr:colOff>647700</xdr:colOff>
      <xdr:row>39</xdr:row>
      <xdr:rowOff>129480</xdr:rowOff>
    </xdr:from>
    <xdr:to>
      <xdr:col>17</xdr:col>
      <xdr:colOff>941070</xdr:colOff>
      <xdr:row>41</xdr:row>
      <xdr:rowOff>56555</xdr:rowOff>
    </xdr:to>
    <xdr:grpSp>
      <xdr:nvGrpSpPr>
        <xdr:cNvPr id="4098" name="Group 4098"/>
        <xdr:cNvGrpSpPr/>
      </xdr:nvGrpSpPr>
      <xdr:grpSpPr>
        <a:xfrm>
          <a:off x="15091410" y="7707630"/>
          <a:ext cx="2312670" cy="308610"/>
          <a:chOff x="15091410" y="7707630"/>
          <a:chExt cx="2312670" cy="308610"/>
        </a:xfrm>
      </xdr:grpSpPr>
      <xdr:pic>
        <xdr:nvPicPr>
          <xdr:cNvPr id="4099" name="ShapeProperty" hidden="0"/>
          <xdr:cNvPicPr>
            <a:picLocks noChangeAspect="1"/>
          </xdr:cNvPicPr>
        </xdr:nvPicPr>
        <xdr:blipFill xmlns:r="http://schemas.openxmlformats.org/officeDocument/2006/relationships">
          <a:blip xmlns:r="http://schemas.openxmlformats.org/officeDocument/2006/relationships" r:embed="rId2"/>
          <a:srcRect l="11723" t="11770" r="12426" b="11742"/>
          <a:stretch/>
        </xdr:blipFill>
        <xdr:spPr>
          <a:xfrm>
            <a:off x="17080230" y="7707630"/>
            <a:ext cx="323850" cy="308610"/>
          </a:xfrm>
          <a:prstGeom prst="rect">
            <a:avLst/>
          </a:prstGeom>
          <a:noFill/>
          <a:ln w="9525">
            <a:noFill/>
          </a:ln>
          <a:effectLst/>
        </xdr:spPr>
      </xdr:pic>
      <xdr:grpSp>
        <xdr:nvGrpSpPr>
          <xdr:cNvPr id="4100" name="Group 4100"/>
          <xdr:cNvGrpSpPr/>
        </xdr:nvGrpSpPr>
        <xdr:grpSpPr>
          <a:xfrm>
            <a:off x="15091410" y="7707630"/>
            <a:ext cx="842010" cy="308610"/>
            <a:chOff x="15091410" y="7707630"/>
            <a:chExt cx="842010" cy="308610"/>
          </a:xfrm>
        </xdr:grpSpPr>
        <xdr:sp macro="" textlink="">
          <xdr:nvSpPr>
            <xdr:cNvPr id="4101" name=""/>
            <xdr:cNvSpPr/>
          </xdr:nvSpPr>
          <xdr:spPr>
            <a:xfrm>
              <a:off x="15091410" y="7707630"/>
              <a:ext cx="842010" cy="308610"/>
            </a:xfrm>
            <a:prstGeom prst="roundRect">
              <a:avLst>
                <a:gd name="adj" fmla="val 16666"/>
              </a:avLst>
            </a:prstGeom>
            <a:solidFill>
              <a:srgbClr val="2f5597"/>
            </a:solidFill>
            <a:ln w="12700" cap="flat" cmpd="sng">
              <a:solidFill>
                <a:srgbClr val="2f528f"/>
              </a:solidFill>
              <a:prstDash val="solid"/>
              <a:miter/>
            </a:ln>
            <a:effectLst/>
          </xdr:spPr>
        </xdr:sp>
        <xdr:grpSp>
          <xdr:nvGrpSpPr>
            <xdr:cNvPr id="4102" name="Group 4102"/>
            <xdr:cNvGrpSpPr/>
          </xdr:nvGrpSpPr>
          <xdr:grpSpPr>
            <a:xfrm>
              <a:off x="15159990" y="7749540"/>
              <a:ext cx="704850" cy="232410"/>
              <a:chOff x="15159990" y="7749540"/>
              <a:chExt cx="704850" cy="232410"/>
            </a:xfrm>
          </xdr:grpSpPr>
          <xdr:sp macro="" textlink="">
            <xdr:nvSpPr>
              <xdr:cNvPr id="4103" name=""/>
              <xdr:cNvSpPr/>
            </xdr:nvSpPr>
            <xdr:spPr>
              <a:xfrm>
                <a:off x="15159990" y="7753350"/>
                <a:ext cx="480060" cy="217170"/>
              </a:xfrm>
              <a:prstGeom prst="rect">
                <a:avLst/>
              </a:prstGeom>
              <a:noFill/>
              <a:ln w="9525">
                <a:noFill/>
              </a:ln>
              <a:effectLst/>
            </xdr:spPr>
            <xdr:txBody>
              <a:bodyPr vertOverflow="clip" wrap="square" rtlCol="0" anchor="t">
                <a:spAutoFit/>
              </a:bodyPr>
              <a:lstStyle/>
              <a:p>
                <a:pPr algn="l" rtl="0">
                  <a:defRPr lang="pt_br-BR" altLang="pt_br-BR" sz="1100"/>
                </a:pPr>
                <a:r>
                  <a:rPr lang="pt_br-BR" altLang="pt_br-BR" sz="800" b="1">
                    <a:solidFill>
                      <a:srgbClr val="ffffff"/>
                    </a:solidFill>
                    <a:latin typeface="Helvetica Black" pitchFamily="50" charset="-127"/>
                    <a:ea typeface="Helvetica Black" pitchFamily="50" charset="-127"/>
                  </a:rPr>
                  <a:t>Blog</a:t>
                </a:r>
                <a:endParaRPr lang="pt_br-BR">
                  <a:latin typeface="Calibri"/>
                  <a:ea typeface="Calibri"/>
                  <a:cs typeface="Calibri"/>
                </a:endParaRPr>
              </a:p>
            </xdr:txBody>
          </xdr:sp>
          <xdr:pic>
            <xdr:nvPicPr>
              <xdr:cNvPr id="4104" name="ShapeProperty" hidden="0"/>
              <xdr:cNvPicPr>
                <a:picLocks noChangeAspect="1"/>
              </xdr:cNvPicPr>
            </xdr:nvPicPr>
            <xdr:blipFill xmlns:r="http://schemas.openxmlformats.org/officeDocument/2006/relationships">
              <a:blip xmlns:r="http://schemas.openxmlformats.org/officeDocument/2006/relationships" r:embed="rId3"/>
              <a:srcRect l="0" t="0" r="74676" b="0"/>
              <a:stretch/>
            </xdr:blipFill>
            <xdr:spPr>
              <a:xfrm>
                <a:off x="15640050" y="7749540"/>
                <a:ext cx="224790" cy="232410"/>
              </a:xfrm>
              <a:prstGeom prst="rect">
                <a:avLst/>
              </a:prstGeom>
              <a:noFill/>
              <a:ln w="9525">
                <a:noFill/>
              </a:ln>
              <a:effectLst/>
            </xdr:spPr>
          </xdr:pic>
        </xdr:grpSp>
      </xdr:grpSp>
      <xdr:pic>
        <xdr:nvPicPr>
          <xdr:cNvPr id="4105" name="ShapeProperty" hidden="0"/>
          <xdr:cNvPicPr>
            <a:picLocks noChangeAspect="1"/>
          </xdr:cNvPicPr>
        </xdr:nvPicPr>
        <xdr:blipFill xmlns:r="http://schemas.openxmlformats.org/officeDocument/2006/relationships">
          <a:blip xmlns:r="http://schemas.openxmlformats.org/officeDocument/2006/relationships" r:embed="rId4"/>
          <a:stretch/>
        </xdr:blipFill>
        <xdr:spPr>
          <a:xfrm>
            <a:off x="16360140" y="7707630"/>
            <a:ext cx="327660" cy="308610"/>
          </a:xfrm>
          <a:prstGeom prst="rect">
            <a:avLst/>
          </a:prstGeom>
          <a:noFill/>
          <a:ln w="9525">
            <a:noFill/>
          </a:ln>
          <a:effectLst/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880110</xdr:colOff>
      <xdr:row>1</xdr:row>
      <xdr:rowOff>41672</xdr:rowOff>
    </xdr:from>
    <xdr:to>
      <xdr:col>17</xdr:col>
      <xdr:colOff>716280</xdr:colOff>
      <xdr:row>6</xdr:row>
      <xdr:rowOff>75843</xdr:rowOff>
    </xdr:to>
    <xdr:pic>
      <xdr:nvPicPr>
        <xdr:cNvPr id="5121" name="ShapeProperty" hidden="0"/>
        <xdr:cNvPicPr>
          <a:picLocks noChangeAspect="1"/>
        </xdr:cNvPicPr>
      </xdr:nvPicPr>
      <xdr:blipFill xmlns:r="http://schemas.openxmlformats.org/officeDocument/2006/relationships">
        <a:blip xmlns:r="http://schemas.openxmlformats.org/officeDocument/2006/relationships" r:embed="rId1"/>
        <a:stretch/>
      </xdr:blipFill>
      <xdr:spPr>
        <a:xfrm>
          <a:off x="14344650" y="232410"/>
          <a:ext cx="2834640" cy="750570"/>
        </a:xfrm>
        <a:prstGeom prst="rect">
          <a:avLst/>
        </a:prstGeom>
        <a:noFill/>
        <a:ln w="9525">
          <a:noFill/>
        </a:ln>
        <a:effectLst/>
      </xdr:spPr>
    </xdr:pic>
    <xdr:clientData/>
  </xdr:twoCellAnchor>
  <xdr:twoCellAnchor>
    <xdr:from>
      <xdr:col>15</xdr:col>
      <xdr:colOff>632460</xdr:colOff>
      <xdr:row>39</xdr:row>
      <xdr:rowOff>117574</xdr:rowOff>
    </xdr:from>
    <xdr:to>
      <xdr:col>17</xdr:col>
      <xdr:colOff>925830</xdr:colOff>
      <xdr:row>41</xdr:row>
      <xdr:rowOff>45393</xdr:rowOff>
    </xdr:to>
    <xdr:grpSp>
      <xdr:nvGrpSpPr>
        <xdr:cNvPr id="5122" name="Group 5122"/>
        <xdr:cNvGrpSpPr/>
      </xdr:nvGrpSpPr>
      <xdr:grpSpPr>
        <a:xfrm>
          <a:off x="15076170" y="7696200"/>
          <a:ext cx="2312670" cy="308610"/>
          <a:chOff x="15076170" y="7696200"/>
          <a:chExt cx="2312670" cy="308610"/>
        </a:xfrm>
      </xdr:grpSpPr>
      <xdr:pic>
        <xdr:nvPicPr>
          <xdr:cNvPr id="5123" name="ShapeProperty" hidden="0"/>
          <xdr:cNvPicPr>
            <a:picLocks noChangeAspect="1"/>
          </xdr:cNvPicPr>
        </xdr:nvPicPr>
        <xdr:blipFill xmlns:r="http://schemas.openxmlformats.org/officeDocument/2006/relationships">
          <a:blip xmlns:r="http://schemas.openxmlformats.org/officeDocument/2006/relationships" r:embed="rId2"/>
          <a:srcRect l="11723" t="11770" r="12426" b="11742"/>
          <a:stretch/>
        </xdr:blipFill>
        <xdr:spPr>
          <a:xfrm>
            <a:off x="17064990" y="7696200"/>
            <a:ext cx="323850" cy="308610"/>
          </a:xfrm>
          <a:prstGeom prst="rect">
            <a:avLst/>
          </a:prstGeom>
          <a:noFill/>
          <a:ln w="9525">
            <a:noFill/>
          </a:ln>
          <a:effectLst/>
        </xdr:spPr>
      </xdr:pic>
      <xdr:grpSp>
        <xdr:nvGrpSpPr>
          <xdr:cNvPr id="5124" name="Group 5124"/>
          <xdr:cNvGrpSpPr/>
        </xdr:nvGrpSpPr>
        <xdr:grpSpPr>
          <a:xfrm>
            <a:off x="15076170" y="7696200"/>
            <a:ext cx="842010" cy="308610"/>
            <a:chOff x="15076170" y="7696200"/>
            <a:chExt cx="842010" cy="308610"/>
          </a:xfrm>
        </xdr:grpSpPr>
        <xdr:sp macro="" textlink="">
          <xdr:nvSpPr>
            <xdr:cNvPr id="5125" name=""/>
            <xdr:cNvSpPr/>
          </xdr:nvSpPr>
          <xdr:spPr>
            <a:xfrm>
              <a:off x="15076170" y="7696200"/>
              <a:ext cx="842010" cy="308610"/>
            </a:xfrm>
            <a:prstGeom prst="roundRect">
              <a:avLst>
                <a:gd name="adj" fmla="val 16666"/>
              </a:avLst>
            </a:prstGeom>
            <a:solidFill>
              <a:srgbClr val="2f5597"/>
            </a:solidFill>
            <a:ln w="12700" cap="flat" cmpd="sng">
              <a:solidFill>
                <a:srgbClr val="2f528f"/>
              </a:solidFill>
              <a:prstDash val="solid"/>
              <a:miter/>
            </a:ln>
            <a:effectLst/>
          </xdr:spPr>
        </xdr:sp>
        <xdr:grpSp>
          <xdr:nvGrpSpPr>
            <xdr:cNvPr id="5126" name="Group 5126"/>
            <xdr:cNvGrpSpPr/>
          </xdr:nvGrpSpPr>
          <xdr:grpSpPr>
            <a:xfrm>
              <a:off x="15144750" y="7738110"/>
              <a:ext cx="704850" cy="232410"/>
              <a:chOff x="15144750" y="7738110"/>
              <a:chExt cx="704850" cy="232410"/>
            </a:xfrm>
          </xdr:grpSpPr>
          <xdr:sp macro="" textlink="">
            <xdr:nvSpPr>
              <xdr:cNvPr id="5127" name=""/>
              <xdr:cNvSpPr/>
            </xdr:nvSpPr>
            <xdr:spPr>
              <a:xfrm>
                <a:off x="15144750" y="7741920"/>
                <a:ext cx="480060" cy="217170"/>
              </a:xfrm>
              <a:prstGeom prst="rect">
                <a:avLst/>
              </a:prstGeom>
              <a:noFill/>
              <a:ln w="9525">
                <a:noFill/>
              </a:ln>
              <a:effectLst/>
            </xdr:spPr>
            <xdr:txBody>
              <a:bodyPr vertOverflow="clip" wrap="square" rtlCol="0" anchor="t">
                <a:spAutoFit/>
              </a:bodyPr>
              <a:lstStyle/>
              <a:p>
                <a:pPr algn="l" rtl="0">
                  <a:defRPr lang="pt_br-BR" altLang="pt_br-BR" sz="1100"/>
                </a:pPr>
                <a:r>
                  <a:rPr lang="pt_br-BR" altLang="pt_br-BR" sz="800" b="1">
                    <a:solidFill>
                      <a:srgbClr val="ffffff"/>
                    </a:solidFill>
                    <a:latin typeface="Helvetica Black" pitchFamily="50" charset="-127"/>
                    <a:ea typeface="Helvetica Black" pitchFamily="50" charset="-127"/>
                  </a:rPr>
                  <a:t>Blog</a:t>
                </a:r>
                <a:endParaRPr lang="pt_br-BR">
                  <a:latin typeface="Calibri"/>
                  <a:ea typeface="Calibri"/>
                  <a:cs typeface="Calibri"/>
                </a:endParaRPr>
              </a:p>
            </xdr:txBody>
          </xdr:sp>
          <xdr:pic>
            <xdr:nvPicPr>
              <xdr:cNvPr id="5128" name="ShapeProperty" hidden="0"/>
              <xdr:cNvPicPr>
                <a:picLocks noChangeAspect="1"/>
              </xdr:cNvPicPr>
            </xdr:nvPicPr>
            <xdr:blipFill xmlns:r="http://schemas.openxmlformats.org/officeDocument/2006/relationships">
              <a:blip xmlns:r="http://schemas.openxmlformats.org/officeDocument/2006/relationships" r:embed="rId3"/>
              <a:srcRect l="0" t="0" r="74676" b="0"/>
              <a:stretch/>
            </xdr:blipFill>
            <xdr:spPr>
              <a:xfrm>
                <a:off x="15624810" y="7738110"/>
                <a:ext cx="224790" cy="232410"/>
              </a:xfrm>
              <a:prstGeom prst="rect">
                <a:avLst/>
              </a:prstGeom>
              <a:noFill/>
              <a:ln w="9525">
                <a:noFill/>
              </a:ln>
              <a:effectLst/>
            </xdr:spPr>
          </xdr:pic>
        </xdr:grpSp>
      </xdr:grpSp>
      <xdr:pic>
        <xdr:nvPicPr>
          <xdr:cNvPr id="5129" name="ShapeProperty" hidden="0"/>
          <xdr:cNvPicPr>
            <a:picLocks noChangeAspect="1"/>
          </xdr:cNvPicPr>
        </xdr:nvPicPr>
        <xdr:blipFill xmlns:r="http://schemas.openxmlformats.org/officeDocument/2006/relationships">
          <a:blip xmlns:r="http://schemas.openxmlformats.org/officeDocument/2006/relationships" r:embed="rId4"/>
          <a:stretch/>
        </xdr:blipFill>
        <xdr:spPr>
          <a:xfrm>
            <a:off x="16344900" y="7696200"/>
            <a:ext cx="327660" cy="308610"/>
          </a:xfrm>
          <a:prstGeom prst="rect">
            <a:avLst/>
          </a:prstGeom>
          <a:noFill/>
          <a:ln w="9525">
            <a:noFill/>
          </a:ln>
          <a:effectLst/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880110</xdr:colOff>
      <xdr:row>1</xdr:row>
      <xdr:rowOff>41672</xdr:rowOff>
    </xdr:from>
    <xdr:to>
      <xdr:col>17</xdr:col>
      <xdr:colOff>716280</xdr:colOff>
      <xdr:row>6</xdr:row>
      <xdr:rowOff>75843</xdr:rowOff>
    </xdr:to>
    <xdr:pic>
      <xdr:nvPicPr>
        <xdr:cNvPr id="6145" name="ShapeProperty" hidden="0"/>
        <xdr:cNvPicPr>
          <a:picLocks noChangeAspect="1"/>
        </xdr:cNvPicPr>
      </xdr:nvPicPr>
      <xdr:blipFill xmlns:r="http://schemas.openxmlformats.org/officeDocument/2006/relationships">
        <a:blip xmlns:r="http://schemas.openxmlformats.org/officeDocument/2006/relationships" r:embed="rId1"/>
        <a:stretch/>
      </xdr:blipFill>
      <xdr:spPr>
        <a:xfrm>
          <a:off x="14344650" y="232410"/>
          <a:ext cx="2834640" cy="750570"/>
        </a:xfrm>
        <a:prstGeom prst="rect">
          <a:avLst/>
        </a:prstGeom>
        <a:noFill/>
        <a:ln w="9525">
          <a:noFill/>
        </a:ln>
        <a:effectLst/>
      </xdr:spPr>
    </xdr:pic>
    <xdr:clientData/>
  </xdr:twoCellAnchor>
  <xdr:twoCellAnchor>
    <xdr:from>
      <xdr:col>15</xdr:col>
      <xdr:colOff>567690</xdr:colOff>
      <xdr:row>39</xdr:row>
      <xdr:rowOff>117574</xdr:rowOff>
    </xdr:from>
    <xdr:to>
      <xdr:col>17</xdr:col>
      <xdr:colOff>857250</xdr:colOff>
      <xdr:row>41</xdr:row>
      <xdr:rowOff>45393</xdr:rowOff>
    </xdr:to>
    <xdr:grpSp>
      <xdr:nvGrpSpPr>
        <xdr:cNvPr id="6146" name="Group 6146"/>
        <xdr:cNvGrpSpPr/>
      </xdr:nvGrpSpPr>
      <xdr:grpSpPr>
        <a:xfrm>
          <a:off x="15011400" y="7696200"/>
          <a:ext cx="2308860" cy="308610"/>
          <a:chOff x="15011400" y="7696200"/>
          <a:chExt cx="2308860" cy="308610"/>
        </a:xfrm>
      </xdr:grpSpPr>
      <xdr:pic>
        <xdr:nvPicPr>
          <xdr:cNvPr id="6147" name="ShapeProperty" hidden="0"/>
          <xdr:cNvPicPr>
            <a:picLocks noChangeAspect="1"/>
          </xdr:cNvPicPr>
        </xdr:nvPicPr>
        <xdr:blipFill xmlns:r="http://schemas.openxmlformats.org/officeDocument/2006/relationships">
          <a:blip xmlns:r="http://schemas.openxmlformats.org/officeDocument/2006/relationships" r:embed="rId2"/>
          <a:srcRect l="11723" t="11770" r="12426" b="11742"/>
          <a:stretch/>
        </xdr:blipFill>
        <xdr:spPr>
          <a:xfrm>
            <a:off x="16996410" y="7696200"/>
            <a:ext cx="323850" cy="308610"/>
          </a:xfrm>
          <a:prstGeom prst="rect">
            <a:avLst/>
          </a:prstGeom>
          <a:noFill/>
          <a:ln w="9525">
            <a:noFill/>
          </a:ln>
          <a:effectLst/>
        </xdr:spPr>
      </xdr:pic>
      <xdr:grpSp>
        <xdr:nvGrpSpPr>
          <xdr:cNvPr id="6148" name="Group 6148"/>
          <xdr:cNvGrpSpPr/>
        </xdr:nvGrpSpPr>
        <xdr:grpSpPr>
          <a:xfrm>
            <a:off x="15011400" y="7696200"/>
            <a:ext cx="842010" cy="308610"/>
            <a:chOff x="15011400" y="7696200"/>
            <a:chExt cx="842010" cy="308610"/>
          </a:xfrm>
        </xdr:grpSpPr>
        <xdr:sp macro="" textlink="">
          <xdr:nvSpPr>
            <xdr:cNvPr id="6149" name=""/>
            <xdr:cNvSpPr/>
          </xdr:nvSpPr>
          <xdr:spPr>
            <a:xfrm>
              <a:off x="15011400" y="7696200"/>
              <a:ext cx="842010" cy="308610"/>
            </a:xfrm>
            <a:prstGeom prst="roundRect">
              <a:avLst>
                <a:gd name="adj" fmla="val 16666"/>
              </a:avLst>
            </a:prstGeom>
            <a:solidFill>
              <a:srgbClr val="2f5597"/>
            </a:solidFill>
            <a:ln w="12700" cap="flat" cmpd="sng">
              <a:solidFill>
                <a:srgbClr val="2f528f"/>
              </a:solidFill>
              <a:prstDash val="solid"/>
              <a:miter/>
            </a:ln>
            <a:effectLst/>
          </xdr:spPr>
        </xdr:sp>
        <xdr:grpSp>
          <xdr:nvGrpSpPr>
            <xdr:cNvPr id="6150" name="Group 6150"/>
            <xdr:cNvGrpSpPr/>
          </xdr:nvGrpSpPr>
          <xdr:grpSpPr>
            <a:xfrm>
              <a:off x="15079980" y="7738110"/>
              <a:ext cx="704850" cy="232410"/>
              <a:chOff x="15079980" y="7738110"/>
              <a:chExt cx="704850" cy="232410"/>
            </a:xfrm>
          </xdr:grpSpPr>
          <xdr:sp macro="" textlink="">
            <xdr:nvSpPr>
              <xdr:cNvPr id="6151" name=""/>
              <xdr:cNvSpPr/>
            </xdr:nvSpPr>
            <xdr:spPr>
              <a:xfrm>
                <a:off x="15079980" y="7741920"/>
                <a:ext cx="480060" cy="217170"/>
              </a:xfrm>
              <a:prstGeom prst="rect">
                <a:avLst/>
              </a:prstGeom>
              <a:noFill/>
              <a:ln w="9525">
                <a:noFill/>
              </a:ln>
              <a:effectLst/>
            </xdr:spPr>
            <xdr:txBody>
              <a:bodyPr vertOverflow="clip" wrap="square" rtlCol="0" anchor="t">
                <a:spAutoFit/>
              </a:bodyPr>
              <a:lstStyle/>
              <a:p>
                <a:pPr algn="l" rtl="0">
                  <a:defRPr lang="pt_br-BR" altLang="pt_br-BR" sz="1100"/>
                </a:pPr>
                <a:r>
                  <a:rPr lang="pt_br-BR" altLang="pt_br-BR" sz="800" b="1">
                    <a:solidFill>
                      <a:srgbClr val="ffffff"/>
                    </a:solidFill>
                    <a:latin typeface="Helvetica Black" pitchFamily="50" charset="-127"/>
                    <a:ea typeface="Helvetica Black" pitchFamily="50" charset="-127"/>
                  </a:rPr>
                  <a:t>Blog</a:t>
                </a:r>
                <a:endParaRPr lang="pt_br-BR">
                  <a:latin typeface="Calibri"/>
                  <a:ea typeface="Calibri"/>
                  <a:cs typeface="Calibri"/>
                </a:endParaRPr>
              </a:p>
            </xdr:txBody>
          </xdr:sp>
          <xdr:pic>
            <xdr:nvPicPr>
              <xdr:cNvPr id="6152" name="ShapeProperty" hidden="0"/>
              <xdr:cNvPicPr>
                <a:picLocks noChangeAspect="1"/>
              </xdr:cNvPicPr>
            </xdr:nvPicPr>
            <xdr:blipFill xmlns:r="http://schemas.openxmlformats.org/officeDocument/2006/relationships">
              <a:blip xmlns:r="http://schemas.openxmlformats.org/officeDocument/2006/relationships" r:embed="rId3"/>
              <a:srcRect l="0" t="0" r="74676" b="0"/>
              <a:stretch/>
            </xdr:blipFill>
            <xdr:spPr>
              <a:xfrm>
                <a:off x="15560040" y="7738110"/>
                <a:ext cx="224790" cy="232410"/>
              </a:xfrm>
              <a:prstGeom prst="rect">
                <a:avLst/>
              </a:prstGeom>
              <a:noFill/>
              <a:ln w="9525">
                <a:noFill/>
              </a:ln>
              <a:effectLst/>
            </xdr:spPr>
          </xdr:pic>
        </xdr:grpSp>
      </xdr:grpSp>
      <xdr:pic>
        <xdr:nvPicPr>
          <xdr:cNvPr id="6153" name="ShapeProperty" hidden="0"/>
          <xdr:cNvPicPr>
            <a:picLocks noChangeAspect="1"/>
          </xdr:cNvPicPr>
        </xdr:nvPicPr>
        <xdr:blipFill xmlns:r="http://schemas.openxmlformats.org/officeDocument/2006/relationships">
          <a:blip xmlns:r="http://schemas.openxmlformats.org/officeDocument/2006/relationships" r:embed="rId4"/>
          <a:stretch/>
        </xdr:blipFill>
        <xdr:spPr>
          <a:xfrm>
            <a:off x="16280130" y="7696200"/>
            <a:ext cx="327660" cy="308610"/>
          </a:xfrm>
          <a:prstGeom prst="rect">
            <a:avLst/>
          </a:prstGeom>
          <a:noFill/>
          <a:ln w="9525">
            <a:noFill/>
          </a:ln>
          <a:effectLst/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880110</xdr:colOff>
      <xdr:row>1</xdr:row>
      <xdr:rowOff>41672</xdr:rowOff>
    </xdr:from>
    <xdr:to>
      <xdr:col>17</xdr:col>
      <xdr:colOff>716280</xdr:colOff>
      <xdr:row>6</xdr:row>
      <xdr:rowOff>75843</xdr:rowOff>
    </xdr:to>
    <xdr:pic>
      <xdr:nvPicPr>
        <xdr:cNvPr id="7169" name="ShapeProperty" hidden="0"/>
        <xdr:cNvPicPr>
          <a:picLocks noChangeAspect="1"/>
        </xdr:cNvPicPr>
      </xdr:nvPicPr>
      <xdr:blipFill xmlns:r="http://schemas.openxmlformats.org/officeDocument/2006/relationships">
        <a:blip xmlns:r="http://schemas.openxmlformats.org/officeDocument/2006/relationships" r:embed="rId1"/>
        <a:stretch/>
      </xdr:blipFill>
      <xdr:spPr>
        <a:xfrm>
          <a:off x="14344650" y="232410"/>
          <a:ext cx="2834640" cy="750570"/>
        </a:xfrm>
        <a:prstGeom prst="rect">
          <a:avLst/>
        </a:prstGeom>
        <a:noFill/>
        <a:ln w="9525">
          <a:noFill/>
        </a:ln>
        <a:effectLst/>
      </xdr:spPr>
    </xdr:pic>
    <xdr:clientData/>
  </xdr:twoCellAnchor>
  <xdr:twoCellAnchor>
    <xdr:from>
      <xdr:col>15</xdr:col>
      <xdr:colOff>605790</xdr:colOff>
      <xdr:row>39</xdr:row>
      <xdr:rowOff>129480</xdr:rowOff>
    </xdr:from>
    <xdr:to>
      <xdr:col>17</xdr:col>
      <xdr:colOff>899160</xdr:colOff>
      <xdr:row>41</xdr:row>
      <xdr:rowOff>56555</xdr:rowOff>
    </xdr:to>
    <xdr:grpSp>
      <xdr:nvGrpSpPr>
        <xdr:cNvPr id="7170" name="Group 7170"/>
        <xdr:cNvGrpSpPr/>
      </xdr:nvGrpSpPr>
      <xdr:grpSpPr>
        <a:xfrm>
          <a:off x="15049500" y="7707630"/>
          <a:ext cx="2312670" cy="308610"/>
          <a:chOff x="15049500" y="7707630"/>
          <a:chExt cx="2312670" cy="308610"/>
        </a:xfrm>
      </xdr:grpSpPr>
      <xdr:pic>
        <xdr:nvPicPr>
          <xdr:cNvPr id="7171" name="ShapeProperty" hidden="0"/>
          <xdr:cNvPicPr>
            <a:picLocks noChangeAspect="1"/>
          </xdr:cNvPicPr>
        </xdr:nvPicPr>
        <xdr:blipFill xmlns:r="http://schemas.openxmlformats.org/officeDocument/2006/relationships">
          <a:blip xmlns:r="http://schemas.openxmlformats.org/officeDocument/2006/relationships" r:embed="rId2"/>
          <a:srcRect l="11723" t="11770" r="12426" b="11742"/>
          <a:stretch/>
        </xdr:blipFill>
        <xdr:spPr>
          <a:xfrm>
            <a:off x="17038320" y="7707630"/>
            <a:ext cx="323850" cy="308610"/>
          </a:xfrm>
          <a:prstGeom prst="rect">
            <a:avLst/>
          </a:prstGeom>
          <a:noFill/>
          <a:ln w="9525">
            <a:noFill/>
          </a:ln>
          <a:effectLst/>
        </xdr:spPr>
      </xdr:pic>
      <xdr:grpSp>
        <xdr:nvGrpSpPr>
          <xdr:cNvPr id="7172" name="Group 7172"/>
          <xdr:cNvGrpSpPr/>
        </xdr:nvGrpSpPr>
        <xdr:grpSpPr>
          <a:xfrm>
            <a:off x="15049500" y="7707630"/>
            <a:ext cx="842010" cy="308610"/>
            <a:chOff x="15049500" y="7707630"/>
            <a:chExt cx="842010" cy="308610"/>
          </a:xfrm>
        </xdr:grpSpPr>
        <xdr:sp macro="" textlink="">
          <xdr:nvSpPr>
            <xdr:cNvPr id="7173" name=""/>
            <xdr:cNvSpPr/>
          </xdr:nvSpPr>
          <xdr:spPr>
            <a:xfrm>
              <a:off x="15049500" y="7707630"/>
              <a:ext cx="842010" cy="308610"/>
            </a:xfrm>
            <a:prstGeom prst="roundRect">
              <a:avLst>
                <a:gd name="adj" fmla="val 16666"/>
              </a:avLst>
            </a:prstGeom>
            <a:solidFill>
              <a:srgbClr val="2f5597"/>
            </a:solidFill>
            <a:ln w="12700" cap="flat" cmpd="sng">
              <a:solidFill>
                <a:srgbClr val="2f528f"/>
              </a:solidFill>
              <a:prstDash val="solid"/>
              <a:miter/>
            </a:ln>
            <a:effectLst/>
          </xdr:spPr>
        </xdr:sp>
        <xdr:grpSp>
          <xdr:nvGrpSpPr>
            <xdr:cNvPr id="7174" name="Group 7174"/>
            <xdr:cNvGrpSpPr/>
          </xdr:nvGrpSpPr>
          <xdr:grpSpPr>
            <a:xfrm>
              <a:off x="15118080" y="7749540"/>
              <a:ext cx="704850" cy="232410"/>
              <a:chOff x="15118080" y="7749540"/>
              <a:chExt cx="704850" cy="232410"/>
            </a:xfrm>
          </xdr:grpSpPr>
          <xdr:sp macro="" textlink="">
            <xdr:nvSpPr>
              <xdr:cNvPr id="7175" name=""/>
              <xdr:cNvSpPr/>
            </xdr:nvSpPr>
            <xdr:spPr>
              <a:xfrm>
                <a:off x="15118080" y="7753350"/>
                <a:ext cx="480060" cy="217170"/>
              </a:xfrm>
              <a:prstGeom prst="rect">
                <a:avLst/>
              </a:prstGeom>
              <a:noFill/>
              <a:ln w="9525">
                <a:noFill/>
              </a:ln>
              <a:effectLst/>
            </xdr:spPr>
            <xdr:txBody>
              <a:bodyPr vertOverflow="clip" wrap="square" rtlCol="0" anchor="t">
                <a:spAutoFit/>
              </a:bodyPr>
              <a:lstStyle/>
              <a:p>
                <a:pPr algn="l" rtl="0">
                  <a:defRPr lang="pt_br-BR" altLang="pt_br-BR" sz="1100"/>
                </a:pPr>
                <a:r>
                  <a:rPr lang="pt_br-BR" altLang="pt_br-BR" sz="800" b="1">
                    <a:solidFill>
                      <a:srgbClr val="ffffff"/>
                    </a:solidFill>
                    <a:latin typeface="Helvetica Black" pitchFamily="50" charset="-127"/>
                    <a:ea typeface="Helvetica Black" pitchFamily="50" charset="-127"/>
                  </a:rPr>
                  <a:t>Blog</a:t>
                </a:r>
                <a:endParaRPr lang="pt_br-BR">
                  <a:latin typeface="Calibri"/>
                  <a:ea typeface="Calibri"/>
                  <a:cs typeface="Calibri"/>
                </a:endParaRPr>
              </a:p>
            </xdr:txBody>
          </xdr:sp>
          <xdr:pic>
            <xdr:nvPicPr>
              <xdr:cNvPr id="7176" name="ShapeProperty" hidden="0"/>
              <xdr:cNvPicPr>
                <a:picLocks noChangeAspect="1"/>
              </xdr:cNvPicPr>
            </xdr:nvPicPr>
            <xdr:blipFill xmlns:r="http://schemas.openxmlformats.org/officeDocument/2006/relationships">
              <a:blip xmlns:r="http://schemas.openxmlformats.org/officeDocument/2006/relationships" r:embed="rId3"/>
              <a:srcRect l="0" t="0" r="74676" b="0"/>
              <a:stretch/>
            </xdr:blipFill>
            <xdr:spPr>
              <a:xfrm>
                <a:off x="15598140" y="7749540"/>
                <a:ext cx="224790" cy="232410"/>
              </a:xfrm>
              <a:prstGeom prst="rect">
                <a:avLst/>
              </a:prstGeom>
              <a:noFill/>
              <a:ln w="9525">
                <a:noFill/>
              </a:ln>
              <a:effectLst/>
            </xdr:spPr>
          </xdr:pic>
        </xdr:grpSp>
      </xdr:grpSp>
      <xdr:pic>
        <xdr:nvPicPr>
          <xdr:cNvPr id="7177" name="ShapeProperty" hidden="0"/>
          <xdr:cNvPicPr>
            <a:picLocks noChangeAspect="1"/>
          </xdr:cNvPicPr>
        </xdr:nvPicPr>
        <xdr:blipFill xmlns:r="http://schemas.openxmlformats.org/officeDocument/2006/relationships">
          <a:blip xmlns:r="http://schemas.openxmlformats.org/officeDocument/2006/relationships" r:embed="rId4"/>
          <a:stretch/>
        </xdr:blipFill>
        <xdr:spPr>
          <a:xfrm>
            <a:off x="16318230" y="7707630"/>
            <a:ext cx="327660" cy="308610"/>
          </a:xfrm>
          <a:prstGeom prst="rect">
            <a:avLst/>
          </a:prstGeom>
          <a:noFill/>
          <a:ln w="9525">
            <a:noFill/>
          </a:ln>
          <a:effectLst/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880110</xdr:colOff>
      <xdr:row>1</xdr:row>
      <xdr:rowOff>41672</xdr:rowOff>
    </xdr:from>
    <xdr:to>
      <xdr:col>17</xdr:col>
      <xdr:colOff>716280</xdr:colOff>
      <xdr:row>6</xdr:row>
      <xdr:rowOff>75843</xdr:rowOff>
    </xdr:to>
    <xdr:pic>
      <xdr:nvPicPr>
        <xdr:cNvPr id="8193" name="ShapeProperty" hidden="0"/>
        <xdr:cNvPicPr>
          <a:picLocks noChangeAspect="1"/>
        </xdr:cNvPicPr>
      </xdr:nvPicPr>
      <xdr:blipFill xmlns:r="http://schemas.openxmlformats.org/officeDocument/2006/relationships">
        <a:blip xmlns:r="http://schemas.openxmlformats.org/officeDocument/2006/relationships" r:embed="rId1"/>
        <a:stretch/>
      </xdr:blipFill>
      <xdr:spPr>
        <a:xfrm>
          <a:off x="14344650" y="232410"/>
          <a:ext cx="2834640" cy="750570"/>
        </a:xfrm>
        <a:prstGeom prst="rect">
          <a:avLst/>
        </a:prstGeom>
        <a:noFill/>
        <a:ln w="9525">
          <a:noFill/>
        </a:ln>
        <a:effectLst/>
      </xdr:spPr>
    </xdr:pic>
    <xdr:clientData/>
  </xdr:twoCellAnchor>
  <xdr:twoCellAnchor>
    <xdr:from>
      <xdr:col>15</xdr:col>
      <xdr:colOff>605790</xdr:colOff>
      <xdr:row>39</xdr:row>
      <xdr:rowOff>155525</xdr:rowOff>
    </xdr:from>
    <xdr:to>
      <xdr:col>17</xdr:col>
      <xdr:colOff>899160</xdr:colOff>
      <xdr:row>41</xdr:row>
      <xdr:rowOff>87064</xdr:rowOff>
    </xdr:to>
    <xdr:grpSp>
      <xdr:nvGrpSpPr>
        <xdr:cNvPr id="8194" name="Group 8194"/>
        <xdr:cNvGrpSpPr/>
      </xdr:nvGrpSpPr>
      <xdr:grpSpPr>
        <a:xfrm>
          <a:off x="15049500" y="7734300"/>
          <a:ext cx="2312670" cy="312420"/>
          <a:chOff x="15049500" y="7734300"/>
          <a:chExt cx="2312670" cy="312420"/>
        </a:xfrm>
      </xdr:grpSpPr>
      <xdr:pic>
        <xdr:nvPicPr>
          <xdr:cNvPr id="8195" name="ShapeProperty" hidden="0"/>
          <xdr:cNvPicPr>
            <a:picLocks noChangeAspect="1"/>
          </xdr:cNvPicPr>
        </xdr:nvPicPr>
        <xdr:blipFill xmlns:r="http://schemas.openxmlformats.org/officeDocument/2006/relationships">
          <a:blip xmlns:r="http://schemas.openxmlformats.org/officeDocument/2006/relationships" r:embed="rId2"/>
          <a:srcRect l="11723" t="11770" r="12426" b="11742"/>
          <a:stretch/>
        </xdr:blipFill>
        <xdr:spPr>
          <a:xfrm>
            <a:off x="17038320" y="7734300"/>
            <a:ext cx="323850" cy="312420"/>
          </a:xfrm>
          <a:prstGeom prst="rect">
            <a:avLst/>
          </a:prstGeom>
          <a:noFill/>
          <a:ln w="9525">
            <a:noFill/>
          </a:ln>
          <a:effectLst/>
        </xdr:spPr>
      </xdr:pic>
      <xdr:grpSp>
        <xdr:nvGrpSpPr>
          <xdr:cNvPr id="8196" name="Group 8196"/>
          <xdr:cNvGrpSpPr/>
        </xdr:nvGrpSpPr>
        <xdr:grpSpPr>
          <a:xfrm>
            <a:off x="15049500" y="7734300"/>
            <a:ext cx="842010" cy="312420"/>
            <a:chOff x="15049500" y="7734300"/>
            <a:chExt cx="842010" cy="312420"/>
          </a:xfrm>
        </xdr:grpSpPr>
        <xdr:sp macro="" textlink="">
          <xdr:nvSpPr>
            <xdr:cNvPr id="8197" name=""/>
            <xdr:cNvSpPr/>
          </xdr:nvSpPr>
          <xdr:spPr>
            <a:xfrm>
              <a:off x="15049500" y="7734300"/>
              <a:ext cx="842010" cy="312420"/>
            </a:xfrm>
            <a:prstGeom prst="roundRect">
              <a:avLst>
                <a:gd name="adj" fmla="val 16666"/>
              </a:avLst>
            </a:prstGeom>
            <a:solidFill>
              <a:srgbClr val="2f5597"/>
            </a:solidFill>
            <a:ln w="12700" cap="flat" cmpd="sng">
              <a:solidFill>
                <a:srgbClr val="2f528f"/>
              </a:solidFill>
              <a:prstDash val="solid"/>
              <a:miter/>
            </a:ln>
            <a:effectLst/>
          </xdr:spPr>
        </xdr:sp>
        <xdr:grpSp>
          <xdr:nvGrpSpPr>
            <xdr:cNvPr id="8198" name="Group 8198"/>
            <xdr:cNvGrpSpPr/>
          </xdr:nvGrpSpPr>
          <xdr:grpSpPr>
            <a:xfrm>
              <a:off x="15118080" y="7776210"/>
              <a:ext cx="704850" cy="236220"/>
              <a:chOff x="15118080" y="7776210"/>
              <a:chExt cx="704850" cy="236220"/>
            </a:xfrm>
          </xdr:grpSpPr>
          <xdr:sp macro="" textlink="">
            <xdr:nvSpPr>
              <xdr:cNvPr id="8199" name=""/>
              <xdr:cNvSpPr/>
            </xdr:nvSpPr>
            <xdr:spPr>
              <a:xfrm>
                <a:off x="15118080" y="7780020"/>
                <a:ext cx="480060" cy="220980"/>
              </a:xfrm>
              <a:prstGeom prst="rect">
                <a:avLst/>
              </a:prstGeom>
              <a:noFill/>
              <a:ln w="9525">
                <a:noFill/>
              </a:ln>
              <a:effectLst/>
            </xdr:spPr>
            <xdr:txBody>
              <a:bodyPr vertOverflow="clip" wrap="square" rtlCol="0" anchor="t">
                <a:spAutoFit/>
              </a:bodyPr>
              <a:lstStyle/>
              <a:p>
                <a:pPr algn="l" rtl="0">
                  <a:defRPr lang="pt_br-BR" altLang="pt_br-BR" sz="1100"/>
                </a:pPr>
                <a:r>
                  <a:rPr lang="pt_br-BR" altLang="pt_br-BR" sz="800" b="1">
                    <a:solidFill>
                      <a:srgbClr val="ffffff"/>
                    </a:solidFill>
                    <a:latin typeface="Helvetica Black" pitchFamily="50" charset="-127"/>
                    <a:ea typeface="Helvetica Black" pitchFamily="50" charset="-127"/>
                  </a:rPr>
                  <a:t>Blog</a:t>
                </a:r>
                <a:endParaRPr lang="pt_br-BR">
                  <a:latin typeface="Calibri"/>
                  <a:ea typeface="Calibri"/>
                  <a:cs typeface="Calibri"/>
                </a:endParaRPr>
              </a:p>
            </xdr:txBody>
          </xdr:sp>
          <xdr:pic>
            <xdr:nvPicPr>
              <xdr:cNvPr id="8200" name="ShapeProperty" hidden="0"/>
              <xdr:cNvPicPr>
                <a:picLocks noChangeAspect="1"/>
              </xdr:cNvPicPr>
            </xdr:nvPicPr>
            <xdr:blipFill xmlns:r="http://schemas.openxmlformats.org/officeDocument/2006/relationships">
              <a:blip xmlns:r="http://schemas.openxmlformats.org/officeDocument/2006/relationships" r:embed="rId3"/>
              <a:srcRect l="0" t="0" r="74676" b="0"/>
              <a:stretch/>
            </xdr:blipFill>
            <xdr:spPr>
              <a:xfrm>
                <a:off x="15598140" y="7776210"/>
                <a:ext cx="224790" cy="236220"/>
              </a:xfrm>
              <a:prstGeom prst="rect">
                <a:avLst/>
              </a:prstGeom>
              <a:noFill/>
              <a:ln w="9525">
                <a:noFill/>
              </a:ln>
              <a:effectLst/>
            </xdr:spPr>
          </xdr:pic>
        </xdr:grpSp>
      </xdr:grpSp>
      <xdr:pic>
        <xdr:nvPicPr>
          <xdr:cNvPr id="8201" name="ShapeProperty" hidden="0"/>
          <xdr:cNvPicPr>
            <a:picLocks noChangeAspect="1"/>
          </xdr:cNvPicPr>
        </xdr:nvPicPr>
        <xdr:blipFill xmlns:r="http://schemas.openxmlformats.org/officeDocument/2006/relationships">
          <a:blip xmlns:r="http://schemas.openxmlformats.org/officeDocument/2006/relationships" r:embed="rId4"/>
          <a:stretch/>
        </xdr:blipFill>
        <xdr:spPr>
          <a:xfrm>
            <a:off x="16318230" y="7734300"/>
            <a:ext cx="327660" cy="312420"/>
          </a:xfrm>
          <a:prstGeom prst="rect">
            <a:avLst/>
          </a:prstGeom>
          <a:noFill/>
          <a:ln w="9525">
            <a:noFill/>
          </a:ln>
          <a:effectLst/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880110</xdr:colOff>
      <xdr:row>1</xdr:row>
      <xdr:rowOff>41672</xdr:rowOff>
    </xdr:from>
    <xdr:to>
      <xdr:col>17</xdr:col>
      <xdr:colOff>716280</xdr:colOff>
      <xdr:row>6</xdr:row>
      <xdr:rowOff>75843</xdr:rowOff>
    </xdr:to>
    <xdr:pic>
      <xdr:nvPicPr>
        <xdr:cNvPr id="9217" name="ShapeProperty" hidden="0"/>
        <xdr:cNvPicPr>
          <a:picLocks noChangeAspect="1"/>
        </xdr:cNvPicPr>
      </xdr:nvPicPr>
      <xdr:blipFill xmlns:r="http://schemas.openxmlformats.org/officeDocument/2006/relationships">
        <a:blip xmlns:r="http://schemas.openxmlformats.org/officeDocument/2006/relationships" r:embed="rId1"/>
        <a:stretch/>
      </xdr:blipFill>
      <xdr:spPr>
        <a:xfrm>
          <a:off x="14344650" y="232410"/>
          <a:ext cx="2834640" cy="750570"/>
        </a:xfrm>
        <a:prstGeom prst="rect">
          <a:avLst/>
        </a:prstGeom>
        <a:noFill/>
        <a:ln w="9525">
          <a:noFill/>
        </a:ln>
        <a:effectLst/>
      </xdr:spPr>
    </xdr:pic>
    <xdr:clientData/>
  </xdr:twoCellAnchor>
  <xdr:twoCellAnchor>
    <xdr:from>
      <xdr:col>15</xdr:col>
      <xdr:colOff>525780</xdr:colOff>
      <xdr:row>39</xdr:row>
      <xdr:rowOff>171152</xdr:rowOff>
    </xdr:from>
    <xdr:to>
      <xdr:col>17</xdr:col>
      <xdr:colOff>815340</xdr:colOff>
      <xdr:row>41</xdr:row>
      <xdr:rowOff>98971</xdr:rowOff>
    </xdr:to>
    <xdr:grpSp>
      <xdr:nvGrpSpPr>
        <xdr:cNvPr id="9218" name="Group 9218"/>
        <xdr:cNvGrpSpPr/>
      </xdr:nvGrpSpPr>
      <xdr:grpSpPr>
        <a:xfrm>
          <a:off x="14969490" y="7749540"/>
          <a:ext cx="2308860" cy="308610"/>
          <a:chOff x="14969490" y="7749540"/>
          <a:chExt cx="2308860" cy="308610"/>
        </a:xfrm>
      </xdr:grpSpPr>
      <xdr:pic>
        <xdr:nvPicPr>
          <xdr:cNvPr id="9219" name="ShapeProperty" hidden="0"/>
          <xdr:cNvPicPr>
            <a:picLocks noChangeAspect="1"/>
          </xdr:cNvPicPr>
        </xdr:nvPicPr>
        <xdr:blipFill xmlns:r="http://schemas.openxmlformats.org/officeDocument/2006/relationships">
          <a:blip xmlns:r="http://schemas.openxmlformats.org/officeDocument/2006/relationships" r:embed="rId2"/>
          <a:srcRect l="11723" t="11770" r="12426" b="11742"/>
          <a:stretch/>
        </xdr:blipFill>
        <xdr:spPr>
          <a:xfrm>
            <a:off x="16954500" y="7749540"/>
            <a:ext cx="323850" cy="308610"/>
          </a:xfrm>
          <a:prstGeom prst="rect">
            <a:avLst/>
          </a:prstGeom>
          <a:noFill/>
          <a:ln w="9525">
            <a:noFill/>
          </a:ln>
          <a:effectLst/>
        </xdr:spPr>
      </xdr:pic>
      <xdr:grpSp>
        <xdr:nvGrpSpPr>
          <xdr:cNvPr id="9220" name="Group 9220"/>
          <xdr:cNvGrpSpPr/>
        </xdr:nvGrpSpPr>
        <xdr:grpSpPr>
          <a:xfrm>
            <a:off x="14969490" y="7749540"/>
            <a:ext cx="842010" cy="308610"/>
            <a:chOff x="14969490" y="7749540"/>
            <a:chExt cx="842010" cy="308610"/>
          </a:xfrm>
        </xdr:grpSpPr>
        <xdr:sp macro="" textlink="">
          <xdr:nvSpPr>
            <xdr:cNvPr id="9221" name=""/>
            <xdr:cNvSpPr/>
          </xdr:nvSpPr>
          <xdr:spPr>
            <a:xfrm>
              <a:off x="14969490" y="7749540"/>
              <a:ext cx="842010" cy="308610"/>
            </a:xfrm>
            <a:prstGeom prst="roundRect">
              <a:avLst>
                <a:gd name="adj" fmla="val 16666"/>
              </a:avLst>
            </a:prstGeom>
            <a:solidFill>
              <a:srgbClr val="2f5597"/>
            </a:solidFill>
            <a:ln w="12700" cap="flat" cmpd="sng">
              <a:solidFill>
                <a:srgbClr val="2f528f"/>
              </a:solidFill>
              <a:prstDash val="solid"/>
              <a:miter/>
            </a:ln>
            <a:effectLst/>
          </xdr:spPr>
        </xdr:sp>
        <xdr:grpSp>
          <xdr:nvGrpSpPr>
            <xdr:cNvPr id="9222" name="Group 9222"/>
            <xdr:cNvGrpSpPr/>
          </xdr:nvGrpSpPr>
          <xdr:grpSpPr>
            <a:xfrm>
              <a:off x="15038070" y="7791450"/>
              <a:ext cx="704850" cy="232410"/>
              <a:chOff x="15038070" y="7791450"/>
              <a:chExt cx="704850" cy="232410"/>
            </a:xfrm>
          </xdr:grpSpPr>
          <xdr:sp macro="" textlink="">
            <xdr:nvSpPr>
              <xdr:cNvPr id="9223" name=""/>
              <xdr:cNvSpPr/>
            </xdr:nvSpPr>
            <xdr:spPr>
              <a:xfrm>
                <a:off x="15038070" y="7795260"/>
                <a:ext cx="480060" cy="217170"/>
              </a:xfrm>
              <a:prstGeom prst="rect">
                <a:avLst/>
              </a:prstGeom>
              <a:noFill/>
              <a:ln w="9525">
                <a:noFill/>
              </a:ln>
              <a:effectLst/>
            </xdr:spPr>
            <xdr:txBody>
              <a:bodyPr vertOverflow="clip" wrap="square" rtlCol="0" anchor="t">
                <a:spAutoFit/>
              </a:bodyPr>
              <a:lstStyle/>
              <a:p>
                <a:pPr algn="l" rtl="0">
                  <a:defRPr lang="pt_br-BR" altLang="pt_br-BR" sz="1100"/>
                </a:pPr>
                <a:r>
                  <a:rPr lang="pt_br-BR" altLang="pt_br-BR" sz="800" b="1">
                    <a:solidFill>
                      <a:srgbClr val="ffffff"/>
                    </a:solidFill>
                    <a:latin typeface="Helvetica Black" pitchFamily="50" charset="-127"/>
                    <a:ea typeface="Helvetica Black" pitchFamily="50" charset="-127"/>
                  </a:rPr>
                  <a:t>Blog</a:t>
                </a:r>
                <a:endParaRPr lang="pt_br-BR">
                  <a:latin typeface="Calibri"/>
                  <a:ea typeface="Calibri"/>
                  <a:cs typeface="Calibri"/>
                </a:endParaRPr>
              </a:p>
            </xdr:txBody>
          </xdr:sp>
          <xdr:pic>
            <xdr:nvPicPr>
              <xdr:cNvPr id="9224" name="ShapeProperty" hidden="0"/>
              <xdr:cNvPicPr>
                <a:picLocks noChangeAspect="1"/>
              </xdr:cNvPicPr>
            </xdr:nvPicPr>
            <xdr:blipFill xmlns:r="http://schemas.openxmlformats.org/officeDocument/2006/relationships">
              <a:blip xmlns:r="http://schemas.openxmlformats.org/officeDocument/2006/relationships" r:embed="rId3"/>
              <a:srcRect l="0" t="0" r="74676" b="0"/>
              <a:stretch/>
            </xdr:blipFill>
            <xdr:spPr>
              <a:xfrm>
                <a:off x="15518130" y="7791450"/>
                <a:ext cx="224790" cy="232410"/>
              </a:xfrm>
              <a:prstGeom prst="rect">
                <a:avLst/>
              </a:prstGeom>
              <a:noFill/>
              <a:ln w="9525">
                <a:noFill/>
              </a:ln>
              <a:effectLst/>
            </xdr:spPr>
          </xdr:pic>
        </xdr:grpSp>
      </xdr:grpSp>
      <xdr:pic>
        <xdr:nvPicPr>
          <xdr:cNvPr id="9225" name="ShapeProperty" hidden="0"/>
          <xdr:cNvPicPr>
            <a:picLocks noChangeAspect="1"/>
          </xdr:cNvPicPr>
        </xdr:nvPicPr>
        <xdr:blipFill xmlns:r="http://schemas.openxmlformats.org/officeDocument/2006/relationships">
          <a:blip xmlns:r="http://schemas.openxmlformats.org/officeDocument/2006/relationships" r:embed="rId4"/>
          <a:stretch/>
        </xdr:blipFill>
        <xdr:spPr>
          <a:xfrm>
            <a:off x="16238220" y="7749540"/>
            <a:ext cx="327660" cy="308610"/>
          </a:xfrm>
          <a:prstGeom prst="rect">
            <a:avLst/>
          </a:prstGeom>
          <a:noFill/>
          <a:ln w="9525">
            <a:noFill/>
          </a:ln>
          <a:effectLst/>
        </xdr:spPr>
      </xdr:pic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880110</xdr:colOff>
      <xdr:row>1</xdr:row>
      <xdr:rowOff>41672</xdr:rowOff>
    </xdr:from>
    <xdr:to>
      <xdr:col>17</xdr:col>
      <xdr:colOff>716280</xdr:colOff>
      <xdr:row>6</xdr:row>
      <xdr:rowOff>75843</xdr:rowOff>
    </xdr:to>
    <xdr:pic>
      <xdr:nvPicPr>
        <xdr:cNvPr id="10241" name="ShapeProperty" hidden="0"/>
        <xdr:cNvPicPr>
          <a:picLocks noChangeAspect="1"/>
        </xdr:cNvPicPr>
      </xdr:nvPicPr>
      <xdr:blipFill xmlns:r="http://schemas.openxmlformats.org/officeDocument/2006/relationships">
        <a:blip xmlns:r="http://schemas.openxmlformats.org/officeDocument/2006/relationships" r:embed="rId1"/>
        <a:stretch/>
      </xdr:blipFill>
      <xdr:spPr>
        <a:xfrm>
          <a:off x="14344650" y="232410"/>
          <a:ext cx="2834640" cy="750570"/>
        </a:xfrm>
        <a:prstGeom prst="rect">
          <a:avLst/>
        </a:prstGeom>
        <a:noFill/>
        <a:ln w="9525">
          <a:noFill/>
        </a:ln>
        <a:effectLst/>
      </xdr:spPr>
    </xdr:pic>
    <xdr:clientData/>
  </xdr:twoCellAnchor>
  <xdr:twoCellAnchor>
    <xdr:from>
      <xdr:col>15</xdr:col>
      <xdr:colOff>567690</xdr:colOff>
      <xdr:row>39</xdr:row>
      <xdr:rowOff>171152</xdr:rowOff>
    </xdr:from>
    <xdr:to>
      <xdr:col>17</xdr:col>
      <xdr:colOff>857250</xdr:colOff>
      <xdr:row>41</xdr:row>
      <xdr:rowOff>98971</xdr:rowOff>
    </xdr:to>
    <xdr:grpSp>
      <xdr:nvGrpSpPr>
        <xdr:cNvPr id="10242" name="Group 10242"/>
        <xdr:cNvGrpSpPr/>
      </xdr:nvGrpSpPr>
      <xdr:grpSpPr>
        <a:xfrm>
          <a:off x="15011400" y="7749540"/>
          <a:ext cx="2308860" cy="308610"/>
          <a:chOff x="15011400" y="7749540"/>
          <a:chExt cx="2308860" cy="308610"/>
        </a:xfrm>
      </xdr:grpSpPr>
      <xdr:pic>
        <xdr:nvPicPr>
          <xdr:cNvPr id="10243" name="ShapeProperty" hidden="0"/>
          <xdr:cNvPicPr>
            <a:picLocks noChangeAspect="1"/>
          </xdr:cNvPicPr>
        </xdr:nvPicPr>
        <xdr:blipFill xmlns:r="http://schemas.openxmlformats.org/officeDocument/2006/relationships">
          <a:blip xmlns:r="http://schemas.openxmlformats.org/officeDocument/2006/relationships" r:embed="rId2"/>
          <a:srcRect l="11723" t="11770" r="12426" b="11742"/>
          <a:stretch/>
        </xdr:blipFill>
        <xdr:spPr>
          <a:xfrm>
            <a:off x="16996410" y="7749540"/>
            <a:ext cx="323850" cy="308610"/>
          </a:xfrm>
          <a:prstGeom prst="rect">
            <a:avLst/>
          </a:prstGeom>
          <a:noFill/>
          <a:ln w="9525">
            <a:noFill/>
          </a:ln>
          <a:effectLst/>
        </xdr:spPr>
      </xdr:pic>
      <xdr:grpSp>
        <xdr:nvGrpSpPr>
          <xdr:cNvPr id="10244" name="Group 10244"/>
          <xdr:cNvGrpSpPr/>
        </xdr:nvGrpSpPr>
        <xdr:grpSpPr>
          <a:xfrm>
            <a:off x="15011400" y="7749540"/>
            <a:ext cx="842010" cy="308610"/>
            <a:chOff x="15011400" y="7749540"/>
            <a:chExt cx="842010" cy="308610"/>
          </a:xfrm>
        </xdr:grpSpPr>
        <xdr:sp macro="" textlink="">
          <xdr:nvSpPr>
            <xdr:cNvPr id="10245" name=""/>
            <xdr:cNvSpPr/>
          </xdr:nvSpPr>
          <xdr:spPr>
            <a:xfrm>
              <a:off x="15011400" y="7749540"/>
              <a:ext cx="842010" cy="308610"/>
            </a:xfrm>
            <a:prstGeom prst="roundRect">
              <a:avLst>
                <a:gd name="adj" fmla="val 16666"/>
              </a:avLst>
            </a:prstGeom>
            <a:solidFill>
              <a:srgbClr val="2f5597"/>
            </a:solidFill>
            <a:ln w="12700" cap="flat" cmpd="sng">
              <a:solidFill>
                <a:srgbClr val="2f528f"/>
              </a:solidFill>
              <a:prstDash val="solid"/>
              <a:miter/>
            </a:ln>
            <a:effectLst/>
          </xdr:spPr>
        </xdr:sp>
        <xdr:grpSp>
          <xdr:nvGrpSpPr>
            <xdr:cNvPr id="10246" name="Group 10246"/>
            <xdr:cNvGrpSpPr/>
          </xdr:nvGrpSpPr>
          <xdr:grpSpPr>
            <a:xfrm>
              <a:off x="15079980" y="7791450"/>
              <a:ext cx="704850" cy="232410"/>
              <a:chOff x="15079980" y="7791450"/>
              <a:chExt cx="704850" cy="232410"/>
            </a:xfrm>
          </xdr:grpSpPr>
          <xdr:sp macro="" textlink="">
            <xdr:nvSpPr>
              <xdr:cNvPr id="10247" name=""/>
              <xdr:cNvSpPr/>
            </xdr:nvSpPr>
            <xdr:spPr>
              <a:xfrm>
                <a:off x="15079980" y="7795260"/>
                <a:ext cx="480060" cy="217170"/>
              </a:xfrm>
              <a:prstGeom prst="rect">
                <a:avLst/>
              </a:prstGeom>
              <a:noFill/>
              <a:ln w="9525">
                <a:noFill/>
              </a:ln>
              <a:effectLst/>
            </xdr:spPr>
            <xdr:txBody>
              <a:bodyPr vertOverflow="clip" wrap="square" rtlCol="0" anchor="t">
                <a:spAutoFit/>
              </a:bodyPr>
              <a:lstStyle/>
              <a:p>
                <a:pPr algn="l" rtl="0">
                  <a:defRPr lang="pt_br-BR" altLang="pt_br-BR" sz="1100"/>
                </a:pPr>
                <a:r>
                  <a:rPr lang="pt_br-BR" altLang="pt_br-BR" sz="800" b="1">
                    <a:solidFill>
                      <a:srgbClr val="ffffff"/>
                    </a:solidFill>
                    <a:latin typeface="Helvetica Black" pitchFamily="50" charset="-127"/>
                    <a:ea typeface="Helvetica Black" pitchFamily="50" charset="-127"/>
                  </a:rPr>
                  <a:t>Blog</a:t>
                </a:r>
                <a:endParaRPr lang="pt_br-BR">
                  <a:latin typeface="Calibri"/>
                  <a:ea typeface="Calibri"/>
                  <a:cs typeface="Calibri"/>
                </a:endParaRPr>
              </a:p>
            </xdr:txBody>
          </xdr:sp>
          <xdr:pic>
            <xdr:nvPicPr>
              <xdr:cNvPr id="10248" name="ShapeProperty" hidden="0"/>
              <xdr:cNvPicPr>
                <a:picLocks noChangeAspect="1"/>
              </xdr:cNvPicPr>
            </xdr:nvPicPr>
            <xdr:blipFill xmlns:r="http://schemas.openxmlformats.org/officeDocument/2006/relationships">
              <a:blip xmlns:r="http://schemas.openxmlformats.org/officeDocument/2006/relationships" r:embed="rId3"/>
              <a:srcRect l="0" t="0" r="74676" b="0"/>
              <a:stretch/>
            </xdr:blipFill>
            <xdr:spPr>
              <a:xfrm>
                <a:off x="15560040" y="7791450"/>
                <a:ext cx="224790" cy="232410"/>
              </a:xfrm>
              <a:prstGeom prst="rect">
                <a:avLst/>
              </a:prstGeom>
              <a:noFill/>
              <a:ln w="9525">
                <a:noFill/>
              </a:ln>
              <a:effectLst/>
            </xdr:spPr>
          </xdr:pic>
        </xdr:grpSp>
      </xdr:grpSp>
      <xdr:pic>
        <xdr:nvPicPr>
          <xdr:cNvPr id="10249" name="ShapeProperty" hidden="0"/>
          <xdr:cNvPicPr>
            <a:picLocks noChangeAspect="1"/>
          </xdr:cNvPicPr>
        </xdr:nvPicPr>
        <xdr:blipFill xmlns:r="http://schemas.openxmlformats.org/officeDocument/2006/relationships">
          <a:blip xmlns:r="http://schemas.openxmlformats.org/officeDocument/2006/relationships" r:embed="rId4"/>
          <a:stretch/>
        </xdr:blipFill>
        <xdr:spPr>
          <a:xfrm>
            <a:off x="16280130" y="7749540"/>
            <a:ext cx="327660" cy="308610"/>
          </a:xfrm>
          <a:prstGeom prst="rect">
            <a:avLst/>
          </a:prstGeom>
          <a:noFill/>
          <a:ln w="9525">
            <a:noFill/>
          </a:ln>
          <a:effectLst/>
        </xdr:spPr>
      </xdr:pic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880110</xdr:colOff>
      <xdr:row>1</xdr:row>
      <xdr:rowOff>41672</xdr:rowOff>
    </xdr:from>
    <xdr:to>
      <xdr:col>17</xdr:col>
      <xdr:colOff>716280</xdr:colOff>
      <xdr:row>6</xdr:row>
      <xdr:rowOff>75843</xdr:rowOff>
    </xdr:to>
    <xdr:pic>
      <xdr:nvPicPr>
        <xdr:cNvPr id="11265" name="ShapeProperty" hidden="0"/>
        <xdr:cNvPicPr>
          <a:picLocks noChangeAspect="1"/>
        </xdr:cNvPicPr>
      </xdr:nvPicPr>
      <xdr:blipFill xmlns:r="http://schemas.openxmlformats.org/officeDocument/2006/relationships">
        <a:blip xmlns:r="http://schemas.openxmlformats.org/officeDocument/2006/relationships" r:embed="rId1"/>
        <a:stretch/>
      </xdr:blipFill>
      <xdr:spPr>
        <a:xfrm>
          <a:off x="14344650" y="232410"/>
          <a:ext cx="2834640" cy="750570"/>
        </a:xfrm>
        <a:prstGeom prst="rect">
          <a:avLst/>
        </a:prstGeom>
        <a:noFill/>
        <a:ln w="9525">
          <a:noFill/>
        </a:ln>
        <a:effectLst/>
      </xdr:spPr>
    </xdr:pic>
    <xdr:clientData/>
  </xdr:twoCellAnchor>
  <xdr:twoCellAnchor>
    <xdr:from>
      <xdr:col>15</xdr:col>
      <xdr:colOff>632460</xdr:colOff>
      <xdr:row>39</xdr:row>
      <xdr:rowOff>117574</xdr:rowOff>
    </xdr:from>
    <xdr:to>
      <xdr:col>17</xdr:col>
      <xdr:colOff>925830</xdr:colOff>
      <xdr:row>41</xdr:row>
      <xdr:rowOff>45393</xdr:rowOff>
    </xdr:to>
    <xdr:grpSp>
      <xdr:nvGrpSpPr>
        <xdr:cNvPr id="11266" name="Group 11266"/>
        <xdr:cNvGrpSpPr/>
      </xdr:nvGrpSpPr>
      <xdr:grpSpPr>
        <a:xfrm>
          <a:off x="15076170" y="7696200"/>
          <a:ext cx="2312670" cy="308610"/>
          <a:chOff x="15076170" y="7696200"/>
          <a:chExt cx="2312670" cy="308610"/>
        </a:xfrm>
      </xdr:grpSpPr>
      <xdr:pic>
        <xdr:nvPicPr>
          <xdr:cNvPr id="11267" name="ShapeProperty" hidden="0"/>
          <xdr:cNvPicPr>
            <a:picLocks noChangeAspect="1"/>
          </xdr:cNvPicPr>
        </xdr:nvPicPr>
        <xdr:blipFill xmlns:r="http://schemas.openxmlformats.org/officeDocument/2006/relationships">
          <a:blip xmlns:r="http://schemas.openxmlformats.org/officeDocument/2006/relationships" r:embed="rId2"/>
          <a:srcRect l="11723" t="11770" r="12426" b="11742"/>
          <a:stretch/>
        </xdr:blipFill>
        <xdr:spPr>
          <a:xfrm>
            <a:off x="17064990" y="7696200"/>
            <a:ext cx="323850" cy="308610"/>
          </a:xfrm>
          <a:prstGeom prst="rect">
            <a:avLst/>
          </a:prstGeom>
          <a:noFill/>
          <a:ln w="9525">
            <a:noFill/>
          </a:ln>
          <a:effectLst/>
        </xdr:spPr>
      </xdr:pic>
      <xdr:grpSp>
        <xdr:nvGrpSpPr>
          <xdr:cNvPr id="11268" name="Group 11268"/>
          <xdr:cNvGrpSpPr/>
        </xdr:nvGrpSpPr>
        <xdr:grpSpPr>
          <a:xfrm>
            <a:off x="15076170" y="7696200"/>
            <a:ext cx="842010" cy="308610"/>
            <a:chOff x="15076170" y="7696200"/>
            <a:chExt cx="842010" cy="308610"/>
          </a:xfrm>
        </xdr:grpSpPr>
        <xdr:sp macro="" textlink="">
          <xdr:nvSpPr>
            <xdr:cNvPr id="11269" name=""/>
            <xdr:cNvSpPr/>
          </xdr:nvSpPr>
          <xdr:spPr>
            <a:xfrm>
              <a:off x="15076170" y="7696200"/>
              <a:ext cx="842010" cy="308610"/>
            </a:xfrm>
            <a:prstGeom prst="roundRect">
              <a:avLst>
                <a:gd name="adj" fmla="val 16666"/>
              </a:avLst>
            </a:prstGeom>
            <a:solidFill>
              <a:srgbClr val="2f5597"/>
            </a:solidFill>
            <a:ln w="12700" cap="flat" cmpd="sng">
              <a:solidFill>
                <a:srgbClr val="2f528f"/>
              </a:solidFill>
              <a:prstDash val="solid"/>
              <a:miter/>
            </a:ln>
            <a:effectLst/>
          </xdr:spPr>
        </xdr:sp>
        <xdr:grpSp>
          <xdr:nvGrpSpPr>
            <xdr:cNvPr id="11270" name="Group 11270"/>
            <xdr:cNvGrpSpPr/>
          </xdr:nvGrpSpPr>
          <xdr:grpSpPr>
            <a:xfrm>
              <a:off x="15144750" y="7738110"/>
              <a:ext cx="704850" cy="232410"/>
              <a:chOff x="15144750" y="7738110"/>
              <a:chExt cx="704850" cy="232410"/>
            </a:xfrm>
          </xdr:grpSpPr>
          <xdr:sp macro="" textlink="">
            <xdr:nvSpPr>
              <xdr:cNvPr id="11271" name=""/>
              <xdr:cNvSpPr/>
            </xdr:nvSpPr>
            <xdr:spPr>
              <a:xfrm>
                <a:off x="15144750" y="7741920"/>
                <a:ext cx="480060" cy="217170"/>
              </a:xfrm>
              <a:prstGeom prst="rect">
                <a:avLst/>
              </a:prstGeom>
              <a:noFill/>
              <a:ln w="9525">
                <a:noFill/>
              </a:ln>
              <a:effectLst/>
            </xdr:spPr>
            <xdr:txBody>
              <a:bodyPr vertOverflow="clip" wrap="square" rtlCol="0" anchor="t">
                <a:spAutoFit/>
              </a:bodyPr>
              <a:lstStyle/>
              <a:p>
                <a:pPr algn="l" rtl="0">
                  <a:defRPr lang="pt_br-BR" altLang="pt_br-BR" sz="1100"/>
                </a:pPr>
                <a:r>
                  <a:rPr lang="pt_br-BR" altLang="pt_br-BR" sz="800" b="1">
                    <a:solidFill>
                      <a:srgbClr val="ffffff"/>
                    </a:solidFill>
                    <a:latin typeface="Helvetica Black" pitchFamily="50" charset="-127"/>
                    <a:ea typeface="Helvetica Black" pitchFamily="50" charset="-127"/>
                  </a:rPr>
                  <a:t>Blog</a:t>
                </a:r>
                <a:endParaRPr lang="pt_br-BR">
                  <a:latin typeface="Calibri"/>
                  <a:ea typeface="Calibri"/>
                  <a:cs typeface="Calibri"/>
                </a:endParaRPr>
              </a:p>
            </xdr:txBody>
          </xdr:sp>
          <xdr:pic>
            <xdr:nvPicPr>
              <xdr:cNvPr id="11272" name="ShapeProperty" hidden="0"/>
              <xdr:cNvPicPr>
                <a:picLocks noChangeAspect="1"/>
              </xdr:cNvPicPr>
            </xdr:nvPicPr>
            <xdr:blipFill xmlns:r="http://schemas.openxmlformats.org/officeDocument/2006/relationships">
              <a:blip xmlns:r="http://schemas.openxmlformats.org/officeDocument/2006/relationships" r:embed="rId3"/>
              <a:srcRect l="0" t="0" r="74676" b="0"/>
              <a:stretch/>
            </xdr:blipFill>
            <xdr:spPr>
              <a:xfrm>
                <a:off x="15624810" y="7738110"/>
                <a:ext cx="224790" cy="232410"/>
              </a:xfrm>
              <a:prstGeom prst="rect">
                <a:avLst/>
              </a:prstGeom>
              <a:noFill/>
              <a:ln w="9525">
                <a:noFill/>
              </a:ln>
              <a:effectLst/>
            </xdr:spPr>
          </xdr:pic>
        </xdr:grpSp>
      </xdr:grpSp>
      <xdr:pic>
        <xdr:nvPicPr>
          <xdr:cNvPr id="11273" name="ShapeProperty" hidden="0"/>
          <xdr:cNvPicPr>
            <a:picLocks noChangeAspect="1"/>
          </xdr:cNvPicPr>
        </xdr:nvPicPr>
        <xdr:blipFill xmlns:r="http://schemas.openxmlformats.org/officeDocument/2006/relationships">
          <a:blip xmlns:r="http://schemas.openxmlformats.org/officeDocument/2006/relationships" r:embed="rId4"/>
          <a:stretch/>
        </xdr:blipFill>
        <xdr:spPr>
          <a:xfrm>
            <a:off x="16344900" y="7696200"/>
            <a:ext cx="327660" cy="308610"/>
          </a:xfrm>
          <a:prstGeom prst="rect">
            <a:avLst/>
          </a:prstGeom>
          <a:noFill/>
          <a:ln w="9525">
            <a:noFill/>
          </a:ln>
          <a:effectLst/>
        </xdr:spPr>
      </xdr:pic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880110</xdr:colOff>
      <xdr:row>1</xdr:row>
      <xdr:rowOff>41672</xdr:rowOff>
    </xdr:from>
    <xdr:to>
      <xdr:col>17</xdr:col>
      <xdr:colOff>716280</xdr:colOff>
      <xdr:row>6</xdr:row>
      <xdr:rowOff>75843</xdr:rowOff>
    </xdr:to>
    <xdr:pic>
      <xdr:nvPicPr>
        <xdr:cNvPr id="12289" name="ShapeProperty" hidden="0"/>
        <xdr:cNvPicPr>
          <a:picLocks noChangeAspect="1"/>
        </xdr:cNvPicPr>
      </xdr:nvPicPr>
      <xdr:blipFill xmlns:r="http://schemas.openxmlformats.org/officeDocument/2006/relationships">
        <a:blip xmlns:r="http://schemas.openxmlformats.org/officeDocument/2006/relationships" r:embed="rId1"/>
        <a:stretch/>
      </xdr:blipFill>
      <xdr:spPr>
        <a:xfrm>
          <a:off x="14344650" y="232410"/>
          <a:ext cx="2834640" cy="750570"/>
        </a:xfrm>
        <a:prstGeom prst="rect">
          <a:avLst/>
        </a:prstGeom>
        <a:noFill/>
        <a:ln w="9525">
          <a:noFill/>
        </a:ln>
        <a:effectLst/>
      </xdr:spPr>
    </xdr:pic>
    <xdr:clientData/>
  </xdr:twoCellAnchor>
  <xdr:twoCellAnchor>
    <xdr:from>
      <xdr:col>15</xdr:col>
      <xdr:colOff>567690</xdr:colOff>
      <xdr:row>39</xdr:row>
      <xdr:rowOff>102691</xdr:rowOff>
    </xdr:from>
    <xdr:to>
      <xdr:col>17</xdr:col>
      <xdr:colOff>857250</xdr:colOff>
      <xdr:row>41</xdr:row>
      <xdr:rowOff>29766</xdr:rowOff>
    </xdr:to>
    <xdr:grpSp>
      <xdr:nvGrpSpPr>
        <xdr:cNvPr id="12290" name="Group 12290"/>
        <xdr:cNvGrpSpPr/>
      </xdr:nvGrpSpPr>
      <xdr:grpSpPr>
        <a:xfrm>
          <a:off x="15011400" y="7680960"/>
          <a:ext cx="2308860" cy="308610"/>
          <a:chOff x="15011400" y="7680960"/>
          <a:chExt cx="2308860" cy="308610"/>
        </a:xfrm>
      </xdr:grpSpPr>
      <xdr:pic>
        <xdr:nvPicPr>
          <xdr:cNvPr id="12291" name="ShapeProperty" hidden="0"/>
          <xdr:cNvPicPr>
            <a:picLocks noChangeAspect="1"/>
          </xdr:cNvPicPr>
        </xdr:nvPicPr>
        <xdr:blipFill xmlns:r="http://schemas.openxmlformats.org/officeDocument/2006/relationships">
          <a:blip xmlns:r="http://schemas.openxmlformats.org/officeDocument/2006/relationships" r:embed="rId2"/>
          <a:srcRect l="11723" t="11770" r="12426" b="11742"/>
          <a:stretch/>
        </xdr:blipFill>
        <xdr:spPr>
          <a:xfrm>
            <a:off x="16996410" y="7680960"/>
            <a:ext cx="323850" cy="308610"/>
          </a:xfrm>
          <a:prstGeom prst="rect">
            <a:avLst/>
          </a:prstGeom>
          <a:noFill/>
          <a:ln w="9525">
            <a:noFill/>
          </a:ln>
          <a:effectLst/>
        </xdr:spPr>
      </xdr:pic>
      <xdr:grpSp>
        <xdr:nvGrpSpPr>
          <xdr:cNvPr id="12292" name="Group 12292"/>
          <xdr:cNvGrpSpPr/>
        </xdr:nvGrpSpPr>
        <xdr:grpSpPr>
          <a:xfrm>
            <a:off x="15011400" y="7680960"/>
            <a:ext cx="842010" cy="308610"/>
            <a:chOff x="15011400" y="7680960"/>
            <a:chExt cx="842010" cy="308610"/>
          </a:xfrm>
        </xdr:grpSpPr>
        <xdr:sp macro="" textlink="">
          <xdr:nvSpPr>
            <xdr:cNvPr id="12293" name=""/>
            <xdr:cNvSpPr/>
          </xdr:nvSpPr>
          <xdr:spPr>
            <a:xfrm>
              <a:off x="15011400" y="7680960"/>
              <a:ext cx="842010" cy="308610"/>
            </a:xfrm>
            <a:prstGeom prst="roundRect">
              <a:avLst>
                <a:gd name="adj" fmla="val 16666"/>
              </a:avLst>
            </a:prstGeom>
            <a:solidFill>
              <a:srgbClr val="2f5597"/>
            </a:solidFill>
            <a:ln w="12700" cap="flat" cmpd="sng">
              <a:solidFill>
                <a:srgbClr val="2f528f"/>
              </a:solidFill>
              <a:prstDash val="solid"/>
              <a:miter/>
            </a:ln>
            <a:effectLst/>
          </xdr:spPr>
        </xdr:sp>
        <xdr:grpSp>
          <xdr:nvGrpSpPr>
            <xdr:cNvPr id="12294" name="Group 12294"/>
            <xdr:cNvGrpSpPr/>
          </xdr:nvGrpSpPr>
          <xdr:grpSpPr>
            <a:xfrm>
              <a:off x="15079980" y="7722870"/>
              <a:ext cx="704850" cy="232410"/>
              <a:chOff x="15079980" y="7722870"/>
              <a:chExt cx="704850" cy="232410"/>
            </a:xfrm>
          </xdr:grpSpPr>
          <xdr:sp macro="" textlink="">
            <xdr:nvSpPr>
              <xdr:cNvPr id="12295" name=""/>
              <xdr:cNvSpPr/>
            </xdr:nvSpPr>
            <xdr:spPr>
              <a:xfrm>
                <a:off x="15079980" y="7726680"/>
                <a:ext cx="480060" cy="217170"/>
              </a:xfrm>
              <a:prstGeom prst="rect">
                <a:avLst/>
              </a:prstGeom>
              <a:noFill/>
              <a:ln w="9525">
                <a:noFill/>
              </a:ln>
              <a:effectLst/>
            </xdr:spPr>
            <xdr:txBody>
              <a:bodyPr vertOverflow="clip" wrap="square" rtlCol="0" anchor="t">
                <a:spAutoFit/>
              </a:bodyPr>
              <a:lstStyle/>
              <a:p>
                <a:pPr algn="l" rtl="0">
                  <a:defRPr lang="pt_br-BR" altLang="pt_br-BR" sz="1100"/>
                </a:pPr>
                <a:r>
                  <a:rPr lang="pt_br-BR" altLang="pt_br-BR" sz="800" b="1">
                    <a:solidFill>
                      <a:srgbClr val="ffffff"/>
                    </a:solidFill>
                    <a:latin typeface="Helvetica Black" pitchFamily="50" charset="-127"/>
                    <a:ea typeface="Helvetica Black" pitchFamily="50" charset="-127"/>
                  </a:rPr>
                  <a:t>Blog</a:t>
                </a:r>
                <a:endParaRPr lang="pt_br-BR">
                  <a:latin typeface="Calibri"/>
                  <a:ea typeface="Calibri"/>
                  <a:cs typeface="Calibri"/>
                </a:endParaRPr>
              </a:p>
            </xdr:txBody>
          </xdr:sp>
          <xdr:pic>
            <xdr:nvPicPr>
              <xdr:cNvPr id="12296" name="ShapeProperty" hidden="0"/>
              <xdr:cNvPicPr>
                <a:picLocks noChangeAspect="1"/>
              </xdr:cNvPicPr>
            </xdr:nvPicPr>
            <xdr:blipFill xmlns:r="http://schemas.openxmlformats.org/officeDocument/2006/relationships">
              <a:blip xmlns:r="http://schemas.openxmlformats.org/officeDocument/2006/relationships" r:embed="rId3"/>
              <a:srcRect l="0" t="0" r="74676" b="0"/>
              <a:stretch/>
            </xdr:blipFill>
            <xdr:spPr>
              <a:xfrm>
                <a:off x="15560040" y="7722870"/>
                <a:ext cx="224790" cy="232410"/>
              </a:xfrm>
              <a:prstGeom prst="rect">
                <a:avLst/>
              </a:prstGeom>
              <a:noFill/>
              <a:ln w="9525">
                <a:noFill/>
              </a:ln>
              <a:effectLst/>
            </xdr:spPr>
          </xdr:pic>
        </xdr:grpSp>
      </xdr:grpSp>
      <xdr:pic>
        <xdr:nvPicPr>
          <xdr:cNvPr id="12297" name="ShapeProperty" hidden="0"/>
          <xdr:cNvPicPr>
            <a:picLocks noChangeAspect="1"/>
          </xdr:cNvPicPr>
        </xdr:nvPicPr>
        <xdr:blipFill xmlns:r="http://schemas.openxmlformats.org/officeDocument/2006/relationships">
          <a:blip xmlns:r="http://schemas.openxmlformats.org/officeDocument/2006/relationships" r:embed="rId4"/>
          <a:stretch/>
        </xdr:blipFill>
        <xdr:spPr>
          <a:xfrm>
            <a:off x="16280130" y="7680960"/>
            <a:ext cx="327660" cy="308610"/>
          </a:xfrm>
          <a:prstGeom prst="rect">
            <a:avLst/>
          </a:prstGeom>
          <a:noFill/>
          <a:ln w="9525">
            <a:noFill/>
          </a:ln>
          <a:effectLst/>
        </xdr:spPr>
      </xdr:pic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342900</xdr:colOff>
      <xdr:row>0</xdr:row>
      <xdr:rowOff>136922</xdr:rowOff>
    </xdr:from>
    <xdr:to>
      <xdr:col>17</xdr:col>
      <xdr:colOff>38100</xdr:colOff>
      <xdr:row>4</xdr:row>
      <xdr:rowOff>144363</xdr:rowOff>
    </xdr:to>
    <xdr:pic>
      <xdr:nvPicPr>
        <xdr:cNvPr id="13313" name="ShapeProperty" hidden="0"/>
        <xdr:cNvPicPr>
          <a:picLocks noChangeAspect="1"/>
        </xdr:cNvPicPr>
      </xdr:nvPicPr>
      <xdr:blipFill xmlns:r="http://schemas.openxmlformats.org/officeDocument/2006/relationships">
        <a:blip xmlns:r="http://schemas.openxmlformats.org/officeDocument/2006/relationships" r:embed="rId1"/>
        <a:stretch/>
      </xdr:blipFill>
      <xdr:spPr>
        <a:xfrm>
          <a:off x="7608570" y="137160"/>
          <a:ext cx="2743200" cy="769620"/>
        </a:xfrm>
        <a:prstGeom prst="rect">
          <a:avLst/>
        </a:prstGeom>
        <a:noFill/>
        <a:ln w="9525">
          <a:noFill/>
        </a:ln>
        <a:effectLst/>
      </xdr:spPr>
    </xdr:pic>
    <xdr:clientData/>
  </xdr:twoCellAnchor>
  <xdr:twoCellAnchor>
    <xdr:from>
      <xdr:col>12</xdr:col>
      <xdr:colOff>342900</xdr:colOff>
      <xdr:row>6</xdr:row>
      <xdr:rowOff>136892</xdr:rowOff>
    </xdr:from>
    <xdr:to>
      <xdr:col>19</xdr:col>
      <xdr:colOff>552450</xdr:colOff>
      <xdr:row>20</xdr:row>
      <xdr:rowOff>0</xdr:rowOff>
    </xdr:to>
    <xdr:graphicFrame macro="">
      <xdr:nvGraphicFramePr>
        <xdr:cNvPr id="13314" name="Chart 133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 xmlns:a="http://schemas.openxmlformats.org/drawingml/2006/main"/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880110</xdr:colOff>
      <xdr:row>1</xdr:row>
      <xdr:rowOff>41672</xdr:rowOff>
    </xdr:from>
    <xdr:to>
      <xdr:col>17</xdr:col>
      <xdr:colOff>716280</xdr:colOff>
      <xdr:row>6</xdr:row>
      <xdr:rowOff>75843</xdr:rowOff>
    </xdr:to>
    <xdr:pic>
      <xdr:nvPicPr>
        <xdr:cNvPr id="14337" name="ShapeProperty" hidden="0"/>
        <xdr:cNvPicPr>
          <a:picLocks noChangeAspect="1"/>
        </xdr:cNvPicPr>
      </xdr:nvPicPr>
      <xdr:blipFill xmlns:r="http://schemas.openxmlformats.org/officeDocument/2006/relationships">
        <a:blip xmlns:r="http://schemas.openxmlformats.org/officeDocument/2006/relationships" r:embed="rId1"/>
        <a:stretch/>
      </xdr:blipFill>
      <xdr:spPr>
        <a:xfrm>
          <a:off x="14531340" y="232410"/>
          <a:ext cx="2834640" cy="750570"/>
        </a:xfrm>
        <a:prstGeom prst="rect">
          <a:avLst/>
        </a:prstGeom>
        <a:noFill/>
        <a:ln w="9525">
          <a:noFill/>
        </a:ln>
        <a:effectLst/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880110</xdr:colOff>
      <xdr:row>1</xdr:row>
      <xdr:rowOff>41672</xdr:rowOff>
    </xdr:from>
    <xdr:to>
      <xdr:col>17</xdr:col>
      <xdr:colOff>716280</xdr:colOff>
      <xdr:row>6</xdr:row>
      <xdr:rowOff>34052</xdr:rowOff>
    </xdr:to>
    <xdr:pic>
      <xdr:nvPicPr>
        <xdr:cNvPr id="15361" name="ShapeProperty" hidden="0"/>
        <xdr:cNvPicPr>
          <a:picLocks noChangeAspect="1"/>
        </xdr:cNvPicPr>
      </xdr:nvPicPr>
      <xdr:blipFill xmlns:r="http://schemas.openxmlformats.org/officeDocument/2006/relationships">
        <a:blip xmlns:r="http://schemas.openxmlformats.org/officeDocument/2006/relationships" r:embed="rId1"/>
        <a:stretch/>
      </xdr:blipFill>
      <xdr:spPr>
        <a:xfrm>
          <a:off x="14344650" y="232410"/>
          <a:ext cx="2834640" cy="746760"/>
        </a:xfrm>
        <a:prstGeom prst="rect">
          <a:avLst/>
        </a:prstGeom>
        <a:noFill/>
        <a:ln w="9525">
          <a:noFill/>
        </a:ln>
        <a:effectLst/>
      </xdr:spPr>
    </xdr:pic>
    <xdr:clientData/>
  </xdr:twoCellAnchor>
</xdr:wsDr>
</file>

<file path=xl/worksheets/_rels/sheet1.xml.rels><?xml version='1.0' encoding='UTF-8' standalone='yes' ?><Relationships xmlns="http://schemas.openxmlformats.org/package/2006/relationships"><Relationship Id="rId1" Type="http://schemas.openxmlformats.org/officeDocument/2006/relationships/drawing" Target="../drawings/drawing1.xml" TargetMode="Internal" /></Relationships>
</file>

<file path=xl/worksheets/_rels/sheet2.xml.rels><?xml version='1.0' encoding='UTF-8' standalone='yes' ?><Relationships xmlns="http://schemas.openxmlformats.org/package/2006/relationships"><Relationship Id="rId1" Type="http://schemas.openxmlformats.org/officeDocument/2006/relationships/drawing" Target="../drawings/drawing2.xml" TargetMode="Internal" /></Relationships>
</file>

<file path=xl/worksheets/_rels/sheet3.xml.rels><?xml version='1.0' encoding='UTF-8' standalone='yes' ?><Relationships xmlns="http://schemas.openxmlformats.org/package/2006/relationships"><Relationship Id="rId1" Type="http://schemas.openxmlformats.org/officeDocument/2006/relationships/drawing" Target="../drawings/drawing3.xml" TargetMode="Internal" /></Relationships>
</file>

<file path=xl/worksheets/_rels/sheet4.xml.rels><?xml version='1.0' encoding='UTF-8' standalone='yes' ?><Relationships xmlns="http://schemas.openxmlformats.org/package/2006/relationships"><Relationship Id="rId1" Type="http://schemas.openxmlformats.org/officeDocument/2006/relationships/drawing" Target="../drawings/drawing4.xml" TargetMode="Internal" /></Relationships>
</file>

<file path=xl/worksheets/_rels/sheet5.xml.rels><?xml version='1.0' encoding='UTF-8' standalone='yes' ?><Relationships xmlns="http://schemas.openxmlformats.org/package/2006/relationships"><Relationship Id="rId1" Type="http://schemas.openxmlformats.org/officeDocument/2006/relationships/drawing" Target="../drawings/drawing5.xml" TargetMode="Internal" /></Relationships>
</file>

<file path=xl/worksheets/_rels/sheet6.xml.rels><?xml version='1.0' encoding='UTF-8' standalone='yes' ?><Relationships xmlns="http://schemas.openxmlformats.org/package/2006/relationships"><Relationship Id="rId1" Type="http://schemas.openxmlformats.org/officeDocument/2006/relationships/drawing" Target="../drawings/drawing6.xml" TargetMode="Internal" /></Relationships>
</file>

<file path=xl/worksheets/_rels/sheet7.xml.rels><?xml version='1.0' encoding='UTF-8' standalone='yes' ?><Relationships xmlns="http://schemas.openxmlformats.org/package/2006/relationships"><Relationship Id="rId1" Type="http://schemas.openxmlformats.org/officeDocument/2006/relationships/drawing" Target="../drawings/drawing7.xml" TargetMode="Internal" /></Relationships>
</file>

<file path=xl/worksheets/_rels/sheet8.xml.rels><?xml version='1.0' encoding='UTF-8' standalone='yes' ?><Relationships xmlns="http://schemas.openxmlformats.org/package/2006/relationships"><Relationship Id="rId1" Type="http://schemas.openxmlformats.org/officeDocument/2006/relationships/drawing" Target="../drawings/drawing8.xml" TargetMode="Internal" /></Relationships>
</file>

<file path=xl/worksheets/_rels/sheet9.xml.rels><?xml version='1.0' encoding='UTF-8' standalone='yes' ?><Relationships xmlns="http://schemas.openxmlformats.org/package/2006/relationships"><Relationship Id="rId1" Type="http://schemas.openxmlformats.org/officeDocument/2006/relationships/drawing" Target="../drawings/drawing9.xml" TargetMode="Internal" /></Relationships>
</file>

<file path=xl/worksheets/_rels/sheet10.xml.rels><?xml version='1.0' encoding='UTF-8' standalone='yes' ?><Relationships xmlns="http://schemas.openxmlformats.org/package/2006/relationships"><Relationship Id="rId1" Type="http://schemas.openxmlformats.org/officeDocument/2006/relationships/drawing" Target="../drawings/drawing10.xml" TargetMode="Internal" /></Relationships>
</file>

<file path=xl/worksheets/_rels/sheet11.xml.rels><?xml version='1.0' encoding='UTF-8' standalone='yes' ?><Relationships xmlns="http://schemas.openxmlformats.org/package/2006/relationships"><Relationship Id="rId1" Type="http://schemas.openxmlformats.org/officeDocument/2006/relationships/drawing" Target="../drawings/drawing11.xml" TargetMode="Internal" /></Relationships>
</file>

<file path=xl/worksheets/_rels/sheet12.xml.rels><?xml version='1.0' encoding='UTF-8' standalone='yes' ?><Relationships xmlns="http://schemas.openxmlformats.org/package/2006/relationships"><Relationship Id="rId1" Type="http://schemas.openxmlformats.org/officeDocument/2006/relationships/drawing" Target="../drawings/drawing12.xml" TargetMode="Internal" /></Relationships>
</file>

<file path=xl/worksheets/_rels/sheet13.xml.rels><?xml version='1.0' encoding='UTF-8' standalone='yes' ?><Relationships xmlns="http://schemas.openxmlformats.org/package/2006/relationships"><Relationship Id="rId1" Type="http://schemas.openxmlformats.org/officeDocument/2006/relationships/drawing" Target="../drawings/drawing13.xml" TargetMode="Internal" /></Relationships>
</file>

<file path=xl/worksheets/_rels/sheet14.xml.rels><?xml version='1.0' encoding='UTF-8' standalone='yes' ?><Relationships xmlns="http://schemas.openxmlformats.org/package/2006/relationships"><Relationship Id="rId1" Type="http://schemas.openxmlformats.org/officeDocument/2006/relationships/drawing" Target="../drawings/drawing15.xml" TargetMode="Internal" /></Relationships>
</file>

<file path=xl/worksheets/_rels/sheet15.xml.rels><?xml version='1.0' encoding='UTF-8' standalone='yes' ?><Relationships xmlns="http://schemas.openxmlformats.org/package/2006/relationships"><Relationship Id="rId1" Type="http://schemas.openxmlformats.org/officeDocument/2006/relationships/drawing" Target="../drawings/drawing16.xml" TargetMode="Interna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Planilha1">
    <outlinePr/>
    <pageSetUpPr fitToPage="1"/>
  </sheetPr>
  <dimension ref="A1:XFD50"/>
  <sheetViews>
    <sheetView tabSelected="1" workbookViewId="0" showGridLines="0" zoomScale="25" zoomScaleNormal="25" zoomScaleSheetLayoutView="60">
      <pane ySplit="11" topLeftCell="A12" activePane="topLeft" state="frozen"/>
      <selection activeCell="A12" sqref="A12"/>
      <selection pane="bottomLeft" activeCell="A12" sqref="A12"/>
    </sheetView>
  </sheetViews>
  <sheetFormatPr defaultRowHeight="15.0" customHeight="1"/>
  <cols>
    <col min="1" max="1" width="19.72417534722222" style="33" customWidth="1"/>
    <col min="2" max="2" width="9.557508680555555" style="33" customWidth="1"/>
    <col min="3" max="3" width="48.835286458333336" style="33" customWidth="1"/>
    <col min="4" max="4" width="8.835286458333334" style="33" bestFit="1" customWidth="1"/>
    <col min="5" max="5" width="15.835286458333334" style="34" bestFit="1" customWidth="1"/>
    <col min="6" max="6" width="12.724175347222221" style="33" bestFit="1" customWidth="1"/>
    <col min="7" max="7" width="16.835286458333332" style="35" customWidth="1"/>
    <col min="8" max="8" width="6.446397569444445" style="33" bestFit="1" customWidth="1"/>
    <col min="9" max="9" width="10.279730902777779" style="33" bestFit="1" customWidth="1"/>
    <col min="10" max="11" width="11.724175347222221" style="33" hidden="1" customWidth="1"/>
    <col min="12" max="12" width="6.279730902777778" style="33" customWidth="1"/>
    <col min="13" max="13" width="11.557508680555555" style="33" bestFit="1" customWidth="1"/>
    <col min="14" max="14" width="30.446397569444443" style="33" customWidth="1"/>
    <col min="15" max="15" width="14.279730902777779" style="33" bestFit="1" customWidth="1"/>
    <col min="16" max="18" width="14.724175347222221" style="33" customWidth="1"/>
    <col min="19" max="19" width="9.446397569444445" style="33" hidden="1" customWidth="1"/>
    <col min="20" max="16384" width="9.168619791666666" style="33"/>
  </cols>
  <sheetData>
    <row r="1" ht="19.3">
      <c r="A1" s="143" t="s">
        <v>20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</row>
    <row r="2" ht="19.3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</row>
    <row r="3" ht="6.75" customHeight="1"/>
    <row r="4">
      <c r="A4" s="36" t="s">
        <v>16</v>
      </c>
      <c r="B4" s="156" t="s">
        <v>17</v>
      </c>
      <c r="C4" s="156"/>
    </row>
    <row r="5" ht="20.65">
      <c r="A5" s="36" t="s">
        <v>15</v>
      </c>
      <c r="B5" s="156">
        <v>2019.0</v>
      </c>
      <c r="C5" s="156"/>
      <c r="G5" s="159"/>
      <c r="H5" s="161"/>
      <c r="I5" s="160"/>
    </row>
    <row r="6" ht="3.75" customHeight="1">
      <c r="A6" s="36"/>
      <c r="B6" s="4"/>
      <c r="C6" s="4"/>
      <c r="G6" s="158"/>
      <c r="H6" s="160"/>
      <c r="I6" s="160"/>
    </row>
    <row r="7">
      <c r="A7" s="36" t="s">
        <v>42</v>
      </c>
      <c r="B7" s="156"/>
      <c r="C7" s="156"/>
    </row>
    <row r="8" ht="6.75" customHeight="1">
      <c r="A8" s="37"/>
    </row>
    <row r="9" ht="23.2">
      <c r="A9" s="142" t="s">
        <v>25</v>
      </c>
      <c r="B9" s="142"/>
      <c r="C9" s="142"/>
      <c r="D9" s="142"/>
      <c r="E9" s="142"/>
      <c r="F9" s="142"/>
      <c r="G9" s="142"/>
      <c r="H9" s="144" t="str">
        <f>LEFT($B$4,3)&amp;"/"&amp;RIGHT($B$5,2)</f>
        <v>Jan/19</v>
      </c>
      <c r="I9" s="144"/>
      <c r="M9" s="147" t="s">
        <v>59</v>
      </c>
      <c r="N9" s="147"/>
      <c r="O9" s="147"/>
      <c r="P9" s="147"/>
      <c r="Q9" s="145" t="str">
        <f>LEFT($B$4,3)&amp;"/"&amp;RIGHT($B$5,2)</f>
        <v>Jan/19</v>
      </c>
      <c r="R9" s="145"/>
    </row>
    <row r="10" ht="23.2">
      <c r="A10" s="142"/>
      <c r="B10" s="142"/>
      <c r="C10" s="142"/>
      <c r="D10" s="142"/>
      <c r="E10" s="142"/>
      <c r="F10" s="142"/>
      <c r="G10" s="142"/>
      <c r="H10" s="144"/>
      <c r="I10" s="144"/>
      <c r="M10" s="147"/>
      <c r="N10" s="147"/>
      <c r="O10" s="147"/>
      <c r="P10" s="147"/>
      <c r="Q10" s="145"/>
      <c r="R10" s="145"/>
    </row>
    <row r="11" s="41" customFormat="1" ht="52.5" customHeight="1">
      <c r="A11" s="38" t="s">
        <v>0</v>
      </c>
      <c r="B11" s="38" t="s">
        <v>1</v>
      </c>
      <c r="C11" s="38" t="s">
        <v>2</v>
      </c>
      <c r="D11" s="38" t="s">
        <v>18</v>
      </c>
      <c r="E11" s="39" t="s">
        <v>3</v>
      </c>
      <c r="F11" s="38" t="s">
        <v>21</v>
      </c>
      <c r="G11" s="40" t="s">
        <v>11</v>
      </c>
      <c r="H11" s="38" t="s">
        <v>28</v>
      </c>
      <c r="I11" s="38" t="s">
        <v>9</v>
      </c>
      <c r="J11" s="41" t="s">
        <v>31</v>
      </c>
      <c r="K11" s="42" t="s">
        <v>29</v>
      </c>
      <c r="M11" s="43" t="s">
        <v>0</v>
      </c>
      <c r="N11" s="38" t="s">
        <v>13</v>
      </c>
      <c r="O11" s="43" t="s">
        <v>3</v>
      </c>
      <c r="P11" s="38" t="s">
        <v>26</v>
      </c>
      <c r="Q11" s="40" t="s">
        <v>11</v>
      </c>
      <c r="R11" s="38" t="s">
        <v>4</v>
      </c>
      <c r="S11" s="44" t="s">
        <v>14</v>
      </c>
    </row>
    <row r="12" ht="15.25">
      <c r="A12" s="5"/>
      <c r="B12" s="6"/>
      <c r="C12" s="6"/>
      <c r="D12" s="6"/>
      <c r="E12" s="7"/>
      <c r="F12" s="6"/>
      <c r="G12" s="8"/>
      <c r="H12" s="6"/>
      <c r="I12" s="9"/>
      <c r="J12" s="33" t="str">
        <f>IFERROR(LEFT(G12,SEARCH("/",G12)-1)*1,"-")</f>
        <v>-</v>
      </c>
      <c r="K12" s="33" t="s">
        <v>92</v>
      </c>
      <c r="M12" s="21"/>
      <c r="N12" s="22"/>
      <c r="O12" s="23"/>
      <c r="P12" s="22"/>
      <c r="Q12" s="24"/>
      <c r="R12" s="25"/>
      <c r="S12" s="33" t="str">
        <f>IFERROR(LEFT(Q12,SEARCH("/",Q12)-1)*1,"-")</f>
        <v>-</v>
      </c>
    </row>
    <row r="13" ht="15.25">
      <c r="A13" s="10"/>
      <c r="B13" s="11"/>
      <c r="C13" s="11"/>
      <c r="D13" s="11"/>
      <c r="E13" s="12"/>
      <c r="F13" s="11"/>
      <c r="G13" s="13"/>
      <c r="H13" s="11"/>
      <c r="I13" s="14"/>
      <c r="J13" s="33" t="str">
        <f>IFERROR(LEFT(G13,SEARCH("/",G13)-1)*1,"-")</f>
        <v>-</v>
      </c>
      <c r="K13" s="33" t="s">
        <v>92</v>
      </c>
      <c r="M13" s="26"/>
      <c r="N13" s="11"/>
      <c r="O13" s="12"/>
      <c r="P13" s="11"/>
      <c r="Q13" s="13"/>
      <c r="R13" s="27"/>
      <c r="S13" s="33" t="str">
        <f>IFERROR(LEFT(Q13,SEARCH("/",Q13)-1)*1,"-")</f>
        <v>-</v>
      </c>
    </row>
    <row r="14" ht="158.4" customHeight="1">
      <c r="A14" s="10"/>
      <c r="B14" s="11"/>
      <c r="C14" s="11"/>
      <c r="D14" s="11"/>
      <c r="E14" s="12"/>
      <c r="F14" s="11"/>
      <c r="G14" s="13"/>
      <c r="H14" s="11"/>
      <c r="I14" s="14"/>
      <c r="J14" s="33" t="str">
        <f>IFERROR(LEFT(G14,SEARCH("/",G14)-1)*1,"-")</f>
        <v>-</v>
      </c>
      <c r="K14" s="33" t="s">
        <v>92</v>
      </c>
      <c r="M14" s="26"/>
      <c r="N14" s="11"/>
      <c r="O14" s="12"/>
      <c r="P14" s="11"/>
      <c r="Q14" s="13"/>
      <c r="R14" s="27"/>
      <c r="S14" s="33" t="str">
        <f>IFERROR(LEFT(Q14,SEARCH("/",Q14)-1)*1,"-")</f>
        <v>-</v>
      </c>
    </row>
    <row r="15" ht="15.25">
      <c r="A15" s="15"/>
      <c r="B15" s="11"/>
      <c r="C15" s="11"/>
      <c r="D15" s="11"/>
      <c r="E15" s="12"/>
      <c r="F15" s="11"/>
      <c r="G15" s="13"/>
      <c r="H15" s="11"/>
      <c r="I15" s="14"/>
      <c r="J15" s="33" t="str">
        <f>IFERROR(LEFT(G15,SEARCH("/",G15)-1)*1,"-")</f>
        <v>-</v>
      </c>
      <c r="K15" s="33" t="s">
        <v>92</v>
      </c>
      <c r="M15" s="26"/>
      <c r="N15" s="11"/>
      <c r="O15" s="12"/>
      <c r="P15" s="11"/>
      <c r="Q15" s="13"/>
      <c r="R15" s="27"/>
      <c r="S15" s="33" t="str">
        <f>IFERROR(LEFT(Q15,SEARCH("/",Q15)-1)*1,"-")</f>
        <v>-</v>
      </c>
    </row>
    <row r="16" ht="15.25">
      <c r="A16" s="15"/>
      <c r="B16" s="11"/>
      <c r="C16" s="11"/>
      <c r="D16" s="11"/>
      <c r="E16" s="12"/>
      <c r="F16" s="11"/>
      <c r="G16" s="13"/>
      <c r="H16" s="11"/>
      <c r="I16" s="14"/>
      <c r="J16" s="33" t="str">
        <f>IFERROR(LEFT(G16,SEARCH("/",G16)-1)*1,"-")</f>
        <v>-</v>
      </c>
      <c r="K16" s="33" t="s">
        <v>92</v>
      </c>
      <c r="M16" s="26"/>
      <c r="N16" s="11"/>
      <c r="O16" s="12"/>
      <c r="P16" s="11"/>
      <c r="Q16" s="13"/>
      <c r="R16" s="27"/>
      <c r="S16" s="33" t="str">
        <f>IFERROR(LEFT(Q16,SEARCH("/",Q16)-1)*1,"-")</f>
        <v>-</v>
      </c>
    </row>
    <row r="17" ht="15.25">
      <c r="A17" s="15"/>
      <c r="B17" s="11"/>
      <c r="C17" s="11"/>
      <c r="D17" s="11"/>
      <c r="E17" s="12"/>
      <c r="F17" s="11"/>
      <c r="G17" s="13"/>
      <c r="H17" s="11"/>
      <c r="I17" s="14"/>
      <c r="J17" s="33" t="str">
        <f>IFERROR(LEFT(G17,SEARCH("/",G17)-1)*1,"-")</f>
        <v>-</v>
      </c>
      <c r="K17" s="33" t="s">
        <v>92</v>
      </c>
      <c r="M17" s="26"/>
      <c r="N17" s="11"/>
      <c r="O17" s="12"/>
      <c r="P17" s="11"/>
      <c r="Q17" s="13"/>
      <c r="R17" s="27"/>
      <c r="S17" s="33" t="str">
        <f>IFERROR(LEFT(Q17,SEARCH("/",Q17)-1)*1,"-")</f>
        <v>-</v>
      </c>
    </row>
    <row r="18" ht="15.25">
      <c r="A18" s="15"/>
      <c r="B18" s="11"/>
      <c r="C18" s="11"/>
      <c r="D18" s="11"/>
      <c r="E18" s="12"/>
      <c r="F18" s="11"/>
      <c r="G18" s="13"/>
      <c r="H18" s="11"/>
      <c r="I18" s="14"/>
      <c r="J18" s="33" t="str">
        <f>IFERROR(LEFT(G18,SEARCH("/",G18)-1)*1,"-")</f>
        <v>-</v>
      </c>
      <c r="K18" s="33" t="s">
        <v>92</v>
      </c>
      <c r="M18" s="26"/>
      <c r="N18" s="11"/>
      <c r="O18" s="12"/>
      <c r="P18" s="11"/>
      <c r="Q18" s="13"/>
      <c r="R18" s="27"/>
      <c r="S18" s="33" t="str">
        <f>IFERROR(LEFT(Q18,SEARCH("/",Q18)-1)*1,"-")</f>
        <v>-</v>
      </c>
    </row>
    <row r="19" ht="15.25">
      <c r="A19" s="15"/>
      <c r="B19" s="11"/>
      <c r="C19" s="11"/>
      <c r="D19" s="11"/>
      <c r="E19" s="12"/>
      <c r="F19" s="11"/>
      <c r="G19" s="13"/>
      <c r="H19" s="11"/>
      <c r="I19" s="14"/>
      <c r="J19" s="33" t="str">
        <f>IFERROR(LEFT(G19,SEARCH("/",G19)-1)*1,"-")</f>
        <v>-</v>
      </c>
      <c r="K19" s="33" t="s">
        <v>92</v>
      </c>
      <c r="M19" s="26"/>
      <c r="N19" s="11"/>
      <c r="O19" s="12"/>
      <c r="P19" s="11"/>
      <c r="Q19" s="13"/>
      <c r="R19" s="27"/>
      <c r="S19" s="45" t="str">
        <f>IFERROR(LEFT(Q19,SEARCH("/",Q19)-1)*1,"-")</f>
        <v>-</v>
      </c>
    </row>
    <row r="20" ht="15.25">
      <c r="A20" s="15"/>
      <c r="B20" s="11"/>
      <c r="C20" s="11"/>
      <c r="D20" s="11"/>
      <c r="E20" s="12"/>
      <c r="F20" s="11"/>
      <c r="G20" s="13"/>
      <c r="H20" s="11"/>
      <c r="I20" s="14"/>
      <c r="J20" s="33" t="str">
        <f>IFERROR(LEFT(G20,SEARCH("/",G20)-1)*1,"-")</f>
        <v>-</v>
      </c>
      <c r="K20" s="33" t="s">
        <v>92</v>
      </c>
      <c r="M20" s="26"/>
      <c r="N20" s="11"/>
      <c r="O20" s="12"/>
      <c r="P20" s="11"/>
      <c r="Q20" s="13"/>
      <c r="R20" s="27"/>
      <c r="S20" s="45" t="str">
        <f>IFERROR(LEFT(Q20,SEARCH("/",Q20)-1)*1,"-")</f>
        <v>-</v>
      </c>
    </row>
    <row r="21" ht="15.25">
      <c r="A21" s="15"/>
      <c r="B21" s="11"/>
      <c r="C21" s="11"/>
      <c r="D21" s="11"/>
      <c r="E21" s="12"/>
      <c r="F21" s="11"/>
      <c r="G21" s="13"/>
      <c r="H21" s="11"/>
      <c r="I21" s="14"/>
      <c r="J21" s="33" t="str">
        <f>IFERROR(LEFT(G21,SEARCH("/",G21)-1)*1,"-")</f>
        <v>-</v>
      </c>
      <c r="K21" s="33" t="s">
        <v>92</v>
      </c>
      <c r="M21" s="26"/>
      <c r="N21" s="11"/>
      <c r="O21" s="12"/>
      <c r="P21" s="11"/>
      <c r="Q21" s="13"/>
      <c r="R21" s="27"/>
      <c r="S21" s="45" t="str">
        <f>IFERROR(LEFT(Q21,SEARCH("/",Q21)-1)*1,"-")</f>
        <v>-</v>
      </c>
    </row>
    <row r="22" ht="15.25">
      <c r="A22" s="15"/>
      <c r="B22" s="11"/>
      <c r="C22" s="11"/>
      <c r="D22" s="11"/>
      <c r="E22" s="12"/>
      <c r="F22" s="11"/>
      <c r="G22" s="13"/>
      <c r="H22" s="11"/>
      <c r="I22" s="14"/>
      <c r="J22" s="33" t="str">
        <f>IFERROR(LEFT(G22,SEARCH("/",G22)-1)*1,"-")</f>
        <v>-</v>
      </c>
      <c r="K22" s="45" t="s">
        <v>92</v>
      </c>
      <c r="M22" s="26"/>
      <c r="N22" s="11"/>
      <c r="O22" s="12"/>
      <c r="P22" s="11"/>
      <c r="Q22" s="13"/>
      <c r="R22" s="27"/>
      <c r="S22" s="45" t="str">
        <f>IFERROR(LEFT(Q22,SEARCH("/",Q22)-1)*1,"-")</f>
        <v>-</v>
      </c>
    </row>
    <row r="23" ht="15.25">
      <c r="A23" s="15"/>
      <c r="B23" s="11"/>
      <c r="C23" s="11"/>
      <c r="D23" s="11"/>
      <c r="E23" s="12"/>
      <c r="F23" s="11"/>
      <c r="G23" s="13"/>
      <c r="H23" s="11"/>
      <c r="I23" s="14"/>
      <c r="J23" s="33" t="str">
        <f>IFERROR(LEFT(G23,SEARCH("/",G23)-1)*1,"-")</f>
        <v>-</v>
      </c>
      <c r="K23" s="45" t="s">
        <v>92</v>
      </c>
      <c r="M23" s="26"/>
      <c r="N23" s="11"/>
      <c r="O23" s="12"/>
      <c r="P23" s="11"/>
      <c r="Q23" s="13"/>
      <c r="R23" s="27"/>
      <c r="S23" s="45" t="str">
        <f>IFERROR(LEFT(Q23,SEARCH("/",Q23)-1)*1,"-")</f>
        <v>-</v>
      </c>
    </row>
    <row r="24" ht="15.25">
      <c r="A24" s="15"/>
      <c r="B24" s="11"/>
      <c r="C24" s="11"/>
      <c r="D24" s="11"/>
      <c r="E24" s="12"/>
      <c r="F24" s="11"/>
      <c r="G24" s="13"/>
      <c r="H24" s="11"/>
      <c r="I24" s="14"/>
      <c r="J24" s="33" t="str">
        <f>IFERROR(LEFT(G24,SEARCH("/",G24)-1)*1,"-")</f>
        <v>-</v>
      </c>
      <c r="K24" s="45" t="s">
        <v>92</v>
      </c>
      <c r="L24" s="46"/>
      <c r="M24" s="26"/>
      <c r="N24" s="11"/>
      <c r="O24" s="12"/>
      <c r="P24" s="11"/>
      <c r="Q24" s="13"/>
      <c r="R24" s="27"/>
      <c r="S24" s="45" t="str">
        <f>IFERROR(LEFT(Q24,SEARCH("/",Q24)-1)*1,"-")</f>
        <v>-</v>
      </c>
    </row>
    <row r="25" ht="15.25">
      <c r="A25" s="15"/>
      <c r="B25" s="11"/>
      <c r="C25" s="11"/>
      <c r="D25" s="11"/>
      <c r="E25" s="12"/>
      <c r="F25" s="11"/>
      <c r="G25" s="13"/>
      <c r="H25" s="11"/>
      <c r="I25" s="14"/>
      <c r="J25" s="33" t="str">
        <f>IFERROR(LEFT(G25,SEARCH("/",G25)-1)*1,"-")</f>
        <v>-</v>
      </c>
      <c r="K25" s="45" t="s">
        <v>92</v>
      </c>
      <c r="L25" s="46"/>
      <c r="M25" s="26"/>
      <c r="N25" s="11"/>
      <c r="O25" s="12"/>
      <c r="P25" s="11"/>
      <c r="Q25" s="13"/>
      <c r="R25" s="27"/>
      <c r="S25" s="45" t="str">
        <f>IFERROR(LEFT(Q25,SEARCH("/",Q25)-1)*1,"-")</f>
        <v>-</v>
      </c>
    </row>
    <row r="26" ht="15.25">
      <c r="A26" s="15"/>
      <c r="B26" s="11"/>
      <c r="C26" s="11"/>
      <c r="D26" s="11"/>
      <c r="E26" s="12"/>
      <c r="F26" s="11"/>
      <c r="G26" s="13"/>
      <c r="H26" s="11"/>
      <c r="I26" s="14"/>
      <c r="J26" s="33" t="str">
        <f>IFERROR(LEFT(G26,SEARCH("/",G26)-1)*1,"-")</f>
        <v>-</v>
      </c>
      <c r="K26" s="45" t="s">
        <v>92</v>
      </c>
      <c r="L26" s="46"/>
      <c r="M26" s="26"/>
      <c r="N26" s="11"/>
      <c r="O26" s="12"/>
      <c r="P26" s="11"/>
      <c r="Q26" s="13"/>
      <c r="R26" s="27"/>
      <c r="S26" s="45" t="str">
        <f>IFERROR(LEFT(Q26,SEARCH("/",Q26)-1)*1,"-")</f>
        <v>-</v>
      </c>
    </row>
    <row r="27" ht="15.25">
      <c r="A27" s="15"/>
      <c r="B27" s="11"/>
      <c r="C27" s="11"/>
      <c r="D27" s="11"/>
      <c r="E27" s="12"/>
      <c r="F27" s="11"/>
      <c r="G27" s="13"/>
      <c r="H27" s="11"/>
      <c r="I27" s="14"/>
      <c r="J27" s="33" t="str">
        <f>IFERROR(LEFT(G27,SEARCH("/",G27)-1)*1,"-")</f>
        <v>-</v>
      </c>
      <c r="K27" s="45" t="s">
        <v>92</v>
      </c>
      <c r="M27" s="26"/>
      <c r="N27" s="11"/>
      <c r="O27" s="12"/>
      <c r="P27" s="11"/>
      <c r="Q27" s="13"/>
      <c r="R27" s="27"/>
      <c r="S27" s="45" t="str">
        <f>IFERROR(LEFT(Q27,SEARCH("/",Q27)-1)*1,"-")</f>
        <v>-</v>
      </c>
    </row>
    <row r="28" ht="15.25">
      <c r="A28" s="15"/>
      <c r="B28" s="11"/>
      <c r="C28" s="11"/>
      <c r="D28" s="11"/>
      <c r="E28" s="12"/>
      <c r="F28" s="11"/>
      <c r="G28" s="13"/>
      <c r="H28" s="11"/>
      <c r="I28" s="14"/>
      <c r="J28" s="33" t="str">
        <f>IFERROR(LEFT(G28,SEARCH("/",G28)-1)*1,"-")</f>
        <v>-</v>
      </c>
      <c r="K28" s="45" t="s">
        <v>92</v>
      </c>
      <c r="M28" s="26"/>
      <c r="N28" s="11"/>
      <c r="O28" s="12"/>
      <c r="P28" s="11"/>
      <c r="Q28" s="13"/>
      <c r="R28" s="27"/>
      <c r="S28" s="45" t="str">
        <f>IFERROR(LEFT(Q28,SEARCH("/",Q28)-1)*1,"-")</f>
        <v>-</v>
      </c>
    </row>
    <row r="29" ht="15.25">
      <c r="A29" s="15"/>
      <c r="B29" s="11"/>
      <c r="C29" s="11"/>
      <c r="D29" s="11"/>
      <c r="E29" s="12"/>
      <c r="F29" s="11"/>
      <c r="G29" s="13"/>
      <c r="H29" s="11"/>
      <c r="I29" s="14"/>
      <c r="J29" s="33" t="str">
        <f>IFERROR(LEFT(G29,SEARCH("/",G29)-1)*1,"-")</f>
        <v>-</v>
      </c>
      <c r="K29" s="45" t="s">
        <v>92</v>
      </c>
      <c r="M29" s="26"/>
      <c r="N29" s="11"/>
      <c r="O29" s="12"/>
      <c r="P29" s="11"/>
      <c r="Q29" s="13"/>
      <c r="R29" s="27"/>
      <c r="S29" s="45" t="str">
        <f>IFERROR(LEFT(Q29,SEARCH("/",Q29)-1)*1,"-")</f>
        <v>-</v>
      </c>
    </row>
    <row r="30" ht="15.25">
      <c r="A30" s="15"/>
      <c r="B30" s="11"/>
      <c r="C30" s="11"/>
      <c r="D30" s="11"/>
      <c r="E30" s="12"/>
      <c r="F30" s="11"/>
      <c r="G30" s="13"/>
      <c r="H30" s="11"/>
      <c r="I30" s="14"/>
      <c r="J30" s="33" t="str">
        <f>IFERROR(LEFT(G30,SEARCH("/",G30)-1)*1,"-")</f>
        <v>-</v>
      </c>
      <c r="K30" s="45" t="s">
        <v>92</v>
      </c>
      <c r="M30" s="26"/>
      <c r="N30" s="11"/>
      <c r="O30" s="12"/>
      <c r="P30" s="11"/>
      <c r="Q30" s="13"/>
      <c r="R30" s="27"/>
      <c r="S30" s="45" t="str">
        <f>IFERROR(LEFT(Q30,SEARCH("/",Q30)-1)*1,"-")</f>
        <v>-</v>
      </c>
    </row>
    <row r="31" ht="15.25">
      <c r="A31" s="15"/>
      <c r="B31" s="11"/>
      <c r="C31" s="11"/>
      <c r="D31" s="11"/>
      <c r="E31" s="12"/>
      <c r="F31" s="11"/>
      <c r="G31" s="13"/>
      <c r="H31" s="11"/>
      <c r="I31" s="14"/>
      <c r="J31" s="33" t="str">
        <f>IFERROR(LEFT(G31,SEARCH("/",G31)-1)*1,"-")</f>
        <v>-</v>
      </c>
      <c r="K31" s="45" t="s">
        <v>92</v>
      </c>
      <c r="M31" s="26"/>
      <c r="N31" s="11"/>
      <c r="O31" s="12"/>
      <c r="P31" s="11"/>
      <c r="Q31" s="13"/>
      <c r="R31" s="27"/>
      <c r="S31" s="33" t="str">
        <f>IFERROR(LEFT(Q31,SEARCH("/",Q31)-1)*1,"-")</f>
        <v>-</v>
      </c>
    </row>
    <row r="32" ht="15.25">
      <c r="A32" s="15"/>
      <c r="B32" s="11"/>
      <c r="C32" s="11"/>
      <c r="D32" s="11"/>
      <c r="E32" s="12"/>
      <c r="F32" s="11"/>
      <c r="G32" s="13"/>
      <c r="H32" s="11"/>
      <c r="I32" s="14"/>
      <c r="J32" s="33" t="str">
        <f>IFERROR(LEFT(G32,SEARCH("/",G32)-1)*1,"-")</f>
        <v>-</v>
      </c>
      <c r="K32" s="45" t="s">
        <v>92</v>
      </c>
      <c r="M32" s="26"/>
      <c r="N32" s="11"/>
      <c r="O32" s="12"/>
      <c r="P32" s="11"/>
      <c r="Q32" s="13"/>
      <c r="R32" s="27"/>
      <c r="S32" s="33" t="str">
        <f>IFERROR(LEFT(Q32,SEARCH("/",Q32)-1)*1,"-")</f>
        <v>-</v>
      </c>
    </row>
    <row r="33" ht="15.25">
      <c r="A33" s="15"/>
      <c r="B33" s="11"/>
      <c r="C33" s="11"/>
      <c r="D33" s="11"/>
      <c r="E33" s="12"/>
      <c r="F33" s="11"/>
      <c r="G33" s="13"/>
      <c r="H33" s="11"/>
      <c r="I33" s="14"/>
      <c r="J33" s="33" t="str">
        <f>IFERROR(LEFT(G33,SEARCH("/",G33)-1)*1,"-")</f>
        <v>-</v>
      </c>
      <c r="K33" s="45" t="s">
        <v>92</v>
      </c>
      <c r="M33" s="26"/>
      <c r="N33" s="11"/>
      <c r="O33" s="12"/>
      <c r="P33" s="11"/>
      <c r="Q33" s="13"/>
      <c r="R33" s="27"/>
      <c r="S33" s="45" t="str">
        <f>IFERROR(LEFT(Q33,SEARCH("/",Q33)-1)*1,"-")</f>
        <v>-</v>
      </c>
    </row>
    <row r="34" ht="15.25">
      <c r="A34" s="16"/>
      <c r="B34" s="17"/>
      <c r="C34" s="17"/>
      <c r="D34" s="17"/>
      <c r="E34" s="18"/>
      <c r="F34" s="17"/>
      <c r="G34" s="19"/>
      <c r="H34" s="17"/>
      <c r="I34" s="20"/>
      <c r="J34" s="33" t="str">
        <f>IFERROR(LEFT(G34,SEARCH("/",G34)-1)*1,"-")</f>
        <v>-</v>
      </c>
      <c r="K34" s="33" t="s">
        <v>92</v>
      </c>
      <c r="M34" s="28"/>
      <c r="N34" s="29"/>
      <c r="O34" s="30"/>
      <c r="P34" s="29"/>
      <c r="Q34" s="31"/>
      <c r="R34" s="32"/>
      <c r="S34" s="45" t="str">
        <f>IFERROR(LEFT(Q34,SEARCH("/",Q34)-1)*1,"-")</f>
        <v>-</v>
      </c>
    </row>
    <row r="35">
      <c r="A35" s="149" t="s">
        <v>22</v>
      </c>
      <c r="B35" s="148"/>
      <c r="C35" s="47" t="s">
        <v>23</v>
      </c>
      <c r="D35" s="48"/>
      <c r="E35" s="48"/>
      <c r="F35" s="129" t="s">
        <v>24</v>
      </c>
      <c r="G35" s="128"/>
      <c r="H35" s="128"/>
      <c r="I35" s="127"/>
      <c r="M35" s="139" t="s">
        <v>27</v>
      </c>
      <c r="N35" s="139"/>
      <c r="P35" s="157" t="s">
        <v>24</v>
      </c>
      <c r="Q35" s="157"/>
      <c r="R35" s="157"/>
    </row>
    <row r="36" ht="15.25">
      <c r="A36" s="155">
        <f>SUMIF(Tabela1[mês],MONTH((H9*1)),(E12:E34))</f>
        <v>0.0</v>
      </c>
      <c r="B36" s="154"/>
      <c r="C36" s="126">
        <f>SUMIFS(E12:E34,I12:I34,"Sim",J12:J34,"&gt;1")</f>
        <v>0.0</v>
      </c>
      <c r="D36" s="49"/>
      <c r="E36" s="49"/>
      <c r="F36" s="138">
        <f>SUMIF(I12:I34,"Sim",E12:E34)</f>
        <v>0.0</v>
      </c>
      <c r="G36" s="137"/>
      <c r="H36" s="137"/>
      <c r="I36" s="136"/>
      <c r="M36" s="141">
        <f>SUM(Tabela3[Valor])</f>
        <v>0.0</v>
      </c>
      <c r="N36" s="140"/>
      <c r="O36" s="49"/>
      <c r="P36" s="146">
        <f>SUMIF(Tabela3[Pago],"Sim",Tabela3[Valor])</f>
        <v>0.0</v>
      </c>
      <c r="Q36" s="146"/>
      <c r="R36" s="146"/>
      <c r="S36" s="49"/>
    </row>
    <row r="37">
      <c r="A37" s="153"/>
      <c r="B37" s="152"/>
      <c r="C37" s="125"/>
      <c r="D37" s="49"/>
      <c r="E37" s="49"/>
      <c r="F37" s="135"/>
      <c r="G37" s="134"/>
      <c r="H37" s="134"/>
      <c r="I37" s="133"/>
      <c r="M37" s="140"/>
      <c r="N37" s="140"/>
      <c r="O37" s="49"/>
      <c r="P37" s="146"/>
      <c r="Q37" s="146"/>
      <c r="R37" s="146"/>
      <c r="S37" s="49"/>
    </row>
    <row r="38">
      <c r="A38" s="151"/>
      <c r="B38" s="150"/>
      <c r="C38" s="124"/>
      <c r="D38" s="49"/>
      <c r="E38" s="49"/>
      <c r="F38" s="132"/>
      <c r="G38" s="131"/>
      <c r="H38" s="131"/>
      <c r="I38" s="130"/>
      <c r="M38" s="140"/>
      <c r="N38" s="140"/>
      <c r="O38" s="49"/>
      <c r="P38" s="146"/>
      <c r="Q38" s="146"/>
      <c r="R38" s="146"/>
      <c r="S38" s="49"/>
    </row>
    <row r="39">
      <c r="B39" s="11"/>
      <c r="C39" s="50"/>
    </row>
    <row r="40">
      <c r="G40" s="33"/>
    </row>
    <row r="41">
      <c r="G41" s="33"/>
    </row>
    <row r="42">
      <c r="G42" s="33"/>
    </row>
    <row r="43">
      <c r="G43" s="33"/>
    </row>
    <row r="44">
      <c r="G44" s="33"/>
    </row>
    <row r="45">
      <c r="G45" s="33"/>
    </row>
    <row r="50">
      <c r="P50" s="33" t="s">
        <v>77</v>
      </c>
    </row>
  </sheetData>
  <mergeCells count="19">
    <mergeCell ref="C36:C38"/>
    <mergeCell ref="F35:I35"/>
    <mergeCell ref="F36:I38"/>
    <mergeCell ref="M35:N35"/>
    <mergeCell ref="M36:N38"/>
    <mergeCell ref="A9:G10"/>
    <mergeCell ref="A1:R2"/>
    <mergeCell ref="H9:I10"/>
    <mergeCell ref="Q9:R10"/>
    <mergeCell ref="P36:R38"/>
    <mergeCell ref="M9:P10"/>
    <mergeCell ref="A35:B35"/>
    <mergeCell ref="A36:B38"/>
    <mergeCell ref="B4:C4"/>
    <mergeCell ref="B5:C5"/>
    <mergeCell ref="B7:C7"/>
    <mergeCell ref="P35:R35"/>
    <mergeCell ref="G5:G6"/>
    <mergeCell ref="H5:I6"/>
  </mergeCells>
  <printOptions/>
  <pageMargins left="0.5054133862" right="0.5054133862" top="0.7775590553124999" bottom="0.7775590553124999" footer="0.31102361224999997" header="0.31102361224999997"/>
  <pageSetup paperSize="9" scale="50" orientation="landscape" copies="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Planilha13">
    <outlinePr/>
    <pageSetUpPr fitToPage="1"/>
  </sheetPr>
  <dimension ref="A1:XFD46"/>
  <sheetViews>
    <sheetView workbookViewId="0" showGridLines="0" zoomScale="70" zoomScaleNormal="70" zoomScaleSheetLayoutView="60">
      <pane ySplit="11" topLeftCell="A12" activePane="bottomLeft" state="frozen"/>
      <selection activeCell="A12" sqref="A12"/>
      <selection pane="bottomLeft" activeCell="A12" sqref="A12"/>
    </sheetView>
  </sheetViews>
  <sheetFormatPr defaultRowHeight="15.0" customHeight="1"/>
  <cols>
    <col min="1" max="1" width="19.72417534722222" style="33" customWidth="1"/>
    <col min="2" max="2" width="9.557508680555555" style="33" customWidth="1"/>
    <col min="3" max="3" width="48.835286458333336" style="33" customWidth="1"/>
    <col min="4" max="4" width="8.835286458333334" style="33" bestFit="1" customWidth="1"/>
    <col min="5" max="5" width="14.835286458333334" style="34" bestFit="1" customWidth="1"/>
    <col min="6" max="6" width="12.724175347222221" style="33" bestFit="1" customWidth="1"/>
    <col min="7" max="7" width="16.835286458333332" style="35" customWidth="1"/>
    <col min="8" max="8" width="6.446397569444445" style="33" bestFit="1" customWidth="1"/>
    <col min="9" max="9" width="10.279730902777779" style="33" bestFit="1" customWidth="1"/>
    <col min="10" max="11" width="11.724175347222221" style="33" hidden="1" customWidth="1"/>
    <col min="12" max="12" width="6.279730902777778" style="33" customWidth="1"/>
    <col min="13" max="13" width="11.557508680555555" style="33" bestFit="1" customWidth="1"/>
    <col min="14" max="14" width="30.446397569444443" style="33" customWidth="1"/>
    <col min="15" max="15" width="14.279730902777779" style="33" bestFit="1" customWidth="1"/>
    <col min="16" max="18" width="14.724175347222221" style="33" customWidth="1"/>
    <col min="19" max="19" width="9.446397569444445" style="33" hidden="1" customWidth="1"/>
    <col min="20" max="16384" width="9.168619791666666" style="33"/>
  </cols>
  <sheetData>
    <row r="1">
      <c r="A1" s="143" t="s">
        <v>20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</row>
    <row r="2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</row>
    <row r="3" ht="6.75" customHeight="1"/>
    <row r="4" ht="15.75">
      <c r="A4" s="36" t="s">
        <v>16</v>
      </c>
      <c r="B4" s="156" t="s">
        <v>30</v>
      </c>
      <c r="C4" s="156"/>
    </row>
    <row r="5" ht="15.75">
      <c r="A5" s="36" t="s">
        <v>15</v>
      </c>
      <c r="B5" s="156">
        <v>2019.0</v>
      </c>
      <c r="C5" s="156"/>
      <c r="G5" s="159"/>
      <c r="H5" s="161"/>
      <c r="I5" s="160"/>
    </row>
    <row r="6" ht="3.75" customHeight="1">
      <c r="A6" s="36"/>
      <c r="B6" s="4"/>
      <c r="C6" s="4"/>
      <c r="G6" s="158"/>
      <c r="H6" s="160"/>
      <c r="I6" s="160"/>
    </row>
    <row r="7" ht="15.75">
      <c r="A7" s="36" t="s">
        <v>42</v>
      </c>
      <c r="B7" s="156"/>
      <c r="C7" s="156"/>
    </row>
    <row r="8" ht="6.75" customHeight="1">
      <c r="A8" s="37"/>
    </row>
    <row r="9">
      <c r="A9" s="142" t="s">
        <v>25</v>
      </c>
      <c r="B9" s="142"/>
      <c r="C9" s="142"/>
      <c r="D9" s="142"/>
      <c r="E9" s="142"/>
      <c r="F9" s="142"/>
      <c r="G9" s="142"/>
      <c r="H9" s="144" t="str">
        <f>LEFT($B$4,3)&amp;"/"&amp;RIGHT($B$5,2)</f>
        <v>Fev/19</v>
      </c>
      <c r="I9" s="144"/>
      <c r="M9" s="147" t="s">
        <v>59</v>
      </c>
      <c r="N9" s="147"/>
      <c r="O9" s="147"/>
      <c r="P9" s="147"/>
      <c r="Q9" s="145" t="str">
        <f>LEFT($B$4,3)&amp;"/"&amp;RIGHT($B$5,2)</f>
        <v>Fev/19</v>
      </c>
      <c r="R9" s="145"/>
    </row>
    <row r="10">
      <c r="A10" s="142"/>
      <c r="B10" s="142"/>
      <c r="C10" s="142"/>
      <c r="D10" s="142"/>
      <c r="E10" s="142"/>
      <c r="F10" s="142"/>
      <c r="G10" s="142"/>
      <c r="H10" s="144"/>
      <c r="I10" s="144"/>
      <c r="M10" s="147"/>
      <c r="N10" s="147"/>
      <c r="O10" s="147"/>
      <c r="P10" s="147"/>
      <c r="Q10" s="145"/>
      <c r="R10" s="145"/>
    </row>
    <row r="11" s="41" customFormat="1" ht="52.5" customHeight="1">
      <c r="A11" s="38" t="s">
        <v>0</v>
      </c>
      <c r="B11" s="38" t="s">
        <v>1</v>
      </c>
      <c r="C11" s="38" t="s">
        <v>2</v>
      </c>
      <c r="D11" s="38" t="s">
        <v>18</v>
      </c>
      <c r="E11" s="39" t="s">
        <v>3</v>
      </c>
      <c r="F11" s="38" t="s">
        <v>21</v>
      </c>
      <c r="G11" s="40" t="s">
        <v>11</v>
      </c>
      <c r="H11" s="38" t="s">
        <v>28</v>
      </c>
      <c r="I11" s="38" t="s">
        <v>9</v>
      </c>
      <c r="J11" s="41" t="s">
        <v>31</v>
      </c>
      <c r="K11" s="42" t="s">
        <v>29</v>
      </c>
      <c r="M11" s="43" t="s">
        <v>0</v>
      </c>
      <c r="N11" s="38" t="s">
        <v>13</v>
      </c>
      <c r="O11" s="43" t="s">
        <v>3</v>
      </c>
      <c r="P11" s="38" t="s">
        <v>26</v>
      </c>
      <c r="Q11" s="40" t="s">
        <v>11</v>
      </c>
      <c r="R11" s="38" t="s">
        <v>4</v>
      </c>
      <c r="S11" s="44" t="s">
        <v>14</v>
      </c>
    </row>
    <row r="12">
      <c r="A12" s="5"/>
      <c r="B12" s="6"/>
      <c r="C12" s="6"/>
      <c r="D12" s="6"/>
      <c r="E12" s="7"/>
      <c r="F12" s="6"/>
      <c r="G12" s="8"/>
      <c r="H12" s="6"/>
      <c r="I12" s="9"/>
      <c r="J12" s="33" t="str">
        <f>IFERROR(LEFT(G12,SEARCH("/",G12)-1)*1,"-")</f>
        <v>-</v>
      </c>
      <c r="K12" s="33" t="s">
        <v>92</v>
      </c>
      <c r="M12" s="21"/>
      <c r="N12" s="22"/>
      <c r="O12" s="23"/>
      <c r="P12" s="22"/>
      <c r="Q12" s="24"/>
      <c r="R12" s="25"/>
      <c r="S12" s="33" t="str">
        <f>IFERROR(LEFT(Q12,SEARCH("/",Q12)-1)*1,"-")</f>
        <v>-</v>
      </c>
    </row>
    <row r="13">
      <c r="A13" s="10"/>
      <c r="B13" s="11"/>
      <c r="C13" s="11"/>
      <c r="D13" s="11"/>
      <c r="E13" s="12"/>
      <c r="F13" s="11"/>
      <c r="G13" s="13"/>
      <c r="H13" s="11"/>
      <c r="I13" s="14"/>
      <c r="J13" s="33" t="str">
        <f>IFERROR(LEFT(G13,SEARCH("/",G13)-1)*1,"-")</f>
        <v>-</v>
      </c>
      <c r="K13" s="33" t="s">
        <v>92</v>
      </c>
      <c r="M13" s="26"/>
      <c r="N13" s="11"/>
      <c r="O13" s="12"/>
      <c r="P13" s="11"/>
      <c r="Q13" s="13"/>
      <c r="R13" s="27"/>
      <c r="S13" s="33" t="str">
        <f>IFERROR(LEFT(Q13,SEARCH("/",Q13)-1)*1,"-")</f>
        <v>-</v>
      </c>
    </row>
    <row r="14">
      <c r="A14" s="10"/>
      <c r="B14" s="11"/>
      <c r="C14" s="11"/>
      <c r="D14" s="11"/>
      <c r="E14" s="12"/>
      <c r="F14" s="11"/>
      <c r="G14" s="13"/>
      <c r="H14" s="11"/>
      <c r="I14" s="14"/>
      <c r="J14" s="33" t="str">
        <f>IFERROR(LEFT(G14,SEARCH("/",G14)-1)*1,"-")</f>
        <v>-</v>
      </c>
      <c r="K14" s="33" t="s">
        <v>92</v>
      </c>
      <c r="M14" s="26"/>
      <c r="N14" s="11"/>
      <c r="O14" s="12"/>
      <c r="P14" s="11"/>
      <c r="Q14" s="13"/>
      <c r="R14" s="27"/>
      <c r="S14" s="33" t="str">
        <f>IFERROR(LEFT(Q14,SEARCH("/",Q14)-1)*1,"-")</f>
        <v>-</v>
      </c>
    </row>
    <row r="15">
      <c r="A15" s="15"/>
      <c r="B15" s="11"/>
      <c r="C15" s="11"/>
      <c r="D15" s="11"/>
      <c r="E15" s="12"/>
      <c r="F15" s="11"/>
      <c r="G15" s="13"/>
      <c r="H15" s="11"/>
      <c r="I15" s="14"/>
      <c r="J15" s="33" t="str">
        <f>IFERROR(LEFT(G15,SEARCH("/",G15)-1)*1,"-")</f>
        <v>-</v>
      </c>
      <c r="K15" s="33" t="s">
        <v>92</v>
      </c>
      <c r="M15" s="26"/>
      <c r="N15" s="11"/>
      <c r="O15" s="12"/>
      <c r="P15" s="11"/>
      <c r="Q15" s="13"/>
      <c r="R15" s="27"/>
      <c r="S15" s="33" t="str">
        <f>IFERROR(LEFT(Q15,SEARCH("/",Q15)-1)*1,"-")</f>
        <v>-</v>
      </c>
    </row>
    <row r="16">
      <c r="A16" s="15"/>
      <c r="B16" s="11"/>
      <c r="C16" s="11"/>
      <c r="D16" s="11"/>
      <c r="E16" s="12"/>
      <c r="F16" s="11"/>
      <c r="G16" s="13"/>
      <c r="H16" s="11"/>
      <c r="I16" s="14"/>
      <c r="J16" s="33" t="str">
        <f>IFERROR(LEFT(G16,SEARCH("/",G16)-1)*1,"-")</f>
        <v>-</v>
      </c>
      <c r="K16" s="33" t="s">
        <v>92</v>
      </c>
      <c r="M16" s="26"/>
      <c r="N16" s="11"/>
      <c r="O16" s="12"/>
      <c r="P16" s="11"/>
      <c r="Q16" s="13"/>
      <c r="R16" s="27"/>
      <c r="S16" s="33" t="str">
        <f>IFERROR(LEFT(Q16,SEARCH("/",Q16)-1)*1,"-")</f>
        <v>-</v>
      </c>
    </row>
    <row r="17">
      <c r="A17" s="15"/>
      <c r="B17" s="11"/>
      <c r="C17" s="11"/>
      <c r="D17" s="11"/>
      <c r="E17" s="12"/>
      <c r="F17" s="11"/>
      <c r="G17" s="13"/>
      <c r="H17" s="11"/>
      <c r="I17" s="14"/>
      <c r="J17" s="33" t="str">
        <f>IFERROR(LEFT(G17,SEARCH("/",G17)-1)*1,"-")</f>
        <v>-</v>
      </c>
      <c r="K17" s="33" t="s">
        <v>92</v>
      </c>
      <c r="M17" s="26"/>
      <c r="N17" s="11"/>
      <c r="O17" s="12"/>
      <c r="P17" s="11"/>
      <c r="Q17" s="13"/>
      <c r="R17" s="27"/>
      <c r="S17" s="33" t="str">
        <f>IFERROR(LEFT(Q17,SEARCH("/",Q17)-1)*1,"-")</f>
        <v>-</v>
      </c>
    </row>
    <row r="18">
      <c r="A18" s="15"/>
      <c r="B18" s="11"/>
      <c r="C18" s="11"/>
      <c r="D18" s="11"/>
      <c r="E18" s="12"/>
      <c r="F18" s="11"/>
      <c r="G18" s="13"/>
      <c r="H18" s="11"/>
      <c r="I18" s="14"/>
      <c r="J18" s="33" t="str">
        <f>IFERROR(LEFT(G18,SEARCH("/",G18)-1)*1,"-")</f>
        <v>-</v>
      </c>
      <c r="K18" s="33" t="s">
        <v>92</v>
      </c>
      <c r="M18" s="26"/>
      <c r="N18" s="11"/>
      <c r="O18" s="12"/>
      <c r="P18" s="11"/>
      <c r="Q18" s="13"/>
      <c r="R18" s="27"/>
      <c r="S18" s="33" t="str">
        <f>IFERROR(LEFT(Q18,SEARCH("/",Q18)-1)*1,"-")</f>
        <v>-</v>
      </c>
    </row>
    <row r="19">
      <c r="A19" s="15"/>
      <c r="B19" s="11"/>
      <c r="C19" s="11"/>
      <c r="D19" s="11"/>
      <c r="E19" s="12"/>
      <c r="F19" s="11"/>
      <c r="G19" s="13"/>
      <c r="H19" s="11"/>
      <c r="I19" s="14"/>
      <c r="J19" s="33" t="str">
        <f>IFERROR(LEFT(G19,SEARCH("/",G19)-1)*1,"-")</f>
        <v>-</v>
      </c>
      <c r="K19" s="33" t="s">
        <v>92</v>
      </c>
      <c r="M19" s="26"/>
      <c r="N19" s="11"/>
      <c r="O19" s="12"/>
      <c r="P19" s="11"/>
      <c r="Q19" s="13"/>
      <c r="R19" s="27"/>
      <c r="S19" s="45" t="str">
        <f>IFERROR(LEFT(Q19,SEARCH("/",Q19)-1)*1,"-")</f>
        <v>-</v>
      </c>
    </row>
    <row r="20">
      <c r="A20" s="15"/>
      <c r="B20" s="11"/>
      <c r="C20" s="11"/>
      <c r="D20" s="11"/>
      <c r="E20" s="12"/>
      <c r="F20" s="11"/>
      <c r="G20" s="13"/>
      <c r="H20" s="11"/>
      <c r="I20" s="14"/>
      <c r="J20" s="33" t="str">
        <f>IFERROR(LEFT(G20,SEARCH("/",G20)-1)*1,"-")</f>
        <v>-</v>
      </c>
      <c r="K20" s="33" t="s">
        <v>92</v>
      </c>
      <c r="M20" s="26"/>
      <c r="N20" s="11"/>
      <c r="O20" s="12"/>
      <c r="P20" s="11"/>
      <c r="Q20" s="13"/>
      <c r="R20" s="27"/>
      <c r="S20" s="45" t="str">
        <f>IFERROR(LEFT(Q20,SEARCH("/",Q20)-1)*1,"-")</f>
        <v>-</v>
      </c>
    </row>
    <row r="21">
      <c r="A21" s="15"/>
      <c r="B21" s="11"/>
      <c r="C21" s="11"/>
      <c r="D21" s="11"/>
      <c r="E21" s="12"/>
      <c r="F21" s="11"/>
      <c r="G21" s="13"/>
      <c r="H21" s="11"/>
      <c r="I21" s="14"/>
      <c r="J21" s="33" t="str">
        <f>IFERROR(LEFT(G21,SEARCH("/",G21)-1)*1,"-")</f>
        <v>-</v>
      </c>
      <c r="K21" s="33" t="s">
        <v>92</v>
      </c>
      <c r="M21" s="26"/>
      <c r="N21" s="11"/>
      <c r="O21" s="12"/>
      <c r="P21" s="11"/>
      <c r="Q21" s="13"/>
      <c r="R21" s="27"/>
      <c r="S21" s="45" t="str">
        <f>IFERROR(LEFT(Q21,SEARCH("/",Q21)-1)*1,"-")</f>
        <v>-</v>
      </c>
    </row>
    <row r="22">
      <c r="A22" s="15"/>
      <c r="B22" s="11"/>
      <c r="C22" s="11"/>
      <c r="D22" s="11"/>
      <c r="E22" s="12"/>
      <c r="F22" s="11"/>
      <c r="G22" s="13"/>
      <c r="H22" s="11"/>
      <c r="I22" s="14"/>
      <c r="J22" s="33" t="str">
        <f>IFERROR(LEFT(G22,SEARCH("/",G22)-1)*1,"-")</f>
        <v>-</v>
      </c>
      <c r="K22" s="45" t="s">
        <v>92</v>
      </c>
      <c r="M22" s="26"/>
      <c r="N22" s="11"/>
      <c r="O22" s="12"/>
      <c r="P22" s="11"/>
      <c r="Q22" s="13"/>
      <c r="R22" s="27"/>
      <c r="S22" s="45" t="str">
        <f>IFERROR(LEFT(Q22,SEARCH("/",Q22)-1)*1,"-")</f>
        <v>-</v>
      </c>
    </row>
    <row r="23">
      <c r="A23" s="15"/>
      <c r="B23" s="11"/>
      <c r="C23" s="11"/>
      <c r="D23" s="11"/>
      <c r="E23" s="12"/>
      <c r="F23" s="11"/>
      <c r="G23" s="13"/>
      <c r="H23" s="11"/>
      <c r="I23" s="14"/>
      <c r="J23" s="33" t="str">
        <f>IFERROR(LEFT(G23,SEARCH("/",G23)-1)*1,"-")</f>
        <v>-</v>
      </c>
      <c r="K23" s="45" t="s">
        <v>92</v>
      </c>
      <c r="M23" s="26"/>
      <c r="N23" s="11"/>
      <c r="O23" s="12"/>
      <c r="P23" s="11"/>
      <c r="Q23" s="13"/>
      <c r="R23" s="27"/>
      <c r="S23" s="45" t="str">
        <f>IFERROR(LEFT(Q23,SEARCH("/",Q23)-1)*1,"-")</f>
        <v>-</v>
      </c>
    </row>
    <row r="24">
      <c r="A24" s="15"/>
      <c r="B24" s="11"/>
      <c r="C24" s="11"/>
      <c r="D24" s="11"/>
      <c r="E24" s="12"/>
      <c r="F24" s="11"/>
      <c r="G24" s="13"/>
      <c r="H24" s="11"/>
      <c r="I24" s="14"/>
      <c r="J24" s="33" t="str">
        <f>IFERROR(LEFT(G24,SEARCH("/",G24)-1)*1,"-")</f>
        <v>-</v>
      </c>
      <c r="K24" s="45" t="s">
        <v>92</v>
      </c>
      <c r="L24" s="46"/>
      <c r="M24" s="26"/>
      <c r="N24" s="11"/>
      <c r="O24" s="12"/>
      <c r="P24" s="11"/>
      <c r="Q24" s="13"/>
      <c r="R24" s="27"/>
      <c r="S24" s="45" t="str">
        <f>IFERROR(LEFT(Q24,SEARCH("/",Q24)-1)*1,"-")</f>
        <v>-</v>
      </c>
    </row>
    <row r="25">
      <c r="A25" s="15"/>
      <c r="B25" s="11"/>
      <c r="C25" s="11"/>
      <c r="D25" s="11"/>
      <c r="E25" s="12"/>
      <c r="F25" s="11"/>
      <c r="G25" s="13"/>
      <c r="H25" s="11"/>
      <c r="I25" s="14"/>
      <c r="J25" s="33" t="str">
        <f>IFERROR(LEFT(G25,SEARCH("/",G25)-1)*1,"-")</f>
        <v>-</v>
      </c>
      <c r="K25" s="45" t="s">
        <v>92</v>
      </c>
      <c r="L25" s="46"/>
      <c r="M25" s="26"/>
      <c r="N25" s="11"/>
      <c r="O25" s="12"/>
      <c r="P25" s="11"/>
      <c r="Q25" s="13"/>
      <c r="R25" s="27"/>
      <c r="S25" s="45" t="str">
        <f>IFERROR(LEFT(Q25,SEARCH("/",Q25)-1)*1,"-")</f>
        <v>-</v>
      </c>
    </row>
    <row r="26">
      <c r="A26" s="15"/>
      <c r="B26" s="11"/>
      <c r="C26" s="11"/>
      <c r="D26" s="11"/>
      <c r="E26" s="12"/>
      <c r="F26" s="11"/>
      <c r="G26" s="13"/>
      <c r="H26" s="11"/>
      <c r="I26" s="14"/>
      <c r="J26" s="33" t="str">
        <f>IFERROR(LEFT(G26,SEARCH("/",G26)-1)*1,"-")</f>
        <v>-</v>
      </c>
      <c r="K26" s="45" t="s">
        <v>92</v>
      </c>
      <c r="L26" s="46"/>
      <c r="M26" s="26"/>
      <c r="N26" s="11"/>
      <c r="O26" s="12"/>
      <c r="P26" s="11"/>
      <c r="Q26" s="13"/>
      <c r="R26" s="27"/>
      <c r="S26" s="45" t="str">
        <f>IFERROR(LEFT(Q26,SEARCH("/",Q26)-1)*1,"-")</f>
        <v>-</v>
      </c>
    </row>
    <row r="27">
      <c r="A27" s="15"/>
      <c r="B27" s="11"/>
      <c r="C27" s="11"/>
      <c r="D27" s="11"/>
      <c r="E27" s="12"/>
      <c r="F27" s="11"/>
      <c r="G27" s="13"/>
      <c r="H27" s="11"/>
      <c r="I27" s="14"/>
      <c r="J27" s="33" t="str">
        <f>IFERROR(LEFT(G27,SEARCH("/",G27)-1)*1,"-")</f>
        <v>-</v>
      </c>
      <c r="K27" s="45" t="s">
        <v>92</v>
      </c>
      <c r="M27" s="26"/>
      <c r="N27" s="11"/>
      <c r="O27" s="12"/>
      <c r="P27" s="11"/>
      <c r="Q27" s="13"/>
      <c r="R27" s="27"/>
      <c r="S27" s="45" t="str">
        <f>IFERROR(LEFT(Q27,SEARCH("/",Q27)-1)*1,"-")</f>
        <v>-</v>
      </c>
    </row>
    <row r="28">
      <c r="A28" s="15"/>
      <c r="B28" s="11"/>
      <c r="C28" s="11"/>
      <c r="D28" s="11"/>
      <c r="E28" s="12"/>
      <c r="F28" s="11"/>
      <c r="G28" s="13"/>
      <c r="H28" s="11"/>
      <c r="I28" s="14"/>
      <c r="J28" s="33" t="str">
        <f>IFERROR(LEFT(G28,SEARCH("/",G28)-1)*1,"-")</f>
        <v>-</v>
      </c>
      <c r="K28" s="45" t="s">
        <v>92</v>
      </c>
      <c r="M28" s="26"/>
      <c r="N28" s="11"/>
      <c r="O28" s="12"/>
      <c r="P28" s="11"/>
      <c r="Q28" s="13"/>
      <c r="R28" s="27"/>
      <c r="S28" s="45" t="str">
        <f>IFERROR(LEFT(Q28,SEARCH("/",Q28)-1)*1,"-")</f>
        <v>-</v>
      </c>
    </row>
    <row r="29">
      <c r="A29" s="15"/>
      <c r="B29" s="11"/>
      <c r="C29" s="11"/>
      <c r="D29" s="11"/>
      <c r="E29" s="12"/>
      <c r="F29" s="11"/>
      <c r="G29" s="13"/>
      <c r="H29" s="11"/>
      <c r="I29" s="14"/>
      <c r="J29" s="33" t="str">
        <f>IFERROR(LEFT(G29,SEARCH("/",G29)-1)*1,"-")</f>
        <v>-</v>
      </c>
      <c r="K29" s="45" t="s">
        <v>92</v>
      </c>
      <c r="M29" s="26"/>
      <c r="N29" s="11"/>
      <c r="O29" s="12"/>
      <c r="P29" s="11"/>
      <c r="Q29" s="13"/>
      <c r="R29" s="27"/>
      <c r="S29" s="45" t="str">
        <f>IFERROR(LEFT(Q29,SEARCH("/",Q29)-1)*1,"-")</f>
        <v>-</v>
      </c>
    </row>
    <row r="30">
      <c r="A30" s="15"/>
      <c r="B30" s="11"/>
      <c r="C30" s="11"/>
      <c r="D30" s="11"/>
      <c r="E30" s="12"/>
      <c r="F30" s="11"/>
      <c r="G30" s="13"/>
      <c r="H30" s="11"/>
      <c r="I30" s="14"/>
      <c r="J30" s="33" t="str">
        <f>IFERROR(LEFT(G30,SEARCH("/",G30)-1)*1,"-")</f>
        <v>-</v>
      </c>
      <c r="K30" s="45" t="s">
        <v>92</v>
      </c>
      <c r="M30" s="26"/>
      <c r="N30" s="11"/>
      <c r="O30" s="12"/>
      <c r="P30" s="11"/>
      <c r="Q30" s="13"/>
      <c r="R30" s="27"/>
      <c r="S30" s="45" t="str">
        <f>IFERROR(LEFT(Q30,SEARCH("/",Q30)-1)*1,"-")</f>
        <v>-</v>
      </c>
    </row>
    <row r="31">
      <c r="A31" s="15"/>
      <c r="B31" s="11"/>
      <c r="C31" s="11"/>
      <c r="D31" s="11"/>
      <c r="E31" s="12"/>
      <c r="F31" s="11"/>
      <c r="G31" s="13"/>
      <c r="H31" s="11"/>
      <c r="I31" s="14"/>
      <c r="J31" s="33" t="str">
        <f>IFERROR(LEFT(G31,SEARCH("/",G31)-1)*1,"-")</f>
        <v>-</v>
      </c>
      <c r="K31" s="45" t="s">
        <v>92</v>
      </c>
      <c r="M31" s="26"/>
      <c r="N31" s="11"/>
      <c r="O31" s="12"/>
      <c r="P31" s="11"/>
      <c r="Q31" s="13"/>
      <c r="R31" s="27"/>
      <c r="S31" s="33" t="str">
        <f>IFERROR(LEFT(Q31,SEARCH("/",Q31)-1)*1,"-")</f>
        <v>-</v>
      </c>
    </row>
    <row r="32">
      <c r="A32" s="15"/>
      <c r="B32" s="11"/>
      <c r="C32" s="11"/>
      <c r="D32" s="11"/>
      <c r="E32" s="12"/>
      <c r="F32" s="11"/>
      <c r="G32" s="13"/>
      <c r="H32" s="11"/>
      <c r="I32" s="14"/>
      <c r="J32" s="33" t="str">
        <f>IFERROR(LEFT(G32,SEARCH("/",G32)-1)*1,"-")</f>
        <v>-</v>
      </c>
      <c r="K32" s="45" t="s">
        <v>92</v>
      </c>
      <c r="M32" s="26"/>
      <c r="N32" s="11"/>
      <c r="O32" s="12"/>
      <c r="P32" s="11"/>
      <c r="Q32" s="13"/>
      <c r="R32" s="27"/>
      <c r="S32" s="33" t="str">
        <f>IFERROR(LEFT(Q32,SEARCH("/",Q32)-1)*1,"-")</f>
        <v>-</v>
      </c>
    </row>
    <row r="33">
      <c r="A33" s="15"/>
      <c r="B33" s="11"/>
      <c r="C33" s="11"/>
      <c r="D33" s="11"/>
      <c r="E33" s="12"/>
      <c r="F33" s="11"/>
      <c r="G33" s="13"/>
      <c r="H33" s="11"/>
      <c r="I33" s="14"/>
      <c r="J33" s="33" t="str">
        <f>IFERROR(LEFT(G33,SEARCH("/",G33)-1)*1,"-")</f>
        <v>-</v>
      </c>
      <c r="K33" s="45" t="s">
        <v>92</v>
      </c>
      <c r="M33" s="26"/>
      <c r="N33" s="11"/>
      <c r="O33" s="12"/>
      <c r="P33" s="11"/>
      <c r="Q33" s="13"/>
      <c r="R33" s="27"/>
      <c r="S33" s="45" t="str">
        <f>IFERROR(LEFT(Q33,SEARCH("/",Q33)-1)*1,"-")</f>
        <v>-</v>
      </c>
    </row>
    <row r="34">
      <c r="A34" s="16"/>
      <c r="B34" s="17"/>
      <c r="C34" s="17"/>
      <c r="D34" s="17"/>
      <c r="E34" s="18"/>
      <c r="F34" s="17"/>
      <c r="G34" s="19"/>
      <c r="H34" s="17"/>
      <c r="I34" s="20"/>
      <c r="J34" s="33" t="str">
        <f>IFERROR(LEFT(G34,SEARCH("/",G34)-1)*1,"-")</f>
        <v>-</v>
      </c>
      <c r="K34" s="33" t="s">
        <v>92</v>
      </c>
      <c r="M34" s="28"/>
      <c r="N34" s="29"/>
      <c r="O34" s="30"/>
      <c r="P34" s="29"/>
      <c r="Q34" s="31"/>
      <c r="R34" s="32"/>
      <c r="S34" s="45" t="str">
        <f>IFERROR(LEFT(Q34,SEARCH("/",Q34)-1)*1,"-")</f>
        <v>-</v>
      </c>
    </row>
    <row r="35" ht="15.75">
      <c r="A35" s="149" t="s">
        <v>22</v>
      </c>
      <c r="B35" s="148"/>
      <c r="C35" s="47" t="s">
        <v>23</v>
      </c>
      <c r="D35" s="48"/>
      <c r="E35" s="48"/>
      <c r="F35" s="129" t="s">
        <v>24</v>
      </c>
      <c r="G35" s="128"/>
      <c r="H35" s="128"/>
      <c r="I35" s="127"/>
      <c r="M35" s="139" t="s">
        <v>27</v>
      </c>
      <c r="N35" s="139"/>
      <c r="P35" s="157" t="s">
        <v>24</v>
      </c>
      <c r="Q35" s="157"/>
      <c r="R35" s="157"/>
    </row>
    <row r="36">
      <c r="A36" s="155">
        <f>SUMIF(Tabela11618222438[mês],MONTH((H9*1)),(E12:E34))</f>
        <v>0.0</v>
      </c>
      <c r="B36" s="154"/>
      <c r="C36" s="126">
        <f>SUMIFS(E12:E34,I12:I34,"Sim",J12:J34,"&gt;1")</f>
        <v>0.0</v>
      </c>
      <c r="D36" s="49"/>
      <c r="E36" s="49"/>
      <c r="F36" s="138">
        <f>SUMIF(I12:I34,"Sim",E12:E34)</f>
        <v>0.0</v>
      </c>
      <c r="G36" s="137"/>
      <c r="H36" s="137"/>
      <c r="I36" s="136"/>
      <c r="M36" s="141">
        <f>SUM(Tabela31719232539[Valor])</f>
        <v>0.0</v>
      </c>
      <c r="N36" s="140"/>
      <c r="O36" s="49"/>
      <c r="P36" s="146">
        <f>SUMIF(Tabela31719232539[Pago],"Sim",Tabela31719232539[Valor])</f>
        <v>0.0</v>
      </c>
      <c r="Q36" s="146"/>
      <c r="R36" s="146"/>
      <c r="S36" s="49"/>
    </row>
    <row r="37">
      <c r="A37" s="153"/>
      <c r="B37" s="152"/>
      <c r="C37" s="125"/>
      <c r="D37" s="49"/>
      <c r="E37" s="49"/>
      <c r="F37" s="135"/>
      <c r="G37" s="134"/>
      <c r="H37" s="134"/>
      <c r="I37" s="133"/>
      <c r="M37" s="140"/>
      <c r="N37" s="140"/>
      <c r="O37" s="49"/>
      <c r="P37" s="146"/>
      <c r="Q37" s="146"/>
      <c r="R37" s="146"/>
      <c r="S37" s="49"/>
    </row>
    <row r="38">
      <c r="A38" s="151"/>
      <c r="B38" s="150"/>
      <c r="C38" s="124"/>
      <c r="D38" s="49"/>
      <c r="E38" s="49"/>
      <c r="F38" s="132"/>
      <c r="G38" s="131"/>
      <c r="H38" s="131"/>
      <c r="I38" s="130"/>
      <c r="M38" s="140"/>
      <c r="N38" s="140"/>
      <c r="O38" s="49"/>
      <c r="P38" s="146"/>
      <c r="Q38" s="146"/>
      <c r="R38" s="146"/>
      <c r="S38" s="49"/>
    </row>
    <row r="39">
      <c r="B39" s="11"/>
      <c r="C39" s="50"/>
    </row>
    <row r="40">
      <c r="G40" s="33"/>
    </row>
    <row r="41">
      <c r="G41" s="33"/>
    </row>
    <row r="42">
      <c r="G42" s="33"/>
    </row>
    <row r="43">
      <c r="G43" s="33"/>
    </row>
    <row r="44">
      <c r="G44" s="33"/>
    </row>
    <row r="45">
      <c r="G45" s="33"/>
    </row>
    <row r="46">
      <c r="G46" s="33"/>
    </row>
  </sheetData>
  <mergeCells count="19">
    <mergeCell ref="B7:C7"/>
    <mergeCell ref="A1:R2"/>
    <mergeCell ref="B4:C4"/>
    <mergeCell ref="B5:C5"/>
    <mergeCell ref="G5:G6"/>
    <mergeCell ref="H5:I6"/>
    <mergeCell ref="A9:G10"/>
    <mergeCell ref="H9:I10"/>
    <mergeCell ref="M9:P10"/>
    <mergeCell ref="Q9:R10"/>
    <mergeCell ref="A35:B35"/>
    <mergeCell ref="F35:I35"/>
    <mergeCell ref="M35:N35"/>
    <mergeCell ref="P35:R35"/>
    <mergeCell ref="A36:B38"/>
    <mergeCell ref="C36:C38"/>
    <mergeCell ref="F36:I38"/>
    <mergeCell ref="M36:N38"/>
    <mergeCell ref="P36:R38"/>
  </mergeCells>
  <printOptions/>
  <pageMargins left="0.5054133862" right="0.5054133862" top="0.7775590553124999" bottom="0.7775590553124999" footer="0.31102361224999997" header="0.31102361224999997"/>
  <pageSetup paperSize="9" scale="10" orientation="landscape" copies="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Planilha12">
    <outlinePr/>
    <pageSetUpPr fitToPage="1"/>
  </sheetPr>
  <dimension ref="A1:XFD46"/>
  <sheetViews>
    <sheetView workbookViewId="0" showGridLines="0" zoomScale="70" zoomScaleNormal="70" zoomScaleSheetLayoutView="60">
      <pane ySplit="11" topLeftCell="A12" activePane="bottomLeft" state="frozen"/>
      <selection activeCell="A12" sqref="A12"/>
      <selection pane="bottomLeft" activeCell="A12" sqref="A12"/>
    </sheetView>
  </sheetViews>
  <sheetFormatPr defaultRowHeight="15.0" customHeight="1"/>
  <cols>
    <col min="1" max="1" width="19.72417534722222" style="33" customWidth="1"/>
    <col min="2" max="2" width="9.557508680555555" style="33" customWidth="1"/>
    <col min="3" max="3" width="48.835286458333336" style="33" customWidth="1"/>
    <col min="4" max="4" width="8.835286458333334" style="33" bestFit="1" customWidth="1"/>
    <col min="5" max="5" width="14.835286458333334" style="34" bestFit="1" customWidth="1"/>
    <col min="6" max="6" width="12.724175347222221" style="33" bestFit="1" customWidth="1"/>
    <col min="7" max="7" width="16.835286458333332" style="35" customWidth="1"/>
    <col min="8" max="8" width="6.446397569444445" style="33" bestFit="1" customWidth="1"/>
    <col min="9" max="9" width="10.279730902777779" style="33" bestFit="1" customWidth="1"/>
    <col min="10" max="11" width="11.724175347222221" style="33" hidden="1" customWidth="1"/>
    <col min="12" max="12" width="6.279730902777778" style="33" customWidth="1"/>
    <col min="13" max="13" width="11.557508680555555" style="33" bestFit="1" customWidth="1"/>
    <col min="14" max="14" width="30.446397569444443" style="33" customWidth="1"/>
    <col min="15" max="15" width="14.279730902777779" style="33" bestFit="1" customWidth="1"/>
    <col min="16" max="18" width="14.724175347222221" style="33" customWidth="1"/>
    <col min="19" max="19" width="9.446397569444445" style="33" hidden="1" customWidth="1"/>
    <col min="20" max="16384" width="9.168619791666666" style="33"/>
  </cols>
  <sheetData>
    <row r="1">
      <c r="A1" s="143" t="s">
        <v>20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</row>
    <row r="2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</row>
    <row r="3" ht="6.75" customHeight="1"/>
    <row r="4" ht="15.75">
      <c r="A4" s="36" t="s">
        <v>16</v>
      </c>
      <c r="B4" s="156" t="s">
        <v>32</v>
      </c>
      <c r="C4" s="156"/>
    </row>
    <row r="5" ht="15.75">
      <c r="A5" s="36" t="s">
        <v>15</v>
      </c>
      <c r="B5" s="156">
        <v>2019.0</v>
      </c>
      <c r="C5" s="156"/>
      <c r="G5" s="159"/>
      <c r="H5" s="161"/>
      <c r="I5" s="160"/>
    </row>
    <row r="6" ht="3.75" customHeight="1">
      <c r="A6" s="36"/>
      <c r="B6" s="4"/>
      <c r="C6" s="4"/>
      <c r="G6" s="158"/>
      <c r="H6" s="160"/>
      <c r="I6" s="160"/>
    </row>
    <row r="7" ht="15.75">
      <c r="A7" s="36" t="s">
        <v>42</v>
      </c>
      <c r="B7" s="156"/>
      <c r="C7" s="156"/>
    </row>
    <row r="8" ht="6.75" customHeight="1">
      <c r="A8" s="37"/>
    </row>
    <row r="9" customHeight="1">
      <c r="A9" s="142" t="s">
        <v>25</v>
      </c>
      <c r="B9" s="142"/>
      <c r="C9" s="142"/>
      <c r="D9" s="142"/>
      <c r="E9" s="142"/>
      <c r="F9" s="142"/>
      <c r="G9" s="142"/>
      <c r="H9" s="144" t="str">
        <f>LEFT($B$4,3)&amp;"/"&amp;RIGHT($B$5,2)</f>
        <v>Mar/19</v>
      </c>
      <c r="I9" s="144"/>
      <c r="M9" s="147" t="s">
        <v>59</v>
      </c>
      <c r="N9" s="147"/>
      <c r="O9" s="147"/>
      <c r="P9" s="147"/>
      <c r="Q9" s="145" t="str">
        <f>LEFT($B$4,3)&amp;"/"&amp;RIGHT($B$5,2)</f>
        <v>Mar/19</v>
      </c>
      <c r="R9" s="145"/>
    </row>
    <row r="10" customHeight="1">
      <c r="A10" s="142"/>
      <c r="B10" s="142"/>
      <c r="C10" s="142"/>
      <c r="D10" s="142"/>
      <c r="E10" s="142"/>
      <c r="F10" s="142"/>
      <c r="G10" s="142"/>
      <c r="H10" s="144"/>
      <c r="I10" s="144"/>
      <c r="M10" s="147"/>
      <c r="N10" s="147"/>
      <c r="O10" s="147"/>
      <c r="P10" s="147"/>
      <c r="Q10" s="145"/>
      <c r="R10" s="145"/>
    </row>
    <row r="11" s="41" customFormat="1" ht="52.5" customHeight="1">
      <c r="A11" s="38" t="s">
        <v>0</v>
      </c>
      <c r="B11" s="38" t="s">
        <v>1</v>
      </c>
      <c r="C11" s="38" t="s">
        <v>2</v>
      </c>
      <c r="D11" s="38" t="s">
        <v>18</v>
      </c>
      <c r="E11" s="39" t="s">
        <v>3</v>
      </c>
      <c r="F11" s="38" t="s">
        <v>21</v>
      </c>
      <c r="G11" s="40" t="s">
        <v>11</v>
      </c>
      <c r="H11" s="38" t="s">
        <v>28</v>
      </c>
      <c r="I11" s="38" t="s">
        <v>9</v>
      </c>
      <c r="J11" s="41" t="s">
        <v>31</v>
      </c>
      <c r="K11" s="42" t="s">
        <v>29</v>
      </c>
      <c r="M11" s="43" t="s">
        <v>0</v>
      </c>
      <c r="N11" s="38" t="s">
        <v>13</v>
      </c>
      <c r="O11" s="43" t="s">
        <v>3</v>
      </c>
      <c r="P11" s="38" t="s">
        <v>26</v>
      </c>
      <c r="Q11" s="40" t="s">
        <v>11</v>
      </c>
      <c r="R11" s="38" t="s">
        <v>4</v>
      </c>
      <c r="S11" s="44" t="s">
        <v>14</v>
      </c>
    </row>
    <row r="12">
      <c r="A12" s="5"/>
      <c r="B12" s="6"/>
      <c r="C12" s="6"/>
      <c r="D12" s="6"/>
      <c r="E12" s="7"/>
      <c r="F12" s="6"/>
      <c r="G12" s="8"/>
      <c r="H12" s="6"/>
      <c r="I12" s="9"/>
      <c r="J12" s="33" t="str">
        <f>IFERROR(LEFT(G12,SEARCH("/",G12)-1)*1,"-")</f>
        <v>-</v>
      </c>
      <c r="K12" s="33" t="s">
        <v>92</v>
      </c>
      <c r="M12" s="21"/>
      <c r="N12" s="22"/>
      <c r="O12" s="23"/>
      <c r="P12" s="22"/>
      <c r="Q12" s="24"/>
      <c r="R12" s="25"/>
      <c r="S12" s="33" t="str">
        <f>IFERROR(LEFT(Q12,SEARCH("/",Q12)-1)*1,"-")</f>
        <v>-</v>
      </c>
    </row>
    <row r="13">
      <c r="A13" s="10"/>
      <c r="B13" s="11"/>
      <c r="C13" s="11"/>
      <c r="D13" s="11"/>
      <c r="E13" s="12"/>
      <c r="F13" s="11"/>
      <c r="G13" s="13"/>
      <c r="H13" s="11"/>
      <c r="I13" s="14"/>
      <c r="J13" s="33" t="str">
        <f>IFERROR(LEFT(G13,SEARCH("/",G13)-1)*1,"-")</f>
        <v>-</v>
      </c>
      <c r="K13" s="33" t="s">
        <v>92</v>
      </c>
      <c r="M13" s="26"/>
      <c r="N13" s="11"/>
      <c r="O13" s="12"/>
      <c r="P13" s="11"/>
      <c r="Q13" s="13"/>
      <c r="R13" s="27"/>
      <c r="S13" s="33" t="str">
        <f>IFERROR(LEFT(Q13,SEARCH("/",Q13)-1)*1,"-")</f>
        <v>-</v>
      </c>
    </row>
    <row r="14">
      <c r="A14" s="10"/>
      <c r="B14" s="11"/>
      <c r="C14" s="11"/>
      <c r="D14" s="11"/>
      <c r="E14" s="12"/>
      <c r="F14" s="11"/>
      <c r="G14" s="13"/>
      <c r="H14" s="11"/>
      <c r="I14" s="14"/>
      <c r="J14" s="33" t="str">
        <f>IFERROR(LEFT(G14,SEARCH("/",G14)-1)*1,"-")</f>
        <v>-</v>
      </c>
      <c r="K14" s="33" t="s">
        <v>92</v>
      </c>
      <c r="M14" s="26"/>
      <c r="N14" s="11"/>
      <c r="O14" s="12"/>
      <c r="P14" s="11"/>
      <c r="Q14" s="13"/>
      <c r="R14" s="27"/>
      <c r="S14" s="33" t="str">
        <f>IFERROR(LEFT(Q14,SEARCH("/",Q14)-1)*1,"-")</f>
        <v>-</v>
      </c>
    </row>
    <row r="15">
      <c r="A15" s="15"/>
      <c r="B15" s="11"/>
      <c r="C15" s="11"/>
      <c r="D15" s="11"/>
      <c r="E15" s="12"/>
      <c r="F15" s="11"/>
      <c r="G15" s="13"/>
      <c r="H15" s="11"/>
      <c r="I15" s="14"/>
      <c r="J15" s="33" t="str">
        <f>IFERROR(LEFT(G15,SEARCH("/",G15)-1)*1,"-")</f>
        <v>-</v>
      </c>
      <c r="K15" s="33" t="s">
        <v>92</v>
      </c>
      <c r="M15" s="26"/>
      <c r="N15" s="11"/>
      <c r="O15" s="12"/>
      <c r="P15" s="11"/>
      <c r="Q15" s="13"/>
      <c r="R15" s="27"/>
      <c r="S15" s="33" t="str">
        <f>IFERROR(LEFT(Q15,SEARCH("/",Q15)-1)*1,"-")</f>
        <v>-</v>
      </c>
    </row>
    <row r="16">
      <c r="A16" s="15"/>
      <c r="B16" s="11"/>
      <c r="C16" s="11"/>
      <c r="D16" s="11"/>
      <c r="E16" s="12"/>
      <c r="F16" s="11"/>
      <c r="G16" s="13"/>
      <c r="H16" s="11"/>
      <c r="I16" s="14"/>
      <c r="J16" s="33" t="str">
        <f>IFERROR(LEFT(G16,SEARCH("/",G16)-1)*1,"-")</f>
        <v>-</v>
      </c>
      <c r="K16" s="33" t="s">
        <v>92</v>
      </c>
      <c r="M16" s="26"/>
      <c r="N16" s="11"/>
      <c r="O16" s="12"/>
      <c r="P16" s="11"/>
      <c r="Q16" s="13"/>
      <c r="R16" s="27"/>
      <c r="S16" s="33" t="str">
        <f>IFERROR(LEFT(Q16,SEARCH("/",Q16)-1)*1,"-")</f>
        <v>-</v>
      </c>
    </row>
    <row r="17">
      <c r="A17" s="15"/>
      <c r="B17" s="11"/>
      <c r="C17" s="11"/>
      <c r="D17" s="11"/>
      <c r="E17" s="12"/>
      <c r="F17" s="11"/>
      <c r="G17" s="13"/>
      <c r="H17" s="11"/>
      <c r="I17" s="14"/>
      <c r="J17" s="33" t="str">
        <f>IFERROR(LEFT(G17,SEARCH("/",G17)-1)*1,"-")</f>
        <v>-</v>
      </c>
      <c r="K17" s="33" t="s">
        <v>92</v>
      </c>
      <c r="M17" s="26"/>
      <c r="N17" s="11"/>
      <c r="O17" s="12"/>
      <c r="P17" s="11"/>
      <c r="Q17" s="13"/>
      <c r="R17" s="27"/>
      <c r="S17" s="33" t="str">
        <f>IFERROR(LEFT(Q17,SEARCH("/",Q17)-1)*1,"-")</f>
        <v>-</v>
      </c>
    </row>
    <row r="18">
      <c r="A18" s="15"/>
      <c r="B18" s="11"/>
      <c r="C18" s="11"/>
      <c r="D18" s="11"/>
      <c r="E18" s="12"/>
      <c r="F18" s="11"/>
      <c r="G18" s="13"/>
      <c r="H18" s="11"/>
      <c r="I18" s="14"/>
      <c r="J18" s="33" t="str">
        <f>IFERROR(LEFT(G18,SEARCH("/",G18)-1)*1,"-")</f>
        <v>-</v>
      </c>
      <c r="K18" s="33" t="s">
        <v>92</v>
      </c>
      <c r="M18" s="26"/>
      <c r="N18" s="11"/>
      <c r="O18" s="12"/>
      <c r="P18" s="11"/>
      <c r="Q18" s="13"/>
      <c r="R18" s="27"/>
      <c r="S18" s="33" t="str">
        <f>IFERROR(LEFT(Q18,SEARCH("/",Q18)-1)*1,"-")</f>
        <v>-</v>
      </c>
    </row>
    <row r="19">
      <c r="A19" s="15"/>
      <c r="B19" s="11"/>
      <c r="C19" s="11"/>
      <c r="D19" s="11"/>
      <c r="E19" s="12"/>
      <c r="F19" s="11"/>
      <c r="G19" s="13"/>
      <c r="H19" s="11"/>
      <c r="I19" s="14"/>
      <c r="J19" s="33" t="str">
        <f>IFERROR(LEFT(G19,SEARCH("/",G19)-1)*1,"-")</f>
        <v>-</v>
      </c>
      <c r="K19" s="33" t="s">
        <v>92</v>
      </c>
      <c r="M19" s="26"/>
      <c r="N19" s="11"/>
      <c r="O19" s="12"/>
      <c r="P19" s="11"/>
      <c r="Q19" s="13"/>
      <c r="R19" s="27"/>
      <c r="S19" s="45" t="str">
        <f>IFERROR(LEFT(Q19,SEARCH("/",Q19)-1)*1,"-")</f>
        <v>-</v>
      </c>
    </row>
    <row r="20">
      <c r="A20" s="15"/>
      <c r="B20" s="11"/>
      <c r="C20" s="11"/>
      <c r="D20" s="11"/>
      <c r="E20" s="12"/>
      <c r="F20" s="11"/>
      <c r="G20" s="13"/>
      <c r="H20" s="11"/>
      <c r="I20" s="14"/>
      <c r="J20" s="33" t="str">
        <f>IFERROR(LEFT(G20,SEARCH("/",G20)-1)*1,"-")</f>
        <v>-</v>
      </c>
      <c r="K20" s="33" t="s">
        <v>92</v>
      </c>
      <c r="M20" s="26"/>
      <c r="N20" s="11"/>
      <c r="O20" s="12"/>
      <c r="P20" s="11"/>
      <c r="Q20" s="13"/>
      <c r="R20" s="27"/>
      <c r="S20" s="45" t="str">
        <f>IFERROR(LEFT(Q20,SEARCH("/",Q20)-1)*1,"-")</f>
        <v>-</v>
      </c>
    </row>
    <row r="21">
      <c r="A21" s="15"/>
      <c r="B21" s="11"/>
      <c r="C21" s="11"/>
      <c r="D21" s="11"/>
      <c r="E21" s="12"/>
      <c r="F21" s="11"/>
      <c r="G21" s="13"/>
      <c r="H21" s="11"/>
      <c r="I21" s="14"/>
      <c r="J21" s="33" t="str">
        <f>IFERROR(LEFT(G21,SEARCH("/",G21)-1)*1,"-")</f>
        <v>-</v>
      </c>
      <c r="K21" s="33" t="s">
        <v>92</v>
      </c>
      <c r="M21" s="26"/>
      <c r="N21" s="11"/>
      <c r="O21" s="12"/>
      <c r="P21" s="11"/>
      <c r="Q21" s="13"/>
      <c r="R21" s="27"/>
      <c r="S21" s="45" t="str">
        <f>IFERROR(LEFT(Q21,SEARCH("/",Q21)-1)*1,"-")</f>
        <v>-</v>
      </c>
    </row>
    <row r="22">
      <c r="A22" s="15"/>
      <c r="B22" s="11"/>
      <c r="C22" s="11"/>
      <c r="D22" s="11"/>
      <c r="E22" s="12"/>
      <c r="F22" s="11"/>
      <c r="G22" s="13"/>
      <c r="H22" s="11"/>
      <c r="I22" s="14"/>
      <c r="J22" s="33" t="str">
        <f>IFERROR(LEFT(G22,SEARCH("/",G22)-1)*1,"-")</f>
        <v>-</v>
      </c>
      <c r="K22" s="45" t="s">
        <v>92</v>
      </c>
      <c r="M22" s="26"/>
      <c r="N22" s="11"/>
      <c r="O22" s="12"/>
      <c r="P22" s="11"/>
      <c r="Q22" s="13"/>
      <c r="R22" s="27"/>
      <c r="S22" s="45" t="str">
        <f>IFERROR(LEFT(Q22,SEARCH("/",Q22)-1)*1,"-")</f>
        <v>-</v>
      </c>
    </row>
    <row r="23">
      <c r="A23" s="15"/>
      <c r="B23" s="11"/>
      <c r="C23" s="11"/>
      <c r="D23" s="11"/>
      <c r="E23" s="12"/>
      <c r="F23" s="11"/>
      <c r="G23" s="13"/>
      <c r="H23" s="11"/>
      <c r="I23" s="14"/>
      <c r="J23" s="33" t="str">
        <f>IFERROR(LEFT(G23,SEARCH("/",G23)-1)*1,"-")</f>
        <v>-</v>
      </c>
      <c r="K23" s="45" t="s">
        <v>92</v>
      </c>
      <c r="M23" s="26"/>
      <c r="N23" s="11"/>
      <c r="O23" s="12"/>
      <c r="P23" s="11"/>
      <c r="Q23" s="13"/>
      <c r="R23" s="27"/>
      <c r="S23" s="45" t="str">
        <f>IFERROR(LEFT(Q23,SEARCH("/",Q23)-1)*1,"-")</f>
        <v>-</v>
      </c>
    </row>
    <row r="24">
      <c r="A24" s="15"/>
      <c r="B24" s="11"/>
      <c r="C24" s="11"/>
      <c r="D24" s="11"/>
      <c r="E24" s="12"/>
      <c r="F24" s="11"/>
      <c r="G24" s="13"/>
      <c r="H24" s="11"/>
      <c r="I24" s="14"/>
      <c r="J24" s="33" t="str">
        <f>IFERROR(LEFT(G24,SEARCH("/",G24)-1)*1,"-")</f>
        <v>-</v>
      </c>
      <c r="K24" s="45" t="s">
        <v>92</v>
      </c>
      <c r="L24" s="46"/>
      <c r="M24" s="26"/>
      <c r="N24" s="11"/>
      <c r="O24" s="12"/>
      <c r="P24" s="11"/>
      <c r="Q24" s="13"/>
      <c r="R24" s="27"/>
      <c r="S24" s="45" t="str">
        <f>IFERROR(LEFT(Q24,SEARCH("/",Q24)-1)*1,"-")</f>
        <v>-</v>
      </c>
    </row>
    <row r="25">
      <c r="A25" s="15"/>
      <c r="B25" s="11"/>
      <c r="C25" s="11"/>
      <c r="D25" s="11"/>
      <c r="E25" s="12"/>
      <c r="F25" s="11"/>
      <c r="G25" s="13"/>
      <c r="H25" s="11"/>
      <c r="I25" s="14"/>
      <c r="J25" s="33" t="str">
        <f>IFERROR(LEFT(G25,SEARCH("/",G25)-1)*1,"-")</f>
        <v>-</v>
      </c>
      <c r="K25" s="45" t="s">
        <v>92</v>
      </c>
      <c r="L25" s="46"/>
      <c r="M25" s="26"/>
      <c r="N25" s="11"/>
      <c r="O25" s="12"/>
      <c r="P25" s="11"/>
      <c r="Q25" s="13"/>
      <c r="R25" s="27"/>
      <c r="S25" s="45" t="str">
        <f>IFERROR(LEFT(Q25,SEARCH("/",Q25)-1)*1,"-")</f>
        <v>-</v>
      </c>
    </row>
    <row r="26">
      <c r="A26" s="15"/>
      <c r="B26" s="11"/>
      <c r="C26" s="11"/>
      <c r="D26" s="11"/>
      <c r="E26" s="12"/>
      <c r="F26" s="11"/>
      <c r="G26" s="13"/>
      <c r="H26" s="11"/>
      <c r="I26" s="14"/>
      <c r="J26" s="33" t="str">
        <f>IFERROR(LEFT(G26,SEARCH("/",G26)-1)*1,"-")</f>
        <v>-</v>
      </c>
      <c r="K26" s="45" t="s">
        <v>92</v>
      </c>
      <c r="L26" s="46"/>
      <c r="M26" s="26"/>
      <c r="N26" s="11"/>
      <c r="O26" s="12"/>
      <c r="P26" s="11"/>
      <c r="Q26" s="13"/>
      <c r="R26" s="27"/>
      <c r="S26" s="45" t="str">
        <f>IFERROR(LEFT(Q26,SEARCH("/",Q26)-1)*1,"-")</f>
        <v>-</v>
      </c>
    </row>
    <row r="27">
      <c r="A27" s="15"/>
      <c r="B27" s="11"/>
      <c r="C27" s="11"/>
      <c r="D27" s="11"/>
      <c r="E27" s="12"/>
      <c r="F27" s="11"/>
      <c r="G27" s="13"/>
      <c r="H27" s="11"/>
      <c r="I27" s="14"/>
      <c r="J27" s="33" t="str">
        <f>IFERROR(LEFT(G27,SEARCH("/",G27)-1)*1,"-")</f>
        <v>-</v>
      </c>
      <c r="K27" s="45" t="s">
        <v>92</v>
      </c>
      <c r="M27" s="26"/>
      <c r="N27" s="11"/>
      <c r="O27" s="12"/>
      <c r="P27" s="11"/>
      <c r="Q27" s="13"/>
      <c r="R27" s="27"/>
      <c r="S27" s="45" t="str">
        <f>IFERROR(LEFT(Q27,SEARCH("/",Q27)-1)*1,"-")</f>
        <v>-</v>
      </c>
    </row>
    <row r="28">
      <c r="A28" s="15"/>
      <c r="B28" s="11"/>
      <c r="C28" s="11"/>
      <c r="D28" s="11"/>
      <c r="E28" s="12"/>
      <c r="F28" s="11"/>
      <c r="G28" s="13"/>
      <c r="H28" s="11"/>
      <c r="I28" s="14"/>
      <c r="J28" s="33" t="str">
        <f>IFERROR(LEFT(G28,SEARCH("/",G28)-1)*1,"-")</f>
        <v>-</v>
      </c>
      <c r="K28" s="45" t="s">
        <v>92</v>
      </c>
      <c r="M28" s="26"/>
      <c r="N28" s="11"/>
      <c r="O28" s="12"/>
      <c r="P28" s="11"/>
      <c r="Q28" s="13"/>
      <c r="R28" s="27"/>
      <c r="S28" s="45" t="str">
        <f>IFERROR(LEFT(Q28,SEARCH("/",Q28)-1)*1,"-")</f>
        <v>-</v>
      </c>
    </row>
    <row r="29">
      <c r="A29" s="15"/>
      <c r="B29" s="11"/>
      <c r="C29" s="11"/>
      <c r="D29" s="11"/>
      <c r="E29" s="12"/>
      <c r="F29" s="11"/>
      <c r="G29" s="13"/>
      <c r="H29" s="11"/>
      <c r="I29" s="14"/>
      <c r="J29" s="33" t="str">
        <f>IFERROR(LEFT(G29,SEARCH("/",G29)-1)*1,"-")</f>
        <v>-</v>
      </c>
      <c r="K29" s="45" t="s">
        <v>92</v>
      </c>
      <c r="M29" s="26"/>
      <c r="N29" s="11"/>
      <c r="O29" s="12"/>
      <c r="P29" s="11"/>
      <c r="Q29" s="13"/>
      <c r="R29" s="27"/>
      <c r="S29" s="45" t="str">
        <f>IFERROR(LEFT(Q29,SEARCH("/",Q29)-1)*1,"-")</f>
        <v>-</v>
      </c>
    </row>
    <row r="30">
      <c r="A30" s="15"/>
      <c r="B30" s="11"/>
      <c r="C30" s="11"/>
      <c r="D30" s="11"/>
      <c r="E30" s="12"/>
      <c r="F30" s="11"/>
      <c r="G30" s="13"/>
      <c r="H30" s="11"/>
      <c r="I30" s="14"/>
      <c r="J30" s="33" t="str">
        <f>IFERROR(LEFT(G30,SEARCH("/",G30)-1)*1,"-")</f>
        <v>-</v>
      </c>
      <c r="K30" s="45" t="s">
        <v>92</v>
      </c>
      <c r="M30" s="26"/>
      <c r="N30" s="11"/>
      <c r="O30" s="12"/>
      <c r="P30" s="11"/>
      <c r="Q30" s="13"/>
      <c r="R30" s="27"/>
      <c r="S30" s="45" t="str">
        <f>IFERROR(LEFT(Q30,SEARCH("/",Q30)-1)*1,"-")</f>
        <v>-</v>
      </c>
    </row>
    <row r="31">
      <c r="A31" s="15"/>
      <c r="B31" s="11"/>
      <c r="C31" s="11"/>
      <c r="D31" s="11"/>
      <c r="E31" s="12"/>
      <c r="F31" s="11"/>
      <c r="G31" s="13"/>
      <c r="H31" s="11"/>
      <c r="I31" s="14"/>
      <c r="J31" s="33" t="str">
        <f>IFERROR(LEFT(G31,SEARCH("/",G31)-1)*1,"-")</f>
        <v>-</v>
      </c>
      <c r="K31" s="45" t="s">
        <v>92</v>
      </c>
      <c r="M31" s="26"/>
      <c r="N31" s="11"/>
      <c r="O31" s="12"/>
      <c r="P31" s="11"/>
      <c r="Q31" s="13"/>
      <c r="R31" s="27"/>
      <c r="S31" s="33" t="str">
        <f>IFERROR(LEFT(Q31,SEARCH("/",Q31)-1)*1,"-")</f>
        <v>-</v>
      </c>
    </row>
    <row r="32">
      <c r="A32" s="15"/>
      <c r="B32" s="11"/>
      <c r="C32" s="11"/>
      <c r="D32" s="11"/>
      <c r="E32" s="12"/>
      <c r="F32" s="11"/>
      <c r="G32" s="13"/>
      <c r="H32" s="11"/>
      <c r="I32" s="14"/>
      <c r="J32" s="33" t="str">
        <f>IFERROR(LEFT(G32,SEARCH("/",G32)-1)*1,"-")</f>
        <v>-</v>
      </c>
      <c r="K32" s="45" t="s">
        <v>92</v>
      </c>
      <c r="M32" s="26"/>
      <c r="N32" s="11"/>
      <c r="O32" s="12"/>
      <c r="P32" s="11"/>
      <c r="Q32" s="13"/>
      <c r="R32" s="27"/>
      <c r="S32" s="33" t="str">
        <f>IFERROR(LEFT(Q32,SEARCH("/",Q32)-1)*1,"-")</f>
        <v>-</v>
      </c>
    </row>
    <row r="33">
      <c r="A33" s="15"/>
      <c r="B33" s="11"/>
      <c r="C33" s="11"/>
      <c r="D33" s="11"/>
      <c r="E33" s="12"/>
      <c r="F33" s="11"/>
      <c r="G33" s="13"/>
      <c r="H33" s="11"/>
      <c r="I33" s="14"/>
      <c r="J33" s="33" t="str">
        <f>IFERROR(LEFT(G33,SEARCH("/",G33)-1)*1,"-")</f>
        <v>-</v>
      </c>
      <c r="K33" s="45" t="s">
        <v>92</v>
      </c>
      <c r="M33" s="26"/>
      <c r="N33" s="11"/>
      <c r="O33" s="12"/>
      <c r="P33" s="11"/>
      <c r="Q33" s="13"/>
      <c r="R33" s="27"/>
      <c r="S33" s="45" t="str">
        <f>IFERROR(LEFT(Q33,SEARCH("/",Q33)-1)*1,"-")</f>
        <v>-</v>
      </c>
    </row>
    <row r="34">
      <c r="A34" s="16"/>
      <c r="B34" s="17"/>
      <c r="C34" s="17"/>
      <c r="D34" s="17"/>
      <c r="E34" s="18"/>
      <c r="F34" s="17"/>
      <c r="G34" s="19"/>
      <c r="H34" s="17"/>
      <c r="I34" s="20"/>
      <c r="J34" s="33" t="str">
        <f>IFERROR(LEFT(G34,SEARCH("/",G34)-1)*1,"-")</f>
        <v>-</v>
      </c>
      <c r="K34" s="33" t="s">
        <v>92</v>
      </c>
      <c r="M34" s="28"/>
      <c r="N34" s="29"/>
      <c r="O34" s="30"/>
      <c r="P34" s="29"/>
      <c r="Q34" s="31"/>
      <c r="R34" s="32"/>
      <c r="S34" s="45" t="str">
        <f>IFERROR(LEFT(Q34,SEARCH("/",Q34)-1)*1,"-")</f>
        <v>-</v>
      </c>
    </row>
    <row r="35" ht="15.75">
      <c r="A35" s="149" t="s">
        <v>22</v>
      </c>
      <c r="B35" s="148"/>
      <c r="C35" s="47" t="s">
        <v>23</v>
      </c>
      <c r="D35" s="48"/>
      <c r="E35" s="48"/>
      <c r="F35" s="129" t="s">
        <v>24</v>
      </c>
      <c r="G35" s="128"/>
      <c r="H35" s="128"/>
      <c r="I35" s="127"/>
      <c r="M35" s="139" t="s">
        <v>27</v>
      </c>
      <c r="N35" s="139"/>
      <c r="P35" s="157" t="s">
        <v>24</v>
      </c>
      <c r="Q35" s="157"/>
      <c r="R35" s="157"/>
    </row>
    <row r="36">
      <c r="A36" s="155">
        <f>SUMIF(Tabela1161822242636[mês],MONTH((H9*1)),(E12:E34))</f>
        <v>0.0</v>
      </c>
      <c r="B36" s="154"/>
      <c r="C36" s="126">
        <f>SUMIFS(E12:E34,I12:I34,"Sim",J12:J34,"&gt;1")</f>
        <v>0.0</v>
      </c>
      <c r="D36" s="49"/>
      <c r="E36" s="49"/>
      <c r="F36" s="138">
        <f>SUMIF(I12:I34,"Sim",E12:E34)</f>
        <v>0.0</v>
      </c>
      <c r="G36" s="137"/>
      <c r="H36" s="137"/>
      <c r="I36" s="136"/>
      <c r="M36" s="141">
        <f>SUM(Tabela3171923252737[Valor])</f>
        <v>0.0</v>
      </c>
      <c r="N36" s="140"/>
      <c r="O36" s="49"/>
      <c r="P36" s="146">
        <f>SUMIF(Tabela3171923252737[Pago],"Sim",Tabela3171923252737[Valor])</f>
        <v>0.0</v>
      </c>
      <c r="Q36" s="146"/>
      <c r="R36" s="146"/>
      <c r="S36" s="49"/>
    </row>
    <row r="37">
      <c r="A37" s="153"/>
      <c r="B37" s="152"/>
      <c r="C37" s="125"/>
      <c r="D37" s="49"/>
      <c r="E37" s="49"/>
      <c r="F37" s="135"/>
      <c r="G37" s="134"/>
      <c r="H37" s="134"/>
      <c r="I37" s="133"/>
      <c r="M37" s="140"/>
      <c r="N37" s="140"/>
      <c r="O37" s="49"/>
      <c r="P37" s="146"/>
      <c r="Q37" s="146"/>
      <c r="R37" s="146"/>
      <c r="S37" s="49"/>
    </row>
    <row r="38">
      <c r="A38" s="151"/>
      <c r="B38" s="150"/>
      <c r="C38" s="124"/>
      <c r="D38" s="49"/>
      <c r="E38" s="49"/>
      <c r="F38" s="132"/>
      <c r="G38" s="131"/>
      <c r="H38" s="131"/>
      <c r="I38" s="130"/>
      <c r="M38" s="140"/>
      <c r="N38" s="140"/>
      <c r="O38" s="49"/>
      <c r="P38" s="146"/>
      <c r="Q38" s="146"/>
      <c r="R38" s="146"/>
      <c r="S38" s="49"/>
    </row>
    <row r="39">
      <c r="B39" s="11"/>
      <c r="C39" s="50"/>
    </row>
    <row r="40">
      <c r="G40" s="33"/>
    </row>
    <row r="41">
      <c r="G41" s="33"/>
    </row>
    <row r="42">
      <c r="G42" s="33"/>
    </row>
    <row r="43">
      <c r="G43" s="33"/>
    </row>
    <row r="44">
      <c r="G44" s="33"/>
    </row>
    <row r="45">
      <c r="G45" s="33"/>
    </row>
    <row r="46">
      <c r="G46" s="33"/>
    </row>
  </sheetData>
  <mergeCells count="19">
    <mergeCell ref="B7:C7"/>
    <mergeCell ref="A1:R2"/>
    <mergeCell ref="B4:C4"/>
    <mergeCell ref="B5:C5"/>
    <mergeCell ref="G5:G6"/>
    <mergeCell ref="H5:I6"/>
    <mergeCell ref="A9:G10"/>
    <mergeCell ref="H9:I10"/>
    <mergeCell ref="M9:P10"/>
    <mergeCell ref="Q9:R10"/>
    <mergeCell ref="A35:B35"/>
    <mergeCell ref="F35:I35"/>
    <mergeCell ref="M35:N35"/>
    <mergeCell ref="P35:R35"/>
    <mergeCell ref="A36:B38"/>
    <mergeCell ref="C36:C38"/>
    <mergeCell ref="F36:I38"/>
    <mergeCell ref="M36:N38"/>
    <mergeCell ref="P36:R38"/>
  </mergeCells>
  <printOptions/>
  <pageMargins left="0.5054133862" right="0.5054133862" top="0.7775590553124999" bottom="0.7775590553124999" footer="0.31102361224999997" header="0.31102361224999997"/>
  <pageSetup paperSize="9" scale="10" orientation="landscape" copies="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Planilha11">
    <outlinePr/>
    <pageSetUpPr fitToPage="1"/>
  </sheetPr>
  <dimension ref="A1:XFD46"/>
  <sheetViews>
    <sheetView workbookViewId="0" showGridLines="0" zoomScale="70" zoomScaleNormal="70" zoomScaleSheetLayoutView="60">
      <pane ySplit="11" topLeftCell="A12" activePane="bottomLeft" state="frozen"/>
      <selection activeCell="A12" sqref="A12"/>
      <selection pane="bottomLeft" activeCell="A12" sqref="A12"/>
    </sheetView>
  </sheetViews>
  <sheetFormatPr defaultRowHeight="15.0" customHeight="1"/>
  <cols>
    <col min="1" max="1" width="19.72417534722222" style="33" customWidth="1"/>
    <col min="2" max="2" width="9.557508680555555" style="33" customWidth="1"/>
    <col min="3" max="3" width="48.835286458333336" style="33" customWidth="1"/>
    <col min="4" max="4" width="8.835286458333334" style="33" bestFit="1" customWidth="1"/>
    <col min="5" max="5" width="14.835286458333334" style="34" bestFit="1" customWidth="1"/>
    <col min="6" max="6" width="12.724175347222221" style="33" bestFit="1" customWidth="1"/>
    <col min="7" max="7" width="16.835286458333332" style="35" customWidth="1"/>
    <col min="8" max="8" width="6.446397569444445" style="33" bestFit="1" customWidth="1"/>
    <col min="9" max="9" width="10.279730902777779" style="33" bestFit="1" customWidth="1"/>
    <col min="10" max="11" width="11.724175347222221" style="33" hidden="1" customWidth="1"/>
    <col min="12" max="12" width="6.279730902777778" style="33" customWidth="1"/>
    <col min="13" max="13" width="11.557508680555555" style="33" bestFit="1" customWidth="1"/>
    <col min="14" max="14" width="30.446397569444443" style="33" customWidth="1"/>
    <col min="15" max="15" width="14.279730902777779" style="33" bestFit="1" customWidth="1"/>
    <col min="16" max="18" width="14.724175347222221" style="33" customWidth="1"/>
    <col min="19" max="19" width="9.446397569444445" style="33" hidden="1" customWidth="1"/>
    <col min="20" max="16384" width="9.168619791666666" style="33"/>
  </cols>
  <sheetData>
    <row r="1">
      <c r="A1" s="143" t="s">
        <v>20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</row>
    <row r="2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</row>
    <row r="3" ht="6.75" customHeight="1"/>
    <row r="4" ht="15.75">
      <c r="A4" s="36" t="s">
        <v>16</v>
      </c>
      <c r="B4" s="156" t="s">
        <v>33</v>
      </c>
      <c r="C4" s="156"/>
    </row>
    <row r="5" ht="15.75">
      <c r="A5" s="36" t="s">
        <v>15</v>
      </c>
      <c r="B5" s="156">
        <v>2019.0</v>
      </c>
      <c r="C5" s="156"/>
      <c r="G5" s="159"/>
      <c r="H5" s="161"/>
      <c r="I5" s="160"/>
    </row>
    <row r="6" ht="3.75" customHeight="1">
      <c r="A6" s="36"/>
      <c r="B6" s="4"/>
      <c r="C6" s="4"/>
      <c r="G6" s="158"/>
      <c r="H6" s="160"/>
      <c r="I6" s="160"/>
    </row>
    <row r="7" ht="15.75">
      <c r="A7" s="36" t="s">
        <v>42</v>
      </c>
      <c r="B7" s="156"/>
      <c r="C7" s="156"/>
    </row>
    <row r="8" ht="6.75" customHeight="1">
      <c r="A8" s="37"/>
    </row>
    <row r="9" customHeight="1">
      <c r="A9" s="142" t="s">
        <v>25</v>
      </c>
      <c r="B9" s="142"/>
      <c r="C9" s="142"/>
      <c r="D9" s="142"/>
      <c r="E9" s="142"/>
      <c r="F9" s="142"/>
      <c r="G9" s="142"/>
      <c r="H9" s="144" t="str">
        <f>LEFT($B$4,3)&amp;"/"&amp;RIGHT($B$5,2)</f>
        <v>Abr/19</v>
      </c>
      <c r="I9" s="144"/>
      <c r="M9" s="147" t="s">
        <v>59</v>
      </c>
      <c r="N9" s="147"/>
      <c r="O9" s="147"/>
      <c r="P9" s="147"/>
      <c r="Q9" s="145" t="str">
        <f>LEFT($B$4,3)&amp;"/"&amp;RIGHT($B$5,2)</f>
        <v>Abr/19</v>
      </c>
      <c r="R9" s="145"/>
    </row>
    <row r="10" customHeight="1">
      <c r="A10" s="142"/>
      <c r="B10" s="142"/>
      <c r="C10" s="142"/>
      <c r="D10" s="142"/>
      <c r="E10" s="142"/>
      <c r="F10" s="142"/>
      <c r="G10" s="142"/>
      <c r="H10" s="144"/>
      <c r="I10" s="144"/>
      <c r="M10" s="147"/>
      <c r="N10" s="147"/>
      <c r="O10" s="147"/>
      <c r="P10" s="147"/>
      <c r="Q10" s="145"/>
      <c r="R10" s="145"/>
    </row>
    <row r="11" s="41" customFormat="1" ht="52.5" customHeight="1">
      <c r="A11" s="38" t="s">
        <v>0</v>
      </c>
      <c r="B11" s="38" t="s">
        <v>1</v>
      </c>
      <c r="C11" s="38" t="s">
        <v>2</v>
      </c>
      <c r="D11" s="38" t="s">
        <v>18</v>
      </c>
      <c r="E11" s="39" t="s">
        <v>3</v>
      </c>
      <c r="F11" s="38" t="s">
        <v>21</v>
      </c>
      <c r="G11" s="40" t="s">
        <v>11</v>
      </c>
      <c r="H11" s="38" t="s">
        <v>28</v>
      </c>
      <c r="I11" s="38" t="s">
        <v>9</v>
      </c>
      <c r="J11" s="41" t="s">
        <v>31</v>
      </c>
      <c r="K11" s="42" t="s">
        <v>29</v>
      </c>
      <c r="M11" s="43" t="s">
        <v>0</v>
      </c>
      <c r="N11" s="38" t="s">
        <v>13</v>
      </c>
      <c r="O11" s="43" t="s">
        <v>3</v>
      </c>
      <c r="P11" s="38" t="s">
        <v>26</v>
      </c>
      <c r="Q11" s="40" t="s">
        <v>11</v>
      </c>
      <c r="R11" s="38" t="s">
        <v>4</v>
      </c>
      <c r="S11" s="44" t="s">
        <v>14</v>
      </c>
    </row>
    <row r="12">
      <c r="A12" s="5"/>
      <c r="B12" s="6"/>
      <c r="C12" s="6"/>
      <c r="D12" s="6"/>
      <c r="E12" s="7"/>
      <c r="F12" s="6"/>
      <c r="G12" s="8"/>
      <c r="H12" s="6"/>
      <c r="I12" s="9"/>
      <c r="M12" s="21"/>
      <c r="N12" s="22"/>
      <c r="O12" s="23"/>
      <c r="P12" s="22"/>
      <c r="Q12" s="24"/>
      <c r="R12" s="25"/>
      <c r="S12" s="33" t="str">
        <f>IFERROR(LEFT(Q12,SEARCH("/",Q12)-1)*1,"-")</f>
        <v>-</v>
      </c>
    </row>
    <row r="13">
      <c r="A13" s="10"/>
      <c r="B13" s="11"/>
      <c r="C13" s="11"/>
      <c r="D13" s="11"/>
      <c r="E13" s="12"/>
      <c r="F13" s="11"/>
      <c r="G13" s="13"/>
      <c r="H13" s="11"/>
      <c r="I13" s="14"/>
      <c r="M13" s="26"/>
      <c r="N13" s="11"/>
      <c r="O13" s="12"/>
      <c r="P13" s="11"/>
      <c r="Q13" s="13"/>
      <c r="R13" s="27"/>
      <c r="S13" s="33" t="str">
        <f>IFERROR(LEFT(Q13,SEARCH("/",Q13)-1)*1,"-")</f>
        <v>-</v>
      </c>
    </row>
    <row r="14">
      <c r="A14" s="10"/>
      <c r="B14" s="11"/>
      <c r="C14" s="11"/>
      <c r="D14" s="11"/>
      <c r="E14" s="12"/>
      <c r="F14" s="11"/>
      <c r="G14" s="13"/>
      <c r="H14" s="11"/>
      <c r="I14" s="14"/>
      <c r="M14" s="26"/>
      <c r="N14" s="11"/>
      <c r="O14" s="12"/>
      <c r="P14" s="11"/>
      <c r="Q14" s="13"/>
      <c r="R14" s="27"/>
      <c r="S14" s="33" t="str">
        <f>IFERROR(LEFT(Q14,SEARCH("/",Q14)-1)*1,"-")</f>
        <v>-</v>
      </c>
    </row>
    <row r="15">
      <c r="A15" s="15"/>
      <c r="B15" s="11"/>
      <c r="C15" s="11"/>
      <c r="D15" s="11"/>
      <c r="E15" s="12"/>
      <c r="F15" s="11"/>
      <c r="G15" s="13"/>
      <c r="H15" s="11"/>
      <c r="I15" s="14"/>
      <c r="M15" s="26"/>
      <c r="N15" s="11"/>
      <c r="O15" s="12"/>
      <c r="P15" s="11"/>
      <c r="Q15" s="13"/>
      <c r="R15" s="27"/>
      <c r="S15" s="33" t="str">
        <f>IFERROR(LEFT(Q15,SEARCH("/",Q15)-1)*1,"-")</f>
        <v>-</v>
      </c>
    </row>
    <row r="16">
      <c r="A16" s="15"/>
      <c r="B16" s="11"/>
      <c r="C16" s="11"/>
      <c r="D16" s="11"/>
      <c r="E16" s="12"/>
      <c r="F16" s="11"/>
      <c r="G16" s="13"/>
      <c r="H16" s="11"/>
      <c r="I16" s="14"/>
      <c r="M16" s="26"/>
      <c r="N16" s="11"/>
      <c r="O16" s="12"/>
      <c r="P16" s="11"/>
      <c r="Q16" s="13"/>
      <c r="R16" s="27"/>
      <c r="S16" s="33" t="str">
        <f>IFERROR(LEFT(Q16,SEARCH("/",Q16)-1)*1,"-")</f>
        <v>-</v>
      </c>
    </row>
    <row r="17">
      <c r="A17" s="15"/>
      <c r="B17" s="11"/>
      <c r="C17" s="11"/>
      <c r="D17" s="11"/>
      <c r="E17" s="12"/>
      <c r="F17" s="11"/>
      <c r="G17" s="13"/>
      <c r="H17" s="11"/>
      <c r="I17" s="14"/>
      <c r="M17" s="26"/>
      <c r="N17" s="11"/>
      <c r="O17" s="12"/>
      <c r="P17" s="11"/>
      <c r="Q17" s="13"/>
      <c r="R17" s="27"/>
      <c r="S17" s="33" t="str">
        <f>IFERROR(LEFT(Q17,SEARCH("/",Q17)-1)*1,"-")</f>
        <v>-</v>
      </c>
    </row>
    <row r="18">
      <c r="A18" s="15"/>
      <c r="B18" s="11"/>
      <c r="C18" s="11"/>
      <c r="D18" s="11"/>
      <c r="E18" s="12"/>
      <c r="F18" s="11"/>
      <c r="G18" s="13"/>
      <c r="H18" s="11"/>
      <c r="I18" s="14"/>
      <c r="J18" s="33" t="str">
        <f>IFERROR(LEFT(G18,SEARCH("/",G18)-1)*1,"-")</f>
        <v>-</v>
      </c>
      <c r="K18" s="33" t="s">
        <v>92</v>
      </c>
      <c r="M18" s="26"/>
      <c r="N18" s="11"/>
      <c r="O18" s="12"/>
      <c r="P18" s="11"/>
      <c r="Q18" s="13"/>
      <c r="R18" s="27"/>
      <c r="S18" s="33" t="str">
        <f>IFERROR(LEFT(Q18,SEARCH("/",Q18)-1)*1,"-")</f>
        <v>-</v>
      </c>
    </row>
    <row r="19">
      <c r="A19" s="15"/>
      <c r="B19" s="11"/>
      <c r="C19" s="11"/>
      <c r="D19" s="11"/>
      <c r="E19" s="12"/>
      <c r="F19" s="11"/>
      <c r="G19" s="13"/>
      <c r="H19" s="11"/>
      <c r="I19" s="14"/>
      <c r="J19" s="33" t="str">
        <f>IFERROR(LEFT(G19,SEARCH("/",G19)-1)*1,"-")</f>
        <v>-</v>
      </c>
      <c r="K19" s="33" t="s">
        <v>92</v>
      </c>
      <c r="M19" s="26"/>
      <c r="N19" s="11"/>
      <c r="O19" s="12"/>
      <c r="P19" s="11"/>
      <c r="Q19" s="13"/>
      <c r="R19" s="27"/>
      <c r="S19" s="45" t="str">
        <f>IFERROR(LEFT(Q19,SEARCH("/",Q19)-1)*1,"-")</f>
        <v>-</v>
      </c>
    </row>
    <row r="20">
      <c r="A20" s="15"/>
      <c r="B20" s="11"/>
      <c r="C20" s="11"/>
      <c r="D20" s="11"/>
      <c r="E20" s="12"/>
      <c r="F20" s="11"/>
      <c r="G20" s="13"/>
      <c r="H20" s="11"/>
      <c r="I20" s="14"/>
      <c r="J20" s="33" t="str">
        <f>IFERROR(LEFT(G20,SEARCH("/",G20)-1)*1,"-")</f>
        <v>-</v>
      </c>
      <c r="K20" s="33" t="s">
        <v>92</v>
      </c>
      <c r="M20" s="26"/>
      <c r="N20" s="11"/>
      <c r="O20" s="12"/>
      <c r="P20" s="11"/>
      <c r="Q20" s="13"/>
      <c r="R20" s="27"/>
      <c r="S20" s="45" t="str">
        <f>IFERROR(LEFT(Q20,SEARCH("/",Q20)-1)*1,"-")</f>
        <v>-</v>
      </c>
    </row>
    <row r="21">
      <c r="A21" s="15"/>
      <c r="B21" s="11"/>
      <c r="C21" s="11"/>
      <c r="D21" s="11"/>
      <c r="E21" s="12"/>
      <c r="F21" s="11"/>
      <c r="G21" s="13"/>
      <c r="H21" s="11"/>
      <c r="I21" s="14"/>
      <c r="J21" s="33" t="str">
        <f>IFERROR(LEFT(G21,SEARCH("/",G21)-1)*1,"-")</f>
        <v>-</v>
      </c>
      <c r="K21" s="33" t="s">
        <v>92</v>
      </c>
      <c r="M21" s="26"/>
      <c r="N21" s="11"/>
      <c r="O21" s="12"/>
      <c r="P21" s="11"/>
      <c r="Q21" s="13"/>
      <c r="R21" s="27"/>
      <c r="S21" s="45" t="str">
        <f>IFERROR(LEFT(Q21,SEARCH("/",Q21)-1)*1,"-")</f>
        <v>-</v>
      </c>
    </row>
    <row r="22">
      <c r="A22" s="15"/>
      <c r="B22" s="11"/>
      <c r="C22" s="11"/>
      <c r="D22" s="11"/>
      <c r="E22" s="12"/>
      <c r="F22" s="11"/>
      <c r="G22" s="13"/>
      <c r="H22" s="11"/>
      <c r="I22" s="14"/>
      <c r="J22" s="33" t="str">
        <f>IFERROR(LEFT(G22,SEARCH("/",G22)-1)*1,"-")</f>
        <v>-</v>
      </c>
      <c r="K22" s="45" t="s">
        <v>92</v>
      </c>
      <c r="M22" s="26"/>
      <c r="N22" s="11"/>
      <c r="O22" s="12"/>
      <c r="P22" s="11"/>
      <c r="Q22" s="13"/>
      <c r="R22" s="27"/>
      <c r="S22" s="45" t="str">
        <f>IFERROR(LEFT(Q22,SEARCH("/",Q22)-1)*1,"-")</f>
        <v>-</v>
      </c>
    </row>
    <row r="23">
      <c r="A23" s="15"/>
      <c r="B23" s="11"/>
      <c r="C23" s="11"/>
      <c r="D23" s="11"/>
      <c r="E23" s="12"/>
      <c r="F23" s="11"/>
      <c r="G23" s="13"/>
      <c r="H23" s="11"/>
      <c r="I23" s="14"/>
      <c r="J23" s="33" t="str">
        <f>IFERROR(LEFT(G23,SEARCH("/",G23)-1)*1,"-")</f>
        <v>-</v>
      </c>
      <c r="K23" s="45" t="s">
        <v>92</v>
      </c>
      <c r="M23" s="26"/>
      <c r="N23" s="11"/>
      <c r="O23" s="12"/>
      <c r="P23" s="11"/>
      <c r="Q23" s="13"/>
      <c r="R23" s="27"/>
      <c r="S23" s="45" t="str">
        <f>IFERROR(LEFT(Q23,SEARCH("/",Q23)-1)*1,"-")</f>
        <v>-</v>
      </c>
    </row>
    <row r="24">
      <c r="A24" s="15"/>
      <c r="B24" s="11"/>
      <c r="C24" s="11"/>
      <c r="D24" s="11"/>
      <c r="E24" s="12"/>
      <c r="F24" s="11"/>
      <c r="G24" s="13"/>
      <c r="H24" s="11"/>
      <c r="I24" s="14"/>
      <c r="J24" s="33" t="str">
        <f>IFERROR(LEFT(G24,SEARCH("/",G24)-1)*1,"-")</f>
        <v>-</v>
      </c>
      <c r="K24" s="45" t="s">
        <v>92</v>
      </c>
      <c r="L24" s="46"/>
      <c r="M24" s="26"/>
      <c r="N24" s="11"/>
      <c r="O24" s="12"/>
      <c r="P24" s="11"/>
      <c r="Q24" s="13"/>
      <c r="R24" s="27"/>
      <c r="S24" s="45" t="str">
        <f>IFERROR(LEFT(Q24,SEARCH("/",Q24)-1)*1,"-")</f>
        <v>-</v>
      </c>
    </row>
    <row r="25">
      <c r="A25" s="15"/>
      <c r="B25" s="11"/>
      <c r="C25" s="11"/>
      <c r="D25" s="11"/>
      <c r="E25" s="12"/>
      <c r="F25" s="11"/>
      <c r="G25" s="13"/>
      <c r="H25" s="11"/>
      <c r="I25" s="14"/>
      <c r="J25" s="33" t="str">
        <f>IFERROR(LEFT(G25,SEARCH("/",G25)-1)*1,"-")</f>
        <v>-</v>
      </c>
      <c r="K25" s="45" t="s">
        <v>92</v>
      </c>
      <c r="L25" s="46"/>
      <c r="M25" s="26"/>
      <c r="N25" s="11"/>
      <c r="O25" s="12"/>
      <c r="P25" s="11"/>
      <c r="Q25" s="13"/>
      <c r="R25" s="27"/>
      <c r="S25" s="45" t="str">
        <f>IFERROR(LEFT(Q25,SEARCH("/",Q25)-1)*1,"-")</f>
        <v>-</v>
      </c>
    </row>
    <row r="26">
      <c r="A26" s="15"/>
      <c r="B26" s="11"/>
      <c r="C26" s="11"/>
      <c r="D26" s="11"/>
      <c r="E26" s="12"/>
      <c r="F26" s="11"/>
      <c r="G26" s="13"/>
      <c r="H26" s="11"/>
      <c r="I26" s="14"/>
      <c r="J26" s="33" t="str">
        <f>IFERROR(LEFT(G26,SEARCH("/",G26)-1)*1,"-")</f>
        <v>-</v>
      </c>
      <c r="K26" s="45" t="s">
        <v>92</v>
      </c>
      <c r="L26" s="46"/>
      <c r="M26" s="26"/>
      <c r="N26" s="11"/>
      <c r="O26" s="12"/>
      <c r="P26" s="11"/>
      <c r="Q26" s="13"/>
      <c r="R26" s="27"/>
      <c r="S26" s="45" t="str">
        <f>IFERROR(LEFT(Q26,SEARCH("/",Q26)-1)*1,"-")</f>
        <v>-</v>
      </c>
    </row>
    <row r="27">
      <c r="A27" s="15"/>
      <c r="B27" s="11"/>
      <c r="C27" s="11"/>
      <c r="D27" s="11"/>
      <c r="E27" s="12"/>
      <c r="F27" s="11"/>
      <c r="G27" s="13"/>
      <c r="H27" s="11"/>
      <c r="I27" s="14"/>
      <c r="J27" s="33" t="str">
        <f>IFERROR(LEFT(G27,SEARCH("/",G27)-1)*1,"-")</f>
        <v>-</v>
      </c>
      <c r="K27" s="45" t="s">
        <v>92</v>
      </c>
      <c r="M27" s="26"/>
      <c r="N27" s="11"/>
      <c r="O27" s="12"/>
      <c r="P27" s="11"/>
      <c r="Q27" s="13"/>
      <c r="R27" s="27"/>
      <c r="S27" s="45" t="str">
        <f>IFERROR(LEFT(Q27,SEARCH("/",Q27)-1)*1,"-")</f>
        <v>-</v>
      </c>
    </row>
    <row r="28">
      <c r="A28" s="15"/>
      <c r="B28" s="11"/>
      <c r="C28" s="11"/>
      <c r="D28" s="11"/>
      <c r="E28" s="12"/>
      <c r="F28" s="11"/>
      <c r="G28" s="13"/>
      <c r="H28" s="11"/>
      <c r="I28" s="14"/>
      <c r="J28" s="33" t="str">
        <f>IFERROR(LEFT(G28,SEARCH("/",G28)-1)*1,"-")</f>
        <v>-</v>
      </c>
      <c r="K28" s="45" t="s">
        <v>92</v>
      </c>
      <c r="M28" s="26"/>
      <c r="N28" s="11"/>
      <c r="O28" s="12"/>
      <c r="P28" s="11"/>
      <c r="Q28" s="13"/>
      <c r="R28" s="27"/>
      <c r="S28" s="45" t="str">
        <f>IFERROR(LEFT(Q28,SEARCH("/",Q28)-1)*1,"-")</f>
        <v>-</v>
      </c>
    </row>
    <row r="29">
      <c r="A29" s="15"/>
      <c r="B29" s="11"/>
      <c r="C29" s="11"/>
      <c r="D29" s="11"/>
      <c r="E29" s="12"/>
      <c r="F29" s="11"/>
      <c r="G29" s="13"/>
      <c r="H29" s="11"/>
      <c r="I29" s="14"/>
      <c r="J29" s="33" t="str">
        <f>IFERROR(LEFT(G29,SEARCH("/",G29)-1)*1,"-")</f>
        <v>-</v>
      </c>
      <c r="K29" s="45" t="s">
        <v>92</v>
      </c>
      <c r="M29" s="26"/>
      <c r="N29" s="11"/>
      <c r="O29" s="12"/>
      <c r="P29" s="11"/>
      <c r="Q29" s="13"/>
      <c r="R29" s="27"/>
      <c r="S29" s="45" t="str">
        <f>IFERROR(LEFT(Q29,SEARCH("/",Q29)-1)*1,"-")</f>
        <v>-</v>
      </c>
    </row>
    <row r="30">
      <c r="A30" s="15"/>
      <c r="B30" s="11"/>
      <c r="C30" s="11"/>
      <c r="D30" s="11"/>
      <c r="E30" s="12"/>
      <c r="F30" s="11"/>
      <c r="G30" s="13"/>
      <c r="H30" s="11"/>
      <c r="I30" s="14"/>
      <c r="J30" s="33" t="str">
        <f>IFERROR(LEFT(G30,SEARCH("/",G30)-1)*1,"-")</f>
        <v>-</v>
      </c>
      <c r="K30" s="45" t="s">
        <v>92</v>
      </c>
      <c r="M30" s="26"/>
      <c r="N30" s="11"/>
      <c r="O30" s="12"/>
      <c r="P30" s="11"/>
      <c r="Q30" s="13"/>
      <c r="R30" s="27"/>
      <c r="S30" s="45" t="str">
        <f>IFERROR(LEFT(Q30,SEARCH("/",Q30)-1)*1,"-")</f>
        <v>-</v>
      </c>
    </row>
    <row r="31">
      <c r="A31" s="15"/>
      <c r="B31" s="11"/>
      <c r="C31" s="11"/>
      <c r="D31" s="11"/>
      <c r="E31" s="12"/>
      <c r="F31" s="11"/>
      <c r="G31" s="13"/>
      <c r="H31" s="11"/>
      <c r="I31" s="14"/>
      <c r="J31" s="33" t="str">
        <f>IFERROR(LEFT(G31,SEARCH("/",G31)-1)*1,"-")</f>
        <v>-</v>
      </c>
      <c r="K31" s="45" t="s">
        <v>92</v>
      </c>
      <c r="M31" s="26"/>
      <c r="N31" s="11"/>
      <c r="O31" s="12"/>
      <c r="P31" s="11"/>
      <c r="Q31" s="13"/>
      <c r="R31" s="27"/>
      <c r="S31" s="33" t="str">
        <f>IFERROR(LEFT(Q31,SEARCH("/",Q31)-1)*1,"-")</f>
        <v>-</v>
      </c>
    </row>
    <row r="32">
      <c r="A32" s="15"/>
      <c r="B32" s="11"/>
      <c r="C32" s="11"/>
      <c r="D32" s="11"/>
      <c r="E32" s="12"/>
      <c r="F32" s="11"/>
      <c r="G32" s="13"/>
      <c r="H32" s="11"/>
      <c r="I32" s="14"/>
      <c r="J32" s="33" t="str">
        <f>IFERROR(LEFT(G32,SEARCH("/",G32)-1)*1,"-")</f>
        <v>-</v>
      </c>
      <c r="K32" s="45" t="s">
        <v>92</v>
      </c>
      <c r="M32" s="26"/>
      <c r="N32" s="11"/>
      <c r="O32" s="12"/>
      <c r="P32" s="11"/>
      <c r="Q32" s="13"/>
      <c r="R32" s="27"/>
      <c r="S32" s="33" t="str">
        <f>IFERROR(LEFT(Q32,SEARCH("/",Q32)-1)*1,"-")</f>
        <v>-</v>
      </c>
    </row>
    <row r="33">
      <c r="A33" s="15"/>
      <c r="B33" s="11"/>
      <c r="C33" s="11"/>
      <c r="D33" s="11"/>
      <c r="E33" s="12"/>
      <c r="F33" s="11"/>
      <c r="G33" s="13"/>
      <c r="H33" s="11"/>
      <c r="I33" s="14"/>
      <c r="J33" s="33" t="str">
        <f>IFERROR(LEFT(G33,SEARCH("/",G33)-1)*1,"-")</f>
        <v>-</v>
      </c>
      <c r="K33" s="45" t="s">
        <v>92</v>
      </c>
      <c r="M33" s="26"/>
      <c r="N33" s="11"/>
      <c r="O33" s="12"/>
      <c r="P33" s="11"/>
      <c r="Q33" s="13"/>
      <c r="R33" s="27"/>
      <c r="S33" s="45" t="str">
        <f>IFERROR(LEFT(Q33,SEARCH("/",Q33)-1)*1,"-")</f>
        <v>-</v>
      </c>
    </row>
    <row r="34">
      <c r="A34" s="16"/>
      <c r="B34" s="17"/>
      <c r="C34" s="17"/>
      <c r="D34" s="17"/>
      <c r="E34" s="18"/>
      <c r="F34" s="17"/>
      <c r="G34" s="19"/>
      <c r="H34" s="17"/>
      <c r="I34" s="20"/>
      <c r="J34" s="33" t="str">
        <f>IFERROR(LEFT(G34,SEARCH("/",G34)-1)*1,"-")</f>
        <v>-</v>
      </c>
      <c r="K34" s="33" t="s">
        <v>92</v>
      </c>
      <c r="M34" s="28"/>
      <c r="N34" s="29"/>
      <c r="O34" s="30"/>
      <c r="P34" s="29"/>
      <c r="Q34" s="31"/>
      <c r="R34" s="32"/>
      <c r="S34" s="45" t="str">
        <f>IFERROR(LEFT(Q34,SEARCH("/",Q34)-1)*1,"-")</f>
        <v>-</v>
      </c>
    </row>
    <row r="35" ht="15.75">
      <c r="A35" s="149" t="s">
        <v>22</v>
      </c>
      <c r="B35" s="148"/>
      <c r="C35" s="47" t="s">
        <v>23</v>
      </c>
      <c r="D35" s="48"/>
      <c r="E35" s="48"/>
      <c r="F35" s="129" t="s">
        <v>24</v>
      </c>
      <c r="G35" s="128"/>
      <c r="H35" s="128"/>
      <c r="I35" s="127"/>
      <c r="M35" s="139" t="s">
        <v>27</v>
      </c>
      <c r="N35" s="139"/>
      <c r="P35" s="157" t="s">
        <v>24</v>
      </c>
      <c r="Q35" s="157"/>
      <c r="R35" s="157"/>
    </row>
    <row r="36">
      <c r="A36" s="155">
        <f>SUMIF(Tabela116182224262834[mês],MONTH((H9*1)),(E12:E34))</f>
        <v>0.0</v>
      </c>
      <c r="B36" s="154"/>
      <c r="C36" s="126">
        <f>SUMIFS(E12:E34,I12:I34,"Sim",J12:J34,"&gt;1")</f>
        <v>0.0</v>
      </c>
      <c r="D36" s="49"/>
      <c r="E36" s="49"/>
      <c r="F36" s="138">
        <f>SUMIF(I12:I34,"Sim",E12:E34)</f>
        <v>0.0</v>
      </c>
      <c r="G36" s="137"/>
      <c r="H36" s="137"/>
      <c r="I36" s="136"/>
      <c r="M36" s="141">
        <f>SUM(Tabela317192325272935[Valor])</f>
        <v>0.0</v>
      </c>
      <c r="N36" s="140"/>
      <c r="O36" s="49"/>
      <c r="P36" s="146">
        <f>SUMIF(Tabela317192325272935[Pago],"Sim",Tabela317192325272935[Valor])</f>
        <v>0.0</v>
      </c>
      <c r="Q36" s="146"/>
      <c r="R36" s="146"/>
      <c r="S36" s="49"/>
    </row>
    <row r="37">
      <c r="A37" s="153"/>
      <c r="B37" s="152"/>
      <c r="C37" s="125"/>
      <c r="D37" s="49"/>
      <c r="E37" s="49"/>
      <c r="F37" s="135"/>
      <c r="G37" s="134"/>
      <c r="H37" s="134"/>
      <c r="I37" s="133"/>
      <c r="M37" s="140"/>
      <c r="N37" s="140"/>
      <c r="O37" s="49"/>
      <c r="P37" s="146"/>
      <c r="Q37" s="146"/>
      <c r="R37" s="146"/>
      <c r="S37" s="49"/>
    </row>
    <row r="38">
      <c r="A38" s="151"/>
      <c r="B38" s="150"/>
      <c r="C38" s="124"/>
      <c r="D38" s="49"/>
      <c r="E38" s="49"/>
      <c r="F38" s="132"/>
      <c r="G38" s="131"/>
      <c r="H38" s="131"/>
      <c r="I38" s="130"/>
      <c r="M38" s="140"/>
      <c r="N38" s="140"/>
      <c r="O38" s="49"/>
      <c r="P38" s="146"/>
      <c r="Q38" s="146"/>
      <c r="R38" s="146"/>
      <c r="S38" s="49"/>
    </row>
    <row r="39">
      <c r="B39" s="11"/>
      <c r="C39" s="50"/>
    </row>
    <row r="40">
      <c r="G40" s="33"/>
    </row>
    <row r="41">
      <c r="G41" s="33"/>
    </row>
    <row r="42">
      <c r="G42" s="33"/>
    </row>
    <row r="43">
      <c r="G43" s="33"/>
    </row>
    <row r="44">
      <c r="G44" s="33"/>
    </row>
    <row r="45">
      <c r="G45" s="33"/>
    </row>
    <row r="46">
      <c r="G46" s="33"/>
    </row>
  </sheetData>
  <mergeCells count="19">
    <mergeCell ref="B7:C7"/>
    <mergeCell ref="A1:R2"/>
    <mergeCell ref="B4:C4"/>
    <mergeCell ref="B5:C5"/>
    <mergeCell ref="G5:G6"/>
    <mergeCell ref="H5:I6"/>
    <mergeCell ref="A9:G10"/>
    <mergeCell ref="H9:I10"/>
    <mergeCell ref="M9:P10"/>
    <mergeCell ref="Q9:R10"/>
    <mergeCell ref="A35:B35"/>
    <mergeCell ref="F35:I35"/>
    <mergeCell ref="M35:N35"/>
    <mergeCell ref="P35:R35"/>
    <mergeCell ref="A36:B38"/>
    <mergeCell ref="C36:C38"/>
    <mergeCell ref="F36:I38"/>
    <mergeCell ref="M36:N38"/>
    <mergeCell ref="P36:R38"/>
  </mergeCells>
  <printOptions/>
  <pageMargins left="0.5054133862" right="0.5054133862" top="0.7775590553124999" bottom="0.7775590553124999" footer="0.31102361224999997" header="0.31102361224999997"/>
  <pageSetup paperSize="9" scale="10" orientation="landscape" copies="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Planilha10">
    <outlinePr/>
    <pageSetUpPr fitToPage="1"/>
  </sheetPr>
  <dimension ref="A1:XFD46"/>
  <sheetViews>
    <sheetView workbookViewId="0" showGridLines="0" zoomScale="70" zoomScaleNormal="70" zoomScaleSheetLayoutView="60">
      <pane ySplit="11" topLeftCell="A12" activePane="bottomLeft" state="frozen"/>
      <selection activeCell="A12" sqref="A12"/>
      <selection pane="bottomLeft" activeCell="A12" sqref="A12"/>
    </sheetView>
  </sheetViews>
  <sheetFormatPr defaultRowHeight="15.0" customHeight="1"/>
  <cols>
    <col min="1" max="1" width="19.72417534722222" style="33" customWidth="1"/>
    <col min="2" max="2" width="9.557508680555555" style="33" customWidth="1"/>
    <col min="3" max="3" width="48.835286458333336" style="33" customWidth="1"/>
    <col min="4" max="4" width="8.835286458333334" style="33" bestFit="1" customWidth="1"/>
    <col min="5" max="5" width="14.835286458333334" style="34" bestFit="1" customWidth="1"/>
    <col min="6" max="6" width="12.724175347222221" style="33" bestFit="1" customWidth="1"/>
    <col min="7" max="7" width="16.835286458333332" style="35" customWidth="1"/>
    <col min="8" max="8" width="6.446397569444445" style="33" bestFit="1" customWidth="1"/>
    <col min="9" max="9" width="10.279730902777779" style="33" bestFit="1" customWidth="1"/>
    <col min="10" max="11" width="11.724175347222221" style="33" hidden="1" customWidth="1"/>
    <col min="12" max="12" width="6.279730902777778" style="33" customWidth="1"/>
    <col min="13" max="13" width="11.557508680555555" style="33" bestFit="1" customWidth="1"/>
    <col min="14" max="14" width="30.446397569444443" style="33" customWidth="1"/>
    <col min="15" max="15" width="14.279730902777779" style="33" bestFit="1" customWidth="1"/>
    <col min="16" max="18" width="14.724175347222221" style="33" customWidth="1"/>
    <col min="19" max="19" width="9.446397569444445" style="33" hidden="1" customWidth="1"/>
    <col min="20" max="16384" width="9.168619791666666" style="33"/>
  </cols>
  <sheetData>
    <row r="1">
      <c r="A1" s="143" t="s">
        <v>20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</row>
    <row r="2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</row>
    <row r="3" ht="6.75" customHeight="1"/>
    <row r="4" ht="15.75">
      <c r="A4" s="36" t="s">
        <v>16</v>
      </c>
      <c r="B4" s="156" t="s">
        <v>34</v>
      </c>
      <c r="C4" s="156"/>
    </row>
    <row r="5" ht="15.75">
      <c r="A5" s="36" t="s">
        <v>15</v>
      </c>
      <c r="B5" s="156">
        <v>2019.0</v>
      </c>
      <c r="C5" s="156"/>
      <c r="G5" s="159"/>
      <c r="H5" s="161"/>
      <c r="I5" s="160"/>
    </row>
    <row r="6" ht="3.75" customHeight="1">
      <c r="A6" s="36"/>
      <c r="B6" s="4"/>
      <c r="C6" s="4"/>
      <c r="G6" s="158"/>
      <c r="H6" s="160"/>
      <c r="I6" s="160"/>
    </row>
    <row r="7" ht="15.75">
      <c r="A7" s="36" t="s">
        <v>42</v>
      </c>
      <c r="B7" s="156"/>
      <c r="C7" s="156"/>
    </row>
    <row r="8" ht="6.75" customHeight="1">
      <c r="A8" s="37"/>
    </row>
    <row r="9" customHeight="1">
      <c r="A9" s="142" t="s">
        <v>25</v>
      </c>
      <c r="B9" s="142"/>
      <c r="C9" s="142"/>
      <c r="D9" s="142"/>
      <c r="E9" s="142"/>
      <c r="F9" s="142"/>
      <c r="G9" s="142"/>
      <c r="H9" s="144" t="str">
        <f>LEFT($B$4,3)&amp;"/"&amp;RIGHT($B$5,2)</f>
        <v>Mai/19</v>
      </c>
      <c r="I9" s="144"/>
      <c r="M9" s="147" t="s">
        <v>59</v>
      </c>
      <c r="N9" s="147"/>
      <c r="O9" s="147"/>
      <c r="P9" s="147"/>
      <c r="Q9" s="145" t="str">
        <f>LEFT($B$4,3)&amp;"/"&amp;RIGHT($B$5,2)</f>
        <v>Mai/19</v>
      </c>
      <c r="R9" s="145"/>
    </row>
    <row r="10" customHeight="1">
      <c r="A10" s="142"/>
      <c r="B10" s="142"/>
      <c r="C10" s="142"/>
      <c r="D10" s="142"/>
      <c r="E10" s="142"/>
      <c r="F10" s="142"/>
      <c r="G10" s="142"/>
      <c r="H10" s="144"/>
      <c r="I10" s="144"/>
      <c r="M10" s="147"/>
      <c r="N10" s="147"/>
      <c r="O10" s="147"/>
      <c r="P10" s="147"/>
      <c r="Q10" s="145"/>
      <c r="R10" s="145"/>
    </row>
    <row r="11" s="41" customFormat="1" ht="52.5" customHeight="1">
      <c r="A11" s="38" t="s">
        <v>0</v>
      </c>
      <c r="B11" s="38" t="s">
        <v>1</v>
      </c>
      <c r="C11" s="38" t="s">
        <v>2</v>
      </c>
      <c r="D11" s="38" t="s">
        <v>18</v>
      </c>
      <c r="E11" s="39" t="s">
        <v>3</v>
      </c>
      <c r="F11" s="38" t="s">
        <v>21</v>
      </c>
      <c r="G11" s="40" t="s">
        <v>11</v>
      </c>
      <c r="H11" s="38" t="s">
        <v>28</v>
      </c>
      <c r="I11" s="38" t="s">
        <v>9</v>
      </c>
      <c r="J11" s="41" t="s">
        <v>31</v>
      </c>
      <c r="K11" s="42" t="s">
        <v>29</v>
      </c>
      <c r="M11" s="43" t="s">
        <v>0</v>
      </c>
      <c r="N11" s="38" t="s">
        <v>13</v>
      </c>
      <c r="O11" s="43" t="s">
        <v>3</v>
      </c>
      <c r="P11" s="38" t="s">
        <v>26</v>
      </c>
      <c r="Q11" s="40" t="s">
        <v>11</v>
      </c>
      <c r="R11" s="38" t="s">
        <v>4</v>
      </c>
      <c r="S11" s="44" t="s">
        <v>14</v>
      </c>
    </row>
    <row r="12">
      <c r="A12" s="5"/>
      <c r="B12" s="6"/>
      <c r="C12" s="6"/>
      <c r="D12" s="6"/>
      <c r="E12" s="7"/>
      <c r="F12" s="6"/>
      <c r="G12" s="8"/>
      <c r="H12" s="6"/>
      <c r="I12" s="9"/>
      <c r="M12" s="21"/>
      <c r="N12" s="22"/>
      <c r="O12" s="23"/>
      <c r="P12" s="22"/>
      <c r="Q12" s="24"/>
      <c r="R12" s="25"/>
    </row>
    <row r="13">
      <c r="A13" s="10"/>
      <c r="B13" s="11"/>
      <c r="C13" s="11"/>
      <c r="D13" s="11"/>
      <c r="E13" s="12"/>
      <c r="F13" s="11"/>
      <c r="G13" s="13"/>
      <c r="H13" s="11"/>
      <c r="I13" s="14"/>
      <c r="M13" s="26"/>
      <c r="N13" s="11"/>
      <c r="O13" s="12"/>
      <c r="P13" s="11"/>
      <c r="Q13" s="13"/>
      <c r="R13" s="27"/>
    </row>
    <row r="14">
      <c r="A14" s="10"/>
      <c r="B14" s="11"/>
      <c r="C14" s="11"/>
      <c r="D14" s="11"/>
      <c r="E14" s="12"/>
      <c r="F14" s="11"/>
      <c r="G14" s="13"/>
      <c r="H14" s="11"/>
      <c r="I14" s="14"/>
      <c r="M14" s="26"/>
      <c r="N14" s="11"/>
      <c r="O14" s="12"/>
      <c r="P14" s="11"/>
      <c r="Q14" s="13"/>
      <c r="R14" s="27"/>
    </row>
    <row r="15">
      <c r="A15" s="15"/>
      <c r="B15" s="11"/>
      <c r="C15" s="11"/>
      <c r="D15" s="11"/>
      <c r="E15" s="12"/>
      <c r="F15" s="11"/>
      <c r="G15" s="13"/>
      <c r="H15" s="11"/>
      <c r="I15" s="14"/>
      <c r="M15" s="26"/>
      <c r="N15" s="11"/>
      <c r="O15" s="12"/>
      <c r="P15" s="11"/>
      <c r="Q15" s="13"/>
      <c r="R15" s="27"/>
    </row>
    <row r="16">
      <c r="A16" s="15"/>
      <c r="B16" s="11"/>
      <c r="C16" s="11"/>
      <c r="D16" s="11"/>
      <c r="E16" s="12"/>
      <c r="F16" s="11"/>
      <c r="G16" s="13"/>
      <c r="H16" s="11"/>
      <c r="I16" s="14"/>
      <c r="M16" s="26"/>
      <c r="N16" s="11"/>
      <c r="O16" s="12"/>
      <c r="P16" s="11"/>
      <c r="Q16" s="13"/>
      <c r="R16" s="27"/>
    </row>
    <row r="17">
      <c r="A17" s="15"/>
      <c r="B17" s="11"/>
      <c r="C17" s="11"/>
      <c r="D17" s="11"/>
      <c r="E17" s="12"/>
      <c r="F17" s="11"/>
      <c r="G17" s="13"/>
      <c r="H17" s="11"/>
      <c r="I17" s="14"/>
      <c r="M17" s="26"/>
      <c r="N17" s="11"/>
      <c r="O17" s="12"/>
      <c r="P17" s="11"/>
      <c r="Q17" s="13"/>
      <c r="R17" s="27"/>
    </row>
    <row r="18">
      <c r="A18" s="15"/>
      <c r="B18" s="11"/>
      <c r="C18" s="11"/>
      <c r="D18" s="11"/>
      <c r="E18" s="12"/>
      <c r="F18" s="11"/>
      <c r="G18" s="13"/>
      <c r="H18" s="11"/>
      <c r="I18" s="14"/>
      <c r="M18" s="26"/>
      <c r="N18" s="11"/>
      <c r="O18" s="12"/>
      <c r="P18" s="11"/>
      <c r="Q18" s="13"/>
      <c r="R18" s="27"/>
    </row>
    <row r="19">
      <c r="A19" s="15"/>
      <c r="B19" s="11"/>
      <c r="C19" s="11"/>
      <c r="D19" s="11"/>
      <c r="E19" s="12"/>
      <c r="F19" s="11"/>
      <c r="G19" s="13"/>
      <c r="H19" s="11"/>
      <c r="I19" s="14"/>
      <c r="M19" s="26"/>
      <c r="N19" s="11"/>
      <c r="O19" s="12"/>
      <c r="P19" s="11"/>
      <c r="Q19" s="13"/>
      <c r="R19" s="27"/>
      <c r="S19" s="45"/>
    </row>
    <row r="20">
      <c r="A20" s="15"/>
      <c r="B20" s="11"/>
      <c r="C20" s="11"/>
      <c r="D20" s="11"/>
      <c r="E20" s="12"/>
      <c r="F20" s="11"/>
      <c r="G20" s="13"/>
      <c r="H20" s="11"/>
      <c r="I20" s="14"/>
      <c r="J20" s="33" t="str">
        <f>IFERROR(LEFT(G20,SEARCH("/",G20)-1)*1,"-")</f>
        <v>-</v>
      </c>
      <c r="K20" s="33" t="s">
        <v>92</v>
      </c>
      <c r="M20" s="26"/>
      <c r="N20" s="11"/>
      <c r="O20" s="12"/>
      <c r="P20" s="11"/>
      <c r="Q20" s="13"/>
      <c r="R20" s="27"/>
      <c r="S20" s="45" t="str">
        <f>IFERROR(LEFT(Q20,SEARCH("/",Q20)-1)*1,"-")</f>
        <v>-</v>
      </c>
    </row>
    <row r="21">
      <c r="A21" s="15"/>
      <c r="B21" s="11"/>
      <c r="C21" s="11"/>
      <c r="D21" s="11"/>
      <c r="E21" s="12"/>
      <c r="F21" s="11"/>
      <c r="G21" s="13"/>
      <c r="H21" s="11"/>
      <c r="I21" s="14"/>
      <c r="J21" s="33" t="str">
        <f>IFERROR(LEFT(G21,SEARCH("/",G21)-1)*1,"-")</f>
        <v>-</v>
      </c>
      <c r="K21" s="33" t="s">
        <v>92</v>
      </c>
      <c r="M21" s="26"/>
      <c r="N21" s="11"/>
      <c r="O21" s="12"/>
      <c r="P21" s="11"/>
      <c r="Q21" s="13"/>
      <c r="R21" s="27"/>
      <c r="S21" s="45" t="str">
        <f>IFERROR(LEFT(Q21,SEARCH("/",Q21)-1)*1,"-")</f>
        <v>-</v>
      </c>
    </row>
    <row r="22">
      <c r="A22" s="15"/>
      <c r="B22" s="11"/>
      <c r="C22" s="11"/>
      <c r="D22" s="11"/>
      <c r="E22" s="12"/>
      <c r="F22" s="11"/>
      <c r="G22" s="13"/>
      <c r="H22" s="11"/>
      <c r="I22" s="14"/>
      <c r="J22" s="33" t="str">
        <f>IFERROR(LEFT(G22,SEARCH("/",G22)-1)*1,"-")</f>
        <v>-</v>
      </c>
      <c r="K22" s="45" t="s">
        <v>92</v>
      </c>
      <c r="M22" s="26"/>
      <c r="N22" s="11"/>
      <c r="O22" s="12"/>
      <c r="P22" s="11"/>
      <c r="Q22" s="13"/>
      <c r="R22" s="27"/>
      <c r="S22" s="45" t="str">
        <f>IFERROR(LEFT(Q22,SEARCH("/",Q22)-1)*1,"-")</f>
        <v>-</v>
      </c>
    </row>
    <row r="23">
      <c r="A23" s="15"/>
      <c r="B23" s="11"/>
      <c r="C23" s="11"/>
      <c r="D23" s="11"/>
      <c r="E23" s="12"/>
      <c r="F23" s="11"/>
      <c r="G23" s="13"/>
      <c r="H23" s="11"/>
      <c r="I23" s="14"/>
      <c r="J23" s="33" t="str">
        <f>IFERROR(LEFT(G23,SEARCH("/",G23)-1)*1,"-")</f>
        <v>-</v>
      </c>
      <c r="K23" s="45" t="s">
        <v>92</v>
      </c>
      <c r="M23" s="26"/>
      <c r="N23" s="11"/>
      <c r="O23" s="12"/>
      <c r="P23" s="11"/>
      <c r="Q23" s="13"/>
      <c r="R23" s="27"/>
      <c r="S23" s="45" t="str">
        <f>IFERROR(LEFT(Q23,SEARCH("/",Q23)-1)*1,"-")</f>
        <v>-</v>
      </c>
    </row>
    <row r="24">
      <c r="A24" s="15"/>
      <c r="B24" s="11"/>
      <c r="C24" s="11"/>
      <c r="D24" s="11"/>
      <c r="E24" s="12"/>
      <c r="F24" s="11"/>
      <c r="G24" s="13"/>
      <c r="H24" s="11"/>
      <c r="I24" s="14"/>
      <c r="J24" s="33" t="str">
        <f>IFERROR(LEFT(G24,SEARCH("/",G24)-1)*1,"-")</f>
        <v>-</v>
      </c>
      <c r="K24" s="45" t="s">
        <v>92</v>
      </c>
      <c r="L24" s="46"/>
      <c r="M24" s="26"/>
      <c r="N24" s="11"/>
      <c r="O24" s="12"/>
      <c r="P24" s="11"/>
      <c r="Q24" s="13"/>
      <c r="R24" s="27"/>
      <c r="S24" s="45" t="str">
        <f>IFERROR(LEFT(Q24,SEARCH("/",Q24)-1)*1,"-")</f>
        <v>-</v>
      </c>
    </row>
    <row r="25">
      <c r="A25" s="15"/>
      <c r="B25" s="11"/>
      <c r="C25" s="11"/>
      <c r="D25" s="11"/>
      <c r="E25" s="12"/>
      <c r="F25" s="11"/>
      <c r="G25" s="13"/>
      <c r="H25" s="11"/>
      <c r="I25" s="14"/>
      <c r="J25" s="33" t="str">
        <f>IFERROR(LEFT(G25,SEARCH("/",G25)-1)*1,"-")</f>
        <v>-</v>
      </c>
      <c r="K25" s="45" t="s">
        <v>92</v>
      </c>
      <c r="L25" s="46"/>
      <c r="M25" s="26"/>
      <c r="N25" s="11"/>
      <c r="O25" s="12"/>
      <c r="P25" s="11"/>
      <c r="Q25" s="13"/>
      <c r="R25" s="27"/>
      <c r="S25" s="45" t="str">
        <f>IFERROR(LEFT(Q25,SEARCH("/",Q25)-1)*1,"-")</f>
        <v>-</v>
      </c>
    </row>
    <row r="26">
      <c r="A26" s="15"/>
      <c r="B26" s="11"/>
      <c r="C26" s="11"/>
      <c r="D26" s="11"/>
      <c r="E26" s="12"/>
      <c r="F26" s="11"/>
      <c r="G26" s="13"/>
      <c r="H26" s="11"/>
      <c r="I26" s="14"/>
      <c r="J26" s="33" t="str">
        <f>IFERROR(LEFT(G26,SEARCH("/",G26)-1)*1,"-")</f>
        <v>-</v>
      </c>
      <c r="K26" s="45" t="s">
        <v>92</v>
      </c>
      <c r="L26" s="46"/>
      <c r="M26" s="26"/>
      <c r="N26" s="11"/>
      <c r="O26" s="12"/>
      <c r="P26" s="11"/>
      <c r="Q26" s="13"/>
      <c r="R26" s="27"/>
      <c r="S26" s="45" t="str">
        <f>IFERROR(LEFT(Q26,SEARCH("/",Q26)-1)*1,"-")</f>
        <v>-</v>
      </c>
    </row>
    <row r="27">
      <c r="A27" s="15"/>
      <c r="B27" s="11"/>
      <c r="C27" s="11"/>
      <c r="D27" s="11"/>
      <c r="E27" s="12"/>
      <c r="F27" s="11"/>
      <c r="G27" s="13"/>
      <c r="H27" s="11"/>
      <c r="I27" s="14"/>
      <c r="J27" s="33" t="str">
        <f>IFERROR(LEFT(G27,SEARCH("/",G27)-1)*1,"-")</f>
        <v>-</v>
      </c>
      <c r="K27" s="45" t="s">
        <v>92</v>
      </c>
      <c r="M27" s="26"/>
      <c r="N27" s="11"/>
      <c r="O27" s="12"/>
      <c r="P27" s="11"/>
      <c r="Q27" s="13"/>
      <c r="R27" s="27"/>
      <c r="S27" s="45" t="str">
        <f>IFERROR(LEFT(Q27,SEARCH("/",Q27)-1)*1,"-")</f>
        <v>-</v>
      </c>
    </row>
    <row r="28">
      <c r="A28" s="15"/>
      <c r="B28" s="11"/>
      <c r="C28" s="11"/>
      <c r="D28" s="11"/>
      <c r="E28" s="12"/>
      <c r="F28" s="11"/>
      <c r="G28" s="13"/>
      <c r="H28" s="11"/>
      <c r="I28" s="14"/>
      <c r="J28" s="33" t="str">
        <f>IFERROR(LEFT(G28,SEARCH("/",G28)-1)*1,"-")</f>
        <v>-</v>
      </c>
      <c r="K28" s="45" t="s">
        <v>92</v>
      </c>
      <c r="M28" s="26"/>
      <c r="N28" s="11"/>
      <c r="O28" s="12"/>
      <c r="P28" s="11"/>
      <c r="Q28" s="13"/>
      <c r="R28" s="27"/>
      <c r="S28" s="45" t="str">
        <f>IFERROR(LEFT(Q28,SEARCH("/",Q28)-1)*1,"-")</f>
        <v>-</v>
      </c>
    </row>
    <row r="29">
      <c r="A29" s="15"/>
      <c r="B29" s="11"/>
      <c r="C29" s="11"/>
      <c r="D29" s="11"/>
      <c r="E29" s="12"/>
      <c r="F29" s="11"/>
      <c r="G29" s="13"/>
      <c r="H29" s="11"/>
      <c r="I29" s="14"/>
      <c r="J29" s="33" t="str">
        <f>IFERROR(LEFT(G29,SEARCH("/",G29)-1)*1,"-")</f>
        <v>-</v>
      </c>
      <c r="K29" s="45" t="s">
        <v>92</v>
      </c>
      <c r="M29" s="26"/>
      <c r="N29" s="11"/>
      <c r="O29" s="12"/>
      <c r="P29" s="11"/>
      <c r="Q29" s="13"/>
      <c r="R29" s="27"/>
      <c r="S29" s="45" t="str">
        <f>IFERROR(LEFT(Q29,SEARCH("/",Q29)-1)*1,"-")</f>
        <v>-</v>
      </c>
    </row>
    <row r="30">
      <c r="A30" s="15"/>
      <c r="B30" s="11"/>
      <c r="C30" s="11"/>
      <c r="D30" s="11"/>
      <c r="E30" s="12"/>
      <c r="F30" s="11"/>
      <c r="G30" s="13"/>
      <c r="H30" s="11"/>
      <c r="I30" s="14"/>
      <c r="J30" s="33" t="str">
        <f>IFERROR(LEFT(G30,SEARCH("/",G30)-1)*1,"-")</f>
        <v>-</v>
      </c>
      <c r="K30" s="45" t="s">
        <v>92</v>
      </c>
      <c r="M30" s="26"/>
      <c r="N30" s="11"/>
      <c r="O30" s="12"/>
      <c r="P30" s="11"/>
      <c r="Q30" s="13"/>
      <c r="R30" s="27"/>
      <c r="S30" s="45" t="str">
        <f>IFERROR(LEFT(Q30,SEARCH("/",Q30)-1)*1,"-")</f>
        <v>-</v>
      </c>
    </row>
    <row r="31">
      <c r="A31" s="15"/>
      <c r="B31" s="11"/>
      <c r="C31" s="11"/>
      <c r="D31" s="11"/>
      <c r="E31" s="12"/>
      <c r="F31" s="11"/>
      <c r="G31" s="13"/>
      <c r="H31" s="11"/>
      <c r="I31" s="14"/>
      <c r="J31" s="33" t="str">
        <f>IFERROR(LEFT(G31,SEARCH("/",G31)-1)*1,"-")</f>
        <v>-</v>
      </c>
      <c r="K31" s="45" t="s">
        <v>92</v>
      </c>
      <c r="M31" s="26"/>
      <c r="N31" s="11"/>
      <c r="O31" s="12"/>
      <c r="P31" s="11"/>
      <c r="Q31" s="13"/>
      <c r="R31" s="27"/>
      <c r="S31" s="33" t="str">
        <f>IFERROR(LEFT(Q31,SEARCH("/",Q31)-1)*1,"-")</f>
        <v>-</v>
      </c>
    </row>
    <row r="32">
      <c r="A32" s="15"/>
      <c r="B32" s="11"/>
      <c r="C32" s="11"/>
      <c r="D32" s="11"/>
      <c r="E32" s="12"/>
      <c r="F32" s="11"/>
      <c r="G32" s="13"/>
      <c r="H32" s="11"/>
      <c r="I32" s="14"/>
      <c r="J32" s="33" t="str">
        <f>IFERROR(LEFT(G32,SEARCH("/",G32)-1)*1,"-")</f>
        <v>-</v>
      </c>
      <c r="K32" s="45" t="s">
        <v>92</v>
      </c>
      <c r="M32" s="26"/>
      <c r="N32" s="11"/>
      <c r="O32" s="12"/>
      <c r="P32" s="11"/>
      <c r="Q32" s="13"/>
      <c r="R32" s="27"/>
      <c r="S32" s="33" t="str">
        <f>IFERROR(LEFT(Q32,SEARCH("/",Q32)-1)*1,"-")</f>
        <v>-</v>
      </c>
    </row>
    <row r="33">
      <c r="A33" s="15"/>
      <c r="B33" s="11"/>
      <c r="C33" s="11"/>
      <c r="D33" s="11"/>
      <c r="E33" s="12"/>
      <c r="F33" s="11"/>
      <c r="G33" s="13"/>
      <c r="H33" s="11"/>
      <c r="I33" s="14"/>
      <c r="J33" s="33" t="str">
        <f>IFERROR(LEFT(G33,SEARCH("/",G33)-1)*1,"-")</f>
        <v>-</v>
      </c>
      <c r="K33" s="45" t="s">
        <v>92</v>
      </c>
      <c r="M33" s="26"/>
      <c r="N33" s="11"/>
      <c r="O33" s="12"/>
      <c r="P33" s="11"/>
      <c r="Q33" s="13"/>
      <c r="R33" s="27"/>
      <c r="S33" s="45" t="str">
        <f>IFERROR(LEFT(Q33,SEARCH("/",Q33)-1)*1,"-")</f>
        <v>-</v>
      </c>
    </row>
    <row r="34">
      <c r="A34" s="16"/>
      <c r="B34" s="17"/>
      <c r="C34" s="17"/>
      <c r="D34" s="17"/>
      <c r="E34" s="18"/>
      <c r="F34" s="17"/>
      <c r="G34" s="19"/>
      <c r="H34" s="17"/>
      <c r="I34" s="20"/>
      <c r="J34" s="33" t="str">
        <f>IFERROR(LEFT(G34,SEARCH("/",G34)-1)*1,"-")</f>
        <v>-</v>
      </c>
      <c r="K34" s="33" t="s">
        <v>92</v>
      </c>
      <c r="M34" s="28"/>
      <c r="N34" s="29"/>
      <c r="O34" s="30"/>
      <c r="P34" s="29"/>
      <c r="Q34" s="31"/>
      <c r="R34" s="32"/>
      <c r="S34" s="45" t="str">
        <f>IFERROR(LEFT(Q34,SEARCH("/",Q34)-1)*1,"-")</f>
        <v>-</v>
      </c>
    </row>
    <row r="35" ht="15.75">
      <c r="A35" s="149" t="s">
        <v>22</v>
      </c>
      <c r="B35" s="148"/>
      <c r="C35" s="47" t="s">
        <v>23</v>
      </c>
      <c r="D35" s="48"/>
      <c r="E35" s="48"/>
      <c r="F35" s="129" t="s">
        <v>24</v>
      </c>
      <c r="G35" s="128"/>
      <c r="H35" s="128"/>
      <c r="I35" s="127"/>
      <c r="M35" s="139" t="s">
        <v>27</v>
      </c>
      <c r="N35" s="139"/>
      <c r="P35" s="157" t="s">
        <v>24</v>
      </c>
      <c r="Q35" s="157"/>
      <c r="R35" s="157"/>
    </row>
    <row r="36">
      <c r="A36" s="155">
        <f>SUMIF(Tabela11618222426283032[mês],MONTH((H9*1)),(E12:E34))</f>
        <v>0.0</v>
      </c>
      <c r="B36" s="154"/>
      <c r="C36" s="126">
        <f>SUMIFS(E12:E34,I12:I34,"Sim",J12:J34,"&gt;1")</f>
        <v>0.0</v>
      </c>
      <c r="D36" s="49"/>
      <c r="E36" s="49"/>
      <c r="F36" s="138">
        <f>SUMIF(I12:I34,"Sim",E12:E34)</f>
        <v>0.0</v>
      </c>
      <c r="G36" s="137"/>
      <c r="H36" s="137"/>
      <c r="I36" s="136"/>
      <c r="M36" s="141">
        <f>SUM(Tabela31719232527293133[Valor])</f>
        <v>0.0</v>
      </c>
      <c r="N36" s="140"/>
      <c r="O36" s="49"/>
      <c r="P36" s="146">
        <f>SUMIF(Tabela31719232527293133[Pago],"Sim",Tabela31719232527293133[Valor])</f>
        <v>0.0</v>
      </c>
      <c r="Q36" s="146"/>
      <c r="R36" s="146"/>
      <c r="S36" s="49"/>
    </row>
    <row r="37">
      <c r="A37" s="153"/>
      <c r="B37" s="152"/>
      <c r="C37" s="125"/>
      <c r="D37" s="49"/>
      <c r="E37" s="49"/>
      <c r="F37" s="135"/>
      <c r="G37" s="134"/>
      <c r="H37" s="134"/>
      <c r="I37" s="133"/>
      <c r="M37" s="140"/>
      <c r="N37" s="140"/>
      <c r="O37" s="49"/>
      <c r="P37" s="146"/>
      <c r="Q37" s="146"/>
      <c r="R37" s="146"/>
      <c r="S37" s="49"/>
    </row>
    <row r="38">
      <c r="A38" s="151"/>
      <c r="B38" s="150"/>
      <c r="C38" s="124"/>
      <c r="D38" s="49"/>
      <c r="E38" s="49"/>
      <c r="F38" s="132"/>
      <c r="G38" s="131"/>
      <c r="H38" s="131"/>
      <c r="I38" s="130"/>
      <c r="M38" s="140"/>
      <c r="N38" s="140"/>
      <c r="O38" s="49"/>
      <c r="P38" s="146"/>
      <c r="Q38" s="146"/>
      <c r="R38" s="146"/>
      <c r="S38" s="49"/>
    </row>
    <row r="39">
      <c r="B39" s="11"/>
      <c r="C39" s="50"/>
    </row>
    <row r="40">
      <c r="G40" s="33"/>
    </row>
    <row r="41">
      <c r="G41" s="33"/>
    </row>
    <row r="42">
      <c r="G42" s="33"/>
    </row>
    <row r="43">
      <c r="G43" s="33"/>
    </row>
    <row r="44">
      <c r="G44" s="33"/>
    </row>
    <row r="45">
      <c r="G45" s="33"/>
    </row>
    <row r="46">
      <c r="G46" s="33"/>
    </row>
  </sheetData>
  <mergeCells count="19">
    <mergeCell ref="B7:C7"/>
    <mergeCell ref="A1:R2"/>
    <mergeCell ref="B4:C4"/>
    <mergeCell ref="B5:C5"/>
    <mergeCell ref="G5:G6"/>
    <mergeCell ref="H5:I6"/>
    <mergeCell ref="A9:G10"/>
    <mergeCell ref="H9:I10"/>
    <mergeCell ref="M9:P10"/>
    <mergeCell ref="Q9:R10"/>
    <mergeCell ref="A35:B35"/>
    <mergeCell ref="F35:I35"/>
    <mergeCell ref="M35:N35"/>
    <mergeCell ref="P35:R35"/>
    <mergeCell ref="A36:B38"/>
    <mergeCell ref="C36:C38"/>
    <mergeCell ref="F36:I38"/>
    <mergeCell ref="M36:N38"/>
    <mergeCell ref="P36:R38"/>
  </mergeCells>
  <printOptions/>
  <pageMargins left="0.5054133862" right="0.5054133862" top="0.7775590553124999" bottom="0.7775590553124999" footer="0.31102361224999997" header="0.31102361224999997"/>
  <pageSetup paperSize="9" scale="10" orientation="landscape" copies="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 codeName="Planilha4">
    <outlinePr/>
    <pageSetUpPr fitToPage="1"/>
  </sheetPr>
  <dimension ref="A1:XFD46"/>
  <sheetViews>
    <sheetView workbookViewId="0" showGridLines="0" zoomScale="70" zoomScaleNormal="70" zoomScaleSheetLayoutView="60">
      <pane ySplit="11" topLeftCell="A12" activePane="bottomLeft" state="frozen"/>
      <selection activeCell="A12" sqref="A12"/>
      <selection pane="bottomLeft" activeCell="A12" sqref="A12"/>
    </sheetView>
  </sheetViews>
  <sheetFormatPr defaultRowHeight="15.0" customHeight="1"/>
  <cols>
    <col min="1" max="1" width="19.72417534722222" style="33" customWidth="1"/>
    <col min="2" max="2" width="9.557508680555555" style="33" customWidth="1"/>
    <col min="3" max="3" width="48.835286458333336" style="33" customWidth="1"/>
    <col min="4" max="4" width="8.835286458333334" style="33" bestFit="1" customWidth="1"/>
    <col min="5" max="5" width="14.835286458333334" style="34" bestFit="1" customWidth="1"/>
    <col min="6" max="6" width="12.724175347222221" style="33" bestFit="1" customWidth="1"/>
    <col min="7" max="7" width="16.835286458333332" style="35" customWidth="1"/>
    <col min="8" max="8" width="6.446397569444445" style="33" bestFit="1" customWidth="1"/>
    <col min="9" max="9" width="10.279730902777779" style="33" bestFit="1" customWidth="1"/>
    <col min="10" max="11" width="11.724175347222221" style="33" hidden="1" customWidth="1"/>
    <col min="12" max="12" width="6.279730902777778" style="33" customWidth="1"/>
    <col min="13" max="13" width="11.557508680555555" style="33" bestFit="1" customWidth="1"/>
    <col min="14" max="14" width="30.446397569444443" style="33" customWidth="1"/>
    <col min="15" max="15" width="14.279730902777779" style="33" bestFit="1" customWidth="1"/>
    <col min="16" max="18" width="14.724175347222221" style="33" customWidth="1"/>
    <col min="19" max="19" width="9.446397569444445" style="33" hidden="1" customWidth="1"/>
    <col min="20" max="16384" width="9.168619791666666" style="33"/>
  </cols>
  <sheetData>
    <row r="1">
      <c r="A1" s="143" t="s">
        <v>20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</row>
    <row r="2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</row>
    <row r="3" ht="6.75" customHeight="1"/>
    <row r="4" ht="15.75">
      <c r="A4" s="36" t="s">
        <v>16</v>
      </c>
      <c r="B4" s="156" t="s">
        <v>35</v>
      </c>
      <c r="C4" s="156"/>
    </row>
    <row r="5" ht="15.75">
      <c r="A5" s="36" t="s">
        <v>15</v>
      </c>
      <c r="B5" s="156">
        <v>2019.0</v>
      </c>
      <c r="C5" s="156"/>
      <c r="G5" s="159"/>
      <c r="H5" s="161"/>
      <c r="I5" s="160"/>
    </row>
    <row r="6" ht="3.75" customHeight="1">
      <c r="A6" s="36"/>
      <c r="B6" s="4"/>
      <c r="C6" s="4"/>
      <c r="G6" s="158"/>
      <c r="H6" s="160"/>
      <c r="I6" s="160"/>
    </row>
    <row r="7" ht="15.75">
      <c r="A7" s="36" t="s">
        <v>42</v>
      </c>
      <c r="B7" s="156"/>
      <c r="C7" s="156"/>
    </row>
    <row r="8" ht="6.75" customHeight="1">
      <c r="A8" s="37"/>
    </row>
    <row r="9" customHeight="1">
      <c r="A9" s="142" t="s">
        <v>25</v>
      </c>
      <c r="B9" s="142"/>
      <c r="C9" s="142"/>
      <c r="D9" s="142"/>
      <c r="E9" s="142"/>
      <c r="F9" s="142"/>
      <c r="G9" s="142"/>
      <c r="H9" s="144" t="str">
        <f>LEFT($B$4,3)&amp;"/"&amp;RIGHT($B$5,2)</f>
        <v>Jun/19</v>
      </c>
      <c r="I9" s="144"/>
      <c r="M9" s="147" t="s">
        <v>59</v>
      </c>
      <c r="N9" s="147"/>
      <c r="O9" s="147"/>
      <c r="P9" s="147"/>
      <c r="Q9" s="145" t="str">
        <f>LEFT($B$4,3)&amp;"/"&amp;RIGHT($B$5,2)</f>
        <v>Jun/19</v>
      </c>
      <c r="R9" s="145"/>
    </row>
    <row r="10" customHeight="1">
      <c r="A10" s="142"/>
      <c r="B10" s="142"/>
      <c r="C10" s="142"/>
      <c r="D10" s="142"/>
      <c r="E10" s="142"/>
      <c r="F10" s="142"/>
      <c r="G10" s="142"/>
      <c r="H10" s="144"/>
      <c r="I10" s="144"/>
      <c r="M10" s="147"/>
      <c r="N10" s="147"/>
      <c r="O10" s="147"/>
      <c r="P10" s="147"/>
      <c r="Q10" s="145"/>
      <c r="R10" s="145"/>
    </row>
    <row r="11" s="41" customFormat="1" ht="52.5" customHeight="1">
      <c r="A11" s="38" t="s">
        <v>0</v>
      </c>
      <c r="B11" s="38" t="s">
        <v>1</v>
      </c>
      <c r="C11" s="38" t="s">
        <v>2</v>
      </c>
      <c r="D11" s="38" t="s">
        <v>18</v>
      </c>
      <c r="E11" s="39" t="s">
        <v>3</v>
      </c>
      <c r="F11" s="38" t="s">
        <v>21</v>
      </c>
      <c r="G11" s="40" t="s">
        <v>11</v>
      </c>
      <c r="H11" s="38" t="s">
        <v>28</v>
      </c>
      <c r="I11" s="38" t="s">
        <v>9</v>
      </c>
      <c r="J11" s="41" t="s">
        <v>31</v>
      </c>
      <c r="K11" s="42" t="s">
        <v>29</v>
      </c>
      <c r="M11" s="43" t="s">
        <v>0</v>
      </c>
      <c r="N11" s="38" t="s">
        <v>13</v>
      </c>
      <c r="O11" s="43" t="s">
        <v>3</v>
      </c>
      <c r="P11" s="38" t="s">
        <v>26</v>
      </c>
      <c r="Q11" s="40" t="s">
        <v>11</v>
      </c>
      <c r="R11" s="38" t="s">
        <v>4</v>
      </c>
      <c r="S11" s="44" t="s">
        <v>14</v>
      </c>
    </row>
    <row r="12">
      <c r="A12" s="5"/>
      <c r="B12" s="6"/>
      <c r="C12" s="6"/>
      <c r="D12" s="6"/>
      <c r="E12" s="7"/>
      <c r="F12" s="6"/>
      <c r="G12" s="8"/>
      <c r="H12" s="6"/>
      <c r="I12" s="9"/>
      <c r="M12" s="21"/>
      <c r="N12" s="22"/>
      <c r="O12" s="23"/>
      <c r="P12" s="22"/>
      <c r="Q12" s="24"/>
      <c r="R12" s="25"/>
    </row>
    <row r="13">
      <c r="A13" s="10"/>
      <c r="B13" s="11"/>
      <c r="C13" s="11"/>
      <c r="D13" s="11"/>
      <c r="E13" s="12"/>
      <c r="F13" s="11"/>
      <c r="G13" s="13"/>
      <c r="H13" s="11"/>
      <c r="I13" s="14"/>
      <c r="M13" s="26"/>
      <c r="N13" s="11"/>
      <c r="O13" s="12"/>
      <c r="P13" s="11"/>
      <c r="Q13" s="13"/>
      <c r="R13" s="27"/>
    </row>
    <row r="14">
      <c r="A14" s="10"/>
      <c r="B14" s="11"/>
      <c r="C14" s="11"/>
      <c r="D14" s="11"/>
      <c r="E14" s="12"/>
      <c r="F14" s="11"/>
      <c r="G14" s="13"/>
      <c r="H14" s="11"/>
      <c r="I14" s="14"/>
      <c r="M14" s="26"/>
      <c r="N14" s="11"/>
      <c r="O14" s="12"/>
      <c r="P14" s="11"/>
      <c r="Q14" s="13"/>
      <c r="R14" s="27"/>
    </row>
    <row r="15">
      <c r="A15" s="15"/>
      <c r="B15" s="11"/>
      <c r="C15" s="11"/>
      <c r="D15" s="11"/>
      <c r="E15" s="12"/>
      <c r="F15" s="11"/>
      <c r="G15" s="13"/>
      <c r="H15" s="11"/>
      <c r="I15" s="14"/>
      <c r="M15" s="26"/>
      <c r="N15" s="11"/>
      <c r="O15" s="12"/>
      <c r="P15" s="11"/>
      <c r="Q15" s="13"/>
      <c r="R15" s="27"/>
    </row>
    <row r="16">
      <c r="A16" s="15"/>
      <c r="B16" s="11"/>
      <c r="C16" s="11"/>
      <c r="D16" s="11"/>
      <c r="E16" s="12"/>
      <c r="F16" s="11"/>
      <c r="G16" s="13"/>
      <c r="H16" s="11"/>
      <c r="I16" s="14"/>
      <c r="M16" s="26"/>
      <c r="N16" s="11"/>
      <c r="O16" s="12"/>
      <c r="P16" s="11"/>
      <c r="Q16" s="13"/>
      <c r="R16" s="27"/>
    </row>
    <row r="17">
      <c r="A17" s="15"/>
      <c r="B17" s="11"/>
      <c r="C17" s="11"/>
      <c r="D17" s="11"/>
      <c r="E17" s="12"/>
      <c r="F17" s="11"/>
      <c r="G17" s="13"/>
      <c r="H17" s="11"/>
      <c r="I17" s="14"/>
      <c r="M17" s="26"/>
      <c r="N17" s="11"/>
      <c r="O17" s="12"/>
      <c r="P17" s="11"/>
      <c r="Q17" s="13"/>
      <c r="R17" s="27"/>
    </row>
    <row r="18">
      <c r="A18" s="15"/>
      <c r="B18" s="11"/>
      <c r="C18" s="11"/>
      <c r="D18" s="11"/>
      <c r="E18" s="12"/>
      <c r="F18" s="11"/>
      <c r="G18" s="13"/>
      <c r="H18" s="11"/>
      <c r="I18" s="14"/>
      <c r="M18" s="26"/>
      <c r="N18" s="11"/>
      <c r="O18" s="12"/>
      <c r="P18" s="11"/>
      <c r="Q18" s="13"/>
      <c r="R18" s="27"/>
    </row>
    <row r="19">
      <c r="A19" s="15"/>
      <c r="B19" s="11"/>
      <c r="C19" s="11"/>
      <c r="D19" s="11"/>
      <c r="E19" s="12"/>
      <c r="F19" s="11"/>
      <c r="G19" s="13"/>
      <c r="H19" s="11"/>
      <c r="I19" s="14"/>
      <c r="M19" s="26"/>
      <c r="N19" s="11"/>
      <c r="O19" s="12"/>
      <c r="P19" s="11"/>
      <c r="Q19" s="13"/>
      <c r="R19" s="27"/>
      <c r="S19" s="45"/>
    </row>
    <row r="20">
      <c r="A20" s="15"/>
      <c r="B20" s="11"/>
      <c r="C20" s="11"/>
      <c r="D20" s="11"/>
      <c r="E20" s="12"/>
      <c r="F20" s="11"/>
      <c r="G20" s="13"/>
      <c r="H20" s="11"/>
      <c r="I20" s="14"/>
      <c r="J20" s="33" t="str">
        <f>IFERROR(LEFT(G20,SEARCH("/",G20)-1)*1,"-")</f>
        <v>-</v>
      </c>
      <c r="K20" s="33" t="s">
        <v>92</v>
      </c>
      <c r="M20" s="26"/>
      <c r="N20" s="11"/>
      <c r="O20" s="12"/>
      <c r="P20" s="11"/>
      <c r="Q20" s="13"/>
      <c r="R20" s="27"/>
      <c r="S20" s="45" t="str">
        <f>IFERROR(LEFT(Q20,SEARCH("/",Q20)-1)*1,"-")</f>
        <v>-</v>
      </c>
    </row>
    <row r="21">
      <c r="A21" s="15"/>
      <c r="B21" s="11"/>
      <c r="C21" s="11"/>
      <c r="D21" s="11"/>
      <c r="E21" s="12"/>
      <c r="F21" s="11"/>
      <c r="G21" s="13"/>
      <c r="H21" s="11"/>
      <c r="I21" s="14"/>
      <c r="J21" s="33" t="str">
        <f>IFERROR(LEFT(G21,SEARCH("/",G21)-1)*1,"-")</f>
        <v>-</v>
      </c>
      <c r="K21" s="33" t="s">
        <v>92</v>
      </c>
      <c r="M21" s="26"/>
      <c r="N21" s="11"/>
      <c r="O21" s="12"/>
      <c r="P21" s="11"/>
      <c r="Q21" s="13"/>
      <c r="R21" s="27"/>
      <c r="S21" s="45" t="str">
        <f>IFERROR(LEFT(Q21,SEARCH("/",Q21)-1)*1,"-")</f>
        <v>-</v>
      </c>
    </row>
    <row r="22">
      <c r="A22" s="15"/>
      <c r="B22" s="11"/>
      <c r="C22" s="11"/>
      <c r="D22" s="11"/>
      <c r="E22" s="12"/>
      <c r="F22" s="11"/>
      <c r="G22" s="13"/>
      <c r="H22" s="11"/>
      <c r="I22" s="14"/>
      <c r="J22" s="33" t="str">
        <f>IFERROR(LEFT(G22,SEARCH("/",G22)-1)*1,"-")</f>
        <v>-</v>
      </c>
      <c r="K22" s="45" t="s">
        <v>92</v>
      </c>
      <c r="M22" s="26"/>
      <c r="N22" s="11"/>
      <c r="O22" s="12"/>
      <c r="P22" s="11"/>
      <c r="Q22" s="13"/>
      <c r="R22" s="27"/>
      <c r="S22" s="45" t="str">
        <f>IFERROR(LEFT(Q22,SEARCH("/",Q22)-1)*1,"-")</f>
        <v>-</v>
      </c>
    </row>
    <row r="23">
      <c r="A23" s="15"/>
      <c r="B23" s="11"/>
      <c r="C23" s="11"/>
      <c r="D23" s="11"/>
      <c r="E23" s="12"/>
      <c r="F23" s="11"/>
      <c r="G23" s="13"/>
      <c r="H23" s="11"/>
      <c r="I23" s="14"/>
      <c r="J23" s="33" t="str">
        <f>IFERROR(LEFT(G23,SEARCH("/",G23)-1)*1,"-")</f>
        <v>-</v>
      </c>
      <c r="K23" s="45" t="s">
        <v>92</v>
      </c>
      <c r="M23" s="26"/>
      <c r="N23" s="11"/>
      <c r="O23" s="12"/>
      <c r="P23" s="11"/>
      <c r="Q23" s="13"/>
      <c r="R23" s="27"/>
      <c r="S23" s="45" t="str">
        <f>IFERROR(LEFT(Q23,SEARCH("/",Q23)-1)*1,"-")</f>
        <v>-</v>
      </c>
    </row>
    <row r="24">
      <c r="A24" s="15"/>
      <c r="B24" s="11"/>
      <c r="C24" s="11"/>
      <c r="D24" s="11"/>
      <c r="E24" s="12"/>
      <c r="F24" s="11"/>
      <c r="G24" s="13"/>
      <c r="H24" s="11"/>
      <c r="I24" s="14"/>
      <c r="J24" s="33" t="str">
        <f>IFERROR(LEFT(G24,SEARCH("/",G24)-1)*1,"-")</f>
        <v>-</v>
      </c>
      <c r="K24" s="45" t="s">
        <v>92</v>
      </c>
      <c r="L24" s="46"/>
      <c r="M24" s="26"/>
      <c r="N24" s="11"/>
      <c r="O24" s="12"/>
      <c r="P24" s="11"/>
      <c r="Q24" s="13"/>
      <c r="R24" s="27"/>
      <c r="S24" s="45" t="str">
        <f>IFERROR(LEFT(Q24,SEARCH("/",Q24)-1)*1,"-")</f>
        <v>-</v>
      </c>
    </row>
    <row r="25">
      <c r="A25" s="15"/>
      <c r="B25" s="11"/>
      <c r="C25" s="11"/>
      <c r="D25" s="11"/>
      <c r="E25" s="12"/>
      <c r="F25" s="11"/>
      <c r="G25" s="13"/>
      <c r="H25" s="11"/>
      <c r="I25" s="14"/>
      <c r="J25" s="33" t="str">
        <f>IFERROR(LEFT(G25,SEARCH("/",G25)-1)*1,"-")</f>
        <v>-</v>
      </c>
      <c r="K25" s="45" t="s">
        <v>92</v>
      </c>
      <c r="L25" s="46"/>
      <c r="M25" s="26"/>
      <c r="N25" s="11"/>
      <c r="O25" s="12"/>
      <c r="P25" s="11"/>
      <c r="Q25" s="13"/>
      <c r="R25" s="27"/>
      <c r="S25" s="45" t="str">
        <f>IFERROR(LEFT(Q25,SEARCH("/",Q25)-1)*1,"-")</f>
        <v>-</v>
      </c>
    </row>
    <row r="26">
      <c r="A26" s="15"/>
      <c r="B26" s="11"/>
      <c r="C26" s="11"/>
      <c r="D26" s="11"/>
      <c r="E26" s="12"/>
      <c r="F26" s="11"/>
      <c r="G26" s="13"/>
      <c r="H26" s="11"/>
      <c r="I26" s="14"/>
      <c r="J26" s="33" t="str">
        <f>IFERROR(LEFT(G26,SEARCH("/",G26)-1)*1,"-")</f>
        <v>-</v>
      </c>
      <c r="K26" s="45" t="s">
        <v>92</v>
      </c>
      <c r="L26" s="46"/>
      <c r="M26" s="26"/>
      <c r="N26" s="11"/>
      <c r="O26" s="12"/>
      <c r="P26" s="11"/>
      <c r="Q26" s="13"/>
      <c r="R26" s="27"/>
      <c r="S26" s="45" t="str">
        <f>IFERROR(LEFT(Q26,SEARCH("/",Q26)-1)*1,"-")</f>
        <v>-</v>
      </c>
    </row>
    <row r="27">
      <c r="A27" s="15"/>
      <c r="B27" s="11"/>
      <c r="C27" s="11"/>
      <c r="D27" s="11"/>
      <c r="E27" s="12"/>
      <c r="F27" s="11"/>
      <c r="G27" s="13"/>
      <c r="H27" s="11"/>
      <c r="I27" s="14"/>
      <c r="J27" s="33" t="str">
        <f>IFERROR(LEFT(G27,SEARCH("/",G27)-1)*1,"-")</f>
        <v>-</v>
      </c>
      <c r="K27" s="45" t="s">
        <v>92</v>
      </c>
      <c r="M27" s="26"/>
      <c r="N27" s="11"/>
      <c r="O27" s="12"/>
      <c r="P27" s="11"/>
      <c r="Q27" s="13"/>
      <c r="R27" s="27"/>
      <c r="S27" s="45" t="str">
        <f>IFERROR(LEFT(Q27,SEARCH("/",Q27)-1)*1,"-")</f>
        <v>-</v>
      </c>
    </row>
    <row r="28">
      <c r="A28" s="15"/>
      <c r="B28" s="11"/>
      <c r="C28" s="11"/>
      <c r="D28" s="11"/>
      <c r="E28" s="12"/>
      <c r="F28" s="11"/>
      <c r="G28" s="13"/>
      <c r="H28" s="11"/>
      <c r="I28" s="14"/>
      <c r="J28" s="33" t="str">
        <f>IFERROR(LEFT(G28,SEARCH("/",G28)-1)*1,"-")</f>
        <v>-</v>
      </c>
      <c r="K28" s="45" t="s">
        <v>92</v>
      </c>
      <c r="M28" s="26"/>
      <c r="N28" s="11"/>
      <c r="O28" s="12"/>
      <c r="P28" s="11"/>
      <c r="Q28" s="13"/>
      <c r="R28" s="27"/>
      <c r="S28" s="45" t="str">
        <f>IFERROR(LEFT(Q28,SEARCH("/",Q28)-1)*1,"-")</f>
        <v>-</v>
      </c>
    </row>
    <row r="29">
      <c r="A29" s="15"/>
      <c r="B29" s="11"/>
      <c r="C29" s="11"/>
      <c r="D29" s="11"/>
      <c r="E29" s="12"/>
      <c r="F29" s="11"/>
      <c r="G29" s="13"/>
      <c r="H29" s="11"/>
      <c r="I29" s="14"/>
      <c r="J29" s="33" t="str">
        <f>IFERROR(LEFT(G29,SEARCH("/",G29)-1)*1,"-")</f>
        <v>-</v>
      </c>
      <c r="K29" s="45" t="s">
        <v>92</v>
      </c>
      <c r="M29" s="26"/>
      <c r="N29" s="11"/>
      <c r="O29" s="12"/>
      <c r="P29" s="11"/>
      <c r="Q29" s="13"/>
      <c r="R29" s="27"/>
      <c r="S29" s="45" t="str">
        <f>IFERROR(LEFT(Q29,SEARCH("/",Q29)-1)*1,"-")</f>
        <v>-</v>
      </c>
    </row>
    <row r="30">
      <c r="A30" s="15"/>
      <c r="B30" s="11"/>
      <c r="C30" s="11"/>
      <c r="D30" s="11"/>
      <c r="E30" s="12"/>
      <c r="F30" s="11"/>
      <c r="G30" s="13"/>
      <c r="H30" s="11"/>
      <c r="I30" s="14"/>
      <c r="J30" s="33" t="str">
        <f>IFERROR(LEFT(G30,SEARCH("/",G30)-1)*1,"-")</f>
        <v>-</v>
      </c>
      <c r="K30" s="45" t="s">
        <v>92</v>
      </c>
      <c r="M30" s="26"/>
      <c r="N30" s="11"/>
      <c r="O30" s="12"/>
      <c r="P30" s="11"/>
      <c r="Q30" s="13"/>
      <c r="R30" s="27"/>
      <c r="S30" s="45" t="str">
        <f>IFERROR(LEFT(Q30,SEARCH("/",Q30)-1)*1,"-")</f>
        <v>-</v>
      </c>
    </row>
    <row r="31">
      <c r="A31" s="15"/>
      <c r="B31" s="11"/>
      <c r="C31" s="11"/>
      <c r="D31" s="11"/>
      <c r="E31" s="12"/>
      <c r="F31" s="11"/>
      <c r="G31" s="13"/>
      <c r="H31" s="11"/>
      <c r="I31" s="14"/>
      <c r="J31" s="33" t="str">
        <f>IFERROR(LEFT(G31,SEARCH("/",G31)-1)*1,"-")</f>
        <v>-</v>
      </c>
      <c r="K31" s="45" t="s">
        <v>92</v>
      </c>
      <c r="M31" s="26"/>
      <c r="N31" s="11"/>
      <c r="O31" s="12"/>
      <c r="P31" s="11"/>
      <c r="Q31" s="13"/>
      <c r="R31" s="27"/>
      <c r="S31" s="33" t="str">
        <f>IFERROR(LEFT(Q31,SEARCH("/",Q31)-1)*1,"-")</f>
        <v>-</v>
      </c>
    </row>
    <row r="32">
      <c r="A32" s="15"/>
      <c r="B32" s="11"/>
      <c r="C32" s="11"/>
      <c r="D32" s="11"/>
      <c r="E32" s="12"/>
      <c r="F32" s="11"/>
      <c r="G32" s="13"/>
      <c r="H32" s="11"/>
      <c r="I32" s="14"/>
      <c r="J32" s="33" t="str">
        <f>IFERROR(LEFT(G32,SEARCH("/",G32)-1)*1,"-")</f>
        <v>-</v>
      </c>
      <c r="K32" s="45" t="s">
        <v>92</v>
      </c>
      <c r="M32" s="26"/>
      <c r="N32" s="11"/>
      <c r="O32" s="12"/>
      <c r="P32" s="11"/>
      <c r="Q32" s="13"/>
      <c r="R32" s="27"/>
      <c r="S32" s="33" t="str">
        <f>IFERROR(LEFT(Q32,SEARCH("/",Q32)-1)*1,"-")</f>
        <v>-</v>
      </c>
    </row>
    <row r="33">
      <c r="A33" s="15"/>
      <c r="B33" s="11"/>
      <c r="C33" s="11"/>
      <c r="D33" s="11"/>
      <c r="E33" s="12"/>
      <c r="F33" s="11"/>
      <c r="G33" s="13"/>
      <c r="H33" s="11"/>
      <c r="I33" s="14"/>
      <c r="J33" s="33" t="str">
        <f>IFERROR(LEFT(G33,SEARCH("/",G33)-1)*1,"-")</f>
        <v>-</v>
      </c>
      <c r="K33" s="45" t="s">
        <v>92</v>
      </c>
      <c r="M33" s="26"/>
      <c r="N33" s="11"/>
      <c r="O33" s="12"/>
      <c r="P33" s="11"/>
      <c r="Q33" s="13"/>
      <c r="R33" s="27"/>
      <c r="S33" s="45" t="str">
        <f>IFERROR(LEFT(Q33,SEARCH("/",Q33)-1)*1,"-")</f>
        <v>-</v>
      </c>
    </row>
    <row r="34">
      <c r="A34" s="16"/>
      <c r="B34" s="17"/>
      <c r="C34" s="17"/>
      <c r="D34" s="17"/>
      <c r="E34" s="18"/>
      <c r="F34" s="17"/>
      <c r="G34" s="19"/>
      <c r="H34" s="17"/>
      <c r="I34" s="20"/>
      <c r="J34" s="33" t="str">
        <f>IFERROR(LEFT(G34,SEARCH("/",G34)-1)*1,"-")</f>
        <v>-</v>
      </c>
      <c r="K34" s="33" t="s">
        <v>92</v>
      </c>
      <c r="M34" s="28"/>
      <c r="N34" s="29"/>
      <c r="O34" s="30"/>
      <c r="P34" s="29"/>
      <c r="Q34" s="31"/>
      <c r="R34" s="32"/>
      <c r="S34" s="45" t="str">
        <f>IFERROR(LEFT(Q34,SEARCH("/",Q34)-1)*1,"-")</f>
        <v>-</v>
      </c>
    </row>
    <row r="35" ht="15.75">
      <c r="A35" s="149" t="s">
        <v>22</v>
      </c>
      <c r="B35" s="148"/>
      <c r="C35" s="47" t="s">
        <v>23</v>
      </c>
      <c r="D35" s="48"/>
      <c r="E35" s="48"/>
      <c r="F35" s="129" t="s">
        <v>24</v>
      </c>
      <c r="G35" s="128"/>
      <c r="H35" s="128"/>
      <c r="I35" s="127"/>
      <c r="M35" s="139" t="s">
        <v>27</v>
      </c>
      <c r="N35" s="139"/>
      <c r="P35" s="157" t="s">
        <v>24</v>
      </c>
      <c r="Q35" s="157"/>
      <c r="R35" s="157"/>
    </row>
    <row r="36">
      <c r="A36" s="155">
        <f>SUMIF(Tabela1161820[mês],MONTH((H9*1)),(E12:E34))</f>
        <v>0.0</v>
      </c>
      <c r="B36" s="154"/>
      <c r="C36" s="126">
        <f>SUMIFS(E12:E34,I12:I34,"Sim",J12:J34,"&gt;1")</f>
        <v>0.0</v>
      </c>
      <c r="D36" s="49"/>
      <c r="E36" s="49"/>
      <c r="F36" s="138">
        <f>SUMIF(I12:I34,"Sim",E12:E34)</f>
        <v>0.0</v>
      </c>
      <c r="G36" s="137"/>
      <c r="H36" s="137"/>
      <c r="I36" s="136"/>
      <c r="M36" s="141">
        <f>SUM(Tabela3171921[Valor])</f>
        <v>0.0</v>
      </c>
      <c r="N36" s="140"/>
      <c r="O36" s="49"/>
      <c r="P36" s="146">
        <f>SUMIF(Tabela3171921[Pago],"Sim",Tabela3171921[Valor])</f>
        <v>0.0</v>
      </c>
      <c r="Q36" s="146"/>
      <c r="R36" s="146"/>
      <c r="S36" s="49"/>
    </row>
    <row r="37">
      <c r="A37" s="153"/>
      <c r="B37" s="152"/>
      <c r="C37" s="125"/>
      <c r="D37" s="49"/>
      <c r="E37" s="49"/>
      <c r="F37" s="135"/>
      <c r="G37" s="134"/>
      <c r="H37" s="134"/>
      <c r="I37" s="133"/>
      <c r="M37" s="140"/>
      <c r="N37" s="140"/>
      <c r="O37" s="49"/>
      <c r="P37" s="146"/>
      <c r="Q37" s="146"/>
      <c r="R37" s="146"/>
      <c r="S37" s="49"/>
    </row>
    <row r="38">
      <c r="A38" s="151"/>
      <c r="B38" s="150"/>
      <c r="C38" s="124"/>
      <c r="D38" s="49"/>
      <c r="E38" s="49"/>
      <c r="F38" s="132"/>
      <c r="G38" s="131"/>
      <c r="H38" s="131"/>
      <c r="I38" s="130"/>
      <c r="M38" s="140"/>
      <c r="N38" s="140"/>
      <c r="O38" s="49"/>
      <c r="P38" s="146"/>
      <c r="Q38" s="146"/>
      <c r="R38" s="146"/>
      <c r="S38" s="49"/>
    </row>
    <row r="39">
      <c r="B39" s="11"/>
      <c r="C39" s="50"/>
    </row>
    <row r="40">
      <c r="G40" s="33"/>
    </row>
    <row r="41">
      <c r="G41" s="33"/>
    </row>
    <row r="42">
      <c r="G42" s="33"/>
    </row>
    <row r="43">
      <c r="G43" s="33"/>
    </row>
    <row r="44">
      <c r="G44" s="33"/>
    </row>
    <row r="45">
      <c r="G45" s="33"/>
    </row>
    <row r="46">
      <c r="G46" s="33"/>
    </row>
  </sheetData>
  <mergeCells count="19">
    <mergeCell ref="B7:C7"/>
    <mergeCell ref="A1:R2"/>
    <mergeCell ref="B4:C4"/>
    <mergeCell ref="B5:C5"/>
    <mergeCell ref="G5:G6"/>
    <mergeCell ref="H5:I6"/>
    <mergeCell ref="A9:G10"/>
    <mergeCell ref="H9:I10"/>
    <mergeCell ref="M9:P10"/>
    <mergeCell ref="Q9:R10"/>
    <mergeCell ref="A35:B35"/>
    <mergeCell ref="F35:I35"/>
    <mergeCell ref="M35:N35"/>
    <mergeCell ref="P35:R35"/>
    <mergeCell ref="A36:B38"/>
    <mergeCell ref="C36:C38"/>
    <mergeCell ref="F36:I38"/>
    <mergeCell ref="M36:N38"/>
    <mergeCell ref="P36:R38"/>
  </mergeCells>
  <printOptions/>
  <pageMargins left="0.5054133862" right="0.5054133862" top="0.7775590553124999" bottom="0.7775590553124999" footer="0.31102361224999997" header="0.31102361224999997"/>
  <pageSetup paperSize="9" scale="10" orientation="landscape" copies="0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Planilha2">
    <outlinePr/>
    <pageSetUpPr fitToPage="1"/>
  </sheetPr>
  <dimension ref="A1:XFD46"/>
  <sheetViews>
    <sheetView workbookViewId="0" showGridLines="0" zoomScale="70" zoomScaleNormal="70" zoomScaleSheetLayoutView="60">
      <pane ySplit="11" topLeftCell="A12" activePane="bottomLeft" state="frozen"/>
      <selection activeCell="A12" sqref="A12"/>
      <selection pane="bottomLeft" activeCell="A12" sqref="A12"/>
    </sheetView>
  </sheetViews>
  <sheetFormatPr defaultRowHeight="15.0" customHeight="1"/>
  <cols>
    <col min="1" max="1" width="19.72417534722222" style="33" customWidth="1"/>
    <col min="2" max="2" width="9.557508680555555" style="33" customWidth="1"/>
    <col min="3" max="3" width="48.835286458333336" style="33" customWidth="1"/>
    <col min="4" max="4" width="8.835286458333334" style="33" bestFit="1" customWidth="1"/>
    <col min="5" max="5" width="14.835286458333334" style="34" bestFit="1" customWidth="1"/>
    <col min="6" max="6" width="12.724175347222221" style="33" bestFit="1" customWidth="1"/>
    <col min="7" max="7" width="16.835286458333332" style="35" customWidth="1"/>
    <col min="8" max="8" width="6.446397569444445" style="33" bestFit="1" customWidth="1"/>
    <col min="9" max="9" width="10.279730902777779" style="33" bestFit="1" customWidth="1"/>
    <col min="10" max="11" width="11.724175347222221" style="33" hidden="1" customWidth="1"/>
    <col min="12" max="12" width="6.279730902777778" style="33" customWidth="1"/>
    <col min="13" max="13" width="11.557508680555555" style="33" bestFit="1" customWidth="1"/>
    <col min="14" max="14" width="30.446397569444443" style="33" customWidth="1"/>
    <col min="15" max="15" width="14.279730902777779" style="33" bestFit="1" customWidth="1"/>
    <col min="16" max="18" width="14.724175347222221" style="33" customWidth="1"/>
    <col min="19" max="19" width="9.446397569444445" style="33" hidden="1" customWidth="1"/>
    <col min="20" max="16384" width="9.168619791666666" style="33"/>
  </cols>
  <sheetData>
    <row r="1">
      <c r="A1" s="143" t="s">
        <v>20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</row>
    <row r="2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</row>
    <row r="3" ht="6.75" customHeight="1"/>
    <row r="4" ht="15.75">
      <c r="A4" s="36" t="s">
        <v>16</v>
      </c>
      <c r="B4" s="156" t="s">
        <v>36</v>
      </c>
      <c r="C4" s="156"/>
    </row>
    <row r="5" ht="15.75">
      <c r="A5" s="36" t="s">
        <v>15</v>
      </c>
      <c r="B5" s="156">
        <v>2019.0</v>
      </c>
      <c r="C5" s="156"/>
      <c r="G5" s="159"/>
      <c r="H5" s="161"/>
      <c r="I5" s="160"/>
    </row>
    <row r="6" ht="3.75" customHeight="1">
      <c r="A6" s="36"/>
      <c r="B6" s="4"/>
      <c r="C6" s="4"/>
      <c r="G6" s="158"/>
      <c r="H6" s="160"/>
      <c r="I6" s="160"/>
    </row>
    <row r="7" ht="15.75">
      <c r="A7" s="36" t="s">
        <v>42</v>
      </c>
      <c r="B7" s="156"/>
      <c r="C7" s="156"/>
    </row>
    <row r="8" ht="6.75" customHeight="1">
      <c r="A8" s="37"/>
    </row>
    <row r="9" customHeight="1">
      <c r="A9" s="142" t="s">
        <v>25</v>
      </c>
      <c r="B9" s="142"/>
      <c r="C9" s="142"/>
      <c r="D9" s="142"/>
      <c r="E9" s="142"/>
      <c r="F9" s="142"/>
      <c r="G9" s="142"/>
      <c r="H9" s="144" t="str">
        <f>LEFT($B$4,3)&amp;"/"&amp;RIGHT($B$5,2)</f>
        <v>Jul/19</v>
      </c>
      <c r="I9" s="144"/>
      <c r="M9" s="147" t="s">
        <v>59</v>
      </c>
      <c r="N9" s="147"/>
      <c r="O9" s="147"/>
      <c r="P9" s="147"/>
      <c r="Q9" s="145" t="str">
        <f>LEFT($B$4,3)&amp;"/"&amp;RIGHT($B$5,2)</f>
        <v>Jul/19</v>
      </c>
      <c r="R9" s="145"/>
    </row>
    <row r="10" customHeight="1">
      <c r="A10" s="142"/>
      <c r="B10" s="142"/>
      <c r="C10" s="142"/>
      <c r="D10" s="142"/>
      <c r="E10" s="142"/>
      <c r="F10" s="142"/>
      <c r="G10" s="142"/>
      <c r="H10" s="144"/>
      <c r="I10" s="144"/>
      <c r="M10" s="147"/>
      <c r="N10" s="147"/>
      <c r="O10" s="147"/>
      <c r="P10" s="147"/>
      <c r="Q10" s="145"/>
      <c r="R10" s="145"/>
    </row>
    <row r="11" s="41" customFormat="1" ht="52.5" customHeight="1">
      <c r="A11" s="38" t="s">
        <v>0</v>
      </c>
      <c r="B11" s="38" t="s">
        <v>1</v>
      </c>
      <c r="C11" s="38" t="s">
        <v>2</v>
      </c>
      <c r="D11" s="38" t="s">
        <v>18</v>
      </c>
      <c r="E11" s="39" t="s">
        <v>3</v>
      </c>
      <c r="F11" s="38" t="s">
        <v>21</v>
      </c>
      <c r="G11" s="40" t="s">
        <v>11</v>
      </c>
      <c r="H11" s="38" t="s">
        <v>28</v>
      </c>
      <c r="I11" s="38" t="s">
        <v>9</v>
      </c>
      <c r="J11" s="41" t="s">
        <v>31</v>
      </c>
      <c r="K11" s="42" t="s">
        <v>29</v>
      </c>
      <c r="M11" s="43" t="s">
        <v>0</v>
      </c>
      <c r="N11" s="38" t="s">
        <v>13</v>
      </c>
      <c r="O11" s="43" t="s">
        <v>3</v>
      </c>
      <c r="P11" s="38" t="s">
        <v>26</v>
      </c>
      <c r="Q11" s="40" t="s">
        <v>11</v>
      </c>
      <c r="R11" s="38" t="s">
        <v>4</v>
      </c>
      <c r="S11" s="44" t="s">
        <v>14</v>
      </c>
    </row>
    <row r="12">
      <c r="A12" s="5"/>
      <c r="B12" s="6"/>
      <c r="C12" s="6"/>
      <c r="D12" s="6"/>
      <c r="E12" s="7"/>
      <c r="F12" s="6"/>
      <c r="G12" s="8"/>
      <c r="H12" s="6"/>
      <c r="I12" s="9"/>
      <c r="M12" s="21"/>
      <c r="N12" s="22"/>
      <c r="O12" s="23"/>
      <c r="P12" s="22"/>
      <c r="Q12" s="24"/>
      <c r="R12" s="25"/>
    </row>
    <row r="13">
      <c r="A13" s="10"/>
      <c r="B13" s="11"/>
      <c r="C13" s="11"/>
      <c r="D13" s="11"/>
      <c r="E13" s="12"/>
      <c r="F13" s="11"/>
      <c r="G13" s="13"/>
      <c r="H13" s="11"/>
      <c r="I13" s="14"/>
      <c r="M13" s="26"/>
      <c r="N13" s="11"/>
      <c r="O13" s="12"/>
      <c r="P13" s="11"/>
      <c r="Q13" s="13"/>
      <c r="R13" s="27"/>
    </row>
    <row r="14">
      <c r="A14" s="10"/>
      <c r="B14" s="11"/>
      <c r="C14" s="11"/>
      <c r="D14" s="11"/>
      <c r="E14" s="12"/>
      <c r="F14" s="11"/>
      <c r="G14" s="13"/>
      <c r="H14" s="11"/>
      <c r="I14" s="14"/>
      <c r="M14" s="26"/>
      <c r="N14" s="11"/>
      <c r="O14" s="12"/>
      <c r="P14" s="11"/>
      <c r="Q14" s="13"/>
      <c r="R14" s="27"/>
    </row>
    <row r="15">
      <c r="A15" s="15"/>
      <c r="B15" s="11"/>
      <c r="C15" s="11"/>
      <c r="D15" s="11"/>
      <c r="E15" s="12"/>
      <c r="F15" s="11"/>
      <c r="G15" s="13"/>
      <c r="H15" s="11"/>
      <c r="I15" s="14"/>
      <c r="M15" s="26"/>
      <c r="N15" s="11"/>
      <c r="O15" s="12"/>
      <c r="P15" s="11"/>
      <c r="Q15" s="13"/>
      <c r="R15" s="27"/>
    </row>
    <row r="16">
      <c r="A16" s="15"/>
      <c r="B16" s="11"/>
      <c r="C16" s="11"/>
      <c r="D16" s="11"/>
      <c r="E16" s="12"/>
      <c r="F16" s="11"/>
      <c r="G16" s="13"/>
      <c r="H16" s="11"/>
      <c r="I16" s="14"/>
      <c r="M16" s="26"/>
      <c r="N16" s="11"/>
      <c r="O16" s="12"/>
      <c r="P16" s="11"/>
      <c r="Q16" s="13"/>
      <c r="R16" s="27"/>
    </row>
    <row r="17">
      <c r="A17" s="15"/>
      <c r="B17" s="11"/>
      <c r="C17" s="11"/>
      <c r="D17" s="11"/>
      <c r="E17" s="12"/>
      <c r="F17" s="11"/>
      <c r="G17" s="13"/>
      <c r="H17" s="11"/>
      <c r="I17" s="14"/>
      <c r="M17" s="26"/>
      <c r="N17" s="11"/>
      <c r="O17" s="12"/>
      <c r="P17" s="11"/>
      <c r="Q17" s="13"/>
      <c r="R17" s="27"/>
    </row>
    <row r="18">
      <c r="A18" s="15"/>
      <c r="B18" s="11"/>
      <c r="C18" s="11"/>
      <c r="D18" s="11"/>
      <c r="E18" s="12"/>
      <c r="F18" s="11"/>
      <c r="G18" s="13"/>
      <c r="H18" s="11"/>
      <c r="I18" s="14"/>
      <c r="M18" s="26"/>
      <c r="N18" s="11"/>
      <c r="O18" s="12"/>
      <c r="P18" s="11"/>
      <c r="Q18" s="13"/>
      <c r="R18" s="27"/>
    </row>
    <row r="19">
      <c r="A19" s="15"/>
      <c r="B19" s="11"/>
      <c r="C19" s="11"/>
      <c r="D19" s="11"/>
      <c r="E19" s="12"/>
      <c r="F19" s="11"/>
      <c r="G19" s="13"/>
      <c r="H19" s="11"/>
      <c r="I19" s="14"/>
      <c r="M19" s="26"/>
      <c r="N19" s="11"/>
      <c r="O19" s="12"/>
      <c r="P19" s="11"/>
      <c r="Q19" s="13"/>
      <c r="R19" s="27"/>
      <c r="S19" s="45"/>
    </row>
    <row r="20">
      <c r="A20" s="15"/>
      <c r="B20" s="11"/>
      <c r="C20" s="11"/>
      <c r="D20" s="11"/>
      <c r="E20" s="12"/>
      <c r="F20" s="11"/>
      <c r="G20" s="13"/>
      <c r="H20" s="11"/>
      <c r="I20" s="14"/>
      <c r="J20" s="33" t="str">
        <f>IFERROR(LEFT(G20,SEARCH("/",G20)-1)*1,"-")</f>
        <v>-</v>
      </c>
      <c r="K20" s="33" t="s">
        <v>92</v>
      </c>
      <c r="M20" s="26"/>
      <c r="N20" s="11"/>
      <c r="O20" s="12"/>
      <c r="P20" s="11"/>
      <c r="Q20" s="13"/>
      <c r="R20" s="27"/>
      <c r="S20" s="45" t="str">
        <f>IFERROR(LEFT(Q20,SEARCH("/",Q20)-1)*1,"-")</f>
        <v>-</v>
      </c>
    </row>
    <row r="21">
      <c r="A21" s="15"/>
      <c r="B21" s="11"/>
      <c r="C21" s="11"/>
      <c r="D21" s="11"/>
      <c r="E21" s="12"/>
      <c r="F21" s="11"/>
      <c r="G21" s="13"/>
      <c r="H21" s="11"/>
      <c r="I21" s="14"/>
      <c r="J21" s="33" t="str">
        <f>IFERROR(LEFT(G21,SEARCH("/",G21)-1)*1,"-")</f>
        <v>-</v>
      </c>
      <c r="K21" s="33" t="s">
        <v>92</v>
      </c>
      <c r="M21" s="26"/>
      <c r="N21" s="11"/>
      <c r="O21" s="12"/>
      <c r="P21" s="11"/>
      <c r="Q21" s="13"/>
      <c r="R21" s="27"/>
      <c r="S21" s="45" t="str">
        <f>IFERROR(LEFT(Q21,SEARCH("/",Q21)-1)*1,"-")</f>
        <v>-</v>
      </c>
    </row>
    <row r="22">
      <c r="A22" s="15"/>
      <c r="B22" s="11"/>
      <c r="C22" s="11"/>
      <c r="D22" s="11"/>
      <c r="E22" s="12"/>
      <c r="F22" s="11"/>
      <c r="G22" s="13"/>
      <c r="H22" s="11"/>
      <c r="I22" s="14"/>
      <c r="J22" s="33" t="str">
        <f>IFERROR(LEFT(G22,SEARCH("/",G22)-1)*1,"-")</f>
        <v>-</v>
      </c>
      <c r="K22" s="45" t="s">
        <v>92</v>
      </c>
      <c r="M22" s="26"/>
      <c r="N22" s="11"/>
      <c r="O22" s="12"/>
      <c r="P22" s="11"/>
      <c r="Q22" s="13"/>
      <c r="R22" s="27"/>
      <c r="S22" s="45" t="str">
        <f>IFERROR(LEFT(Q22,SEARCH("/",Q22)-1)*1,"-")</f>
        <v>-</v>
      </c>
    </row>
    <row r="23">
      <c r="A23" s="15"/>
      <c r="B23" s="11"/>
      <c r="C23" s="11"/>
      <c r="D23" s="11"/>
      <c r="E23" s="12"/>
      <c r="F23" s="11"/>
      <c r="G23" s="13"/>
      <c r="H23" s="11"/>
      <c r="I23" s="14"/>
      <c r="J23" s="33" t="str">
        <f>IFERROR(LEFT(G23,SEARCH("/",G23)-1)*1,"-")</f>
        <v>-</v>
      </c>
      <c r="K23" s="45" t="s">
        <v>92</v>
      </c>
      <c r="M23" s="26"/>
      <c r="N23" s="11"/>
      <c r="O23" s="12"/>
      <c r="P23" s="11"/>
      <c r="Q23" s="13"/>
      <c r="R23" s="27"/>
      <c r="S23" s="45" t="str">
        <f>IFERROR(LEFT(Q23,SEARCH("/",Q23)-1)*1,"-")</f>
        <v>-</v>
      </c>
    </row>
    <row r="24">
      <c r="A24" s="15"/>
      <c r="B24" s="11"/>
      <c r="C24" s="11"/>
      <c r="D24" s="11"/>
      <c r="E24" s="12"/>
      <c r="F24" s="11"/>
      <c r="G24" s="13"/>
      <c r="H24" s="11"/>
      <c r="I24" s="14"/>
      <c r="J24" s="33" t="str">
        <f>IFERROR(LEFT(G24,SEARCH("/",G24)-1)*1,"-")</f>
        <v>-</v>
      </c>
      <c r="K24" s="45" t="s">
        <v>92</v>
      </c>
      <c r="L24" s="46"/>
      <c r="M24" s="26"/>
      <c r="N24" s="11"/>
      <c r="O24" s="12"/>
      <c r="P24" s="11"/>
      <c r="Q24" s="13"/>
      <c r="R24" s="27"/>
      <c r="S24" s="45" t="str">
        <f>IFERROR(LEFT(Q24,SEARCH("/",Q24)-1)*1,"-")</f>
        <v>-</v>
      </c>
    </row>
    <row r="25">
      <c r="A25" s="15"/>
      <c r="B25" s="11"/>
      <c r="C25" s="11"/>
      <c r="D25" s="11"/>
      <c r="E25" s="12"/>
      <c r="F25" s="11"/>
      <c r="G25" s="13"/>
      <c r="H25" s="11"/>
      <c r="I25" s="14"/>
      <c r="J25" s="33" t="str">
        <f>IFERROR(LEFT(G25,SEARCH("/",G25)-1)*1,"-")</f>
        <v>-</v>
      </c>
      <c r="K25" s="45" t="s">
        <v>92</v>
      </c>
      <c r="L25" s="46"/>
      <c r="M25" s="26"/>
      <c r="N25" s="11"/>
      <c r="O25" s="12"/>
      <c r="P25" s="11"/>
      <c r="Q25" s="13"/>
      <c r="R25" s="27"/>
      <c r="S25" s="45" t="str">
        <f>IFERROR(LEFT(Q25,SEARCH("/",Q25)-1)*1,"-")</f>
        <v>-</v>
      </c>
    </row>
    <row r="26">
      <c r="A26" s="15"/>
      <c r="B26" s="11"/>
      <c r="C26" s="11"/>
      <c r="D26" s="11"/>
      <c r="E26" s="12"/>
      <c r="F26" s="11"/>
      <c r="G26" s="13"/>
      <c r="H26" s="11"/>
      <c r="I26" s="14"/>
      <c r="J26" s="33" t="str">
        <f>IFERROR(LEFT(G26,SEARCH("/",G26)-1)*1,"-")</f>
        <v>-</v>
      </c>
      <c r="K26" s="45" t="s">
        <v>92</v>
      </c>
      <c r="L26" s="46"/>
      <c r="M26" s="26"/>
      <c r="N26" s="11"/>
      <c r="O26" s="12"/>
      <c r="P26" s="11"/>
      <c r="Q26" s="13"/>
      <c r="R26" s="27"/>
      <c r="S26" s="45" t="str">
        <f>IFERROR(LEFT(Q26,SEARCH("/",Q26)-1)*1,"-")</f>
        <v>-</v>
      </c>
    </row>
    <row r="27">
      <c r="A27" s="15"/>
      <c r="B27" s="11"/>
      <c r="C27" s="11"/>
      <c r="D27" s="11"/>
      <c r="E27" s="12"/>
      <c r="F27" s="11"/>
      <c r="G27" s="13"/>
      <c r="H27" s="11"/>
      <c r="I27" s="14"/>
      <c r="J27" s="33" t="str">
        <f>IFERROR(LEFT(G27,SEARCH("/",G27)-1)*1,"-")</f>
        <v>-</v>
      </c>
      <c r="K27" s="45" t="s">
        <v>92</v>
      </c>
      <c r="M27" s="26"/>
      <c r="N27" s="11"/>
      <c r="O27" s="12"/>
      <c r="P27" s="11"/>
      <c r="Q27" s="13"/>
      <c r="R27" s="27"/>
      <c r="S27" s="45" t="str">
        <f>IFERROR(LEFT(Q27,SEARCH("/",Q27)-1)*1,"-")</f>
        <v>-</v>
      </c>
    </row>
    <row r="28">
      <c r="A28" s="15"/>
      <c r="B28" s="11"/>
      <c r="C28" s="11"/>
      <c r="D28" s="11"/>
      <c r="E28" s="12"/>
      <c r="F28" s="11"/>
      <c r="G28" s="13"/>
      <c r="H28" s="11"/>
      <c r="I28" s="14"/>
      <c r="J28" s="33" t="str">
        <f>IFERROR(LEFT(G28,SEARCH("/",G28)-1)*1,"-")</f>
        <v>-</v>
      </c>
      <c r="K28" s="45" t="s">
        <v>92</v>
      </c>
      <c r="M28" s="26"/>
      <c r="N28" s="11"/>
      <c r="O28" s="12"/>
      <c r="P28" s="11"/>
      <c r="Q28" s="13"/>
      <c r="R28" s="27"/>
      <c r="S28" s="45" t="str">
        <f>IFERROR(LEFT(Q28,SEARCH("/",Q28)-1)*1,"-")</f>
        <v>-</v>
      </c>
    </row>
    <row r="29">
      <c r="A29" s="15"/>
      <c r="B29" s="11"/>
      <c r="C29" s="11"/>
      <c r="D29" s="11"/>
      <c r="E29" s="12"/>
      <c r="F29" s="11"/>
      <c r="G29" s="13"/>
      <c r="H29" s="11"/>
      <c r="I29" s="14"/>
      <c r="J29" s="33" t="str">
        <f>IFERROR(LEFT(G29,SEARCH("/",G29)-1)*1,"-")</f>
        <v>-</v>
      </c>
      <c r="K29" s="45" t="s">
        <v>92</v>
      </c>
      <c r="M29" s="26"/>
      <c r="N29" s="11"/>
      <c r="O29" s="12"/>
      <c r="P29" s="11"/>
      <c r="Q29" s="13"/>
      <c r="R29" s="27"/>
      <c r="S29" s="45" t="str">
        <f>IFERROR(LEFT(Q29,SEARCH("/",Q29)-1)*1,"-")</f>
        <v>-</v>
      </c>
    </row>
    <row r="30">
      <c r="A30" s="15"/>
      <c r="B30" s="11"/>
      <c r="C30" s="11"/>
      <c r="D30" s="11"/>
      <c r="E30" s="12"/>
      <c r="F30" s="11"/>
      <c r="G30" s="13"/>
      <c r="H30" s="11"/>
      <c r="I30" s="14"/>
      <c r="J30" s="33" t="str">
        <f>IFERROR(LEFT(G30,SEARCH("/",G30)-1)*1,"-")</f>
        <v>-</v>
      </c>
      <c r="K30" s="45" t="s">
        <v>92</v>
      </c>
      <c r="M30" s="26"/>
      <c r="N30" s="11"/>
      <c r="O30" s="12"/>
      <c r="P30" s="11"/>
      <c r="Q30" s="13"/>
      <c r="R30" s="27"/>
      <c r="S30" s="45" t="str">
        <f>IFERROR(LEFT(Q30,SEARCH("/",Q30)-1)*1,"-")</f>
        <v>-</v>
      </c>
    </row>
    <row r="31">
      <c r="A31" s="15"/>
      <c r="B31" s="11"/>
      <c r="C31" s="11"/>
      <c r="D31" s="11"/>
      <c r="E31" s="12"/>
      <c r="F31" s="11"/>
      <c r="G31" s="13"/>
      <c r="H31" s="11"/>
      <c r="I31" s="14"/>
      <c r="J31" s="33" t="str">
        <f>IFERROR(LEFT(G31,SEARCH("/",G31)-1)*1,"-")</f>
        <v>-</v>
      </c>
      <c r="K31" s="45" t="s">
        <v>92</v>
      </c>
      <c r="M31" s="26"/>
      <c r="N31" s="11"/>
      <c r="O31" s="12"/>
      <c r="P31" s="11"/>
      <c r="Q31" s="13"/>
      <c r="R31" s="27"/>
      <c r="S31" s="33" t="str">
        <f>IFERROR(LEFT(Q31,SEARCH("/",Q31)-1)*1,"-")</f>
        <v>-</v>
      </c>
    </row>
    <row r="32">
      <c r="A32" s="15"/>
      <c r="B32" s="11"/>
      <c r="C32" s="11"/>
      <c r="D32" s="11"/>
      <c r="E32" s="12"/>
      <c r="F32" s="11"/>
      <c r="G32" s="13"/>
      <c r="H32" s="11"/>
      <c r="I32" s="14"/>
      <c r="J32" s="33" t="str">
        <f>IFERROR(LEFT(G32,SEARCH("/",G32)-1)*1,"-")</f>
        <v>-</v>
      </c>
      <c r="K32" s="45" t="s">
        <v>92</v>
      </c>
      <c r="M32" s="26"/>
      <c r="N32" s="11"/>
      <c r="O32" s="12"/>
      <c r="P32" s="11"/>
      <c r="Q32" s="13"/>
      <c r="R32" s="27"/>
      <c r="S32" s="33" t="str">
        <f>IFERROR(LEFT(Q32,SEARCH("/",Q32)-1)*1,"-")</f>
        <v>-</v>
      </c>
    </row>
    <row r="33">
      <c r="A33" s="15"/>
      <c r="B33" s="11"/>
      <c r="C33" s="11"/>
      <c r="D33" s="11"/>
      <c r="E33" s="12"/>
      <c r="F33" s="11"/>
      <c r="G33" s="13"/>
      <c r="H33" s="11"/>
      <c r="I33" s="14"/>
      <c r="J33" s="33" t="str">
        <f>IFERROR(LEFT(G33,SEARCH("/",G33)-1)*1,"-")</f>
        <v>-</v>
      </c>
      <c r="K33" s="45" t="s">
        <v>92</v>
      </c>
      <c r="M33" s="26"/>
      <c r="N33" s="11"/>
      <c r="O33" s="12"/>
      <c r="P33" s="11"/>
      <c r="Q33" s="13"/>
      <c r="R33" s="27"/>
      <c r="S33" s="45" t="str">
        <f>IFERROR(LEFT(Q33,SEARCH("/",Q33)-1)*1,"-")</f>
        <v>-</v>
      </c>
    </row>
    <row r="34">
      <c r="A34" s="16"/>
      <c r="B34" s="17"/>
      <c r="C34" s="17"/>
      <c r="D34" s="17"/>
      <c r="E34" s="18"/>
      <c r="F34" s="17"/>
      <c r="G34" s="19"/>
      <c r="H34" s="17"/>
      <c r="I34" s="20"/>
      <c r="J34" s="33" t="str">
        <f>IFERROR(LEFT(G34,SEARCH("/",G34)-1)*1,"-")</f>
        <v>-</v>
      </c>
      <c r="K34" s="33" t="s">
        <v>92</v>
      </c>
      <c r="M34" s="28"/>
      <c r="N34" s="29"/>
      <c r="O34" s="30"/>
      <c r="P34" s="29"/>
      <c r="Q34" s="31"/>
      <c r="R34" s="32"/>
      <c r="S34" s="45" t="str">
        <f>IFERROR(LEFT(Q34,SEARCH("/",Q34)-1)*1,"-")</f>
        <v>-</v>
      </c>
    </row>
    <row r="35" ht="15.75">
      <c r="A35" s="149" t="s">
        <v>22</v>
      </c>
      <c r="B35" s="148"/>
      <c r="C35" s="47" t="s">
        <v>23</v>
      </c>
      <c r="D35" s="48"/>
      <c r="E35" s="48"/>
      <c r="F35" s="129" t="s">
        <v>24</v>
      </c>
      <c r="G35" s="128"/>
      <c r="H35" s="128"/>
      <c r="I35" s="127"/>
      <c r="M35" s="139" t="s">
        <v>27</v>
      </c>
      <c r="N35" s="139"/>
      <c r="P35" s="157" t="s">
        <v>24</v>
      </c>
      <c r="Q35" s="157"/>
      <c r="R35" s="157"/>
    </row>
    <row r="36">
      <c r="A36" s="155">
        <f>SUMIF(Tabela116[mês],MONTH((H9*1)),(E12:E34))</f>
        <v>0.0</v>
      </c>
      <c r="B36" s="154"/>
      <c r="C36" s="126">
        <f>SUMIFS(E12:E34,I12:I34,"Sim",J12:J34,"&gt;1")</f>
        <v>0.0</v>
      </c>
      <c r="D36" s="49"/>
      <c r="E36" s="49"/>
      <c r="F36" s="138">
        <f>SUMIF(I12:I34,"Sim",E12:E34)</f>
        <v>0.0</v>
      </c>
      <c r="G36" s="137"/>
      <c r="H36" s="137"/>
      <c r="I36" s="136"/>
      <c r="M36" s="141">
        <f>SUM(Tabela317[Valor])</f>
        <v>0.0</v>
      </c>
      <c r="N36" s="140"/>
      <c r="O36" s="49"/>
      <c r="P36" s="146">
        <f>SUMIF(Tabela317[Pago],"Sim",Tabela317[Valor])</f>
        <v>0.0</v>
      </c>
      <c r="Q36" s="146"/>
      <c r="R36" s="146"/>
      <c r="S36" s="49"/>
    </row>
    <row r="37">
      <c r="A37" s="153"/>
      <c r="B37" s="152"/>
      <c r="C37" s="125"/>
      <c r="D37" s="49"/>
      <c r="E37" s="49"/>
      <c r="F37" s="135"/>
      <c r="G37" s="134"/>
      <c r="H37" s="134"/>
      <c r="I37" s="133"/>
      <c r="M37" s="140"/>
      <c r="N37" s="140"/>
      <c r="O37" s="49"/>
      <c r="P37" s="146"/>
      <c r="Q37" s="146"/>
      <c r="R37" s="146"/>
      <c r="S37" s="49"/>
    </row>
    <row r="38">
      <c r="A38" s="151"/>
      <c r="B38" s="150"/>
      <c r="C38" s="124"/>
      <c r="D38" s="49"/>
      <c r="E38" s="49"/>
      <c r="F38" s="132"/>
      <c r="G38" s="131"/>
      <c r="H38" s="131"/>
      <c r="I38" s="130"/>
      <c r="M38" s="140"/>
      <c r="N38" s="140"/>
      <c r="O38" s="49"/>
      <c r="P38" s="146"/>
      <c r="Q38" s="146"/>
      <c r="R38" s="146"/>
      <c r="S38" s="49"/>
    </row>
    <row r="39">
      <c r="B39" s="11"/>
      <c r="C39" s="50"/>
    </row>
    <row r="40">
      <c r="G40" s="33"/>
    </row>
    <row r="41">
      <c r="G41" s="33"/>
    </row>
    <row r="42">
      <c r="G42" s="33"/>
    </row>
    <row r="43">
      <c r="G43" s="33"/>
    </row>
    <row r="44">
      <c r="G44" s="33"/>
    </row>
    <row r="45">
      <c r="G45" s="33"/>
    </row>
    <row r="46">
      <c r="G46" s="33"/>
    </row>
  </sheetData>
  <mergeCells count="19">
    <mergeCell ref="B7:C7"/>
    <mergeCell ref="A1:R2"/>
    <mergeCell ref="B4:C4"/>
    <mergeCell ref="B5:C5"/>
    <mergeCell ref="G5:G6"/>
    <mergeCell ref="H5:I6"/>
    <mergeCell ref="A9:G10"/>
    <mergeCell ref="H9:I10"/>
    <mergeCell ref="M9:P10"/>
    <mergeCell ref="Q9:R10"/>
    <mergeCell ref="A35:B35"/>
    <mergeCell ref="F35:I35"/>
    <mergeCell ref="M35:N35"/>
    <mergeCell ref="P35:R35"/>
    <mergeCell ref="A36:B38"/>
    <mergeCell ref="C36:C38"/>
    <mergeCell ref="F36:I38"/>
    <mergeCell ref="M36:N38"/>
    <mergeCell ref="P36:R38"/>
  </mergeCells>
  <printOptions/>
  <pageMargins left="0.5054133862" right="0.5054133862" top="0.7775590553124999" bottom="0.7775590553124999" footer="0.31102361224999997" header="0.31102361224999997"/>
  <pageSetup paperSize="9" scale="10" orientation="landscape" copies="0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 codeName="Planilha3">
    <outlinePr/>
    <pageSetUpPr fitToPage="1"/>
  </sheetPr>
  <dimension ref="A1:XFD46"/>
  <sheetViews>
    <sheetView workbookViewId="0" showGridLines="0" zoomScale="70" zoomScaleNormal="70" zoomScaleSheetLayoutView="60">
      <pane ySplit="11" topLeftCell="A12" activePane="bottomLeft" state="frozen"/>
      <selection activeCell="A12" sqref="A12"/>
      <selection pane="bottomLeft" activeCell="A12" sqref="A12"/>
    </sheetView>
  </sheetViews>
  <sheetFormatPr defaultRowHeight="15.0" customHeight="1"/>
  <cols>
    <col min="1" max="1" width="19.72417534722222" style="33" customWidth="1"/>
    <col min="2" max="2" width="9.557508680555555" style="33" customWidth="1"/>
    <col min="3" max="3" width="48.835286458333336" style="33" customWidth="1"/>
    <col min="4" max="4" width="8.835286458333334" style="33" bestFit="1" customWidth="1"/>
    <col min="5" max="5" width="14.835286458333334" style="34" bestFit="1" customWidth="1"/>
    <col min="6" max="6" width="12.724175347222221" style="33" bestFit="1" customWidth="1"/>
    <col min="7" max="7" width="16.835286458333332" style="35" customWidth="1"/>
    <col min="8" max="8" width="6.446397569444445" style="33" bestFit="1" customWidth="1"/>
    <col min="9" max="9" width="10.279730902777779" style="33" bestFit="1" customWidth="1"/>
    <col min="10" max="11" width="11.724175347222221" style="33" hidden="1" customWidth="1"/>
    <col min="12" max="12" width="6.279730902777778" style="33" customWidth="1"/>
    <col min="13" max="13" width="11.557508680555555" style="33" bestFit="1" customWidth="1"/>
    <col min="14" max="14" width="30.446397569444443" style="33" customWidth="1"/>
    <col min="15" max="15" width="14.279730902777779" style="33" bestFit="1" customWidth="1"/>
    <col min="16" max="18" width="14.724175347222221" style="33" customWidth="1"/>
    <col min="19" max="19" width="9.446397569444445" style="33" hidden="1" customWidth="1"/>
    <col min="20" max="16384" width="9.168619791666666" style="33"/>
  </cols>
  <sheetData>
    <row r="1">
      <c r="A1" s="143" t="s">
        <v>20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</row>
    <row r="2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</row>
    <row r="3" ht="6.75" customHeight="1"/>
    <row r="4" ht="15.75">
      <c r="A4" s="36" t="s">
        <v>16</v>
      </c>
      <c r="B4" s="156" t="s">
        <v>37</v>
      </c>
      <c r="C4" s="156"/>
    </row>
    <row r="5" ht="15.75">
      <c r="A5" s="36" t="s">
        <v>15</v>
      </c>
      <c r="B5" s="156">
        <v>2019.0</v>
      </c>
      <c r="C5" s="156"/>
      <c r="G5" s="159"/>
      <c r="H5" s="161"/>
      <c r="I5" s="160"/>
    </row>
    <row r="6" ht="3.75" customHeight="1">
      <c r="A6" s="36"/>
      <c r="B6" s="4"/>
      <c r="C6" s="4"/>
      <c r="G6" s="158"/>
      <c r="H6" s="160"/>
      <c r="I6" s="160"/>
    </row>
    <row r="7" ht="15.75">
      <c r="A7" s="36" t="s">
        <v>42</v>
      </c>
      <c r="B7" s="156"/>
      <c r="C7" s="156"/>
    </row>
    <row r="8" ht="6.75" customHeight="1">
      <c r="A8" s="37"/>
    </row>
    <row r="9" customHeight="1">
      <c r="A9" s="142" t="s">
        <v>25</v>
      </c>
      <c r="B9" s="142"/>
      <c r="C9" s="142"/>
      <c r="D9" s="142"/>
      <c r="E9" s="142"/>
      <c r="F9" s="142"/>
      <c r="G9" s="142"/>
      <c r="H9" s="144" t="str">
        <f>LEFT($B$4,3)&amp;"/"&amp;RIGHT($B$5,2)</f>
        <v>Ago/19</v>
      </c>
      <c r="I9" s="144"/>
      <c r="M9" s="147" t="s">
        <v>59</v>
      </c>
      <c r="N9" s="147"/>
      <c r="O9" s="147"/>
      <c r="P9" s="147"/>
      <c r="Q9" s="145" t="str">
        <f>LEFT($B$4,3)&amp;"/"&amp;RIGHT($B$5,2)</f>
        <v>Ago/19</v>
      </c>
      <c r="R9" s="145"/>
    </row>
    <row r="10" customHeight="1">
      <c r="A10" s="142"/>
      <c r="B10" s="142"/>
      <c r="C10" s="142"/>
      <c r="D10" s="142"/>
      <c r="E10" s="142"/>
      <c r="F10" s="142"/>
      <c r="G10" s="142"/>
      <c r="H10" s="144"/>
      <c r="I10" s="144"/>
      <c r="M10" s="147"/>
      <c r="N10" s="147"/>
      <c r="O10" s="147"/>
      <c r="P10" s="147"/>
      <c r="Q10" s="145"/>
      <c r="R10" s="145"/>
    </row>
    <row r="11" s="41" customFormat="1" ht="52.5" customHeight="1">
      <c r="A11" s="38" t="s">
        <v>0</v>
      </c>
      <c r="B11" s="38" t="s">
        <v>1</v>
      </c>
      <c r="C11" s="38" t="s">
        <v>2</v>
      </c>
      <c r="D11" s="38" t="s">
        <v>18</v>
      </c>
      <c r="E11" s="39" t="s">
        <v>3</v>
      </c>
      <c r="F11" s="38" t="s">
        <v>21</v>
      </c>
      <c r="G11" s="40" t="s">
        <v>11</v>
      </c>
      <c r="H11" s="38" t="s">
        <v>28</v>
      </c>
      <c r="I11" s="38" t="s">
        <v>9</v>
      </c>
      <c r="J11" s="41" t="s">
        <v>31</v>
      </c>
      <c r="K11" s="42" t="s">
        <v>29</v>
      </c>
      <c r="M11" s="43" t="s">
        <v>0</v>
      </c>
      <c r="N11" s="38" t="s">
        <v>13</v>
      </c>
      <c r="O11" s="43" t="s">
        <v>3</v>
      </c>
      <c r="P11" s="38" t="s">
        <v>26</v>
      </c>
      <c r="Q11" s="40" t="s">
        <v>11</v>
      </c>
      <c r="R11" s="38" t="s">
        <v>4</v>
      </c>
      <c r="S11" s="44" t="s">
        <v>14</v>
      </c>
    </row>
    <row r="12">
      <c r="A12" s="5"/>
      <c r="B12" s="6"/>
      <c r="C12" s="6"/>
      <c r="D12" s="6"/>
      <c r="E12" s="7"/>
      <c r="F12" s="6"/>
      <c r="G12" s="8"/>
      <c r="H12" s="6"/>
      <c r="I12" s="9"/>
      <c r="M12" s="21"/>
      <c r="N12" s="22"/>
      <c r="O12" s="23"/>
      <c r="P12" s="22"/>
      <c r="Q12" s="24"/>
      <c r="R12" s="25"/>
    </row>
    <row r="13">
      <c r="A13" s="10"/>
      <c r="B13" s="11"/>
      <c r="C13" s="11"/>
      <c r="D13" s="11"/>
      <c r="E13" s="12"/>
      <c r="F13" s="11"/>
      <c r="G13" s="13"/>
      <c r="H13" s="11"/>
      <c r="I13" s="14"/>
      <c r="M13" s="26"/>
      <c r="N13" s="11"/>
      <c r="O13" s="12"/>
      <c r="P13" s="11"/>
      <c r="Q13" s="13"/>
      <c r="R13" s="27"/>
    </row>
    <row r="14">
      <c r="A14" s="10"/>
      <c r="B14" s="11"/>
      <c r="C14" s="11"/>
      <c r="D14" s="11"/>
      <c r="E14" s="12"/>
      <c r="F14" s="11"/>
      <c r="G14" s="13"/>
      <c r="H14" s="11"/>
      <c r="I14" s="14"/>
      <c r="M14" s="26"/>
      <c r="N14" s="11"/>
      <c r="O14" s="12"/>
      <c r="P14" s="11"/>
      <c r="Q14" s="13"/>
      <c r="R14" s="27"/>
    </row>
    <row r="15">
      <c r="A15" s="15"/>
      <c r="B15" s="11"/>
      <c r="C15" s="11"/>
      <c r="D15" s="11"/>
      <c r="E15" s="12"/>
      <c r="F15" s="11"/>
      <c r="G15" s="13"/>
      <c r="H15" s="11"/>
      <c r="I15" s="14"/>
      <c r="M15" s="26"/>
      <c r="N15" s="11"/>
      <c r="O15" s="12"/>
      <c r="P15" s="11"/>
      <c r="Q15" s="13"/>
      <c r="R15" s="27"/>
    </row>
    <row r="16">
      <c r="A16" s="15"/>
      <c r="B16" s="11"/>
      <c r="C16" s="11"/>
      <c r="D16" s="11"/>
      <c r="E16" s="12"/>
      <c r="F16" s="11"/>
      <c r="G16" s="13"/>
      <c r="H16" s="11"/>
      <c r="I16" s="14"/>
      <c r="M16" s="26"/>
      <c r="N16" s="11"/>
      <c r="O16" s="12"/>
      <c r="P16" s="11"/>
      <c r="Q16" s="13"/>
      <c r="R16" s="27"/>
    </row>
    <row r="17">
      <c r="A17" s="15"/>
      <c r="B17" s="11"/>
      <c r="C17" s="11"/>
      <c r="D17" s="11"/>
      <c r="E17" s="12"/>
      <c r="F17" s="11"/>
      <c r="G17" s="13"/>
      <c r="H17" s="11"/>
      <c r="I17" s="14"/>
      <c r="M17" s="26"/>
      <c r="N17" s="11"/>
      <c r="O17" s="12"/>
      <c r="P17" s="11"/>
      <c r="Q17" s="13"/>
      <c r="R17" s="27"/>
    </row>
    <row r="18">
      <c r="A18" s="15"/>
      <c r="B18" s="11"/>
      <c r="C18" s="11"/>
      <c r="D18" s="11"/>
      <c r="E18" s="12"/>
      <c r="F18" s="11"/>
      <c r="G18" s="13"/>
      <c r="H18" s="11"/>
      <c r="I18" s="14"/>
      <c r="M18" s="26"/>
      <c r="N18" s="11"/>
      <c r="O18" s="12"/>
      <c r="P18" s="11"/>
      <c r="Q18" s="13"/>
      <c r="R18" s="27"/>
    </row>
    <row r="19">
      <c r="A19" s="15"/>
      <c r="B19" s="11"/>
      <c r="C19" s="11"/>
      <c r="D19" s="11"/>
      <c r="E19" s="12"/>
      <c r="F19" s="11"/>
      <c r="G19" s="13"/>
      <c r="H19" s="11"/>
      <c r="I19" s="14"/>
      <c r="M19" s="26"/>
      <c r="N19" s="11"/>
      <c r="O19" s="12"/>
      <c r="P19" s="11"/>
      <c r="Q19" s="13"/>
      <c r="R19" s="27"/>
      <c r="S19" s="45"/>
    </row>
    <row r="20">
      <c r="A20" s="15"/>
      <c r="B20" s="11"/>
      <c r="C20" s="11"/>
      <c r="D20" s="11"/>
      <c r="E20" s="12"/>
      <c r="F20" s="11"/>
      <c r="G20" s="13"/>
      <c r="H20" s="11"/>
      <c r="I20" s="14"/>
      <c r="M20" s="26"/>
      <c r="N20" s="11"/>
      <c r="O20" s="12"/>
      <c r="P20" s="11"/>
      <c r="Q20" s="13"/>
      <c r="R20" s="27"/>
      <c r="S20" s="45"/>
    </row>
    <row r="21">
      <c r="A21" s="15"/>
      <c r="B21" s="11"/>
      <c r="C21" s="11"/>
      <c r="D21" s="11"/>
      <c r="E21" s="12"/>
      <c r="F21" s="11"/>
      <c r="G21" s="13"/>
      <c r="H21" s="11"/>
      <c r="I21" s="14"/>
      <c r="J21" s="33" t="str">
        <f>IFERROR(LEFT(G21,SEARCH("/",G21)-1)*1,"-")</f>
        <v>-</v>
      </c>
      <c r="K21" s="33" t="s">
        <v>92</v>
      </c>
      <c r="M21" s="26"/>
      <c r="N21" s="11"/>
      <c r="O21" s="12"/>
      <c r="P21" s="11"/>
      <c r="Q21" s="13"/>
      <c r="R21" s="27"/>
      <c r="S21" s="45" t="str">
        <f>IFERROR(LEFT(Q21,SEARCH("/",Q21)-1)*1,"-")</f>
        <v>-</v>
      </c>
    </row>
    <row r="22">
      <c r="A22" s="15"/>
      <c r="B22" s="11"/>
      <c r="C22" s="11"/>
      <c r="D22" s="11"/>
      <c r="E22" s="12"/>
      <c r="F22" s="11"/>
      <c r="G22" s="13"/>
      <c r="H22" s="11"/>
      <c r="I22" s="14"/>
      <c r="J22" s="33" t="str">
        <f>IFERROR(LEFT(G22,SEARCH("/",G22)-1)*1,"-")</f>
        <v>-</v>
      </c>
      <c r="K22" s="45" t="s">
        <v>92</v>
      </c>
      <c r="M22" s="26"/>
      <c r="N22" s="11"/>
      <c r="O22" s="12"/>
      <c r="P22" s="11"/>
      <c r="Q22" s="13"/>
      <c r="R22" s="27"/>
      <c r="S22" s="45" t="str">
        <f>IFERROR(LEFT(Q22,SEARCH("/",Q22)-1)*1,"-")</f>
        <v>-</v>
      </c>
    </row>
    <row r="23">
      <c r="A23" s="15"/>
      <c r="B23" s="11"/>
      <c r="C23" s="11"/>
      <c r="D23" s="11"/>
      <c r="E23" s="12"/>
      <c r="F23" s="11"/>
      <c r="G23" s="13"/>
      <c r="H23" s="11"/>
      <c r="I23" s="14"/>
      <c r="J23" s="33" t="str">
        <f>IFERROR(LEFT(G23,SEARCH("/",G23)-1)*1,"-")</f>
        <v>-</v>
      </c>
      <c r="K23" s="45" t="s">
        <v>92</v>
      </c>
      <c r="M23" s="26"/>
      <c r="N23" s="11"/>
      <c r="O23" s="12"/>
      <c r="P23" s="11"/>
      <c r="Q23" s="13"/>
      <c r="R23" s="27"/>
      <c r="S23" s="45" t="str">
        <f>IFERROR(LEFT(Q23,SEARCH("/",Q23)-1)*1,"-")</f>
        <v>-</v>
      </c>
    </row>
    <row r="24">
      <c r="A24" s="15"/>
      <c r="B24" s="11"/>
      <c r="C24" s="11"/>
      <c r="D24" s="11"/>
      <c r="E24" s="12"/>
      <c r="F24" s="11"/>
      <c r="G24" s="13"/>
      <c r="H24" s="11"/>
      <c r="I24" s="14"/>
      <c r="J24" s="33" t="str">
        <f>IFERROR(LEFT(G24,SEARCH("/",G24)-1)*1,"-")</f>
        <v>-</v>
      </c>
      <c r="K24" s="45" t="s">
        <v>92</v>
      </c>
      <c r="L24" s="46"/>
      <c r="M24" s="26"/>
      <c r="N24" s="11"/>
      <c r="O24" s="12"/>
      <c r="P24" s="11"/>
      <c r="Q24" s="13"/>
      <c r="R24" s="27"/>
      <c r="S24" s="45" t="str">
        <f>IFERROR(LEFT(Q24,SEARCH("/",Q24)-1)*1,"-")</f>
        <v>-</v>
      </c>
    </row>
    <row r="25">
      <c r="A25" s="15"/>
      <c r="B25" s="11"/>
      <c r="C25" s="11"/>
      <c r="D25" s="11"/>
      <c r="E25" s="12"/>
      <c r="F25" s="11"/>
      <c r="G25" s="13"/>
      <c r="H25" s="11"/>
      <c r="I25" s="14"/>
      <c r="J25" s="33" t="str">
        <f>IFERROR(LEFT(G25,SEARCH("/",G25)-1)*1,"-")</f>
        <v>-</v>
      </c>
      <c r="K25" s="45" t="s">
        <v>92</v>
      </c>
      <c r="L25" s="46"/>
      <c r="M25" s="26"/>
      <c r="N25" s="11"/>
      <c r="O25" s="12"/>
      <c r="P25" s="11"/>
      <c r="Q25" s="13"/>
      <c r="R25" s="27"/>
      <c r="S25" s="45" t="str">
        <f>IFERROR(LEFT(Q25,SEARCH("/",Q25)-1)*1,"-")</f>
        <v>-</v>
      </c>
    </row>
    <row r="26">
      <c r="A26" s="15"/>
      <c r="B26" s="11"/>
      <c r="C26" s="11"/>
      <c r="D26" s="11"/>
      <c r="E26" s="12"/>
      <c r="F26" s="11"/>
      <c r="G26" s="13"/>
      <c r="H26" s="11"/>
      <c r="I26" s="14"/>
      <c r="J26" s="33" t="str">
        <f>IFERROR(LEFT(G26,SEARCH("/",G26)-1)*1,"-")</f>
        <v>-</v>
      </c>
      <c r="K26" s="45" t="s">
        <v>92</v>
      </c>
      <c r="L26" s="46"/>
      <c r="M26" s="26"/>
      <c r="N26" s="11"/>
      <c r="O26" s="12"/>
      <c r="P26" s="11"/>
      <c r="Q26" s="13"/>
      <c r="R26" s="27"/>
      <c r="S26" s="45" t="str">
        <f>IFERROR(LEFT(Q26,SEARCH("/",Q26)-1)*1,"-")</f>
        <v>-</v>
      </c>
    </row>
    <row r="27">
      <c r="A27" s="15"/>
      <c r="B27" s="11"/>
      <c r="C27" s="11"/>
      <c r="D27" s="11"/>
      <c r="E27" s="12"/>
      <c r="F27" s="11"/>
      <c r="G27" s="13"/>
      <c r="H27" s="11"/>
      <c r="I27" s="14"/>
      <c r="J27" s="33" t="str">
        <f>IFERROR(LEFT(G27,SEARCH("/",G27)-1)*1,"-")</f>
        <v>-</v>
      </c>
      <c r="K27" s="45" t="s">
        <v>92</v>
      </c>
      <c r="M27" s="26"/>
      <c r="N27" s="11"/>
      <c r="O27" s="12"/>
      <c r="P27" s="11"/>
      <c r="Q27" s="13"/>
      <c r="R27" s="27"/>
      <c r="S27" s="45" t="str">
        <f>IFERROR(LEFT(Q27,SEARCH("/",Q27)-1)*1,"-")</f>
        <v>-</v>
      </c>
    </row>
    <row r="28">
      <c r="A28" s="15"/>
      <c r="B28" s="11"/>
      <c r="C28" s="11"/>
      <c r="D28" s="11"/>
      <c r="E28" s="12"/>
      <c r="F28" s="11"/>
      <c r="G28" s="13"/>
      <c r="H28" s="11"/>
      <c r="I28" s="14"/>
      <c r="J28" s="33" t="str">
        <f>IFERROR(LEFT(G28,SEARCH("/",G28)-1)*1,"-")</f>
        <v>-</v>
      </c>
      <c r="K28" s="45" t="s">
        <v>92</v>
      </c>
      <c r="M28" s="26"/>
      <c r="N28" s="11"/>
      <c r="O28" s="12"/>
      <c r="P28" s="11"/>
      <c r="Q28" s="13"/>
      <c r="R28" s="27"/>
      <c r="S28" s="45" t="str">
        <f>IFERROR(LEFT(Q28,SEARCH("/",Q28)-1)*1,"-")</f>
        <v>-</v>
      </c>
    </row>
    <row r="29">
      <c r="A29" s="15"/>
      <c r="B29" s="11"/>
      <c r="C29" s="11"/>
      <c r="D29" s="11"/>
      <c r="E29" s="12"/>
      <c r="F29" s="11"/>
      <c r="G29" s="13"/>
      <c r="H29" s="11"/>
      <c r="I29" s="14"/>
      <c r="J29" s="33" t="str">
        <f>IFERROR(LEFT(G29,SEARCH("/",G29)-1)*1,"-")</f>
        <v>-</v>
      </c>
      <c r="K29" s="45" t="s">
        <v>92</v>
      </c>
      <c r="M29" s="26"/>
      <c r="N29" s="11"/>
      <c r="O29" s="12"/>
      <c r="P29" s="11"/>
      <c r="Q29" s="13"/>
      <c r="R29" s="27"/>
      <c r="S29" s="45" t="str">
        <f>IFERROR(LEFT(Q29,SEARCH("/",Q29)-1)*1,"-")</f>
        <v>-</v>
      </c>
    </row>
    <row r="30">
      <c r="A30" s="15"/>
      <c r="B30" s="11"/>
      <c r="C30" s="11"/>
      <c r="D30" s="11"/>
      <c r="E30" s="12"/>
      <c r="F30" s="11"/>
      <c r="G30" s="13"/>
      <c r="H30" s="11"/>
      <c r="I30" s="14"/>
      <c r="J30" s="33" t="str">
        <f>IFERROR(LEFT(G30,SEARCH("/",G30)-1)*1,"-")</f>
        <v>-</v>
      </c>
      <c r="K30" s="45" t="s">
        <v>92</v>
      </c>
      <c r="M30" s="26"/>
      <c r="N30" s="11"/>
      <c r="O30" s="12"/>
      <c r="P30" s="11"/>
      <c r="Q30" s="13"/>
      <c r="R30" s="27"/>
      <c r="S30" s="45" t="str">
        <f>IFERROR(LEFT(Q30,SEARCH("/",Q30)-1)*1,"-")</f>
        <v>-</v>
      </c>
    </row>
    <row r="31">
      <c r="A31" s="15"/>
      <c r="B31" s="11"/>
      <c r="C31" s="11"/>
      <c r="D31" s="11"/>
      <c r="E31" s="12"/>
      <c r="F31" s="11"/>
      <c r="G31" s="13"/>
      <c r="H31" s="11"/>
      <c r="I31" s="14"/>
      <c r="J31" s="33" t="str">
        <f>IFERROR(LEFT(G31,SEARCH("/",G31)-1)*1,"-")</f>
        <v>-</v>
      </c>
      <c r="K31" s="45" t="s">
        <v>92</v>
      </c>
      <c r="M31" s="26"/>
      <c r="N31" s="11"/>
      <c r="O31" s="12"/>
      <c r="P31" s="11"/>
      <c r="Q31" s="13"/>
      <c r="R31" s="27"/>
      <c r="S31" s="33" t="str">
        <f>IFERROR(LEFT(Q31,SEARCH("/",Q31)-1)*1,"-")</f>
        <v>-</v>
      </c>
    </row>
    <row r="32">
      <c r="A32" s="15"/>
      <c r="B32" s="11"/>
      <c r="C32" s="11"/>
      <c r="D32" s="11"/>
      <c r="E32" s="12"/>
      <c r="F32" s="11"/>
      <c r="G32" s="13"/>
      <c r="H32" s="11"/>
      <c r="I32" s="14"/>
      <c r="J32" s="33" t="str">
        <f>IFERROR(LEFT(G32,SEARCH("/",G32)-1)*1,"-")</f>
        <v>-</v>
      </c>
      <c r="K32" s="45" t="s">
        <v>92</v>
      </c>
      <c r="M32" s="26"/>
      <c r="N32" s="11"/>
      <c r="O32" s="12"/>
      <c r="P32" s="11"/>
      <c r="Q32" s="13"/>
      <c r="R32" s="27"/>
      <c r="S32" s="33" t="str">
        <f>IFERROR(LEFT(Q32,SEARCH("/",Q32)-1)*1,"-")</f>
        <v>-</v>
      </c>
    </row>
    <row r="33">
      <c r="A33" s="15"/>
      <c r="B33" s="11"/>
      <c r="C33" s="11"/>
      <c r="D33" s="11"/>
      <c r="E33" s="12"/>
      <c r="F33" s="11"/>
      <c r="G33" s="13"/>
      <c r="H33" s="11"/>
      <c r="I33" s="14"/>
      <c r="J33" s="33" t="str">
        <f>IFERROR(LEFT(G33,SEARCH("/",G33)-1)*1,"-")</f>
        <v>-</v>
      </c>
      <c r="K33" s="45" t="s">
        <v>92</v>
      </c>
      <c r="M33" s="26"/>
      <c r="N33" s="11"/>
      <c r="O33" s="12"/>
      <c r="P33" s="11"/>
      <c r="Q33" s="13"/>
      <c r="R33" s="27"/>
      <c r="S33" s="45" t="str">
        <f>IFERROR(LEFT(Q33,SEARCH("/",Q33)-1)*1,"-")</f>
        <v>-</v>
      </c>
    </row>
    <row r="34">
      <c r="A34" s="16"/>
      <c r="B34" s="17"/>
      <c r="C34" s="17"/>
      <c r="D34" s="17"/>
      <c r="E34" s="18"/>
      <c r="F34" s="17"/>
      <c r="G34" s="19"/>
      <c r="H34" s="17"/>
      <c r="I34" s="20"/>
      <c r="J34" s="33" t="str">
        <f>IFERROR(LEFT(G34,SEARCH("/",G34)-1)*1,"-")</f>
        <v>-</v>
      </c>
      <c r="K34" s="33" t="s">
        <v>92</v>
      </c>
      <c r="M34" s="28"/>
      <c r="N34" s="29"/>
      <c r="O34" s="30"/>
      <c r="P34" s="29"/>
      <c r="Q34" s="31"/>
      <c r="R34" s="32"/>
      <c r="S34" s="45" t="str">
        <f>IFERROR(LEFT(Q34,SEARCH("/",Q34)-1)*1,"-")</f>
        <v>-</v>
      </c>
    </row>
    <row r="35" ht="15.75">
      <c r="A35" s="149" t="s">
        <v>22</v>
      </c>
      <c r="B35" s="148"/>
      <c r="C35" s="47" t="s">
        <v>23</v>
      </c>
      <c r="D35" s="48"/>
      <c r="E35" s="48"/>
      <c r="F35" s="129" t="s">
        <v>24</v>
      </c>
      <c r="G35" s="128"/>
      <c r="H35" s="128"/>
      <c r="I35" s="127"/>
      <c r="M35" s="139" t="s">
        <v>27</v>
      </c>
      <c r="N35" s="139"/>
      <c r="P35" s="157" t="s">
        <v>24</v>
      </c>
      <c r="Q35" s="157"/>
      <c r="R35" s="157"/>
    </row>
    <row r="36">
      <c r="A36" s="155">
        <f>SUMIF(Tabela11618[mês],MONTH((H9*1)),(E12:E34))</f>
        <v>0.0</v>
      </c>
      <c r="B36" s="154"/>
      <c r="C36" s="126">
        <f>SUMIFS(E12:E34,I12:I34,"Sim",J12:J34,"&gt;1")</f>
        <v>0.0</v>
      </c>
      <c r="D36" s="49"/>
      <c r="E36" s="49"/>
      <c r="F36" s="138">
        <f>SUMIF(I12:I34,"Sim",E12:E34)</f>
        <v>0.0</v>
      </c>
      <c r="G36" s="137"/>
      <c r="H36" s="137"/>
      <c r="I36" s="136"/>
      <c r="M36" s="141">
        <f>SUM(Tabela31719[Valor])</f>
        <v>0.0</v>
      </c>
      <c r="N36" s="140"/>
      <c r="O36" s="49"/>
      <c r="P36" s="146">
        <f>SUMIF(Tabela31719[Pago],"Sim",Tabela31719[Valor])</f>
        <v>0.0</v>
      </c>
      <c r="Q36" s="146"/>
      <c r="R36" s="146"/>
      <c r="S36" s="49"/>
    </row>
    <row r="37">
      <c r="A37" s="153"/>
      <c r="B37" s="152"/>
      <c r="C37" s="125"/>
      <c r="D37" s="49"/>
      <c r="E37" s="49"/>
      <c r="F37" s="135"/>
      <c r="G37" s="134"/>
      <c r="H37" s="134"/>
      <c r="I37" s="133"/>
      <c r="M37" s="140"/>
      <c r="N37" s="140"/>
      <c r="O37" s="49"/>
      <c r="P37" s="146"/>
      <c r="Q37" s="146"/>
      <c r="R37" s="146"/>
      <c r="S37" s="49"/>
    </row>
    <row r="38">
      <c r="A38" s="151"/>
      <c r="B38" s="150"/>
      <c r="C38" s="124"/>
      <c r="D38" s="49"/>
      <c r="E38" s="49"/>
      <c r="F38" s="132"/>
      <c r="G38" s="131"/>
      <c r="H38" s="131"/>
      <c r="I38" s="130"/>
      <c r="M38" s="140"/>
      <c r="N38" s="140"/>
      <c r="O38" s="49"/>
      <c r="P38" s="146"/>
      <c r="Q38" s="146"/>
      <c r="R38" s="146"/>
      <c r="S38" s="49"/>
    </row>
    <row r="39">
      <c r="B39" s="11"/>
      <c r="C39" s="50"/>
    </row>
    <row r="40">
      <c r="G40" s="33"/>
    </row>
    <row r="41">
      <c r="G41" s="33"/>
    </row>
    <row r="42">
      <c r="G42" s="33"/>
    </row>
    <row r="43">
      <c r="G43" s="33"/>
    </row>
    <row r="44">
      <c r="G44" s="33"/>
    </row>
    <row r="45">
      <c r="G45" s="33"/>
    </row>
    <row r="46">
      <c r="G46" s="33"/>
    </row>
  </sheetData>
  <mergeCells count="19">
    <mergeCell ref="B7:C7"/>
    <mergeCell ref="A1:R2"/>
    <mergeCell ref="B4:C4"/>
    <mergeCell ref="B5:C5"/>
    <mergeCell ref="G5:G6"/>
    <mergeCell ref="H5:I6"/>
    <mergeCell ref="A9:G10"/>
    <mergeCell ref="H9:I10"/>
    <mergeCell ref="M9:P10"/>
    <mergeCell ref="Q9:R10"/>
    <mergeCell ref="A35:B35"/>
    <mergeCell ref="F35:I35"/>
    <mergeCell ref="M35:N35"/>
    <mergeCell ref="P35:R35"/>
    <mergeCell ref="A36:B38"/>
    <mergeCell ref="C36:C38"/>
    <mergeCell ref="F36:I38"/>
    <mergeCell ref="M36:N38"/>
    <mergeCell ref="P36:R38"/>
  </mergeCells>
  <printOptions/>
  <pageMargins left="0.5054133862" right="0.5054133862" top="0.7775590553124999" bottom="0.7775590553124999" footer="0.31102361224999997" header="0.31102361224999997"/>
  <pageSetup paperSize="9" scale="10" orientation="landscape" copies="0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Planilha5">
    <outlinePr/>
    <pageSetUpPr fitToPage="1"/>
  </sheetPr>
  <dimension ref="A1:XFD46"/>
  <sheetViews>
    <sheetView workbookViewId="0" showGridLines="0" zoomScale="70" zoomScaleNormal="70" zoomScaleSheetLayoutView="60">
      <pane ySplit="11" topLeftCell="A12" activePane="bottomLeft" state="frozen"/>
      <selection activeCell="A12" sqref="A12"/>
      <selection pane="bottomLeft" activeCell="A12" sqref="A12"/>
    </sheetView>
  </sheetViews>
  <sheetFormatPr defaultRowHeight="15.0" customHeight="1"/>
  <cols>
    <col min="1" max="1" width="19.72417534722222" style="33" customWidth="1"/>
    <col min="2" max="2" width="9.557508680555555" style="33" customWidth="1"/>
    <col min="3" max="3" width="48.835286458333336" style="33" customWidth="1"/>
    <col min="4" max="4" width="8.835286458333334" style="33" bestFit="1" customWidth="1"/>
    <col min="5" max="5" width="14.835286458333334" style="34" bestFit="1" customWidth="1"/>
    <col min="6" max="6" width="12.724175347222221" style="33" bestFit="1" customWidth="1"/>
    <col min="7" max="7" width="16.835286458333332" style="35" customWidth="1"/>
    <col min="8" max="8" width="6.446397569444445" style="33" bestFit="1" customWidth="1"/>
    <col min="9" max="9" width="10.279730902777779" style="33" bestFit="1" customWidth="1"/>
    <col min="10" max="11" width="11.724175347222221" style="33" hidden="1" customWidth="1"/>
    <col min="12" max="12" width="6.279730902777778" style="33" customWidth="1"/>
    <col min="13" max="13" width="11.557508680555555" style="33" bestFit="1" customWidth="1"/>
    <col min="14" max="14" width="30.446397569444443" style="33" customWidth="1"/>
    <col min="15" max="15" width="14.279730902777779" style="33" bestFit="1" customWidth="1"/>
    <col min="16" max="18" width="14.724175347222221" style="33" customWidth="1"/>
    <col min="19" max="19" width="9.446397569444445" style="33" hidden="1" customWidth="1"/>
    <col min="20" max="16384" width="9.168619791666666" style="33"/>
  </cols>
  <sheetData>
    <row r="1">
      <c r="A1" s="143" t="s">
        <v>20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</row>
    <row r="2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</row>
    <row r="3" ht="6.75" customHeight="1"/>
    <row r="4" ht="15.75">
      <c r="A4" s="36" t="s">
        <v>16</v>
      </c>
      <c r="B4" s="156" t="s">
        <v>38</v>
      </c>
      <c r="C4" s="156"/>
    </row>
    <row r="5" ht="15.75">
      <c r="A5" s="36" t="s">
        <v>15</v>
      </c>
      <c r="B5" s="156">
        <v>2019.0</v>
      </c>
      <c r="C5" s="156"/>
      <c r="G5" s="159"/>
      <c r="H5" s="161"/>
      <c r="I5" s="160"/>
    </row>
    <row r="6" ht="3.75" customHeight="1">
      <c r="A6" s="36"/>
      <c r="B6" s="4"/>
      <c r="C6" s="4"/>
      <c r="G6" s="158"/>
      <c r="H6" s="160"/>
      <c r="I6" s="160"/>
    </row>
    <row r="7" ht="15.75">
      <c r="A7" s="36" t="s">
        <v>42</v>
      </c>
      <c r="B7" s="156"/>
      <c r="C7" s="156"/>
    </row>
    <row r="8" ht="6.75" customHeight="1">
      <c r="A8" s="37"/>
    </row>
    <row r="9" customHeight="1">
      <c r="A9" s="142" t="s">
        <v>25</v>
      </c>
      <c r="B9" s="142"/>
      <c r="C9" s="142"/>
      <c r="D9" s="142"/>
      <c r="E9" s="142"/>
      <c r="F9" s="142"/>
      <c r="G9" s="142"/>
      <c r="H9" s="144" t="str">
        <f>LEFT($B$4,3)&amp;"/"&amp;RIGHT($B$5,2)</f>
        <v>Set/19</v>
      </c>
      <c r="I9" s="144"/>
      <c r="M9" s="147" t="s">
        <v>59</v>
      </c>
      <c r="N9" s="147"/>
      <c r="O9" s="147"/>
      <c r="P9" s="147"/>
      <c r="Q9" s="145" t="str">
        <f>LEFT($B$4,3)&amp;"/"&amp;RIGHT($B$5,2)</f>
        <v>Set/19</v>
      </c>
      <c r="R9" s="145"/>
    </row>
    <row r="10" customHeight="1">
      <c r="A10" s="142"/>
      <c r="B10" s="142"/>
      <c r="C10" s="142"/>
      <c r="D10" s="142"/>
      <c r="E10" s="142"/>
      <c r="F10" s="142"/>
      <c r="G10" s="142"/>
      <c r="H10" s="144"/>
      <c r="I10" s="144"/>
      <c r="M10" s="147"/>
      <c r="N10" s="147"/>
      <c r="O10" s="147"/>
      <c r="P10" s="147"/>
      <c r="Q10" s="145"/>
      <c r="R10" s="145"/>
    </row>
    <row r="11" s="41" customFormat="1" ht="52.5" customHeight="1">
      <c r="A11" s="38" t="s">
        <v>0</v>
      </c>
      <c r="B11" s="38" t="s">
        <v>1</v>
      </c>
      <c r="C11" s="38" t="s">
        <v>2</v>
      </c>
      <c r="D11" s="38" t="s">
        <v>18</v>
      </c>
      <c r="E11" s="39" t="s">
        <v>3</v>
      </c>
      <c r="F11" s="38" t="s">
        <v>21</v>
      </c>
      <c r="G11" s="40" t="s">
        <v>11</v>
      </c>
      <c r="H11" s="38" t="s">
        <v>28</v>
      </c>
      <c r="I11" s="38" t="s">
        <v>9</v>
      </c>
      <c r="J11" s="41" t="s">
        <v>31</v>
      </c>
      <c r="K11" s="42" t="s">
        <v>29</v>
      </c>
      <c r="M11" s="43" t="s">
        <v>0</v>
      </c>
      <c r="N11" s="38" t="s">
        <v>13</v>
      </c>
      <c r="O11" s="43" t="s">
        <v>3</v>
      </c>
      <c r="P11" s="38" t="s">
        <v>26</v>
      </c>
      <c r="Q11" s="40" t="s">
        <v>11</v>
      </c>
      <c r="R11" s="38" t="s">
        <v>4</v>
      </c>
      <c r="S11" s="44" t="s">
        <v>14</v>
      </c>
    </row>
    <row r="12">
      <c r="A12" s="5"/>
      <c r="B12" s="6"/>
      <c r="C12" s="6"/>
      <c r="D12" s="6"/>
      <c r="E12" s="7"/>
      <c r="F12" s="6"/>
      <c r="G12" s="8"/>
      <c r="H12" s="6"/>
      <c r="I12" s="9"/>
      <c r="M12" s="21"/>
      <c r="N12" s="22"/>
      <c r="O12" s="23"/>
      <c r="P12" s="22"/>
      <c r="Q12" s="24"/>
      <c r="R12" s="25"/>
    </row>
    <row r="13">
      <c r="A13" s="10"/>
      <c r="B13" s="11"/>
      <c r="C13" s="11"/>
      <c r="D13" s="11"/>
      <c r="E13" s="12"/>
      <c r="F13" s="11"/>
      <c r="G13" s="13"/>
      <c r="H13" s="11"/>
      <c r="I13" s="14"/>
      <c r="M13" s="26"/>
      <c r="N13" s="11"/>
      <c r="O13" s="12"/>
      <c r="P13" s="11"/>
      <c r="Q13" s="13"/>
      <c r="R13" s="27"/>
    </row>
    <row r="14">
      <c r="A14" s="10"/>
      <c r="B14" s="11"/>
      <c r="C14" s="11"/>
      <c r="D14" s="11"/>
      <c r="E14" s="12"/>
      <c r="F14" s="11"/>
      <c r="G14" s="13"/>
      <c r="H14" s="11"/>
      <c r="I14" s="14"/>
      <c r="M14" s="26"/>
      <c r="N14" s="11"/>
      <c r="O14" s="12"/>
      <c r="P14" s="11"/>
      <c r="Q14" s="13"/>
      <c r="R14" s="27"/>
    </row>
    <row r="15">
      <c r="A15" s="15"/>
      <c r="B15" s="11"/>
      <c r="C15" s="11"/>
      <c r="D15" s="11"/>
      <c r="E15" s="12"/>
      <c r="F15" s="11"/>
      <c r="G15" s="13"/>
      <c r="H15" s="11"/>
      <c r="I15" s="14"/>
      <c r="M15" s="26"/>
      <c r="N15" s="11"/>
      <c r="O15" s="12"/>
      <c r="P15" s="11"/>
      <c r="Q15" s="13"/>
      <c r="R15" s="27"/>
    </row>
    <row r="16">
      <c r="A16" s="15"/>
      <c r="B16" s="11"/>
      <c r="C16" s="11"/>
      <c r="D16" s="11"/>
      <c r="E16" s="12"/>
      <c r="F16" s="11"/>
      <c r="G16" s="13"/>
      <c r="H16" s="11"/>
      <c r="I16" s="14"/>
      <c r="M16" s="26"/>
      <c r="N16" s="11"/>
      <c r="O16" s="12"/>
      <c r="P16" s="11"/>
      <c r="Q16" s="13"/>
      <c r="R16" s="27"/>
    </row>
    <row r="17">
      <c r="A17" s="15"/>
      <c r="B17" s="11"/>
      <c r="C17" s="11"/>
      <c r="D17" s="11"/>
      <c r="E17" s="12"/>
      <c r="F17" s="11"/>
      <c r="G17" s="13"/>
      <c r="H17" s="11"/>
      <c r="I17" s="14"/>
      <c r="M17" s="26"/>
      <c r="N17" s="11"/>
      <c r="O17" s="12"/>
      <c r="P17" s="11"/>
      <c r="Q17" s="13"/>
      <c r="R17" s="27"/>
    </row>
    <row r="18">
      <c r="A18" s="15"/>
      <c r="B18" s="11"/>
      <c r="C18" s="11"/>
      <c r="D18" s="11"/>
      <c r="E18" s="12"/>
      <c r="F18" s="11"/>
      <c r="G18" s="13"/>
      <c r="H18" s="11"/>
      <c r="I18" s="14"/>
      <c r="M18" s="26"/>
      <c r="N18" s="11"/>
      <c r="O18" s="12"/>
      <c r="P18" s="11"/>
      <c r="Q18" s="13"/>
      <c r="R18" s="27"/>
    </row>
    <row r="19">
      <c r="A19" s="15"/>
      <c r="B19" s="11"/>
      <c r="C19" s="11"/>
      <c r="D19" s="11"/>
      <c r="E19" s="12"/>
      <c r="F19" s="11"/>
      <c r="G19" s="13"/>
      <c r="H19" s="11"/>
      <c r="I19" s="14"/>
      <c r="M19" s="26"/>
      <c r="N19" s="11"/>
      <c r="O19" s="12"/>
      <c r="P19" s="11"/>
      <c r="Q19" s="13"/>
      <c r="R19" s="27"/>
      <c r="S19" s="45"/>
    </row>
    <row r="20">
      <c r="A20" s="15"/>
      <c r="B20" s="11"/>
      <c r="C20" s="11"/>
      <c r="D20" s="11"/>
      <c r="E20" s="12"/>
      <c r="F20" s="11"/>
      <c r="G20" s="13"/>
      <c r="H20" s="11"/>
      <c r="I20" s="14"/>
      <c r="M20" s="26"/>
      <c r="N20" s="11"/>
      <c r="O20" s="12"/>
      <c r="P20" s="11"/>
      <c r="Q20" s="13"/>
      <c r="R20" s="27"/>
      <c r="S20" s="45"/>
    </row>
    <row r="21">
      <c r="A21" s="15"/>
      <c r="B21" s="11"/>
      <c r="C21" s="11"/>
      <c r="D21" s="11"/>
      <c r="E21" s="12"/>
      <c r="F21" s="11"/>
      <c r="G21" s="13"/>
      <c r="H21" s="11"/>
      <c r="I21" s="14"/>
      <c r="M21" s="26"/>
      <c r="N21" s="11"/>
      <c r="O21" s="12"/>
      <c r="P21" s="11"/>
      <c r="Q21" s="13"/>
      <c r="R21" s="27"/>
      <c r="S21" s="45"/>
    </row>
    <row r="22">
      <c r="A22" s="15"/>
      <c r="B22" s="11"/>
      <c r="C22" s="11"/>
      <c r="D22" s="11"/>
      <c r="E22" s="12"/>
      <c r="F22" s="11"/>
      <c r="G22" s="13"/>
      <c r="H22" s="11"/>
      <c r="I22" s="14"/>
      <c r="J22" s="33" t="str">
        <f>IFERROR(LEFT(G22,SEARCH("/",G22)-1)*1,"-")</f>
        <v>-</v>
      </c>
      <c r="K22" s="45" t="s">
        <v>92</v>
      </c>
      <c r="M22" s="26"/>
      <c r="N22" s="11"/>
      <c r="O22" s="12"/>
      <c r="P22" s="11"/>
      <c r="Q22" s="13"/>
      <c r="R22" s="27"/>
      <c r="S22" s="45" t="str">
        <f>IFERROR(LEFT(Q22,SEARCH("/",Q22)-1)*1,"-")</f>
        <v>-</v>
      </c>
    </row>
    <row r="23">
      <c r="A23" s="15"/>
      <c r="B23" s="11"/>
      <c r="C23" s="11"/>
      <c r="D23" s="11"/>
      <c r="E23" s="12"/>
      <c r="F23" s="11"/>
      <c r="G23" s="13"/>
      <c r="H23" s="11"/>
      <c r="I23" s="14"/>
      <c r="J23" s="33" t="str">
        <f>IFERROR(LEFT(G23,SEARCH("/",G23)-1)*1,"-")</f>
        <v>-</v>
      </c>
      <c r="K23" s="45" t="s">
        <v>92</v>
      </c>
      <c r="M23" s="26"/>
      <c r="N23" s="11"/>
      <c r="O23" s="12"/>
      <c r="P23" s="11"/>
      <c r="Q23" s="13"/>
      <c r="R23" s="27"/>
      <c r="S23" s="45" t="str">
        <f>IFERROR(LEFT(Q23,SEARCH("/",Q23)-1)*1,"-")</f>
        <v>-</v>
      </c>
    </row>
    <row r="24">
      <c r="A24" s="15"/>
      <c r="B24" s="11"/>
      <c r="C24" s="11"/>
      <c r="D24" s="11"/>
      <c r="E24" s="12"/>
      <c r="F24" s="11"/>
      <c r="G24" s="13"/>
      <c r="H24" s="11"/>
      <c r="I24" s="14"/>
      <c r="J24" s="33" t="str">
        <f>IFERROR(LEFT(G24,SEARCH("/",G24)-1)*1,"-")</f>
        <v>-</v>
      </c>
      <c r="K24" s="45" t="s">
        <v>92</v>
      </c>
      <c r="L24" s="46"/>
      <c r="M24" s="26"/>
      <c r="N24" s="11"/>
      <c r="O24" s="12"/>
      <c r="P24" s="11"/>
      <c r="Q24" s="13"/>
      <c r="R24" s="27"/>
      <c r="S24" s="45" t="str">
        <f>IFERROR(LEFT(Q24,SEARCH("/",Q24)-1)*1,"-")</f>
        <v>-</v>
      </c>
    </row>
    <row r="25">
      <c r="A25" s="15"/>
      <c r="B25" s="11"/>
      <c r="C25" s="11"/>
      <c r="D25" s="11"/>
      <c r="E25" s="12"/>
      <c r="F25" s="11"/>
      <c r="G25" s="13"/>
      <c r="H25" s="11"/>
      <c r="I25" s="14"/>
      <c r="J25" s="33" t="str">
        <f>IFERROR(LEFT(G25,SEARCH("/",G25)-1)*1,"-")</f>
        <v>-</v>
      </c>
      <c r="K25" s="45" t="s">
        <v>92</v>
      </c>
      <c r="L25" s="46"/>
      <c r="M25" s="26"/>
      <c r="N25" s="11"/>
      <c r="O25" s="12"/>
      <c r="P25" s="11"/>
      <c r="Q25" s="13"/>
      <c r="R25" s="27"/>
      <c r="S25" s="45" t="str">
        <f>IFERROR(LEFT(Q25,SEARCH("/",Q25)-1)*1,"-")</f>
        <v>-</v>
      </c>
    </row>
    <row r="26">
      <c r="A26" s="15"/>
      <c r="B26" s="11"/>
      <c r="C26" s="11"/>
      <c r="D26" s="11"/>
      <c r="E26" s="12"/>
      <c r="F26" s="11"/>
      <c r="G26" s="13"/>
      <c r="H26" s="11"/>
      <c r="I26" s="14"/>
      <c r="J26" s="33" t="str">
        <f>IFERROR(LEFT(G26,SEARCH("/",G26)-1)*1,"-")</f>
        <v>-</v>
      </c>
      <c r="K26" s="45" t="s">
        <v>92</v>
      </c>
      <c r="L26" s="46"/>
      <c r="M26" s="26"/>
      <c r="N26" s="11"/>
      <c r="O26" s="12"/>
      <c r="P26" s="11"/>
      <c r="Q26" s="13"/>
      <c r="R26" s="27"/>
      <c r="S26" s="45" t="str">
        <f>IFERROR(LEFT(Q26,SEARCH("/",Q26)-1)*1,"-")</f>
        <v>-</v>
      </c>
    </row>
    <row r="27">
      <c r="A27" s="15"/>
      <c r="B27" s="11"/>
      <c r="C27" s="11"/>
      <c r="D27" s="11"/>
      <c r="E27" s="12"/>
      <c r="F27" s="11"/>
      <c r="G27" s="13"/>
      <c r="H27" s="11"/>
      <c r="I27" s="14"/>
      <c r="J27" s="33" t="str">
        <f>IFERROR(LEFT(G27,SEARCH("/",G27)-1)*1,"-")</f>
        <v>-</v>
      </c>
      <c r="K27" s="45" t="s">
        <v>92</v>
      </c>
      <c r="M27" s="26"/>
      <c r="N27" s="11"/>
      <c r="O27" s="12"/>
      <c r="P27" s="11"/>
      <c r="Q27" s="13"/>
      <c r="R27" s="27"/>
      <c r="S27" s="45" t="str">
        <f>IFERROR(LEFT(Q27,SEARCH("/",Q27)-1)*1,"-")</f>
        <v>-</v>
      </c>
    </row>
    <row r="28">
      <c r="A28" s="15"/>
      <c r="B28" s="11"/>
      <c r="C28" s="11"/>
      <c r="D28" s="11"/>
      <c r="E28" s="12"/>
      <c r="F28" s="11"/>
      <c r="G28" s="13"/>
      <c r="H28" s="11"/>
      <c r="I28" s="14"/>
      <c r="J28" s="33" t="str">
        <f>IFERROR(LEFT(G28,SEARCH("/",G28)-1)*1,"-")</f>
        <v>-</v>
      </c>
      <c r="K28" s="45" t="s">
        <v>92</v>
      </c>
      <c r="M28" s="26"/>
      <c r="N28" s="11"/>
      <c r="O28" s="12"/>
      <c r="P28" s="11"/>
      <c r="Q28" s="13"/>
      <c r="R28" s="27"/>
      <c r="S28" s="45" t="str">
        <f>IFERROR(LEFT(Q28,SEARCH("/",Q28)-1)*1,"-")</f>
        <v>-</v>
      </c>
    </row>
    <row r="29">
      <c r="A29" s="15"/>
      <c r="B29" s="11"/>
      <c r="C29" s="11"/>
      <c r="D29" s="11"/>
      <c r="E29" s="12"/>
      <c r="F29" s="11"/>
      <c r="G29" s="13"/>
      <c r="H29" s="11"/>
      <c r="I29" s="14"/>
      <c r="J29" s="33" t="str">
        <f>IFERROR(LEFT(G29,SEARCH("/",G29)-1)*1,"-")</f>
        <v>-</v>
      </c>
      <c r="K29" s="45" t="s">
        <v>92</v>
      </c>
      <c r="M29" s="26"/>
      <c r="N29" s="11"/>
      <c r="O29" s="12"/>
      <c r="P29" s="11"/>
      <c r="Q29" s="13"/>
      <c r="R29" s="27"/>
      <c r="S29" s="45" t="str">
        <f>IFERROR(LEFT(Q29,SEARCH("/",Q29)-1)*1,"-")</f>
        <v>-</v>
      </c>
    </row>
    <row r="30">
      <c r="A30" s="15"/>
      <c r="B30" s="11"/>
      <c r="C30" s="11"/>
      <c r="D30" s="11"/>
      <c r="E30" s="12"/>
      <c r="F30" s="11"/>
      <c r="G30" s="13"/>
      <c r="H30" s="11"/>
      <c r="I30" s="14"/>
      <c r="J30" s="33" t="str">
        <f>IFERROR(LEFT(G30,SEARCH("/",G30)-1)*1,"-")</f>
        <v>-</v>
      </c>
      <c r="K30" s="45" t="s">
        <v>92</v>
      </c>
      <c r="M30" s="26"/>
      <c r="N30" s="11"/>
      <c r="O30" s="12"/>
      <c r="P30" s="11"/>
      <c r="Q30" s="13"/>
      <c r="R30" s="27"/>
      <c r="S30" s="45" t="str">
        <f>IFERROR(LEFT(Q30,SEARCH("/",Q30)-1)*1,"-")</f>
        <v>-</v>
      </c>
    </row>
    <row r="31">
      <c r="A31" s="15"/>
      <c r="B31" s="11"/>
      <c r="C31" s="11"/>
      <c r="D31" s="11"/>
      <c r="E31" s="12"/>
      <c r="F31" s="11"/>
      <c r="G31" s="13"/>
      <c r="H31" s="11"/>
      <c r="I31" s="14"/>
      <c r="J31" s="33" t="str">
        <f>IFERROR(LEFT(G31,SEARCH("/",G31)-1)*1,"-")</f>
        <v>-</v>
      </c>
      <c r="K31" s="45" t="s">
        <v>92</v>
      </c>
      <c r="M31" s="26"/>
      <c r="N31" s="11"/>
      <c r="O31" s="12"/>
      <c r="P31" s="11"/>
      <c r="Q31" s="13"/>
      <c r="R31" s="27"/>
      <c r="S31" s="33" t="str">
        <f>IFERROR(LEFT(Q31,SEARCH("/",Q31)-1)*1,"-")</f>
        <v>-</v>
      </c>
    </row>
    <row r="32">
      <c r="A32" s="15"/>
      <c r="B32" s="11"/>
      <c r="C32" s="11"/>
      <c r="D32" s="11"/>
      <c r="E32" s="12"/>
      <c r="F32" s="11"/>
      <c r="G32" s="13"/>
      <c r="H32" s="11"/>
      <c r="I32" s="14"/>
      <c r="J32" s="33" t="str">
        <f>IFERROR(LEFT(G32,SEARCH("/",G32)-1)*1,"-")</f>
        <v>-</v>
      </c>
      <c r="K32" s="45" t="s">
        <v>92</v>
      </c>
      <c r="M32" s="26"/>
      <c r="N32" s="11"/>
      <c r="O32" s="12"/>
      <c r="P32" s="11"/>
      <c r="Q32" s="13"/>
      <c r="R32" s="27"/>
      <c r="S32" s="33" t="str">
        <f>IFERROR(LEFT(Q32,SEARCH("/",Q32)-1)*1,"-")</f>
        <v>-</v>
      </c>
    </row>
    <row r="33">
      <c r="A33" s="15"/>
      <c r="B33" s="11"/>
      <c r="C33" s="11"/>
      <c r="D33" s="11"/>
      <c r="E33" s="12"/>
      <c r="F33" s="11"/>
      <c r="G33" s="13"/>
      <c r="H33" s="11"/>
      <c r="I33" s="14"/>
      <c r="J33" s="33" t="str">
        <f>IFERROR(LEFT(G33,SEARCH("/",G33)-1)*1,"-")</f>
        <v>-</v>
      </c>
      <c r="K33" s="45" t="s">
        <v>92</v>
      </c>
      <c r="M33" s="26"/>
      <c r="N33" s="11"/>
      <c r="O33" s="12"/>
      <c r="P33" s="11"/>
      <c r="Q33" s="13"/>
      <c r="R33" s="27"/>
      <c r="S33" s="45" t="str">
        <f>IFERROR(LEFT(Q33,SEARCH("/",Q33)-1)*1,"-")</f>
        <v>-</v>
      </c>
    </row>
    <row r="34">
      <c r="A34" s="16"/>
      <c r="B34" s="17"/>
      <c r="C34" s="17"/>
      <c r="D34" s="17"/>
      <c r="E34" s="18"/>
      <c r="F34" s="17"/>
      <c r="G34" s="19"/>
      <c r="H34" s="17"/>
      <c r="I34" s="20"/>
      <c r="J34" s="33" t="str">
        <f>IFERROR(LEFT(G34,SEARCH("/",G34)-1)*1,"-")</f>
        <v>-</v>
      </c>
      <c r="K34" s="33" t="s">
        <v>92</v>
      </c>
      <c r="M34" s="28"/>
      <c r="N34" s="29"/>
      <c r="O34" s="30"/>
      <c r="P34" s="29"/>
      <c r="Q34" s="31"/>
      <c r="R34" s="32"/>
      <c r="S34" s="45" t="str">
        <f>IFERROR(LEFT(Q34,SEARCH("/",Q34)-1)*1,"-")</f>
        <v>-</v>
      </c>
    </row>
    <row r="35" ht="15.75">
      <c r="A35" s="149" t="s">
        <v>22</v>
      </c>
      <c r="B35" s="148"/>
      <c r="C35" s="47" t="s">
        <v>23</v>
      </c>
      <c r="D35" s="48"/>
      <c r="E35" s="48"/>
      <c r="F35" s="129" t="s">
        <v>24</v>
      </c>
      <c r="G35" s="128"/>
      <c r="H35" s="128"/>
      <c r="I35" s="127"/>
      <c r="M35" s="139" t="s">
        <v>27</v>
      </c>
      <c r="N35" s="139"/>
      <c r="P35" s="157" t="s">
        <v>24</v>
      </c>
      <c r="Q35" s="157"/>
      <c r="R35" s="157"/>
    </row>
    <row r="36">
      <c r="A36" s="155">
        <f>SUMIF(Tabela1161822[mês],MONTH((H9*1)),(E12:E34))</f>
        <v>0.0</v>
      </c>
      <c r="B36" s="154"/>
      <c r="C36" s="126">
        <f>SUMIFS(E12:E34,I12:I34,"Sim",J12:J34,"&gt;1")</f>
        <v>0.0</v>
      </c>
      <c r="D36" s="49"/>
      <c r="E36" s="49"/>
      <c r="F36" s="138">
        <f>SUMIF(I12:I34,"Sim",E12:E34)</f>
        <v>0.0</v>
      </c>
      <c r="G36" s="137"/>
      <c r="H36" s="137"/>
      <c r="I36" s="136"/>
      <c r="M36" s="141">
        <f>SUM(Tabela3171923[Valor])</f>
        <v>0.0</v>
      </c>
      <c r="N36" s="140"/>
      <c r="O36" s="49"/>
      <c r="P36" s="146">
        <f>SUMIF(Tabela3171923[Pago],"Sim",Tabela3171923[Valor])</f>
        <v>0.0</v>
      </c>
      <c r="Q36" s="146"/>
      <c r="R36" s="146"/>
      <c r="S36" s="49"/>
    </row>
    <row r="37">
      <c r="A37" s="153"/>
      <c r="B37" s="152"/>
      <c r="C37" s="125"/>
      <c r="D37" s="49"/>
      <c r="E37" s="49"/>
      <c r="F37" s="135"/>
      <c r="G37" s="134"/>
      <c r="H37" s="134"/>
      <c r="I37" s="133"/>
      <c r="M37" s="140"/>
      <c r="N37" s="140"/>
      <c r="O37" s="49"/>
      <c r="P37" s="146"/>
      <c r="Q37" s="146"/>
      <c r="R37" s="146"/>
      <c r="S37" s="49"/>
    </row>
    <row r="38">
      <c r="A38" s="151"/>
      <c r="B38" s="150"/>
      <c r="C38" s="124"/>
      <c r="D38" s="49"/>
      <c r="E38" s="49"/>
      <c r="F38" s="132"/>
      <c r="G38" s="131"/>
      <c r="H38" s="131"/>
      <c r="I38" s="130"/>
      <c r="M38" s="140"/>
      <c r="N38" s="140"/>
      <c r="O38" s="49"/>
      <c r="P38" s="146"/>
      <c r="Q38" s="146"/>
      <c r="R38" s="146"/>
      <c r="S38" s="49"/>
    </row>
    <row r="39">
      <c r="B39" s="11"/>
      <c r="C39" s="50"/>
    </row>
    <row r="40">
      <c r="G40" s="33"/>
    </row>
    <row r="41">
      <c r="G41" s="33"/>
    </row>
    <row r="42">
      <c r="G42" s="33"/>
    </row>
    <row r="43">
      <c r="G43" s="33"/>
    </row>
    <row r="44">
      <c r="G44" s="33"/>
    </row>
    <row r="45">
      <c r="G45" s="33"/>
    </row>
    <row r="46">
      <c r="G46" s="33"/>
    </row>
  </sheetData>
  <mergeCells count="19">
    <mergeCell ref="B7:C7"/>
    <mergeCell ref="A1:R2"/>
    <mergeCell ref="B4:C4"/>
    <mergeCell ref="B5:C5"/>
    <mergeCell ref="G5:G6"/>
    <mergeCell ref="H5:I6"/>
    <mergeCell ref="A9:G10"/>
    <mergeCell ref="H9:I10"/>
    <mergeCell ref="M9:P10"/>
    <mergeCell ref="Q9:R10"/>
    <mergeCell ref="A35:B35"/>
    <mergeCell ref="F35:I35"/>
    <mergeCell ref="M35:N35"/>
    <mergeCell ref="P35:R35"/>
    <mergeCell ref="A36:B38"/>
    <mergeCell ref="C36:C38"/>
    <mergeCell ref="F36:I38"/>
    <mergeCell ref="M36:N38"/>
    <mergeCell ref="P36:R38"/>
  </mergeCells>
  <printOptions/>
  <pageMargins left="0.5054133862" right="0.5054133862" top="0.7775590553124999" bottom="0.7775590553124999" footer="0.31102361224999997" header="0.31102361224999997"/>
  <pageSetup paperSize="9" scale="10" orientation="landscape" copies="0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Planilha6">
    <outlinePr/>
    <pageSetUpPr fitToPage="1"/>
  </sheetPr>
  <dimension ref="A1:XFD46"/>
  <sheetViews>
    <sheetView workbookViewId="0" showGridLines="0" zoomScale="70" zoomScaleNormal="70" zoomScaleSheetLayoutView="60">
      <pane ySplit="11" topLeftCell="A12" activePane="bottomLeft" state="frozen"/>
      <selection activeCell="A12" sqref="A12"/>
      <selection pane="bottomLeft" activeCell="A12" sqref="A12"/>
    </sheetView>
  </sheetViews>
  <sheetFormatPr defaultRowHeight="15.0" customHeight="1"/>
  <cols>
    <col min="1" max="1" width="19.72417534722222" style="33" customWidth="1"/>
    <col min="2" max="2" width="9.557508680555555" style="33" customWidth="1"/>
    <col min="3" max="3" width="48.835286458333336" style="33" customWidth="1"/>
    <col min="4" max="4" width="8.835286458333334" style="33" bestFit="1" customWidth="1"/>
    <col min="5" max="5" width="14.835286458333334" style="34" bestFit="1" customWidth="1"/>
    <col min="6" max="6" width="12.724175347222221" style="33" bestFit="1" customWidth="1"/>
    <col min="7" max="7" width="16.835286458333332" style="35" customWidth="1"/>
    <col min="8" max="8" width="6.446397569444445" style="33" bestFit="1" customWidth="1"/>
    <col min="9" max="9" width="10.279730902777779" style="33" bestFit="1" customWidth="1"/>
    <col min="10" max="11" width="11.724175347222221" style="33" hidden="1" customWidth="1"/>
    <col min="12" max="12" width="6.279730902777778" style="33" customWidth="1"/>
    <col min="13" max="13" width="11.557508680555555" style="33" bestFit="1" customWidth="1"/>
    <col min="14" max="14" width="30.446397569444443" style="33" customWidth="1"/>
    <col min="15" max="15" width="14.279730902777779" style="33" bestFit="1" customWidth="1"/>
    <col min="16" max="18" width="14.724175347222221" style="33" customWidth="1"/>
    <col min="19" max="19" width="9.446397569444445" style="33" hidden="1" customWidth="1"/>
    <col min="20" max="16384" width="9.168619791666666" style="33"/>
  </cols>
  <sheetData>
    <row r="1">
      <c r="A1" s="143" t="s">
        <v>20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</row>
    <row r="2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</row>
    <row r="3" ht="6.75" customHeight="1"/>
    <row r="4" ht="15.75">
      <c r="A4" s="36" t="s">
        <v>16</v>
      </c>
      <c r="B4" s="156" t="s">
        <v>39</v>
      </c>
      <c r="C4" s="156"/>
    </row>
    <row r="5" ht="15.75">
      <c r="A5" s="36" t="s">
        <v>15</v>
      </c>
      <c r="B5" s="156">
        <v>2019.0</v>
      </c>
      <c r="C5" s="156"/>
      <c r="G5" s="159"/>
      <c r="H5" s="161"/>
      <c r="I5" s="160"/>
    </row>
    <row r="6" ht="3.75" customHeight="1">
      <c r="A6" s="36"/>
      <c r="B6" s="4"/>
      <c r="C6" s="4"/>
      <c r="G6" s="158"/>
      <c r="H6" s="160"/>
      <c r="I6" s="160"/>
    </row>
    <row r="7" ht="15.75">
      <c r="A7" s="36" t="s">
        <v>42</v>
      </c>
      <c r="B7" s="156"/>
      <c r="C7" s="156"/>
    </row>
    <row r="8" ht="6.75" customHeight="1">
      <c r="A8" s="37"/>
    </row>
    <row r="9" customHeight="1">
      <c r="A9" s="142" t="s">
        <v>25</v>
      </c>
      <c r="B9" s="142"/>
      <c r="C9" s="142"/>
      <c r="D9" s="142"/>
      <c r="E9" s="142"/>
      <c r="F9" s="142"/>
      <c r="G9" s="142"/>
      <c r="H9" s="144" t="str">
        <f>LEFT($B$4,3)&amp;"/"&amp;RIGHT($B$5,2)</f>
        <v>Out/19</v>
      </c>
      <c r="I9" s="144"/>
      <c r="M9" s="147" t="s">
        <v>59</v>
      </c>
      <c r="N9" s="147"/>
      <c r="O9" s="147"/>
      <c r="P9" s="147"/>
      <c r="Q9" s="145" t="str">
        <f>LEFT($B$4,3)&amp;"/"&amp;RIGHT($B$5,2)</f>
        <v>Out/19</v>
      </c>
      <c r="R9" s="145"/>
    </row>
    <row r="10" customHeight="1">
      <c r="A10" s="142"/>
      <c r="B10" s="142"/>
      <c r="C10" s="142"/>
      <c r="D10" s="142"/>
      <c r="E10" s="142"/>
      <c r="F10" s="142"/>
      <c r="G10" s="142"/>
      <c r="H10" s="144"/>
      <c r="I10" s="144"/>
      <c r="M10" s="147"/>
      <c r="N10" s="147"/>
      <c r="O10" s="147"/>
      <c r="P10" s="147"/>
      <c r="Q10" s="145"/>
      <c r="R10" s="145"/>
    </row>
    <row r="11" s="41" customFormat="1" ht="52.5" customHeight="1">
      <c r="A11" s="38" t="s">
        <v>0</v>
      </c>
      <c r="B11" s="38" t="s">
        <v>1</v>
      </c>
      <c r="C11" s="38" t="s">
        <v>2</v>
      </c>
      <c r="D11" s="38" t="s">
        <v>18</v>
      </c>
      <c r="E11" s="39" t="s">
        <v>3</v>
      </c>
      <c r="F11" s="38" t="s">
        <v>21</v>
      </c>
      <c r="G11" s="40" t="s">
        <v>11</v>
      </c>
      <c r="H11" s="38" t="s">
        <v>28</v>
      </c>
      <c r="I11" s="38" t="s">
        <v>9</v>
      </c>
      <c r="J11" s="41" t="s">
        <v>31</v>
      </c>
      <c r="K11" s="42" t="s">
        <v>29</v>
      </c>
      <c r="M11" s="43" t="s">
        <v>0</v>
      </c>
      <c r="N11" s="38" t="s">
        <v>13</v>
      </c>
      <c r="O11" s="43" t="s">
        <v>3</v>
      </c>
      <c r="P11" s="38" t="s">
        <v>26</v>
      </c>
      <c r="Q11" s="40" t="s">
        <v>11</v>
      </c>
      <c r="R11" s="38" t="s">
        <v>4</v>
      </c>
      <c r="S11" s="44" t="s">
        <v>14</v>
      </c>
    </row>
    <row r="12">
      <c r="A12" s="5"/>
      <c r="B12" s="6"/>
      <c r="C12" s="6"/>
      <c r="D12" s="6"/>
      <c r="E12" s="7"/>
      <c r="F12" s="6"/>
      <c r="G12" s="8"/>
      <c r="H12" s="6"/>
      <c r="I12" s="9"/>
      <c r="M12" s="21"/>
      <c r="N12" s="22"/>
      <c r="O12" s="23"/>
      <c r="P12" s="22"/>
      <c r="Q12" s="24"/>
      <c r="R12" s="25"/>
    </row>
    <row r="13">
      <c r="A13" s="10"/>
      <c r="B13" s="11"/>
      <c r="C13" s="11"/>
      <c r="D13" s="11"/>
      <c r="E13" s="12"/>
      <c r="F13" s="11"/>
      <c r="G13" s="13"/>
      <c r="H13" s="11"/>
      <c r="I13" s="14"/>
      <c r="M13" s="26"/>
      <c r="N13" s="11"/>
      <c r="O13" s="12"/>
      <c r="P13" s="11"/>
      <c r="Q13" s="13"/>
      <c r="R13" s="27"/>
    </row>
    <row r="14">
      <c r="A14" s="10"/>
      <c r="B14" s="11"/>
      <c r="C14" s="11"/>
      <c r="D14" s="11"/>
      <c r="E14" s="12"/>
      <c r="F14" s="11"/>
      <c r="G14" s="13"/>
      <c r="H14" s="11"/>
      <c r="I14" s="14"/>
      <c r="M14" s="26"/>
      <c r="N14" s="11"/>
      <c r="O14" s="12"/>
      <c r="P14" s="11"/>
      <c r="Q14" s="13"/>
      <c r="R14" s="27"/>
    </row>
    <row r="15">
      <c r="A15" s="15"/>
      <c r="B15" s="11"/>
      <c r="C15" s="11"/>
      <c r="D15" s="11"/>
      <c r="E15" s="12"/>
      <c r="F15" s="11"/>
      <c r="G15" s="13"/>
      <c r="H15" s="11"/>
      <c r="I15" s="14"/>
      <c r="M15" s="26"/>
      <c r="N15" s="11"/>
      <c r="O15" s="12"/>
      <c r="P15" s="11"/>
      <c r="Q15" s="13"/>
      <c r="R15" s="27"/>
    </row>
    <row r="16">
      <c r="A16" s="15"/>
      <c r="B16" s="11"/>
      <c r="C16" s="11"/>
      <c r="D16" s="11"/>
      <c r="E16" s="12"/>
      <c r="F16" s="11"/>
      <c r="G16" s="13"/>
      <c r="H16" s="11"/>
      <c r="I16" s="14"/>
      <c r="M16" s="26"/>
      <c r="N16" s="11"/>
      <c r="O16" s="12"/>
      <c r="P16" s="11"/>
      <c r="Q16" s="13"/>
      <c r="R16" s="27"/>
    </row>
    <row r="17">
      <c r="A17" s="15"/>
      <c r="B17" s="11"/>
      <c r="C17" s="11"/>
      <c r="D17" s="11"/>
      <c r="E17" s="12"/>
      <c r="F17" s="11"/>
      <c r="G17" s="13"/>
      <c r="H17" s="11"/>
      <c r="I17" s="14"/>
      <c r="M17" s="26"/>
      <c r="N17" s="11"/>
      <c r="O17" s="12"/>
      <c r="P17" s="11"/>
      <c r="Q17" s="13"/>
      <c r="R17" s="27"/>
    </row>
    <row r="18">
      <c r="A18" s="15"/>
      <c r="B18" s="11"/>
      <c r="C18" s="11"/>
      <c r="D18" s="11"/>
      <c r="E18" s="12"/>
      <c r="F18" s="11"/>
      <c r="G18" s="13"/>
      <c r="H18" s="11"/>
      <c r="I18" s="14"/>
      <c r="M18" s="26"/>
      <c r="N18" s="11"/>
      <c r="O18" s="12"/>
      <c r="P18" s="11"/>
      <c r="Q18" s="13"/>
      <c r="R18" s="27"/>
    </row>
    <row r="19">
      <c r="A19" s="15"/>
      <c r="B19" s="11"/>
      <c r="C19" s="11"/>
      <c r="D19" s="11"/>
      <c r="E19" s="12"/>
      <c r="F19" s="11"/>
      <c r="G19" s="13"/>
      <c r="H19" s="11"/>
      <c r="I19" s="14"/>
      <c r="M19" s="26"/>
      <c r="N19" s="11"/>
      <c r="O19" s="12"/>
      <c r="P19" s="11"/>
      <c r="Q19" s="13"/>
      <c r="R19" s="27"/>
      <c r="S19" s="45"/>
    </row>
    <row r="20">
      <c r="A20" s="15"/>
      <c r="B20" s="11"/>
      <c r="C20" s="11"/>
      <c r="D20" s="11"/>
      <c r="E20" s="12"/>
      <c r="F20" s="11"/>
      <c r="G20" s="13"/>
      <c r="H20" s="11"/>
      <c r="I20" s="14"/>
      <c r="M20" s="26"/>
      <c r="N20" s="11"/>
      <c r="O20" s="12"/>
      <c r="P20" s="11"/>
      <c r="Q20" s="13"/>
      <c r="R20" s="27"/>
      <c r="S20" s="45"/>
    </row>
    <row r="21">
      <c r="A21" s="15"/>
      <c r="B21" s="11"/>
      <c r="C21" s="11"/>
      <c r="D21" s="11"/>
      <c r="E21" s="12"/>
      <c r="F21" s="11"/>
      <c r="G21" s="13"/>
      <c r="H21" s="11"/>
      <c r="I21" s="14"/>
      <c r="M21" s="26"/>
      <c r="N21" s="11"/>
      <c r="O21" s="12"/>
      <c r="P21" s="11"/>
      <c r="Q21" s="13"/>
      <c r="R21" s="27"/>
      <c r="S21" s="45"/>
    </row>
    <row r="22">
      <c r="A22" s="15"/>
      <c r="B22" s="11"/>
      <c r="C22" s="11"/>
      <c r="D22" s="11"/>
      <c r="E22" s="12"/>
      <c r="F22" s="11"/>
      <c r="G22" s="13"/>
      <c r="H22" s="11"/>
      <c r="I22" s="14"/>
      <c r="K22" s="45"/>
      <c r="M22" s="26"/>
      <c r="N22" s="11"/>
      <c r="O22" s="12"/>
      <c r="P22" s="11"/>
      <c r="Q22" s="13"/>
      <c r="R22" s="27"/>
      <c r="S22" s="45"/>
    </row>
    <row r="23">
      <c r="A23" s="15"/>
      <c r="B23" s="11"/>
      <c r="C23" s="11"/>
      <c r="D23" s="11"/>
      <c r="E23" s="12"/>
      <c r="F23" s="11"/>
      <c r="G23" s="13"/>
      <c r="H23" s="11"/>
      <c r="I23" s="14"/>
      <c r="K23" s="45"/>
      <c r="M23" s="26"/>
      <c r="N23" s="11"/>
      <c r="O23" s="12"/>
      <c r="P23" s="11"/>
      <c r="Q23" s="13"/>
      <c r="R23" s="27"/>
      <c r="S23" s="45"/>
    </row>
    <row r="24">
      <c r="A24" s="15"/>
      <c r="B24" s="11"/>
      <c r="C24" s="11"/>
      <c r="D24" s="11"/>
      <c r="E24" s="12"/>
      <c r="F24" s="11"/>
      <c r="G24" s="13"/>
      <c r="H24" s="11"/>
      <c r="I24" s="14"/>
      <c r="J24" s="33" t="str">
        <f>IFERROR(LEFT(G24,SEARCH("/",G24)-1)*1,"-")</f>
        <v>-</v>
      </c>
      <c r="K24" s="45" t="s">
        <v>92</v>
      </c>
      <c r="L24" s="46"/>
      <c r="M24" s="26"/>
      <c r="N24" s="11"/>
      <c r="O24" s="12"/>
      <c r="P24" s="11"/>
      <c r="Q24" s="13"/>
      <c r="R24" s="27"/>
      <c r="S24" s="45" t="str">
        <f>IFERROR(LEFT(Q24,SEARCH("/",Q24)-1)*1,"-")</f>
        <v>-</v>
      </c>
    </row>
    <row r="25">
      <c r="A25" s="15"/>
      <c r="B25" s="11"/>
      <c r="C25" s="11"/>
      <c r="D25" s="11"/>
      <c r="E25" s="12"/>
      <c r="F25" s="11"/>
      <c r="G25" s="13"/>
      <c r="H25" s="11"/>
      <c r="I25" s="14"/>
      <c r="J25" s="33" t="str">
        <f>IFERROR(LEFT(G25,SEARCH("/",G25)-1)*1,"-")</f>
        <v>-</v>
      </c>
      <c r="K25" s="45" t="s">
        <v>92</v>
      </c>
      <c r="L25" s="46"/>
      <c r="M25" s="26"/>
      <c r="N25" s="11"/>
      <c r="O25" s="12"/>
      <c r="P25" s="11"/>
      <c r="Q25" s="13"/>
      <c r="R25" s="27"/>
      <c r="S25" s="45" t="str">
        <f>IFERROR(LEFT(Q25,SEARCH("/",Q25)-1)*1,"-")</f>
        <v>-</v>
      </c>
    </row>
    <row r="26">
      <c r="A26" s="15"/>
      <c r="B26" s="11"/>
      <c r="C26" s="11"/>
      <c r="D26" s="11"/>
      <c r="E26" s="12"/>
      <c r="F26" s="11"/>
      <c r="G26" s="13"/>
      <c r="H26" s="11"/>
      <c r="I26" s="14"/>
      <c r="J26" s="33" t="str">
        <f>IFERROR(LEFT(G26,SEARCH("/",G26)-1)*1,"-")</f>
        <v>-</v>
      </c>
      <c r="K26" s="45" t="s">
        <v>92</v>
      </c>
      <c r="L26" s="46"/>
      <c r="M26" s="26"/>
      <c r="N26" s="11"/>
      <c r="O26" s="12"/>
      <c r="P26" s="11"/>
      <c r="Q26" s="13"/>
      <c r="R26" s="27"/>
      <c r="S26" s="45" t="str">
        <f>IFERROR(LEFT(Q26,SEARCH("/",Q26)-1)*1,"-")</f>
        <v>-</v>
      </c>
    </row>
    <row r="27">
      <c r="A27" s="15"/>
      <c r="B27" s="11"/>
      <c r="C27" s="11"/>
      <c r="D27" s="11"/>
      <c r="E27" s="12"/>
      <c r="F27" s="11"/>
      <c r="G27" s="13"/>
      <c r="H27" s="11"/>
      <c r="I27" s="14"/>
      <c r="J27" s="33" t="str">
        <f>IFERROR(LEFT(G27,SEARCH("/",G27)-1)*1,"-")</f>
        <v>-</v>
      </c>
      <c r="K27" s="45" t="s">
        <v>92</v>
      </c>
      <c r="M27" s="26"/>
      <c r="N27" s="11"/>
      <c r="O27" s="12"/>
      <c r="P27" s="11"/>
      <c r="Q27" s="13"/>
      <c r="R27" s="27"/>
      <c r="S27" s="45" t="str">
        <f>IFERROR(LEFT(Q27,SEARCH("/",Q27)-1)*1,"-")</f>
        <v>-</v>
      </c>
    </row>
    <row r="28">
      <c r="A28" s="15"/>
      <c r="B28" s="11"/>
      <c r="C28" s="11"/>
      <c r="D28" s="11"/>
      <c r="E28" s="12"/>
      <c r="F28" s="11"/>
      <c r="G28" s="13"/>
      <c r="H28" s="11"/>
      <c r="I28" s="14"/>
      <c r="J28" s="33" t="str">
        <f>IFERROR(LEFT(G28,SEARCH("/",G28)-1)*1,"-")</f>
        <v>-</v>
      </c>
      <c r="K28" s="45" t="s">
        <v>92</v>
      </c>
      <c r="M28" s="26"/>
      <c r="N28" s="11"/>
      <c r="O28" s="12"/>
      <c r="P28" s="11"/>
      <c r="Q28" s="13"/>
      <c r="R28" s="27"/>
      <c r="S28" s="45" t="str">
        <f>IFERROR(LEFT(Q28,SEARCH("/",Q28)-1)*1,"-")</f>
        <v>-</v>
      </c>
    </row>
    <row r="29">
      <c r="A29" s="15"/>
      <c r="B29" s="11"/>
      <c r="C29" s="11"/>
      <c r="D29" s="11"/>
      <c r="E29" s="12"/>
      <c r="F29" s="11"/>
      <c r="G29" s="13"/>
      <c r="H29" s="11"/>
      <c r="I29" s="14"/>
      <c r="J29" s="33" t="str">
        <f>IFERROR(LEFT(G29,SEARCH("/",G29)-1)*1,"-")</f>
        <v>-</v>
      </c>
      <c r="K29" s="45" t="s">
        <v>92</v>
      </c>
      <c r="M29" s="26"/>
      <c r="N29" s="11"/>
      <c r="O29" s="12"/>
      <c r="P29" s="11"/>
      <c r="Q29" s="13"/>
      <c r="R29" s="27"/>
      <c r="S29" s="45" t="str">
        <f>IFERROR(LEFT(Q29,SEARCH("/",Q29)-1)*1,"-")</f>
        <v>-</v>
      </c>
    </row>
    <row r="30">
      <c r="A30" s="15"/>
      <c r="B30" s="11"/>
      <c r="C30" s="11"/>
      <c r="D30" s="11"/>
      <c r="E30" s="12"/>
      <c r="F30" s="11"/>
      <c r="G30" s="13"/>
      <c r="H30" s="11"/>
      <c r="I30" s="14"/>
      <c r="J30" s="33" t="str">
        <f>IFERROR(LEFT(G30,SEARCH("/",G30)-1)*1,"-")</f>
        <v>-</v>
      </c>
      <c r="K30" s="45" t="s">
        <v>92</v>
      </c>
      <c r="M30" s="26"/>
      <c r="N30" s="11"/>
      <c r="O30" s="12"/>
      <c r="P30" s="11"/>
      <c r="Q30" s="13"/>
      <c r="R30" s="27"/>
      <c r="S30" s="45" t="str">
        <f>IFERROR(LEFT(Q30,SEARCH("/",Q30)-1)*1,"-")</f>
        <v>-</v>
      </c>
    </row>
    <row r="31">
      <c r="A31" s="15"/>
      <c r="B31" s="11"/>
      <c r="C31" s="11"/>
      <c r="D31" s="11"/>
      <c r="E31" s="12"/>
      <c r="F31" s="11"/>
      <c r="G31" s="13"/>
      <c r="H31" s="11"/>
      <c r="I31" s="14"/>
      <c r="J31" s="33" t="str">
        <f>IFERROR(LEFT(G31,SEARCH("/",G31)-1)*1,"-")</f>
        <v>-</v>
      </c>
      <c r="K31" s="45" t="s">
        <v>92</v>
      </c>
      <c r="M31" s="26"/>
      <c r="N31" s="11"/>
      <c r="O31" s="12"/>
      <c r="P31" s="11"/>
      <c r="Q31" s="13"/>
      <c r="R31" s="27"/>
      <c r="S31" s="33" t="str">
        <f>IFERROR(LEFT(Q31,SEARCH("/",Q31)-1)*1,"-")</f>
        <v>-</v>
      </c>
    </row>
    <row r="32">
      <c r="A32" s="15"/>
      <c r="B32" s="11"/>
      <c r="C32" s="11"/>
      <c r="D32" s="11"/>
      <c r="E32" s="12"/>
      <c r="F32" s="11"/>
      <c r="G32" s="13"/>
      <c r="H32" s="11"/>
      <c r="I32" s="14"/>
      <c r="J32" s="33" t="str">
        <f>IFERROR(LEFT(G32,SEARCH("/",G32)-1)*1,"-")</f>
        <v>-</v>
      </c>
      <c r="K32" s="45" t="s">
        <v>92</v>
      </c>
      <c r="M32" s="26"/>
      <c r="N32" s="11"/>
      <c r="O32" s="12"/>
      <c r="P32" s="11"/>
      <c r="Q32" s="13"/>
      <c r="R32" s="27"/>
      <c r="S32" s="33" t="str">
        <f>IFERROR(LEFT(Q32,SEARCH("/",Q32)-1)*1,"-")</f>
        <v>-</v>
      </c>
    </row>
    <row r="33">
      <c r="A33" s="15"/>
      <c r="B33" s="11"/>
      <c r="C33" s="11"/>
      <c r="D33" s="11"/>
      <c r="E33" s="12"/>
      <c r="F33" s="11"/>
      <c r="G33" s="13"/>
      <c r="H33" s="11"/>
      <c r="I33" s="14"/>
      <c r="J33" s="33" t="str">
        <f>IFERROR(LEFT(G33,SEARCH("/",G33)-1)*1,"-")</f>
        <v>-</v>
      </c>
      <c r="K33" s="45" t="s">
        <v>92</v>
      </c>
      <c r="M33" s="26"/>
      <c r="N33" s="11"/>
      <c r="O33" s="12"/>
      <c r="P33" s="11"/>
      <c r="Q33" s="13"/>
      <c r="R33" s="27"/>
      <c r="S33" s="45" t="str">
        <f>IFERROR(LEFT(Q33,SEARCH("/",Q33)-1)*1,"-")</f>
        <v>-</v>
      </c>
    </row>
    <row r="34">
      <c r="A34" s="16"/>
      <c r="B34" s="17"/>
      <c r="C34" s="17"/>
      <c r="D34" s="17"/>
      <c r="E34" s="18"/>
      <c r="F34" s="17"/>
      <c r="G34" s="19"/>
      <c r="H34" s="17"/>
      <c r="I34" s="20"/>
      <c r="J34" s="33" t="str">
        <f>IFERROR(LEFT(G34,SEARCH("/",G34)-1)*1,"-")</f>
        <v>-</v>
      </c>
      <c r="K34" s="33" t="s">
        <v>92</v>
      </c>
      <c r="M34" s="28"/>
      <c r="N34" s="29"/>
      <c r="O34" s="30"/>
      <c r="P34" s="29"/>
      <c r="Q34" s="31"/>
      <c r="R34" s="32"/>
      <c r="S34" s="45" t="str">
        <f>IFERROR(LEFT(Q34,SEARCH("/",Q34)-1)*1,"-")</f>
        <v>-</v>
      </c>
    </row>
    <row r="35" ht="15.75">
      <c r="A35" s="149" t="s">
        <v>22</v>
      </c>
      <c r="B35" s="148"/>
      <c r="C35" s="47" t="s">
        <v>23</v>
      </c>
      <c r="D35" s="48"/>
      <c r="E35" s="48"/>
      <c r="F35" s="129" t="s">
        <v>24</v>
      </c>
      <c r="G35" s="128"/>
      <c r="H35" s="128"/>
      <c r="I35" s="127"/>
      <c r="M35" s="139" t="s">
        <v>27</v>
      </c>
      <c r="N35" s="139"/>
      <c r="P35" s="157" t="s">
        <v>24</v>
      </c>
      <c r="Q35" s="157"/>
      <c r="R35" s="157"/>
    </row>
    <row r="36">
      <c r="A36" s="155">
        <f>SUMIF(Tabela116182224[mês],MONTH((H9*1)),(E12:E34))</f>
        <v>0.0</v>
      </c>
      <c r="B36" s="154"/>
      <c r="C36" s="126">
        <f>SUMIFS(E12:E34,I12:I34,"Sim",J12:J34,"&gt;1")</f>
        <v>0.0</v>
      </c>
      <c r="D36" s="49"/>
      <c r="E36" s="49"/>
      <c r="F36" s="138">
        <f>SUMIF(I12:I34,"Sim",E12:E34)</f>
        <v>0.0</v>
      </c>
      <c r="G36" s="137"/>
      <c r="H36" s="137"/>
      <c r="I36" s="136"/>
      <c r="M36" s="141">
        <f>SUM(Tabela317192325[Valor])</f>
        <v>0.0</v>
      </c>
      <c r="N36" s="140"/>
      <c r="O36" s="49"/>
      <c r="P36" s="146">
        <f>SUMIF(Tabela317192325[Pago],"Sim",Tabela317192325[Valor])</f>
        <v>0.0</v>
      </c>
      <c r="Q36" s="146"/>
      <c r="R36" s="146"/>
      <c r="S36" s="49"/>
    </row>
    <row r="37">
      <c r="A37" s="153"/>
      <c r="B37" s="152"/>
      <c r="C37" s="125"/>
      <c r="D37" s="49"/>
      <c r="E37" s="49"/>
      <c r="F37" s="135"/>
      <c r="G37" s="134"/>
      <c r="H37" s="134"/>
      <c r="I37" s="133"/>
      <c r="M37" s="140"/>
      <c r="N37" s="140"/>
      <c r="O37" s="49"/>
      <c r="P37" s="146"/>
      <c r="Q37" s="146"/>
      <c r="R37" s="146"/>
      <c r="S37" s="49"/>
    </row>
    <row r="38">
      <c r="A38" s="151"/>
      <c r="B38" s="150"/>
      <c r="C38" s="124"/>
      <c r="D38" s="49"/>
      <c r="E38" s="49"/>
      <c r="F38" s="132"/>
      <c r="G38" s="131"/>
      <c r="H38" s="131"/>
      <c r="I38" s="130"/>
      <c r="M38" s="140"/>
      <c r="N38" s="140"/>
      <c r="O38" s="49"/>
      <c r="P38" s="146"/>
      <c r="Q38" s="146"/>
      <c r="R38" s="146"/>
      <c r="S38" s="49"/>
    </row>
    <row r="39">
      <c r="B39" s="11"/>
      <c r="C39" s="50"/>
    </row>
    <row r="40">
      <c r="G40" s="33"/>
    </row>
    <row r="41">
      <c r="G41" s="33"/>
    </row>
    <row r="42">
      <c r="G42" s="33"/>
    </row>
    <row r="43">
      <c r="G43" s="33"/>
    </row>
    <row r="44">
      <c r="G44" s="33"/>
    </row>
    <row r="45">
      <c r="G45" s="33"/>
    </row>
    <row r="46">
      <c r="G46" s="33"/>
    </row>
  </sheetData>
  <mergeCells count="19">
    <mergeCell ref="B7:C7"/>
    <mergeCell ref="A1:R2"/>
    <mergeCell ref="B4:C4"/>
    <mergeCell ref="B5:C5"/>
    <mergeCell ref="G5:G6"/>
    <mergeCell ref="H5:I6"/>
    <mergeCell ref="A9:G10"/>
    <mergeCell ref="H9:I10"/>
    <mergeCell ref="M9:P10"/>
    <mergeCell ref="Q9:R10"/>
    <mergeCell ref="A35:B35"/>
    <mergeCell ref="F35:I35"/>
    <mergeCell ref="M35:N35"/>
    <mergeCell ref="P35:R35"/>
    <mergeCell ref="A36:B38"/>
    <mergeCell ref="C36:C38"/>
    <mergeCell ref="F36:I38"/>
    <mergeCell ref="M36:N38"/>
    <mergeCell ref="P36:R38"/>
  </mergeCells>
  <printOptions/>
  <pageMargins left="0.5054133862" right="0.5054133862" top="0.7775590553124999" bottom="0.7775590553124999" footer="0.31102361224999997" header="0.31102361224999997"/>
  <pageSetup paperSize="9" scale="10" orientation="landscape" copies="0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Planilha7">
    <outlinePr/>
    <pageSetUpPr fitToPage="1"/>
  </sheetPr>
  <dimension ref="A1:XFD46"/>
  <sheetViews>
    <sheetView workbookViewId="0" showGridLines="0" zoomScale="70" zoomScaleNormal="70" zoomScaleSheetLayoutView="60">
      <pane ySplit="11" topLeftCell="A12" activePane="bottomLeft" state="frozen"/>
      <selection activeCell="A12" sqref="A12"/>
      <selection pane="bottomLeft" activeCell="A12" sqref="A12"/>
    </sheetView>
  </sheetViews>
  <sheetFormatPr defaultRowHeight="15.0" customHeight="1"/>
  <cols>
    <col min="1" max="1" width="19.72417534722222" style="33" customWidth="1"/>
    <col min="2" max="2" width="9.557508680555555" style="33" customWidth="1"/>
    <col min="3" max="3" width="48.835286458333336" style="33" customWidth="1"/>
    <col min="4" max="4" width="8.835286458333334" style="33" bestFit="1" customWidth="1"/>
    <col min="5" max="5" width="14.835286458333334" style="34" bestFit="1" customWidth="1"/>
    <col min="6" max="6" width="12.724175347222221" style="33" bestFit="1" customWidth="1"/>
    <col min="7" max="7" width="16.835286458333332" style="35" customWidth="1"/>
    <col min="8" max="8" width="6.446397569444445" style="33" bestFit="1" customWidth="1"/>
    <col min="9" max="9" width="10.279730902777779" style="33" bestFit="1" customWidth="1"/>
    <col min="10" max="11" width="11.724175347222221" style="33" hidden="1" customWidth="1"/>
    <col min="12" max="12" width="6.279730902777778" style="33" customWidth="1"/>
    <col min="13" max="13" width="11.557508680555555" style="33" bestFit="1" customWidth="1"/>
    <col min="14" max="14" width="30.446397569444443" style="33" customWidth="1"/>
    <col min="15" max="15" width="14.279730902777779" style="33" bestFit="1" customWidth="1"/>
    <col min="16" max="18" width="14.724175347222221" style="33" customWidth="1"/>
    <col min="19" max="19" width="9.446397569444445" style="33" hidden="1" customWidth="1"/>
    <col min="20" max="16384" width="9.168619791666666" style="33"/>
  </cols>
  <sheetData>
    <row r="1">
      <c r="A1" s="143" t="s">
        <v>20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</row>
    <row r="2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</row>
    <row r="3" ht="6.75" customHeight="1"/>
    <row r="4" ht="15.75">
      <c r="A4" s="36" t="s">
        <v>16</v>
      </c>
      <c r="B4" s="156" t="s">
        <v>40</v>
      </c>
      <c r="C4" s="156"/>
    </row>
    <row r="5" ht="15.75">
      <c r="A5" s="36" t="s">
        <v>15</v>
      </c>
      <c r="B5" s="156">
        <v>2019.0</v>
      </c>
      <c r="C5" s="156"/>
      <c r="G5" s="159"/>
      <c r="H5" s="161"/>
      <c r="I5" s="160"/>
    </row>
    <row r="6" ht="3.75" customHeight="1">
      <c r="A6" s="36"/>
      <c r="B6" s="4"/>
      <c r="C6" s="4"/>
      <c r="G6" s="158"/>
      <c r="H6" s="160"/>
      <c r="I6" s="160"/>
    </row>
    <row r="7" ht="15.75">
      <c r="A7" s="36" t="s">
        <v>42</v>
      </c>
      <c r="B7" s="156"/>
      <c r="C7" s="156"/>
    </row>
    <row r="8" ht="6.75" customHeight="1">
      <c r="A8" s="37"/>
    </row>
    <row r="9" customHeight="1">
      <c r="A9" s="142" t="s">
        <v>25</v>
      </c>
      <c r="B9" s="142"/>
      <c r="C9" s="142"/>
      <c r="D9" s="142"/>
      <c r="E9" s="142"/>
      <c r="F9" s="142"/>
      <c r="G9" s="142"/>
      <c r="H9" s="144" t="str">
        <f>LEFT($B$4,3)&amp;"/"&amp;RIGHT($B$5,2)</f>
        <v>Nov/19</v>
      </c>
      <c r="I9" s="144"/>
      <c r="M9" s="147" t="s">
        <v>59</v>
      </c>
      <c r="N9" s="147"/>
      <c r="O9" s="147"/>
      <c r="P9" s="147"/>
      <c r="Q9" s="145" t="str">
        <f>LEFT($B$4,3)&amp;"/"&amp;RIGHT($B$5,2)</f>
        <v>Nov/19</v>
      </c>
      <c r="R9" s="145"/>
    </row>
    <row r="10" customHeight="1">
      <c r="A10" s="142"/>
      <c r="B10" s="142"/>
      <c r="C10" s="142"/>
      <c r="D10" s="142"/>
      <c r="E10" s="142"/>
      <c r="F10" s="142"/>
      <c r="G10" s="142"/>
      <c r="H10" s="144"/>
      <c r="I10" s="144"/>
      <c r="M10" s="147"/>
      <c r="N10" s="147"/>
      <c r="O10" s="147"/>
      <c r="P10" s="147"/>
      <c r="Q10" s="145"/>
      <c r="R10" s="145"/>
    </row>
    <row r="11" s="41" customFormat="1" ht="52.5" customHeight="1">
      <c r="A11" s="38" t="s">
        <v>0</v>
      </c>
      <c r="B11" s="38" t="s">
        <v>1</v>
      </c>
      <c r="C11" s="38" t="s">
        <v>2</v>
      </c>
      <c r="D11" s="38" t="s">
        <v>18</v>
      </c>
      <c r="E11" s="39" t="s">
        <v>3</v>
      </c>
      <c r="F11" s="38" t="s">
        <v>21</v>
      </c>
      <c r="G11" s="40" t="s">
        <v>11</v>
      </c>
      <c r="H11" s="38" t="s">
        <v>28</v>
      </c>
      <c r="I11" s="38" t="s">
        <v>9</v>
      </c>
      <c r="J11" s="41" t="s">
        <v>31</v>
      </c>
      <c r="K11" s="42" t="s">
        <v>29</v>
      </c>
      <c r="M11" s="43" t="s">
        <v>0</v>
      </c>
      <c r="N11" s="38" t="s">
        <v>13</v>
      </c>
      <c r="O11" s="43" t="s">
        <v>3</v>
      </c>
      <c r="P11" s="38" t="s">
        <v>26</v>
      </c>
      <c r="Q11" s="40" t="s">
        <v>11</v>
      </c>
      <c r="R11" s="38" t="s">
        <v>4</v>
      </c>
      <c r="S11" s="44" t="s">
        <v>14</v>
      </c>
    </row>
    <row r="12">
      <c r="A12" s="5"/>
      <c r="B12" s="6"/>
      <c r="C12" s="6"/>
      <c r="D12" s="6"/>
      <c r="E12" s="7"/>
      <c r="F12" s="6"/>
      <c r="G12" s="8"/>
      <c r="H12" s="6"/>
      <c r="I12" s="9"/>
      <c r="M12" s="21"/>
      <c r="N12" s="22"/>
      <c r="O12" s="23"/>
      <c r="P12" s="22"/>
      <c r="Q12" s="24"/>
      <c r="R12" s="25"/>
    </row>
    <row r="13">
      <c r="A13" s="10"/>
      <c r="B13" s="11"/>
      <c r="C13" s="11"/>
      <c r="D13" s="11"/>
      <c r="E13" s="12"/>
      <c r="F13" s="11"/>
      <c r="G13" s="13"/>
      <c r="H13" s="11"/>
      <c r="I13" s="14"/>
      <c r="M13" s="26"/>
      <c r="N13" s="11"/>
      <c r="O13" s="12"/>
      <c r="P13" s="11"/>
      <c r="Q13" s="13"/>
      <c r="R13" s="27"/>
    </row>
    <row r="14">
      <c r="A14" s="10"/>
      <c r="B14" s="11"/>
      <c r="C14" s="11"/>
      <c r="D14" s="11"/>
      <c r="E14" s="12"/>
      <c r="F14" s="11"/>
      <c r="G14" s="13"/>
      <c r="H14" s="11"/>
      <c r="I14" s="14"/>
      <c r="M14" s="26"/>
      <c r="N14" s="11"/>
      <c r="O14" s="12"/>
      <c r="P14" s="11"/>
      <c r="Q14" s="13"/>
      <c r="R14" s="27"/>
    </row>
    <row r="15">
      <c r="A15" s="15"/>
      <c r="B15" s="11"/>
      <c r="C15" s="11"/>
      <c r="D15" s="11"/>
      <c r="E15" s="12"/>
      <c r="F15" s="11"/>
      <c r="G15" s="13"/>
      <c r="H15" s="11"/>
      <c r="I15" s="14"/>
      <c r="M15" s="26"/>
      <c r="N15" s="11"/>
      <c r="O15" s="12"/>
      <c r="P15" s="11"/>
      <c r="Q15" s="13"/>
      <c r="R15" s="27"/>
    </row>
    <row r="16">
      <c r="A16" s="15"/>
      <c r="B16" s="11"/>
      <c r="C16" s="11"/>
      <c r="D16" s="11"/>
      <c r="E16" s="12"/>
      <c r="F16" s="11"/>
      <c r="G16" s="13"/>
      <c r="H16" s="11"/>
      <c r="I16" s="14"/>
      <c r="M16" s="26"/>
      <c r="N16" s="11"/>
      <c r="O16" s="12"/>
      <c r="P16" s="11"/>
      <c r="Q16" s="13"/>
      <c r="R16" s="27"/>
    </row>
    <row r="17">
      <c r="A17" s="15"/>
      <c r="B17" s="11"/>
      <c r="C17" s="11"/>
      <c r="D17" s="11"/>
      <c r="E17" s="12"/>
      <c r="F17" s="11"/>
      <c r="G17" s="13"/>
      <c r="H17" s="11"/>
      <c r="I17" s="14"/>
      <c r="M17" s="26"/>
      <c r="N17" s="11"/>
      <c r="O17" s="12"/>
      <c r="P17" s="11"/>
      <c r="Q17" s="13"/>
      <c r="R17" s="27"/>
    </row>
    <row r="18">
      <c r="A18" s="15"/>
      <c r="B18" s="11"/>
      <c r="C18" s="11"/>
      <c r="D18" s="11"/>
      <c r="E18" s="12"/>
      <c r="F18" s="11"/>
      <c r="G18" s="13"/>
      <c r="H18" s="11"/>
      <c r="I18" s="14"/>
      <c r="M18" s="26"/>
      <c r="N18" s="11"/>
      <c r="O18" s="12"/>
      <c r="P18" s="11"/>
      <c r="Q18" s="13"/>
      <c r="R18" s="27"/>
    </row>
    <row r="19">
      <c r="A19" s="15"/>
      <c r="B19" s="11"/>
      <c r="C19" s="11"/>
      <c r="D19" s="11"/>
      <c r="E19" s="12"/>
      <c r="F19" s="11"/>
      <c r="G19" s="13"/>
      <c r="H19" s="11"/>
      <c r="I19" s="14"/>
      <c r="M19" s="26"/>
      <c r="N19" s="11"/>
      <c r="O19" s="12"/>
      <c r="P19" s="11"/>
      <c r="Q19" s="13"/>
      <c r="R19" s="27"/>
      <c r="S19" s="45"/>
    </row>
    <row r="20">
      <c r="A20" s="15"/>
      <c r="B20" s="11"/>
      <c r="C20" s="11"/>
      <c r="D20" s="11"/>
      <c r="E20" s="12"/>
      <c r="F20" s="11"/>
      <c r="G20" s="13"/>
      <c r="H20" s="11"/>
      <c r="I20" s="14"/>
      <c r="M20" s="26"/>
      <c r="N20" s="11"/>
      <c r="O20" s="12"/>
      <c r="P20" s="11"/>
      <c r="Q20" s="13"/>
      <c r="R20" s="27"/>
      <c r="S20" s="45"/>
    </row>
    <row r="21">
      <c r="A21" s="15"/>
      <c r="B21" s="11"/>
      <c r="C21" s="11"/>
      <c r="D21" s="11"/>
      <c r="E21" s="12"/>
      <c r="F21" s="11"/>
      <c r="G21" s="13"/>
      <c r="H21" s="11"/>
      <c r="I21" s="14"/>
      <c r="J21" s="33" t="str">
        <f>IFERROR(LEFT(G21,SEARCH("/",G21)-1)*1,"-")</f>
        <v>-</v>
      </c>
      <c r="K21" s="33" t="s">
        <v>92</v>
      </c>
      <c r="M21" s="26"/>
      <c r="N21" s="11"/>
      <c r="O21" s="12"/>
      <c r="P21" s="11"/>
      <c r="Q21" s="13"/>
      <c r="R21" s="27"/>
      <c r="S21" s="45" t="str">
        <f>IFERROR(LEFT(Q21,SEARCH("/",Q21)-1)*1,"-")</f>
        <v>-</v>
      </c>
    </row>
    <row r="22">
      <c r="A22" s="15"/>
      <c r="B22" s="11"/>
      <c r="C22" s="11"/>
      <c r="D22" s="11"/>
      <c r="E22" s="12"/>
      <c r="F22" s="11"/>
      <c r="G22" s="13"/>
      <c r="H22" s="11"/>
      <c r="I22" s="14"/>
      <c r="J22" s="33" t="str">
        <f>IFERROR(LEFT(G22,SEARCH("/",G22)-1)*1,"-")</f>
        <v>-</v>
      </c>
      <c r="K22" s="45" t="s">
        <v>92</v>
      </c>
      <c r="M22" s="26"/>
      <c r="N22" s="11"/>
      <c r="O22" s="12"/>
      <c r="P22" s="11"/>
      <c r="Q22" s="13"/>
      <c r="R22" s="27"/>
      <c r="S22" s="45" t="str">
        <f>IFERROR(LEFT(Q22,SEARCH("/",Q22)-1)*1,"-")</f>
        <v>-</v>
      </c>
    </row>
    <row r="23">
      <c r="A23" s="15"/>
      <c r="B23" s="11"/>
      <c r="C23" s="11"/>
      <c r="D23" s="11"/>
      <c r="E23" s="12"/>
      <c r="F23" s="11"/>
      <c r="G23" s="13"/>
      <c r="H23" s="11"/>
      <c r="I23" s="14"/>
      <c r="J23" s="33" t="str">
        <f>IFERROR(LEFT(G23,SEARCH("/",G23)-1)*1,"-")</f>
        <v>-</v>
      </c>
      <c r="K23" s="45" t="s">
        <v>92</v>
      </c>
      <c r="M23" s="26"/>
      <c r="N23" s="11"/>
      <c r="O23" s="12"/>
      <c r="P23" s="11"/>
      <c r="Q23" s="13"/>
      <c r="R23" s="27"/>
      <c r="S23" s="45" t="str">
        <f>IFERROR(LEFT(Q23,SEARCH("/",Q23)-1)*1,"-")</f>
        <v>-</v>
      </c>
    </row>
    <row r="24">
      <c r="A24" s="15"/>
      <c r="B24" s="11"/>
      <c r="C24" s="11"/>
      <c r="D24" s="11"/>
      <c r="E24" s="12"/>
      <c r="F24" s="11"/>
      <c r="G24" s="13"/>
      <c r="H24" s="11"/>
      <c r="I24" s="14"/>
      <c r="J24" s="33" t="str">
        <f>IFERROR(LEFT(G24,SEARCH("/",G24)-1)*1,"-")</f>
        <v>-</v>
      </c>
      <c r="K24" s="45" t="s">
        <v>92</v>
      </c>
      <c r="L24" s="46"/>
      <c r="M24" s="26"/>
      <c r="N24" s="11"/>
      <c r="O24" s="12"/>
      <c r="P24" s="11"/>
      <c r="Q24" s="13"/>
      <c r="R24" s="27"/>
      <c r="S24" s="45" t="str">
        <f>IFERROR(LEFT(Q24,SEARCH("/",Q24)-1)*1,"-")</f>
        <v>-</v>
      </c>
    </row>
    <row r="25">
      <c r="A25" s="15"/>
      <c r="B25" s="11"/>
      <c r="C25" s="11"/>
      <c r="D25" s="11"/>
      <c r="E25" s="12"/>
      <c r="F25" s="11"/>
      <c r="G25" s="13"/>
      <c r="H25" s="11"/>
      <c r="I25" s="14"/>
      <c r="J25" s="33" t="str">
        <f>IFERROR(LEFT(G25,SEARCH("/",G25)-1)*1,"-")</f>
        <v>-</v>
      </c>
      <c r="K25" s="45" t="s">
        <v>92</v>
      </c>
      <c r="L25" s="46"/>
      <c r="M25" s="26"/>
      <c r="N25" s="11"/>
      <c r="O25" s="12"/>
      <c r="P25" s="11"/>
      <c r="Q25" s="13"/>
      <c r="R25" s="27"/>
      <c r="S25" s="45" t="str">
        <f>IFERROR(LEFT(Q25,SEARCH("/",Q25)-1)*1,"-")</f>
        <v>-</v>
      </c>
    </row>
    <row r="26">
      <c r="A26" s="15"/>
      <c r="B26" s="11"/>
      <c r="C26" s="11"/>
      <c r="D26" s="11"/>
      <c r="E26" s="12"/>
      <c r="F26" s="11"/>
      <c r="G26" s="13"/>
      <c r="H26" s="11"/>
      <c r="I26" s="14"/>
      <c r="J26" s="33" t="str">
        <f>IFERROR(LEFT(G26,SEARCH("/",G26)-1)*1,"-")</f>
        <v>-</v>
      </c>
      <c r="K26" s="45" t="s">
        <v>92</v>
      </c>
      <c r="L26" s="46"/>
      <c r="M26" s="26"/>
      <c r="N26" s="11"/>
      <c r="O26" s="12"/>
      <c r="P26" s="11"/>
      <c r="Q26" s="13"/>
      <c r="R26" s="27"/>
      <c r="S26" s="45" t="str">
        <f>IFERROR(LEFT(Q26,SEARCH("/",Q26)-1)*1,"-")</f>
        <v>-</v>
      </c>
    </row>
    <row r="27">
      <c r="A27" s="15"/>
      <c r="B27" s="11"/>
      <c r="C27" s="11"/>
      <c r="D27" s="11"/>
      <c r="E27" s="12"/>
      <c r="F27" s="11"/>
      <c r="G27" s="13"/>
      <c r="H27" s="11"/>
      <c r="I27" s="14"/>
      <c r="J27" s="33" t="str">
        <f>IFERROR(LEFT(G27,SEARCH("/",G27)-1)*1,"-")</f>
        <v>-</v>
      </c>
      <c r="K27" s="45" t="s">
        <v>92</v>
      </c>
      <c r="M27" s="26"/>
      <c r="N27" s="11"/>
      <c r="O27" s="12"/>
      <c r="P27" s="11"/>
      <c r="Q27" s="13"/>
      <c r="R27" s="27"/>
      <c r="S27" s="45" t="str">
        <f>IFERROR(LEFT(Q27,SEARCH("/",Q27)-1)*1,"-")</f>
        <v>-</v>
      </c>
    </row>
    <row r="28">
      <c r="A28" s="15"/>
      <c r="B28" s="11"/>
      <c r="C28" s="11"/>
      <c r="D28" s="11"/>
      <c r="E28" s="12"/>
      <c r="F28" s="11"/>
      <c r="G28" s="13"/>
      <c r="H28" s="11"/>
      <c r="I28" s="14"/>
      <c r="J28" s="33" t="str">
        <f>IFERROR(LEFT(G28,SEARCH("/",G28)-1)*1,"-")</f>
        <v>-</v>
      </c>
      <c r="K28" s="45" t="s">
        <v>92</v>
      </c>
      <c r="M28" s="26"/>
      <c r="N28" s="11"/>
      <c r="O28" s="12"/>
      <c r="P28" s="11"/>
      <c r="Q28" s="13"/>
      <c r="R28" s="27"/>
      <c r="S28" s="45" t="str">
        <f>IFERROR(LEFT(Q28,SEARCH("/",Q28)-1)*1,"-")</f>
        <v>-</v>
      </c>
    </row>
    <row r="29">
      <c r="A29" s="15"/>
      <c r="B29" s="11"/>
      <c r="C29" s="11"/>
      <c r="D29" s="11"/>
      <c r="E29" s="12"/>
      <c r="F29" s="11"/>
      <c r="G29" s="13"/>
      <c r="H29" s="11"/>
      <c r="I29" s="14"/>
      <c r="J29" s="33" t="str">
        <f>IFERROR(LEFT(G29,SEARCH("/",G29)-1)*1,"-")</f>
        <v>-</v>
      </c>
      <c r="K29" s="45" t="s">
        <v>92</v>
      </c>
      <c r="M29" s="26"/>
      <c r="N29" s="11"/>
      <c r="O29" s="12"/>
      <c r="P29" s="11"/>
      <c r="Q29" s="13"/>
      <c r="R29" s="27"/>
      <c r="S29" s="45" t="str">
        <f>IFERROR(LEFT(Q29,SEARCH("/",Q29)-1)*1,"-")</f>
        <v>-</v>
      </c>
    </row>
    <row r="30">
      <c r="A30" s="15"/>
      <c r="B30" s="11"/>
      <c r="C30" s="11"/>
      <c r="D30" s="11"/>
      <c r="E30" s="12"/>
      <c r="F30" s="11"/>
      <c r="G30" s="13"/>
      <c r="H30" s="11"/>
      <c r="I30" s="14"/>
      <c r="J30" s="33" t="str">
        <f>IFERROR(LEFT(G30,SEARCH("/",G30)-1)*1,"-")</f>
        <v>-</v>
      </c>
      <c r="K30" s="45" t="s">
        <v>92</v>
      </c>
      <c r="M30" s="26"/>
      <c r="N30" s="11"/>
      <c r="O30" s="12"/>
      <c r="P30" s="11"/>
      <c r="Q30" s="13"/>
      <c r="R30" s="27"/>
      <c r="S30" s="45" t="str">
        <f>IFERROR(LEFT(Q30,SEARCH("/",Q30)-1)*1,"-")</f>
        <v>-</v>
      </c>
    </row>
    <row r="31">
      <c r="A31" s="15"/>
      <c r="B31" s="11"/>
      <c r="C31" s="11"/>
      <c r="D31" s="11"/>
      <c r="E31" s="12"/>
      <c r="F31" s="11"/>
      <c r="G31" s="13"/>
      <c r="H31" s="11"/>
      <c r="I31" s="14"/>
      <c r="J31" s="33" t="str">
        <f>IFERROR(LEFT(G31,SEARCH("/",G31)-1)*1,"-")</f>
        <v>-</v>
      </c>
      <c r="K31" s="45" t="s">
        <v>92</v>
      </c>
      <c r="M31" s="26"/>
      <c r="N31" s="11"/>
      <c r="O31" s="12"/>
      <c r="P31" s="11"/>
      <c r="Q31" s="13"/>
      <c r="R31" s="27"/>
      <c r="S31" s="33" t="str">
        <f>IFERROR(LEFT(Q31,SEARCH("/",Q31)-1)*1,"-")</f>
        <v>-</v>
      </c>
    </row>
    <row r="32">
      <c r="A32" s="15"/>
      <c r="B32" s="11"/>
      <c r="C32" s="11"/>
      <c r="D32" s="11"/>
      <c r="E32" s="12"/>
      <c r="F32" s="11"/>
      <c r="G32" s="13"/>
      <c r="H32" s="11"/>
      <c r="I32" s="14"/>
      <c r="J32" s="33" t="str">
        <f>IFERROR(LEFT(G32,SEARCH("/",G32)-1)*1,"-")</f>
        <v>-</v>
      </c>
      <c r="K32" s="45" t="s">
        <v>92</v>
      </c>
      <c r="M32" s="26"/>
      <c r="N32" s="11"/>
      <c r="O32" s="12"/>
      <c r="P32" s="11"/>
      <c r="Q32" s="13"/>
      <c r="R32" s="27"/>
      <c r="S32" s="33" t="str">
        <f>IFERROR(LEFT(Q32,SEARCH("/",Q32)-1)*1,"-")</f>
        <v>-</v>
      </c>
    </row>
    <row r="33">
      <c r="A33" s="15"/>
      <c r="B33" s="11"/>
      <c r="C33" s="11"/>
      <c r="D33" s="11"/>
      <c r="E33" s="12"/>
      <c r="F33" s="11"/>
      <c r="G33" s="13"/>
      <c r="H33" s="11"/>
      <c r="I33" s="14"/>
      <c r="J33" s="33" t="str">
        <f>IFERROR(LEFT(G33,SEARCH("/",G33)-1)*1,"-")</f>
        <v>-</v>
      </c>
      <c r="K33" s="45" t="s">
        <v>92</v>
      </c>
      <c r="M33" s="26"/>
      <c r="N33" s="11"/>
      <c r="O33" s="12"/>
      <c r="P33" s="11"/>
      <c r="Q33" s="13"/>
      <c r="R33" s="27"/>
      <c r="S33" s="45" t="str">
        <f>IFERROR(LEFT(Q33,SEARCH("/",Q33)-1)*1,"-")</f>
        <v>-</v>
      </c>
    </row>
    <row r="34">
      <c r="A34" s="16"/>
      <c r="B34" s="17"/>
      <c r="C34" s="17"/>
      <c r="D34" s="17"/>
      <c r="E34" s="18"/>
      <c r="F34" s="17"/>
      <c r="G34" s="19"/>
      <c r="H34" s="17"/>
      <c r="I34" s="20"/>
      <c r="J34" s="33" t="str">
        <f>IFERROR(LEFT(G34,SEARCH("/",G34)-1)*1,"-")</f>
        <v>-</v>
      </c>
      <c r="K34" s="33" t="s">
        <v>92</v>
      </c>
      <c r="M34" s="28"/>
      <c r="N34" s="29"/>
      <c r="O34" s="30"/>
      <c r="P34" s="29"/>
      <c r="Q34" s="31"/>
      <c r="R34" s="32"/>
      <c r="S34" s="45" t="str">
        <f>IFERROR(LEFT(Q34,SEARCH("/",Q34)-1)*1,"-")</f>
        <v>-</v>
      </c>
    </row>
    <row r="35" ht="15.75">
      <c r="A35" s="149" t="s">
        <v>22</v>
      </c>
      <c r="B35" s="148"/>
      <c r="C35" s="47" t="s">
        <v>23</v>
      </c>
      <c r="D35" s="48"/>
      <c r="E35" s="48"/>
      <c r="F35" s="129" t="s">
        <v>24</v>
      </c>
      <c r="G35" s="128"/>
      <c r="H35" s="128"/>
      <c r="I35" s="127"/>
      <c r="M35" s="139" t="s">
        <v>27</v>
      </c>
      <c r="N35" s="139"/>
      <c r="P35" s="157" t="s">
        <v>24</v>
      </c>
      <c r="Q35" s="157"/>
      <c r="R35" s="157"/>
    </row>
    <row r="36">
      <c r="A36" s="155">
        <f>SUMIF(Tabela11618222426[mês],MONTH((H9*1)),(E12:E34))</f>
        <v>0.0</v>
      </c>
      <c r="B36" s="154"/>
      <c r="C36" s="126">
        <f>SUMIFS(E12:E34,I12:I34,"Sim",J12:J34,"&gt;1")</f>
        <v>0.0</v>
      </c>
      <c r="D36" s="49"/>
      <c r="E36" s="49"/>
      <c r="F36" s="138">
        <f>SUMIF(I12:I34,"Sim",E12:E34)</f>
        <v>0.0</v>
      </c>
      <c r="G36" s="137"/>
      <c r="H36" s="137"/>
      <c r="I36" s="136"/>
      <c r="M36" s="141">
        <f>SUM(Tabela31719232527[Valor])</f>
        <v>0.0</v>
      </c>
      <c r="N36" s="140"/>
      <c r="O36" s="49"/>
      <c r="P36" s="146">
        <f>SUMIF(Tabela31719232527[Pago],"Sim",Tabela31719232527[Valor])</f>
        <v>0.0</v>
      </c>
      <c r="Q36" s="146"/>
      <c r="R36" s="146"/>
      <c r="S36" s="49"/>
    </row>
    <row r="37">
      <c r="A37" s="153"/>
      <c r="B37" s="152"/>
      <c r="C37" s="125"/>
      <c r="D37" s="49"/>
      <c r="E37" s="49"/>
      <c r="F37" s="135"/>
      <c r="G37" s="134"/>
      <c r="H37" s="134"/>
      <c r="I37" s="133"/>
      <c r="M37" s="140"/>
      <c r="N37" s="140"/>
      <c r="O37" s="49"/>
      <c r="P37" s="146"/>
      <c r="Q37" s="146"/>
      <c r="R37" s="146"/>
      <c r="S37" s="49"/>
    </row>
    <row r="38">
      <c r="A38" s="151"/>
      <c r="B38" s="150"/>
      <c r="C38" s="124"/>
      <c r="D38" s="49"/>
      <c r="E38" s="49"/>
      <c r="F38" s="132"/>
      <c r="G38" s="131"/>
      <c r="H38" s="131"/>
      <c r="I38" s="130"/>
      <c r="M38" s="140"/>
      <c r="N38" s="140"/>
      <c r="O38" s="49"/>
      <c r="P38" s="146"/>
      <c r="Q38" s="146"/>
      <c r="R38" s="146"/>
      <c r="S38" s="49"/>
    </row>
    <row r="39">
      <c r="B39" s="11"/>
      <c r="C39" s="50"/>
    </row>
    <row r="40">
      <c r="G40" s="33"/>
    </row>
    <row r="41">
      <c r="G41" s="33"/>
    </row>
    <row r="42">
      <c r="G42" s="33"/>
    </row>
    <row r="43">
      <c r="G43" s="33"/>
    </row>
    <row r="44">
      <c r="G44" s="33"/>
    </row>
    <row r="45">
      <c r="G45" s="33"/>
    </row>
    <row r="46">
      <c r="G46" s="33"/>
    </row>
  </sheetData>
  <mergeCells count="19">
    <mergeCell ref="B7:C7"/>
    <mergeCell ref="A1:R2"/>
    <mergeCell ref="B4:C4"/>
    <mergeCell ref="B5:C5"/>
    <mergeCell ref="G5:G6"/>
    <mergeCell ref="H5:I6"/>
    <mergeCell ref="A9:G10"/>
    <mergeCell ref="H9:I10"/>
    <mergeCell ref="M9:P10"/>
    <mergeCell ref="Q9:R10"/>
    <mergeCell ref="A35:B35"/>
    <mergeCell ref="F35:I35"/>
    <mergeCell ref="M35:N35"/>
    <mergeCell ref="P35:R35"/>
    <mergeCell ref="A36:B38"/>
    <mergeCell ref="C36:C38"/>
    <mergeCell ref="F36:I38"/>
    <mergeCell ref="M36:N38"/>
    <mergeCell ref="P36:R38"/>
  </mergeCells>
  <printOptions/>
  <pageMargins left="0.5054133862" right="0.5054133862" top="0.7775590553124999" bottom="0.7775590553124999" footer="0.31102361224999997" header="0.31102361224999997"/>
  <pageSetup paperSize="9" scale="10" orientation="landscape" copies="0"/>
  <headerFooter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 codeName="Planilha8">
    <outlinePr/>
    <pageSetUpPr fitToPage="1"/>
  </sheetPr>
  <dimension ref="A1:XFD46"/>
  <sheetViews>
    <sheetView workbookViewId="0" showGridLines="0" zoomScale="70" zoomScaleNormal="70" zoomScaleSheetLayoutView="60">
      <pane ySplit="11" topLeftCell="A12" activePane="bottomLeft" state="frozen"/>
      <selection activeCell="A12" sqref="A12"/>
      <selection pane="bottomLeft" activeCell="A12" sqref="A12"/>
    </sheetView>
  </sheetViews>
  <sheetFormatPr defaultRowHeight="15.0" customHeight="1"/>
  <cols>
    <col min="1" max="1" width="19.72417534722222" style="33" customWidth="1"/>
    <col min="2" max="2" width="9.557508680555555" style="33" customWidth="1"/>
    <col min="3" max="3" width="48.835286458333336" style="33" customWidth="1"/>
    <col min="4" max="4" width="8.835286458333334" style="33" bestFit="1" customWidth="1"/>
    <col min="5" max="5" width="14.835286458333334" style="34" bestFit="1" customWidth="1"/>
    <col min="6" max="6" width="12.724175347222221" style="33" bestFit="1" customWidth="1"/>
    <col min="7" max="7" width="16.835286458333332" style="35" customWidth="1"/>
    <col min="8" max="8" width="6.446397569444445" style="33" bestFit="1" customWidth="1"/>
    <col min="9" max="9" width="10.279730902777779" style="33" bestFit="1" customWidth="1"/>
    <col min="10" max="11" width="11.724175347222221" style="33" hidden="1" customWidth="1"/>
    <col min="12" max="12" width="6.279730902777778" style="33" customWidth="1"/>
    <col min="13" max="13" width="11.557508680555555" style="33" bestFit="1" customWidth="1"/>
    <col min="14" max="14" width="30.446397569444443" style="33" customWidth="1"/>
    <col min="15" max="15" width="14.279730902777779" style="33" bestFit="1" customWidth="1"/>
    <col min="16" max="18" width="14.724175347222221" style="33" customWidth="1"/>
    <col min="19" max="19" width="9.446397569444445" style="33" hidden="1" customWidth="1"/>
    <col min="20" max="16384" width="9.168619791666666" style="33"/>
  </cols>
  <sheetData>
    <row r="1">
      <c r="A1" s="143" t="s">
        <v>20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</row>
    <row r="2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</row>
    <row r="3" ht="6.75" customHeight="1"/>
    <row r="4" ht="15.75">
      <c r="A4" s="36" t="s">
        <v>16</v>
      </c>
      <c r="B4" s="156" t="s">
        <v>41</v>
      </c>
      <c r="C4" s="156"/>
    </row>
    <row r="5" ht="15.75">
      <c r="A5" s="36" t="s">
        <v>15</v>
      </c>
      <c r="B5" s="156">
        <v>2019.0</v>
      </c>
      <c r="C5" s="156"/>
      <c r="G5" s="159"/>
      <c r="H5" s="161"/>
      <c r="I5" s="160"/>
    </row>
    <row r="6" ht="3.75" customHeight="1">
      <c r="A6" s="36"/>
      <c r="B6" s="4"/>
      <c r="C6" s="4"/>
      <c r="G6" s="158"/>
      <c r="H6" s="160"/>
      <c r="I6" s="160"/>
    </row>
    <row r="7" ht="15.75">
      <c r="A7" s="36" t="s">
        <v>42</v>
      </c>
      <c r="B7" s="156"/>
      <c r="C7" s="156"/>
    </row>
    <row r="8" ht="6.75" customHeight="1">
      <c r="A8" s="37"/>
    </row>
    <row r="9" customHeight="1">
      <c r="A9" s="142" t="s">
        <v>25</v>
      </c>
      <c r="B9" s="142"/>
      <c r="C9" s="142"/>
      <c r="D9" s="142"/>
      <c r="E9" s="142"/>
      <c r="F9" s="142"/>
      <c r="G9" s="142"/>
      <c r="H9" s="144" t="str">
        <f>LEFT($B$4,3)&amp;"/"&amp;RIGHT($B$5,2)</f>
        <v>Dez/19</v>
      </c>
      <c r="I9" s="144"/>
      <c r="M9" s="147" t="s">
        <v>59</v>
      </c>
      <c r="N9" s="147"/>
      <c r="O9" s="147"/>
      <c r="P9" s="147"/>
      <c r="Q9" s="145" t="str">
        <f>LEFT($B$4,3)&amp;"/"&amp;RIGHT($B$5,2)</f>
        <v>Dez/19</v>
      </c>
      <c r="R9" s="145"/>
    </row>
    <row r="10" customHeight="1">
      <c r="A10" s="142"/>
      <c r="B10" s="142"/>
      <c r="C10" s="142"/>
      <c r="D10" s="142"/>
      <c r="E10" s="142"/>
      <c r="F10" s="142"/>
      <c r="G10" s="142"/>
      <c r="H10" s="144"/>
      <c r="I10" s="144"/>
      <c r="M10" s="147"/>
      <c r="N10" s="147"/>
      <c r="O10" s="147"/>
      <c r="P10" s="147"/>
      <c r="Q10" s="145"/>
      <c r="R10" s="145"/>
    </row>
    <row r="11" s="41" customFormat="1" ht="52.5" customHeight="1">
      <c r="A11" s="38" t="s">
        <v>0</v>
      </c>
      <c r="B11" s="38" t="s">
        <v>1</v>
      </c>
      <c r="C11" s="38" t="s">
        <v>2</v>
      </c>
      <c r="D11" s="38" t="s">
        <v>18</v>
      </c>
      <c r="E11" s="39" t="s">
        <v>3</v>
      </c>
      <c r="F11" s="38" t="s">
        <v>21</v>
      </c>
      <c r="G11" s="40" t="s">
        <v>11</v>
      </c>
      <c r="H11" s="38" t="s">
        <v>28</v>
      </c>
      <c r="I11" s="38" t="s">
        <v>9</v>
      </c>
      <c r="J11" s="41" t="s">
        <v>31</v>
      </c>
      <c r="K11" s="42" t="s">
        <v>29</v>
      </c>
      <c r="M11" s="43" t="s">
        <v>0</v>
      </c>
      <c r="N11" s="38" t="s">
        <v>13</v>
      </c>
      <c r="O11" s="43" t="s">
        <v>3</v>
      </c>
      <c r="P11" s="38" t="s">
        <v>26</v>
      </c>
      <c r="Q11" s="40" t="s">
        <v>11</v>
      </c>
      <c r="R11" s="38" t="s">
        <v>4</v>
      </c>
      <c r="S11" s="44" t="s">
        <v>14</v>
      </c>
    </row>
    <row r="12">
      <c r="A12" s="5"/>
      <c r="B12" s="6"/>
      <c r="C12" s="6"/>
      <c r="D12" s="6"/>
      <c r="E12" s="7"/>
      <c r="F12" s="6"/>
      <c r="G12" s="8"/>
      <c r="H12" s="6"/>
      <c r="I12" s="9"/>
      <c r="M12" s="21"/>
      <c r="N12" s="22"/>
      <c r="O12" s="23"/>
      <c r="P12" s="22"/>
      <c r="Q12" s="24"/>
      <c r="R12" s="25"/>
    </row>
    <row r="13">
      <c r="A13" s="10"/>
      <c r="B13" s="11"/>
      <c r="C13" s="11"/>
      <c r="D13" s="11"/>
      <c r="E13" s="12"/>
      <c r="F13" s="11"/>
      <c r="G13" s="13"/>
      <c r="H13" s="11"/>
      <c r="I13" s="14"/>
      <c r="M13" s="26"/>
      <c r="N13" s="11"/>
      <c r="O13" s="12"/>
      <c r="P13" s="11"/>
      <c r="Q13" s="13"/>
      <c r="R13" s="27"/>
    </row>
    <row r="14">
      <c r="A14" s="10"/>
      <c r="B14" s="11"/>
      <c r="C14" s="11"/>
      <c r="D14" s="11"/>
      <c r="E14" s="12"/>
      <c r="F14" s="11"/>
      <c r="G14" s="13"/>
      <c r="H14" s="11"/>
      <c r="I14" s="14"/>
      <c r="M14" s="26"/>
      <c r="N14" s="11"/>
      <c r="O14" s="12"/>
      <c r="P14" s="11"/>
      <c r="Q14" s="13"/>
      <c r="R14" s="27"/>
    </row>
    <row r="15">
      <c r="A15" s="15"/>
      <c r="B15" s="11"/>
      <c r="C15" s="11"/>
      <c r="D15" s="11"/>
      <c r="E15" s="12"/>
      <c r="F15" s="11"/>
      <c r="G15" s="13"/>
      <c r="H15" s="11"/>
      <c r="I15" s="14"/>
      <c r="M15" s="26"/>
      <c r="N15" s="11"/>
      <c r="O15" s="12"/>
      <c r="P15" s="11"/>
      <c r="Q15" s="13"/>
      <c r="R15" s="27"/>
    </row>
    <row r="16">
      <c r="A16" s="15"/>
      <c r="B16" s="11"/>
      <c r="C16" s="11"/>
      <c r="D16" s="11"/>
      <c r="E16" s="12"/>
      <c r="F16" s="11"/>
      <c r="G16" s="13"/>
      <c r="H16" s="11"/>
      <c r="I16" s="14"/>
      <c r="M16" s="26"/>
      <c r="N16" s="11"/>
      <c r="O16" s="12"/>
      <c r="P16" s="11"/>
      <c r="Q16" s="13"/>
      <c r="R16" s="27"/>
    </row>
    <row r="17">
      <c r="A17" s="15"/>
      <c r="B17" s="11"/>
      <c r="C17" s="11"/>
      <c r="D17" s="11"/>
      <c r="E17" s="12"/>
      <c r="F17" s="11"/>
      <c r="G17" s="13"/>
      <c r="H17" s="11"/>
      <c r="I17" s="14"/>
      <c r="M17" s="26"/>
      <c r="N17" s="11"/>
      <c r="O17" s="12"/>
      <c r="P17" s="11"/>
      <c r="Q17" s="13"/>
      <c r="R17" s="27"/>
    </row>
    <row r="18">
      <c r="A18" s="15"/>
      <c r="B18" s="11"/>
      <c r="C18" s="11"/>
      <c r="D18" s="11"/>
      <c r="E18" s="12"/>
      <c r="F18" s="11"/>
      <c r="G18" s="13"/>
      <c r="H18" s="11"/>
      <c r="I18" s="14"/>
      <c r="M18" s="26"/>
      <c r="N18" s="11"/>
      <c r="O18" s="12"/>
      <c r="P18" s="11"/>
      <c r="Q18" s="13"/>
      <c r="R18" s="27"/>
    </row>
    <row r="19">
      <c r="A19" s="15"/>
      <c r="B19" s="11"/>
      <c r="C19" s="11"/>
      <c r="D19" s="11"/>
      <c r="E19" s="12"/>
      <c r="F19" s="11"/>
      <c r="G19" s="13"/>
      <c r="H19" s="11"/>
      <c r="I19" s="14"/>
      <c r="M19" s="26"/>
      <c r="N19" s="11"/>
      <c r="O19" s="12"/>
      <c r="P19" s="11"/>
      <c r="Q19" s="13"/>
      <c r="R19" s="27"/>
      <c r="S19" s="45"/>
    </row>
    <row r="20">
      <c r="A20" s="15"/>
      <c r="B20" s="11"/>
      <c r="C20" s="11"/>
      <c r="D20" s="11"/>
      <c r="E20" s="12"/>
      <c r="F20" s="11"/>
      <c r="G20" s="13"/>
      <c r="H20" s="11"/>
      <c r="I20" s="14"/>
      <c r="M20" s="26"/>
      <c r="N20" s="11"/>
      <c r="O20" s="12"/>
      <c r="P20" s="11"/>
      <c r="Q20" s="13"/>
      <c r="R20" s="27"/>
      <c r="S20" s="45"/>
    </row>
    <row r="21">
      <c r="A21" s="15"/>
      <c r="B21" s="11"/>
      <c r="C21" s="11"/>
      <c r="D21" s="11"/>
      <c r="E21" s="12"/>
      <c r="F21" s="11"/>
      <c r="G21" s="13"/>
      <c r="H21" s="11"/>
      <c r="I21" s="14"/>
      <c r="J21" s="33" t="str">
        <f>IFERROR(LEFT(G21,SEARCH("/",G21)-1)*1,"-")</f>
        <v>-</v>
      </c>
      <c r="K21" s="33" t="s">
        <v>92</v>
      </c>
      <c r="M21" s="26"/>
      <c r="N21" s="11"/>
      <c r="O21" s="12"/>
      <c r="P21" s="11"/>
      <c r="Q21" s="13"/>
      <c r="R21" s="27"/>
      <c r="S21" s="45" t="str">
        <f>IFERROR(LEFT(Q21,SEARCH("/",Q21)-1)*1,"-")</f>
        <v>-</v>
      </c>
    </row>
    <row r="22">
      <c r="A22" s="15"/>
      <c r="B22" s="11"/>
      <c r="C22" s="11"/>
      <c r="D22" s="11"/>
      <c r="E22" s="12"/>
      <c r="F22" s="11"/>
      <c r="G22" s="13"/>
      <c r="H22" s="11"/>
      <c r="I22" s="14"/>
      <c r="J22" s="33" t="str">
        <f>IFERROR(LEFT(G22,SEARCH("/",G22)-1)*1,"-")</f>
        <v>-</v>
      </c>
      <c r="K22" s="45" t="s">
        <v>92</v>
      </c>
      <c r="M22" s="26"/>
      <c r="N22" s="11"/>
      <c r="O22" s="12"/>
      <c r="P22" s="11"/>
      <c r="Q22" s="13"/>
      <c r="R22" s="27"/>
      <c r="S22" s="45" t="str">
        <f>IFERROR(LEFT(Q22,SEARCH("/",Q22)-1)*1,"-")</f>
        <v>-</v>
      </c>
    </row>
    <row r="23">
      <c r="A23" s="15"/>
      <c r="B23" s="11"/>
      <c r="C23" s="11"/>
      <c r="D23" s="11"/>
      <c r="E23" s="12"/>
      <c r="F23" s="11"/>
      <c r="G23" s="13"/>
      <c r="H23" s="11"/>
      <c r="I23" s="14"/>
      <c r="J23" s="33" t="str">
        <f>IFERROR(LEFT(G23,SEARCH("/",G23)-1)*1,"-")</f>
        <v>-</v>
      </c>
      <c r="K23" s="45" t="s">
        <v>92</v>
      </c>
      <c r="M23" s="26"/>
      <c r="N23" s="11"/>
      <c r="O23" s="12"/>
      <c r="P23" s="11"/>
      <c r="Q23" s="13"/>
      <c r="R23" s="27"/>
      <c r="S23" s="45" t="str">
        <f>IFERROR(LEFT(Q23,SEARCH("/",Q23)-1)*1,"-")</f>
        <v>-</v>
      </c>
    </row>
    <row r="24">
      <c r="A24" s="15"/>
      <c r="B24" s="11"/>
      <c r="C24" s="11"/>
      <c r="D24" s="11"/>
      <c r="E24" s="12"/>
      <c r="F24" s="11"/>
      <c r="G24" s="13"/>
      <c r="H24" s="11"/>
      <c r="I24" s="14"/>
      <c r="J24" s="33" t="str">
        <f>IFERROR(LEFT(G24,SEARCH("/",G24)-1)*1,"-")</f>
        <v>-</v>
      </c>
      <c r="K24" s="45" t="s">
        <v>92</v>
      </c>
      <c r="L24" s="46"/>
      <c r="M24" s="26"/>
      <c r="N24" s="11"/>
      <c r="O24" s="12"/>
      <c r="P24" s="11"/>
      <c r="Q24" s="13"/>
      <c r="R24" s="27"/>
      <c r="S24" s="45" t="str">
        <f>IFERROR(LEFT(Q24,SEARCH("/",Q24)-1)*1,"-")</f>
        <v>-</v>
      </c>
    </row>
    <row r="25">
      <c r="A25" s="15"/>
      <c r="B25" s="11"/>
      <c r="C25" s="11"/>
      <c r="D25" s="11"/>
      <c r="E25" s="12"/>
      <c r="F25" s="11"/>
      <c r="G25" s="13"/>
      <c r="H25" s="11"/>
      <c r="I25" s="14"/>
      <c r="J25" s="33" t="str">
        <f>IFERROR(LEFT(G25,SEARCH("/",G25)-1)*1,"-")</f>
        <v>-</v>
      </c>
      <c r="K25" s="45" t="s">
        <v>92</v>
      </c>
      <c r="L25" s="46"/>
      <c r="M25" s="26"/>
      <c r="N25" s="11"/>
      <c r="O25" s="12"/>
      <c r="P25" s="11"/>
      <c r="Q25" s="13"/>
      <c r="R25" s="27"/>
      <c r="S25" s="45" t="str">
        <f>IFERROR(LEFT(Q25,SEARCH("/",Q25)-1)*1,"-")</f>
        <v>-</v>
      </c>
    </row>
    <row r="26">
      <c r="A26" s="15"/>
      <c r="B26" s="11"/>
      <c r="C26" s="11"/>
      <c r="D26" s="11"/>
      <c r="E26" s="12"/>
      <c r="F26" s="11"/>
      <c r="G26" s="13"/>
      <c r="H26" s="11"/>
      <c r="I26" s="14"/>
      <c r="J26" s="33" t="str">
        <f>IFERROR(LEFT(G26,SEARCH("/",G26)-1)*1,"-")</f>
        <v>-</v>
      </c>
      <c r="K26" s="45" t="s">
        <v>92</v>
      </c>
      <c r="L26" s="46"/>
      <c r="M26" s="26"/>
      <c r="N26" s="11"/>
      <c r="O26" s="12"/>
      <c r="P26" s="11"/>
      <c r="Q26" s="13"/>
      <c r="R26" s="27"/>
      <c r="S26" s="45" t="str">
        <f>IFERROR(LEFT(Q26,SEARCH("/",Q26)-1)*1,"-")</f>
        <v>-</v>
      </c>
    </row>
    <row r="27">
      <c r="A27" s="15"/>
      <c r="B27" s="11"/>
      <c r="C27" s="11"/>
      <c r="D27" s="11"/>
      <c r="E27" s="12"/>
      <c r="F27" s="11"/>
      <c r="G27" s="13"/>
      <c r="H27" s="11"/>
      <c r="I27" s="14"/>
      <c r="J27" s="33" t="str">
        <f>IFERROR(LEFT(G27,SEARCH("/",G27)-1)*1,"-")</f>
        <v>-</v>
      </c>
      <c r="K27" s="45" t="s">
        <v>92</v>
      </c>
      <c r="M27" s="26"/>
      <c r="N27" s="11"/>
      <c r="O27" s="12"/>
      <c r="P27" s="11"/>
      <c r="Q27" s="13"/>
      <c r="R27" s="27"/>
      <c r="S27" s="45" t="str">
        <f>IFERROR(LEFT(Q27,SEARCH("/",Q27)-1)*1,"-")</f>
        <v>-</v>
      </c>
    </row>
    <row r="28">
      <c r="A28" s="15"/>
      <c r="B28" s="11"/>
      <c r="C28" s="11"/>
      <c r="D28" s="11"/>
      <c r="E28" s="12"/>
      <c r="F28" s="11"/>
      <c r="G28" s="13"/>
      <c r="H28" s="11"/>
      <c r="I28" s="14"/>
      <c r="J28" s="33" t="str">
        <f>IFERROR(LEFT(G28,SEARCH("/",G28)-1)*1,"-")</f>
        <v>-</v>
      </c>
      <c r="K28" s="45" t="s">
        <v>92</v>
      </c>
      <c r="M28" s="26"/>
      <c r="N28" s="11"/>
      <c r="O28" s="12"/>
      <c r="P28" s="11"/>
      <c r="Q28" s="13"/>
      <c r="R28" s="27"/>
      <c r="S28" s="45" t="str">
        <f>IFERROR(LEFT(Q28,SEARCH("/",Q28)-1)*1,"-")</f>
        <v>-</v>
      </c>
    </row>
    <row r="29">
      <c r="A29" s="15"/>
      <c r="B29" s="11"/>
      <c r="C29" s="11"/>
      <c r="D29" s="11"/>
      <c r="E29" s="12"/>
      <c r="F29" s="11"/>
      <c r="G29" s="13"/>
      <c r="H29" s="11"/>
      <c r="I29" s="14"/>
      <c r="J29" s="33" t="str">
        <f>IFERROR(LEFT(G29,SEARCH("/",G29)-1)*1,"-")</f>
        <v>-</v>
      </c>
      <c r="K29" s="45" t="s">
        <v>92</v>
      </c>
      <c r="M29" s="26"/>
      <c r="N29" s="11"/>
      <c r="O29" s="12"/>
      <c r="P29" s="11"/>
      <c r="Q29" s="13"/>
      <c r="R29" s="27"/>
      <c r="S29" s="45" t="str">
        <f>IFERROR(LEFT(Q29,SEARCH("/",Q29)-1)*1,"-")</f>
        <v>-</v>
      </c>
    </row>
    <row r="30">
      <c r="A30" s="15"/>
      <c r="B30" s="11"/>
      <c r="C30" s="11"/>
      <c r="D30" s="11"/>
      <c r="E30" s="12"/>
      <c r="F30" s="11"/>
      <c r="G30" s="13"/>
      <c r="H30" s="11"/>
      <c r="I30" s="14"/>
      <c r="J30" s="33" t="str">
        <f>IFERROR(LEFT(G30,SEARCH("/",G30)-1)*1,"-")</f>
        <v>-</v>
      </c>
      <c r="K30" s="45" t="s">
        <v>92</v>
      </c>
      <c r="M30" s="26"/>
      <c r="N30" s="11"/>
      <c r="O30" s="12"/>
      <c r="P30" s="11"/>
      <c r="Q30" s="13"/>
      <c r="R30" s="27"/>
      <c r="S30" s="45" t="str">
        <f>IFERROR(LEFT(Q30,SEARCH("/",Q30)-1)*1,"-")</f>
        <v>-</v>
      </c>
    </row>
    <row r="31">
      <c r="A31" s="15"/>
      <c r="B31" s="11"/>
      <c r="C31" s="11"/>
      <c r="D31" s="11"/>
      <c r="E31" s="12"/>
      <c r="F31" s="11"/>
      <c r="G31" s="13"/>
      <c r="H31" s="11"/>
      <c r="I31" s="14"/>
      <c r="J31" s="33" t="str">
        <f>IFERROR(LEFT(G31,SEARCH("/",G31)-1)*1,"-")</f>
        <v>-</v>
      </c>
      <c r="K31" s="45" t="s">
        <v>92</v>
      </c>
      <c r="M31" s="26"/>
      <c r="N31" s="11"/>
      <c r="O31" s="12"/>
      <c r="P31" s="11"/>
      <c r="Q31" s="13"/>
      <c r="R31" s="27"/>
      <c r="S31" s="33" t="str">
        <f>IFERROR(LEFT(Q31,SEARCH("/",Q31)-1)*1,"-")</f>
        <v>-</v>
      </c>
    </row>
    <row r="32">
      <c r="A32" s="15"/>
      <c r="B32" s="11"/>
      <c r="C32" s="11"/>
      <c r="D32" s="11"/>
      <c r="E32" s="12"/>
      <c r="F32" s="11"/>
      <c r="G32" s="13"/>
      <c r="H32" s="11"/>
      <c r="I32" s="14"/>
      <c r="J32" s="33" t="str">
        <f>IFERROR(LEFT(G32,SEARCH("/",G32)-1)*1,"-")</f>
        <v>-</v>
      </c>
      <c r="K32" s="45" t="s">
        <v>92</v>
      </c>
      <c r="M32" s="26"/>
      <c r="N32" s="11"/>
      <c r="O32" s="12"/>
      <c r="P32" s="11"/>
      <c r="Q32" s="13"/>
      <c r="R32" s="27"/>
      <c r="S32" s="33" t="str">
        <f>IFERROR(LEFT(Q32,SEARCH("/",Q32)-1)*1,"-")</f>
        <v>-</v>
      </c>
    </row>
    <row r="33">
      <c r="A33" s="15"/>
      <c r="B33" s="11"/>
      <c r="C33" s="11"/>
      <c r="D33" s="11"/>
      <c r="E33" s="12"/>
      <c r="F33" s="11"/>
      <c r="G33" s="13"/>
      <c r="H33" s="11"/>
      <c r="I33" s="14"/>
      <c r="J33" s="33" t="str">
        <f>IFERROR(LEFT(G33,SEARCH("/",G33)-1)*1,"-")</f>
        <v>-</v>
      </c>
      <c r="K33" s="45" t="s">
        <v>92</v>
      </c>
      <c r="M33" s="26"/>
      <c r="N33" s="11"/>
      <c r="O33" s="12"/>
      <c r="P33" s="11"/>
      <c r="Q33" s="13"/>
      <c r="R33" s="27"/>
      <c r="S33" s="45" t="str">
        <f>IFERROR(LEFT(Q33,SEARCH("/",Q33)-1)*1,"-")</f>
        <v>-</v>
      </c>
    </row>
    <row r="34">
      <c r="A34" s="16"/>
      <c r="B34" s="17"/>
      <c r="C34" s="17"/>
      <c r="D34" s="17"/>
      <c r="E34" s="18"/>
      <c r="F34" s="17"/>
      <c r="G34" s="19"/>
      <c r="H34" s="17"/>
      <c r="I34" s="20"/>
      <c r="J34" s="33" t="str">
        <f>IFERROR(LEFT(G34,SEARCH("/",G34)-1)*1,"-")</f>
        <v>-</v>
      </c>
      <c r="K34" s="33" t="s">
        <v>92</v>
      </c>
      <c r="M34" s="28"/>
      <c r="N34" s="29"/>
      <c r="O34" s="30"/>
      <c r="P34" s="29"/>
      <c r="Q34" s="31"/>
      <c r="R34" s="32"/>
      <c r="S34" s="45" t="str">
        <f>IFERROR(LEFT(Q34,SEARCH("/",Q34)-1)*1,"-")</f>
        <v>-</v>
      </c>
    </row>
    <row r="35" ht="15.75">
      <c r="A35" s="149" t="s">
        <v>22</v>
      </c>
      <c r="B35" s="148"/>
      <c r="C35" s="47" t="s">
        <v>23</v>
      </c>
      <c r="D35" s="48"/>
      <c r="E35" s="48"/>
      <c r="F35" s="129" t="s">
        <v>24</v>
      </c>
      <c r="G35" s="128"/>
      <c r="H35" s="128"/>
      <c r="I35" s="127"/>
      <c r="M35" s="139" t="s">
        <v>27</v>
      </c>
      <c r="N35" s="139"/>
      <c r="P35" s="157" t="s">
        <v>24</v>
      </c>
      <c r="Q35" s="157"/>
      <c r="R35" s="157"/>
    </row>
    <row r="36">
      <c r="A36" s="155">
        <f>SUMIF(Tabela1161822242628[mês],MONTH((H9*1)),(E12:E34))</f>
        <v>0.0</v>
      </c>
      <c r="B36" s="154"/>
      <c r="C36" s="126">
        <f>SUMIFS(E12:E34,I12:I34,"Sim",J12:J34,"&gt;1")</f>
        <v>0.0</v>
      </c>
      <c r="D36" s="49"/>
      <c r="E36" s="49"/>
      <c r="F36" s="138">
        <f>SUMIF(I12:I34,"Sim",E12:E34)</f>
        <v>0.0</v>
      </c>
      <c r="G36" s="137"/>
      <c r="H36" s="137"/>
      <c r="I36" s="136"/>
      <c r="M36" s="141">
        <f>SUM(Tabela3171923252729[Valor])</f>
        <v>0.0</v>
      </c>
      <c r="N36" s="140"/>
      <c r="O36" s="49"/>
      <c r="P36" s="146">
        <f>SUMIF(Tabela3171923252729[Pago],"Sim",Tabela3171923252729[Valor])</f>
        <v>0.0</v>
      </c>
      <c r="Q36" s="146"/>
      <c r="R36" s="146"/>
      <c r="S36" s="49"/>
    </row>
    <row r="37">
      <c r="A37" s="153"/>
      <c r="B37" s="152"/>
      <c r="C37" s="125"/>
      <c r="D37" s="49"/>
      <c r="E37" s="49"/>
      <c r="F37" s="135"/>
      <c r="G37" s="134"/>
      <c r="H37" s="134"/>
      <c r="I37" s="133"/>
      <c r="M37" s="140"/>
      <c r="N37" s="140"/>
      <c r="O37" s="49"/>
      <c r="P37" s="146"/>
      <c r="Q37" s="146"/>
      <c r="R37" s="146"/>
      <c r="S37" s="49"/>
    </row>
    <row r="38">
      <c r="A38" s="151"/>
      <c r="B38" s="150"/>
      <c r="C38" s="124"/>
      <c r="D38" s="49"/>
      <c r="E38" s="49"/>
      <c r="F38" s="132"/>
      <c r="G38" s="131"/>
      <c r="H38" s="131"/>
      <c r="I38" s="130"/>
      <c r="M38" s="140"/>
      <c r="N38" s="140"/>
      <c r="O38" s="49"/>
      <c r="P38" s="146"/>
      <c r="Q38" s="146"/>
      <c r="R38" s="146"/>
      <c r="S38" s="49"/>
    </row>
    <row r="39">
      <c r="B39" s="11"/>
      <c r="C39" s="50"/>
    </row>
    <row r="40">
      <c r="G40" s="33"/>
    </row>
    <row r="41">
      <c r="G41" s="33"/>
    </row>
    <row r="42">
      <c r="G42" s="33"/>
    </row>
    <row r="43">
      <c r="G43" s="33"/>
    </row>
    <row r="44">
      <c r="G44" s="33"/>
    </row>
    <row r="45">
      <c r="G45" s="33"/>
    </row>
    <row r="46">
      <c r="G46" s="33"/>
    </row>
  </sheetData>
  <mergeCells count="19">
    <mergeCell ref="B7:C7"/>
    <mergeCell ref="A1:R2"/>
    <mergeCell ref="B4:C4"/>
    <mergeCell ref="B5:C5"/>
    <mergeCell ref="G5:G6"/>
    <mergeCell ref="H5:I6"/>
    <mergeCell ref="A9:G10"/>
    <mergeCell ref="H9:I10"/>
    <mergeCell ref="M9:P10"/>
    <mergeCell ref="Q9:R10"/>
    <mergeCell ref="A35:B35"/>
    <mergeCell ref="F35:I35"/>
    <mergeCell ref="M35:N35"/>
    <mergeCell ref="P35:R35"/>
    <mergeCell ref="A36:B38"/>
    <mergeCell ref="C36:C38"/>
    <mergeCell ref="F36:I38"/>
    <mergeCell ref="M36:N38"/>
    <mergeCell ref="P36:R38"/>
  </mergeCells>
  <printOptions/>
  <pageMargins left="0.5054133862" right="0.5054133862" top="0.7775590553124999" bottom="0.7775590553124999" footer="0.31102361224999997" header="0.31102361224999997"/>
  <pageSetup paperSize="9" scale="10" orientation="landscape" copies="0"/>
  <headerFooter alignWithMargins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">
    <outlinePr/>
    <pageSetUpPr/>
  </sheetPr>
  <dimension ref="A2:S25"/>
  <sheetViews>
    <sheetView workbookViewId="0" showGridLines="0" zoomScaleNormal="100" zoomScaleSheetLayoutView="60">
      <selection activeCell="A1"/>
    </sheetView>
  </sheetViews>
  <sheetFormatPr defaultRowHeight="15.0" customHeight="1"/>
  <cols>
    <col min="1" max="1" width="2.8352864583333335" customWidth="1"/>
    <col min="2" max="2" width="11.446397569444445" customWidth="1"/>
    <col min="3" max="3" width="15.001953125" bestFit="1" customWidth="1"/>
    <col min="4" max="4" width="15.835286458333334" bestFit="1" customWidth="1"/>
    <col min="5" max="5" width="8.001953125" customWidth="1"/>
    <col min="6" max="6" width="3.2797309027777777" customWidth="1"/>
    <col min="10" max="10" width="10.724175347222221" customWidth="1"/>
    <col min="12" max="12" width="3.2797309027777777" customWidth="1"/>
  </cols>
  <sheetData>
    <row r="2" customHeight="1">
      <c r="A2" s="172" t="s">
        <v>88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52"/>
      <c r="P2" s="52"/>
      <c r="Q2" s="52"/>
      <c r="R2" s="52"/>
      <c r="S2" s="52"/>
    </row>
    <row r="3" customHeight="1">
      <c r="A3" s="172"/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52"/>
      <c r="P3" s="52"/>
      <c r="Q3" s="52"/>
      <c r="R3" s="52"/>
      <c r="S3" s="52"/>
    </row>
    <row r="4" customHeight="1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2"/>
      <c r="P4" s="52"/>
      <c r="Q4" s="52"/>
      <c r="R4" s="52"/>
      <c r="S4" s="52"/>
    </row>
    <row r="5">
      <c r="C5" s="171" t="s">
        <v>58</v>
      </c>
      <c r="D5" s="170"/>
    </row>
    <row r="6">
      <c r="C6" s="169"/>
      <c r="D6" s="168"/>
    </row>
    <row r="7" ht="12.75" customHeight="1">
      <c r="C7" s="167" t="s">
        <v>19</v>
      </c>
      <c r="D7" s="167" t="s">
        <v>56</v>
      </c>
      <c r="F7" s="179" t="s">
        <v>91</v>
      </c>
      <c r="G7" s="179"/>
      <c r="H7" s="179"/>
      <c r="I7" s="179"/>
      <c r="J7" s="179"/>
      <c r="K7" s="179"/>
      <c r="L7" s="179"/>
    </row>
    <row r="8" ht="9.0" customHeight="1">
      <c r="B8" s="1"/>
      <c r="C8" s="167"/>
      <c r="D8" s="167"/>
      <c r="F8" s="178"/>
      <c r="G8" s="178"/>
      <c r="H8" s="178"/>
      <c r="I8" s="178"/>
      <c r="J8" s="178"/>
      <c r="K8" s="178"/>
      <c r="L8" s="178"/>
    </row>
    <row r="9">
      <c r="B9" s="2" t="s">
        <v>44</v>
      </c>
      <c r="C9" s="51">
        <f>SUMIFS(INDIRECT($B9&amp;"!E:E"),INDIRECT($B9&amp;"!D:D"),C$7,INDIRECT($B9&amp;"!I:I"),"Sim")</f>
        <v>0.0</v>
      </c>
      <c r="D9" s="51">
        <f>SUMIFS(INDIRECT($B9&amp;"!E:E"),INDIRECT($B9&amp;"!D:D"),D$7,INDIRECT($B9&amp;"!I:I"),"Sim")</f>
        <v>0.0</v>
      </c>
      <c r="F9" s="54"/>
      <c r="G9" s="55"/>
      <c r="H9" s="55"/>
      <c r="I9" s="55"/>
      <c r="J9" s="55"/>
      <c r="K9" s="55"/>
      <c r="L9" s="56"/>
    </row>
    <row r="10" customHeight="1">
      <c r="B10" s="2" t="s">
        <v>45</v>
      </c>
      <c r="C10" s="51">
        <f>SUMIFS(INDIRECT($B10&amp;"!E:E"),INDIRECT($B10&amp;"!D:D"),C$7,INDIRECT($B10&amp;"!I:I"),"Sim")</f>
        <v>0.0</v>
      </c>
      <c r="D10" s="51">
        <f>SUMIFS(INDIRECT($B10&amp;"!E:E"),INDIRECT($B10&amp;"!D:D"),D$7,INDIRECT($B10&amp;"!I:I"),"Sim")</f>
        <v>0.0</v>
      </c>
      <c r="F10" s="57"/>
      <c r="G10" s="173" t="s">
        <v>19</v>
      </c>
      <c r="H10" s="173"/>
      <c r="I10" s="177">
        <f>SOMA(C9:C20)</f>
        <v>0.0</v>
      </c>
      <c r="J10" s="176"/>
      <c r="K10" s="3"/>
      <c r="L10" s="58"/>
    </row>
    <row r="11">
      <c r="B11" s="2" t="s">
        <v>46</v>
      </c>
      <c r="C11" s="51">
        <f>SUMIFS(INDIRECT($B11&amp;"!E:E"),INDIRECT($B11&amp;"!D:D"),C$7,INDIRECT($B11&amp;"!I:I"),"Sim")</f>
        <v>0.0</v>
      </c>
      <c r="D11" s="51">
        <f>SUMIFS(INDIRECT($B11&amp;"!E:E"),INDIRECT($B11&amp;"!D:D"),D$7,INDIRECT($B11&amp;"!I:I"),"Sim")</f>
        <v>0.0</v>
      </c>
      <c r="F11" s="57"/>
      <c r="G11" s="173"/>
      <c r="H11" s="173"/>
      <c r="I11" s="175"/>
      <c r="J11" s="174"/>
      <c r="K11" s="3"/>
      <c r="L11" s="58"/>
    </row>
    <row r="12">
      <c r="B12" s="2" t="s">
        <v>47</v>
      </c>
      <c r="C12" s="51">
        <f>SUMIFS(INDIRECT($B12&amp;"!E:E"),INDIRECT($B12&amp;"!D:D"),C$7,INDIRECT($B12&amp;"!I:I"),"Sim")</f>
        <v>0.0</v>
      </c>
      <c r="D12" s="51">
        <f>SUMIFS(INDIRECT($B12&amp;"!E:E"),INDIRECT($B12&amp;"!D:D"),D$7,INDIRECT($B12&amp;"!I:I"),"Sim")</f>
        <v>0.0</v>
      </c>
      <c r="F12" s="57"/>
      <c r="G12" s="3"/>
      <c r="H12" s="3"/>
      <c r="I12" s="3"/>
      <c r="J12" s="3"/>
      <c r="K12" s="3"/>
      <c r="L12" s="58"/>
    </row>
    <row r="13">
      <c r="B13" s="2" t="s">
        <v>48</v>
      </c>
      <c r="C13" s="51">
        <f>SUMIFS(INDIRECT($B13&amp;"!E:E"),INDIRECT($B13&amp;"!D:D"),C$7,INDIRECT($B13&amp;"!I:I"),"Sim")</f>
        <v>0.0</v>
      </c>
      <c r="D13" s="51">
        <f>SUMIFS(INDIRECT($B13&amp;"!E:E"),INDIRECT($B13&amp;"!D:D"),D$7,INDIRECT($B13&amp;"!I:I"),"Sim")</f>
        <v>0.0</v>
      </c>
      <c r="F13" s="57"/>
      <c r="G13" s="3"/>
      <c r="H13" s="3"/>
      <c r="I13" s="3"/>
      <c r="J13" s="3"/>
      <c r="K13" s="3"/>
      <c r="L13" s="58"/>
    </row>
    <row r="14">
      <c r="B14" s="2" t="s">
        <v>49</v>
      </c>
      <c r="C14" s="51">
        <f>SUMIFS(INDIRECT($B14&amp;"!E:E"),INDIRECT($B14&amp;"!D:D"),C$7,INDIRECT($B14&amp;"!I:I"),"Sim")</f>
        <v>0.0</v>
      </c>
      <c r="D14" s="51">
        <f>SUMIFS(INDIRECT($B14&amp;"!E:E"),INDIRECT($B14&amp;"!D:D"),D$7,INDIRECT($B14&amp;"!I:I"),"Sim")</f>
        <v>0.0</v>
      </c>
      <c r="F14" s="57"/>
      <c r="G14" s="173" t="s">
        <v>56</v>
      </c>
      <c r="H14" s="173"/>
      <c r="I14" s="177">
        <f>SOMA(D9:D20)</f>
        <v>0.0</v>
      </c>
      <c r="J14" s="176"/>
      <c r="K14" s="3"/>
      <c r="L14" s="58"/>
    </row>
    <row r="15" customHeight="1">
      <c r="B15" s="2" t="s">
        <v>50</v>
      </c>
      <c r="C15" s="51">
        <f>SUMIFS(INDIRECT($B15&amp;"!E:E"),INDIRECT($B15&amp;"!D:D"),C$7,INDIRECT($B15&amp;"!I:I"),"Sim")</f>
        <v>0.0</v>
      </c>
      <c r="D15" s="51">
        <f>SUMIFS(INDIRECT($B15&amp;"!E:E"),INDIRECT($B15&amp;"!D:D"),D$7,INDIRECT($B15&amp;"!I:I"),"Sim")</f>
        <v>0.0</v>
      </c>
      <c r="F15" s="57"/>
      <c r="G15" s="173"/>
      <c r="H15" s="173"/>
      <c r="I15" s="175"/>
      <c r="J15" s="174"/>
      <c r="K15" s="3"/>
      <c r="L15" s="58"/>
    </row>
    <row r="16" customHeight="1">
      <c r="B16" s="2" t="s">
        <v>51</v>
      </c>
      <c r="C16" s="51">
        <f>SUMIFS(INDIRECT($B16&amp;"!E:E"),INDIRECT($B16&amp;"!D:D"),C$7,INDIRECT($B16&amp;"!I:I"),"Sim")</f>
        <v>0.0</v>
      </c>
      <c r="D16" s="51">
        <f>SUMIFS(INDIRECT($B16&amp;"!E:E"),INDIRECT($B16&amp;"!D:D"),D$7,INDIRECT($B16&amp;"!I:I"),"Sim")</f>
        <v>0.0</v>
      </c>
      <c r="F16" s="57"/>
      <c r="G16" s="3"/>
      <c r="H16" s="3"/>
      <c r="I16" s="3"/>
      <c r="J16" s="3"/>
      <c r="K16" s="3"/>
      <c r="L16" s="58"/>
    </row>
    <row r="17">
      <c r="B17" s="2" t="s">
        <v>52</v>
      </c>
      <c r="C17" s="51">
        <f>SUMIFS(INDIRECT($B17&amp;"!E:E"),INDIRECT($B17&amp;"!D:D"),C$7,INDIRECT($B17&amp;"!I:I"),"Sim")</f>
        <v>0.0</v>
      </c>
      <c r="D17" s="51">
        <f>SUMIFS(INDIRECT($B17&amp;"!E:E"),INDIRECT($B17&amp;"!D:D"),D$7,INDIRECT($B17&amp;"!I:I"),"Sim")</f>
        <v>0.0</v>
      </c>
      <c r="F17" s="57"/>
      <c r="G17" s="3"/>
      <c r="H17" s="3"/>
      <c r="I17" s="3"/>
      <c r="J17" s="3"/>
      <c r="K17" s="3"/>
      <c r="L17" s="58"/>
    </row>
    <row r="18">
      <c r="B18" s="2" t="s">
        <v>53</v>
      </c>
      <c r="C18" s="51">
        <f>SUMIFS(INDIRECT($B18&amp;"!E:E"),INDIRECT($B18&amp;"!D:D"),C$7,INDIRECT($B18&amp;"!I:I"),"Sim")</f>
        <v>0.0</v>
      </c>
      <c r="D18" s="51">
        <f>SUMIFS(INDIRECT($B18&amp;"!E:E"),INDIRECT($B18&amp;"!D:D"),D$7,INDIRECT($B18&amp;"!I:I"),"Sim")</f>
        <v>0.0</v>
      </c>
      <c r="F18" s="57"/>
      <c r="G18" s="162" t="s">
        <v>57</v>
      </c>
      <c r="H18" s="162"/>
      <c r="I18" s="162"/>
      <c r="J18" s="166">
        <f>SUM(I10,I14)</f>
        <v>0.0</v>
      </c>
      <c r="K18" s="165"/>
      <c r="L18" s="58"/>
    </row>
    <row r="19">
      <c r="B19" s="2" t="s">
        <v>54</v>
      </c>
      <c r="C19" s="51">
        <f>SUMIFS(INDIRECT($B19&amp;"!E:E"),INDIRECT($B19&amp;"!D:D"),C$7,INDIRECT($B19&amp;"!I:I"),"Sim")</f>
        <v>0.0</v>
      </c>
      <c r="D19" s="51">
        <f>SUMIFS(INDIRECT($B19&amp;"!E:E"),INDIRECT($B19&amp;"!D:D"),D$7,INDIRECT($B19&amp;"!I:I"),"Sim")</f>
        <v>0.0</v>
      </c>
      <c r="F19" s="57"/>
      <c r="G19" s="162"/>
      <c r="H19" s="162"/>
      <c r="I19" s="162"/>
      <c r="J19" s="164"/>
      <c r="K19" s="163"/>
      <c r="L19" s="58"/>
    </row>
    <row r="20">
      <c r="B20" s="2" t="s">
        <v>55</v>
      </c>
      <c r="C20" s="51">
        <f>SUMIFS(INDIRECT($B20&amp;"!E:E"),INDIRECT($B20&amp;"!D:D"),C$7,INDIRECT($B20&amp;"!I:I"),"Sim")</f>
        <v>0.0</v>
      </c>
      <c r="D20" s="51">
        <f>SUMIFS(INDIRECT($B20&amp;"!E:E"),INDIRECT($B20&amp;"!D:D"),D$7,INDIRECT($B20&amp;"!I:I"),"Sim")</f>
        <v>0.0</v>
      </c>
      <c r="F20" s="59"/>
      <c r="G20" s="60"/>
      <c r="H20" s="60"/>
      <c r="I20" s="60"/>
      <c r="J20" s="60"/>
      <c r="K20" s="60"/>
      <c r="L20" s="61"/>
    </row>
    <row r="23">
      <c r="B23" t="s">
        <v>86</v>
      </c>
    </row>
    <row r="24">
      <c r="B24" t="s">
        <v>87</v>
      </c>
    </row>
    <row r="25">
      <c r="B25" t="s">
        <v>89</v>
      </c>
    </row>
  </sheetData>
  <mergeCells count="11">
    <mergeCell ref="G18:I19"/>
    <mergeCell ref="J18:K19"/>
    <mergeCell ref="C7:C8"/>
    <mergeCell ref="D7:D8"/>
    <mergeCell ref="C5:D6"/>
    <mergeCell ref="A2:N3"/>
    <mergeCell ref="G10:H11"/>
    <mergeCell ref="G14:H15"/>
    <mergeCell ref="I10:J11"/>
    <mergeCell ref="I14:J15"/>
    <mergeCell ref="F7:L8"/>
  </mergeCells>
  <printOptions/>
  <pageMargins left="0.5054133862" right="0.5054133862" top="0.7775590553124999" bottom="0.7775590553124999" footer="0.31102361224999997" header="0.31102361224999997"/>
  <pageSetup paperSize="9" orientation="portrait" copies="0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sheetPr codeName="Planilha9">
    <tabColor indexed="51"/>
    <outlinePr/>
    <pageSetUpPr fitToPage="1"/>
  </sheetPr>
  <dimension ref="A1:XFD46"/>
  <sheetViews>
    <sheetView workbookViewId="0" showGridLines="0" zoomScale="70" zoomScaleNormal="70" zoomScaleSheetLayoutView="60">
      <pane ySplit="11" topLeftCell="A12" activePane="bottomLeft" state="frozen"/>
      <selection activeCell="A1" sqref="A1:R2"/>
      <selection pane="bottomLeft" activeCell="A1" sqref="A1:R2"/>
    </sheetView>
  </sheetViews>
  <sheetFormatPr defaultRowHeight="15.0" customHeight="1"/>
  <cols>
    <col min="1" max="1" width="19.72417534722222" style="33" customWidth="1"/>
    <col min="2" max="2" width="9.557508680555555" style="33" customWidth="1"/>
    <col min="3" max="3" width="48.835286458333336" style="33" customWidth="1"/>
    <col min="4" max="4" width="8.835286458333334" style="33" bestFit="1" customWidth="1"/>
    <col min="5" max="5" width="14.835286458333334" style="34" bestFit="1" customWidth="1"/>
    <col min="6" max="6" width="15.446397569444445" style="33" customWidth="1"/>
    <col min="7" max="7" width="16.835286458333332" style="35" customWidth="1"/>
    <col min="8" max="8" width="6.446397569444445" style="33" bestFit="1" customWidth="1"/>
    <col min="9" max="9" width="10.279730902777779" style="33" bestFit="1" customWidth="1"/>
    <col min="10" max="11" width="11.724175347222221" style="33" hidden="1" customWidth="1"/>
    <col min="12" max="12" width="6.279730902777778" style="33" customWidth="1"/>
    <col min="13" max="13" width="11.557508680555555" style="33" customWidth="1"/>
    <col min="14" max="14" width="30.446397569444443" style="33" customWidth="1"/>
    <col min="15" max="15" width="14.279730902777779" style="33" bestFit="1" customWidth="1"/>
    <col min="16" max="18" width="14.724175347222221" style="33" customWidth="1"/>
    <col min="19" max="19" width="9.446397569444445" style="33" hidden="1" customWidth="1"/>
    <col min="20" max="16384" width="9.168619791666666" style="33"/>
  </cols>
  <sheetData>
    <row r="1">
      <c r="A1" s="143" t="s">
        <v>20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</row>
    <row r="2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</row>
    <row r="3" ht="6.75" customHeight="1"/>
    <row r="4" ht="15.75" customHeight="1">
      <c r="A4" s="36" t="s">
        <v>16</v>
      </c>
      <c r="B4" s="156" t="s">
        <v>17</v>
      </c>
      <c r="C4" s="156"/>
      <c r="E4" s="180" t="s">
        <v>90</v>
      </c>
      <c r="F4" s="180"/>
      <c r="G4" s="180"/>
      <c r="H4" s="180"/>
      <c r="I4" s="180"/>
      <c r="J4" s="180"/>
      <c r="K4" s="180"/>
      <c r="L4" s="180"/>
      <c r="M4" s="180"/>
      <c r="N4" s="180"/>
    </row>
    <row r="5" ht="15.75" customHeight="1">
      <c r="A5" s="36" t="s">
        <v>15</v>
      </c>
      <c r="B5" s="156">
        <v>2019.0</v>
      </c>
      <c r="C5" s="156"/>
      <c r="E5" s="180"/>
      <c r="F5" s="180"/>
      <c r="G5" s="180"/>
      <c r="H5" s="180"/>
      <c r="I5" s="180"/>
      <c r="J5" s="180"/>
      <c r="K5" s="180"/>
      <c r="L5" s="180"/>
      <c r="M5" s="180"/>
      <c r="N5" s="180"/>
    </row>
    <row r="6" ht="3.75" customHeight="1">
      <c r="A6" s="36"/>
      <c r="B6" s="4"/>
      <c r="C6" s="4"/>
      <c r="G6" s="64"/>
      <c r="H6" s="66"/>
      <c r="I6" s="66"/>
    </row>
    <row r="7" ht="15.75">
      <c r="A7" s="36" t="s">
        <v>42</v>
      </c>
      <c r="B7" s="156" t="s">
        <v>76</v>
      </c>
      <c r="C7" s="156"/>
    </row>
    <row r="8" ht="6.75" customHeight="1">
      <c r="A8" s="37"/>
    </row>
    <row r="9" customHeight="1">
      <c r="A9" s="142" t="s">
        <v>25</v>
      </c>
      <c r="B9" s="142"/>
      <c r="C9" s="142"/>
      <c r="D9" s="142"/>
      <c r="E9" s="142"/>
      <c r="F9" s="142"/>
      <c r="G9" s="142"/>
      <c r="H9" s="144" t="str">
        <f>LEFT($B$4,3)&amp;"/"&amp;RIGHT($B$5,2)</f>
        <v>Jan/19</v>
      </c>
      <c r="I9" s="144"/>
      <c r="M9" s="147" t="s">
        <v>59</v>
      </c>
      <c r="N9" s="147"/>
      <c r="O9" s="147"/>
      <c r="P9" s="147"/>
      <c r="Q9" s="145" t="str">
        <f>LEFT($B$4,3)&amp;"/"&amp;RIGHT($B$5,2)</f>
        <v>Jan/19</v>
      </c>
      <c r="R9" s="145"/>
    </row>
    <row r="10" customHeight="1">
      <c r="A10" s="142"/>
      <c r="B10" s="142"/>
      <c r="C10" s="142"/>
      <c r="D10" s="142"/>
      <c r="E10" s="142"/>
      <c r="F10" s="142"/>
      <c r="G10" s="142"/>
      <c r="H10" s="144"/>
      <c r="I10" s="144"/>
      <c r="M10" s="147"/>
      <c r="N10" s="147"/>
      <c r="O10" s="147"/>
      <c r="P10" s="147"/>
      <c r="Q10" s="145"/>
      <c r="R10" s="145"/>
    </row>
    <row r="11" s="41" customFormat="1" ht="52.5" customHeight="1">
      <c r="A11" s="38" t="s">
        <v>0</v>
      </c>
      <c r="B11" s="38" t="s">
        <v>1</v>
      </c>
      <c r="C11" s="38" t="s">
        <v>2</v>
      </c>
      <c r="D11" s="38" t="s">
        <v>18</v>
      </c>
      <c r="E11" s="39" t="s">
        <v>3</v>
      </c>
      <c r="F11" s="38" t="s">
        <v>21</v>
      </c>
      <c r="G11" s="40" t="s">
        <v>11</v>
      </c>
      <c r="H11" s="38" t="s">
        <v>28</v>
      </c>
      <c r="I11" s="38" t="s">
        <v>9</v>
      </c>
      <c r="J11" s="41" t="s">
        <v>31</v>
      </c>
      <c r="K11" s="42" t="s">
        <v>29</v>
      </c>
      <c r="M11" s="43" t="s">
        <v>0</v>
      </c>
      <c r="N11" s="38" t="s">
        <v>13</v>
      </c>
      <c r="O11" s="43" t="s">
        <v>3</v>
      </c>
      <c r="P11" s="38" t="s">
        <v>26</v>
      </c>
      <c r="Q11" s="40" t="s">
        <v>11</v>
      </c>
      <c r="R11" s="38" t="s">
        <v>4</v>
      </c>
      <c r="S11" s="44" t="s">
        <v>14</v>
      </c>
    </row>
    <row r="12">
      <c r="A12" s="5">
        <v>43477.0</v>
      </c>
      <c r="B12" s="6" t="s">
        <v>60</v>
      </c>
      <c r="C12" s="6" t="s">
        <v>61</v>
      </c>
      <c r="D12" s="6" t="s">
        <v>56</v>
      </c>
      <c r="E12" s="7">
        <v>50.0</v>
      </c>
      <c r="F12" s="6" t="s">
        <v>12</v>
      </c>
      <c r="G12" s="8"/>
      <c r="H12" s="6" t="s">
        <v>6</v>
      </c>
      <c r="I12" s="9" t="s">
        <v>6</v>
      </c>
      <c r="J12" s="33" t="str">
        <f>IFERROR(LEFT(G12,SEARCH("/",G12)-1)*1,"-")</f>
        <v>-</v>
      </c>
      <c r="K12" s="33">
        <v>1.0</v>
      </c>
      <c r="M12" s="21">
        <v>43495.0</v>
      </c>
      <c r="N12" s="22" t="s">
        <v>73</v>
      </c>
      <c r="O12" s="23">
        <v>58.0</v>
      </c>
      <c r="P12" s="22" t="s">
        <v>12</v>
      </c>
      <c r="Q12" s="24"/>
      <c r="R12" s="25" t="s">
        <v>6</v>
      </c>
      <c r="S12" s="33" t="str">
        <f>IFERROR(LEFT(Q12,SEARCH("/",Q12)-1)*1,"-")</f>
        <v>-</v>
      </c>
    </row>
    <row r="13">
      <c r="A13" s="10">
        <v>43478.0</v>
      </c>
      <c r="B13" s="11" t="s">
        <v>63</v>
      </c>
      <c r="C13" s="11" t="s">
        <v>64</v>
      </c>
      <c r="D13" s="11" t="s">
        <v>19</v>
      </c>
      <c r="E13" s="12">
        <v>100.0</v>
      </c>
      <c r="F13" s="11" t="s">
        <v>62</v>
      </c>
      <c r="G13" s="13"/>
      <c r="H13" s="11" t="s">
        <v>6</v>
      </c>
      <c r="I13" s="14" t="s">
        <v>7</v>
      </c>
      <c r="J13" s="33" t="str">
        <f>IFERROR(LEFT(G13,SEARCH("/",G13)-1)*1,"-")</f>
        <v>-</v>
      </c>
      <c r="K13" s="33">
        <v>1.0</v>
      </c>
      <c r="M13" s="21">
        <v>43495.0</v>
      </c>
      <c r="N13" s="11" t="s">
        <v>74</v>
      </c>
      <c r="O13" s="12">
        <v>100.0</v>
      </c>
      <c r="P13" s="11" t="s">
        <v>43</v>
      </c>
      <c r="Q13" s="13"/>
      <c r="R13" s="27" t="s">
        <v>7</v>
      </c>
      <c r="S13" s="33" t="str">
        <f>IFERROR(LEFT(Q13,SEARCH("/",Q13)-1)*1,"-")</f>
        <v>-</v>
      </c>
    </row>
    <row r="14">
      <c r="A14" s="10">
        <v>43479.0</v>
      </c>
      <c r="B14" s="11" t="s">
        <v>8</v>
      </c>
      <c r="C14" s="11" t="s">
        <v>65</v>
      </c>
      <c r="D14" s="11" t="s">
        <v>19</v>
      </c>
      <c r="E14" s="12">
        <v>50.0</v>
      </c>
      <c r="F14" s="11" t="s">
        <v>43</v>
      </c>
      <c r="G14" s="13" t="s">
        <v>5</v>
      </c>
      <c r="H14" s="11" t="s">
        <v>7</v>
      </c>
      <c r="I14" s="14" t="s">
        <v>6</v>
      </c>
      <c r="J14" s="33">
        <f>IFERROR(LEFT(G14,SEARCH("/",G14)-1)*1,"-")</f>
        <v>1.0</v>
      </c>
      <c r="K14" s="33">
        <v>1.0</v>
      </c>
      <c r="M14" s="26">
        <v>43485.0</v>
      </c>
      <c r="N14" s="11" t="s">
        <v>82</v>
      </c>
      <c r="O14" s="12">
        <v>52.7</v>
      </c>
      <c r="P14" s="11" t="s">
        <v>43</v>
      </c>
      <c r="Q14" s="13"/>
      <c r="R14" s="27" t="s">
        <v>6</v>
      </c>
      <c r="S14" s="33" t="str">
        <f>IFERROR(LEFT(Q14,SEARCH("/",Q14)-1)*1,"-")</f>
        <v>-</v>
      </c>
    </row>
    <row r="15">
      <c r="A15" s="10"/>
      <c r="B15" s="11" t="s">
        <v>8</v>
      </c>
      <c r="C15" s="11" t="s">
        <v>65</v>
      </c>
      <c r="D15" s="11" t="s">
        <v>19</v>
      </c>
      <c r="E15" s="12">
        <v>50.0</v>
      </c>
      <c r="F15" s="11" t="s">
        <v>43</v>
      </c>
      <c r="G15" s="13" t="s">
        <v>10</v>
      </c>
      <c r="H15" s="11"/>
      <c r="I15" s="14"/>
      <c r="J15" s="33">
        <f>IFERROR(LEFT(G15,SEARCH("/",G15)-1)*1,"-")</f>
        <v>2.0</v>
      </c>
      <c r="K15" s="33" t="s">
        <v>92</v>
      </c>
      <c r="M15" s="26"/>
      <c r="N15" s="11"/>
      <c r="O15" s="12"/>
      <c r="P15" s="11"/>
      <c r="Q15" s="13"/>
      <c r="R15" s="27"/>
      <c r="S15" s="33" t="str">
        <f>IFERROR(LEFT(Q15,SEARCH("/",Q15)-1)*1,"-")</f>
        <v>-</v>
      </c>
    </row>
    <row r="16">
      <c r="A16" s="10"/>
      <c r="B16" s="11" t="s">
        <v>8</v>
      </c>
      <c r="C16" s="11" t="s">
        <v>65</v>
      </c>
      <c r="D16" s="11" t="s">
        <v>19</v>
      </c>
      <c r="E16" s="12">
        <v>50.0</v>
      </c>
      <c r="F16" s="11" t="s">
        <v>43</v>
      </c>
      <c r="G16" s="13" t="s">
        <v>66</v>
      </c>
      <c r="H16" s="11"/>
      <c r="I16" s="14"/>
      <c r="J16" s="33">
        <f>IFERROR(LEFT(G16,SEARCH("/",G16)-1)*1,"-")</f>
        <v>3.0</v>
      </c>
      <c r="K16" s="33" t="s">
        <v>92</v>
      </c>
      <c r="M16" s="26"/>
      <c r="N16" s="11"/>
      <c r="O16" s="12"/>
      <c r="P16" s="11"/>
      <c r="Q16" s="13"/>
      <c r="R16" s="27"/>
      <c r="S16" s="33" t="str">
        <f>IFERROR(LEFT(Q16,SEARCH("/",Q16)-1)*1,"-")</f>
        <v>-</v>
      </c>
    </row>
    <row r="17">
      <c r="A17" s="10">
        <v>43485.0</v>
      </c>
      <c r="B17" s="11" t="s">
        <v>78</v>
      </c>
      <c r="C17" s="11" t="s">
        <v>79</v>
      </c>
      <c r="D17" s="11" t="s">
        <v>56</v>
      </c>
      <c r="E17" s="12">
        <v>150.0</v>
      </c>
      <c r="F17" s="11" t="s">
        <v>12</v>
      </c>
      <c r="G17" s="13"/>
      <c r="H17" s="11" t="s">
        <v>7</v>
      </c>
      <c r="I17" s="14" t="s">
        <v>6</v>
      </c>
      <c r="J17" s="33" t="str">
        <f>IFERROR(LEFT(G17,SEARCH("/",G17)-1)*1,"-")</f>
        <v>-</v>
      </c>
      <c r="K17" s="33">
        <v>1.0</v>
      </c>
      <c r="M17" s="26"/>
      <c r="N17" s="11"/>
      <c r="O17" s="12"/>
      <c r="P17" s="11"/>
      <c r="Q17" s="13"/>
      <c r="R17" s="27"/>
      <c r="S17" s="33" t="str">
        <f>IFERROR(LEFT(Q17,SEARCH("/",Q17)-1)*1,"-")</f>
        <v>-</v>
      </c>
    </row>
    <row r="18">
      <c r="A18" s="10"/>
      <c r="B18" s="11"/>
      <c r="C18" s="11"/>
      <c r="D18" s="11"/>
      <c r="E18" s="12"/>
      <c r="F18" s="11"/>
      <c r="G18" s="13"/>
      <c r="H18" s="11"/>
      <c r="I18" s="14"/>
      <c r="J18" s="33" t="str">
        <f>IFERROR(LEFT(G18,SEARCH("/",G18)-1)*1,"-")</f>
        <v>-</v>
      </c>
      <c r="K18" s="33" t="s">
        <v>92</v>
      </c>
      <c r="M18" s="26"/>
      <c r="N18" s="11"/>
      <c r="O18" s="12"/>
      <c r="P18" s="11"/>
      <c r="Q18" s="13"/>
      <c r="R18" s="27"/>
      <c r="S18" s="33" t="str">
        <f>IFERROR(LEFT(Q18,SEARCH("/",Q18)-1)*1,"-")</f>
        <v>-</v>
      </c>
    </row>
    <row r="19">
      <c r="A19" s="10"/>
      <c r="B19" s="11"/>
      <c r="C19" s="11"/>
      <c r="D19" s="11"/>
      <c r="E19" s="12"/>
      <c r="F19" s="11"/>
      <c r="G19" s="13"/>
      <c r="H19" s="11"/>
      <c r="I19" s="14"/>
      <c r="J19" s="33" t="str">
        <f>IFERROR(LEFT(G19,SEARCH("/",G19)-1)*1,"-")</f>
        <v>-</v>
      </c>
      <c r="K19" s="33" t="s">
        <v>92</v>
      </c>
      <c r="M19" s="26"/>
      <c r="N19" s="11"/>
      <c r="O19" s="12"/>
      <c r="P19" s="11"/>
      <c r="Q19" s="13"/>
      <c r="R19" s="27"/>
      <c r="S19" s="45" t="str">
        <f>IFERROR(LEFT(Q19,SEARCH("/",Q19)-1)*1,"-")</f>
        <v>-</v>
      </c>
    </row>
    <row r="20">
      <c r="A20" s="10"/>
      <c r="B20" s="11"/>
      <c r="C20" s="11"/>
      <c r="D20" s="11"/>
      <c r="E20" s="12"/>
      <c r="F20" s="11"/>
      <c r="G20" s="13"/>
      <c r="H20" s="11"/>
      <c r="I20" s="14"/>
      <c r="J20" s="33" t="str">
        <f>IFERROR(LEFT(G20,SEARCH("/",G20)-1)*1,"-")</f>
        <v>-</v>
      </c>
      <c r="K20" s="33" t="s">
        <v>92</v>
      </c>
      <c r="M20" s="26"/>
      <c r="N20" s="11"/>
      <c r="O20" s="12"/>
      <c r="P20" s="11"/>
      <c r="Q20" s="13"/>
      <c r="R20" s="27"/>
      <c r="S20" s="45" t="str">
        <f>IFERROR(LEFT(Q20,SEARCH("/",Q20)-1)*1,"-")</f>
        <v>-</v>
      </c>
    </row>
    <row r="21">
      <c r="A21" s="10"/>
      <c r="B21" s="11"/>
      <c r="C21" s="11"/>
      <c r="D21" s="11"/>
      <c r="E21" s="12"/>
      <c r="F21" s="11"/>
      <c r="G21" s="13"/>
      <c r="H21" s="11"/>
      <c r="I21" s="14"/>
      <c r="J21" s="33" t="str">
        <f>IFERROR(LEFT(G21,SEARCH("/",G21)-1)*1,"-")</f>
        <v>-</v>
      </c>
      <c r="K21" s="33" t="s">
        <v>92</v>
      </c>
      <c r="M21" s="26"/>
      <c r="N21" s="11"/>
      <c r="O21" s="12"/>
      <c r="P21" s="11"/>
      <c r="Q21" s="13"/>
      <c r="R21" s="27"/>
      <c r="S21" s="45" t="str">
        <f>IFERROR(LEFT(Q21,SEARCH("/",Q21)-1)*1,"-")</f>
        <v>-</v>
      </c>
    </row>
    <row r="22">
      <c r="A22" s="10"/>
      <c r="B22" s="11"/>
      <c r="C22" s="11"/>
      <c r="D22" s="11"/>
      <c r="E22" s="12"/>
      <c r="F22" s="11"/>
      <c r="G22" s="13"/>
      <c r="H22" s="11"/>
      <c r="I22" s="14"/>
      <c r="J22" s="33" t="str">
        <f>IFERROR(LEFT(G22,SEARCH("/",G22)-1)*1,"-")</f>
        <v>-</v>
      </c>
      <c r="K22" s="45" t="s">
        <v>92</v>
      </c>
      <c r="M22" s="26"/>
      <c r="N22" s="11"/>
      <c r="O22" s="12"/>
      <c r="P22" s="11"/>
      <c r="Q22" s="13"/>
      <c r="R22" s="27"/>
      <c r="S22" s="45" t="str">
        <f>IFERROR(LEFT(Q22,SEARCH("/",Q22)-1)*1,"-")</f>
        <v>-</v>
      </c>
    </row>
    <row r="23">
      <c r="A23" s="10"/>
      <c r="B23" s="11"/>
      <c r="C23" s="11"/>
      <c r="D23" s="11"/>
      <c r="E23" s="12"/>
      <c r="F23" s="11"/>
      <c r="G23" s="13"/>
      <c r="H23" s="11"/>
      <c r="I23" s="14"/>
      <c r="J23" s="33" t="str">
        <f>IFERROR(LEFT(G23,SEARCH("/",G23)-1)*1,"-")</f>
        <v>-</v>
      </c>
      <c r="K23" s="45" t="s">
        <v>92</v>
      </c>
      <c r="M23" s="26"/>
      <c r="N23" s="11"/>
      <c r="O23" s="12"/>
      <c r="P23" s="11"/>
      <c r="Q23" s="13"/>
      <c r="R23" s="27"/>
      <c r="S23" s="45" t="str">
        <f>IFERROR(LEFT(Q23,SEARCH("/",Q23)-1)*1,"-")</f>
        <v>-</v>
      </c>
    </row>
    <row r="24">
      <c r="A24" s="10"/>
      <c r="B24" s="11"/>
      <c r="C24" s="11"/>
      <c r="D24" s="11"/>
      <c r="E24" s="12"/>
      <c r="F24" s="11"/>
      <c r="G24" s="13"/>
      <c r="H24" s="11"/>
      <c r="I24" s="14"/>
      <c r="J24" s="33" t="str">
        <f>IFERROR(LEFT(G24,SEARCH("/",G24)-1)*1,"-")</f>
        <v>-</v>
      </c>
      <c r="K24" s="45" t="s">
        <v>92</v>
      </c>
      <c r="L24" s="46"/>
      <c r="M24" s="26"/>
      <c r="N24" s="11"/>
      <c r="O24" s="12"/>
      <c r="P24" s="11"/>
      <c r="Q24" s="13"/>
      <c r="R24" s="27"/>
      <c r="S24" s="45" t="str">
        <f>IFERROR(LEFT(Q24,SEARCH("/",Q24)-1)*1,"-")</f>
        <v>-</v>
      </c>
    </row>
    <row r="25">
      <c r="A25" s="10"/>
      <c r="B25" s="11"/>
      <c r="C25" s="11"/>
      <c r="D25" s="11"/>
      <c r="E25" s="12"/>
      <c r="F25" s="11"/>
      <c r="G25" s="13"/>
      <c r="H25" s="11"/>
      <c r="I25" s="14"/>
      <c r="J25" s="33" t="str">
        <f>IFERROR(LEFT(G25,SEARCH("/",G25)-1)*1,"-")</f>
        <v>-</v>
      </c>
      <c r="K25" s="45" t="s">
        <v>92</v>
      </c>
      <c r="L25" s="46"/>
      <c r="M25" s="26"/>
      <c r="N25" s="11"/>
      <c r="O25" s="12"/>
      <c r="P25" s="11"/>
      <c r="Q25" s="13"/>
      <c r="R25" s="27"/>
      <c r="S25" s="45" t="str">
        <f>IFERROR(LEFT(Q25,SEARCH("/",Q25)-1)*1,"-")</f>
        <v>-</v>
      </c>
    </row>
    <row r="26">
      <c r="A26" s="10"/>
      <c r="B26" s="11"/>
      <c r="C26" s="11"/>
      <c r="D26" s="11"/>
      <c r="E26" s="12"/>
      <c r="F26" s="11"/>
      <c r="G26" s="13"/>
      <c r="H26" s="11"/>
      <c r="I26" s="14"/>
      <c r="J26" s="33" t="str">
        <f>IFERROR(LEFT(G26,SEARCH("/",G26)-1)*1,"-")</f>
        <v>-</v>
      </c>
      <c r="K26" s="45" t="s">
        <v>92</v>
      </c>
      <c r="L26" s="46"/>
      <c r="M26" s="26"/>
      <c r="N26" s="11"/>
      <c r="O26" s="12"/>
      <c r="P26" s="11"/>
      <c r="Q26" s="13"/>
      <c r="R26" s="27"/>
      <c r="S26" s="45" t="str">
        <f>IFERROR(LEFT(Q26,SEARCH("/",Q26)-1)*1,"-")</f>
        <v>-</v>
      </c>
    </row>
    <row r="27">
      <c r="A27" s="10"/>
      <c r="B27" s="11"/>
      <c r="C27" s="11"/>
      <c r="D27" s="11"/>
      <c r="E27" s="12"/>
      <c r="F27" s="11"/>
      <c r="G27" s="13"/>
      <c r="H27" s="11"/>
      <c r="I27" s="14"/>
      <c r="J27" s="33" t="str">
        <f>IFERROR(LEFT(G27,SEARCH("/",G27)-1)*1,"-")</f>
        <v>-</v>
      </c>
      <c r="K27" s="45" t="s">
        <v>92</v>
      </c>
      <c r="M27" s="26"/>
      <c r="N27" s="11"/>
      <c r="O27" s="12"/>
      <c r="P27" s="11"/>
      <c r="Q27" s="13"/>
      <c r="R27" s="27"/>
      <c r="S27" s="45" t="str">
        <f>IFERROR(LEFT(Q27,SEARCH("/",Q27)-1)*1,"-")</f>
        <v>-</v>
      </c>
    </row>
    <row r="28">
      <c r="A28" s="10"/>
      <c r="B28" s="11"/>
      <c r="C28" s="11"/>
      <c r="D28" s="11"/>
      <c r="E28" s="12"/>
      <c r="F28" s="11"/>
      <c r="G28" s="13"/>
      <c r="H28" s="11"/>
      <c r="I28" s="14"/>
      <c r="J28" s="33" t="str">
        <f>IFERROR(LEFT(G28,SEARCH("/",G28)-1)*1,"-")</f>
        <v>-</v>
      </c>
      <c r="K28" s="45" t="s">
        <v>92</v>
      </c>
      <c r="M28" s="26"/>
      <c r="N28" s="11"/>
      <c r="O28" s="12"/>
      <c r="P28" s="11"/>
      <c r="Q28" s="13"/>
      <c r="R28" s="27"/>
      <c r="S28" s="45" t="str">
        <f>IFERROR(LEFT(Q28,SEARCH("/",Q28)-1)*1,"-")</f>
        <v>-</v>
      </c>
    </row>
    <row r="29">
      <c r="A29" s="15"/>
      <c r="B29" s="11"/>
      <c r="C29" s="11"/>
      <c r="D29" s="11"/>
      <c r="E29" s="12"/>
      <c r="F29" s="11"/>
      <c r="G29" s="13"/>
      <c r="H29" s="11"/>
      <c r="I29" s="14"/>
      <c r="J29" s="33" t="str">
        <f>IFERROR(LEFT(G29,SEARCH("/",G29)-1)*1,"-")</f>
        <v>-</v>
      </c>
      <c r="K29" s="45" t="s">
        <v>92</v>
      </c>
      <c r="M29" s="26"/>
      <c r="N29" s="11"/>
      <c r="O29" s="12"/>
      <c r="P29" s="11"/>
      <c r="Q29" s="13"/>
      <c r="R29" s="27"/>
      <c r="S29" s="45" t="str">
        <f>IFERROR(LEFT(Q29,SEARCH("/",Q29)-1)*1,"-")</f>
        <v>-</v>
      </c>
    </row>
    <row r="30">
      <c r="A30" s="15"/>
      <c r="B30" s="11"/>
      <c r="C30" s="11"/>
      <c r="D30" s="11"/>
      <c r="E30" s="12"/>
      <c r="F30" s="11"/>
      <c r="G30" s="13"/>
      <c r="H30" s="11"/>
      <c r="I30" s="14"/>
      <c r="J30" s="33" t="str">
        <f>IFERROR(LEFT(G30,SEARCH("/",G30)-1)*1,"-")</f>
        <v>-</v>
      </c>
      <c r="K30" s="45" t="s">
        <v>92</v>
      </c>
      <c r="M30" s="26"/>
      <c r="N30" s="11"/>
      <c r="O30" s="12"/>
      <c r="P30" s="11"/>
      <c r="Q30" s="13"/>
      <c r="R30" s="27"/>
      <c r="S30" s="45" t="str">
        <f>IFERROR(LEFT(Q30,SEARCH("/",Q30)-1)*1,"-")</f>
        <v>-</v>
      </c>
    </row>
    <row r="31">
      <c r="A31" s="15"/>
      <c r="B31" s="11"/>
      <c r="C31" s="11"/>
      <c r="D31" s="11"/>
      <c r="E31" s="12"/>
      <c r="F31" s="11"/>
      <c r="G31" s="13"/>
      <c r="H31" s="11"/>
      <c r="I31" s="14"/>
      <c r="J31" s="33" t="str">
        <f>IFERROR(LEFT(G31,SEARCH("/",G31)-1)*1,"-")</f>
        <v>-</v>
      </c>
      <c r="K31" s="45" t="s">
        <v>92</v>
      </c>
      <c r="M31" s="26"/>
      <c r="N31" s="11"/>
      <c r="O31" s="12"/>
      <c r="P31" s="11"/>
      <c r="Q31" s="13"/>
      <c r="R31" s="27"/>
      <c r="S31" s="33" t="str">
        <f>IFERROR(LEFT(Q31,SEARCH("/",Q31)-1)*1,"-")</f>
        <v>-</v>
      </c>
    </row>
    <row r="32">
      <c r="A32" s="15"/>
      <c r="B32" s="11"/>
      <c r="C32" s="11"/>
      <c r="D32" s="11"/>
      <c r="E32" s="12"/>
      <c r="F32" s="11"/>
      <c r="G32" s="13"/>
      <c r="H32" s="11"/>
      <c r="I32" s="14"/>
      <c r="J32" s="33" t="str">
        <f>IFERROR(LEFT(G32,SEARCH("/",G32)-1)*1,"-")</f>
        <v>-</v>
      </c>
      <c r="K32" s="45" t="s">
        <v>92</v>
      </c>
      <c r="M32" s="26"/>
      <c r="N32" s="11"/>
      <c r="O32" s="12"/>
      <c r="P32" s="11"/>
      <c r="Q32" s="13"/>
      <c r="R32" s="27"/>
      <c r="S32" s="33" t="str">
        <f>IFERROR(LEFT(Q32,SEARCH("/",Q32)-1)*1,"-")</f>
        <v>-</v>
      </c>
    </row>
    <row r="33">
      <c r="A33" s="15"/>
      <c r="B33" s="11"/>
      <c r="C33" s="11"/>
      <c r="D33" s="11"/>
      <c r="E33" s="12"/>
      <c r="F33" s="11"/>
      <c r="G33" s="13"/>
      <c r="H33" s="11"/>
      <c r="I33" s="14"/>
      <c r="J33" s="33" t="str">
        <f>IFERROR(LEFT(G33,SEARCH("/",G33)-1)*1,"-")</f>
        <v>-</v>
      </c>
      <c r="K33" s="45" t="s">
        <v>92</v>
      </c>
      <c r="M33" s="26"/>
      <c r="N33" s="11"/>
      <c r="O33" s="12"/>
      <c r="P33" s="11"/>
      <c r="Q33" s="13"/>
      <c r="R33" s="27"/>
      <c r="S33" s="45" t="str">
        <f>IFERROR(LEFT(Q33,SEARCH("/",Q33)-1)*1,"-")</f>
        <v>-</v>
      </c>
    </row>
    <row r="34">
      <c r="A34" s="16"/>
      <c r="B34" s="17"/>
      <c r="C34" s="17"/>
      <c r="D34" s="17"/>
      <c r="E34" s="18"/>
      <c r="F34" s="17"/>
      <c r="G34" s="19"/>
      <c r="H34" s="17"/>
      <c r="I34" s="20"/>
      <c r="J34" s="33" t="str">
        <f>IFERROR(LEFT(G34,SEARCH("/",G34)-1)*1,"-")</f>
        <v>-</v>
      </c>
      <c r="K34" s="33" t="s">
        <v>92</v>
      </c>
      <c r="M34" s="28"/>
      <c r="N34" s="29"/>
      <c r="O34" s="30"/>
      <c r="P34" s="29"/>
      <c r="Q34" s="31"/>
      <c r="R34" s="32"/>
      <c r="S34" s="45" t="str">
        <f>IFERROR(LEFT(Q34,SEARCH("/",Q34)-1)*1,"-")</f>
        <v>-</v>
      </c>
    </row>
    <row r="35" ht="15.75">
      <c r="A35" s="149" t="s">
        <v>85</v>
      </c>
      <c r="B35" s="148"/>
      <c r="C35" s="47" t="s">
        <v>23</v>
      </c>
      <c r="D35" s="48"/>
      <c r="E35" s="48"/>
      <c r="F35" s="129" t="s">
        <v>83</v>
      </c>
      <c r="G35" s="128"/>
      <c r="H35" s="128"/>
      <c r="I35" s="127"/>
      <c r="M35" s="139" t="s">
        <v>27</v>
      </c>
      <c r="N35" s="139"/>
      <c r="P35" s="157" t="s">
        <v>84</v>
      </c>
      <c r="Q35" s="157"/>
      <c r="R35" s="157"/>
    </row>
    <row r="36">
      <c r="A36" s="155">
        <f>SUMIF(Tabela116182224262830[mês],MONTH((H9*1)),(E12:E34))</f>
        <v>350.0</v>
      </c>
      <c r="B36" s="154"/>
      <c r="C36" s="126">
        <f>SUMIFS(E12:E34,I12:I34,"Sim",J12:J34,"&gt;1")</f>
        <v>0.0</v>
      </c>
      <c r="D36" s="49"/>
      <c r="E36" s="49"/>
      <c r="F36" s="138">
        <f>SUMIF(I12:I34,"Sim",E12:E34)</f>
        <v>250.0</v>
      </c>
      <c r="G36" s="137"/>
      <c r="H36" s="137"/>
      <c r="I36" s="136"/>
      <c r="M36" s="141">
        <f>SUM(Tabela317192325272931[Valor])</f>
        <v>210.7</v>
      </c>
      <c r="N36" s="140"/>
      <c r="O36" s="49"/>
      <c r="P36" s="146">
        <f>SUMIF(Tabela317192325272931[Pago],"Sim",Tabela317192325272931[Valor])</f>
        <v>110.7</v>
      </c>
      <c r="Q36" s="146"/>
      <c r="R36" s="146"/>
      <c r="S36" s="49"/>
    </row>
    <row r="37">
      <c r="A37" s="153"/>
      <c r="B37" s="152"/>
      <c r="C37" s="125"/>
      <c r="D37" s="49"/>
      <c r="E37" s="49"/>
      <c r="F37" s="135"/>
      <c r="G37" s="134"/>
      <c r="H37" s="134"/>
      <c r="I37" s="133"/>
      <c r="M37" s="140"/>
      <c r="N37" s="140"/>
      <c r="O37" s="49"/>
      <c r="P37" s="146"/>
      <c r="Q37" s="146"/>
      <c r="R37" s="146"/>
      <c r="S37" s="49"/>
    </row>
    <row r="38">
      <c r="A38" s="151"/>
      <c r="B38" s="150"/>
      <c r="C38" s="124"/>
      <c r="D38" s="49"/>
      <c r="E38" s="49"/>
      <c r="F38" s="132"/>
      <c r="G38" s="131"/>
      <c r="H38" s="131"/>
      <c r="I38" s="130"/>
      <c r="M38" s="140"/>
      <c r="N38" s="140"/>
      <c r="O38" s="49"/>
      <c r="P38" s="146"/>
      <c r="Q38" s="146"/>
      <c r="R38" s="146"/>
      <c r="S38" s="49"/>
    </row>
    <row r="39">
      <c r="B39" s="11"/>
      <c r="C39" s="50"/>
    </row>
    <row r="40">
      <c r="G40" s="33"/>
    </row>
    <row r="41">
      <c r="G41" s="33"/>
    </row>
    <row r="42">
      <c r="G42" s="33"/>
    </row>
    <row r="43">
      <c r="G43" s="33"/>
    </row>
    <row r="44">
      <c r="G44" s="33"/>
    </row>
    <row r="45">
      <c r="G45" s="33"/>
    </row>
    <row r="46">
      <c r="G46" s="33"/>
    </row>
  </sheetData>
  <mergeCells count="18">
    <mergeCell ref="B7:C7"/>
    <mergeCell ref="E4:N5"/>
    <mergeCell ref="A1:R2"/>
    <mergeCell ref="B4:C4"/>
    <mergeCell ref="B5:C5"/>
    <mergeCell ref="A9:G10"/>
    <mergeCell ref="H9:I10"/>
    <mergeCell ref="M9:P10"/>
    <mergeCell ref="Q9:R10"/>
    <mergeCell ref="A35:B35"/>
    <mergeCell ref="F35:I35"/>
    <mergeCell ref="M35:N35"/>
    <mergeCell ref="P35:R35"/>
    <mergeCell ref="A36:B38"/>
    <mergeCell ref="C36:C38"/>
    <mergeCell ref="F36:I38"/>
    <mergeCell ref="M36:N38"/>
    <mergeCell ref="P36:R38"/>
  </mergeCells>
  <printOptions/>
  <pageMargins left="0.5054133862" right="0.5054133862" top="0.7775590553124999" bottom="0.7775590553124999" footer="0.31102361224999997" header="0.31102361224999997"/>
  <pageSetup paperSize="9" scale="10" orientation="landscape" copies="0"/>
  <headerFooter alignWithMargin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sheetPr codeName="Planilha14">
    <tabColor indexed="51"/>
    <outlinePr/>
    <pageSetUpPr fitToPage="1"/>
  </sheetPr>
  <dimension ref="A1:XFD46"/>
  <sheetViews>
    <sheetView workbookViewId="0" showGridLines="0" zoomScale="70" zoomScaleNormal="70" zoomScaleSheetLayoutView="60">
      <pane ySplit="11" topLeftCell="A12" activePane="bottomLeft" state="frozen"/>
      <selection activeCell="A1" sqref="A1:R2"/>
      <selection pane="bottomLeft" activeCell="A1" sqref="A1:R2"/>
    </sheetView>
  </sheetViews>
  <sheetFormatPr defaultRowHeight="15.0" customHeight="1"/>
  <cols>
    <col min="1" max="1" width="19.72417534722222" style="33" customWidth="1"/>
    <col min="2" max="2" width="9.557508680555555" style="33" customWidth="1"/>
    <col min="3" max="3" width="48.835286458333336" style="33" customWidth="1"/>
    <col min="4" max="4" width="8.835286458333334" style="33" bestFit="1" customWidth="1"/>
    <col min="5" max="5" width="14.835286458333334" style="34" bestFit="1" customWidth="1"/>
    <col min="6" max="6" width="12.724175347222221" style="33" bestFit="1" customWidth="1"/>
    <col min="7" max="7" width="16.835286458333332" style="35" customWidth="1"/>
    <col min="8" max="8" width="6.446397569444445" style="33" bestFit="1" customWidth="1"/>
    <col min="9" max="9" width="10.279730902777779" style="33" bestFit="1" customWidth="1"/>
    <col min="10" max="11" width="11.724175347222221" style="33" hidden="1" customWidth="1"/>
    <col min="12" max="12" width="6.279730902777778" style="33" customWidth="1"/>
    <col min="13" max="13" width="11.557508680555555" style="33" bestFit="1" customWidth="1"/>
    <col min="14" max="14" width="30.446397569444443" style="33" customWidth="1"/>
    <col min="15" max="15" width="14.279730902777779" style="33" bestFit="1" customWidth="1"/>
    <col min="16" max="18" width="14.724175347222221" style="33" customWidth="1"/>
    <col min="19" max="19" width="9.446397569444445" style="33" hidden="1" customWidth="1"/>
    <col min="20" max="16384" width="9.168619791666666" style="33"/>
  </cols>
  <sheetData>
    <row r="1">
      <c r="A1" s="143" t="s">
        <v>20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</row>
    <row r="2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</row>
    <row r="3" ht="6.75" customHeight="1"/>
    <row r="4" ht="15.75">
      <c r="A4" s="36" t="s">
        <v>16</v>
      </c>
      <c r="B4" s="156" t="s">
        <v>30</v>
      </c>
      <c r="C4" s="156"/>
      <c r="E4" s="180" t="s">
        <v>90</v>
      </c>
      <c r="F4" s="180"/>
      <c r="G4" s="180"/>
      <c r="H4" s="180"/>
      <c r="I4" s="180"/>
      <c r="J4" s="180"/>
      <c r="K4" s="180"/>
      <c r="L4" s="180"/>
      <c r="M4" s="180"/>
      <c r="N4" s="180"/>
    </row>
    <row r="5" ht="18.75" customHeight="1">
      <c r="A5" s="36" t="s">
        <v>15</v>
      </c>
      <c r="B5" s="156">
        <v>2019.0</v>
      </c>
      <c r="C5" s="156"/>
      <c r="E5" s="180"/>
      <c r="F5" s="180"/>
      <c r="G5" s="180"/>
      <c r="H5" s="180"/>
      <c r="I5" s="180"/>
      <c r="J5" s="180"/>
      <c r="K5" s="180"/>
      <c r="L5" s="180"/>
      <c r="M5" s="180"/>
      <c r="N5" s="180"/>
    </row>
    <row r="6" ht="3.75" customHeight="1">
      <c r="A6" s="36"/>
      <c r="B6" s="4"/>
      <c r="C6" s="4"/>
      <c r="G6" s="63"/>
      <c r="H6" s="65"/>
      <c r="I6" s="65"/>
    </row>
    <row r="7" ht="15.75">
      <c r="A7" s="36" t="s">
        <v>42</v>
      </c>
      <c r="B7" s="156" t="s">
        <v>76</v>
      </c>
      <c r="C7" s="156"/>
    </row>
    <row r="8" ht="6.75" customHeight="1">
      <c r="A8" s="37"/>
    </row>
    <row r="9" customHeight="1">
      <c r="A9" s="142" t="s">
        <v>25</v>
      </c>
      <c r="B9" s="142"/>
      <c r="C9" s="142"/>
      <c r="D9" s="142"/>
      <c r="E9" s="142"/>
      <c r="F9" s="142"/>
      <c r="G9" s="142"/>
      <c r="H9" s="144" t="str">
        <f>LEFT($B$4,3)&amp;"/"&amp;RIGHT($B$5,2)</f>
        <v>Fev/19</v>
      </c>
      <c r="I9" s="144"/>
      <c r="M9" s="147" t="s">
        <v>59</v>
      </c>
      <c r="N9" s="147"/>
      <c r="O9" s="147"/>
      <c r="P9" s="147"/>
      <c r="Q9" s="145" t="str">
        <f>LEFT($B$4,3)&amp;"/"&amp;RIGHT($B$5,2)</f>
        <v>Fev/19</v>
      </c>
      <c r="R9" s="145"/>
    </row>
    <row r="10" customHeight="1">
      <c r="A10" s="142"/>
      <c r="B10" s="142"/>
      <c r="C10" s="142"/>
      <c r="D10" s="142"/>
      <c r="E10" s="142"/>
      <c r="F10" s="142"/>
      <c r="G10" s="142"/>
      <c r="H10" s="144"/>
      <c r="I10" s="144"/>
      <c r="M10" s="147"/>
      <c r="N10" s="147"/>
      <c r="O10" s="147"/>
      <c r="P10" s="147"/>
      <c r="Q10" s="145"/>
      <c r="R10" s="145"/>
    </row>
    <row r="11" s="41" customFormat="1" ht="52.5" customHeight="1">
      <c r="A11" s="38" t="s">
        <v>0</v>
      </c>
      <c r="B11" s="38" t="s">
        <v>1</v>
      </c>
      <c r="C11" s="38" t="s">
        <v>2</v>
      </c>
      <c r="D11" s="38" t="s">
        <v>18</v>
      </c>
      <c r="E11" s="39" t="s">
        <v>3</v>
      </c>
      <c r="F11" s="38" t="s">
        <v>21</v>
      </c>
      <c r="G11" s="40" t="s">
        <v>11</v>
      </c>
      <c r="H11" s="38" t="s">
        <v>28</v>
      </c>
      <c r="I11" s="38" t="s">
        <v>9</v>
      </c>
      <c r="J11" s="41" t="s">
        <v>31</v>
      </c>
      <c r="K11" s="42" t="s">
        <v>29</v>
      </c>
      <c r="M11" s="43" t="s">
        <v>0</v>
      </c>
      <c r="N11" s="38" t="s">
        <v>13</v>
      </c>
      <c r="O11" s="43" t="s">
        <v>3</v>
      </c>
      <c r="P11" s="38" t="s">
        <v>26</v>
      </c>
      <c r="Q11" s="40" t="s">
        <v>11</v>
      </c>
      <c r="R11" s="38" t="s">
        <v>4</v>
      </c>
      <c r="S11" s="44" t="s">
        <v>14</v>
      </c>
    </row>
    <row r="12">
      <c r="A12" s="5">
        <v>43498.0</v>
      </c>
      <c r="B12" s="6" t="s">
        <v>69</v>
      </c>
      <c r="C12" s="6" t="s">
        <v>61</v>
      </c>
      <c r="D12" s="6" t="s">
        <v>56</v>
      </c>
      <c r="E12" s="7">
        <v>50.0</v>
      </c>
      <c r="F12" s="6" t="s">
        <v>12</v>
      </c>
      <c r="G12" s="8"/>
      <c r="H12" s="6" t="s">
        <v>6</v>
      </c>
      <c r="I12" s="9" t="s">
        <v>6</v>
      </c>
      <c r="J12" s="33" t="str">
        <f>IFERROR(LEFT(G12,SEARCH("/",G12)-1)*1,"-")</f>
        <v>-</v>
      </c>
      <c r="K12" s="33">
        <v>2.0</v>
      </c>
      <c r="M12" s="21" t="s">
        <v>72</v>
      </c>
      <c r="N12" s="22" t="s">
        <v>73</v>
      </c>
      <c r="O12" s="23">
        <v>45.0</v>
      </c>
      <c r="P12" s="22" t="s">
        <v>12</v>
      </c>
      <c r="Q12" s="24"/>
      <c r="R12" s="25" t="s">
        <v>6</v>
      </c>
      <c r="S12" s="33" t="str">
        <f>IFERROR(LEFT(Q12,SEARCH("/",Q12)-1)*1,"-")</f>
        <v>-</v>
      </c>
    </row>
    <row r="13">
      <c r="A13" s="10">
        <v>43513.0</v>
      </c>
      <c r="B13" s="11" t="s">
        <v>70</v>
      </c>
      <c r="C13" s="11" t="s">
        <v>71</v>
      </c>
      <c r="D13" s="11" t="s">
        <v>19</v>
      </c>
      <c r="E13" s="12">
        <v>100.0</v>
      </c>
      <c r="F13" s="11" t="s">
        <v>62</v>
      </c>
      <c r="G13" s="13"/>
      <c r="H13" s="11" t="s">
        <v>6</v>
      </c>
      <c r="I13" s="14" t="s">
        <v>7</v>
      </c>
      <c r="J13" s="33" t="str">
        <f>IFERROR(LEFT(G13,SEARCH("/",G13)-1)*1,"-")</f>
        <v>-</v>
      </c>
      <c r="K13" s="33">
        <v>2.0</v>
      </c>
      <c r="M13" s="21">
        <v>43495.0</v>
      </c>
      <c r="N13" s="11" t="s">
        <v>75</v>
      </c>
      <c r="O13" s="12">
        <v>110.0</v>
      </c>
      <c r="P13" s="11" t="s">
        <v>43</v>
      </c>
      <c r="Q13" s="13"/>
      <c r="R13" s="27" t="s">
        <v>6</v>
      </c>
      <c r="S13" s="33" t="str">
        <f>IFERROR(LEFT(Q13,SEARCH("/",Q13)-1)*1,"-")</f>
        <v>-</v>
      </c>
    </row>
    <row r="14">
      <c r="A14" s="10">
        <v>43516.0</v>
      </c>
      <c r="B14" s="33" t="s">
        <v>80</v>
      </c>
      <c r="C14" s="33" t="s">
        <v>81</v>
      </c>
      <c r="D14" s="33" t="s">
        <v>56</v>
      </c>
      <c r="E14" s="34">
        <v>35.0</v>
      </c>
      <c r="F14" s="33" t="s">
        <v>62</v>
      </c>
      <c r="G14" s="62"/>
      <c r="I14" s="14"/>
      <c r="J14" s="33">
        <f>IFERROR(LEFT(G16,SEARCH("/",G16)-1)*1,"-")</f>
        <v>3.0</v>
      </c>
      <c r="K14" s="33">
        <v>2.0</v>
      </c>
      <c r="M14" s="26"/>
      <c r="N14" s="11"/>
      <c r="O14" s="12"/>
      <c r="P14" s="11"/>
      <c r="Q14" s="13"/>
      <c r="R14" s="27"/>
      <c r="S14" s="33" t="str">
        <f>IFERROR(LEFT(Q14,SEARCH("/",Q14)-1)*1,"-")</f>
        <v>-</v>
      </c>
    </row>
    <row r="15">
      <c r="A15" s="10">
        <v>43478.0</v>
      </c>
      <c r="B15" s="11" t="s">
        <v>8</v>
      </c>
      <c r="C15" s="11" t="s">
        <v>65</v>
      </c>
      <c r="D15" s="11" t="s">
        <v>19</v>
      </c>
      <c r="E15" s="12">
        <v>50.0</v>
      </c>
      <c r="F15" s="11" t="s">
        <v>43</v>
      </c>
      <c r="G15" s="13" t="s">
        <v>67</v>
      </c>
      <c r="H15" s="11" t="s">
        <v>7</v>
      </c>
      <c r="I15" s="14" t="s">
        <v>6</v>
      </c>
      <c r="J15" s="33" t="str">
        <f>IFERROR(LEFT(G17,SEARCH("/",G17)-1)*1,"-")</f>
        <v>-</v>
      </c>
      <c r="K15" s="33">
        <v>1.0</v>
      </c>
      <c r="M15" s="26"/>
      <c r="N15" s="11"/>
      <c r="O15" s="12"/>
      <c r="P15" s="11"/>
      <c r="Q15" s="13"/>
      <c r="R15" s="27"/>
      <c r="S15" s="33" t="str">
        <f>IFERROR(LEFT(Q15,SEARCH("/",Q15)-1)*1,"-")</f>
        <v>-</v>
      </c>
    </row>
    <row r="16">
      <c r="A16" s="15"/>
      <c r="B16" s="11" t="s">
        <v>8</v>
      </c>
      <c r="C16" s="11" t="s">
        <v>65</v>
      </c>
      <c r="D16" s="11" t="s">
        <v>19</v>
      </c>
      <c r="E16" s="12">
        <v>50.0</v>
      </c>
      <c r="F16" s="11" t="s">
        <v>43</v>
      </c>
      <c r="G16" s="13" t="s">
        <v>68</v>
      </c>
      <c r="H16" s="11"/>
      <c r="I16" s="14"/>
      <c r="J16" s="33" t="str">
        <f>IFERROR(LEFT(#REF!,SEARCH("/",#REF!)-1)*1,"-")</f>
        <v>-</v>
      </c>
      <c r="K16" s="33" t="s">
        <v>92</v>
      </c>
      <c r="M16" s="26"/>
      <c r="N16" s="11"/>
      <c r="O16" s="12"/>
      <c r="P16" s="11"/>
      <c r="Q16" s="13"/>
      <c r="R16" s="27"/>
      <c r="S16" s="33" t="str">
        <f>IFERROR(LEFT(Q16,SEARCH("/",Q16)-1)*1,"-")</f>
        <v>-</v>
      </c>
    </row>
    <row r="17">
      <c r="A17" s="15"/>
      <c r="B17" s="11"/>
      <c r="C17" s="11"/>
      <c r="D17" s="11"/>
      <c r="E17" s="12"/>
      <c r="F17" s="11"/>
      <c r="G17" s="13"/>
      <c r="H17" s="11"/>
      <c r="I17" s="14"/>
      <c r="J17" s="33" t="str">
        <f>IFERROR(LEFT(#REF!,SEARCH("/",#REF!)-1)*1,"-")</f>
        <v>-</v>
      </c>
      <c r="K17" s="33" t="s">
        <v>92</v>
      </c>
      <c r="M17" s="26"/>
      <c r="N17" s="11"/>
      <c r="O17" s="12"/>
      <c r="P17" s="11"/>
      <c r="Q17" s="13"/>
      <c r="R17" s="27"/>
      <c r="S17" s="33" t="str">
        <f>IFERROR(LEFT(Q17,SEARCH("/",Q17)-1)*1,"-")</f>
        <v>-</v>
      </c>
    </row>
    <row r="18">
      <c r="A18" s="15"/>
      <c r="B18" s="11"/>
      <c r="C18" s="11"/>
      <c r="D18" s="11"/>
      <c r="E18" s="12"/>
      <c r="F18" s="11"/>
      <c r="G18" s="13"/>
      <c r="H18" s="11"/>
      <c r="I18" s="14"/>
      <c r="J18" s="33" t="str">
        <f>IFERROR(LEFT(G18,SEARCH("/",G18)-1)*1,"-")</f>
        <v>-</v>
      </c>
      <c r="K18" s="33" t="s">
        <v>92</v>
      </c>
      <c r="M18" s="26"/>
      <c r="N18" s="11"/>
      <c r="O18" s="12"/>
      <c r="P18" s="11"/>
      <c r="Q18" s="13"/>
      <c r="R18" s="27"/>
      <c r="S18" s="33" t="str">
        <f>IFERROR(LEFT(Q18,SEARCH("/",Q18)-1)*1,"-")</f>
        <v>-</v>
      </c>
    </row>
    <row r="19">
      <c r="A19" s="15"/>
      <c r="B19" s="11"/>
      <c r="C19" s="11"/>
      <c r="D19" s="11"/>
      <c r="E19" s="12"/>
      <c r="F19" s="11"/>
      <c r="G19" s="13"/>
      <c r="H19" s="11"/>
      <c r="I19" s="14"/>
      <c r="J19" s="33" t="str">
        <f>IFERROR(LEFT(G19,SEARCH("/",G19)-1)*1,"-")</f>
        <v>-</v>
      </c>
      <c r="K19" s="33" t="s">
        <v>92</v>
      </c>
      <c r="M19" s="26"/>
      <c r="N19" s="11"/>
      <c r="O19" s="12"/>
      <c r="P19" s="11"/>
      <c r="Q19" s="13"/>
      <c r="R19" s="27"/>
      <c r="S19" s="45" t="str">
        <f>IFERROR(LEFT(Q19,SEARCH("/",Q19)-1)*1,"-")</f>
        <v>-</v>
      </c>
    </row>
    <row r="20">
      <c r="A20" s="15"/>
      <c r="B20" s="11"/>
      <c r="C20" s="11"/>
      <c r="D20" s="11"/>
      <c r="E20" s="12"/>
      <c r="F20" s="11"/>
      <c r="G20" s="13"/>
      <c r="H20" s="11"/>
      <c r="I20" s="14"/>
      <c r="J20" s="33" t="str">
        <f>IFERROR(LEFT(G20,SEARCH("/",G20)-1)*1,"-")</f>
        <v>-</v>
      </c>
      <c r="K20" s="33" t="s">
        <v>92</v>
      </c>
      <c r="M20" s="26"/>
      <c r="N20" s="11"/>
      <c r="O20" s="12"/>
      <c r="P20" s="11"/>
      <c r="Q20" s="13"/>
      <c r="R20" s="27"/>
      <c r="S20" s="45" t="str">
        <f>IFERROR(LEFT(Q20,SEARCH("/",Q20)-1)*1,"-")</f>
        <v>-</v>
      </c>
    </row>
    <row r="21">
      <c r="A21" s="15"/>
      <c r="B21" s="11"/>
      <c r="C21" s="11"/>
      <c r="D21" s="11"/>
      <c r="E21" s="12"/>
      <c r="F21" s="11"/>
      <c r="G21" s="13"/>
      <c r="H21" s="11"/>
      <c r="I21" s="14"/>
      <c r="J21" s="33" t="str">
        <f>IFERROR(LEFT(G21,SEARCH("/",G21)-1)*1,"-")</f>
        <v>-</v>
      </c>
      <c r="K21" s="33" t="s">
        <v>92</v>
      </c>
      <c r="M21" s="26"/>
      <c r="N21" s="11"/>
      <c r="O21" s="12"/>
      <c r="P21" s="11"/>
      <c r="Q21" s="13"/>
      <c r="R21" s="27"/>
      <c r="S21" s="45" t="str">
        <f>IFERROR(LEFT(Q21,SEARCH("/",Q21)-1)*1,"-")</f>
        <v>-</v>
      </c>
    </row>
    <row r="22">
      <c r="A22" s="15"/>
      <c r="B22" s="11"/>
      <c r="C22" s="11"/>
      <c r="D22" s="11"/>
      <c r="E22" s="12"/>
      <c r="F22" s="11"/>
      <c r="G22" s="13"/>
      <c r="H22" s="11"/>
      <c r="I22" s="14"/>
      <c r="J22" s="33" t="str">
        <f>IFERROR(LEFT(G22,SEARCH("/",G22)-1)*1,"-")</f>
        <v>-</v>
      </c>
      <c r="K22" s="45" t="s">
        <v>92</v>
      </c>
      <c r="M22" s="26"/>
      <c r="N22" s="11"/>
      <c r="O22" s="12"/>
      <c r="P22" s="11"/>
      <c r="Q22" s="13"/>
      <c r="R22" s="27"/>
      <c r="S22" s="45" t="str">
        <f>IFERROR(LEFT(Q22,SEARCH("/",Q22)-1)*1,"-")</f>
        <v>-</v>
      </c>
    </row>
    <row r="23">
      <c r="A23" s="15"/>
      <c r="B23" s="11"/>
      <c r="C23" s="11"/>
      <c r="D23" s="11"/>
      <c r="E23" s="12"/>
      <c r="F23" s="11"/>
      <c r="G23" s="13"/>
      <c r="H23" s="11"/>
      <c r="I23" s="14"/>
      <c r="J23" s="33" t="str">
        <f>IFERROR(LEFT(G23,SEARCH("/",G23)-1)*1,"-")</f>
        <v>-</v>
      </c>
      <c r="K23" s="45" t="s">
        <v>92</v>
      </c>
      <c r="M23" s="26"/>
      <c r="N23" s="11"/>
      <c r="O23" s="12"/>
      <c r="P23" s="11"/>
      <c r="Q23" s="13"/>
      <c r="R23" s="27"/>
      <c r="S23" s="45" t="str">
        <f>IFERROR(LEFT(Q23,SEARCH("/",Q23)-1)*1,"-")</f>
        <v>-</v>
      </c>
    </row>
    <row r="24">
      <c r="A24" s="15"/>
      <c r="B24" s="11"/>
      <c r="C24" s="11"/>
      <c r="D24" s="11"/>
      <c r="E24" s="12"/>
      <c r="F24" s="11"/>
      <c r="G24" s="13"/>
      <c r="H24" s="11"/>
      <c r="I24" s="14"/>
      <c r="J24" s="33" t="str">
        <f>IFERROR(LEFT(G24,SEARCH("/",G24)-1)*1,"-")</f>
        <v>-</v>
      </c>
      <c r="K24" s="45" t="s">
        <v>92</v>
      </c>
      <c r="L24" s="46"/>
      <c r="M24" s="26"/>
      <c r="N24" s="11"/>
      <c r="O24" s="12"/>
      <c r="P24" s="11"/>
      <c r="Q24" s="13"/>
      <c r="R24" s="27"/>
      <c r="S24" s="45" t="str">
        <f>IFERROR(LEFT(Q24,SEARCH("/",Q24)-1)*1,"-")</f>
        <v>-</v>
      </c>
    </row>
    <row r="25">
      <c r="A25" s="15"/>
      <c r="B25" s="11"/>
      <c r="C25" s="11"/>
      <c r="D25" s="11"/>
      <c r="E25" s="12"/>
      <c r="F25" s="11"/>
      <c r="G25" s="13"/>
      <c r="H25" s="11"/>
      <c r="I25" s="14"/>
      <c r="J25" s="33" t="str">
        <f>IFERROR(LEFT(G25,SEARCH("/",G25)-1)*1,"-")</f>
        <v>-</v>
      </c>
      <c r="K25" s="45" t="s">
        <v>92</v>
      </c>
      <c r="L25" s="46"/>
      <c r="M25" s="26"/>
      <c r="N25" s="11"/>
      <c r="O25" s="12"/>
      <c r="P25" s="11"/>
      <c r="Q25" s="13"/>
      <c r="R25" s="27"/>
      <c r="S25" s="45" t="str">
        <f>IFERROR(LEFT(Q25,SEARCH("/",Q25)-1)*1,"-")</f>
        <v>-</v>
      </c>
    </row>
    <row r="26">
      <c r="A26" s="15"/>
      <c r="B26" s="11"/>
      <c r="C26" s="11"/>
      <c r="D26" s="11"/>
      <c r="E26" s="12"/>
      <c r="F26" s="11"/>
      <c r="G26" s="13"/>
      <c r="H26" s="11"/>
      <c r="I26" s="14"/>
      <c r="J26" s="33" t="str">
        <f>IFERROR(LEFT(G26,SEARCH("/",G26)-1)*1,"-")</f>
        <v>-</v>
      </c>
      <c r="K26" s="45" t="s">
        <v>92</v>
      </c>
      <c r="L26" s="46"/>
      <c r="M26" s="26"/>
      <c r="N26" s="11"/>
      <c r="O26" s="12"/>
      <c r="P26" s="11"/>
      <c r="Q26" s="13"/>
      <c r="R26" s="27"/>
      <c r="S26" s="45" t="str">
        <f>IFERROR(LEFT(Q26,SEARCH("/",Q26)-1)*1,"-")</f>
        <v>-</v>
      </c>
    </row>
    <row r="27">
      <c r="A27" s="15"/>
      <c r="B27" s="11"/>
      <c r="C27" s="11"/>
      <c r="D27" s="11"/>
      <c r="E27" s="12"/>
      <c r="F27" s="11"/>
      <c r="G27" s="13"/>
      <c r="H27" s="11"/>
      <c r="I27" s="14"/>
      <c r="J27" s="33" t="str">
        <f>IFERROR(LEFT(G27,SEARCH("/",G27)-1)*1,"-")</f>
        <v>-</v>
      </c>
      <c r="K27" s="45" t="s">
        <v>92</v>
      </c>
      <c r="M27" s="26"/>
      <c r="N27" s="11"/>
      <c r="O27" s="12"/>
      <c r="P27" s="11"/>
      <c r="Q27" s="13"/>
      <c r="R27" s="27"/>
      <c r="S27" s="45" t="str">
        <f>IFERROR(LEFT(Q27,SEARCH("/",Q27)-1)*1,"-")</f>
        <v>-</v>
      </c>
    </row>
    <row r="28">
      <c r="A28" s="15"/>
      <c r="B28" s="11"/>
      <c r="C28" s="11"/>
      <c r="D28" s="11"/>
      <c r="E28" s="12"/>
      <c r="F28" s="11"/>
      <c r="G28" s="13"/>
      <c r="H28" s="11"/>
      <c r="I28" s="14"/>
      <c r="J28" s="33" t="str">
        <f>IFERROR(LEFT(G28,SEARCH("/",G28)-1)*1,"-")</f>
        <v>-</v>
      </c>
      <c r="K28" s="45" t="s">
        <v>92</v>
      </c>
      <c r="M28" s="26"/>
      <c r="N28" s="11"/>
      <c r="O28" s="12"/>
      <c r="P28" s="11"/>
      <c r="Q28" s="13"/>
      <c r="R28" s="27"/>
      <c r="S28" s="45" t="str">
        <f>IFERROR(LEFT(Q28,SEARCH("/",Q28)-1)*1,"-")</f>
        <v>-</v>
      </c>
    </row>
    <row r="29">
      <c r="A29" s="15"/>
      <c r="B29" s="11"/>
      <c r="C29" s="11"/>
      <c r="D29" s="11"/>
      <c r="E29" s="12"/>
      <c r="F29" s="11"/>
      <c r="G29" s="13"/>
      <c r="H29" s="11"/>
      <c r="I29" s="14"/>
      <c r="J29" s="33" t="str">
        <f>IFERROR(LEFT(G29,SEARCH("/",G29)-1)*1,"-")</f>
        <v>-</v>
      </c>
      <c r="K29" s="45" t="s">
        <v>92</v>
      </c>
      <c r="M29" s="26"/>
      <c r="N29" s="11"/>
      <c r="O29" s="12"/>
      <c r="P29" s="11"/>
      <c r="Q29" s="13"/>
      <c r="R29" s="27"/>
      <c r="S29" s="45" t="str">
        <f>IFERROR(LEFT(Q29,SEARCH("/",Q29)-1)*1,"-")</f>
        <v>-</v>
      </c>
    </row>
    <row r="30">
      <c r="A30" s="15"/>
      <c r="B30" s="11"/>
      <c r="C30" s="11"/>
      <c r="D30" s="11"/>
      <c r="E30" s="12"/>
      <c r="F30" s="11"/>
      <c r="G30" s="13"/>
      <c r="H30" s="11"/>
      <c r="I30" s="14"/>
      <c r="J30" s="33" t="str">
        <f>IFERROR(LEFT(G30,SEARCH("/",G30)-1)*1,"-")</f>
        <v>-</v>
      </c>
      <c r="K30" s="45" t="s">
        <v>92</v>
      </c>
      <c r="M30" s="26"/>
      <c r="N30" s="11"/>
      <c r="O30" s="12"/>
      <c r="P30" s="11"/>
      <c r="Q30" s="13"/>
      <c r="R30" s="27"/>
      <c r="S30" s="45" t="str">
        <f>IFERROR(LEFT(Q30,SEARCH("/",Q30)-1)*1,"-")</f>
        <v>-</v>
      </c>
    </row>
    <row r="31">
      <c r="A31" s="15"/>
      <c r="B31" s="11"/>
      <c r="C31" s="11"/>
      <c r="D31" s="11"/>
      <c r="E31" s="12"/>
      <c r="F31" s="11"/>
      <c r="G31" s="13"/>
      <c r="H31" s="11"/>
      <c r="I31" s="14"/>
      <c r="J31" s="33" t="str">
        <f>IFERROR(LEFT(G31,SEARCH("/",G31)-1)*1,"-")</f>
        <v>-</v>
      </c>
      <c r="K31" s="45" t="s">
        <v>92</v>
      </c>
      <c r="M31" s="26"/>
      <c r="N31" s="11"/>
      <c r="O31" s="12"/>
      <c r="P31" s="11"/>
      <c r="Q31" s="13"/>
      <c r="R31" s="27"/>
      <c r="S31" s="33" t="str">
        <f>IFERROR(LEFT(Q31,SEARCH("/",Q31)-1)*1,"-")</f>
        <v>-</v>
      </c>
    </row>
    <row r="32">
      <c r="A32" s="15"/>
      <c r="B32" s="11"/>
      <c r="C32" s="11"/>
      <c r="D32" s="11"/>
      <c r="E32" s="12"/>
      <c r="F32" s="11"/>
      <c r="G32" s="13"/>
      <c r="H32" s="11"/>
      <c r="I32" s="14"/>
      <c r="J32" s="33" t="str">
        <f>IFERROR(LEFT(G32,SEARCH("/",G32)-1)*1,"-")</f>
        <v>-</v>
      </c>
      <c r="K32" s="45" t="s">
        <v>92</v>
      </c>
      <c r="M32" s="26"/>
      <c r="N32" s="11"/>
      <c r="O32" s="12"/>
      <c r="P32" s="11"/>
      <c r="Q32" s="13"/>
      <c r="R32" s="27"/>
      <c r="S32" s="33" t="str">
        <f>IFERROR(LEFT(Q32,SEARCH("/",Q32)-1)*1,"-")</f>
        <v>-</v>
      </c>
    </row>
    <row r="33">
      <c r="A33" s="15"/>
      <c r="B33" s="11"/>
      <c r="C33" s="11"/>
      <c r="D33" s="11"/>
      <c r="E33" s="12"/>
      <c r="F33" s="11"/>
      <c r="G33" s="13"/>
      <c r="H33" s="11"/>
      <c r="I33" s="14"/>
      <c r="J33" s="33" t="str">
        <f>IFERROR(LEFT(G33,SEARCH("/",G33)-1)*1,"-")</f>
        <v>-</v>
      </c>
      <c r="K33" s="45" t="s">
        <v>92</v>
      </c>
      <c r="M33" s="26"/>
      <c r="N33" s="11"/>
      <c r="O33" s="12"/>
      <c r="P33" s="11"/>
      <c r="Q33" s="13"/>
      <c r="R33" s="27"/>
      <c r="S33" s="45" t="str">
        <f>IFERROR(LEFT(Q33,SEARCH("/",Q33)-1)*1,"-")</f>
        <v>-</v>
      </c>
    </row>
    <row r="34">
      <c r="A34" s="16"/>
      <c r="B34" s="17"/>
      <c r="C34" s="17"/>
      <c r="D34" s="17"/>
      <c r="E34" s="18"/>
      <c r="F34" s="17"/>
      <c r="G34" s="19"/>
      <c r="H34" s="17"/>
      <c r="I34" s="20"/>
      <c r="J34" s="33" t="str">
        <f>IFERROR(LEFT(G34,SEARCH("/",G34)-1)*1,"-")</f>
        <v>-</v>
      </c>
      <c r="K34" s="33" t="s">
        <v>92</v>
      </c>
      <c r="M34" s="28"/>
      <c r="N34" s="29"/>
      <c r="O34" s="30"/>
      <c r="P34" s="29"/>
      <c r="Q34" s="31"/>
      <c r="R34" s="32"/>
      <c r="S34" s="45" t="str">
        <f>IFERROR(LEFT(Q34,SEARCH("/",Q34)-1)*1,"-")</f>
        <v>-</v>
      </c>
    </row>
    <row r="35" ht="15.75">
      <c r="A35" s="149" t="s">
        <v>85</v>
      </c>
      <c r="B35" s="148"/>
      <c r="C35" s="47" t="s">
        <v>23</v>
      </c>
      <c r="D35" s="48"/>
      <c r="E35" s="48"/>
      <c r="F35" s="129" t="s">
        <v>83</v>
      </c>
      <c r="G35" s="128"/>
      <c r="H35" s="128"/>
      <c r="I35" s="127"/>
      <c r="M35" s="139" t="s">
        <v>27</v>
      </c>
      <c r="N35" s="139"/>
      <c r="P35" s="157" t="s">
        <v>84</v>
      </c>
      <c r="Q35" s="157"/>
      <c r="R35" s="157"/>
    </row>
    <row r="36">
      <c r="A36" s="155">
        <f>SUMIF(Tabela11618222426283040[mês],MONTH((H9*1)),(E12:E34))</f>
        <v>185.0</v>
      </c>
      <c r="B36" s="154"/>
      <c r="C36" s="126">
        <f>SUMIFS(E12:E34,I12:I34,"Sim",J12:J34,"&gt;1")</f>
        <v>0.0</v>
      </c>
      <c r="D36" s="49"/>
      <c r="E36" s="49"/>
      <c r="F36" s="138">
        <f>SUMIF(I12:I34,"Sim",E12:E34)</f>
        <v>100.0</v>
      </c>
      <c r="G36" s="137"/>
      <c r="H36" s="137"/>
      <c r="I36" s="136"/>
      <c r="M36" s="141">
        <f>SUM(Tabela31719232527293141[Valor])</f>
        <v>155.0</v>
      </c>
      <c r="N36" s="140"/>
      <c r="O36" s="49"/>
      <c r="P36" s="146">
        <f>SUMIF(Tabela31719232527293141[Pago],"Sim",Tabela31719232527293141[Valor])</f>
        <v>155.0</v>
      </c>
      <c r="Q36" s="146"/>
      <c r="R36" s="146"/>
      <c r="S36" s="49"/>
    </row>
    <row r="37">
      <c r="A37" s="153"/>
      <c r="B37" s="152"/>
      <c r="C37" s="125"/>
      <c r="D37" s="49"/>
      <c r="E37" s="49"/>
      <c r="F37" s="135"/>
      <c r="G37" s="134"/>
      <c r="H37" s="134"/>
      <c r="I37" s="133"/>
      <c r="M37" s="140"/>
      <c r="N37" s="140"/>
      <c r="O37" s="49"/>
      <c r="P37" s="146"/>
      <c r="Q37" s="146"/>
      <c r="R37" s="146"/>
      <c r="S37" s="49"/>
    </row>
    <row r="38">
      <c r="A38" s="151"/>
      <c r="B38" s="150"/>
      <c r="C38" s="124"/>
      <c r="D38" s="49"/>
      <c r="E38" s="49"/>
      <c r="F38" s="132"/>
      <c r="G38" s="131"/>
      <c r="H38" s="131"/>
      <c r="I38" s="130"/>
      <c r="M38" s="140"/>
      <c r="N38" s="140"/>
      <c r="O38" s="49"/>
      <c r="P38" s="146"/>
      <c r="Q38" s="146"/>
      <c r="R38" s="146"/>
      <c r="S38" s="49"/>
    </row>
    <row r="39">
      <c r="B39" s="11"/>
      <c r="C39" s="50"/>
    </row>
    <row r="40">
      <c r="G40" s="33"/>
    </row>
    <row r="41">
      <c r="G41" s="33"/>
    </row>
    <row r="42">
      <c r="G42" s="33"/>
    </row>
    <row r="43">
      <c r="G43" s="33"/>
    </row>
    <row r="44">
      <c r="G44" s="33"/>
    </row>
    <row r="45">
      <c r="G45" s="33"/>
    </row>
    <row r="46">
      <c r="G46" s="33"/>
    </row>
  </sheetData>
  <mergeCells count="18">
    <mergeCell ref="B7:C7"/>
    <mergeCell ref="E4:N5"/>
    <mergeCell ref="A1:R2"/>
    <mergeCell ref="B4:C4"/>
    <mergeCell ref="B5:C5"/>
    <mergeCell ref="A9:G10"/>
    <mergeCell ref="H9:I10"/>
    <mergeCell ref="M9:P10"/>
    <mergeCell ref="Q9:R10"/>
    <mergeCell ref="A35:B35"/>
    <mergeCell ref="F35:I35"/>
    <mergeCell ref="M35:N35"/>
    <mergeCell ref="P35:R35"/>
    <mergeCell ref="A36:B38"/>
    <mergeCell ref="C36:C38"/>
    <mergeCell ref="F36:I38"/>
    <mergeCell ref="M36:N38"/>
    <mergeCell ref="P36:R38"/>
  </mergeCells>
  <printOptions/>
  <pageMargins left="0.5054133862" right="0.5054133862" top="0.7775590553124999" bottom="0.7775590553124999" footer="0.31102361224999997" header="0.31102361224999997"/>
  <pageSetup paperSize="9" scale="10" orientation="landscape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ThinkFree Calc</Application>
  <AppVersion>06.0000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 Facil</dc:creator>
  <dcterms:created xsi:type="dcterms:W3CDTF">2019-01-29T19:47:07Z</dcterms:created>
  <cp:lastModifiedBy>roniltonfp</cp:lastModifiedBy>
  <cp:lastPrinted>2019-01-30T17:58:55Z</cp:lastPrinted>
  <dcterms:modified xsi:type="dcterms:W3CDTF">2019-02-05T17:06:23Z</dcterms:modified>
  <cp:revision>1</cp:revision>
</cp:coreProperties>
</file>