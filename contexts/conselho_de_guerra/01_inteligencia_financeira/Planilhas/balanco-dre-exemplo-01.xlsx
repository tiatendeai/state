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UANNA\CONTABILIDADE\JÁ NO DRIVE\DEPARTAMENTOS\DEPARTAMENTO CONTÁBIL\PLANILHAS - CONTÁBIL\BALANÇO E BALANCETES FINANCEIROS\"/>
    </mc:Choice>
  </mc:AlternateContent>
  <xr:revisionPtr revIDLastSave="0" documentId="13_ncr:1_{0BE476B1-40AB-4B7A-A03E-DB2B35C393C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BALANÇO PATRIMONIAL" sheetId="1" r:id="rId1"/>
    <sheet name="D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2" l="1"/>
  <c r="B8" i="2" s="1"/>
  <c r="B18" i="2" s="1"/>
  <c r="B21" i="2" s="1"/>
  <c r="B25" i="2" s="1"/>
  <c r="B28" i="2" s="1"/>
</calcChain>
</file>

<file path=xl/sharedStrings.xml><?xml version="1.0" encoding="utf-8"?>
<sst xmlns="http://schemas.openxmlformats.org/spreadsheetml/2006/main" count="82" uniqueCount="73">
  <si>
    <t>NOME DA EMPRESA</t>
  </si>
  <si>
    <t>Balanço Patrimonial em 31 de Dezembro de 2015 (em milhares de Reais)</t>
  </si>
  <si>
    <t>ATIVO</t>
  </si>
  <si>
    <t>PASSIVO</t>
  </si>
  <si>
    <t>Circulante</t>
  </si>
  <si>
    <t>Disponiblidades</t>
  </si>
  <si>
    <t>Fornecedores</t>
  </si>
  <si>
    <t>Contas a Receber</t>
  </si>
  <si>
    <t>Financiamentos</t>
  </si>
  <si>
    <t>Estoques</t>
  </si>
  <si>
    <t>Debentures</t>
  </si>
  <si>
    <t>Impostos a Recuperar</t>
  </si>
  <si>
    <t>Salários e Contribuições Sociais</t>
  </si>
  <si>
    <t>IR e Contr Social diferidos</t>
  </si>
  <si>
    <t>Prov p/IR e Contr Social</t>
  </si>
  <si>
    <t>Acordos Comerciais</t>
  </si>
  <si>
    <t>Financiamentos Compra Imóveis</t>
  </si>
  <si>
    <t>Fundos de Recebíveis</t>
  </si>
  <si>
    <t>Alugueis a pagar</t>
  </si>
  <si>
    <t>Desp Antecipadas</t>
  </si>
  <si>
    <t>Dividendos e Jrs s/ Cap Próprio</t>
  </si>
  <si>
    <t>Outros</t>
  </si>
  <si>
    <t>Outras Obrigações</t>
  </si>
  <si>
    <t>TOTAL ATIVO CIRCULANTE</t>
  </si>
  <si>
    <t>TOTAL PASSIVO CIRCULANTE</t>
  </si>
  <si>
    <t>Não Circulante</t>
  </si>
  <si>
    <t>Realizavel a Longo Prazo</t>
  </si>
  <si>
    <t>Exigível a Longo Prazo</t>
  </si>
  <si>
    <t>Quotas do fundo (FIDC)</t>
  </si>
  <si>
    <t>Partes Relacionadas</t>
  </si>
  <si>
    <t>Imp e Contr Recolher</t>
  </si>
  <si>
    <t xml:space="preserve">Depositos Judiciais </t>
  </si>
  <si>
    <t>Prov p/Contingencias</t>
  </si>
  <si>
    <t>TOTAL DO REAL LP</t>
  </si>
  <si>
    <t>TOTAL EXIG LP</t>
  </si>
  <si>
    <t>Permanente</t>
  </si>
  <si>
    <t>Patrimônio Líquido</t>
  </si>
  <si>
    <t>PL</t>
  </si>
  <si>
    <t>Investimentos</t>
  </si>
  <si>
    <t>Capital Social</t>
  </si>
  <si>
    <t>Ágio na aquisição de Investimentos</t>
  </si>
  <si>
    <t>Reservas de Capital</t>
  </si>
  <si>
    <t>Reservas de Lucros</t>
  </si>
  <si>
    <t>Imobilizado</t>
  </si>
  <si>
    <t>Lucros Acumulados</t>
  </si>
  <si>
    <t>Intangível</t>
  </si>
  <si>
    <t>TOTAL DO AT PERMANENTE</t>
  </si>
  <si>
    <t>TOTAL PL</t>
  </si>
  <si>
    <t>TOTAL DO ATIVO</t>
  </si>
  <si>
    <t>TOTAL PASSIVO+PL</t>
  </si>
  <si>
    <t>NOME EMPRESA</t>
  </si>
  <si>
    <t>DRE em 31 de Dezembro de 20xx (em milhares de Reais)</t>
  </si>
  <si>
    <t>Receita Bruta de Vendas</t>
  </si>
  <si>
    <t>Impostos s/ Vendas (ICMS, PIS, Cofins e ISS)</t>
  </si>
  <si>
    <t>RECEITA LÍQUIDA DE VENDAS</t>
  </si>
  <si>
    <t>Custo dos Produtos e Mercadorias Vendidas</t>
  </si>
  <si>
    <t>LUCRO BRUTO</t>
  </si>
  <si>
    <t>Despesas com Vendas</t>
  </si>
  <si>
    <t>Despesas Gerais e Administrativas</t>
  </si>
  <si>
    <t>Impostos e Taxas</t>
  </si>
  <si>
    <t>Despesas com Depreciações e Amortizações</t>
  </si>
  <si>
    <t>Equivalencia Patrimonial</t>
  </si>
  <si>
    <t>Outras Receitas (Desp) Operacionais Líquidas</t>
  </si>
  <si>
    <t>Receitas Financeiras</t>
  </si>
  <si>
    <t>Despesas Financeiras</t>
  </si>
  <si>
    <t>LUCRO OPERACIONAL</t>
  </si>
  <si>
    <t>Receitas Não Operacionais Líquidas</t>
  </si>
  <si>
    <t xml:space="preserve">LUCRO ANTES DO IMP E CONTR SOCIAL </t>
  </si>
  <si>
    <t>Imp de Renda e Contr Social Corrente</t>
  </si>
  <si>
    <t>Imp de Renda e Contr Social Diferido</t>
  </si>
  <si>
    <t xml:space="preserve">LUCRO LÍQUIDO ANTES DA PART ADM </t>
  </si>
  <si>
    <t>Participação dos Funcionários no LL</t>
  </si>
  <si>
    <t>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</si>
</sst>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#,##0_ ;[Red]\-#,##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theme="0" tint="-0.14996795556505021"/>
      </right>
      <top style="thin">
        <color indexed="64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thin">
        <color indexed="64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indexed="64"/>
      </right>
      <top style="thin">
        <color indexed="64"/>
      </top>
      <bottom style="dotted">
        <color theme="0" tint="-0.14996795556505021"/>
      </bottom>
      <diagonal/>
    </border>
    <border>
      <left style="thin">
        <color indexed="64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indexed="64"/>
      </left>
      <right style="dotted">
        <color theme="0" tint="-0.14996795556505021"/>
      </right>
      <top/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/>
      <bottom style="dotted">
        <color theme="0" tint="-0.14996795556505021"/>
      </bottom>
      <diagonal/>
    </border>
    <border>
      <left style="dotted">
        <color theme="0" tint="-0.14996795556505021"/>
      </left>
      <right style="thin">
        <color indexed="64"/>
      </right>
      <top/>
      <bottom style="dotted">
        <color theme="0" tint="-0.14996795556505021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/>
    <xf numFmtId="0" fontId="4" fillId="0" borderId="0" xfId="1" applyFont="1" applyProtection="1">
      <protection locked="0"/>
    </xf>
    <xf numFmtId="2" fontId="3" fillId="3" borderId="7" xfId="1" applyNumberFormat="1" applyFont="1" applyFill="1" applyBorder="1" applyAlignment="1" applyProtection="1">
      <alignment horizontal="center"/>
      <protection locked="0"/>
    </xf>
    <xf numFmtId="2" fontId="3" fillId="3" borderId="8" xfId="1" applyNumberFormat="1" applyFont="1" applyFill="1" applyBorder="1" applyProtection="1">
      <protection locked="0"/>
    </xf>
    <xf numFmtId="2" fontId="3" fillId="3" borderId="8" xfId="1" applyNumberFormat="1" applyFont="1" applyFill="1" applyBorder="1" applyAlignment="1" applyProtection="1">
      <alignment horizontal="center"/>
      <protection locked="0"/>
    </xf>
    <xf numFmtId="2" fontId="3" fillId="3" borderId="9" xfId="1" applyNumberFormat="1" applyFont="1" applyFill="1" applyBorder="1" applyProtection="1">
      <protection locked="0"/>
    </xf>
    <xf numFmtId="2" fontId="3" fillId="0" borderId="13" xfId="1" applyNumberFormat="1" applyFont="1" applyFill="1" applyBorder="1" applyAlignment="1" applyProtection="1">
      <alignment horizontal="center"/>
      <protection locked="0"/>
    </xf>
    <xf numFmtId="2" fontId="3" fillId="0" borderId="14" xfId="1" applyNumberFormat="1" applyFont="1" applyFill="1" applyBorder="1" applyProtection="1">
      <protection locked="0"/>
    </xf>
    <xf numFmtId="2" fontId="3" fillId="0" borderId="14" xfId="1" applyNumberFormat="1" applyFont="1" applyFill="1" applyBorder="1" applyAlignment="1" applyProtection="1">
      <alignment horizontal="center"/>
      <protection locked="0"/>
    </xf>
    <xf numFmtId="2" fontId="3" fillId="0" borderId="15" xfId="1" applyNumberFormat="1" applyFont="1" applyFill="1" applyBorder="1" applyProtection="1">
      <protection locked="0"/>
    </xf>
    <xf numFmtId="2" fontId="5" fillId="0" borderId="10" xfId="1" applyNumberFormat="1" applyFont="1" applyBorder="1" applyProtection="1">
      <protection locked="0"/>
    </xf>
    <xf numFmtId="41" fontId="4" fillId="0" borderId="11" xfId="2" applyNumberFormat="1" applyFont="1" applyBorder="1" applyProtection="1">
      <protection locked="0"/>
    </xf>
    <xf numFmtId="2" fontId="5" fillId="0" borderId="11" xfId="1" applyNumberFormat="1" applyFont="1" applyBorder="1" applyProtection="1">
      <protection locked="0"/>
    </xf>
    <xf numFmtId="2" fontId="4" fillId="0" borderId="12" xfId="2" applyNumberFormat="1" applyFont="1" applyBorder="1" applyProtection="1">
      <protection locked="0"/>
    </xf>
    <xf numFmtId="2" fontId="4" fillId="0" borderId="10" xfId="1" applyNumberFormat="1" applyFont="1" applyBorder="1" applyProtection="1">
      <protection locked="0"/>
    </xf>
    <xf numFmtId="164" fontId="4" fillId="0" borderId="11" xfId="2" applyNumberFormat="1" applyFont="1" applyBorder="1" applyProtection="1">
      <protection locked="0"/>
    </xf>
    <xf numFmtId="2" fontId="4" fillId="0" borderId="11" xfId="1" applyNumberFormat="1" applyFont="1" applyBorder="1" applyProtection="1">
      <protection locked="0"/>
    </xf>
    <xf numFmtId="164" fontId="4" fillId="0" borderId="12" xfId="2" applyNumberFormat="1" applyFont="1" applyBorder="1" applyProtection="1">
      <protection locked="0"/>
    </xf>
    <xf numFmtId="164" fontId="6" fillId="0" borderId="11" xfId="2" applyNumberFormat="1" applyFont="1" applyBorder="1" applyProtection="1">
      <protection locked="0"/>
    </xf>
    <xf numFmtId="2" fontId="3" fillId="3" borderId="10" xfId="1" applyNumberFormat="1" applyFont="1" applyFill="1" applyBorder="1" applyProtection="1">
      <protection locked="0"/>
    </xf>
    <xf numFmtId="164" fontId="3" fillId="3" borderId="11" xfId="1" applyNumberFormat="1" applyFont="1" applyFill="1" applyBorder="1" applyProtection="1">
      <protection locked="0"/>
    </xf>
    <xf numFmtId="2" fontId="3" fillId="3" borderId="11" xfId="1" applyNumberFormat="1" applyFont="1" applyFill="1" applyBorder="1" applyProtection="1">
      <protection locked="0"/>
    </xf>
    <xf numFmtId="164" fontId="3" fillId="3" borderId="12" xfId="1" applyNumberFormat="1" applyFont="1" applyFill="1" applyBorder="1" applyProtection="1">
      <protection locked="0"/>
    </xf>
    <xf numFmtId="2" fontId="3" fillId="0" borderId="10" xfId="1" applyNumberFormat="1" applyFont="1" applyFill="1" applyBorder="1" applyProtection="1">
      <protection locked="0"/>
    </xf>
    <xf numFmtId="164" fontId="3" fillId="0" borderId="11" xfId="1" applyNumberFormat="1" applyFont="1" applyFill="1" applyBorder="1" applyProtection="1">
      <protection locked="0"/>
    </xf>
    <xf numFmtId="2" fontId="3" fillId="0" borderId="11" xfId="1" applyNumberFormat="1" applyFont="1" applyFill="1" applyBorder="1" applyProtection="1">
      <protection locked="0"/>
    </xf>
    <xf numFmtId="164" fontId="3" fillId="0" borderId="12" xfId="1" applyNumberFormat="1" applyFont="1" applyFill="1" applyBorder="1" applyProtection="1">
      <protection locked="0"/>
    </xf>
    <xf numFmtId="164" fontId="2" fillId="0" borderId="0" xfId="1" applyNumberFormat="1" applyFont="1" applyProtection="1">
      <protection locked="0"/>
    </xf>
    <xf numFmtId="2" fontId="4" fillId="0" borderId="11" xfId="1" applyNumberFormat="1" applyFont="1" applyFill="1" applyBorder="1" applyProtection="1">
      <protection locked="0"/>
    </xf>
    <xf numFmtId="164" fontId="4" fillId="0" borderId="12" xfId="2" applyNumberFormat="1" applyFont="1" applyFill="1" applyBorder="1" applyProtection="1">
      <protection locked="0"/>
    </xf>
    <xf numFmtId="0" fontId="4" fillId="0" borderId="7" xfId="1" applyFont="1" applyFill="1" applyBorder="1" applyProtection="1">
      <protection locked="0"/>
    </xf>
    <xf numFmtId="164" fontId="4" fillId="0" borderId="9" xfId="2" applyNumberFormat="1" applyFont="1" applyFill="1" applyBorder="1" applyProtection="1">
      <protection locked="0"/>
    </xf>
    <xf numFmtId="0" fontId="4" fillId="0" borderId="10" xfId="1" applyFont="1" applyFill="1" applyBorder="1" applyProtection="1">
      <protection locked="0"/>
    </xf>
    <xf numFmtId="0" fontId="3" fillId="3" borderId="10" xfId="1" applyFont="1" applyFill="1" applyBorder="1" applyProtection="1">
      <protection locked="0"/>
    </xf>
    <xf numFmtId="164" fontId="3" fillId="3" borderId="12" xfId="2" applyNumberFormat="1" applyFont="1" applyFill="1" applyBorder="1" applyProtection="1">
      <protection locked="0"/>
    </xf>
    <xf numFmtId="0" fontId="4" fillId="0" borderId="10" xfId="1" applyFont="1" applyBorder="1" applyProtection="1">
      <protection locked="0"/>
    </xf>
    <xf numFmtId="0" fontId="3" fillId="0" borderId="10" xfId="1" applyFont="1" applyFill="1" applyBorder="1" applyProtection="1">
      <protection locked="0"/>
    </xf>
    <xf numFmtId="164" fontId="7" fillId="0" borderId="12" xfId="2" applyNumberFormat="1" applyFont="1" applyFill="1" applyBorder="1" applyProtection="1">
      <protection locked="0"/>
    </xf>
    <xf numFmtId="0" fontId="3" fillId="0" borderId="10" xfId="1" applyFont="1" applyFill="1" applyBorder="1" applyAlignment="1" applyProtection="1">
      <protection locked="0"/>
    </xf>
    <xf numFmtId="164" fontId="7" fillId="0" borderId="12" xfId="1" applyNumberFormat="1" applyFont="1" applyFill="1" applyBorder="1" applyAlignment="1" applyProtection="1">
      <protection locked="0"/>
    </xf>
    <xf numFmtId="0" fontId="3" fillId="2" borderId="1" xfId="1" applyFont="1" applyFill="1" applyBorder="1" applyAlignment="1" applyProtection="1">
      <alignment horizontal="center"/>
      <protection locked="0"/>
    </xf>
    <xf numFmtId="0" fontId="3" fillId="2" borderId="2" xfId="1" applyFont="1" applyFill="1" applyBorder="1" applyAlignment="1" applyProtection="1">
      <alignment horizontal="center"/>
      <protection locked="0"/>
    </xf>
    <xf numFmtId="0" fontId="3" fillId="2" borderId="3" xfId="1" applyFont="1" applyFill="1" applyBorder="1" applyAlignment="1" applyProtection="1">
      <alignment horizontal="center"/>
      <protection locked="0"/>
    </xf>
    <xf numFmtId="0" fontId="3" fillId="2" borderId="4" xfId="1" applyFont="1" applyFill="1" applyBorder="1" applyAlignment="1" applyProtection="1">
      <alignment horizontal="center"/>
      <protection locked="0"/>
    </xf>
    <xf numFmtId="0" fontId="3" fillId="2" borderId="5" xfId="1" applyFont="1" applyFill="1" applyBorder="1" applyAlignment="1" applyProtection="1">
      <alignment horizontal="center"/>
      <protection locked="0"/>
    </xf>
    <xf numFmtId="0" fontId="3" fillId="2" borderId="6" xfId="1" applyFont="1" applyFill="1" applyBorder="1" applyAlignment="1" applyProtection="1">
      <alignment horizontal="center"/>
      <protection locked="0"/>
    </xf>
  </cellXfs>
  <cellStyles count="4">
    <cellStyle name="Normal" xfId="0" builtinId="0"/>
    <cellStyle name="Normal 2" xfId="1" xr:uid="{00000000-0005-0000-0000-000001000000}"/>
    <cellStyle name="Porcentagem 2" xfId="3" xr:uid="{00000000-0005-0000-0000-000002000000}"/>
    <cellStyle name="Separador de milhares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F12" sqref="F12"/>
    </sheetView>
  </sheetViews>
  <sheetFormatPr defaultRowHeight="15" x14ac:dyDescent="0.25"/>
  <cols>
    <col min="1" max="1" width="37.28515625" bestFit="1" customWidth="1"/>
    <col min="2" max="2" width="12" bestFit="1" customWidth="1"/>
    <col min="3" max="3" width="36.140625" bestFit="1" customWidth="1"/>
    <col min="4" max="4" width="12" bestFit="1" customWidth="1"/>
  </cols>
  <sheetData>
    <row r="1" spans="1:4" ht="15.75" x14ac:dyDescent="0.25">
      <c r="A1" s="41" t="s">
        <v>0</v>
      </c>
      <c r="B1" s="42"/>
      <c r="C1" s="42"/>
      <c r="D1" s="43"/>
    </row>
    <row r="2" spans="1:4" ht="15.75" x14ac:dyDescent="0.25">
      <c r="A2" s="44" t="s">
        <v>1</v>
      </c>
      <c r="B2" s="45"/>
      <c r="C2" s="45"/>
      <c r="D2" s="46"/>
    </row>
    <row r="3" spans="1:4" ht="15.75" x14ac:dyDescent="0.25">
      <c r="A3" s="2"/>
      <c r="B3" s="2"/>
      <c r="C3" s="2"/>
      <c r="D3" s="2"/>
    </row>
    <row r="4" spans="1:4" ht="15.75" x14ac:dyDescent="0.25">
      <c r="A4" s="3" t="s">
        <v>2</v>
      </c>
      <c r="B4" s="4"/>
      <c r="C4" s="5" t="s">
        <v>3</v>
      </c>
      <c r="D4" s="6"/>
    </row>
    <row r="5" spans="1:4" ht="15.75" x14ac:dyDescent="0.25">
      <c r="A5" s="7"/>
      <c r="B5" s="8"/>
      <c r="C5" s="9"/>
      <c r="D5" s="10"/>
    </row>
    <row r="6" spans="1:4" ht="15.75" x14ac:dyDescent="0.25">
      <c r="A6" s="11" t="s">
        <v>4</v>
      </c>
      <c r="B6" s="12"/>
      <c r="C6" s="13" t="s">
        <v>4</v>
      </c>
      <c r="D6" s="14"/>
    </row>
    <row r="7" spans="1:4" ht="15.75" x14ac:dyDescent="0.25">
      <c r="A7" s="15" t="s">
        <v>5</v>
      </c>
      <c r="B7" s="16">
        <v>125543</v>
      </c>
      <c r="C7" s="17" t="s">
        <v>6</v>
      </c>
      <c r="D7" s="18">
        <v>166314</v>
      </c>
    </row>
    <row r="8" spans="1:4" ht="15.75" x14ac:dyDescent="0.25">
      <c r="A8" s="15" t="s">
        <v>7</v>
      </c>
      <c r="B8" s="16">
        <v>45164</v>
      </c>
      <c r="C8" s="17" t="s">
        <v>8</v>
      </c>
      <c r="D8" s="18">
        <v>28103.858254679202</v>
      </c>
    </row>
    <row r="9" spans="1:4" ht="15.75" x14ac:dyDescent="0.25">
      <c r="A9" s="15" t="s">
        <v>9</v>
      </c>
      <c r="B9" s="16">
        <v>135687</v>
      </c>
      <c r="C9" s="17" t="s">
        <v>10</v>
      </c>
      <c r="D9" s="18">
        <v>1400</v>
      </c>
    </row>
    <row r="10" spans="1:4" ht="15.75" x14ac:dyDescent="0.25">
      <c r="A10" s="15" t="s">
        <v>11</v>
      </c>
      <c r="B10" s="16">
        <v>25450</v>
      </c>
      <c r="C10" s="17" t="s">
        <v>12</v>
      </c>
      <c r="D10" s="18">
        <v>20953.353338373719</v>
      </c>
    </row>
    <row r="11" spans="1:4" ht="15.75" x14ac:dyDescent="0.25">
      <c r="A11" s="15" t="s">
        <v>13</v>
      </c>
      <c r="B11" s="16">
        <v>8822.3563017999204</v>
      </c>
      <c r="C11" s="17" t="s">
        <v>14</v>
      </c>
      <c r="D11" s="18">
        <v>10306.74266699816</v>
      </c>
    </row>
    <row r="12" spans="1:4" ht="15.75" x14ac:dyDescent="0.25">
      <c r="A12" s="15" t="s">
        <v>15</v>
      </c>
      <c r="B12" s="16">
        <v>33375.505523676882</v>
      </c>
      <c r="C12" s="17" t="s">
        <v>16</v>
      </c>
      <c r="D12" s="18">
        <v>4277.2879219402803</v>
      </c>
    </row>
    <row r="13" spans="1:4" ht="15.75" x14ac:dyDescent="0.25">
      <c r="A13" s="15" t="s">
        <v>17</v>
      </c>
      <c r="B13" s="16">
        <v>91953.883174985487</v>
      </c>
      <c r="C13" s="17" t="s">
        <v>18</v>
      </c>
      <c r="D13" s="18">
        <v>4590</v>
      </c>
    </row>
    <row r="14" spans="1:4" ht="15.75" x14ac:dyDescent="0.25">
      <c r="A14" s="15" t="s">
        <v>19</v>
      </c>
      <c r="B14" s="16">
        <v>15179.24371572428</v>
      </c>
      <c r="C14" s="17" t="s">
        <v>20</v>
      </c>
      <c r="D14" s="18">
        <v>6357.3549077405605</v>
      </c>
    </row>
    <row r="15" spans="1:4" ht="15.75" x14ac:dyDescent="0.25">
      <c r="A15" s="15" t="s">
        <v>21</v>
      </c>
      <c r="B15" s="19">
        <v>0</v>
      </c>
      <c r="C15" s="17" t="s">
        <v>22</v>
      </c>
      <c r="D15" s="18">
        <v>22000</v>
      </c>
    </row>
    <row r="16" spans="1:4" ht="15.75" x14ac:dyDescent="0.25">
      <c r="A16" s="20" t="s">
        <v>23</v>
      </c>
      <c r="B16" s="21">
        <v>481174.98871618655</v>
      </c>
      <c r="C16" s="22" t="s">
        <v>24</v>
      </c>
      <c r="D16" s="23">
        <v>264302.59708973183</v>
      </c>
    </row>
    <row r="17" spans="1:4" ht="15.75" x14ac:dyDescent="0.25">
      <c r="A17" s="24"/>
      <c r="B17" s="25"/>
      <c r="C17" s="26"/>
      <c r="D17" s="27"/>
    </row>
    <row r="18" spans="1:4" ht="15.75" x14ac:dyDescent="0.25">
      <c r="A18" s="11" t="s">
        <v>25</v>
      </c>
      <c r="B18" s="19"/>
      <c r="C18" s="13" t="s">
        <v>25</v>
      </c>
      <c r="D18" s="18"/>
    </row>
    <row r="19" spans="1:4" ht="15.75" x14ac:dyDescent="0.25">
      <c r="A19" s="15" t="s">
        <v>26</v>
      </c>
      <c r="B19" s="19"/>
      <c r="C19" s="17" t="s">
        <v>27</v>
      </c>
      <c r="D19" s="18"/>
    </row>
    <row r="20" spans="1:4" ht="15.75" x14ac:dyDescent="0.25">
      <c r="A20" s="15" t="s">
        <v>7</v>
      </c>
      <c r="B20" s="16">
        <v>35026.319687442323</v>
      </c>
      <c r="C20" s="17" t="s">
        <v>8</v>
      </c>
      <c r="D20" s="18">
        <v>135987</v>
      </c>
    </row>
    <row r="21" spans="1:4" ht="15.75" x14ac:dyDescent="0.25">
      <c r="A21" s="15" t="s">
        <v>13</v>
      </c>
      <c r="B21" s="16">
        <v>96838.165067879847</v>
      </c>
      <c r="C21" s="17" t="s">
        <v>28</v>
      </c>
      <c r="D21" s="18">
        <v>87033.230263190766</v>
      </c>
    </row>
    <row r="22" spans="1:4" ht="15.75" x14ac:dyDescent="0.25">
      <c r="A22" s="15" t="s">
        <v>11</v>
      </c>
      <c r="B22" s="16">
        <v>26540.652432069641</v>
      </c>
      <c r="C22" s="17" t="s">
        <v>10</v>
      </c>
      <c r="D22" s="18">
        <v>72729.695963972321</v>
      </c>
    </row>
    <row r="23" spans="1:4" ht="15.75" x14ac:dyDescent="0.25">
      <c r="A23" s="15" t="s">
        <v>29</v>
      </c>
      <c r="B23" s="16">
        <v>25849.790070489282</v>
      </c>
      <c r="C23" s="29" t="s">
        <v>30</v>
      </c>
      <c r="D23" s="30">
        <v>18777.076125199481</v>
      </c>
    </row>
    <row r="24" spans="1:4" ht="15.75" x14ac:dyDescent="0.25">
      <c r="A24" s="15" t="s">
        <v>31</v>
      </c>
      <c r="B24" s="16">
        <v>26906.606591391002</v>
      </c>
      <c r="C24" s="17" t="s">
        <v>32</v>
      </c>
      <c r="D24" s="18">
        <v>134579.96933610149</v>
      </c>
    </row>
    <row r="25" spans="1:4" ht="15.75" x14ac:dyDescent="0.25">
      <c r="A25" s="20" t="s">
        <v>33</v>
      </c>
      <c r="B25" s="21">
        <v>211161.53384927209</v>
      </c>
      <c r="C25" s="22" t="s">
        <v>34</v>
      </c>
      <c r="D25" s="23">
        <v>449106.97168846405</v>
      </c>
    </row>
    <row r="26" spans="1:4" ht="15.75" x14ac:dyDescent="0.25">
      <c r="A26" s="24"/>
      <c r="B26" s="25"/>
      <c r="C26" s="26"/>
      <c r="D26" s="27"/>
    </row>
    <row r="27" spans="1:4" ht="15.75" x14ac:dyDescent="0.25">
      <c r="A27" s="11" t="s">
        <v>35</v>
      </c>
      <c r="B27" s="16"/>
      <c r="C27" s="13" t="s">
        <v>36</v>
      </c>
      <c r="D27" s="18"/>
    </row>
    <row r="28" spans="1:4" ht="15.75" x14ac:dyDescent="0.25">
      <c r="A28" s="15"/>
      <c r="B28" s="16"/>
      <c r="C28" s="17" t="s">
        <v>37</v>
      </c>
      <c r="D28" s="18"/>
    </row>
    <row r="29" spans="1:4" ht="15.75" x14ac:dyDescent="0.25">
      <c r="A29" s="15" t="s">
        <v>38</v>
      </c>
      <c r="B29" s="16">
        <v>10650.35062190516</v>
      </c>
      <c r="C29" s="17" t="s">
        <v>39</v>
      </c>
      <c r="D29" s="18">
        <v>416137.28302134899</v>
      </c>
    </row>
    <row r="30" spans="1:4" ht="15.75" x14ac:dyDescent="0.25">
      <c r="A30" s="15" t="s">
        <v>40</v>
      </c>
      <c r="B30" s="16">
        <v>0</v>
      </c>
      <c r="C30" s="17" t="s">
        <v>41</v>
      </c>
      <c r="D30" s="18">
        <v>53726.446330495281</v>
      </c>
    </row>
    <row r="31" spans="1:4" ht="15.75" x14ac:dyDescent="0.25">
      <c r="A31" s="15" t="s">
        <v>21</v>
      </c>
      <c r="B31" s="16">
        <v>0</v>
      </c>
      <c r="C31" s="17" t="s">
        <v>42</v>
      </c>
      <c r="D31" s="18">
        <v>35751.028601315564</v>
      </c>
    </row>
    <row r="32" spans="1:4" ht="15.75" x14ac:dyDescent="0.25">
      <c r="A32" s="15" t="s">
        <v>43</v>
      </c>
      <c r="B32" s="16">
        <v>462017.96763208619</v>
      </c>
      <c r="C32" s="17" t="s">
        <v>44</v>
      </c>
      <c r="D32" s="18">
        <v>0</v>
      </c>
    </row>
    <row r="33" spans="1:4" ht="15.75" x14ac:dyDescent="0.25">
      <c r="A33" s="15" t="s">
        <v>45</v>
      </c>
      <c r="B33" s="16">
        <v>54019.56495325268</v>
      </c>
      <c r="C33" s="17"/>
      <c r="D33" s="18"/>
    </row>
    <row r="34" spans="1:4" ht="15.75" x14ac:dyDescent="0.25">
      <c r="A34" s="15" t="s">
        <v>21</v>
      </c>
      <c r="B34" s="16">
        <v>0</v>
      </c>
      <c r="C34" s="17"/>
      <c r="D34" s="18"/>
    </row>
    <row r="35" spans="1:4" ht="15.75" x14ac:dyDescent="0.25">
      <c r="A35" s="20" t="s">
        <v>46</v>
      </c>
      <c r="B35" s="21">
        <v>526687.8832072441</v>
      </c>
      <c r="C35" s="22" t="s">
        <v>47</v>
      </c>
      <c r="D35" s="23">
        <v>505614.75795315986</v>
      </c>
    </row>
    <row r="36" spans="1:4" ht="15.75" x14ac:dyDescent="0.25">
      <c r="A36" s="24"/>
      <c r="B36" s="25"/>
      <c r="C36" s="26"/>
      <c r="D36" s="27"/>
    </row>
    <row r="37" spans="1:4" ht="15.75" x14ac:dyDescent="0.25">
      <c r="A37" s="20" t="s">
        <v>48</v>
      </c>
      <c r="B37" s="21">
        <v>1219024.4057727028</v>
      </c>
      <c r="C37" s="22" t="s">
        <v>49</v>
      </c>
      <c r="D37" s="23">
        <v>1219024.3267313559</v>
      </c>
    </row>
    <row r="38" spans="1:4" ht="18" x14ac:dyDescent="0.25">
      <c r="A38" s="1"/>
      <c r="B38" s="28"/>
      <c r="C38" s="1"/>
      <c r="D38" s="1"/>
    </row>
  </sheetData>
  <mergeCells count="2">
    <mergeCell ref="A1:D1"/>
    <mergeCell ref="A2:D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>
      <selection activeCell="A14" sqref="A14"/>
    </sheetView>
  </sheetViews>
  <sheetFormatPr defaultRowHeight="15" x14ac:dyDescent="0.25"/>
  <cols>
    <col min="1" max="1" width="65.85546875" customWidth="1"/>
    <col min="2" max="2" width="21.42578125" customWidth="1"/>
  </cols>
  <sheetData>
    <row r="1" spans="1:2" ht="15.75" x14ac:dyDescent="0.25">
      <c r="A1" s="41" t="s">
        <v>50</v>
      </c>
      <c r="B1" s="43"/>
    </row>
    <row r="2" spans="1:2" ht="15.75" x14ac:dyDescent="0.25">
      <c r="A2" s="44" t="s">
        <v>51</v>
      </c>
      <c r="B2" s="46"/>
    </row>
    <row r="3" spans="1:2" ht="15.75" x14ac:dyDescent="0.25">
      <c r="A3" s="2"/>
      <c r="B3" s="2"/>
    </row>
    <row r="4" spans="1:2" ht="15.75" x14ac:dyDescent="0.25">
      <c r="A4" s="31" t="s">
        <v>52</v>
      </c>
      <c r="B4" s="32">
        <v>20856769</v>
      </c>
    </row>
    <row r="5" spans="1:2" ht="15.75" x14ac:dyDescent="0.25">
      <c r="A5" s="33" t="s">
        <v>53</v>
      </c>
      <c r="B5" s="30">
        <v>-261632.1300029612</v>
      </c>
    </row>
    <row r="6" spans="1:2" ht="15.75" x14ac:dyDescent="0.25">
      <c r="A6" s="34" t="s">
        <v>54</v>
      </c>
      <c r="B6" s="35">
        <f>SUM(B4:B5)</f>
        <v>20595136.869997039</v>
      </c>
    </row>
    <row r="7" spans="1:2" ht="15.75" x14ac:dyDescent="0.25">
      <c r="A7" s="36" t="s">
        <v>55</v>
      </c>
      <c r="B7" s="18">
        <v>-1230440.0373692196</v>
      </c>
    </row>
    <row r="8" spans="1:2" ht="15.75" x14ac:dyDescent="0.25">
      <c r="A8" s="34" t="s">
        <v>56</v>
      </c>
      <c r="B8" s="35">
        <f>SUM(B6:B7)</f>
        <v>19364696.832627818</v>
      </c>
    </row>
    <row r="9" spans="1:2" ht="15.75" x14ac:dyDescent="0.25">
      <c r="A9" s="37"/>
      <c r="B9" s="38"/>
    </row>
    <row r="10" spans="1:2" ht="15.75" x14ac:dyDescent="0.25">
      <c r="A10" s="36" t="s">
        <v>57</v>
      </c>
      <c r="B10" s="18">
        <v>-254551.828315666</v>
      </c>
    </row>
    <row r="11" spans="1:2" ht="15.75" x14ac:dyDescent="0.25">
      <c r="A11" s="36" t="s">
        <v>58</v>
      </c>
      <c r="B11" s="18">
        <v>-53187.321897116402</v>
      </c>
    </row>
    <row r="12" spans="1:2" ht="15.75" x14ac:dyDescent="0.25">
      <c r="A12" s="36" t="s">
        <v>59</v>
      </c>
      <c r="B12" s="18">
        <v>-10180.3311786428</v>
      </c>
    </row>
    <row r="13" spans="1:2" ht="15.75" x14ac:dyDescent="0.25">
      <c r="A13" s="36" t="s">
        <v>60</v>
      </c>
      <c r="B13" s="18">
        <v>-56033.748832412399</v>
      </c>
    </row>
    <row r="14" spans="1:2" ht="15.75" x14ac:dyDescent="0.25">
      <c r="A14" s="36" t="s">
        <v>61</v>
      </c>
      <c r="B14" s="18">
        <v>270.7441245096</v>
      </c>
    </row>
    <row r="15" spans="1:2" ht="15.75" x14ac:dyDescent="0.25">
      <c r="A15" s="36" t="s">
        <v>62</v>
      </c>
      <c r="B15" s="18">
        <v>0</v>
      </c>
    </row>
    <row r="16" spans="1:2" ht="15.75" x14ac:dyDescent="0.25">
      <c r="A16" s="36" t="s">
        <v>63</v>
      </c>
      <c r="B16" s="18">
        <v>27010.386376341201</v>
      </c>
    </row>
    <row r="17" spans="1:2" ht="15.75" x14ac:dyDescent="0.25">
      <c r="A17" s="36" t="s">
        <v>64</v>
      </c>
      <c r="B17" s="18">
        <v>-56363.052261059602</v>
      </c>
    </row>
    <row r="18" spans="1:2" ht="15.75" x14ac:dyDescent="0.25">
      <c r="A18" s="34" t="s">
        <v>65</v>
      </c>
      <c r="B18" s="35">
        <f>SUM(B8:B17)</f>
        <v>18961661.680643771</v>
      </c>
    </row>
    <row r="19" spans="1:2" ht="15.75" x14ac:dyDescent="0.25">
      <c r="A19" s="39"/>
      <c r="B19" s="40"/>
    </row>
    <row r="20" spans="1:2" ht="15.75" x14ac:dyDescent="0.25">
      <c r="A20" s="36" t="s">
        <v>66</v>
      </c>
      <c r="B20" s="18">
        <v>1011.2598818952</v>
      </c>
    </row>
    <row r="21" spans="1:2" ht="15.75" x14ac:dyDescent="0.25">
      <c r="A21" s="34" t="s">
        <v>67</v>
      </c>
      <c r="B21" s="35">
        <f>SUM(B18:B20)</f>
        <v>18962672.940525666</v>
      </c>
    </row>
    <row r="22" spans="1:2" ht="15.75" x14ac:dyDescent="0.25">
      <c r="A22" s="39"/>
      <c r="B22" s="40"/>
    </row>
    <row r="23" spans="1:2" ht="15.75" x14ac:dyDescent="0.25">
      <c r="A23" s="36" t="s">
        <v>68</v>
      </c>
      <c r="B23" s="18">
        <v>-10285.4970175608</v>
      </c>
    </row>
    <row r="24" spans="1:2" ht="15.75" x14ac:dyDescent="0.25">
      <c r="A24" s="36" t="s">
        <v>69</v>
      </c>
      <c r="B24" s="18">
        <v>0</v>
      </c>
    </row>
    <row r="25" spans="1:2" ht="15.75" x14ac:dyDescent="0.25">
      <c r="A25" s="34" t="s">
        <v>70</v>
      </c>
      <c r="B25" s="35">
        <f>SUM(B21:B24)</f>
        <v>18952387.443508103</v>
      </c>
    </row>
    <row r="26" spans="1:2" ht="15.75" x14ac:dyDescent="0.25">
      <c r="A26" s="39"/>
      <c r="B26" s="40"/>
    </row>
    <row r="27" spans="1:2" ht="15.75" x14ac:dyDescent="0.25">
      <c r="A27" s="36" t="s">
        <v>71</v>
      </c>
      <c r="B27" s="18">
        <v>-1993.7960544824</v>
      </c>
    </row>
    <row r="28" spans="1:2" ht="15.75" x14ac:dyDescent="0.25">
      <c r="A28" s="34" t="s">
        <v>72</v>
      </c>
      <c r="B28" s="35">
        <f>SUM(B25:B27)</f>
        <v>18950393.647453621</v>
      </c>
    </row>
  </sheetData>
  <mergeCells count="2">
    <mergeCell ref="A1:B1"/>
    <mergeCell ref="A2:B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BALANÇO PATRIMONIAL</vt:lpstr>
      <vt:lpstr>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Luanna</cp:lastModifiedBy>
  <dcterms:created xsi:type="dcterms:W3CDTF">2019-03-02T16:20:53Z</dcterms:created>
  <dcterms:modified xsi:type="dcterms:W3CDTF">2019-10-20T16:04:23Z</dcterms:modified>
</cp:coreProperties>
</file>