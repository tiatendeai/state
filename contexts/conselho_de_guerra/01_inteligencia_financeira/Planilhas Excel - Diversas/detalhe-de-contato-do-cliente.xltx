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81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13_ncr:1_{DC4B5CA7-DA3D-4632-89F1-DA00674C8DD2}" xr6:coauthVersionLast="36" xr6:coauthVersionMax="36" xr10:uidLastSave="{00000000-0000-0000-0000-000000000000}"/>
  <bookViews>
    <workbookView xWindow="0" yWindow="0" windowWidth="21600" windowHeight="9510" xr2:uid="{00000000-000D-0000-FFFF-FFFF00000000}"/>
  </bookViews>
  <sheets>
    <sheet name="Detalhes de contato do cliente" sheetId="1" r:id="rId1"/>
    <sheet name="Compromissos futuros" sheetId="2" r:id="rId2"/>
  </sheets>
  <definedNames>
    <definedName name="_1sClientes">ListaDeContatos[Nome da Empresa]</definedName>
    <definedName name="TítuloDaColuna1">ListaDeContatos[[#Headers],[ID do cliente]]</definedName>
    <definedName name="TítuloDaColuna2">PróximosCompromissos[[#Headers],[Data]]</definedName>
    <definedName name="_xlnm.Print_Titles" localSheetId="1">'Compromissos futuros'!$3:$3</definedName>
    <definedName name="_xlnm.Print_Titles" localSheetId="0">'Detalhes de contato do cliente'!$3:$3</definedName>
  </definedNames>
  <calcPr calcId="162913"/>
</workbook>
</file>

<file path=xl/calcChain.xml><?xml version="1.0" encoding="utf-8"?>
<calcChain xmlns="http://schemas.openxmlformats.org/spreadsheetml/2006/main">
  <c r="B26" i="2" l="1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</calcChain>
</file>

<file path=xl/sharedStrings.xml><?xml version="1.0" encoding="utf-8"?>
<sst xmlns="http://schemas.openxmlformats.org/spreadsheetml/2006/main" count="170" uniqueCount="127">
  <si>
    <t>CLIENTE</t>
  </si>
  <si>
    <t>ID do cliente</t>
  </si>
  <si>
    <t>CL0001</t>
  </si>
  <si>
    <t>CL0002</t>
  </si>
  <si>
    <t>CL0003</t>
  </si>
  <si>
    <t>CL0004</t>
  </si>
  <si>
    <t>CL0005</t>
  </si>
  <si>
    <t>CL0006</t>
  </si>
  <si>
    <t>CL0007</t>
  </si>
  <si>
    <t>CL0008</t>
  </si>
  <si>
    <t>CL0009</t>
  </si>
  <si>
    <t>CL0010</t>
  </si>
  <si>
    <t>CL0011</t>
  </si>
  <si>
    <t>CL0012</t>
  </si>
  <si>
    <t>CL0013</t>
  </si>
  <si>
    <t>CL0014</t>
  </si>
  <si>
    <t>CL0015</t>
  </si>
  <si>
    <t>CL0016</t>
  </si>
  <si>
    <t>CL0017</t>
  </si>
  <si>
    <t>CL0018</t>
  </si>
  <si>
    <t>CL0019</t>
  </si>
  <si>
    <t>CL0020</t>
  </si>
  <si>
    <t>CL0021</t>
  </si>
  <si>
    <t>CL0022</t>
  </si>
  <si>
    <t>CL0023</t>
  </si>
  <si>
    <t>CL0024</t>
  </si>
  <si>
    <t>CL0025</t>
  </si>
  <si>
    <t>CL0026</t>
  </si>
  <si>
    <t>CL0027</t>
  </si>
  <si>
    <t xml:space="preserve"> LISTA DE CONTATOS</t>
  </si>
  <si>
    <t>Nome da Empresa</t>
  </si>
  <si>
    <t>A. Datum Corporation</t>
  </si>
  <si>
    <t>Adventure Works</t>
  </si>
  <si>
    <t>Alpine Ski House</t>
  </si>
  <si>
    <t>Blue Yonder Airlines</t>
  </si>
  <si>
    <t>City Power &amp; Light</t>
  </si>
  <si>
    <t>Coho Vineyard</t>
  </si>
  <si>
    <t>Coho Winery</t>
  </si>
  <si>
    <t>Coho Vineyard &amp; Winery</t>
  </si>
  <si>
    <t>Contoso, Ltda.</t>
  </si>
  <si>
    <t>Contoso Pharmaceuticals</t>
  </si>
  <si>
    <t>Consolidated Messenger</t>
  </si>
  <si>
    <t>Fabrikam, Inc.</t>
  </si>
  <si>
    <t>Fourth Coffee</t>
  </si>
  <si>
    <t>Graphic Design Institute</t>
  </si>
  <si>
    <t>Humongous Insurance</t>
  </si>
  <si>
    <t>Litware, Inc.</t>
  </si>
  <si>
    <t>Lucerne Publishing</t>
  </si>
  <si>
    <t>Margie's Travel</t>
  </si>
  <si>
    <t>Northwind Traders</t>
  </si>
  <si>
    <t>Proseware, Inc.</t>
  </si>
  <si>
    <t>School of Fine Art</t>
  </si>
  <si>
    <t>Southridge Video</t>
  </si>
  <si>
    <t>Tailspin Toys</t>
  </si>
  <si>
    <t>Trey Research</t>
  </si>
  <si>
    <t>The Phone Company</t>
  </si>
  <si>
    <t>Wide World Importers</t>
  </si>
  <si>
    <t>Wingtip Toys</t>
  </si>
  <si>
    <t>Nome do contato</t>
  </si>
  <si>
    <t>Alice Pena</t>
  </si>
  <si>
    <t>Alberto Ramos</t>
  </si>
  <si>
    <t>Antônio Teixeira</t>
  </si>
  <si>
    <t>Brenda Fernandes</t>
  </si>
  <si>
    <t>Carlos Lima</t>
  </si>
  <si>
    <t>Diogo Martins</t>
  </si>
  <si>
    <t>Eduarda Dias</t>
  </si>
  <si>
    <t>Eduardo Gomes</t>
  </si>
  <si>
    <t>Fábio Pena</t>
  </si>
  <si>
    <t>Henrique Cunha</t>
  </si>
  <si>
    <t>Marcelo Costa</t>
  </si>
  <si>
    <t>Barros, Davi</t>
  </si>
  <si>
    <t>Marina Azevedo</t>
  </si>
  <si>
    <t>Nicolau Mendes</t>
  </si>
  <si>
    <t>Paulo Araújo</t>
  </si>
  <si>
    <t>Pedro Gonçalves</t>
  </si>
  <si>
    <t>Mila Moraes</t>
  </si>
  <si>
    <t>Ricardo Cavalcanti</t>
  </si>
  <si>
    <t>Valério Pereira</t>
  </si>
  <si>
    <t>Vinícius Monte</t>
  </si>
  <si>
    <t>Yara Lima</t>
  </si>
  <si>
    <t>Vinícius Gonçalves</t>
  </si>
  <si>
    <t>Sara Melo</t>
  </si>
  <si>
    <t>Vitor Schmidt</t>
  </si>
  <si>
    <t>Mateus Rodrigues</t>
  </si>
  <si>
    <t>Donato Dias</t>
  </si>
  <si>
    <t>Marcos Soares</t>
  </si>
  <si>
    <t>Endereço de cobrança</t>
  </si>
  <si>
    <t>Rua das Oliveiras, 123</t>
  </si>
  <si>
    <t>Ruas das Acácias, 456</t>
  </si>
  <si>
    <t>Cidade</t>
  </si>
  <si>
    <t>Rio de Janeiro</t>
  </si>
  <si>
    <t>São Paulo</t>
  </si>
  <si>
    <t>Estado</t>
  </si>
  <si>
    <t>RJ</t>
  </si>
  <si>
    <t>SP</t>
  </si>
  <si>
    <t>CEP</t>
  </si>
  <si>
    <t>País</t>
  </si>
  <si>
    <t>Brasil</t>
  </si>
  <si>
    <t>Cargo do contato</t>
  </si>
  <si>
    <t>Gerente</t>
  </si>
  <si>
    <t>Comprador sênior</t>
  </si>
  <si>
    <t>Analista</t>
  </si>
  <si>
    <t>Sócio gerente</t>
  </si>
  <si>
    <t>Diretor executivo</t>
  </si>
  <si>
    <t>Consultor</t>
  </si>
  <si>
    <t>Chefe de aquisições</t>
  </si>
  <si>
    <t>Compradora sênior</t>
  </si>
  <si>
    <t>Número do telefone</t>
  </si>
  <si>
    <t>Número do fax</t>
  </si>
  <si>
    <t>Endereço de email</t>
  </si>
  <si>
    <t>alice@adatum.com</t>
  </si>
  <si>
    <t>alberto@adventure-works.com</t>
  </si>
  <si>
    <t>Compromissos futuros</t>
  </si>
  <si>
    <t>Anotações</t>
  </si>
  <si>
    <t>futuros</t>
  </si>
  <si>
    <t>Data</t>
  </si>
  <si>
    <t>Compromissos</t>
  </si>
  <si>
    <t>Hora</t>
  </si>
  <si>
    <t>Nome do cliente</t>
  </si>
  <si>
    <t>Assunto da reunião</t>
  </si>
  <si>
    <t>Cobrança mensal</t>
  </si>
  <si>
    <t>Revisão de vendas</t>
  </si>
  <si>
    <t>Participantes</t>
  </si>
  <si>
    <t>Sara, Júlio, Marcelo</t>
  </si>
  <si>
    <t>Donato, Julieta, Clara</t>
  </si>
  <si>
    <t>Detalhes de contato do cliente</t>
  </si>
  <si>
    <t>Anotações adicionais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</si>
</sst>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_)@"/>
    <numFmt numFmtId="169" formatCode="[$-409]h:mm\ AM/PM;@"/>
    <numFmt numFmtId="170" formatCode="00000"/>
    <numFmt numFmtId="171" formatCode="[&lt;=9999999]###\-####;\(###\)\ ###\-####"/>
    <numFmt numFmtId="173" formatCode="h:mm;@"/>
  </numFmts>
  <fonts count="10" x14ac:knownFonts="1">
    <font>
      <sz val="11"/>
      <color theme="1"/>
      <name val="Arial"/>
      <family val="2"/>
      <scheme val="minor"/>
    </font>
    <font>
      <sz val="11"/>
      <color theme="4"/>
      <name val="Arial"/>
      <family val="2"/>
      <scheme val="minor"/>
    </font>
    <font>
      <u/>
      <sz val="11"/>
      <color theme="10"/>
      <name val="Arial"/>
      <family val="2"/>
      <scheme val="minor"/>
    </font>
    <font>
      <u/>
      <sz val="11"/>
      <color theme="11"/>
      <name val="Arial"/>
      <family val="2"/>
      <scheme val="minor"/>
    </font>
    <font>
      <sz val="11"/>
      <color theme="1"/>
      <name val="Arial"/>
      <family val="2"/>
      <scheme val="minor"/>
    </font>
    <font>
      <b/>
      <sz val="20"/>
      <color theme="4" tint="-0.24994659260841701"/>
      <name val="Arial"/>
      <family val="2"/>
      <scheme val="major"/>
    </font>
    <font>
      <u/>
      <sz val="11"/>
      <color theme="4" tint="-0.24994659260841701"/>
      <name val="Arial"/>
      <family val="2"/>
      <scheme val="minor"/>
    </font>
    <font>
      <sz val="11"/>
      <color theme="0"/>
      <name val="Arial"/>
      <family val="2"/>
      <scheme val="major"/>
    </font>
    <font>
      <sz val="20"/>
      <color theme="4" tint="-0.24994659260841701"/>
      <name val="Arial"/>
      <family val="2"/>
      <scheme val="major"/>
    </font>
    <font>
      <b/>
      <sz val="11"/>
      <color theme="3"/>
      <name val="Arial"/>
      <family val="2"/>
      <scheme val="major"/>
    </font>
  </fonts>
  <fills count="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1" tint="0.24994659260841701"/>
      </bottom>
      <diagonal/>
    </border>
  </borders>
  <cellStyleXfs count="22">
    <xf numFmtId="168" fontId="0" fillId="0" borderId="0">
      <alignment wrapText="1"/>
    </xf>
    <xf numFmtId="0" fontId="5" fillId="0" borderId="2" applyFill="0" applyProtection="0">
      <alignment vertical="center"/>
    </xf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168" fontId="6" fillId="0" borderId="0" applyProtection="0"/>
    <xf numFmtId="0" fontId="6" fillId="0" borderId="0" applyNumberFormat="0" applyFill="0" applyBorder="0" applyAlignment="0" applyProtection="0"/>
    <xf numFmtId="167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8" fillId="0" borderId="2" applyFill="0" applyProtection="0">
      <alignment vertical="center"/>
    </xf>
    <xf numFmtId="0" fontId="4" fillId="2" borderId="1" applyNumberFormat="0" applyFont="0" applyAlignment="0" applyProtection="0"/>
    <xf numFmtId="170" fontId="4" fillId="0" borderId="0" applyFont="0" applyFill="0" applyBorder="0">
      <alignment horizontal="center"/>
    </xf>
    <xf numFmtId="171" fontId="4" fillId="0" borderId="0">
      <alignment horizontal="center"/>
    </xf>
    <xf numFmtId="14" fontId="4" fillId="0" borderId="0" applyFont="0" applyFill="0" applyBorder="0">
      <alignment horizontal="left" indent="1"/>
    </xf>
    <xf numFmtId="169" fontId="4" fillId="0" borderId="0" applyFont="0" applyFill="0" applyBorder="0">
      <alignment horizontal="left" indent="1"/>
    </xf>
    <xf numFmtId="168" fontId="7" fillId="3" borderId="0" applyBorder="0" applyProtection="0">
      <alignment vertical="center"/>
    </xf>
    <xf numFmtId="0" fontId="9" fillId="4" borderId="2" applyProtection="0">
      <alignment horizontal="center" vertical="center"/>
    </xf>
    <xf numFmtId="0" fontId="9" fillId="0" borderId="0" applyNumberFormat="0" applyFill="0" applyBorder="0" applyAlignment="0" applyProtection="0"/>
  </cellStyleXfs>
  <cellXfs count="17">
    <xf numFmtId="168" fontId="0" fillId="0" borderId="0" xfId="0">
      <alignment wrapText="1"/>
    </xf>
    <xf numFmtId="0" fontId="5" fillId="0" borderId="2" xfId="1" applyAlignment="1">
      <alignment vertical="center"/>
    </xf>
    <xf numFmtId="168" fontId="0" fillId="0" borderId="0" xfId="0" applyNumberFormat="1" applyFont="1" applyFill="1" applyBorder="1">
      <alignment wrapText="1"/>
    </xf>
    <xf numFmtId="168" fontId="0" fillId="0" borderId="0" xfId="0" applyNumberFormat="1" applyFont="1" applyFill="1" applyBorder="1" applyAlignment="1">
      <alignment wrapText="1"/>
    </xf>
    <xf numFmtId="0" fontId="8" fillId="0" borderId="2" xfId="13">
      <alignment vertical="center"/>
    </xf>
    <xf numFmtId="168" fontId="0" fillId="0" borderId="0" xfId="0" applyFont="1" applyFill="1" applyBorder="1">
      <alignment wrapText="1"/>
    </xf>
    <xf numFmtId="170" fontId="0" fillId="0" borderId="0" xfId="15" applyFont="1" applyFill="1" applyBorder="1">
      <alignment horizontal="center"/>
    </xf>
    <xf numFmtId="0" fontId="5" fillId="0" borderId="2" xfId="1">
      <alignment vertical="center"/>
    </xf>
    <xf numFmtId="168" fontId="6" fillId="0" borderId="0" xfId="6"/>
    <xf numFmtId="168" fontId="7" fillId="3" borderId="0" xfId="19" applyBorder="1">
      <alignment vertical="center"/>
    </xf>
    <xf numFmtId="168" fontId="0" fillId="0" borderId="0" xfId="0">
      <alignment wrapText="1"/>
    </xf>
    <xf numFmtId="0" fontId="9" fillId="4" borderId="2" xfId="20">
      <alignment horizontal="center" vertical="center"/>
    </xf>
    <xf numFmtId="0" fontId="9" fillId="4" borderId="2" xfId="20" quotePrefix="1">
      <alignment horizontal="center" vertical="center"/>
    </xf>
    <xf numFmtId="171" fontId="4" fillId="0" borderId="0" xfId="16">
      <alignment horizontal="center"/>
    </xf>
    <xf numFmtId="14" fontId="0" fillId="0" borderId="0" xfId="17" applyFont="1" applyFill="1" applyBorder="1">
      <alignment horizontal="left" indent="1"/>
    </xf>
    <xf numFmtId="168" fontId="0" fillId="0" borderId="0" xfId="0" applyFill="1">
      <alignment wrapText="1"/>
    </xf>
    <xf numFmtId="173" fontId="0" fillId="0" borderId="0" xfId="18" applyNumberFormat="1" applyFont="1" applyFill="1" applyBorder="1">
      <alignment horizontal="left" indent="1"/>
    </xf>
  </cellXfs>
  <cellStyles count="22">
    <cellStyle name="Número de Contato" xfId="16" xr:uid="{00000000-0005-0000-0000-000002000000}"/>
    <cellStyle name="Data" xfId="17" xr:uid="{00000000-0005-0000-0000-000005000000}"/>
    <cellStyle name="Hiperlink" xfId="2" builtinId="8" hidden="1" customBuiltin="1"/>
    <cellStyle name="Hiperlink" xfId="5" builtinId="8" hidden="1"/>
    <cellStyle name="Hiperlink" xfId="6" builtinId="8" customBuiltin="1"/>
    <cellStyle name="Hiperlink Visitado" xfId="3" builtinId="9" hidden="1"/>
    <cellStyle name="Hiperlink Visitado" xfId="4" builtinId="9" hidden="1"/>
    <cellStyle name="Hiperlink Visitado" xfId="7" builtinId="9" customBuiltin="1"/>
    <cellStyle name="Moeda" xfId="10" builtinId="4" customBuiltin="1"/>
    <cellStyle name="Moeda [0]" xfId="11" builtinId="7" customBuiltin="1"/>
    <cellStyle name="Normal" xfId="0" builtinId="0" customBuiltin="1"/>
    <cellStyle name="Nota" xfId="14" builtinId="10" customBuiltin="1"/>
    <cellStyle name="Porcentagem" xfId="12" builtinId="5" customBuiltin="1"/>
    <cellStyle name="Separador de milhares [0]" xfId="9" builtinId="6" customBuiltin="1"/>
    <cellStyle name="Hora" xfId="18" xr:uid="{00000000-0005-0000-0000-000013000000}"/>
    <cellStyle name="Título" xfId="1" builtinId="15" customBuiltin="1"/>
    <cellStyle name="Título 1" xfId="13" builtinId="16" customBuiltin="1"/>
    <cellStyle name="Título 2" xfId="19" builtinId="17" customBuiltin="1"/>
    <cellStyle name="Título 3" xfId="20" builtinId="18" customBuiltin="1"/>
    <cellStyle name="Título 4" xfId="21" builtinId="19" customBuiltin="1"/>
    <cellStyle name="Vírgula" xfId="8" builtinId="3" customBuiltin="1"/>
    <cellStyle name="CEP" xfId="15" xr:uid="{00000000-0005-0000-0000-000015000000}"/>
  </cellStyles>
  <dxfs count="5">
    <dxf>
      <numFmt numFmtId="173" formatCode="h:mm;@"/>
    </dxf>
    <dxf>
      <font>
        <color theme="4" tint="-0.24994659260841701"/>
      </font>
    </dxf>
    <dxf>
      <font>
        <color theme="5" tint="-0.499984740745262"/>
      </font>
    </dxf>
    <dxf>
      <font>
        <color theme="0"/>
      </font>
      <fill>
        <patternFill>
          <bgColor theme="4" tint="-0.24994659260841701"/>
        </patternFill>
      </fill>
      <border>
        <top style="thick">
          <color theme="1" tint="0.24994659260841701"/>
        </top>
      </border>
    </dxf>
    <dxf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</border>
    </dxf>
  </dxfs>
  <tableStyles count="1" defaultTableStyle="Customer Contact List" defaultPivotStyle="PivotStyleLight2">
    <tableStyle name="Customer Contact List" pivot="0" count="4" xr9:uid="{00000000-0011-0000-FFFF-FFFF00000000}">
      <tableStyleElement type="wholeTable" dxfId="4"/>
      <tableStyleElement type="headerRow" dxfId="3"/>
      <tableStyleElement type="firstRowStripe" dxfId="2"/>
      <tableStyleElement type="secondRowStripe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ListaDeContatos" displayName="ListaDeContatos" ref="B3:N30" totalsRowShown="0">
  <autoFilter ref="B3:N30" xr:uid="{00000000-0009-0000-0100-000001000000}"/>
  <tableColumns count="13">
    <tableColumn id="1" xr3:uid="{00000000-0010-0000-0000-000001000000}" name="ID do cliente"/>
    <tableColumn id="2" xr3:uid="{00000000-0010-0000-0000-000002000000}" name="Nome da Empresa"/>
    <tableColumn id="3" xr3:uid="{00000000-0010-0000-0000-000003000000}" name="Nome do contato"/>
    <tableColumn id="4" xr3:uid="{00000000-0010-0000-0000-000004000000}" name="Endereço de cobrança"/>
    <tableColumn id="5" xr3:uid="{00000000-0010-0000-0000-000005000000}" name="Cidade"/>
    <tableColumn id="6" xr3:uid="{00000000-0010-0000-0000-000006000000}" name="Estado"/>
    <tableColumn id="7" xr3:uid="{00000000-0010-0000-0000-000007000000}" name="CEP" dataCellStyle="Zip Code"/>
    <tableColumn id="8" xr3:uid="{00000000-0010-0000-0000-000008000000}" name="País"/>
    <tableColumn id="9" xr3:uid="{00000000-0010-0000-0000-000009000000}" name="Cargo do contato"/>
    <tableColumn id="10" xr3:uid="{00000000-0010-0000-0000-00000A000000}" name="Número do telefone" dataCellStyle="Contact Number"/>
    <tableColumn id="11" xr3:uid="{00000000-0010-0000-0000-00000B000000}" name="Número do fax" dataCellStyle="Contact Number"/>
    <tableColumn id="12" xr3:uid="{00000000-0010-0000-0000-00000C000000}" name="Endereço de email"/>
    <tableColumn id="13" xr3:uid="{00000000-0010-0000-0000-00000D000000}" name="Anotações"/>
  </tableColumns>
  <tableStyleInfo name="Customer Contact List" showFirstColumn="0" showLastColumn="0" showRowStripes="1" showColumnStripes="0"/>
  <extLst>
    <ext xmlns:x14="http://schemas.microsoft.com/office/spreadsheetml/2009/9/main" uri="{504A1905-F514-4f6f-8877-14C23A59335A}">
      <x14:table altTextSummary="Insira a ID do cliente, nome da empresa, nome do contato, endereço de cobrança, cidade, estado, CEP, país, cargo do contato, telefone e fax, email e anotações nesta tabela.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PróximosCompromissos" displayName="PróximosCompromissos" ref="B3:G26" totalsRowShown="0">
  <autoFilter ref="B3:G26" xr:uid="{00000000-0009-0000-0100-000002000000}"/>
  <tableColumns count="6">
    <tableColumn id="2" xr3:uid="{00000000-0010-0000-0100-000002000000}" name="Data" dataCellStyle="Date"/>
    <tableColumn id="3" xr3:uid="{00000000-0010-0000-0100-000003000000}" name="Hora" dataDxfId="0" dataCellStyle="Time"/>
    <tableColumn id="1" xr3:uid="{00000000-0010-0000-0100-000001000000}" name="Nome do cliente"/>
    <tableColumn id="4" xr3:uid="{00000000-0010-0000-0100-000004000000}" name="Assunto da reunião"/>
    <tableColumn id="5" xr3:uid="{00000000-0010-0000-0100-000005000000}" name="Participantes"/>
    <tableColumn id="6" xr3:uid="{00000000-0010-0000-0100-000006000000}" name="Anotações adicionais"/>
  </tableColumns>
  <tableStyleInfo name="Customer Contact List" showFirstColumn="0" showLastColumn="0" showRowStripes="1" showColumnStripes="0"/>
  <extLst>
    <ext xmlns:x14="http://schemas.microsoft.com/office/spreadsheetml/2009/9/main" uri="{504A1905-F514-4f6f-8877-14C23A59335A}">
      <x14:table altTextSummary="A lista dos próximos compromissos com o nome do cliente, data, hora, assunto da reunião, participantes e anotações. Use os filtros de cabeçalho para encontrar uma entrada específica."/>
    </ext>
  </extLst>
</table>
</file>

<file path=xl/theme/theme1.xml><?xml version="1.0" encoding="utf-8"?>
<a:theme xmlns:a="http://schemas.openxmlformats.org/drawingml/2006/main" name="Office Theme">
  <a:themeElements>
    <a:clrScheme name="Customer Contact List">
      <a:dk1>
        <a:sysClr val="windowText" lastClr="000000"/>
      </a:dk1>
      <a:lt1>
        <a:sysClr val="window" lastClr="FFFFFF"/>
      </a:lt1>
      <a:dk2>
        <a:srgbClr val="000000"/>
      </a:dk2>
      <a:lt2>
        <a:srgbClr val="FFFFFF"/>
      </a:lt2>
      <a:accent1>
        <a:srgbClr val="4794A1"/>
      </a:accent1>
      <a:accent2>
        <a:srgbClr val="95A76F"/>
      </a:accent2>
      <a:accent3>
        <a:srgbClr val="E28F41"/>
      </a:accent3>
      <a:accent4>
        <a:srgbClr val="E3BF65"/>
      </a:accent4>
      <a:accent5>
        <a:srgbClr val="E06B5D"/>
      </a:accent5>
      <a:accent6>
        <a:srgbClr val="907CA7"/>
      </a:accent6>
      <a:hlink>
        <a:srgbClr val="4794A1"/>
      </a:hlink>
      <a:folHlink>
        <a:srgbClr val="907CA7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kim@adatum.com" TargetMode="External"/><Relationship Id="rId1" Type="http://schemas.openxmlformats.org/officeDocument/2006/relationships/hyperlink" Target="mailto:hazem@adventure-works.com" TargetMode="Externa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  <pageSetUpPr fitToPage="1"/>
  </sheetPr>
  <dimension ref="A1:N30"/>
  <sheetViews>
    <sheetView showGridLines="0" tabSelected="1" zoomScaleNormal="100" workbookViewId="0"/>
  </sheetViews>
  <sheetFormatPr defaultRowHeight="30" customHeight="1" x14ac:dyDescent="0.2"/>
  <cols>
    <col min="1" max="1" width="2.625" customWidth="1"/>
    <col min="2" max="2" width="16.375" bestFit="1" customWidth="1"/>
    <col min="3" max="5" width="30.625" customWidth="1"/>
    <col min="6" max="6" width="15.625" customWidth="1"/>
    <col min="7" max="7" width="11.625" customWidth="1"/>
    <col min="8" max="8" width="12.625" customWidth="1"/>
    <col min="9" max="9" width="11.625" customWidth="1"/>
    <col min="10" max="10" width="20.625" customWidth="1"/>
    <col min="11" max="11" width="19.625" bestFit="1" customWidth="1"/>
    <col min="12" max="12" width="18.25" customWidth="1"/>
    <col min="13" max="13" width="37.375" customWidth="1"/>
    <col min="14" max="14" width="40.625" customWidth="1"/>
    <col min="15" max="15" width="2.625" customWidth="1"/>
  </cols>
  <sheetData>
    <row r="1" spans="1:14" ht="36" customHeight="1" thickBot="1" x14ac:dyDescent="0.25">
      <c r="A1" s="15"/>
      <c r="B1" s="1" t="s">
        <v>0</v>
      </c>
      <c r="C1" s="4" t="s">
        <v>29</v>
      </c>
      <c r="D1" s="4"/>
      <c r="E1" s="4"/>
      <c r="F1" s="4"/>
      <c r="G1" s="4"/>
      <c r="H1" s="4"/>
      <c r="I1" s="4"/>
      <c r="J1" s="4"/>
      <c r="K1" s="4"/>
      <c r="L1" s="4"/>
      <c r="M1" s="4"/>
      <c r="N1" s="12" t="s">
        <v>112</v>
      </c>
    </row>
    <row r="2" spans="1:14" ht="2.25" customHeight="1" thickTop="1" x14ac:dyDescent="0.2">
      <c r="N2" s="10"/>
    </row>
    <row r="3" spans="1:14" ht="30" customHeight="1" x14ac:dyDescent="0.2">
      <c r="B3" s="9" t="s">
        <v>1</v>
      </c>
      <c r="C3" s="9" t="s">
        <v>30</v>
      </c>
      <c r="D3" s="9" t="s">
        <v>58</v>
      </c>
      <c r="E3" s="9" t="s">
        <v>86</v>
      </c>
      <c r="F3" s="9" t="s">
        <v>89</v>
      </c>
      <c r="G3" s="9" t="s">
        <v>92</v>
      </c>
      <c r="H3" s="9" t="s">
        <v>95</v>
      </c>
      <c r="I3" s="9" t="s">
        <v>96</v>
      </c>
      <c r="J3" s="9" t="s">
        <v>98</v>
      </c>
      <c r="K3" s="9" t="s">
        <v>107</v>
      </c>
      <c r="L3" s="9" t="s">
        <v>108</v>
      </c>
      <c r="M3" s="9" t="s">
        <v>109</v>
      </c>
      <c r="N3" s="9" t="s">
        <v>113</v>
      </c>
    </row>
    <row r="4" spans="1:14" ht="30" customHeight="1" x14ac:dyDescent="0.2">
      <c r="B4" s="5" t="s">
        <v>2</v>
      </c>
      <c r="C4" s="2" t="s">
        <v>31</v>
      </c>
      <c r="D4" s="2" t="s">
        <v>59</v>
      </c>
      <c r="E4" s="2" t="s">
        <v>87</v>
      </c>
      <c r="F4" s="2" t="s">
        <v>90</v>
      </c>
      <c r="G4" s="2" t="s">
        <v>93</v>
      </c>
      <c r="H4" s="6">
        <v>9876</v>
      </c>
      <c r="I4" s="2" t="s">
        <v>97</v>
      </c>
      <c r="J4" s="2" t="s">
        <v>99</v>
      </c>
      <c r="K4" s="13">
        <v>1235550134</v>
      </c>
      <c r="L4" s="13">
        <v>1235550124</v>
      </c>
      <c r="M4" s="8" t="s">
        <v>110</v>
      </c>
      <c r="N4" s="3"/>
    </row>
    <row r="5" spans="1:14" ht="30" customHeight="1" x14ac:dyDescent="0.2">
      <c r="B5" s="5" t="s">
        <v>3</v>
      </c>
      <c r="C5" s="2" t="s">
        <v>32</v>
      </c>
      <c r="D5" s="2" t="s">
        <v>60</v>
      </c>
      <c r="E5" s="2" t="s">
        <v>88</v>
      </c>
      <c r="F5" s="2" t="s">
        <v>91</v>
      </c>
      <c r="G5" s="2" t="s">
        <v>94</v>
      </c>
      <c r="H5" s="6">
        <v>12345</v>
      </c>
      <c r="I5" s="2" t="s">
        <v>97</v>
      </c>
      <c r="J5" s="2" t="s">
        <v>100</v>
      </c>
      <c r="K5" s="13">
        <v>4565550145</v>
      </c>
      <c r="L5" s="13">
        <v>4565550146</v>
      </c>
      <c r="M5" s="8" t="s">
        <v>111</v>
      </c>
      <c r="N5" s="3"/>
    </row>
    <row r="6" spans="1:14" ht="30" customHeight="1" x14ac:dyDescent="0.2">
      <c r="B6" s="5" t="s">
        <v>4</v>
      </c>
      <c r="C6" s="2" t="s">
        <v>33</v>
      </c>
      <c r="D6" s="2" t="s">
        <v>61</v>
      </c>
      <c r="E6" s="2"/>
      <c r="F6" s="2"/>
      <c r="G6" s="2"/>
      <c r="H6" s="6"/>
      <c r="I6" s="2"/>
      <c r="J6" s="2" t="s">
        <v>101</v>
      </c>
      <c r="K6" s="13"/>
      <c r="L6" s="13"/>
      <c r="M6" s="8"/>
      <c r="N6" s="3"/>
    </row>
    <row r="7" spans="1:14" ht="30" customHeight="1" x14ac:dyDescent="0.2">
      <c r="B7" s="5" t="s">
        <v>5</v>
      </c>
      <c r="C7" s="2" t="s">
        <v>34</v>
      </c>
      <c r="D7" s="2" t="s">
        <v>62</v>
      </c>
      <c r="E7" s="2"/>
      <c r="F7" s="2"/>
      <c r="G7" s="2"/>
      <c r="H7" s="6"/>
      <c r="I7" s="2"/>
      <c r="J7" s="2" t="s">
        <v>102</v>
      </c>
      <c r="K7" s="13"/>
      <c r="L7" s="13"/>
      <c r="M7" s="8"/>
      <c r="N7" s="3"/>
    </row>
    <row r="8" spans="1:14" ht="30" customHeight="1" x14ac:dyDescent="0.2">
      <c r="B8" s="5" t="s">
        <v>6</v>
      </c>
      <c r="C8" s="2" t="s">
        <v>35</v>
      </c>
      <c r="D8" s="2" t="s">
        <v>63</v>
      </c>
      <c r="E8" s="2"/>
      <c r="F8" s="2"/>
      <c r="G8" s="2"/>
      <c r="H8" s="6"/>
      <c r="I8" s="2"/>
      <c r="J8" s="2" t="s">
        <v>103</v>
      </c>
      <c r="K8" s="13"/>
      <c r="L8" s="13"/>
      <c r="M8" s="8"/>
      <c r="N8" s="3"/>
    </row>
    <row r="9" spans="1:14" ht="30" customHeight="1" x14ac:dyDescent="0.2">
      <c r="B9" s="5" t="s">
        <v>7</v>
      </c>
      <c r="C9" s="2" t="s">
        <v>36</v>
      </c>
      <c r="D9" s="2" t="s">
        <v>64</v>
      </c>
      <c r="E9" s="2"/>
      <c r="F9" s="2"/>
      <c r="G9" s="2"/>
      <c r="H9" s="6"/>
      <c r="I9" s="2"/>
      <c r="J9" s="2" t="s">
        <v>104</v>
      </c>
      <c r="K9" s="13"/>
      <c r="L9" s="13"/>
      <c r="M9" s="8"/>
      <c r="N9" s="3"/>
    </row>
    <row r="10" spans="1:14" ht="30" customHeight="1" x14ac:dyDescent="0.2">
      <c r="B10" s="5" t="s">
        <v>8</v>
      </c>
      <c r="C10" s="2" t="s">
        <v>37</v>
      </c>
      <c r="D10" s="2" t="s">
        <v>65</v>
      </c>
      <c r="E10" s="2"/>
      <c r="F10" s="2"/>
      <c r="G10" s="2"/>
      <c r="H10" s="6"/>
      <c r="I10" s="2"/>
      <c r="J10" s="2" t="s">
        <v>105</v>
      </c>
      <c r="K10" s="13"/>
      <c r="L10" s="13"/>
      <c r="M10" s="8"/>
      <c r="N10" s="3"/>
    </row>
    <row r="11" spans="1:14" ht="30" customHeight="1" x14ac:dyDescent="0.2">
      <c r="B11" s="5" t="s">
        <v>9</v>
      </c>
      <c r="C11" s="2" t="s">
        <v>38</v>
      </c>
      <c r="D11" s="2" t="s">
        <v>66</v>
      </c>
      <c r="E11" s="2"/>
      <c r="F11" s="2"/>
      <c r="G11" s="2"/>
      <c r="H11" s="6"/>
      <c r="I11" s="2"/>
      <c r="J11" s="2" t="s">
        <v>99</v>
      </c>
      <c r="K11" s="13"/>
      <c r="L11" s="13"/>
      <c r="M11" s="8"/>
      <c r="N11" s="3"/>
    </row>
    <row r="12" spans="1:14" ht="30" customHeight="1" x14ac:dyDescent="0.2">
      <c r="B12" s="5" t="s">
        <v>10</v>
      </c>
      <c r="C12" s="2" t="s">
        <v>39</v>
      </c>
      <c r="D12" s="2" t="s">
        <v>67</v>
      </c>
      <c r="E12" s="2"/>
      <c r="F12" s="2"/>
      <c r="G12" s="2"/>
      <c r="H12" s="6"/>
      <c r="I12" s="2"/>
      <c r="J12" s="2" t="s">
        <v>100</v>
      </c>
      <c r="K12" s="13"/>
      <c r="L12" s="13"/>
      <c r="M12" s="8"/>
      <c r="N12" s="3"/>
    </row>
    <row r="13" spans="1:14" ht="30" customHeight="1" x14ac:dyDescent="0.2">
      <c r="B13" s="5" t="s">
        <v>11</v>
      </c>
      <c r="C13" s="2" t="s">
        <v>40</v>
      </c>
      <c r="D13" s="2" t="s">
        <v>68</v>
      </c>
      <c r="E13" s="2"/>
      <c r="F13" s="2"/>
      <c r="G13" s="2"/>
      <c r="H13" s="6"/>
      <c r="I13" s="2"/>
      <c r="J13" s="2" t="s">
        <v>101</v>
      </c>
      <c r="K13" s="13"/>
      <c r="L13" s="13"/>
      <c r="M13" s="8"/>
      <c r="N13" s="3"/>
    </row>
    <row r="14" spans="1:14" ht="30" customHeight="1" x14ac:dyDescent="0.2">
      <c r="B14" s="5" t="s">
        <v>12</v>
      </c>
      <c r="C14" s="2" t="s">
        <v>41</v>
      </c>
      <c r="D14" s="2" t="s">
        <v>69</v>
      </c>
      <c r="E14" s="2"/>
      <c r="F14" s="2"/>
      <c r="G14" s="2"/>
      <c r="H14" s="6"/>
      <c r="I14" s="2"/>
      <c r="J14" s="2" t="s">
        <v>102</v>
      </c>
      <c r="K14" s="13"/>
      <c r="L14" s="13"/>
      <c r="M14" s="8"/>
      <c r="N14" s="3"/>
    </row>
    <row r="15" spans="1:14" ht="30" customHeight="1" x14ac:dyDescent="0.2">
      <c r="B15" s="5" t="s">
        <v>13</v>
      </c>
      <c r="C15" s="2" t="s">
        <v>42</v>
      </c>
      <c r="D15" s="2" t="s">
        <v>70</v>
      </c>
      <c r="E15" s="2"/>
      <c r="F15" s="2"/>
      <c r="G15" s="2"/>
      <c r="H15" s="6"/>
      <c r="I15" s="2"/>
      <c r="J15" s="2" t="s">
        <v>103</v>
      </c>
      <c r="K15" s="13"/>
      <c r="L15" s="13"/>
      <c r="M15" s="8"/>
      <c r="N15" s="3"/>
    </row>
    <row r="16" spans="1:14" ht="30" customHeight="1" x14ac:dyDescent="0.2">
      <c r="B16" s="5" t="s">
        <v>14</v>
      </c>
      <c r="C16" s="2" t="s">
        <v>43</v>
      </c>
      <c r="D16" s="2" t="s">
        <v>71</v>
      </c>
      <c r="E16" s="2"/>
      <c r="F16" s="2"/>
      <c r="G16" s="2"/>
      <c r="H16" s="6"/>
      <c r="I16" s="2"/>
      <c r="J16" s="2" t="s">
        <v>104</v>
      </c>
      <c r="K16" s="13"/>
      <c r="L16" s="13"/>
      <c r="M16" s="8"/>
      <c r="N16" s="3"/>
    </row>
    <row r="17" spans="2:14" ht="30" customHeight="1" x14ac:dyDescent="0.2">
      <c r="B17" s="5" t="s">
        <v>15</v>
      </c>
      <c r="C17" s="2" t="s">
        <v>44</v>
      </c>
      <c r="D17" s="2" t="s">
        <v>72</v>
      </c>
      <c r="E17" s="2"/>
      <c r="F17" s="2"/>
      <c r="G17" s="2"/>
      <c r="H17" s="6"/>
      <c r="I17" s="2"/>
      <c r="J17" s="2" t="s">
        <v>105</v>
      </c>
      <c r="K17" s="13"/>
      <c r="L17" s="13"/>
      <c r="M17" s="8"/>
      <c r="N17" s="3"/>
    </row>
    <row r="18" spans="2:14" ht="30" customHeight="1" x14ac:dyDescent="0.2">
      <c r="B18" s="5" t="s">
        <v>16</v>
      </c>
      <c r="C18" s="2" t="s">
        <v>45</v>
      </c>
      <c r="D18" s="2" t="s">
        <v>73</v>
      </c>
      <c r="E18" s="2"/>
      <c r="F18" s="2"/>
      <c r="G18" s="2"/>
      <c r="H18" s="6"/>
      <c r="I18" s="2"/>
      <c r="J18" s="2" t="s">
        <v>99</v>
      </c>
      <c r="K18" s="13"/>
      <c r="L18" s="13"/>
      <c r="M18" s="8"/>
      <c r="N18" s="3"/>
    </row>
    <row r="19" spans="2:14" ht="30" customHeight="1" x14ac:dyDescent="0.2">
      <c r="B19" s="5" t="s">
        <v>17</v>
      </c>
      <c r="C19" s="2" t="s">
        <v>46</v>
      </c>
      <c r="D19" s="2" t="s">
        <v>74</v>
      </c>
      <c r="E19" s="2"/>
      <c r="F19" s="2"/>
      <c r="G19" s="2"/>
      <c r="H19" s="6"/>
      <c r="I19" s="2"/>
      <c r="J19" s="2" t="s">
        <v>100</v>
      </c>
      <c r="K19" s="13"/>
      <c r="L19" s="13"/>
      <c r="M19" s="8"/>
      <c r="N19" s="3"/>
    </row>
    <row r="20" spans="2:14" ht="30" customHeight="1" x14ac:dyDescent="0.2">
      <c r="B20" s="5" t="s">
        <v>18</v>
      </c>
      <c r="C20" s="2" t="s">
        <v>47</v>
      </c>
      <c r="D20" s="2" t="s">
        <v>75</v>
      </c>
      <c r="E20" s="2"/>
      <c r="F20" s="2"/>
      <c r="G20" s="2"/>
      <c r="H20" s="6"/>
      <c r="I20" s="2"/>
      <c r="J20" s="2" t="s">
        <v>101</v>
      </c>
      <c r="K20" s="13"/>
      <c r="L20" s="13"/>
      <c r="M20" s="8"/>
      <c r="N20" s="3"/>
    </row>
    <row r="21" spans="2:14" ht="30" customHeight="1" x14ac:dyDescent="0.2">
      <c r="B21" s="5" t="s">
        <v>19</v>
      </c>
      <c r="C21" s="2" t="s">
        <v>48</v>
      </c>
      <c r="D21" s="2" t="s">
        <v>76</v>
      </c>
      <c r="E21" s="2"/>
      <c r="F21" s="2"/>
      <c r="G21" s="2"/>
      <c r="H21" s="6"/>
      <c r="I21" s="2"/>
      <c r="J21" s="2" t="s">
        <v>102</v>
      </c>
      <c r="K21" s="13"/>
      <c r="L21" s="13"/>
      <c r="M21" s="8"/>
      <c r="N21" s="3"/>
    </row>
    <row r="22" spans="2:14" ht="30" customHeight="1" x14ac:dyDescent="0.2">
      <c r="B22" s="5" t="s">
        <v>20</v>
      </c>
      <c r="C22" s="2" t="s">
        <v>49</v>
      </c>
      <c r="D22" s="2" t="s">
        <v>77</v>
      </c>
      <c r="E22" s="2"/>
      <c r="F22" s="2"/>
      <c r="G22" s="2"/>
      <c r="H22" s="6"/>
      <c r="I22" s="2"/>
      <c r="J22" s="2" t="s">
        <v>103</v>
      </c>
      <c r="K22" s="13"/>
      <c r="L22" s="13"/>
      <c r="M22" s="8"/>
      <c r="N22" s="3"/>
    </row>
    <row r="23" spans="2:14" ht="30" customHeight="1" x14ac:dyDescent="0.2">
      <c r="B23" s="5" t="s">
        <v>21</v>
      </c>
      <c r="C23" s="2" t="s">
        <v>50</v>
      </c>
      <c r="D23" s="2" t="s">
        <v>78</v>
      </c>
      <c r="E23" s="2"/>
      <c r="F23" s="2"/>
      <c r="G23" s="2"/>
      <c r="H23" s="6"/>
      <c r="I23" s="2"/>
      <c r="J23" s="2" t="s">
        <v>104</v>
      </c>
      <c r="K23" s="13"/>
      <c r="L23" s="13"/>
      <c r="M23" s="8"/>
      <c r="N23" s="3"/>
    </row>
    <row r="24" spans="2:14" ht="30" customHeight="1" x14ac:dyDescent="0.2">
      <c r="B24" s="5" t="s">
        <v>22</v>
      </c>
      <c r="C24" s="2" t="s">
        <v>51</v>
      </c>
      <c r="D24" s="2" t="s">
        <v>79</v>
      </c>
      <c r="E24" s="2"/>
      <c r="F24" s="2"/>
      <c r="G24" s="2"/>
      <c r="H24" s="6"/>
      <c r="I24" s="2"/>
      <c r="J24" s="2" t="s">
        <v>105</v>
      </c>
      <c r="K24" s="13"/>
      <c r="L24" s="13"/>
      <c r="M24" s="8"/>
      <c r="N24" s="3"/>
    </row>
    <row r="25" spans="2:14" ht="30" customHeight="1" x14ac:dyDescent="0.2">
      <c r="B25" s="5" t="s">
        <v>23</v>
      </c>
      <c r="C25" s="2" t="s">
        <v>52</v>
      </c>
      <c r="D25" s="2" t="s">
        <v>80</v>
      </c>
      <c r="E25" s="2"/>
      <c r="F25" s="2"/>
      <c r="G25" s="2"/>
      <c r="H25" s="6"/>
      <c r="I25" s="2"/>
      <c r="J25" s="2" t="s">
        <v>99</v>
      </c>
      <c r="K25" s="13"/>
      <c r="L25" s="13"/>
      <c r="M25" s="8"/>
      <c r="N25" s="3"/>
    </row>
    <row r="26" spans="2:14" ht="30" customHeight="1" x14ac:dyDescent="0.2">
      <c r="B26" s="5" t="s">
        <v>24</v>
      </c>
      <c r="C26" s="2" t="s">
        <v>53</v>
      </c>
      <c r="D26" s="2" t="s">
        <v>81</v>
      </c>
      <c r="E26" s="2"/>
      <c r="F26" s="2"/>
      <c r="G26" s="2"/>
      <c r="H26" s="6"/>
      <c r="I26" s="2"/>
      <c r="J26" s="2" t="s">
        <v>106</v>
      </c>
      <c r="K26" s="13"/>
      <c r="L26" s="13"/>
      <c r="M26" s="8"/>
      <c r="N26" s="3"/>
    </row>
    <row r="27" spans="2:14" ht="30" customHeight="1" x14ac:dyDescent="0.2">
      <c r="B27" s="5" t="s">
        <v>25</v>
      </c>
      <c r="C27" s="2" t="s">
        <v>54</v>
      </c>
      <c r="D27" s="2" t="s">
        <v>82</v>
      </c>
      <c r="E27" s="2"/>
      <c r="F27" s="2"/>
      <c r="G27" s="2"/>
      <c r="H27" s="6"/>
      <c r="I27" s="2"/>
      <c r="J27" s="2" t="s">
        <v>101</v>
      </c>
      <c r="K27" s="13"/>
      <c r="L27" s="13"/>
      <c r="M27" s="8"/>
      <c r="N27" s="3"/>
    </row>
    <row r="28" spans="2:14" ht="30" customHeight="1" x14ac:dyDescent="0.2">
      <c r="B28" s="5" t="s">
        <v>26</v>
      </c>
      <c r="C28" s="2" t="s">
        <v>55</v>
      </c>
      <c r="D28" s="2" t="s">
        <v>83</v>
      </c>
      <c r="E28" s="2"/>
      <c r="F28" s="2"/>
      <c r="G28" s="2"/>
      <c r="H28" s="6"/>
      <c r="I28" s="2"/>
      <c r="J28" s="2" t="s">
        <v>102</v>
      </c>
      <c r="K28" s="13"/>
      <c r="L28" s="13"/>
      <c r="M28" s="8"/>
      <c r="N28" s="3"/>
    </row>
    <row r="29" spans="2:14" ht="30" customHeight="1" x14ac:dyDescent="0.2">
      <c r="B29" s="5" t="s">
        <v>27</v>
      </c>
      <c r="C29" s="2" t="s">
        <v>56</v>
      </c>
      <c r="D29" s="2" t="s">
        <v>84</v>
      </c>
      <c r="E29" s="2"/>
      <c r="F29" s="2"/>
      <c r="G29" s="2"/>
      <c r="H29" s="6"/>
      <c r="I29" s="2"/>
      <c r="J29" s="2" t="s">
        <v>103</v>
      </c>
      <c r="K29" s="13"/>
      <c r="L29" s="13"/>
      <c r="M29" s="8"/>
      <c r="N29" s="3"/>
    </row>
    <row r="30" spans="2:14" ht="30" customHeight="1" x14ac:dyDescent="0.2">
      <c r="B30" s="5" t="s">
        <v>28</v>
      </c>
      <c r="C30" s="2" t="s">
        <v>57</v>
      </c>
      <c r="D30" s="2" t="s">
        <v>85</v>
      </c>
      <c r="E30" s="2"/>
      <c r="F30" s="2"/>
      <c r="G30" s="2"/>
      <c r="H30" s="6"/>
      <c r="I30" s="2"/>
      <c r="J30" s="2" t="s">
        <v>104</v>
      </c>
      <c r="K30" s="13"/>
      <c r="L30" s="13"/>
      <c r="M30" s="8"/>
      <c r="N30" s="3"/>
    </row>
  </sheetData>
  <dataValidations count="16">
    <dataValidation allowBlank="1" showInputMessage="1" showErrorMessage="1" prompt="Crie uma lista de contatos do cliente com os compromissos futuros nesta pasta de trabalho. Crie uma lista de contatos nesta planilha. Selecione a célula N1 para navegar até os compromissos futuros." sqref="A1" xr:uid="{00000000-0002-0000-0000-000000000000}"/>
    <dataValidation allowBlank="1" showInputMessage="1" showErrorMessage="1" prompt="O título desta planilha está nas células B1 até C1." sqref="B1" xr:uid="{00000000-0002-0000-0000-000001000000}"/>
    <dataValidation allowBlank="1" showInputMessage="1" showErrorMessage="1" prompt="Link de navegação para a planilha de compromissos futuros." sqref="N1" xr:uid="{00000000-0002-0000-0000-000002000000}"/>
    <dataValidation allowBlank="1" showInputMessage="1" showErrorMessage="1" prompt="Insira a ID do cliente na coluna sob este cabeçalho. Use filtros de cabeçalho para localizar entradas específicas." sqref="B3" xr:uid="{00000000-0002-0000-0000-000003000000}"/>
    <dataValidation allowBlank="1" showInputMessage="1" showErrorMessage="1" prompt="Insira o nome da empresa na coluna sob este cabeçalho." sqref="C3" xr:uid="{00000000-0002-0000-0000-000004000000}"/>
    <dataValidation allowBlank="1" showInputMessage="1" showErrorMessage="1" prompt="Insira o nome do contato na coluna sob este cabeçalho." sqref="D3" xr:uid="{00000000-0002-0000-0000-000005000000}"/>
    <dataValidation allowBlank="1" showInputMessage="1" showErrorMessage="1" prompt="Insira o endereço de cobrança na coluna sob este cabeçalho." sqref="E3" xr:uid="{00000000-0002-0000-0000-000006000000}"/>
    <dataValidation allowBlank="1" showInputMessage="1" showErrorMessage="1" prompt="Insira a cidade na coluna sob este cabeçalho." sqref="F3" xr:uid="{00000000-0002-0000-0000-000007000000}"/>
    <dataValidation allowBlank="1" showInputMessage="1" showErrorMessage="1" prompt="Insira o estado na coluna sob este cabeçalho." sqref="G3" xr:uid="{00000000-0002-0000-0000-000008000000}"/>
    <dataValidation allowBlank="1" showInputMessage="1" showErrorMessage="1" prompt="Insira o CEP na coluna sob este cabeçalho." sqref="H3" xr:uid="{00000000-0002-0000-0000-000009000000}"/>
    <dataValidation allowBlank="1" showInputMessage="1" showErrorMessage="1" prompt="Insira o país na coluna sob este cabeçalho." sqref="I3" xr:uid="{00000000-0002-0000-0000-00000A000000}"/>
    <dataValidation allowBlank="1" showInputMessage="1" showErrorMessage="1" prompt="Insira o cargo do contato na coluna sob este cabeçalho." sqref="J3" xr:uid="{00000000-0002-0000-0000-00000B000000}"/>
    <dataValidation allowBlank="1" showInputMessage="1" showErrorMessage="1" prompt="Insira o número de telefone na coluna sob este cabeçalho." sqref="K3" xr:uid="{00000000-0002-0000-0000-00000C000000}"/>
    <dataValidation allowBlank="1" showInputMessage="1" showErrorMessage="1" prompt="Insira o número do fax na coluna sob este cabeçalho." sqref="L3" xr:uid="{00000000-0002-0000-0000-00000D000000}"/>
    <dataValidation allowBlank="1" showInputMessage="1" showErrorMessage="1" prompt="Insira o endereço de email na coluna sob este cabeçalho." sqref="M3" xr:uid="{00000000-0002-0000-0000-00000E000000}"/>
    <dataValidation allowBlank="1" showInputMessage="1" showErrorMessage="1" prompt="Insira anotações na coluna sob este cabeçalho." sqref="N3" xr:uid="{00000000-0002-0000-0000-00000F000000}"/>
  </dataValidations>
  <hyperlinks>
    <hyperlink ref="M5" r:id="rId1" xr:uid="{00000000-0004-0000-0000-000000000000}"/>
    <hyperlink ref="M4" r:id="rId2" xr:uid="{00000000-0004-0000-0000-000001000000}"/>
    <hyperlink ref="N1" location="'Compromissos futuros'!A1" tooltip="Selecionar para visualizar os Compromissos futuros" display="Upcoming Appointments" xr:uid="{00000000-0004-0000-0000-000002000000}"/>
  </hyperlinks>
  <printOptions horizontalCentered="1"/>
  <pageMargins left="0.25" right="0.25" top="0.75" bottom="0.75" header="0.3" footer="0.3"/>
  <pageSetup scale="41" fitToHeight="0" orientation="landscape" r:id="rId3"/>
  <headerFooter differentFirst="1">
    <oddFooter>Page &amp;P of &amp;N</oddFooter>
  </headerFooter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5"/>
    <pageSetUpPr fitToPage="1"/>
  </sheetPr>
  <dimension ref="B1:G26"/>
  <sheetViews>
    <sheetView showGridLines="0" zoomScaleNormal="100" workbookViewId="0"/>
  </sheetViews>
  <sheetFormatPr defaultRowHeight="30" customHeight="1" x14ac:dyDescent="0.2"/>
  <cols>
    <col min="1" max="1" width="2.625" customWidth="1"/>
    <col min="2" max="2" width="13.25" bestFit="1" customWidth="1"/>
    <col min="3" max="3" width="15.625" customWidth="1"/>
    <col min="4" max="6" width="30.625" customWidth="1"/>
    <col min="7" max="7" width="40.625" customWidth="1"/>
    <col min="8" max="8" width="2.625" customWidth="1"/>
    <col min="9" max="9" width="9" customWidth="1"/>
  </cols>
  <sheetData>
    <row r="1" spans="2:7" ht="36" customHeight="1" thickBot="1" x14ac:dyDescent="0.25">
      <c r="B1" s="7" t="s">
        <v>114</v>
      </c>
      <c r="C1" s="4" t="s">
        <v>116</v>
      </c>
      <c r="D1" s="4"/>
      <c r="E1" s="4"/>
      <c r="F1" s="4"/>
      <c r="G1" s="11" t="s">
        <v>125</v>
      </c>
    </row>
    <row r="2" spans="2:7" ht="2.25" customHeight="1" thickTop="1" x14ac:dyDescent="0.2"/>
    <row r="3" spans="2:7" ht="30" customHeight="1" x14ac:dyDescent="0.2">
      <c r="B3" s="9" t="s">
        <v>115</v>
      </c>
      <c r="C3" s="9" t="s">
        <v>117</v>
      </c>
      <c r="D3" s="9" t="s">
        <v>118</v>
      </c>
      <c r="E3" s="9" t="s">
        <v>119</v>
      </c>
      <c r="F3" s="9" t="s">
        <v>122</v>
      </c>
      <c r="G3" s="9" t="s">
        <v>126</v>
      </c>
    </row>
    <row r="4" spans="2:7" ht="30" customHeight="1" x14ac:dyDescent="0.2">
      <c r="B4" s="14">
        <f ca="1">TODAY()</f>
        <v>43336</v>
      </c>
      <c r="C4" s="16">
        <v>0.60416666666666663</v>
      </c>
      <c r="D4" s="2" t="s">
        <v>53</v>
      </c>
      <c r="E4" s="2" t="s">
        <v>120</v>
      </c>
      <c r="F4" s="2" t="s">
        <v>123</v>
      </c>
      <c r="G4" s="2"/>
    </row>
    <row r="5" spans="2:7" ht="30" customHeight="1" x14ac:dyDescent="0.2">
      <c r="B5" s="14">
        <f ca="1">TODAY()+1</f>
        <v>43337</v>
      </c>
      <c r="C5" s="16">
        <v>0.70833333333333326</v>
      </c>
      <c r="D5" s="2" t="s">
        <v>48</v>
      </c>
      <c r="E5" s="2" t="s">
        <v>121</v>
      </c>
      <c r="F5" s="2" t="s">
        <v>124</v>
      </c>
      <c r="G5" s="2"/>
    </row>
    <row r="6" spans="2:7" ht="30" customHeight="1" x14ac:dyDescent="0.2">
      <c r="B6" s="14">
        <f ca="1">TODAY()+2</f>
        <v>43338</v>
      </c>
      <c r="C6" s="16">
        <v>0.4375</v>
      </c>
      <c r="D6" s="2" t="s">
        <v>49</v>
      </c>
      <c r="E6" s="2"/>
      <c r="F6" s="2"/>
      <c r="G6" s="2"/>
    </row>
    <row r="7" spans="2:7" ht="30" customHeight="1" x14ac:dyDescent="0.2">
      <c r="B7" s="14">
        <f ca="1">TODAY()+3</f>
        <v>43339</v>
      </c>
      <c r="C7" s="16">
        <v>0.45833333333333331</v>
      </c>
      <c r="D7" s="2" t="s">
        <v>45</v>
      </c>
      <c r="E7" s="2"/>
      <c r="F7" s="2"/>
      <c r="G7" s="2"/>
    </row>
    <row r="8" spans="2:7" ht="30" customHeight="1" x14ac:dyDescent="0.2">
      <c r="B8" s="14">
        <f ca="1">TODAY()+4</f>
        <v>43340</v>
      </c>
      <c r="C8" s="16">
        <v>0.41666666666666669</v>
      </c>
      <c r="D8" s="2" t="s">
        <v>33</v>
      </c>
      <c r="E8" s="2"/>
      <c r="F8" s="2"/>
      <c r="G8" s="2"/>
    </row>
    <row r="9" spans="2:7" ht="30" customHeight="1" x14ac:dyDescent="0.2">
      <c r="B9" s="14">
        <f ca="1">TODAY()+5</f>
        <v>43341</v>
      </c>
      <c r="C9" s="16">
        <v>0.41666666666666669</v>
      </c>
      <c r="D9" s="2" t="s">
        <v>39</v>
      </c>
      <c r="E9" s="2"/>
      <c r="F9" s="2"/>
      <c r="G9" s="2"/>
    </row>
    <row r="10" spans="2:7" ht="30" customHeight="1" x14ac:dyDescent="0.2">
      <c r="B10" s="14">
        <f ca="1">TODAY()+6</f>
        <v>43342</v>
      </c>
      <c r="C10" s="16">
        <v>0.66666666666666674</v>
      </c>
      <c r="D10" s="2" t="s">
        <v>54</v>
      </c>
      <c r="E10" s="2"/>
      <c r="F10" s="2"/>
      <c r="G10" s="2"/>
    </row>
    <row r="11" spans="2:7" ht="30" customHeight="1" x14ac:dyDescent="0.2">
      <c r="B11" s="14">
        <f ca="1">TODAY()+7</f>
        <v>43343</v>
      </c>
      <c r="C11" s="16">
        <v>0.5625</v>
      </c>
      <c r="D11" s="2" t="s">
        <v>55</v>
      </c>
      <c r="E11" s="2"/>
      <c r="F11" s="2"/>
      <c r="G11" s="2"/>
    </row>
    <row r="12" spans="2:7" ht="30" customHeight="1" x14ac:dyDescent="0.2">
      <c r="B12" s="14">
        <f ca="1">TODAY()+8</f>
        <v>43344</v>
      </c>
      <c r="C12" s="16">
        <v>0.625</v>
      </c>
      <c r="D12" s="2" t="s">
        <v>46</v>
      </c>
      <c r="E12" s="2"/>
      <c r="F12" s="2"/>
      <c r="G12" s="2"/>
    </row>
    <row r="13" spans="2:7" ht="30" customHeight="1" x14ac:dyDescent="0.2">
      <c r="B13" s="14">
        <f ca="1">TODAY()+9</f>
        <v>43345</v>
      </c>
      <c r="C13" s="16">
        <v>0.4375</v>
      </c>
      <c r="D13" s="2" t="s">
        <v>47</v>
      </c>
      <c r="E13" s="2"/>
      <c r="F13" s="2"/>
      <c r="G13" s="2"/>
    </row>
    <row r="14" spans="2:7" ht="30" customHeight="1" x14ac:dyDescent="0.2">
      <c r="B14" s="14">
        <f ca="1">TODAY()+10</f>
        <v>43346</v>
      </c>
      <c r="C14" s="16">
        <v>0.72916666666666674</v>
      </c>
      <c r="D14" s="2" t="s">
        <v>37</v>
      </c>
      <c r="E14" s="2"/>
      <c r="F14" s="2"/>
      <c r="G14" s="2"/>
    </row>
    <row r="15" spans="2:7" ht="30" customHeight="1" x14ac:dyDescent="0.2">
      <c r="B15" s="14">
        <f ca="1">TODAY()+11</f>
        <v>43347</v>
      </c>
      <c r="C15" s="16">
        <v>0.4375</v>
      </c>
      <c r="D15" s="2" t="s">
        <v>35</v>
      </c>
      <c r="E15" s="2"/>
      <c r="F15" s="2"/>
      <c r="G15" s="2"/>
    </row>
    <row r="16" spans="2:7" ht="30" customHeight="1" x14ac:dyDescent="0.2">
      <c r="B16" s="14">
        <f ca="1">TODAY()+12</f>
        <v>43348</v>
      </c>
      <c r="C16" s="16">
        <v>0.41666666666666669</v>
      </c>
      <c r="D16" s="2" t="s">
        <v>56</v>
      </c>
      <c r="E16" s="2"/>
      <c r="F16" s="2"/>
      <c r="G16" s="2"/>
    </row>
    <row r="17" spans="2:7" ht="30" customHeight="1" x14ac:dyDescent="0.2">
      <c r="B17" s="14">
        <f ca="1">TODAY()+13</f>
        <v>43349</v>
      </c>
      <c r="C17" s="16">
        <v>0.75</v>
      </c>
      <c r="D17" s="2" t="s">
        <v>32</v>
      </c>
      <c r="E17" s="2"/>
      <c r="F17" s="2"/>
      <c r="G17" s="2"/>
    </row>
    <row r="18" spans="2:7" ht="30" customHeight="1" x14ac:dyDescent="0.2">
      <c r="B18" s="14">
        <f ca="1">TODAY()+14</f>
        <v>43350</v>
      </c>
      <c r="C18" s="16">
        <v>0.72916666666666674</v>
      </c>
      <c r="D18" s="2" t="s">
        <v>35</v>
      </c>
      <c r="E18" s="2"/>
      <c r="F18" s="2"/>
      <c r="G18" s="2"/>
    </row>
    <row r="19" spans="2:7" ht="30" customHeight="1" x14ac:dyDescent="0.2">
      <c r="B19" s="14">
        <f ca="1">TODAY()+15</f>
        <v>43351</v>
      </c>
      <c r="C19" s="16">
        <v>0.47916666666666669</v>
      </c>
      <c r="D19" s="2" t="s">
        <v>46</v>
      </c>
      <c r="E19" s="2"/>
      <c r="F19" s="2"/>
      <c r="G19" s="2"/>
    </row>
    <row r="20" spans="2:7" ht="30" customHeight="1" x14ac:dyDescent="0.2">
      <c r="B20" s="14">
        <f ca="1">TODAY()+16</f>
        <v>43352</v>
      </c>
      <c r="C20" s="16">
        <v>0.625</v>
      </c>
      <c r="D20" s="2" t="s">
        <v>50</v>
      </c>
      <c r="E20" s="2"/>
      <c r="F20" s="2"/>
      <c r="G20" s="2"/>
    </row>
    <row r="21" spans="2:7" ht="30" customHeight="1" x14ac:dyDescent="0.2">
      <c r="B21" s="14">
        <f ca="1">TODAY()+17</f>
        <v>43353</v>
      </c>
      <c r="C21" s="16">
        <v>0.4375</v>
      </c>
      <c r="D21" s="2" t="s">
        <v>50</v>
      </c>
      <c r="E21" s="2"/>
      <c r="F21" s="2"/>
      <c r="G21" s="2"/>
    </row>
    <row r="22" spans="2:7" ht="30" customHeight="1" x14ac:dyDescent="0.2">
      <c r="B22" s="14">
        <f ca="1">TODAY()+18</f>
        <v>43354</v>
      </c>
      <c r="C22" s="16">
        <v>0.58333333333333337</v>
      </c>
      <c r="D22" s="2" t="s">
        <v>40</v>
      </c>
      <c r="E22" s="2"/>
      <c r="F22" s="2"/>
      <c r="G22" s="2"/>
    </row>
    <row r="23" spans="2:7" ht="30" customHeight="1" x14ac:dyDescent="0.2">
      <c r="B23" s="14">
        <f ca="1">TODAY()+19</f>
        <v>43355</v>
      </c>
      <c r="C23" s="16">
        <v>0.47916666666666669</v>
      </c>
      <c r="D23" s="2" t="s">
        <v>46</v>
      </c>
      <c r="E23" s="2"/>
      <c r="F23" s="2"/>
      <c r="G23" s="2"/>
    </row>
    <row r="24" spans="2:7" ht="30" customHeight="1" x14ac:dyDescent="0.2">
      <c r="B24" s="14">
        <f ca="1">TODAY()+20</f>
        <v>43356</v>
      </c>
      <c r="C24" s="16">
        <v>0.4375</v>
      </c>
      <c r="D24" s="2" t="s">
        <v>44</v>
      </c>
      <c r="E24" s="2"/>
      <c r="F24" s="2"/>
      <c r="G24" s="2"/>
    </row>
    <row r="25" spans="2:7" ht="30" customHeight="1" x14ac:dyDescent="0.2">
      <c r="B25" s="14">
        <f ca="1">TODAY()+21</f>
        <v>43357</v>
      </c>
      <c r="C25" s="16">
        <v>0.47916666666666669</v>
      </c>
      <c r="D25" s="2" t="s">
        <v>53</v>
      </c>
      <c r="E25" s="2"/>
      <c r="F25" s="2"/>
      <c r="G25" s="2"/>
    </row>
    <row r="26" spans="2:7" ht="30" customHeight="1" x14ac:dyDescent="0.2">
      <c r="B26" s="14">
        <f ca="1">TODAY()+22</f>
        <v>43358</v>
      </c>
      <c r="C26" s="16">
        <v>0.625</v>
      </c>
      <c r="D26" s="2" t="s">
        <v>39</v>
      </c>
      <c r="E26" s="2"/>
      <c r="F26" s="2"/>
      <c r="G26" s="2"/>
    </row>
  </sheetData>
  <dataValidations count="10">
    <dataValidation type="list" errorStyle="warning" allowBlank="1" showInputMessage="1" showErrorMessage="1" error="Selecione o nome do cliente na lista. Selecione Cancelar e pressione Alt+Seta para baixo para escolher o nome do cliente na lista suspensa." sqref="D4:D26" xr:uid="{00000000-0002-0000-0100-000000000000}">
      <formula1>_1sClientes</formula1>
    </dataValidation>
    <dataValidation allowBlank="1" showInputMessage="1" showErrorMessage="1" prompt="Crie uma lista dos próximos compromissos nesta planilha. Selecione a célula G1 para retornar à planilha de detalhes de contato do cliente." sqref="A1" xr:uid="{00000000-0002-0000-0100-000001000000}"/>
    <dataValidation allowBlank="1" showInputMessage="1" showErrorMessage="1" prompt="O título desta planilha está nas células B1 até C1." sqref="B1" xr:uid="{00000000-0002-0000-0100-000002000000}"/>
    <dataValidation allowBlank="1" showInputMessage="1" showErrorMessage="1" prompt="Link de navegação para a planilha de detalhes de contato do cliente." sqref="G1" xr:uid="{00000000-0002-0000-0100-000003000000}"/>
    <dataValidation allowBlank="1" showInputMessage="1" showErrorMessage="1" prompt="Insira a data na coluna sob este cabeçalho. Use filtros de cabeçalho para localizar itens específicos." sqref="B3" xr:uid="{00000000-0002-0000-0100-000004000000}"/>
    <dataValidation allowBlank="1" showInputMessage="1" showErrorMessage="1" prompt="Insira a hora na coluna sob este cabeçalho." sqref="C3" xr:uid="{00000000-0002-0000-0100-000005000000}"/>
    <dataValidation allowBlank="1" showInputMessage="1" showErrorMessage="1" prompt="Selecione o nome do cliente na coluna sob este cabeçalho. Pressione Alt+Seta para baixo para abrir a lista suspensa e pressione Enter para fazer a seleção." sqref="D3" xr:uid="{00000000-0002-0000-0100-000006000000}"/>
    <dataValidation allowBlank="1" showInputMessage="1" showErrorMessage="1" prompt="Insira o assunto da reunião na coluna sob este cabeçalho." sqref="E3" xr:uid="{00000000-0002-0000-0100-000007000000}"/>
    <dataValidation allowBlank="1" showInputMessage="1" showErrorMessage="1" prompt="Insira os participantes na coluna sob este cabeçalho." sqref="F3" xr:uid="{00000000-0002-0000-0100-000008000000}"/>
    <dataValidation allowBlank="1" showInputMessage="1" showErrorMessage="1" prompt="Insira as anotações na coluna sob este cabeçalho." sqref="G3" xr:uid="{00000000-0002-0000-0100-000009000000}"/>
  </dataValidations>
  <hyperlinks>
    <hyperlink ref="G1" location="'Detalhes de contato do cliente'!A1" tooltip="Selecionar para visualizar os Detalhes de contato do cliente" display="Customer Contact Details" xr:uid="{00000000-0004-0000-0100-000000000000}"/>
  </hyperlinks>
  <printOptions horizontalCentered="1"/>
  <pageMargins left="0.7" right="0.7" top="0.75" bottom="0.75" header="0.3" footer="0.3"/>
  <pageSetup scale="65" fitToHeight="0" orientation="landscape" r:id="rId1"/>
  <headerFooter differentFirst="1">
    <oddFooter>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5</vt:i4>
      </vt:variant>
    </vt:vector>
  </HeadingPairs>
  <TitlesOfParts>
    <vt:vector size="7" baseType="lpstr">
      <vt:lpstr>Detalhes de contato do cliente</vt:lpstr>
      <vt:lpstr>Compromissos futuros</vt:lpstr>
      <vt:lpstr>_1sClientes</vt:lpstr>
      <vt:lpstr>TítuloDaColuna1</vt:lpstr>
      <vt:lpstr>TítuloDaColuna2</vt:lpstr>
      <vt:lpstr>'Compromissos futuros'!Titulos_de_impressao</vt:lpstr>
      <vt:lpstr>'Detalhes de contato do cliente'!Titulos_de_impressao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admin</cp:lastModifiedBy>
  <dcterms:created xsi:type="dcterms:W3CDTF">2016-12-26T10:19:07Z</dcterms:created>
  <dcterms:modified xsi:type="dcterms:W3CDTF">2018-08-24T15:40:00Z</dcterms:modified>
</cp:coreProperties>
</file>