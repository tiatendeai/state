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fbe\AC\Temp\"/>
    </mc:Choice>
  </mc:AlternateContent>
  <xr:revisionPtr revIDLastSave="0" documentId="8_{95592FED-B465-C54A-9553-34332318385C}" xr6:coauthVersionLast="28" xr6:coauthVersionMax="28" xr10:uidLastSave="{00000000-0000-0000-0000-000000000000}"/>
  <bookViews>
    <workbookView xWindow="240" yWindow="15" windowWidth="15480" windowHeight="10485" tabRatio="687" xr2:uid="{00000000-000D-0000-FFFF-FFFF00000000}"/>
  </bookViews>
  <sheets>
    <sheet name="Introdução" sheetId="6" r:id="rId1"/>
    <sheet name="Preencha a Planilha Orçamento" sheetId="1" r:id="rId2"/>
    <sheet name="Saldo positivo" sheetId="4" r:id="rId3"/>
    <sheet name="Saldo negativo" sheetId="3" r:id="rId4"/>
  </sheets>
  <externalReferences>
    <externalReference r:id="rId5"/>
  </externalReferences>
  <definedNames>
    <definedName name="BLPH1" hidden="1">'[1]Base 12_1994 a 05_2003'!#REF!</definedName>
    <definedName name="BLPH2" hidden="1">'[1]Base 12_1994 a 05_2003'!#REF!</definedName>
    <definedName name="BLPH3" hidden="1">'[1]Base 12_1994 a 05_2003'!#REF!</definedName>
    <definedName name="BLPH4" hidden="1">'[1]Base 12_1994 a 05_2003'!#REF!</definedName>
    <definedName name="Diário">#REF!</definedName>
    <definedName name="_xlnm.Print_Titles" localSheetId="1">'Preencha a Planilha Orçamento'!$B:$F,'Preencha a Planilha Orçamento'!$2:$4</definedName>
  </definedNames>
  <calcPr calcId="171026"/>
</workbook>
</file>

<file path=xl/calcChain.xml><?xml version="1.0" encoding="utf-8"?>
<calcChain xmlns="http://schemas.openxmlformats.org/spreadsheetml/2006/main">
  <c r="S46" i="1" l="1"/>
  <c r="S47" i="1"/>
  <c r="J35" i="1"/>
  <c r="K35" i="1"/>
  <c r="L35" i="1"/>
  <c r="M35" i="1"/>
  <c r="N35" i="1"/>
  <c r="O35" i="1"/>
  <c r="P35" i="1"/>
  <c r="Q35" i="1"/>
  <c r="R35" i="1"/>
  <c r="I35" i="1"/>
  <c r="H35" i="1"/>
  <c r="G35" i="1"/>
  <c r="F35" i="1"/>
  <c r="S15" i="1"/>
  <c r="S14" i="1"/>
  <c r="S16" i="1"/>
  <c r="S17" i="1"/>
  <c r="S18" i="1"/>
  <c r="G27" i="1"/>
  <c r="G31" i="1"/>
  <c r="G38" i="1"/>
  <c r="G41" i="1"/>
  <c r="G50" i="1"/>
  <c r="G56" i="1"/>
  <c r="G60" i="1"/>
  <c r="G70" i="1"/>
  <c r="G76" i="1"/>
  <c r="G79" i="1"/>
  <c r="G85" i="1"/>
  <c r="G89" i="1"/>
  <c r="G65" i="1"/>
  <c r="G93" i="1"/>
  <c r="G97" i="1"/>
  <c r="F41" i="1"/>
  <c r="F79" i="1"/>
  <c r="F93" i="1"/>
  <c r="F97" i="1"/>
  <c r="F76" i="1"/>
  <c r="F70" i="1"/>
  <c r="F65" i="1"/>
  <c r="F60" i="1"/>
  <c r="F38" i="1"/>
  <c r="F89" i="1"/>
  <c r="F56" i="1"/>
  <c r="F31" i="1"/>
  <c r="F85" i="1"/>
  <c r="F27" i="1"/>
  <c r="F50" i="1"/>
  <c r="H85" i="1"/>
  <c r="I85" i="1"/>
  <c r="J85" i="1"/>
  <c r="K85" i="1"/>
  <c r="L85" i="1"/>
  <c r="M85" i="1"/>
  <c r="N85" i="1"/>
  <c r="O85" i="1"/>
  <c r="P85" i="1"/>
  <c r="Q85" i="1"/>
  <c r="R85" i="1"/>
  <c r="S84" i="1"/>
  <c r="S83" i="1"/>
  <c r="S82" i="1"/>
  <c r="H89" i="1"/>
  <c r="I89" i="1"/>
  <c r="J89" i="1"/>
  <c r="K89" i="1"/>
  <c r="L89" i="1"/>
  <c r="M89" i="1"/>
  <c r="N89" i="1"/>
  <c r="O89" i="1"/>
  <c r="P89" i="1"/>
  <c r="Q89" i="1"/>
  <c r="R89" i="1"/>
  <c r="H65" i="1"/>
  <c r="I65" i="1"/>
  <c r="J65" i="1"/>
  <c r="K65" i="1"/>
  <c r="L65" i="1"/>
  <c r="M65" i="1"/>
  <c r="N65" i="1"/>
  <c r="O65" i="1"/>
  <c r="P65" i="1"/>
  <c r="Q65" i="1"/>
  <c r="R65" i="1"/>
  <c r="H93" i="1"/>
  <c r="I93" i="1"/>
  <c r="J93" i="1"/>
  <c r="K93" i="1"/>
  <c r="L93" i="1"/>
  <c r="M93" i="1"/>
  <c r="N93" i="1"/>
  <c r="O93" i="1"/>
  <c r="P93" i="1"/>
  <c r="Q93" i="1"/>
  <c r="R93" i="1"/>
  <c r="H97" i="1"/>
  <c r="I97" i="1"/>
  <c r="J97" i="1"/>
  <c r="K97" i="1"/>
  <c r="L97" i="1"/>
  <c r="M97" i="1"/>
  <c r="N97" i="1"/>
  <c r="O97" i="1"/>
  <c r="P97" i="1"/>
  <c r="Q97" i="1"/>
  <c r="R97" i="1"/>
  <c r="S95" i="1"/>
  <c r="H27" i="1"/>
  <c r="H31" i="1"/>
  <c r="H38" i="1"/>
  <c r="H41" i="1"/>
  <c r="H50" i="1"/>
  <c r="H56" i="1"/>
  <c r="H60" i="1"/>
  <c r="H70" i="1"/>
  <c r="H76" i="1"/>
  <c r="H79" i="1"/>
  <c r="I27" i="1"/>
  <c r="I31" i="1"/>
  <c r="I38" i="1"/>
  <c r="I41" i="1"/>
  <c r="I50" i="1"/>
  <c r="I56" i="1"/>
  <c r="I60" i="1"/>
  <c r="I70" i="1"/>
  <c r="I76" i="1"/>
  <c r="I79" i="1"/>
  <c r="J27" i="1"/>
  <c r="J31" i="1"/>
  <c r="J38" i="1"/>
  <c r="J41" i="1"/>
  <c r="J50" i="1"/>
  <c r="J56" i="1"/>
  <c r="J60" i="1"/>
  <c r="J70" i="1"/>
  <c r="J76" i="1"/>
  <c r="J79" i="1"/>
  <c r="K27" i="1"/>
  <c r="K31" i="1"/>
  <c r="K38" i="1"/>
  <c r="K41" i="1"/>
  <c r="K50" i="1"/>
  <c r="K56" i="1"/>
  <c r="K60" i="1"/>
  <c r="K70" i="1"/>
  <c r="K76" i="1"/>
  <c r="K79" i="1"/>
  <c r="L27" i="1"/>
  <c r="L31" i="1"/>
  <c r="L38" i="1"/>
  <c r="L41" i="1"/>
  <c r="L50" i="1"/>
  <c r="L56" i="1"/>
  <c r="L60" i="1"/>
  <c r="L70" i="1"/>
  <c r="L76" i="1"/>
  <c r="L79" i="1"/>
  <c r="M27" i="1"/>
  <c r="M31" i="1"/>
  <c r="M38" i="1"/>
  <c r="M41" i="1"/>
  <c r="M50" i="1"/>
  <c r="M56" i="1"/>
  <c r="M60" i="1"/>
  <c r="M70" i="1"/>
  <c r="M76" i="1"/>
  <c r="M79" i="1"/>
  <c r="N27" i="1"/>
  <c r="N31" i="1"/>
  <c r="N38" i="1"/>
  <c r="N41" i="1"/>
  <c r="N50" i="1"/>
  <c r="N56" i="1"/>
  <c r="N60" i="1"/>
  <c r="N70" i="1"/>
  <c r="N76" i="1"/>
  <c r="N79" i="1"/>
  <c r="O27" i="1"/>
  <c r="O31" i="1"/>
  <c r="O38" i="1"/>
  <c r="O41" i="1"/>
  <c r="O50" i="1"/>
  <c r="O56" i="1"/>
  <c r="O60" i="1"/>
  <c r="O70" i="1"/>
  <c r="O76" i="1"/>
  <c r="O79" i="1"/>
  <c r="P27" i="1"/>
  <c r="P31" i="1"/>
  <c r="P38" i="1"/>
  <c r="P41" i="1"/>
  <c r="P50" i="1"/>
  <c r="P56" i="1"/>
  <c r="P60" i="1"/>
  <c r="P70" i="1"/>
  <c r="P76" i="1"/>
  <c r="P79" i="1"/>
  <c r="Q27" i="1"/>
  <c r="Q31" i="1"/>
  <c r="Q38" i="1"/>
  <c r="Q41" i="1"/>
  <c r="Q50" i="1"/>
  <c r="Q56" i="1"/>
  <c r="Q60" i="1"/>
  <c r="Q70" i="1"/>
  <c r="Q76" i="1"/>
  <c r="Q79" i="1"/>
  <c r="R27" i="1"/>
  <c r="R31" i="1"/>
  <c r="R38" i="1"/>
  <c r="R41" i="1"/>
  <c r="R50" i="1"/>
  <c r="R56" i="1"/>
  <c r="R60" i="1"/>
  <c r="R70" i="1"/>
  <c r="R76" i="1"/>
  <c r="R79" i="1"/>
  <c r="F42" i="1"/>
  <c r="S96" i="1"/>
  <c r="S87" i="1"/>
  <c r="S74" i="1"/>
  <c r="S54" i="1"/>
  <c r="S40" i="1"/>
  <c r="S9" i="1"/>
  <c r="S64" i="1"/>
  <c r="S63" i="1"/>
  <c r="S62" i="1"/>
  <c r="S61" i="1"/>
  <c r="S68" i="1"/>
  <c r="S29" i="1"/>
  <c r="S30" i="1"/>
  <c r="S28" i="1"/>
  <c r="S25" i="1"/>
  <c r="S37" i="1"/>
  <c r="S69" i="1"/>
  <c r="S67" i="1"/>
  <c r="S66" i="1"/>
  <c r="G11" i="1"/>
  <c r="G99" i="1"/>
  <c r="H11" i="1"/>
  <c r="H101" i="1"/>
  <c r="I11" i="1"/>
  <c r="I101" i="1"/>
  <c r="J11" i="1"/>
  <c r="J101" i="1"/>
  <c r="K11" i="1"/>
  <c r="K101" i="1"/>
  <c r="L11" i="1"/>
  <c r="L101" i="1"/>
  <c r="M11" i="1"/>
  <c r="M101" i="1"/>
  <c r="N11" i="1"/>
  <c r="N101" i="1"/>
  <c r="O11" i="1"/>
  <c r="O101" i="1"/>
  <c r="P11" i="1"/>
  <c r="P101" i="1"/>
  <c r="Q11" i="1"/>
  <c r="Q101" i="1"/>
  <c r="R11" i="1"/>
  <c r="R101" i="1"/>
  <c r="G19" i="1"/>
  <c r="G102" i="1"/>
  <c r="H19" i="1"/>
  <c r="H102" i="1"/>
  <c r="I19" i="1"/>
  <c r="I102" i="1"/>
  <c r="J19" i="1"/>
  <c r="J102" i="1"/>
  <c r="K19" i="1"/>
  <c r="K102" i="1"/>
  <c r="L19" i="1"/>
  <c r="L102" i="1"/>
  <c r="M19" i="1"/>
  <c r="M102" i="1"/>
  <c r="N19" i="1"/>
  <c r="N102" i="1"/>
  <c r="O19" i="1"/>
  <c r="O102" i="1"/>
  <c r="P19" i="1"/>
  <c r="P102" i="1"/>
  <c r="Q19" i="1"/>
  <c r="Q102" i="1"/>
  <c r="R19" i="1"/>
  <c r="R102" i="1"/>
  <c r="S102" i="1"/>
  <c r="F11" i="1"/>
  <c r="F101" i="1"/>
  <c r="F19" i="1"/>
  <c r="F102" i="1"/>
  <c r="F80" i="1"/>
  <c r="F98" i="1"/>
  <c r="F103" i="1"/>
  <c r="F104" i="1"/>
  <c r="S5" i="1"/>
  <c r="S6" i="1"/>
  <c r="S7" i="1"/>
  <c r="S8" i="1"/>
  <c r="S10" i="1"/>
  <c r="S13" i="1"/>
  <c r="S19" i="1"/>
  <c r="K20" i="1"/>
  <c r="S22" i="1"/>
  <c r="S23" i="1"/>
  <c r="S24" i="1"/>
  <c r="S26" i="1"/>
  <c r="S32" i="1"/>
  <c r="S33" i="1"/>
  <c r="S34" i="1"/>
  <c r="S36" i="1"/>
  <c r="S39" i="1"/>
  <c r="R43" i="1"/>
  <c r="S44" i="1"/>
  <c r="S45" i="1"/>
  <c r="S48" i="1"/>
  <c r="S49" i="1"/>
  <c r="S51" i="1"/>
  <c r="S52" i="1"/>
  <c r="S53" i="1"/>
  <c r="S55" i="1"/>
  <c r="S57" i="1"/>
  <c r="S58" i="1"/>
  <c r="S59" i="1"/>
  <c r="S71" i="1"/>
  <c r="S72" i="1"/>
  <c r="S73" i="1"/>
  <c r="S75" i="1"/>
  <c r="S77" i="1"/>
  <c r="S78" i="1"/>
  <c r="S86" i="1"/>
  <c r="S88" i="1"/>
  <c r="S90" i="1"/>
  <c r="S91" i="1"/>
  <c r="S92" i="1"/>
  <c r="S94" i="1"/>
  <c r="J99" i="1"/>
  <c r="L99" i="1"/>
  <c r="R99" i="1"/>
  <c r="G101" i="1"/>
  <c r="G43" i="1"/>
  <c r="L20" i="1"/>
  <c r="O80" i="1"/>
  <c r="M80" i="1"/>
  <c r="K42" i="1"/>
  <c r="I42" i="1"/>
  <c r="M98" i="1"/>
  <c r="Q80" i="1"/>
  <c r="K80" i="1"/>
  <c r="S70" i="1"/>
  <c r="S93" i="1"/>
  <c r="S85" i="1"/>
  <c r="S27" i="1"/>
  <c r="S31" i="1"/>
  <c r="I98" i="1"/>
  <c r="S60" i="1"/>
  <c r="S97" i="1"/>
  <c r="S41" i="1"/>
  <c r="G81" i="1"/>
  <c r="F20" i="1"/>
  <c r="F99" i="1"/>
  <c r="Q99" i="1"/>
  <c r="M99" i="1"/>
  <c r="I99" i="1"/>
  <c r="Q81" i="1"/>
  <c r="M81" i="1"/>
  <c r="I81" i="1"/>
  <c r="F81" i="1"/>
  <c r="Q43" i="1"/>
  <c r="M43" i="1"/>
  <c r="I43" i="1"/>
  <c r="Q20" i="1"/>
  <c r="M20" i="1"/>
  <c r="I20" i="1"/>
  <c r="G20" i="1"/>
  <c r="H42" i="1"/>
  <c r="O20" i="1"/>
  <c r="F43" i="1"/>
  <c r="O99" i="1"/>
  <c r="K99" i="1"/>
  <c r="O81" i="1"/>
  <c r="K81" i="1"/>
  <c r="S11" i="1"/>
  <c r="R81" i="1"/>
  <c r="L81" i="1"/>
  <c r="J81" i="1"/>
  <c r="L43" i="1"/>
  <c r="G98" i="1"/>
  <c r="O43" i="1"/>
  <c r="Q42" i="1"/>
  <c r="P80" i="1"/>
  <c r="O42" i="1"/>
  <c r="M42" i="1"/>
  <c r="M103" i="1"/>
  <c r="M104" i="1"/>
  <c r="J80" i="1"/>
  <c r="I80" i="1"/>
  <c r="S56" i="1"/>
  <c r="S35" i="1"/>
  <c r="O98" i="1"/>
  <c r="K98" i="1"/>
  <c r="K103" i="1"/>
  <c r="K104" i="1"/>
  <c r="S89" i="1"/>
  <c r="S98" i="1"/>
  <c r="S65" i="1"/>
  <c r="S76" i="1"/>
  <c r="S50" i="1"/>
  <c r="S38" i="1"/>
  <c r="S79" i="1"/>
  <c r="P99" i="1"/>
  <c r="N99" i="1"/>
  <c r="P81" i="1"/>
  <c r="N81" i="1"/>
  <c r="H81" i="1"/>
  <c r="J43" i="1"/>
  <c r="N80" i="1"/>
  <c r="J42" i="1"/>
  <c r="R98" i="1"/>
  <c r="P98" i="1"/>
  <c r="N98" i="1"/>
  <c r="L98" i="1"/>
  <c r="J98" i="1"/>
  <c r="G80" i="1"/>
  <c r="G42" i="1"/>
  <c r="P20" i="1"/>
  <c r="R42" i="1"/>
  <c r="P42" i="1"/>
  <c r="I103" i="1"/>
  <c r="I104" i="1"/>
  <c r="P43" i="1"/>
  <c r="N43" i="1"/>
  <c r="K43" i="1"/>
  <c r="H43" i="1"/>
  <c r="R20" i="1"/>
  <c r="N20" i="1"/>
  <c r="J20" i="1"/>
  <c r="L80" i="1"/>
  <c r="L42" i="1"/>
  <c r="Q98" i="1"/>
  <c r="R80" i="1"/>
  <c r="N42" i="1"/>
  <c r="J103" i="1"/>
  <c r="J104" i="1"/>
  <c r="R103" i="1"/>
  <c r="R104" i="1"/>
  <c r="O103" i="1"/>
  <c r="O104" i="1"/>
  <c r="Q103" i="1"/>
  <c r="Q104" i="1"/>
  <c r="P103" i="1"/>
  <c r="P104" i="1"/>
  <c r="G103" i="1"/>
  <c r="G104" i="1"/>
  <c r="N103" i="1"/>
  <c r="N104" i="1"/>
  <c r="L103" i="1"/>
  <c r="L104" i="1"/>
  <c r="H80" i="1"/>
  <c r="S80" i="1"/>
  <c r="S81" i="1"/>
  <c r="S42" i="1"/>
  <c r="S43" i="1"/>
  <c r="S99" i="1"/>
  <c r="H20" i="1"/>
  <c r="S20" i="1"/>
  <c r="H98" i="1"/>
  <c r="H103" i="1"/>
  <c r="S101" i="1"/>
  <c r="H99" i="1"/>
  <c r="S103" i="1"/>
  <c r="H104" i="1"/>
  <c r="S104" i="1"/>
</calcChain>
</file>

<file path=xl/sharedStrings.xml><?xml version="1.0" encoding="utf-8"?>
<sst xmlns="http://schemas.openxmlformats.org/spreadsheetml/2006/main" count="159" uniqueCount="117">
  <si>
    <t>Orçado</t>
  </si>
  <si>
    <t>Total</t>
  </si>
  <si>
    <t>Aluguel</t>
  </si>
  <si>
    <t>Outros</t>
  </si>
  <si>
    <t>% sobre Receita</t>
  </si>
  <si>
    <t>Fixas</t>
  </si>
  <si>
    <t>Habitação</t>
  </si>
  <si>
    <t>IPTU</t>
  </si>
  <si>
    <t>Transporte</t>
  </si>
  <si>
    <t>Prestação do carro</t>
  </si>
  <si>
    <t>Seguro do carro</t>
  </si>
  <si>
    <t>IPVA</t>
  </si>
  <si>
    <t>Saúde</t>
  </si>
  <si>
    <t>Plano de saúde</t>
  </si>
  <si>
    <t xml:space="preserve">Total despesas fixas </t>
  </si>
  <si>
    <t>Variáveis</t>
  </si>
  <si>
    <t>Luz</t>
  </si>
  <si>
    <t>Gás</t>
  </si>
  <si>
    <t>Combustível</t>
  </si>
  <si>
    <t>Estacionamento</t>
  </si>
  <si>
    <t>Taxi</t>
  </si>
  <si>
    <t>Supermercado</t>
  </si>
  <si>
    <t>Lazer</t>
  </si>
  <si>
    <t>Viagens/Passeios</t>
  </si>
  <si>
    <t>Restaurantes/bares</t>
  </si>
  <si>
    <t>Total despesas variáveis</t>
  </si>
  <si>
    <t>Carro</t>
  </si>
  <si>
    <t>Casa</t>
  </si>
  <si>
    <t>Total despesas extras</t>
  </si>
  <si>
    <t>Saldo</t>
  </si>
  <si>
    <t>Saldo Final</t>
  </si>
  <si>
    <t>Receitas</t>
  </si>
  <si>
    <t>Salário</t>
  </si>
  <si>
    <t>Educação</t>
  </si>
  <si>
    <t>Academia</t>
  </si>
  <si>
    <t>Medicamentos</t>
  </si>
  <si>
    <t>Tarifas Banco</t>
  </si>
  <si>
    <t>Cuidados pessoais</t>
  </si>
  <si>
    <t>Alimentação</t>
  </si>
  <si>
    <t>Vestuário</t>
  </si>
  <si>
    <t>Roupas</t>
  </si>
  <si>
    <t>Calçados</t>
  </si>
  <si>
    <t>Acessórios</t>
  </si>
  <si>
    <t>Outros Impostos</t>
  </si>
  <si>
    <t>Pensão</t>
  </si>
  <si>
    <t>13º salário / Férias</t>
  </si>
  <si>
    <t>Investimentos</t>
  </si>
  <si>
    <t>Previdência privada</t>
  </si>
  <si>
    <t>Despesas</t>
  </si>
  <si>
    <t>Condomínio</t>
  </si>
  <si>
    <t>Colégio</t>
  </si>
  <si>
    <t>Faculdade</t>
  </si>
  <si>
    <t>Seguro de vida</t>
  </si>
  <si>
    <t>Clube</t>
  </si>
  <si>
    <t>Manutenção/ prevenção</t>
  </si>
  <si>
    <t>Material escolar</t>
  </si>
  <si>
    <t>Uniforme</t>
  </si>
  <si>
    <t>Presentes</t>
  </si>
  <si>
    <t xml:space="preserve">Internet / TV </t>
  </si>
  <si>
    <t>Telefone / celular</t>
  </si>
  <si>
    <t>Total Despesas</t>
  </si>
  <si>
    <t>Farmácia / Drogaria</t>
  </si>
  <si>
    <t>Ônibus / metrô</t>
  </si>
  <si>
    <t>Corte de cabelo</t>
  </si>
  <si>
    <t>Estética/Manicure</t>
  </si>
  <si>
    <t>Idiomas / cursos</t>
  </si>
  <si>
    <t>Diarista/Mensalista</t>
  </si>
  <si>
    <t>Médico / Hospital</t>
  </si>
  <si>
    <t>Financiamento casa</t>
  </si>
  <si>
    <t>Água</t>
  </si>
  <si>
    <t>Feira / padaria</t>
  </si>
  <si>
    <t>Planilha de Gestão do Orçamento Pessoal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</si>
  <si>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</si>
  <si>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</si>
  <si>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</si>
  <si>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</si>
  <si>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</si>
  <si>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</si>
  <si>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</si>
  <si>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</si>
  <si>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</si>
  <si>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</si>
  <si>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</si>
  <si>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</si>
  <si>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PLR / Bônus / Comissão</t>
  </si>
  <si>
    <t>Poupança</t>
  </si>
  <si>
    <t>CDB</t>
  </si>
  <si>
    <t>Fundos</t>
  </si>
  <si>
    <t>Ações</t>
  </si>
  <si>
    <t>Moradia/ Habitação</t>
  </si>
  <si>
    <t>Eventuais</t>
  </si>
  <si>
    <t>Cinema/teatro</t>
  </si>
  <si>
    <t>Previsão</t>
  </si>
  <si>
    <t>Subtotal</t>
  </si>
  <si>
    <t>1º semestre</t>
  </si>
  <si>
    <t>2º semestre</t>
  </si>
  <si>
    <t>Calma...  Com planejamento e disciplina é possível reverter o jogo.</t>
  </si>
  <si>
    <t>O envolvimento familiar é fundamental , em todas as etapas  !!!!</t>
  </si>
  <si>
    <t xml:space="preserve">Ótimo, agora veja aproveitar os benefícios de ter o saldo positivo </t>
  </si>
  <si>
    <t>Poupar é:</t>
  </si>
  <si>
    <t>Um bom poupador poupa de forma programada.</t>
  </si>
  <si>
    <t xml:space="preserve">E não apenas eventualmente, quando sobra algum dinheiro. </t>
  </si>
  <si>
    <t>5 Passos para sair do sufoco:</t>
  </si>
  <si>
    <t xml:space="preserve">A esposa/marido ou namorada(o) pode ajudar e muito a controlar as despesas e a eleger prioridades. </t>
  </si>
  <si>
    <r>
      <rPr>
        <sz val="11"/>
        <color indexed="60"/>
        <rFont val="Calibri"/>
        <family val="2"/>
      </rPr>
      <t>Sinais de alerta:</t>
    </r>
    <r>
      <rPr>
        <sz val="11"/>
        <rFont val="Calibri"/>
        <family val="2"/>
      </rPr>
      <t xml:space="preserve">
- Nunca conseguir ficar no “azul” antes de receber o próximo salário
- Atraso no pagamento de contas e crédito, como no caso de cartões, por vários meses consecutivos
- Não conseguir “cobrir” o valor do cheque especial</t>
    </r>
  </si>
  <si>
    <t xml:space="preserve">Meu saldo está positivo: próximos passos! </t>
  </si>
  <si>
    <t xml:space="preserve">Como utilizar sua planilha de Gestão do Orçamento  </t>
  </si>
  <si>
    <r>
      <t xml:space="preserve">ü </t>
    </r>
    <r>
      <rPr>
        <sz val="20"/>
        <color indexed="63"/>
        <rFont val="Calibri"/>
        <family val="2"/>
      </rPr>
      <t>Aumentar patrimônio</t>
    </r>
  </si>
  <si>
    <r>
      <t xml:space="preserve">ü </t>
    </r>
    <r>
      <rPr>
        <sz val="20"/>
        <color indexed="63"/>
        <rFont val="Calibri"/>
        <family val="2"/>
      </rPr>
      <t>Se preparar para imprevistos</t>
    </r>
  </si>
  <si>
    <r>
      <t xml:space="preserve">ü </t>
    </r>
    <r>
      <rPr>
        <sz val="20"/>
        <color indexed="63"/>
        <rFont val="Calibri"/>
        <family val="2"/>
      </rPr>
      <t>Poder programar a realização de seus projetos de vida</t>
    </r>
  </si>
  <si>
    <r>
      <t xml:space="preserve">Acesse: </t>
    </r>
    <r>
      <rPr>
        <u/>
        <sz val="16"/>
        <rFont val="Calibri"/>
        <family val="2"/>
      </rPr>
      <t>www.santander.com.br/investimentos</t>
    </r>
    <r>
      <rPr>
        <sz val="16"/>
        <rFont val="Calibri"/>
        <family val="2"/>
      </rPr>
      <t xml:space="preserve"> para simular quanto você precisa poupar para atingir seus objetivos. Aproveite e veja alternativas de investimentos para ajudá-lo neste caminho.</t>
    </r>
  </si>
  <si>
    <t>Meu saldo está negativo… e agora?</t>
  </si>
  <si>
    <t>O primeiro passo é colocar todas as contas na ponta do lápis e ver de que forma você pode aumentar suas receitas e/ou reduzir suas despesas, para que seu saldo se torne positivo. 
Agora levante quais as dívidas que você tem e quanto somam. Além disso, qual a taxa de juros de cada uma delas. 
Em seguida, procure renegociar as dívidas. Converse com seu gerente e verifique as alternativas para trocar suas velhas dívidas por uma nova dívida, com taxas de juros menores e que caiba no seu orçamento (atenção ao prazo da dívida e ao valor da parcela).</t>
  </si>
  <si>
    <t xml:space="preserve">Um dos principais passos para termos uma vida financeira mais organizada e equilibrada é o controle do quanto ganhamos e do quando e como gastamos. Uma planilha de orçamento familiar é uma ótima opção para ajudar nesta organização. </t>
  </si>
  <si>
    <r>
      <rPr>
        <sz val="12"/>
        <color indexed="8"/>
        <rFont val="Calibri"/>
        <family val="2"/>
      </rPr>
      <t xml:space="preserve">Exemplo: todo início de ano, nos meses de janeiro e fevereiro há uma série de compromissos, ipva, iptu, materiais escolares e matrícula (para quem tem filhos). Todo ano ficamos “apertados” nessa época e acabamos usando mais do que devíamos cheque especial e cartão de crédito. Para evitarmos essa situação e sabendo do valor das contas, podemos guardar um pouco por mês ou parte do 13° salário para evitar maiores problemas.
</t>
    </r>
    <r>
      <rPr>
        <sz val="16"/>
        <color indexed="60"/>
        <rFont val="Calibri"/>
        <family val="2"/>
      </rPr>
      <t xml:space="preserve">
Evite pagar juros ou multas desnecessariamente! </t>
    </r>
  </si>
  <si>
    <r>
      <t xml:space="preserve">Clique no botão ao lado para acessar a </t>
    </r>
    <r>
      <rPr>
        <i/>
        <sz val="12"/>
        <color indexed="60"/>
        <rFont val="Calibri"/>
        <family val="2"/>
      </rPr>
      <t>Planilha de Orçamento</t>
    </r>
    <r>
      <rPr>
        <sz val="12"/>
        <color indexed="8"/>
        <rFont val="Calibri"/>
        <family val="2"/>
      </rPr>
      <t xml:space="preserve">. Nela você poderá registrar:
 =&gt; </t>
    </r>
    <r>
      <rPr>
        <b/>
        <sz val="12"/>
        <color indexed="60"/>
        <rFont val="Calibri"/>
        <family val="2"/>
      </rPr>
      <t>Receitas</t>
    </r>
    <r>
      <rPr>
        <sz val="12"/>
        <color indexed="8"/>
        <rFont val="Calibri"/>
        <family val="2"/>
      </rPr>
      <t xml:space="preserve"> (tudo o que ganhamos)
 =&gt; </t>
    </r>
    <r>
      <rPr>
        <b/>
        <sz val="12"/>
        <color indexed="60"/>
        <rFont val="Calibri"/>
        <family val="2"/>
      </rPr>
      <t>Investimentos</t>
    </r>
    <r>
      <rPr>
        <sz val="12"/>
        <color indexed="8"/>
        <rFont val="Calibri"/>
        <family val="2"/>
      </rPr>
      <t xml:space="preserve"> (o que gardamos para realizar nosso planos e sonhos, ou para eventuais imprevistos)
 =&gt; </t>
    </r>
    <r>
      <rPr>
        <b/>
        <sz val="12"/>
        <color indexed="60"/>
        <rFont val="Calibri"/>
        <family val="2"/>
      </rPr>
      <t>Despesas:</t>
    </r>
    <r>
      <rPr>
        <sz val="12"/>
        <color indexed="8"/>
        <rFont val="Calibri"/>
        <family val="2"/>
      </rPr>
      <t xml:space="preserve"> 
    - Fixas: aquelas que tem o mesmo montante mensalmente
    - Variáveis: aquelas que geralmente acontecem todos os meses, mas com valores variáveis
    - Eventuais:  são despesas que não ocorrem todos os meses mas que precisamos estar preparados quando acontecerem</t>
    </r>
  </si>
  <si>
    <r>
      <rPr>
        <sz val="12"/>
        <color indexed="8"/>
        <rFont val="Calibri"/>
        <family val="2"/>
      </rPr>
      <t xml:space="preserve">Na coluna "orçado", você poderá registrar uma estimativa do que você imagina receber e gastar mensalmente. Já nas colunas dos meses você registra o que realmente aconteceu em cada mês.
Também é importante termos um calendário financeiro (veja um exemplo abaixo). Desta forma, podemos nos organizar mês a mês, inclusive fazendo reservas antecipadamente para lidar com estes gastos.
Após preencher a planilha, você poderá se ver em duas situações: </t>
    </r>
    <r>
      <rPr>
        <i/>
        <sz val="12"/>
        <color indexed="60"/>
        <rFont val="Calibri"/>
        <family val="2"/>
      </rPr>
      <t>saldo positivo</t>
    </r>
    <r>
      <rPr>
        <sz val="12"/>
        <color indexed="8"/>
        <rFont val="Calibri"/>
        <family val="2"/>
      </rPr>
      <t xml:space="preserve"> ou </t>
    </r>
    <r>
      <rPr>
        <i/>
        <sz val="12"/>
        <color indexed="60"/>
        <rFont val="Calibri"/>
        <family val="2"/>
      </rPr>
      <t>saldo negativo</t>
    </r>
    <r>
      <rPr>
        <sz val="12"/>
        <color indexed="8"/>
        <rFont val="Calibri"/>
        <family val="2"/>
      </rPr>
      <t>. Clique nos botões ao lado para ver nossas sugestões para cada caso.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</si>
</sst>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#,##0.00;[Red]\-#,##0.00;&quot;-&quot;??"/>
    <numFmt numFmtId="166" formatCode="_(&quot;R$&quot;* #,##0.00_);_(&quot;R$&quot;* \(#,##0.00\);_(&quot;R$&quot;* &quot;-&quot;??_);_(@_)"/>
    <numFmt numFmtId="167" formatCode="_([$€]* #,##0.00_);_([$€]* \(#,##0.00\);_([$€]* &quot;-&quot;??_);_(@_)"/>
    <numFmt numFmtId="168" formatCode="mmm"/>
  </numFmts>
  <fonts count="53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sz val="16"/>
      <name val="Calibri"/>
      <family val="2"/>
    </font>
    <font>
      <sz val="11"/>
      <color indexed="60"/>
      <name val="Calibri"/>
      <family val="2"/>
    </font>
    <font>
      <sz val="12"/>
      <color indexed="8"/>
      <name val="Calibri"/>
      <family val="2"/>
    </font>
    <font>
      <sz val="20"/>
      <color indexed="63"/>
      <name val="Calibri"/>
      <family val="2"/>
    </font>
    <font>
      <u/>
      <sz val="16"/>
      <name val="Calibri"/>
      <family val="2"/>
    </font>
    <font>
      <sz val="16"/>
      <color indexed="60"/>
      <name val="Calibri"/>
      <family val="2"/>
    </font>
    <font>
      <b/>
      <sz val="12"/>
      <color indexed="60"/>
      <name val="Calibri"/>
      <family val="2"/>
    </font>
    <font>
      <i/>
      <sz val="12"/>
      <color indexed="60"/>
      <name val="Calibri"/>
      <family val="2"/>
    </font>
    <font>
      <sz val="10"/>
      <name val="Calibri"/>
      <family val="2"/>
      <scheme val="minor"/>
    </font>
    <font>
      <sz val="14"/>
      <name val="Calibri"/>
      <family val="2"/>
      <scheme val="minor"/>
    </font>
    <font>
      <sz val="9"/>
      <name val="Calibri"/>
      <family val="2"/>
      <scheme val="minor"/>
    </font>
    <font>
      <sz val="10"/>
      <color indexed="9"/>
      <name val="Calibri"/>
      <family val="2"/>
      <scheme val="minor"/>
    </font>
    <font>
      <sz val="9"/>
      <color indexed="9"/>
      <name val="Calibri"/>
      <family val="2"/>
      <scheme val="minor"/>
    </font>
    <font>
      <sz val="10"/>
      <color rgb="FFC00000"/>
      <name val="Arial"/>
      <family val="2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6"/>
      <color indexed="9"/>
      <name val="Calibri"/>
      <family val="2"/>
      <scheme val="minor"/>
    </font>
    <font>
      <sz val="13"/>
      <name val="Calibri"/>
      <family val="2"/>
      <scheme val="minor"/>
    </font>
    <font>
      <sz val="9"/>
      <color indexed="62"/>
      <name val="Calibri"/>
      <family val="2"/>
      <scheme val="minor"/>
    </font>
    <font>
      <sz val="9"/>
      <color indexed="63"/>
      <name val="Calibri"/>
      <family val="2"/>
      <scheme val="minor"/>
    </font>
    <font>
      <sz val="16"/>
      <name val="Calibri"/>
      <family val="2"/>
      <scheme val="minor"/>
    </font>
    <font>
      <b/>
      <sz val="9"/>
      <color indexed="9"/>
      <name val="Calibri"/>
      <family val="2"/>
      <scheme val="minor"/>
    </font>
    <font>
      <b/>
      <sz val="10"/>
      <color indexed="6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2"/>
      <color rgb="FFFF0000"/>
      <name val="Wingdings"/>
      <charset val="2"/>
    </font>
    <font>
      <sz val="20"/>
      <color rgb="FF404040"/>
      <name val="Calibri"/>
      <family val="2"/>
      <scheme val="minor"/>
    </font>
    <font>
      <sz val="24"/>
      <color rgb="FFC00000"/>
      <name val="Calibri"/>
      <family val="2"/>
      <scheme val="minor"/>
    </font>
    <font>
      <sz val="12"/>
      <name val="Calibri"/>
      <family val="2"/>
      <scheme val="minor"/>
    </font>
    <font>
      <sz val="36"/>
      <color rgb="FFC00000"/>
      <name val="Calibri"/>
      <family val="2"/>
      <scheme val="minor"/>
    </font>
    <font>
      <sz val="20"/>
      <color theme="0"/>
      <name val="Calibri"/>
      <family val="2"/>
      <scheme val="minor"/>
    </font>
    <font>
      <sz val="9"/>
      <color indexed="23"/>
      <name val="Calibri"/>
      <family val="2"/>
      <scheme val="minor"/>
    </font>
    <font>
      <sz val="10"/>
      <color indexed="53"/>
      <name val="Calibri"/>
      <family val="2"/>
      <scheme val="minor"/>
    </font>
    <font>
      <sz val="10"/>
      <color indexed="20"/>
      <name val="Calibri"/>
      <family val="2"/>
      <scheme val="minor"/>
    </font>
    <font>
      <sz val="10"/>
      <color indexed="17"/>
      <name val="Calibri"/>
      <family val="2"/>
      <scheme val="minor"/>
    </font>
    <font>
      <sz val="10"/>
      <color indexed="6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rgb="FFC00000"/>
      <name val="Calibri"/>
      <family val="2"/>
      <scheme val="minor"/>
    </font>
    <font>
      <sz val="12"/>
      <color theme="1" tint="4.9989318521683403E-2"/>
      <name val="Calibri"/>
      <family val="2"/>
    </font>
    <font>
      <sz val="20"/>
      <color rgb="FFC0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1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E3B37"/>
        <bgColor indexed="64"/>
      </patternFill>
    </fill>
  </fills>
  <borders count="6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rgb="FFC00000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 style="thin">
        <color rgb="FFC00000"/>
      </left>
      <right style="thin">
        <color rgb="FFC00000"/>
      </right>
      <top style="medium">
        <color rgb="FFC00000"/>
      </top>
      <bottom/>
      <diagonal/>
    </border>
    <border>
      <left style="thin">
        <color indexed="55"/>
      </left>
      <right style="thin">
        <color indexed="55"/>
      </right>
      <top style="medium">
        <color rgb="FFC00000"/>
      </top>
      <bottom style="thin">
        <color indexed="55"/>
      </bottom>
      <diagonal/>
    </border>
    <border>
      <left/>
      <right style="thin">
        <color indexed="9"/>
      </right>
      <top/>
      <bottom style="medium">
        <color rgb="FFC00000"/>
      </bottom>
      <diagonal/>
    </border>
    <border>
      <left style="thin">
        <color indexed="22"/>
      </left>
      <right style="medium">
        <color rgb="FFC00000"/>
      </right>
      <top style="medium">
        <color rgb="FFC00000"/>
      </top>
      <bottom style="thin">
        <color indexed="9"/>
      </bottom>
      <diagonal/>
    </border>
    <border>
      <left style="thin">
        <color indexed="22"/>
      </left>
      <right style="medium">
        <color rgb="FFC00000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medium">
        <color rgb="FFC00000"/>
      </right>
      <top style="thin">
        <color indexed="9"/>
      </top>
      <bottom/>
      <diagonal/>
    </border>
    <border>
      <left style="thin">
        <color indexed="22"/>
      </left>
      <right style="medium">
        <color rgb="FFC00000"/>
      </right>
      <top style="thin">
        <color indexed="9"/>
      </top>
      <bottom style="thin">
        <color indexed="22"/>
      </bottom>
      <diagonal/>
    </border>
    <border>
      <left/>
      <right style="thin">
        <color indexed="22"/>
      </right>
      <top/>
      <bottom style="medium">
        <color rgb="FFC00000"/>
      </bottom>
      <diagonal/>
    </border>
    <border>
      <left style="thin">
        <color indexed="22"/>
      </left>
      <right style="thin">
        <color indexed="22"/>
      </right>
      <top/>
      <bottom style="medium">
        <color rgb="FFC00000"/>
      </bottom>
      <diagonal/>
    </border>
    <border>
      <left style="thin">
        <color indexed="22"/>
      </left>
      <right style="medium">
        <color rgb="FFC00000"/>
      </right>
      <top/>
      <bottom style="thin">
        <color indexed="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rgb="FFC00000"/>
      </bottom>
      <diagonal/>
    </border>
    <border>
      <left style="thin">
        <color theme="1" tint="0.499984740745262"/>
      </left>
      <right style="medium">
        <color rgb="FFC00000"/>
      </right>
      <top style="thin">
        <color theme="1" tint="0.499984740745262"/>
      </top>
      <bottom style="medium">
        <color rgb="FFC00000"/>
      </bottom>
      <diagonal/>
    </border>
    <border>
      <left style="thin">
        <color indexed="22"/>
      </left>
      <right style="medium">
        <color rgb="FFC00000"/>
      </right>
      <top style="thin">
        <color indexed="22"/>
      </top>
      <bottom style="thin">
        <color indexed="9"/>
      </bottom>
      <diagonal/>
    </border>
    <border>
      <left style="thin">
        <color indexed="22"/>
      </left>
      <right style="medium">
        <color rgb="FFC00000"/>
      </right>
      <top/>
      <bottom/>
      <diagonal/>
    </border>
    <border>
      <left style="thin">
        <color indexed="22"/>
      </left>
      <right style="medium">
        <color rgb="FFC00000"/>
      </right>
      <top style="thin">
        <color indexed="22"/>
      </top>
      <bottom/>
      <diagonal/>
    </border>
    <border>
      <left style="thin">
        <color rgb="FFC00000"/>
      </left>
      <right style="thin">
        <color rgb="FFC00000"/>
      </right>
      <top/>
      <bottom style="double">
        <color rgb="FFC00000"/>
      </bottom>
      <diagonal/>
    </border>
    <border>
      <left style="thin">
        <color indexed="22"/>
      </left>
      <right style="medium">
        <color rgb="FFC00000"/>
      </right>
      <top style="double">
        <color rgb="FFC00000"/>
      </top>
      <bottom style="thin">
        <color indexed="9"/>
      </bottom>
      <diagonal/>
    </border>
    <border>
      <left style="thin">
        <color rgb="FFC00000"/>
      </left>
      <right style="thin">
        <color rgb="FFC00000"/>
      </right>
      <top/>
      <bottom/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medium">
        <color rgb="FFC00000"/>
      </top>
      <bottom style="thin">
        <color indexed="9"/>
      </bottom>
      <diagonal/>
    </border>
    <border>
      <left/>
      <right style="medium">
        <color rgb="FFC00000"/>
      </right>
      <top style="thin">
        <color indexed="9"/>
      </top>
      <bottom style="thin">
        <color indexed="9"/>
      </bottom>
      <diagonal/>
    </border>
    <border>
      <left/>
      <right style="medium">
        <color rgb="FFC00000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medium">
        <color rgb="FFC00000"/>
      </bottom>
      <diagonal/>
    </border>
    <border>
      <left style="thin">
        <color indexed="9"/>
      </left>
      <right style="medium">
        <color rgb="FFC00000"/>
      </right>
      <top style="thin">
        <color indexed="9"/>
      </top>
      <bottom style="medium">
        <color rgb="FFC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rgb="FFC00000"/>
      </bottom>
      <diagonal/>
    </border>
    <border>
      <left style="thin">
        <color theme="1" tint="0.499984740745262"/>
      </left>
      <right style="medium">
        <color rgb="FFC00000"/>
      </right>
      <top style="thin">
        <color theme="1" tint="0.499984740745262"/>
      </top>
      <bottom style="double">
        <color rgb="FFC00000"/>
      </bottom>
      <diagonal/>
    </border>
    <border>
      <left style="thin">
        <color indexed="22"/>
      </left>
      <right style="thin">
        <color indexed="22"/>
      </right>
      <top style="medium">
        <color rgb="FFC0000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double">
        <color rgb="FFC00000"/>
      </top>
      <bottom style="thin">
        <color indexed="22"/>
      </bottom>
      <diagonal/>
    </border>
    <border>
      <left/>
      <right style="thin">
        <color indexed="22"/>
      </right>
      <top style="medium">
        <color rgb="FFC00000"/>
      </top>
      <bottom style="thin">
        <color indexed="22"/>
      </bottom>
      <diagonal/>
    </border>
    <border>
      <left style="double">
        <color rgb="FFC00000"/>
      </left>
      <right style="double">
        <color rgb="FFC00000"/>
      </right>
      <top/>
      <bottom style="double">
        <color rgb="FFC00000"/>
      </bottom>
      <diagonal/>
    </border>
    <border>
      <left style="double">
        <color rgb="FFC00000"/>
      </left>
      <right style="double">
        <color rgb="FFC00000"/>
      </right>
      <top/>
      <bottom/>
      <diagonal/>
    </border>
    <border>
      <left style="double">
        <color rgb="FFC00000"/>
      </left>
      <right style="double">
        <color rgb="FFC00000"/>
      </right>
      <top style="double">
        <color rgb="FFC00000"/>
      </top>
      <bottom/>
      <diagonal/>
    </border>
    <border>
      <left/>
      <right style="thin">
        <color indexed="22"/>
      </right>
      <top style="double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thin">
        <color theme="0"/>
      </right>
      <top style="medium">
        <color rgb="FFC00000"/>
      </top>
      <bottom style="thin">
        <color theme="0" tint="-0.34998626667073579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 style="medium">
        <color rgb="FFC00000"/>
      </left>
      <right/>
      <top/>
      <bottom/>
      <diagonal/>
    </border>
    <border>
      <left/>
      <right style="thin">
        <color indexed="22"/>
      </right>
      <top style="medium">
        <color rgb="FFC00000"/>
      </top>
      <bottom/>
      <diagonal/>
    </border>
    <border>
      <left style="thin">
        <color rgb="FFC00000"/>
      </left>
      <right/>
      <top style="thin">
        <color theme="1" tint="0.499984740745262"/>
      </top>
      <bottom style="double">
        <color rgb="FFC00000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double">
        <color rgb="FFC00000"/>
      </bottom>
      <diagonal/>
    </border>
    <border>
      <left style="thin">
        <color rgb="FFC00000"/>
      </left>
      <right style="thin">
        <color rgb="FFC00000"/>
      </right>
      <top style="double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thin">
        <color theme="0"/>
      </left>
      <right/>
      <top style="medium">
        <color rgb="FFC00000"/>
      </top>
      <bottom/>
      <diagonal/>
    </border>
    <border>
      <left/>
      <right style="thin">
        <color theme="0"/>
      </right>
      <top style="medium">
        <color rgb="FFC00000"/>
      </top>
      <bottom/>
      <diagonal/>
    </border>
    <border>
      <left style="thin">
        <color theme="0"/>
      </left>
      <right/>
      <top style="medium">
        <color rgb="FFC00000"/>
      </top>
      <bottom style="thin">
        <color theme="0" tint="-0.34998626667073579"/>
      </bottom>
      <diagonal/>
    </border>
    <border>
      <left/>
      <right/>
      <top style="medium">
        <color rgb="FFC00000"/>
      </top>
      <bottom style="thin">
        <color theme="0" tint="-0.34998626667073579"/>
      </bottom>
      <diagonal/>
    </border>
    <border>
      <left/>
      <right style="thin">
        <color theme="1" tint="0.499984740745262"/>
      </right>
      <top/>
      <bottom style="medium">
        <color rgb="FFC00000"/>
      </bottom>
      <diagonal/>
    </border>
    <border>
      <left style="thin">
        <color rgb="FFC00000"/>
      </left>
      <right style="thin">
        <color rgb="FFC00000"/>
      </right>
      <top/>
      <bottom style="thin">
        <color theme="0" tint="-0.34998626667073579"/>
      </bottom>
      <diagonal/>
    </border>
    <border>
      <left style="thin">
        <color rgb="FFC00000"/>
      </left>
      <right style="thin">
        <color rgb="FFC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C00000"/>
      </left>
      <right style="thin">
        <color rgb="FFC00000"/>
      </right>
      <top style="thin">
        <color theme="0" tint="-0.34998626667073579"/>
      </top>
      <bottom style="medium">
        <color rgb="FFC00000"/>
      </bottom>
      <diagonal/>
    </border>
  </borders>
  <cellStyleXfs count="13">
    <xf numFmtId="0" fontId="0" fillId="0" borderId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Protection="0">
      <alignment horizontal="left"/>
    </xf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Protection="0">
      <alignment horizontal="left"/>
    </xf>
    <xf numFmtId="0" fontId="3" fillId="0" borderId="2" applyNumberFormat="0" applyFill="0" applyAlignment="0" applyProtection="0"/>
    <xf numFmtId="0" fontId="2" fillId="0" borderId="0" applyNumberFormat="0" applyFont="0" applyFill="0" applyBorder="0" applyAlignment="0" applyProtection="0"/>
  </cellStyleXfs>
  <cellXfs count="178">
    <xf numFmtId="0" fontId="0" fillId="0" borderId="0" xfId="0"/>
    <xf numFmtId="0" fontId="15" fillId="0" borderId="0" xfId="0" applyFont="1" applyBorder="1"/>
    <xf numFmtId="0" fontId="16" fillId="0" borderId="0" xfId="0" applyFont="1" applyBorder="1"/>
    <xf numFmtId="0" fontId="15" fillId="0" borderId="0" xfId="0" applyFont="1"/>
    <xf numFmtId="164" fontId="15" fillId="0" borderId="0" xfId="0" applyNumberFormat="1" applyFont="1" applyBorder="1"/>
    <xf numFmtId="0" fontId="17" fillId="0" borderId="3" xfId="0" applyFont="1" applyFill="1" applyBorder="1" applyAlignment="1">
      <alignment horizontal="left"/>
    </xf>
    <xf numFmtId="0" fontId="17" fillId="3" borderId="1" xfId="0" applyFont="1" applyFill="1" applyBorder="1"/>
    <xf numFmtId="0" fontId="18" fillId="4" borderId="0" xfId="0" applyFont="1" applyFill="1" applyBorder="1" applyAlignment="1">
      <alignment horizontal="left" vertical="center"/>
    </xf>
    <xf numFmtId="0" fontId="17" fillId="3" borderId="4" xfId="0" applyFont="1" applyFill="1" applyBorder="1"/>
    <xf numFmtId="0" fontId="15" fillId="0" borderId="0" xfId="0" applyFont="1" applyBorder="1" applyAlignment="1">
      <alignment horizontal="center"/>
    </xf>
    <xf numFmtId="0" fontId="19" fillId="4" borderId="0" xfId="0" applyFont="1" applyFill="1" applyBorder="1" applyAlignment="1">
      <alignment horizontal="left"/>
    </xf>
    <xf numFmtId="0" fontId="20" fillId="4" borderId="11" xfId="0" applyFont="1" applyFill="1" applyBorder="1" applyAlignment="1">
      <alignment horizontal="center"/>
    </xf>
    <xf numFmtId="0" fontId="21" fillId="2" borderId="12" xfId="0" applyFont="1" applyFill="1" applyBorder="1" applyAlignment="1">
      <alignment horizontal="center"/>
    </xf>
    <xf numFmtId="168" fontId="22" fillId="2" borderId="13" xfId="0" applyNumberFormat="1" applyFont="1" applyFill="1" applyBorder="1" applyAlignment="1">
      <alignment horizontal="center"/>
    </xf>
    <xf numFmtId="0" fontId="23" fillId="5" borderId="14" xfId="0" applyFont="1" applyFill="1" applyBorder="1" applyAlignment="1">
      <alignment vertical="top" textRotation="90"/>
    </xf>
    <xf numFmtId="0" fontId="24" fillId="2" borderId="15" xfId="0" applyFont="1" applyFill="1" applyBorder="1" applyAlignment="1">
      <alignment horizontal="left" vertical="top" textRotation="90"/>
    </xf>
    <xf numFmtId="0" fontId="17" fillId="0" borderId="16" xfId="0" applyFont="1" applyFill="1" applyBorder="1" applyAlignment="1">
      <alignment horizontal="left"/>
    </xf>
    <xf numFmtId="0" fontId="18" fillId="4" borderId="17" xfId="0" applyFont="1" applyFill="1" applyBorder="1" applyAlignment="1">
      <alignment horizontal="left" indent="3"/>
    </xf>
    <xf numFmtId="165" fontId="19" fillId="2" borderId="18" xfId="0" applyNumberFormat="1" applyFont="1" applyFill="1" applyBorder="1"/>
    <xf numFmtId="165" fontId="19" fillId="2" borderId="19" xfId="0" applyNumberFormat="1" applyFont="1" applyFill="1" applyBorder="1"/>
    <xf numFmtId="165" fontId="19" fillId="2" borderId="20" xfId="0" applyNumberFormat="1" applyFont="1" applyFill="1" applyBorder="1"/>
    <xf numFmtId="165" fontId="19" fillId="2" borderId="21" xfId="0" applyNumberFormat="1" applyFont="1" applyFill="1" applyBorder="1"/>
    <xf numFmtId="0" fontId="19" fillId="4" borderId="22" xfId="0" applyFont="1" applyFill="1" applyBorder="1"/>
    <xf numFmtId="164" fontId="19" fillId="4" borderId="23" xfId="0" applyNumberFormat="1" applyFont="1" applyFill="1" applyBorder="1" applyAlignment="1">
      <alignment horizontal="right" vertical="center"/>
    </xf>
    <xf numFmtId="165" fontId="19" fillId="4" borderId="11" xfId="0" applyNumberFormat="1" applyFont="1" applyFill="1" applyBorder="1"/>
    <xf numFmtId="165" fontId="19" fillId="2" borderId="24" xfId="0" applyNumberFormat="1" applyFont="1" applyFill="1" applyBorder="1"/>
    <xf numFmtId="0" fontId="19" fillId="4" borderId="5" xfId="0" applyFont="1" applyFill="1" applyBorder="1"/>
    <xf numFmtId="164" fontId="19" fillId="4" borderId="4" xfId="0" applyNumberFormat="1" applyFont="1" applyFill="1" applyBorder="1" applyAlignment="1">
      <alignment horizontal="right" vertical="center"/>
    </xf>
    <xf numFmtId="165" fontId="19" fillId="4" borderId="0" xfId="0" applyNumberFormat="1" applyFont="1" applyFill="1" applyBorder="1"/>
    <xf numFmtId="0" fontId="17" fillId="6" borderId="25" xfId="0" applyFont="1" applyFill="1" applyBorder="1"/>
    <xf numFmtId="9" fontId="17" fillId="6" borderId="25" xfId="7" applyFont="1" applyFill="1" applyBorder="1" applyAlignment="1">
      <alignment horizontal="right" vertical="center"/>
    </xf>
    <xf numFmtId="9" fontId="17" fillId="6" borderId="26" xfId="7" applyFont="1" applyFill="1" applyBorder="1" applyAlignment="1">
      <alignment horizontal="right" vertical="center"/>
    </xf>
    <xf numFmtId="165" fontId="17" fillId="2" borderId="18" xfId="0" applyNumberFormat="1" applyFont="1" applyFill="1" applyBorder="1"/>
    <xf numFmtId="165" fontId="17" fillId="2" borderId="19" xfId="0" applyNumberFormat="1" applyFont="1" applyFill="1" applyBorder="1"/>
    <xf numFmtId="165" fontId="25" fillId="3" borderId="1" xfId="0" applyNumberFormat="1" applyFont="1" applyFill="1" applyBorder="1"/>
    <xf numFmtId="165" fontId="26" fillId="3" borderId="1" xfId="0" applyNumberFormat="1" applyFont="1" applyFill="1" applyBorder="1"/>
    <xf numFmtId="165" fontId="17" fillId="3" borderId="21" xfId="0" applyNumberFormat="1" applyFont="1" applyFill="1" applyBorder="1"/>
    <xf numFmtId="165" fontId="17" fillId="2" borderId="27" xfId="0" applyNumberFormat="1" applyFont="1" applyFill="1" applyBorder="1"/>
    <xf numFmtId="165" fontId="17" fillId="2" borderId="24" xfId="0" applyNumberFormat="1" applyFont="1" applyFill="1" applyBorder="1"/>
    <xf numFmtId="165" fontId="17" fillId="2" borderId="28" xfId="0" applyNumberFormat="1" applyFont="1" applyFill="1" applyBorder="1"/>
    <xf numFmtId="165" fontId="26" fillId="2" borderId="24" xfId="0" applyNumberFormat="1" applyFont="1" applyFill="1" applyBorder="1"/>
    <xf numFmtId="165" fontId="26" fillId="2" borderId="19" xfId="0" applyNumberFormat="1" applyFont="1" applyFill="1" applyBorder="1"/>
    <xf numFmtId="165" fontId="26" fillId="3" borderId="21" xfId="0" applyNumberFormat="1" applyFont="1" applyFill="1" applyBorder="1"/>
    <xf numFmtId="165" fontId="26" fillId="2" borderId="27" xfId="0" applyNumberFormat="1" applyFont="1" applyFill="1" applyBorder="1"/>
    <xf numFmtId="165" fontId="25" fillId="3" borderId="4" xfId="0" applyNumberFormat="1" applyFont="1" applyFill="1" applyBorder="1"/>
    <xf numFmtId="165" fontId="25" fillId="3" borderId="29" xfId="0" applyNumberFormat="1" applyFont="1" applyFill="1" applyBorder="1"/>
    <xf numFmtId="0" fontId="15" fillId="2" borderId="30" xfId="0" applyFont="1" applyFill="1" applyBorder="1"/>
    <xf numFmtId="165" fontId="26" fillId="2" borderId="31" xfId="0" applyNumberFormat="1" applyFont="1" applyFill="1" applyBorder="1"/>
    <xf numFmtId="0" fontId="27" fillId="2" borderId="32" xfId="0" applyFont="1" applyFill="1" applyBorder="1" applyAlignment="1">
      <alignment vertical="center" textRotation="90"/>
    </xf>
    <xf numFmtId="9" fontId="17" fillId="7" borderId="25" xfId="7" applyFont="1" applyFill="1" applyBorder="1" applyAlignment="1">
      <alignment horizontal="right" vertical="center"/>
    </xf>
    <xf numFmtId="164" fontId="28" fillId="4" borderId="33" xfId="0" applyNumberFormat="1" applyFont="1" applyFill="1" applyBorder="1" applyAlignment="1">
      <alignment horizontal="right" vertical="center"/>
    </xf>
    <xf numFmtId="164" fontId="28" fillId="4" borderId="34" xfId="0" applyNumberFormat="1" applyFont="1" applyFill="1" applyBorder="1" applyAlignment="1">
      <alignment horizontal="right" vertical="center"/>
    </xf>
    <xf numFmtId="164" fontId="19" fillId="4" borderId="0" xfId="0" applyNumberFormat="1" applyFont="1" applyFill="1" applyBorder="1"/>
    <xf numFmtId="164" fontId="28" fillId="4" borderId="34" xfId="0" applyNumberFormat="1" applyFont="1" applyFill="1" applyBorder="1"/>
    <xf numFmtId="165" fontId="29" fillId="7" borderId="16" xfId="0" applyNumberFormat="1" applyFont="1" applyFill="1" applyBorder="1"/>
    <xf numFmtId="165" fontId="30" fillId="0" borderId="16" xfId="0" applyNumberFormat="1" applyFont="1" applyFill="1" applyBorder="1"/>
    <xf numFmtId="165" fontId="31" fillId="4" borderId="35" xfId="0" applyNumberFormat="1" applyFont="1" applyFill="1" applyBorder="1"/>
    <xf numFmtId="165" fontId="29" fillId="7" borderId="3" xfId="0" applyNumberFormat="1" applyFont="1" applyFill="1" applyBorder="1"/>
    <xf numFmtId="165" fontId="30" fillId="0" borderId="3" xfId="0" applyNumberFormat="1" applyFont="1" applyFill="1" applyBorder="1"/>
    <xf numFmtId="165" fontId="31" fillId="4" borderId="36" xfId="0" applyNumberFormat="1" applyFont="1" applyFill="1" applyBorder="1"/>
    <xf numFmtId="165" fontId="29" fillId="7" borderId="6" xfId="0" applyNumberFormat="1" applyFont="1" applyFill="1" applyBorder="1"/>
    <xf numFmtId="165" fontId="30" fillId="0" borderId="6" xfId="0" applyNumberFormat="1" applyFont="1" applyFill="1" applyBorder="1"/>
    <xf numFmtId="165" fontId="31" fillId="4" borderId="37" xfId="0" applyNumberFormat="1" applyFont="1" applyFill="1" applyBorder="1"/>
    <xf numFmtId="165" fontId="31" fillId="4" borderId="38" xfId="0" applyNumberFormat="1" applyFont="1" applyFill="1" applyBorder="1"/>
    <xf numFmtId="164" fontId="31" fillId="4" borderId="39" xfId="0" applyNumberFormat="1" applyFont="1" applyFill="1" applyBorder="1"/>
    <xf numFmtId="9" fontId="17" fillId="7" borderId="40" xfId="7" applyFont="1" applyFill="1" applyBorder="1" applyAlignment="1">
      <alignment horizontal="right" vertical="center"/>
    </xf>
    <xf numFmtId="9" fontId="17" fillId="6" borderId="40" xfId="7" applyFont="1" applyFill="1" applyBorder="1" applyAlignment="1">
      <alignment horizontal="right" vertical="center"/>
    </xf>
    <xf numFmtId="9" fontId="17" fillId="6" borderId="41" xfId="7" applyFont="1" applyFill="1" applyBorder="1" applyAlignment="1">
      <alignment horizontal="right" vertical="center"/>
    </xf>
    <xf numFmtId="0" fontId="30" fillId="2" borderId="32" xfId="0" applyFont="1" applyFill="1" applyBorder="1"/>
    <xf numFmtId="0" fontId="30" fillId="2" borderId="30" xfId="0" applyFont="1" applyFill="1" applyBorder="1"/>
    <xf numFmtId="0" fontId="32" fillId="0" borderId="0" xfId="0" applyFont="1" applyAlignment="1">
      <alignment horizontal="left" indent="3" readingOrder="1"/>
    </xf>
    <xf numFmtId="0" fontId="33" fillId="0" borderId="0" xfId="0" applyFont="1" applyAlignment="1">
      <alignment horizontal="left" readingOrder="1"/>
    </xf>
    <xf numFmtId="0" fontId="34" fillId="0" borderId="0" xfId="0" applyFont="1" applyAlignment="1">
      <alignment horizontal="left" readingOrder="1"/>
    </xf>
    <xf numFmtId="0" fontId="35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27" fillId="0" borderId="0" xfId="0" applyFont="1" applyAlignment="1">
      <alignment horizontal="center" wrapText="1"/>
    </xf>
    <xf numFmtId="0" fontId="36" fillId="0" borderId="0" xfId="0" applyFont="1" applyAlignment="1">
      <alignment horizontal="left" readingOrder="1"/>
    </xf>
    <xf numFmtId="0" fontId="37" fillId="8" borderId="0" xfId="0" applyFont="1" applyFill="1" applyAlignment="1">
      <alignment horizontal="center" readingOrder="1"/>
    </xf>
    <xf numFmtId="0" fontId="35" fillId="0" borderId="0" xfId="0" applyFont="1" applyAlignment="1">
      <alignment vertical="center" wrapText="1"/>
    </xf>
    <xf numFmtId="0" fontId="15" fillId="0" borderId="0" xfId="0" applyFont="1" applyBorder="1" applyProtection="1">
      <protection locked="0"/>
    </xf>
    <xf numFmtId="0" fontId="15" fillId="0" borderId="0" xfId="0" applyFont="1" applyBorder="1" applyAlignment="1" applyProtection="1">
      <alignment horizontal="center"/>
      <protection locked="0"/>
    </xf>
    <xf numFmtId="165" fontId="25" fillId="7" borderId="42" xfId="0" applyNumberFormat="1" applyFont="1" applyFill="1" applyBorder="1" applyProtection="1">
      <protection locked="0"/>
    </xf>
    <xf numFmtId="165" fontId="38" fillId="0" borderId="42" xfId="0" applyNumberFormat="1" applyFont="1" applyFill="1" applyBorder="1" applyProtection="1">
      <protection locked="0"/>
    </xf>
    <xf numFmtId="165" fontId="25" fillId="7" borderId="1" xfId="0" applyNumberFormat="1" applyFont="1" applyFill="1" applyBorder="1" applyProtection="1">
      <protection locked="0"/>
    </xf>
    <xf numFmtId="165" fontId="38" fillId="0" borderId="1" xfId="0" applyNumberFormat="1" applyFont="1" applyFill="1" applyBorder="1" applyProtection="1">
      <protection locked="0"/>
    </xf>
    <xf numFmtId="165" fontId="25" fillId="7" borderId="43" xfId="0" applyNumberFormat="1" applyFont="1" applyFill="1" applyBorder="1" applyProtection="1">
      <protection locked="0"/>
    </xf>
    <xf numFmtId="165" fontId="38" fillId="0" borderId="43" xfId="0" applyNumberFormat="1" applyFont="1" applyFill="1" applyBorder="1" applyProtection="1">
      <protection locked="0"/>
    </xf>
    <xf numFmtId="165" fontId="25" fillId="7" borderId="1" xfId="0" applyNumberFormat="1" applyFont="1" applyFill="1" applyBorder="1" applyAlignment="1" applyProtection="1">
      <protection locked="0"/>
    </xf>
    <xf numFmtId="165" fontId="25" fillId="7" borderId="7" xfId="0" applyNumberFormat="1" applyFont="1" applyFill="1" applyBorder="1" applyProtection="1">
      <protection locked="0"/>
    </xf>
    <xf numFmtId="165" fontId="38" fillId="0" borderId="7" xfId="0" applyNumberFormat="1" applyFont="1" applyFill="1" applyBorder="1" applyProtection="1">
      <protection locked="0"/>
    </xf>
    <xf numFmtId="164" fontId="15" fillId="0" borderId="0" xfId="0" applyNumberFormat="1" applyFont="1" applyBorder="1" applyProtection="1">
      <protection locked="0"/>
    </xf>
    <xf numFmtId="0" fontId="15" fillId="0" borderId="0" xfId="0" applyFont="1" applyFill="1" applyBorder="1" applyAlignment="1" applyProtection="1">
      <alignment horizontal="center"/>
      <protection locked="0"/>
    </xf>
    <xf numFmtId="0" fontId="39" fillId="0" borderId="0" xfId="0" applyFont="1" applyFill="1" applyBorder="1" applyProtection="1">
      <protection locked="0"/>
    </xf>
    <xf numFmtId="0" fontId="40" fillId="0" borderId="0" xfId="0" applyFont="1" applyFill="1" applyBorder="1" applyProtection="1">
      <protection locked="0"/>
    </xf>
    <xf numFmtId="0" fontId="41" fillId="0" borderId="0" xfId="0" applyFont="1" applyFill="1" applyBorder="1" applyProtection="1">
      <protection locked="0"/>
    </xf>
    <xf numFmtId="0" fontId="16" fillId="0" borderId="0" xfId="0" applyFont="1" applyBorder="1" applyProtection="1">
      <protection locked="0"/>
    </xf>
    <xf numFmtId="0" fontId="15" fillId="0" borderId="0" xfId="0" applyFont="1" applyProtection="1">
      <protection locked="0"/>
    </xf>
    <xf numFmtId="0" fontId="15" fillId="0" borderId="0" xfId="0" applyFont="1" applyAlignment="1" applyProtection="1">
      <alignment horizontal="center"/>
      <protection locked="0"/>
    </xf>
    <xf numFmtId="0" fontId="17" fillId="0" borderId="0" xfId="0" applyFont="1" applyFill="1" applyProtection="1">
      <protection locked="0"/>
    </xf>
    <xf numFmtId="0" fontId="25" fillId="0" borderId="0" xfId="0" applyFont="1" applyFill="1" applyProtection="1">
      <protection locked="0"/>
    </xf>
    <xf numFmtId="164" fontId="17" fillId="0" borderId="0" xfId="0" applyNumberFormat="1" applyFont="1" applyFill="1" applyProtection="1">
      <protection locked="0"/>
    </xf>
    <xf numFmtId="0" fontId="17" fillId="0" borderId="0" xfId="0" applyFont="1" applyProtection="1">
      <protection locked="0"/>
    </xf>
    <xf numFmtId="0" fontId="17" fillId="0" borderId="0" xfId="0" applyFont="1" applyBorder="1" applyProtection="1">
      <protection locked="0"/>
    </xf>
    <xf numFmtId="0" fontId="25" fillId="0" borderId="0" xfId="0" applyFont="1" applyBorder="1" applyProtection="1">
      <protection locked="0"/>
    </xf>
    <xf numFmtId="164" fontId="17" fillId="0" borderId="0" xfId="0" applyNumberFormat="1" applyFont="1" applyBorder="1" applyProtection="1">
      <protection locked="0"/>
    </xf>
    <xf numFmtId="0" fontId="15" fillId="0" borderId="0" xfId="0" applyFont="1" applyFill="1" applyBorder="1" applyProtection="1">
      <protection locked="0"/>
    </xf>
    <xf numFmtId="0" fontId="42" fillId="0" borderId="0" xfId="0" applyFont="1" applyFill="1" applyBorder="1" applyProtection="1">
      <protection locked="0"/>
    </xf>
    <xf numFmtId="164" fontId="15" fillId="0" borderId="0" xfId="0" applyNumberFormat="1" applyFont="1" applyFill="1" applyBorder="1" applyProtection="1">
      <protection locked="0"/>
    </xf>
    <xf numFmtId="0" fontId="17" fillId="0" borderId="44" xfId="0" applyFont="1" applyFill="1" applyBorder="1" applyProtection="1">
      <protection locked="0"/>
    </xf>
    <xf numFmtId="0" fontId="17" fillId="0" borderId="8" xfId="0" applyFont="1" applyFill="1" applyBorder="1" applyProtection="1">
      <protection locked="0"/>
    </xf>
    <xf numFmtId="0" fontId="17" fillId="0" borderId="42" xfId="0" applyFont="1" applyFill="1" applyBorder="1" applyProtection="1">
      <protection locked="0"/>
    </xf>
    <xf numFmtId="0" fontId="17" fillId="0" borderId="1" xfId="0" applyFont="1" applyFill="1" applyBorder="1" applyProtection="1">
      <protection locked="0"/>
    </xf>
    <xf numFmtId="0" fontId="17" fillId="0" borderId="43" xfId="0" applyFont="1" applyFill="1" applyBorder="1" applyProtection="1">
      <protection locked="0"/>
    </xf>
    <xf numFmtId="0" fontId="17" fillId="0" borderId="7" xfId="0" applyFont="1" applyFill="1" applyBorder="1" applyProtection="1">
      <protection locked="0"/>
    </xf>
    <xf numFmtId="0" fontId="43" fillId="0" borderId="0" xfId="6" applyFont="1"/>
    <xf numFmtId="0" fontId="44" fillId="0" borderId="0" xfId="6" applyFont="1"/>
    <xf numFmtId="0" fontId="45" fillId="0" borderId="0" xfId="6" applyFont="1" applyAlignment="1">
      <alignment wrapText="1"/>
    </xf>
    <xf numFmtId="0" fontId="43" fillId="0" borderId="0" xfId="6" applyFont="1" applyAlignment="1">
      <alignment wrapText="1"/>
    </xf>
    <xf numFmtId="0" fontId="46" fillId="0" borderId="45" xfId="6" applyFont="1" applyBorder="1" applyAlignment="1">
      <alignment horizontal="left" vertical="center" wrapText="1" indent="1"/>
    </xf>
    <xf numFmtId="0" fontId="43" fillId="0" borderId="46" xfId="6" applyFont="1" applyBorder="1"/>
    <xf numFmtId="0" fontId="43" fillId="0" borderId="46" xfId="6" applyFont="1" applyBorder="1" applyAlignment="1">
      <alignment horizontal="left" vertical="center" wrapText="1" indent="1"/>
    </xf>
    <xf numFmtId="0" fontId="43" fillId="0" borderId="47" xfId="6" applyFont="1" applyBorder="1" applyAlignment="1">
      <alignment horizontal="left" vertical="center" wrapText="1" indent="1"/>
    </xf>
    <xf numFmtId="0" fontId="43" fillId="0" borderId="0" xfId="6" applyFont="1" applyAlignment="1">
      <alignment horizontal="center" vertical="center"/>
    </xf>
    <xf numFmtId="0" fontId="47" fillId="0" borderId="0" xfId="6" applyFont="1" applyAlignment="1">
      <alignment horizontal="center" vertical="center"/>
    </xf>
    <xf numFmtId="0" fontId="15" fillId="0" borderId="8" xfId="0" applyFont="1" applyFill="1" applyBorder="1" applyAlignment="1" applyProtection="1">
      <alignment horizontal="center" vertical="center"/>
      <protection locked="0"/>
    </xf>
    <xf numFmtId="0" fontId="15" fillId="0" borderId="48" xfId="0" applyFont="1" applyFill="1" applyBorder="1" applyAlignment="1" applyProtection="1">
      <alignment horizontal="center" vertical="center"/>
      <protection locked="0"/>
    </xf>
    <xf numFmtId="0" fontId="15" fillId="0" borderId="9" xfId="0" applyFont="1" applyFill="1" applyBorder="1" applyAlignment="1" applyProtection="1">
      <alignment horizontal="center" vertical="center"/>
      <protection locked="0"/>
    </xf>
    <xf numFmtId="0" fontId="15" fillId="0" borderId="10" xfId="0" applyFont="1" applyFill="1" applyBorder="1" applyAlignment="1" applyProtection="1">
      <alignment horizontal="center" vertical="center"/>
      <protection locked="0"/>
    </xf>
    <xf numFmtId="0" fontId="15" fillId="0" borderId="5" xfId="0" applyFont="1" applyFill="1" applyBorder="1" applyAlignment="1" applyProtection="1">
      <alignment horizontal="center" vertical="center" wrapText="1"/>
      <protection locked="0"/>
    </xf>
    <xf numFmtId="0" fontId="15" fillId="0" borderId="9" xfId="0" applyFont="1" applyFill="1" applyBorder="1" applyAlignment="1" applyProtection="1">
      <alignment horizontal="center" vertical="center" wrapText="1"/>
      <protection locked="0"/>
    </xf>
    <xf numFmtId="0" fontId="15" fillId="0" borderId="10" xfId="0" applyFont="1" applyFill="1" applyBorder="1" applyAlignment="1" applyProtection="1">
      <alignment horizontal="center" vertical="center" wrapText="1"/>
      <protection locked="0"/>
    </xf>
    <xf numFmtId="0" fontId="50" fillId="2" borderId="32" xfId="0" applyFont="1" applyFill="1" applyBorder="1" applyAlignment="1">
      <alignment horizontal="center" vertical="center" textRotation="90" wrapText="1"/>
    </xf>
    <xf numFmtId="0" fontId="51" fillId="5" borderId="14" xfId="0" applyFont="1" applyFill="1" applyBorder="1" applyAlignment="1">
      <alignment horizontal="left" vertical="center" textRotation="90" wrapText="1"/>
    </xf>
    <xf numFmtId="0" fontId="51" fillId="5" borderId="49" xfId="0" applyFont="1" applyFill="1" applyBorder="1" applyAlignment="1">
      <alignment horizontal="left" vertical="center" textRotation="90" wrapText="1"/>
    </xf>
    <xf numFmtId="0" fontId="51" fillId="5" borderId="52" xfId="0" applyFont="1" applyFill="1" applyBorder="1" applyAlignment="1">
      <alignment horizontal="left" vertical="center" textRotation="90" wrapText="1"/>
    </xf>
    <xf numFmtId="0" fontId="51" fillId="5" borderId="0" xfId="0" applyFont="1" applyFill="1" applyBorder="1" applyAlignment="1">
      <alignment horizontal="left" vertical="center" textRotation="90" wrapText="1"/>
    </xf>
    <xf numFmtId="0" fontId="51" fillId="5" borderId="51" xfId="0" applyFont="1" applyFill="1" applyBorder="1" applyAlignment="1">
      <alignment horizontal="left" vertical="center" textRotation="90" wrapText="1"/>
    </xf>
    <xf numFmtId="0" fontId="51" fillId="5" borderId="11" xfId="0" applyFont="1" applyFill="1" applyBorder="1" applyAlignment="1">
      <alignment horizontal="left" vertical="center" textRotation="90" wrapText="1"/>
    </xf>
    <xf numFmtId="0" fontId="15" fillId="0" borderId="53" xfId="0" applyFont="1" applyFill="1" applyBorder="1" applyAlignment="1" applyProtection="1">
      <alignment horizontal="center" vertical="center" wrapText="1"/>
      <protection locked="0"/>
    </xf>
    <xf numFmtId="9" fontId="15" fillId="6" borderId="54" xfId="7" applyFont="1" applyFill="1" applyBorder="1" applyAlignment="1">
      <alignment horizontal="left" vertical="center"/>
    </xf>
    <xf numFmtId="9" fontId="15" fillId="6" borderId="55" xfId="7" applyFont="1" applyFill="1" applyBorder="1" applyAlignment="1">
      <alignment horizontal="left" vertical="center"/>
    </xf>
    <xf numFmtId="0" fontId="50" fillId="2" borderId="56" xfId="0" applyFont="1" applyFill="1" applyBorder="1" applyAlignment="1">
      <alignment horizontal="center" vertical="center" textRotation="90"/>
    </xf>
    <xf numFmtId="0" fontId="50" fillId="2" borderId="32" xfId="0" applyFont="1" applyFill="1" applyBorder="1" applyAlignment="1">
      <alignment horizontal="center" vertical="center" textRotation="90"/>
    </xf>
    <xf numFmtId="0" fontId="18" fillId="4" borderId="0" xfId="0" applyFont="1" applyFill="1" applyBorder="1" applyAlignment="1">
      <alignment horizontal="left" vertical="center"/>
    </xf>
    <xf numFmtId="0" fontId="52" fillId="0" borderId="11" xfId="0" applyFont="1" applyFill="1" applyBorder="1" applyAlignment="1">
      <alignment horizontal="center" vertical="center"/>
    </xf>
    <xf numFmtId="0" fontId="15" fillId="0" borderId="5" xfId="0" applyFont="1" applyFill="1" applyBorder="1" applyAlignment="1" applyProtection="1">
      <alignment horizontal="center" vertical="center"/>
      <protection locked="0"/>
    </xf>
    <xf numFmtId="0" fontId="48" fillId="4" borderId="57" xfId="0" applyFont="1" applyFill="1" applyBorder="1" applyAlignment="1">
      <alignment horizontal="center" vertical="center"/>
    </xf>
    <xf numFmtId="0" fontId="48" fillId="4" borderId="33" xfId="0" applyFont="1" applyFill="1" applyBorder="1" applyAlignment="1">
      <alignment horizontal="center" vertical="center"/>
    </xf>
    <xf numFmtId="164" fontId="48" fillId="4" borderId="58" xfId="0" applyNumberFormat="1" applyFont="1" applyFill="1" applyBorder="1" applyAlignment="1">
      <alignment horizontal="center" vertical="center"/>
    </xf>
    <xf numFmtId="164" fontId="48" fillId="4" borderId="49" xfId="0" applyNumberFormat="1" applyFont="1" applyFill="1" applyBorder="1" applyAlignment="1">
      <alignment horizontal="center" vertical="center"/>
    </xf>
    <xf numFmtId="164" fontId="48" fillId="4" borderId="59" xfId="0" applyNumberFormat="1" applyFont="1" applyFill="1" applyBorder="1" applyAlignment="1">
      <alignment horizontal="center" vertical="center"/>
    </xf>
    <xf numFmtId="164" fontId="48" fillId="4" borderId="60" xfId="0" applyNumberFormat="1" applyFont="1" applyFill="1" applyBorder="1" applyAlignment="1">
      <alignment horizontal="center" vertical="center"/>
    </xf>
    <xf numFmtId="164" fontId="48" fillId="4" borderId="61" xfId="0" applyNumberFormat="1" applyFont="1" applyFill="1" applyBorder="1" applyAlignment="1">
      <alignment horizontal="center" vertical="center"/>
    </xf>
    <xf numFmtId="164" fontId="48" fillId="4" borderId="50" xfId="0" applyNumberFormat="1" applyFont="1" applyFill="1" applyBorder="1" applyAlignment="1">
      <alignment horizontal="center" vertical="center"/>
    </xf>
    <xf numFmtId="0" fontId="51" fillId="4" borderId="14" xfId="0" applyFont="1" applyFill="1" applyBorder="1" applyAlignment="1">
      <alignment horizontal="left" vertical="center" textRotation="90"/>
    </xf>
    <xf numFmtId="0" fontId="51" fillId="4" borderId="49" xfId="0" applyFont="1" applyFill="1" applyBorder="1" applyAlignment="1">
      <alignment horizontal="left" vertical="center" textRotation="90"/>
    </xf>
    <xf numFmtId="0" fontId="51" fillId="4" borderId="52" xfId="0" applyFont="1" applyFill="1" applyBorder="1" applyAlignment="1">
      <alignment horizontal="left" vertical="center" textRotation="90"/>
    </xf>
    <xf numFmtId="0" fontId="51" fillId="4" borderId="0" xfId="0" applyFont="1" applyFill="1" applyBorder="1" applyAlignment="1">
      <alignment horizontal="left" vertical="center" textRotation="90"/>
    </xf>
    <xf numFmtId="0" fontId="51" fillId="4" borderId="51" xfId="0" applyFont="1" applyFill="1" applyBorder="1" applyAlignment="1">
      <alignment horizontal="left" vertical="center" textRotation="90"/>
    </xf>
    <xf numFmtId="0" fontId="51" fillId="4" borderId="11" xfId="0" applyFont="1" applyFill="1" applyBorder="1" applyAlignment="1">
      <alignment horizontal="left" vertical="center" textRotation="90"/>
    </xf>
    <xf numFmtId="0" fontId="48" fillId="4" borderId="14" xfId="0" applyFont="1" applyFill="1" applyBorder="1" applyAlignment="1">
      <alignment horizontal="center" vertical="center"/>
    </xf>
    <xf numFmtId="0" fontId="5" fillId="0" borderId="49" xfId="0" applyFont="1" applyBorder="1"/>
    <xf numFmtId="0" fontId="5" fillId="0" borderId="50" xfId="0" applyFont="1" applyBorder="1"/>
    <xf numFmtId="0" fontId="49" fillId="4" borderId="51" xfId="0" applyFont="1" applyFill="1" applyBorder="1" applyAlignment="1">
      <alignment horizontal="center"/>
    </xf>
    <xf numFmtId="0" fontId="49" fillId="4" borderId="11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 vertical="center"/>
    </xf>
    <xf numFmtId="0" fontId="23" fillId="4" borderId="49" xfId="0" applyFont="1" applyFill="1" applyBorder="1" applyAlignment="1">
      <alignment horizontal="center" vertical="center"/>
    </xf>
    <xf numFmtId="0" fontId="23" fillId="4" borderId="52" xfId="0" applyFont="1" applyFill="1" applyBorder="1" applyAlignment="1">
      <alignment horizontal="center" vertical="center"/>
    </xf>
    <xf numFmtId="0" fontId="23" fillId="4" borderId="0" xfId="0" applyFont="1" applyFill="1" applyBorder="1" applyAlignment="1">
      <alignment horizontal="center" vertical="center"/>
    </xf>
    <xf numFmtId="0" fontId="23" fillId="4" borderId="51" xfId="0" applyFont="1" applyFill="1" applyBorder="1" applyAlignment="1">
      <alignment horizontal="center" vertical="center"/>
    </xf>
    <xf numFmtId="0" fontId="23" fillId="4" borderId="11" xfId="0" applyFont="1" applyFill="1" applyBorder="1" applyAlignment="1">
      <alignment horizontal="center" vertical="center"/>
    </xf>
    <xf numFmtId="9" fontId="15" fillId="6" borderId="11" xfId="7" applyFont="1" applyFill="1" applyBorder="1" applyAlignment="1">
      <alignment horizontal="left" vertical="center"/>
    </xf>
    <xf numFmtId="9" fontId="15" fillId="6" borderId="62" xfId="7" applyFont="1" applyFill="1" applyBorder="1" applyAlignment="1">
      <alignment horizontal="left" vertical="center"/>
    </xf>
    <xf numFmtId="0" fontId="51" fillId="5" borderId="52" xfId="0" applyFont="1" applyFill="1" applyBorder="1" applyAlignment="1">
      <alignment horizontal="center" vertical="top" textRotation="90"/>
    </xf>
    <xf numFmtId="0" fontId="51" fillId="5" borderId="51" xfId="0" applyFont="1" applyFill="1" applyBorder="1" applyAlignment="1">
      <alignment horizontal="center" vertical="top" textRotation="90"/>
    </xf>
    <xf numFmtId="0" fontId="50" fillId="2" borderId="63" xfId="0" applyFont="1" applyFill="1" applyBorder="1" applyAlignment="1">
      <alignment horizontal="center" vertical="center" textRotation="90"/>
    </xf>
    <xf numFmtId="0" fontId="50" fillId="2" borderId="64" xfId="0" applyFont="1" applyFill="1" applyBorder="1" applyAlignment="1">
      <alignment horizontal="center" vertical="center" textRotation="90"/>
    </xf>
    <xf numFmtId="0" fontId="50" fillId="2" borderId="65" xfId="0" applyFont="1" applyFill="1" applyBorder="1" applyAlignment="1">
      <alignment horizontal="center" vertical="center" textRotation="90"/>
    </xf>
  </cellXfs>
  <cellStyles count="13">
    <cellStyle name="Campo do Assistente de Dados" xfId="1" xr:uid="{00000000-0005-0000-0000-000000000000}"/>
    <cellStyle name="Canto do Assistente de Dados" xfId="2" xr:uid="{00000000-0005-0000-0000-000001000000}"/>
    <cellStyle name="Categoria do Assistente de Dados" xfId="3" xr:uid="{00000000-0005-0000-0000-000002000000}"/>
    <cellStyle name="Euro" xfId="4" xr:uid="{00000000-0005-0000-0000-000003000000}"/>
    <cellStyle name="Moeda 2" xfId="5" xr:uid="{00000000-0005-0000-0000-000004000000}"/>
    <cellStyle name="Normal" xfId="0" builtinId="0"/>
    <cellStyle name="Normal 2" xfId="6" xr:uid="{00000000-0005-0000-0000-000006000000}"/>
    <cellStyle name="Porcentagem" xfId="7" builtinId="5"/>
    <cellStyle name="Porcentagem 2" xfId="8" xr:uid="{00000000-0005-0000-0000-000008000000}"/>
    <cellStyle name="Resultado do Assistente de Dados" xfId="9" xr:uid="{00000000-0005-0000-0000-000009000000}"/>
    <cellStyle name="Título do Assistente de Dados" xfId="10" xr:uid="{00000000-0005-0000-0000-00000A000000}"/>
    <cellStyle name="Total" xfId="11" builtinId="25" customBuiltin="1"/>
    <cellStyle name="Valor do Assistente de Dados" xfId="12" xr:uid="{00000000-0005-0000-0000-00000C000000}"/>
  </cellStyles>
  <dxfs count="1">
    <dxf>
      <font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12" Type="http://schemas.openxmlformats.org/officeDocument/2006/relationships/customXml" Target="../customXml/item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11" Type="http://schemas.openxmlformats.org/officeDocument/2006/relationships/customXml" Target="../customXml/item2.xml" /><Relationship Id="rId5" Type="http://schemas.openxmlformats.org/officeDocument/2006/relationships/externalLink" Target="externalLinks/externalLink1.xml" /><Relationship Id="rId10" Type="http://schemas.openxmlformats.org/officeDocument/2006/relationships/customXml" Target="../customXml/item1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Saldo positivo'!A1" /><Relationship Id="rId2" Type="http://schemas.openxmlformats.org/officeDocument/2006/relationships/hyperlink" Target="#'Preencha a Planilha Or&#231;amento'!A1" /><Relationship Id="rId1" Type="http://schemas.openxmlformats.org/officeDocument/2006/relationships/image" Target="../media/image1.png" /><Relationship Id="rId4" Type="http://schemas.openxmlformats.org/officeDocument/2006/relationships/hyperlink" Target="#'Saldo negativo'!A1" 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Introdu&#231;&#227;o!A1" /><Relationship Id="rId1" Type="http://schemas.openxmlformats.org/officeDocument/2006/relationships/image" Target="../media/image2.jpe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trodu&#231;&#227;o!A1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trodu&#231;&#227;o!A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8</xdr:row>
      <xdr:rowOff>38100</xdr:rowOff>
    </xdr:from>
    <xdr:to>
      <xdr:col>2</xdr:col>
      <xdr:colOff>0</xdr:colOff>
      <xdr:row>25</xdr:row>
      <xdr:rowOff>85725</xdr:rowOff>
    </xdr:to>
    <xdr:grpSp>
      <xdr:nvGrpSpPr>
        <xdr:cNvPr id="9223" name="Group 3">
          <a:extLst>
            <a:ext uri="{FF2B5EF4-FFF2-40B4-BE49-F238E27FC236}">
              <a16:creationId xmlns:a16="http://schemas.microsoft.com/office/drawing/2014/main" id="{945A48FE-1ECD-4D5F-9E4F-6060E8265383}"/>
            </a:ext>
          </a:extLst>
        </xdr:cNvPr>
        <xdr:cNvGrpSpPr>
          <a:grpSpLocks/>
        </xdr:cNvGrpSpPr>
      </xdr:nvGrpSpPr>
      <xdr:grpSpPr bwMode="auto">
        <a:xfrm>
          <a:off x="161926" y="5015866"/>
          <a:ext cx="8090534" cy="3350895"/>
          <a:chOff x="155575" y="4099980"/>
          <a:chExt cx="7648575" cy="3467100"/>
        </a:xfrm>
      </xdr:grpSpPr>
      <xdr:pic>
        <xdr:nvPicPr>
          <xdr:cNvPr id="9227" name="Picture 2">
            <a:extLst>
              <a:ext uri="{FF2B5EF4-FFF2-40B4-BE49-F238E27FC236}">
                <a16:creationId xmlns:a16="http://schemas.microsoft.com/office/drawing/2014/main" id="{C231EA57-FE99-47D2-BB2A-CB079EF6B93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6973" b="9097"/>
          <a:stretch>
            <a:fillRect/>
          </a:stretch>
        </xdr:blipFill>
        <xdr:spPr bwMode="auto">
          <a:xfrm>
            <a:off x="155575" y="4099980"/>
            <a:ext cx="7648575" cy="34671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666FED59-5FCC-4B2B-A854-2FA0096A172C}"/>
              </a:ext>
            </a:extLst>
          </xdr:cNvPr>
          <xdr:cNvSpPr txBox="1"/>
        </xdr:nvSpPr>
        <xdr:spPr>
          <a:xfrm>
            <a:off x="2848332" y="4119135"/>
            <a:ext cx="2434940" cy="30648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pt-BR" sz="1600" b="1">
                <a:solidFill>
                  <a:srgbClr val="C00000"/>
                </a:solidFill>
              </a:rPr>
              <a:t>Calendário Financeiro</a:t>
            </a:r>
          </a:p>
        </xdr:txBody>
      </xdr:sp>
    </xdr:grpSp>
    <xdr:clientData/>
  </xdr:twoCellAnchor>
  <xdr:twoCellAnchor editAs="absolute">
    <xdr:from>
      <xdr:col>2</xdr:col>
      <xdr:colOff>101625</xdr:colOff>
      <xdr:row>4</xdr:row>
      <xdr:rowOff>116417</xdr:rowOff>
    </xdr:from>
    <xdr:to>
      <xdr:col>2</xdr:col>
      <xdr:colOff>1164187</xdr:colOff>
      <xdr:row>4</xdr:row>
      <xdr:rowOff>666751</xdr:rowOff>
    </xdr:to>
    <xdr:sp macro="" textlink="">
      <xdr:nvSpPr>
        <xdr:cNvPr id="5" name="Rounded 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DBF0FF-1A63-480A-9773-64D6A4071267}"/>
            </a:ext>
          </a:extLst>
        </xdr:cNvPr>
        <xdr:cNvSpPr/>
      </xdr:nvSpPr>
      <xdr:spPr>
        <a:xfrm>
          <a:off x="0" y="1411817"/>
          <a:ext cx="0" cy="550334"/>
        </a:xfrm>
        <a:prstGeom prst="roundRect">
          <a:avLst/>
        </a:prstGeom>
        <a:solidFill>
          <a:srgbClr val="C00000">
            <a:alpha val="70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400" b="1"/>
            <a:t>Planilha de orçamento</a:t>
          </a:r>
        </a:p>
      </xdr:txBody>
    </xdr:sp>
    <xdr:clientData/>
  </xdr:twoCellAnchor>
  <xdr:twoCellAnchor editAs="absolute">
    <xdr:from>
      <xdr:col>2</xdr:col>
      <xdr:colOff>105859</xdr:colOff>
      <xdr:row>4</xdr:row>
      <xdr:rowOff>924984</xdr:rowOff>
    </xdr:from>
    <xdr:to>
      <xdr:col>2</xdr:col>
      <xdr:colOff>1168421</xdr:colOff>
      <xdr:row>4</xdr:row>
      <xdr:rowOff>1475318</xdr:rowOff>
    </xdr:to>
    <xdr:sp macro="" textlink="">
      <xdr:nvSpPr>
        <xdr:cNvPr id="6" name="Rounded 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405F651-DF72-46FD-AFD5-E9BBEA9094B2}"/>
            </a:ext>
          </a:extLst>
        </xdr:cNvPr>
        <xdr:cNvSpPr/>
      </xdr:nvSpPr>
      <xdr:spPr>
        <a:xfrm>
          <a:off x="0" y="2220384"/>
          <a:ext cx="0" cy="550334"/>
        </a:xfrm>
        <a:prstGeom prst="roundRect">
          <a:avLst/>
        </a:prstGeom>
        <a:solidFill>
          <a:srgbClr val="C00000">
            <a:alpha val="70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400" b="1"/>
            <a:t>Saldo positivo</a:t>
          </a:r>
        </a:p>
      </xdr:txBody>
    </xdr:sp>
    <xdr:clientData/>
  </xdr:twoCellAnchor>
  <xdr:twoCellAnchor editAs="absolute">
    <xdr:from>
      <xdr:col>2</xdr:col>
      <xdr:colOff>110098</xdr:colOff>
      <xdr:row>5</xdr:row>
      <xdr:rowOff>84646</xdr:rowOff>
    </xdr:from>
    <xdr:to>
      <xdr:col>2</xdr:col>
      <xdr:colOff>1172660</xdr:colOff>
      <xdr:row>6</xdr:row>
      <xdr:rowOff>483046</xdr:rowOff>
    </xdr:to>
    <xdr:sp macro="" textlink="">
      <xdr:nvSpPr>
        <xdr:cNvPr id="7" name="Rounded 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71939FD-6EC8-4508-B0FE-FC5B983100B7}"/>
            </a:ext>
          </a:extLst>
        </xdr:cNvPr>
        <xdr:cNvSpPr/>
      </xdr:nvSpPr>
      <xdr:spPr>
        <a:xfrm>
          <a:off x="0" y="3018346"/>
          <a:ext cx="0" cy="550800"/>
        </a:xfrm>
        <a:prstGeom prst="roundRect">
          <a:avLst/>
        </a:prstGeom>
        <a:solidFill>
          <a:srgbClr val="C00000">
            <a:alpha val="70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400" b="1"/>
            <a:t>Saldo negativo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57150</xdr:rowOff>
    </xdr:from>
    <xdr:to>
      <xdr:col>4</xdr:col>
      <xdr:colOff>771525</xdr:colOff>
      <xdr:row>1</xdr:row>
      <xdr:rowOff>28575</xdr:rowOff>
    </xdr:to>
    <xdr:pic>
      <xdr:nvPicPr>
        <xdr:cNvPr id="1127" name="Imagem 1" descr="Santander_Positivo_1C.jpg">
          <a:extLst>
            <a:ext uri="{FF2B5EF4-FFF2-40B4-BE49-F238E27FC236}">
              <a16:creationId xmlns:a16="http://schemas.microsoft.com/office/drawing/2014/main" id="{FF8C62ED-C9D3-49D9-9555-E7BBB457C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57150"/>
          <a:ext cx="22193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7404</xdr:colOff>
      <xdr:row>0</xdr:row>
      <xdr:rowOff>63500</xdr:rowOff>
    </xdr:from>
    <xdr:to>
      <xdr:col>18</xdr:col>
      <xdr:colOff>857244</xdr:colOff>
      <xdr:row>0</xdr:row>
      <xdr:rowOff>412750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064BDA-A4BE-47B3-A1E9-45B69322EC50}"/>
            </a:ext>
          </a:extLst>
        </xdr:cNvPr>
        <xdr:cNvSpPr/>
      </xdr:nvSpPr>
      <xdr:spPr>
        <a:xfrm>
          <a:off x="11416237" y="63500"/>
          <a:ext cx="849840" cy="349250"/>
        </a:xfrm>
        <a:prstGeom prst="roundRect">
          <a:avLst/>
        </a:prstGeom>
        <a:solidFill>
          <a:srgbClr val="C00000">
            <a:alpha val="65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400" b="1"/>
            <a:t>Voltar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8206318</xdr:colOff>
      <xdr:row>0</xdr:row>
      <xdr:rowOff>142875</xdr:rowOff>
    </xdr:from>
    <xdr:to>
      <xdr:col>2</xdr:col>
      <xdr:colOff>685799</xdr:colOff>
      <xdr:row>0</xdr:row>
      <xdr:rowOff>492125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086FE3-0BB0-405B-B21B-FB6DC5C64B1E}"/>
            </a:ext>
          </a:extLst>
        </xdr:cNvPr>
        <xdr:cNvSpPr/>
      </xdr:nvSpPr>
      <xdr:spPr>
        <a:xfrm>
          <a:off x="8406343" y="142875"/>
          <a:ext cx="785281" cy="349250"/>
        </a:xfrm>
        <a:prstGeom prst="roundRect">
          <a:avLst/>
        </a:prstGeom>
        <a:solidFill>
          <a:srgbClr val="C00000">
            <a:alpha val="65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400" b="1"/>
            <a:t>Voltar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</xdr:row>
      <xdr:rowOff>397979</xdr:rowOff>
    </xdr:from>
    <xdr:to>
      <xdr:col>1</xdr:col>
      <xdr:colOff>1676400</xdr:colOff>
      <xdr:row>6</xdr:row>
      <xdr:rowOff>933929</xdr:rowOff>
    </xdr:to>
    <xdr:sp macro="" textlink="">
      <xdr:nvSpPr>
        <xdr:cNvPr id="3" name="Pentágono 2">
          <a:extLst>
            <a:ext uri="{FF2B5EF4-FFF2-40B4-BE49-F238E27FC236}">
              <a16:creationId xmlns:a16="http://schemas.microsoft.com/office/drawing/2014/main" id="{2C626EEF-6799-4095-BB1D-C03E41D5C903}"/>
            </a:ext>
          </a:extLst>
        </xdr:cNvPr>
        <xdr:cNvSpPr/>
      </xdr:nvSpPr>
      <xdr:spPr bwMode="auto">
        <a:xfrm>
          <a:off x="161925" y="2655404"/>
          <a:ext cx="1666875" cy="936000"/>
        </a:xfrm>
        <a:prstGeom prst="homePlate">
          <a:avLst/>
        </a:prstGeom>
        <a:gradFill>
          <a:gsLst>
            <a:gs pos="0">
              <a:schemeClr val="accent2">
                <a:shade val="51000"/>
                <a:satMod val="130000"/>
                <a:alpha val="90000"/>
              </a:schemeClr>
            </a:gs>
            <a:gs pos="80000">
              <a:schemeClr val="accent2">
                <a:shade val="93000"/>
                <a:satMod val="130000"/>
                <a:alpha val="85000"/>
              </a:schemeClr>
            </a:gs>
            <a:gs pos="100000">
              <a:schemeClr val="accent2">
                <a:shade val="94000"/>
                <a:satMod val="135000"/>
                <a:alpha val="75000"/>
              </a:schemeClr>
            </a:gs>
          </a:gsLst>
        </a:gradFill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wrap="square" lIns="36000" rIns="36000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9pPr>
        </a:lstStyle>
        <a:p>
          <a:pPr algn="ctr">
            <a:lnSpc>
              <a:spcPct val="95000"/>
            </a:lnSpc>
            <a:spcBef>
              <a:spcPct val="20000"/>
            </a:spcBef>
            <a:defRPr/>
          </a:pPr>
          <a:r>
            <a:rPr lang="pt-BR" sz="1400">
              <a:solidFill>
                <a:srgbClr val="000000">
                  <a:lumMod val="85000"/>
                  <a:lumOff val="15000"/>
                </a:srgbClr>
              </a:solidFill>
              <a:latin typeface="Arial" charset="0"/>
              <a:ea typeface="ＭＳ Ｐゴシック" pitchFamily="16" charset="-128"/>
            </a:rPr>
            <a:t>Assuma o controle da situação</a:t>
          </a:r>
        </a:p>
      </xdr:txBody>
    </xdr:sp>
    <xdr:clientData/>
  </xdr:twoCellAnchor>
  <xdr:twoCellAnchor>
    <xdr:from>
      <xdr:col>1</xdr:col>
      <xdr:colOff>1303275</xdr:colOff>
      <xdr:row>5</xdr:row>
      <xdr:rowOff>397979</xdr:rowOff>
    </xdr:from>
    <xdr:to>
      <xdr:col>1</xdr:col>
      <xdr:colOff>3051690</xdr:colOff>
      <xdr:row>6</xdr:row>
      <xdr:rowOff>933929</xdr:rowOff>
    </xdr:to>
    <xdr:sp macro="" textlink="">
      <xdr:nvSpPr>
        <xdr:cNvPr id="4" name="Divisa 3">
          <a:extLst>
            <a:ext uri="{FF2B5EF4-FFF2-40B4-BE49-F238E27FC236}">
              <a16:creationId xmlns:a16="http://schemas.microsoft.com/office/drawing/2014/main" id="{D3B07563-4BCE-4ECA-B4FF-5E20C9C56A92}"/>
            </a:ext>
          </a:extLst>
        </xdr:cNvPr>
        <xdr:cNvSpPr/>
      </xdr:nvSpPr>
      <xdr:spPr bwMode="auto">
        <a:xfrm>
          <a:off x="1455675" y="2655404"/>
          <a:ext cx="1748415" cy="936000"/>
        </a:xfrm>
        <a:prstGeom prst="chevron">
          <a:avLst/>
        </a:prstGeom>
        <a:gradFill>
          <a:gsLst>
            <a:gs pos="0">
              <a:schemeClr val="accent2">
                <a:shade val="51000"/>
                <a:satMod val="130000"/>
                <a:alpha val="90000"/>
              </a:schemeClr>
            </a:gs>
            <a:gs pos="80000">
              <a:schemeClr val="accent2">
                <a:shade val="93000"/>
                <a:satMod val="130000"/>
                <a:alpha val="85000"/>
              </a:schemeClr>
            </a:gs>
            <a:gs pos="100000">
              <a:schemeClr val="accent2">
                <a:shade val="94000"/>
                <a:satMod val="135000"/>
                <a:alpha val="75000"/>
              </a:schemeClr>
            </a:gs>
          </a:gsLst>
        </a:gradFill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wrap="square" lIns="36000" rIns="36000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9pPr>
        </a:lstStyle>
        <a:p>
          <a:pPr algn="ctr" fontAlgn="auto">
            <a:lnSpc>
              <a:spcPts val="1300"/>
            </a:lnSpc>
            <a:spcBef>
              <a:spcPct val="20000"/>
            </a:spcBef>
            <a:spcAft>
              <a:spcPts val="0"/>
            </a:spcAft>
            <a:defRPr/>
          </a:pPr>
          <a:r>
            <a:rPr lang="pt-BR" sz="1400">
              <a:solidFill>
                <a:srgbClr val="000000">
                  <a:lumMod val="85000"/>
                  <a:lumOff val="15000"/>
                </a:srgbClr>
              </a:solidFill>
              <a:latin typeface="Arial" charset="0"/>
              <a:ea typeface="ＭＳ Ｐゴシック" pitchFamily="16" charset="-128"/>
            </a:rPr>
            <a:t>Registre gastos e ganhos</a:t>
          </a:r>
        </a:p>
      </xdr:txBody>
    </xdr:sp>
    <xdr:clientData/>
  </xdr:twoCellAnchor>
  <xdr:twoCellAnchor>
    <xdr:from>
      <xdr:col>1</xdr:col>
      <xdr:colOff>4101496</xdr:colOff>
      <xdr:row>5</xdr:row>
      <xdr:rowOff>397979</xdr:rowOff>
    </xdr:from>
    <xdr:to>
      <xdr:col>1</xdr:col>
      <xdr:colOff>5859466</xdr:colOff>
      <xdr:row>6</xdr:row>
      <xdr:rowOff>933929</xdr:rowOff>
    </xdr:to>
    <xdr:sp macro="" textlink="">
      <xdr:nvSpPr>
        <xdr:cNvPr id="5" name="Divisa 4">
          <a:extLst>
            <a:ext uri="{FF2B5EF4-FFF2-40B4-BE49-F238E27FC236}">
              <a16:creationId xmlns:a16="http://schemas.microsoft.com/office/drawing/2014/main" id="{3494EBDB-CF77-4BD6-96E1-3D4BF209E432}"/>
            </a:ext>
          </a:extLst>
        </xdr:cNvPr>
        <xdr:cNvSpPr/>
      </xdr:nvSpPr>
      <xdr:spPr bwMode="auto">
        <a:xfrm>
          <a:off x="4253896" y="2655404"/>
          <a:ext cx="1757970" cy="936000"/>
        </a:xfrm>
        <a:prstGeom prst="chevron">
          <a:avLst/>
        </a:prstGeom>
        <a:gradFill>
          <a:gsLst>
            <a:gs pos="0">
              <a:schemeClr val="accent2">
                <a:shade val="51000"/>
                <a:satMod val="130000"/>
                <a:alpha val="90000"/>
              </a:schemeClr>
            </a:gs>
            <a:gs pos="80000">
              <a:schemeClr val="accent2">
                <a:shade val="93000"/>
                <a:satMod val="130000"/>
                <a:alpha val="85000"/>
              </a:schemeClr>
            </a:gs>
            <a:gs pos="100000">
              <a:schemeClr val="accent2">
                <a:shade val="94000"/>
                <a:satMod val="135000"/>
                <a:alpha val="75000"/>
              </a:schemeClr>
            </a:gs>
          </a:gsLst>
        </a:gradFill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wrap="square" lIns="36000" rIns="36000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9pPr>
        </a:lstStyle>
        <a:p>
          <a:pPr algn="ctr" fontAlgn="auto">
            <a:lnSpc>
              <a:spcPct val="95000"/>
            </a:lnSpc>
            <a:spcBef>
              <a:spcPct val="20000"/>
            </a:spcBef>
            <a:spcAft>
              <a:spcPts val="0"/>
            </a:spcAft>
            <a:defRPr/>
          </a:pPr>
          <a:r>
            <a:rPr lang="pt-BR" sz="1400">
              <a:solidFill>
                <a:srgbClr val="000000">
                  <a:lumMod val="85000"/>
                  <a:lumOff val="15000"/>
                </a:srgbClr>
              </a:solidFill>
              <a:latin typeface="Arial" charset="0"/>
              <a:ea typeface="ＭＳ Ｐゴシック" pitchFamily="16" charset="-128"/>
            </a:rPr>
            <a:t>Reflita sobre suas dívidas</a:t>
          </a:r>
        </a:p>
      </xdr:txBody>
    </xdr:sp>
    <xdr:clientData/>
  </xdr:twoCellAnchor>
  <xdr:twoCellAnchor>
    <xdr:from>
      <xdr:col>1</xdr:col>
      <xdr:colOff>2678565</xdr:colOff>
      <xdr:row>5</xdr:row>
      <xdr:rowOff>397979</xdr:rowOff>
    </xdr:from>
    <xdr:to>
      <xdr:col>1</xdr:col>
      <xdr:colOff>4474621</xdr:colOff>
      <xdr:row>6</xdr:row>
      <xdr:rowOff>933929</xdr:rowOff>
    </xdr:to>
    <xdr:sp macro="" textlink="">
      <xdr:nvSpPr>
        <xdr:cNvPr id="6" name="Divisa 5">
          <a:extLst>
            <a:ext uri="{FF2B5EF4-FFF2-40B4-BE49-F238E27FC236}">
              <a16:creationId xmlns:a16="http://schemas.microsoft.com/office/drawing/2014/main" id="{714E2FFA-8BFA-49FA-9C95-AB633B12741F}"/>
            </a:ext>
          </a:extLst>
        </xdr:cNvPr>
        <xdr:cNvSpPr/>
      </xdr:nvSpPr>
      <xdr:spPr bwMode="auto">
        <a:xfrm>
          <a:off x="2830965" y="2655404"/>
          <a:ext cx="1796056" cy="936000"/>
        </a:xfrm>
        <a:prstGeom prst="chevron">
          <a:avLst/>
        </a:prstGeom>
        <a:gradFill>
          <a:gsLst>
            <a:gs pos="0">
              <a:schemeClr val="accent2">
                <a:shade val="51000"/>
                <a:satMod val="130000"/>
                <a:alpha val="90000"/>
              </a:schemeClr>
            </a:gs>
            <a:gs pos="80000">
              <a:schemeClr val="accent2">
                <a:shade val="93000"/>
                <a:satMod val="130000"/>
                <a:alpha val="85000"/>
              </a:schemeClr>
            </a:gs>
            <a:gs pos="100000">
              <a:schemeClr val="accent2">
                <a:shade val="94000"/>
                <a:satMod val="135000"/>
                <a:alpha val="75000"/>
              </a:schemeClr>
            </a:gs>
          </a:gsLst>
        </a:gradFill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wrap="square" lIns="36000" rIns="36000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9pPr>
        </a:lstStyle>
        <a:p>
          <a:pPr algn="ctr" fontAlgn="auto">
            <a:lnSpc>
              <a:spcPct val="95000"/>
            </a:lnSpc>
            <a:spcBef>
              <a:spcPct val="20000"/>
            </a:spcBef>
            <a:spcAft>
              <a:spcPts val="0"/>
            </a:spcAft>
            <a:defRPr/>
          </a:pPr>
          <a:r>
            <a:rPr lang="pt-BR" sz="1400">
              <a:solidFill>
                <a:srgbClr val="000000">
                  <a:lumMod val="85000"/>
                  <a:lumOff val="15000"/>
                </a:srgbClr>
              </a:solidFill>
              <a:latin typeface="Arial" charset="0"/>
              <a:ea typeface="ＭＳ Ｐゴシック" pitchFamily="16" charset="-128"/>
            </a:rPr>
            <a:t>Corte despesas</a:t>
          </a:r>
        </a:p>
      </xdr:txBody>
    </xdr:sp>
    <xdr:clientData/>
  </xdr:twoCellAnchor>
  <xdr:twoCellAnchor>
    <xdr:from>
      <xdr:col>1</xdr:col>
      <xdr:colOff>5486340</xdr:colOff>
      <xdr:row>5</xdr:row>
      <xdr:rowOff>397979</xdr:rowOff>
    </xdr:from>
    <xdr:to>
      <xdr:col>1</xdr:col>
      <xdr:colOff>7430340</xdr:colOff>
      <xdr:row>6</xdr:row>
      <xdr:rowOff>933929</xdr:rowOff>
    </xdr:to>
    <xdr:sp macro="" textlink="">
      <xdr:nvSpPr>
        <xdr:cNvPr id="7" name="Divisa 6">
          <a:extLst>
            <a:ext uri="{FF2B5EF4-FFF2-40B4-BE49-F238E27FC236}">
              <a16:creationId xmlns:a16="http://schemas.microsoft.com/office/drawing/2014/main" id="{0A25E34C-B3EC-42D4-B9AE-20DE805D0CEE}"/>
            </a:ext>
          </a:extLst>
        </xdr:cNvPr>
        <xdr:cNvSpPr/>
      </xdr:nvSpPr>
      <xdr:spPr bwMode="auto">
        <a:xfrm>
          <a:off x="5638740" y="2655404"/>
          <a:ext cx="1944000" cy="936000"/>
        </a:xfrm>
        <a:prstGeom prst="chevron">
          <a:avLst/>
        </a:prstGeom>
        <a:gradFill>
          <a:gsLst>
            <a:gs pos="0">
              <a:schemeClr val="accent2">
                <a:shade val="51000"/>
                <a:satMod val="130000"/>
                <a:alpha val="90000"/>
              </a:schemeClr>
            </a:gs>
            <a:gs pos="80000">
              <a:schemeClr val="accent2">
                <a:shade val="93000"/>
                <a:satMod val="130000"/>
                <a:alpha val="85000"/>
              </a:schemeClr>
            </a:gs>
            <a:gs pos="100000">
              <a:schemeClr val="accent2">
                <a:shade val="94000"/>
                <a:satMod val="135000"/>
                <a:alpha val="75000"/>
              </a:schemeClr>
            </a:gs>
          </a:gsLst>
        </a:gradFill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wrap="square" lIns="36000" rIns="36000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9pPr>
        </a:lstStyle>
        <a:p>
          <a:pPr algn="ctr" fontAlgn="auto">
            <a:lnSpc>
              <a:spcPts val="1300"/>
            </a:lnSpc>
            <a:spcBef>
              <a:spcPct val="20000"/>
            </a:spcBef>
            <a:spcAft>
              <a:spcPts val="0"/>
            </a:spcAft>
            <a:defRPr/>
          </a:pPr>
          <a:r>
            <a:rPr lang="pt-BR" sz="1400">
              <a:solidFill>
                <a:srgbClr val="000000">
                  <a:lumMod val="85000"/>
                  <a:lumOff val="15000"/>
                </a:srgbClr>
              </a:solidFill>
              <a:latin typeface="Arial" charset="0"/>
              <a:ea typeface="ＭＳ Ｐゴシック" pitchFamily="16" charset="-128"/>
            </a:rPr>
            <a:t>Procure seu gerente</a:t>
          </a:r>
        </a:p>
      </xdr:txBody>
    </xdr:sp>
    <xdr:clientData/>
  </xdr:twoCellAnchor>
  <xdr:twoCellAnchor>
    <xdr:from>
      <xdr:col>1</xdr:col>
      <xdr:colOff>7239000</xdr:colOff>
      <xdr:row>0</xdr:row>
      <xdr:rowOff>171450</xdr:rowOff>
    </xdr:from>
    <xdr:to>
      <xdr:col>2</xdr:col>
      <xdr:colOff>385232</xdr:colOff>
      <xdr:row>0</xdr:row>
      <xdr:rowOff>520700</xdr:rowOff>
    </xdr:to>
    <xdr:sp macro="" textlink="">
      <xdr:nvSpPr>
        <xdr:cNvPr id="8" name="Rounded Rectangl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506DED-2FDB-4C2E-826B-62579A9B6BC7}"/>
            </a:ext>
          </a:extLst>
        </xdr:cNvPr>
        <xdr:cNvSpPr/>
      </xdr:nvSpPr>
      <xdr:spPr>
        <a:xfrm>
          <a:off x="7391400" y="171450"/>
          <a:ext cx="794807" cy="349250"/>
        </a:xfrm>
        <a:prstGeom prst="roundRect">
          <a:avLst/>
        </a:prstGeom>
        <a:solidFill>
          <a:srgbClr val="C00000">
            <a:alpha val="65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400" b="1"/>
            <a:t>Voltar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Lu%20e%20Gui/Documents/Gui/Planejamento%202009/Indicadores_Novo.xls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Último Dia Útil Mês"/>
      <sheetName val="Índices"/>
      <sheetName val="Base 12_1994 a 05_2003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9"/>
  <sheetViews>
    <sheetView showGridLines="0" tabSelected="1" zoomScaleNormal="100" zoomScaleSheetLayoutView="85" workbookViewId="0" xr3:uid="{AEA406A1-0E4B-5B11-9CD5-51D6E497D94C}"/>
  </sheetViews>
  <sheetFormatPr defaultColWidth="0" defaultRowHeight="15" zeroHeight="1" x14ac:dyDescent="0.2"/>
  <cols>
    <col min="1" max="1" width="2.01953125" style="114" customWidth="1"/>
    <col min="2" max="2" width="114.7578125" style="114" customWidth="1"/>
    <col min="3" max="3" width="18.33984375" style="114" customWidth="1"/>
    <col min="4" max="4" width="3.7734375" style="114" customWidth="1"/>
    <col min="5" max="5" width="9.16796875" style="114" hidden="1" customWidth="1"/>
    <col min="6" max="16384" width="0" style="114" hidden="1"/>
  </cols>
  <sheetData>
    <row r="1" spans="2:2" ht="27" customHeight="1" x14ac:dyDescent="0.2">
      <c r="B1" s="123" t="s">
        <v>106</v>
      </c>
    </row>
    <row r="2" spans="2:2" ht="12" customHeight="1" thickBot="1" x14ac:dyDescent="0.25">
      <c r="B2" s="122"/>
    </row>
    <row r="3" spans="2:2" ht="51" customHeight="1" thickTop="1" x14ac:dyDescent="0.2">
      <c r="B3" s="121" t="s">
        <v>113</v>
      </c>
    </row>
    <row r="4" spans="2:2" ht="12" customHeight="1" x14ac:dyDescent="0.2">
      <c r="B4" s="119"/>
    </row>
    <row r="5" spans="2:2" ht="129" customHeight="1" x14ac:dyDescent="0.2">
      <c r="B5" s="120" t="s">
        <v>115</v>
      </c>
    </row>
    <row r="6" spans="2:2" ht="12" customHeight="1" x14ac:dyDescent="0.2">
      <c r="B6" s="119"/>
    </row>
    <row r="7" spans="2:2" ht="132" customHeight="1" thickBot="1" x14ac:dyDescent="0.25">
      <c r="B7" s="118" t="s">
        <v>116</v>
      </c>
    </row>
    <row r="8" spans="2:2" ht="15.75" thickTop="1" x14ac:dyDescent="0.2"/>
    <row r="9" spans="2:2" x14ac:dyDescent="0.2">
      <c r="B9" s="117"/>
    </row>
    <row r="10" spans="2:2" x14ac:dyDescent="0.2"/>
    <row r="11" spans="2:2" x14ac:dyDescent="0.2"/>
    <row r="12" spans="2:2" x14ac:dyDescent="0.2"/>
    <row r="13" spans="2:2" x14ac:dyDescent="0.2"/>
    <row r="14" spans="2:2" x14ac:dyDescent="0.2"/>
    <row r="15" spans="2:2" x14ac:dyDescent="0.2"/>
    <row r="16" spans="2:2" x14ac:dyDescent="0.2"/>
    <row r="17" spans="2:3" x14ac:dyDescent="0.2"/>
    <row r="18" spans="2:3" x14ac:dyDescent="0.2"/>
    <row r="19" spans="2:3" x14ac:dyDescent="0.2"/>
    <row r="20" spans="2:3" x14ac:dyDescent="0.2"/>
    <row r="21" spans="2:3" x14ac:dyDescent="0.2"/>
    <row r="22" spans="2:3" x14ac:dyDescent="0.2"/>
    <row r="23" spans="2:3" x14ac:dyDescent="0.2"/>
    <row r="24" spans="2:3" x14ac:dyDescent="0.2"/>
    <row r="25" spans="2:3" x14ac:dyDescent="0.2"/>
    <row r="26" spans="2:3" x14ac:dyDescent="0.2"/>
    <row r="27" spans="2:3" ht="98.25" x14ac:dyDescent="0.3">
      <c r="B27" s="116" t="s">
        <v>114</v>
      </c>
    </row>
    <row r="28" spans="2:3" x14ac:dyDescent="0.2">
      <c r="C28" s="115"/>
    </row>
    <row r="29" spans="2:3" hidden="1" x14ac:dyDescent="0.2"/>
  </sheetData>
  <sheetProtection selectLockedCells="1" selectUnlockedCells="1"/>
  <printOptions horizontalCentered="1"/>
  <pageMargins left="0.31496062992125984" right="0.31496062992125984" top="0.78740157480314965" bottom="0.78740157480314965" header="0.31496062992125984" footer="0.31496062992125984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V110"/>
  <sheetViews>
    <sheetView showGridLines="0" showRuler="0" zoomScale="90" zoomScaleNormal="90" zoomScaleSheetLayoutView="100" zoomScalePageLayoutView="70" workbookViewId="0" xr3:uid="{958C4451-9541-5A59-BF78-D2F731DF1C81}"/>
  </sheetViews>
  <sheetFormatPr defaultColWidth="0" defaultRowHeight="14.25" zeroHeight="1" x14ac:dyDescent="0.2"/>
  <cols>
    <col min="1" max="1" width="3.37109375" style="1" customWidth="1"/>
    <col min="2" max="2" width="5.52734375" style="1" customWidth="1"/>
    <col min="3" max="3" width="4.58203125" style="1" customWidth="1"/>
    <col min="4" max="4" width="11.4609375" style="9" customWidth="1"/>
    <col min="5" max="5" width="19.01171875" style="1" bestFit="1" customWidth="1"/>
    <col min="6" max="6" width="10.65234375" style="1" customWidth="1"/>
    <col min="7" max="18" width="9.70703125" style="4" customWidth="1"/>
    <col min="19" max="19" width="13.75390625" style="1" customWidth="1"/>
    <col min="20" max="20" width="4.8515625" style="1" customWidth="1"/>
    <col min="21" max="21" width="4.04296875" style="1" customWidth="1"/>
    <col min="22" max="22" width="4.71875" style="1" hidden="1" customWidth="1"/>
    <col min="23" max="16384" width="0" style="1" hidden="1"/>
  </cols>
  <sheetData>
    <row r="1" spans="1:21" ht="33.75" customHeight="1" x14ac:dyDescent="0.2"/>
    <row r="2" spans="1:21" ht="30" customHeight="1" thickBot="1" x14ac:dyDescent="0.25">
      <c r="B2" s="144" t="s">
        <v>71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</row>
    <row r="3" spans="1:21" ht="19.5" customHeight="1" x14ac:dyDescent="0.2">
      <c r="A3" s="79"/>
      <c r="B3" s="160" t="s">
        <v>92</v>
      </c>
      <c r="C3" s="161"/>
      <c r="D3" s="161"/>
      <c r="E3" s="161"/>
      <c r="F3" s="162"/>
      <c r="G3" s="148" t="s">
        <v>94</v>
      </c>
      <c r="H3" s="149"/>
      <c r="I3" s="149"/>
      <c r="J3" s="149"/>
      <c r="K3" s="149"/>
      <c r="L3" s="150"/>
      <c r="M3" s="151" t="s">
        <v>95</v>
      </c>
      <c r="N3" s="152"/>
      <c r="O3" s="152"/>
      <c r="P3" s="152"/>
      <c r="Q3" s="152"/>
      <c r="R3" s="153"/>
      <c r="S3" s="146" t="s">
        <v>1</v>
      </c>
      <c r="T3" s="79"/>
      <c r="U3" s="79"/>
    </row>
    <row r="4" spans="1:21" s="2" customFormat="1" ht="15" customHeight="1" thickBot="1" x14ac:dyDescent="0.3">
      <c r="A4" s="95"/>
      <c r="B4" s="163"/>
      <c r="C4" s="164"/>
      <c r="D4" s="164"/>
      <c r="E4" s="11"/>
      <c r="F4" s="12" t="s">
        <v>0</v>
      </c>
      <c r="G4" s="13" t="s">
        <v>72</v>
      </c>
      <c r="H4" s="13" t="s">
        <v>73</v>
      </c>
      <c r="I4" s="13" t="s">
        <v>74</v>
      </c>
      <c r="J4" s="13" t="s">
        <v>75</v>
      </c>
      <c r="K4" s="13" t="s">
        <v>76</v>
      </c>
      <c r="L4" s="13" t="s">
        <v>77</v>
      </c>
      <c r="M4" s="13" t="s">
        <v>78</v>
      </c>
      <c r="N4" s="13" t="s">
        <v>79</v>
      </c>
      <c r="O4" s="13" t="s">
        <v>80</v>
      </c>
      <c r="P4" s="13" t="s">
        <v>81</v>
      </c>
      <c r="Q4" s="13" t="s">
        <v>82</v>
      </c>
      <c r="R4" s="13" t="s">
        <v>83</v>
      </c>
      <c r="S4" s="147"/>
      <c r="T4" s="95"/>
      <c r="U4" s="95"/>
    </row>
    <row r="5" spans="1:21" ht="15" customHeight="1" x14ac:dyDescent="0.2">
      <c r="A5" s="79"/>
      <c r="B5" s="154" t="s">
        <v>31</v>
      </c>
      <c r="C5" s="155"/>
      <c r="D5" s="155"/>
      <c r="E5" s="108" t="s">
        <v>32</v>
      </c>
      <c r="F5" s="81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18">
        <f t="shared" ref="S5:S10" si="0">SUM(G5:R5)</f>
        <v>0</v>
      </c>
      <c r="T5" s="79"/>
      <c r="U5" s="79"/>
    </row>
    <row r="6" spans="1:21" ht="15" customHeight="1" x14ac:dyDescent="0.2">
      <c r="A6" s="79"/>
      <c r="B6" s="156"/>
      <c r="C6" s="157"/>
      <c r="D6" s="157"/>
      <c r="E6" s="109" t="s">
        <v>2</v>
      </c>
      <c r="F6" s="83">
        <v>0</v>
      </c>
      <c r="G6" s="84">
        <v>0</v>
      </c>
      <c r="H6" s="84">
        <v>0</v>
      </c>
      <c r="I6" s="84">
        <v>0</v>
      </c>
      <c r="J6" s="84">
        <v>0</v>
      </c>
      <c r="K6" s="84">
        <v>0</v>
      </c>
      <c r="L6" s="84">
        <v>0</v>
      </c>
      <c r="M6" s="84">
        <v>0</v>
      </c>
      <c r="N6" s="84">
        <v>0</v>
      </c>
      <c r="O6" s="84">
        <v>0</v>
      </c>
      <c r="P6" s="84">
        <v>0</v>
      </c>
      <c r="Q6" s="84">
        <v>0</v>
      </c>
      <c r="R6" s="84">
        <v>0</v>
      </c>
      <c r="S6" s="19">
        <f t="shared" si="0"/>
        <v>0</v>
      </c>
      <c r="T6" s="79"/>
      <c r="U6" s="79"/>
    </row>
    <row r="7" spans="1:21" ht="15" customHeight="1" x14ac:dyDescent="0.2">
      <c r="A7" s="79"/>
      <c r="B7" s="156"/>
      <c r="C7" s="157"/>
      <c r="D7" s="157"/>
      <c r="E7" s="109" t="s">
        <v>44</v>
      </c>
      <c r="F7" s="83">
        <v>0</v>
      </c>
      <c r="G7" s="84">
        <v>0</v>
      </c>
      <c r="H7" s="84">
        <v>0</v>
      </c>
      <c r="I7" s="84">
        <v>0</v>
      </c>
      <c r="J7" s="84">
        <v>0</v>
      </c>
      <c r="K7" s="84">
        <v>0</v>
      </c>
      <c r="L7" s="84">
        <v>0</v>
      </c>
      <c r="M7" s="84">
        <v>0</v>
      </c>
      <c r="N7" s="84">
        <v>0</v>
      </c>
      <c r="O7" s="84">
        <v>0</v>
      </c>
      <c r="P7" s="84">
        <v>0</v>
      </c>
      <c r="Q7" s="84">
        <v>0</v>
      </c>
      <c r="R7" s="84">
        <v>0</v>
      </c>
      <c r="S7" s="19">
        <f t="shared" si="0"/>
        <v>0</v>
      </c>
      <c r="T7" s="79"/>
      <c r="U7" s="79"/>
    </row>
    <row r="8" spans="1:21" ht="15" customHeight="1" x14ac:dyDescent="0.2">
      <c r="A8" s="79"/>
      <c r="B8" s="156"/>
      <c r="C8" s="157"/>
      <c r="D8" s="157"/>
      <c r="E8" s="109" t="s">
        <v>45</v>
      </c>
      <c r="F8" s="83">
        <v>0</v>
      </c>
      <c r="G8" s="84">
        <v>0</v>
      </c>
      <c r="H8" s="84">
        <v>0</v>
      </c>
      <c r="I8" s="84">
        <v>0</v>
      </c>
      <c r="J8" s="84">
        <v>0</v>
      </c>
      <c r="K8" s="84">
        <v>0</v>
      </c>
      <c r="L8" s="84">
        <v>0</v>
      </c>
      <c r="M8" s="84">
        <v>0</v>
      </c>
      <c r="N8" s="84">
        <v>0</v>
      </c>
      <c r="O8" s="84">
        <v>0</v>
      </c>
      <c r="P8" s="84">
        <v>0</v>
      </c>
      <c r="Q8" s="84">
        <v>0</v>
      </c>
      <c r="R8" s="84">
        <v>0</v>
      </c>
      <c r="S8" s="19">
        <f t="shared" si="0"/>
        <v>0</v>
      </c>
      <c r="T8" s="79"/>
      <c r="U8" s="79"/>
    </row>
    <row r="9" spans="1:21" ht="15" customHeight="1" x14ac:dyDescent="0.2">
      <c r="A9" s="79"/>
      <c r="B9" s="156"/>
      <c r="C9" s="157"/>
      <c r="D9" s="157"/>
      <c r="E9" s="109" t="s">
        <v>84</v>
      </c>
      <c r="F9" s="83">
        <v>0</v>
      </c>
      <c r="G9" s="84">
        <v>0</v>
      </c>
      <c r="H9" s="84">
        <v>0</v>
      </c>
      <c r="I9" s="84">
        <v>0</v>
      </c>
      <c r="J9" s="84">
        <v>0</v>
      </c>
      <c r="K9" s="84">
        <v>0</v>
      </c>
      <c r="L9" s="84">
        <v>0</v>
      </c>
      <c r="M9" s="84">
        <v>0</v>
      </c>
      <c r="N9" s="84">
        <v>0</v>
      </c>
      <c r="O9" s="84">
        <v>0</v>
      </c>
      <c r="P9" s="84">
        <v>0</v>
      </c>
      <c r="Q9" s="84">
        <v>0</v>
      </c>
      <c r="R9" s="84">
        <v>0</v>
      </c>
      <c r="S9" s="20">
        <f t="shared" si="0"/>
        <v>0</v>
      </c>
      <c r="T9" s="79"/>
      <c r="U9" s="79"/>
    </row>
    <row r="10" spans="1:21" ht="15" customHeight="1" x14ac:dyDescent="0.2">
      <c r="A10" s="79"/>
      <c r="B10" s="156"/>
      <c r="C10" s="157"/>
      <c r="D10" s="157"/>
      <c r="E10" s="109" t="s">
        <v>3</v>
      </c>
      <c r="F10" s="83">
        <v>0</v>
      </c>
      <c r="G10" s="84">
        <v>0</v>
      </c>
      <c r="H10" s="84">
        <v>0</v>
      </c>
      <c r="I10" s="84">
        <v>0</v>
      </c>
      <c r="J10" s="84">
        <v>0</v>
      </c>
      <c r="K10" s="84">
        <v>0</v>
      </c>
      <c r="L10" s="84">
        <v>0</v>
      </c>
      <c r="M10" s="84">
        <v>0</v>
      </c>
      <c r="N10" s="84">
        <v>0</v>
      </c>
      <c r="O10" s="84">
        <v>0</v>
      </c>
      <c r="P10" s="84">
        <v>0</v>
      </c>
      <c r="Q10" s="84">
        <v>0</v>
      </c>
      <c r="R10" s="84">
        <v>0</v>
      </c>
      <c r="S10" s="21">
        <f t="shared" si="0"/>
        <v>0</v>
      </c>
      <c r="T10" s="79"/>
      <c r="U10" s="79"/>
    </row>
    <row r="11" spans="1:21" ht="15" customHeight="1" thickBot="1" x14ac:dyDescent="0.25">
      <c r="A11" s="79"/>
      <c r="B11" s="158"/>
      <c r="C11" s="159"/>
      <c r="D11" s="159"/>
      <c r="E11" s="22" t="s">
        <v>1</v>
      </c>
      <c r="F11" s="23">
        <f t="shared" ref="F11:S11" si="1">SUM(F5:F10)</f>
        <v>0</v>
      </c>
      <c r="G11" s="24">
        <f t="shared" si="1"/>
        <v>0</v>
      </c>
      <c r="H11" s="24">
        <f t="shared" si="1"/>
        <v>0</v>
      </c>
      <c r="I11" s="24">
        <f t="shared" si="1"/>
        <v>0</v>
      </c>
      <c r="J11" s="24">
        <f t="shared" si="1"/>
        <v>0</v>
      </c>
      <c r="K11" s="24">
        <f t="shared" si="1"/>
        <v>0</v>
      </c>
      <c r="L11" s="24">
        <f t="shared" si="1"/>
        <v>0</v>
      </c>
      <c r="M11" s="24">
        <f t="shared" si="1"/>
        <v>0</v>
      </c>
      <c r="N11" s="24">
        <f t="shared" si="1"/>
        <v>0</v>
      </c>
      <c r="O11" s="24">
        <f t="shared" si="1"/>
        <v>0</v>
      </c>
      <c r="P11" s="24">
        <f t="shared" si="1"/>
        <v>0</v>
      </c>
      <c r="Q11" s="24">
        <f t="shared" si="1"/>
        <v>0</v>
      </c>
      <c r="R11" s="24">
        <f t="shared" si="1"/>
        <v>0</v>
      </c>
      <c r="S11" s="50">
        <f t="shared" si="1"/>
        <v>0</v>
      </c>
      <c r="T11" s="79"/>
      <c r="U11" s="79"/>
    </row>
    <row r="12" spans="1:21" s="3" customFormat="1" ht="9.75" customHeight="1" thickBot="1" x14ac:dyDescent="0.25">
      <c r="A12" s="96"/>
      <c r="B12" s="96"/>
      <c r="C12" s="96"/>
      <c r="D12" s="97"/>
      <c r="E12" s="98"/>
      <c r="F12" s="99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1"/>
      <c r="T12" s="96"/>
      <c r="U12" s="96"/>
    </row>
    <row r="13" spans="1:21" s="3" customFormat="1" ht="15" customHeight="1" x14ac:dyDescent="0.2">
      <c r="A13" s="96"/>
      <c r="B13" s="132" t="s">
        <v>46</v>
      </c>
      <c r="C13" s="133"/>
      <c r="D13" s="133"/>
      <c r="E13" s="108" t="s">
        <v>85</v>
      </c>
      <c r="F13" s="81">
        <v>0</v>
      </c>
      <c r="G13" s="82">
        <v>0</v>
      </c>
      <c r="H13" s="82">
        <v>0</v>
      </c>
      <c r="I13" s="82">
        <v>0</v>
      </c>
      <c r="J13" s="82">
        <v>0</v>
      </c>
      <c r="K13" s="82">
        <v>0</v>
      </c>
      <c r="L13" s="82">
        <v>0</v>
      </c>
      <c r="M13" s="82">
        <v>0</v>
      </c>
      <c r="N13" s="82">
        <v>0</v>
      </c>
      <c r="O13" s="82">
        <v>0</v>
      </c>
      <c r="P13" s="82">
        <v>0</v>
      </c>
      <c r="Q13" s="82">
        <v>0</v>
      </c>
      <c r="R13" s="82">
        <v>0</v>
      </c>
      <c r="S13" s="18">
        <f t="shared" ref="S13:S18" si="2">SUM(G13:R13)</f>
        <v>0</v>
      </c>
      <c r="T13" s="96"/>
      <c r="U13" s="96"/>
    </row>
    <row r="14" spans="1:21" s="3" customFormat="1" ht="15" customHeight="1" x14ac:dyDescent="0.2">
      <c r="A14" s="96"/>
      <c r="B14" s="134"/>
      <c r="C14" s="135"/>
      <c r="D14" s="135"/>
      <c r="E14" s="109" t="s">
        <v>86</v>
      </c>
      <c r="F14" s="83">
        <v>0</v>
      </c>
      <c r="G14" s="84">
        <v>0</v>
      </c>
      <c r="H14" s="84">
        <v>0</v>
      </c>
      <c r="I14" s="84">
        <v>0</v>
      </c>
      <c r="J14" s="84">
        <v>0</v>
      </c>
      <c r="K14" s="84">
        <v>0</v>
      </c>
      <c r="L14" s="84">
        <v>0</v>
      </c>
      <c r="M14" s="84">
        <v>0</v>
      </c>
      <c r="N14" s="84">
        <v>0</v>
      </c>
      <c r="O14" s="84">
        <v>0</v>
      </c>
      <c r="P14" s="84">
        <v>0</v>
      </c>
      <c r="Q14" s="84">
        <v>0</v>
      </c>
      <c r="R14" s="84">
        <v>0</v>
      </c>
      <c r="S14" s="25">
        <f t="shared" si="2"/>
        <v>0</v>
      </c>
      <c r="T14" s="96"/>
      <c r="U14" s="96"/>
    </row>
    <row r="15" spans="1:21" s="3" customFormat="1" ht="15" customHeight="1" x14ac:dyDescent="0.2">
      <c r="A15" s="96"/>
      <c r="B15" s="134"/>
      <c r="C15" s="135"/>
      <c r="D15" s="135"/>
      <c r="E15" s="109" t="s">
        <v>87</v>
      </c>
      <c r="F15" s="83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25">
        <f t="shared" si="2"/>
        <v>0</v>
      </c>
      <c r="T15" s="96"/>
      <c r="U15" s="96"/>
    </row>
    <row r="16" spans="1:21" s="3" customFormat="1" ht="15" customHeight="1" x14ac:dyDescent="0.2">
      <c r="A16" s="96"/>
      <c r="B16" s="134"/>
      <c r="C16" s="135"/>
      <c r="D16" s="135"/>
      <c r="E16" s="109" t="s">
        <v>88</v>
      </c>
      <c r="F16" s="83">
        <v>0</v>
      </c>
      <c r="G16" s="84">
        <v>0</v>
      </c>
      <c r="H16" s="84">
        <v>0</v>
      </c>
      <c r="I16" s="84">
        <v>0</v>
      </c>
      <c r="J16" s="84">
        <v>0</v>
      </c>
      <c r="K16" s="84">
        <v>0</v>
      </c>
      <c r="L16" s="84">
        <v>0</v>
      </c>
      <c r="M16" s="84">
        <v>0</v>
      </c>
      <c r="N16" s="84">
        <v>0</v>
      </c>
      <c r="O16" s="84">
        <v>0</v>
      </c>
      <c r="P16" s="84">
        <v>0</v>
      </c>
      <c r="Q16" s="84">
        <v>0</v>
      </c>
      <c r="R16" s="84">
        <v>0</v>
      </c>
      <c r="S16" s="25">
        <f t="shared" si="2"/>
        <v>0</v>
      </c>
      <c r="T16" s="96"/>
      <c r="U16" s="96"/>
    </row>
    <row r="17" spans="1:21" s="3" customFormat="1" ht="15" customHeight="1" x14ac:dyDescent="0.2">
      <c r="A17" s="96"/>
      <c r="B17" s="134"/>
      <c r="C17" s="135"/>
      <c r="D17" s="135"/>
      <c r="E17" s="109" t="s">
        <v>47</v>
      </c>
      <c r="F17" s="83">
        <v>0</v>
      </c>
      <c r="G17" s="84">
        <v>0</v>
      </c>
      <c r="H17" s="84">
        <v>0</v>
      </c>
      <c r="I17" s="84">
        <v>0</v>
      </c>
      <c r="J17" s="84">
        <v>0</v>
      </c>
      <c r="K17" s="84">
        <v>0</v>
      </c>
      <c r="L17" s="84">
        <v>0</v>
      </c>
      <c r="M17" s="84">
        <v>0</v>
      </c>
      <c r="N17" s="84">
        <v>0</v>
      </c>
      <c r="O17" s="84">
        <v>0</v>
      </c>
      <c r="P17" s="84">
        <v>0</v>
      </c>
      <c r="Q17" s="84">
        <v>0</v>
      </c>
      <c r="R17" s="84">
        <v>0</v>
      </c>
      <c r="S17" s="25">
        <f t="shared" si="2"/>
        <v>0</v>
      </c>
      <c r="T17" s="96"/>
      <c r="U17" s="96"/>
    </row>
    <row r="18" spans="1:21" s="3" customFormat="1" ht="15" customHeight="1" x14ac:dyDescent="0.2">
      <c r="A18" s="96"/>
      <c r="B18" s="134"/>
      <c r="C18" s="135"/>
      <c r="D18" s="135"/>
      <c r="E18" s="109" t="s">
        <v>3</v>
      </c>
      <c r="F18" s="83">
        <v>0</v>
      </c>
      <c r="G18" s="84">
        <v>0</v>
      </c>
      <c r="H18" s="84">
        <v>0</v>
      </c>
      <c r="I18" s="84">
        <v>0</v>
      </c>
      <c r="J18" s="84">
        <v>0</v>
      </c>
      <c r="K18" s="84">
        <v>0</v>
      </c>
      <c r="L18" s="84">
        <v>0</v>
      </c>
      <c r="M18" s="84">
        <v>0</v>
      </c>
      <c r="N18" s="84">
        <v>0</v>
      </c>
      <c r="O18" s="84">
        <v>0</v>
      </c>
      <c r="P18" s="84">
        <v>0</v>
      </c>
      <c r="Q18" s="84">
        <v>0</v>
      </c>
      <c r="R18" s="84">
        <v>0</v>
      </c>
      <c r="S18" s="21">
        <f t="shared" si="2"/>
        <v>0</v>
      </c>
      <c r="T18" s="96"/>
      <c r="U18" s="96"/>
    </row>
    <row r="19" spans="1:21" ht="15" customHeight="1" x14ac:dyDescent="0.2">
      <c r="A19" s="79"/>
      <c r="B19" s="134"/>
      <c r="C19" s="135"/>
      <c r="D19" s="135"/>
      <c r="E19" s="26" t="s">
        <v>1</v>
      </c>
      <c r="F19" s="27">
        <f t="shared" ref="F19:R19" si="3">SUM(F13:F18)</f>
        <v>0</v>
      </c>
      <c r="G19" s="28">
        <f t="shared" si="3"/>
        <v>0</v>
      </c>
      <c r="H19" s="28">
        <f t="shared" si="3"/>
        <v>0</v>
      </c>
      <c r="I19" s="28">
        <f t="shared" si="3"/>
        <v>0</v>
      </c>
      <c r="J19" s="28">
        <f t="shared" si="3"/>
        <v>0</v>
      </c>
      <c r="K19" s="28">
        <f t="shared" si="3"/>
        <v>0</v>
      </c>
      <c r="L19" s="28">
        <f t="shared" si="3"/>
        <v>0</v>
      </c>
      <c r="M19" s="28">
        <f t="shared" si="3"/>
        <v>0</v>
      </c>
      <c r="N19" s="28">
        <f t="shared" si="3"/>
        <v>0</v>
      </c>
      <c r="O19" s="28">
        <f t="shared" si="3"/>
        <v>0</v>
      </c>
      <c r="P19" s="28">
        <f t="shared" si="3"/>
        <v>0</v>
      </c>
      <c r="Q19" s="28">
        <f t="shared" si="3"/>
        <v>0</v>
      </c>
      <c r="R19" s="28">
        <f t="shared" si="3"/>
        <v>0</v>
      </c>
      <c r="S19" s="51">
        <f>SUM(S13:S18)</f>
        <v>0</v>
      </c>
      <c r="T19" s="79"/>
      <c r="U19" s="79"/>
    </row>
    <row r="20" spans="1:21" ht="15" customHeight="1" thickBot="1" x14ac:dyDescent="0.25">
      <c r="A20" s="79"/>
      <c r="B20" s="136"/>
      <c r="C20" s="137"/>
      <c r="D20" s="137"/>
      <c r="E20" s="29" t="s">
        <v>4</v>
      </c>
      <c r="F20" s="49" t="str">
        <f t="shared" ref="F20:S20" si="4">IF(F11=0,"-",F19/F11)</f>
        <v>-</v>
      </c>
      <c r="G20" s="30" t="str">
        <f t="shared" si="4"/>
        <v>-</v>
      </c>
      <c r="H20" s="30" t="str">
        <f t="shared" si="4"/>
        <v>-</v>
      </c>
      <c r="I20" s="30" t="str">
        <f t="shared" si="4"/>
        <v>-</v>
      </c>
      <c r="J20" s="30" t="str">
        <f t="shared" si="4"/>
        <v>-</v>
      </c>
      <c r="K20" s="30" t="str">
        <f t="shared" si="4"/>
        <v>-</v>
      </c>
      <c r="L20" s="30" t="str">
        <f t="shared" si="4"/>
        <v>-</v>
      </c>
      <c r="M20" s="30" t="str">
        <f t="shared" si="4"/>
        <v>-</v>
      </c>
      <c r="N20" s="30" t="str">
        <f t="shared" si="4"/>
        <v>-</v>
      </c>
      <c r="O20" s="30" t="str">
        <f t="shared" si="4"/>
        <v>-</v>
      </c>
      <c r="P20" s="30" t="str">
        <f t="shared" si="4"/>
        <v>-</v>
      </c>
      <c r="Q20" s="30" t="str">
        <f t="shared" si="4"/>
        <v>-</v>
      </c>
      <c r="R20" s="30" t="str">
        <f t="shared" si="4"/>
        <v>-</v>
      </c>
      <c r="S20" s="31" t="str">
        <f t="shared" si="4"/>
        <v>-</v>
      </c>
      <c r="T20" s="79"/>
      <c r="U20" s="79"/>
    </row>
    <row r="21" spans="1:21" ht="11.25" customHeight="1" thickBot="1" x14ac:dyDescent="0.25">
      <c r="A21" s="79"/>
      <c r="B21" s="79"/>
      <c r="C21" s="79"/>
      <c r="D21" s="80"/>
      <c r="E21" s="102"/>
      <c r="F21" s="103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2"/>
      <c r="T21" s="79"/>
      <c r="U21" s="79"/>
    </row>
    <row r="22" spans="1:21" ht="15" customHeight="1" x14ac:dyDescent="0.2">
      <c r="A22" s="79"/>
      <c r="B22" s="14"/>
      <c r="C22" s="15"/>
      <c r="D22" s="138" t="s">
        <v>89</v>
      </c>
      <c r="E22" s="110" t="s">
        <v>2</v>
      </c>
      <c r="F22" s="81">
        <v>0</v>
      </c>
      <c r="G22" s="82">
        <v>0</v>
      </c>
      <c r="H22" s="82">
        <v>0</v>
      </c>
      <c r="I22" s="82">
        <v>0</v>
      </c>
      <c r="J22" s="82">
        <v>0</v>
      </c>
      <c r="K22" s="82">
        <v>0</v>
      </c>
      <c r="L22" s="82">
        <v>0</v>
      </c>
      <c r="M22" s="82">
        <v>0</v>
      </c>
      <c r="N22" s="82">
        <v>0</v>
      </c>
      <c r="O22" s="82">
        <v>0</v>
      </c>
      <c r="P22" s="82">
        <v>0</v>
      </c>
      <c r="Q22" s="82">
        <v>0</v>
      </c>
      <c r="R22" s="82">
        <v>0</v>
      </c>
      <c r="S22" s="32">
        <f t="shared" ref="S22:S27" si="5">SUM(G22:R22)</f>
        <v>0</v>
      </c>
      <c r="T22" s="79"/>
      <c r="U22" s="79"/>
    </row>
    <row r="23" spans="1:21" ht="15" customHeight="1" x14ac:dyDescent="0.2">
      <c r="A23" s="79"/>
      <c r="B23" s="173" t="s">
        <v>48</v>
      </c>
      <c r="C23" s="131" t="s">
        <v>5</v>
      </c>
      <c r="D23" s="129"/>
      <c r="E23" s="111" t="s">
        <v>49</v>
      </c>
      <c r="F23" s="83">
        <v>0</v>
      </c>
      <c r="G23" s="84">
        <v>0</v>
      </c>
      <c r="H23" s="84">
        <v>0</v>
      </c>
      <c r="I23" s="84">
        <v>0</v>
      </c>
      <c r="J23" s="84">
        <v>0</v>
      </c>
      <c r="K23" s="84">
        <v>0</v>
      </c>
      <c r="L23" s="84">
        <v>0</v>
      </c>
      <c r="M23" s="84">
        <v>0</v>
      </c>
      <c r="N23" s="84">
        <v>0</v>
      </c>
      <c r="O23" s="84">
        <v>0</v>
      </c>
      <c r="P23" s="84">
        <v>0</v>
      </c>
      <c r="Q23" s="84">
        <v>0</v>
      </c>
      <c r="R23" s="84">
        <v>0</v>
      </c>
      <c r="S23" s="33">
        <f t="shared" si="5"/>
        <v>0</v>
      </c>
      <c r="T23" s="79"/>
      <c r="U23" s="79"/>
    </row>
    <row r="24" spans="1:21" ht="15" customHeight="1" x14ac:dyDescent="0.2">
      <c r="A24" s="79"/>
      <c r="B24" s="173"/>
      <c r="C24" s="131"/>
      <c r="D24" s="129"/>
      <c r="E24" s="111" t="s">
        <v>68</v>
      </c>
      <c r="F24" s="83">
        <v>0</v>
      </c>
      <c r="G24" s="84">
        <v>0</v>
      </c>
      <c r="H24" s="84">
        <v>0</v>
      </c>
      <c r="I24" s="84">
        <v>0</v>
      </c>
      <c r="J24" s="84">
        <v>0</v>
      </c>
      <c r="K24" s="84">
        <v>0</v>
      </c>
      <c r="L24" s="84">
        <v>0</v>
      </c>
      <c r="M24" s="84">
        <v>0</v>
      </c>
      <c r="N24" s="84">
        <v>0</v>
      </c>
      <c r="O24" s="84">
        <v>0</v>
      </c>
      <c r="P24" s="84">
        <v>0</v>
      </c>
      <c r="Q24" s="84">
        <v>0</v>
      </c>
      <c r="R24" s="84">
        <v>0</v>
      </c>
      <c r="S24" s="33">
        <f t="shared" si="5"/>
        <v>0</v>
      </c>
      <c r="T24" s="79"/>
      <c r="U24" s="79"/>
    </row>
    <row r="25" spans="1:21" ht="15" customHeight="1" x14ac:dyDescent="0.2">
      <c r="A25" s="79"/>
      <c r="B25" s="173"/>
      <c r="C25" s="131"/>
      <c r="D25" s="129"/>
      <c r="E25" s="111" t="s">
        <v>66</v>
      </c>
      <c r="F25" s="83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33">
        <f t="shared" si="5"/>
        <v>0</v>
      </c>
      <c r="T25" s="79"/>
      <c r="U25" s="79"/>
    </row>
    <row r="26" spans="1:21" ht="15" customHeight="1" x14ac:dyDescent="0.2">
      <c r="A26" s="79"/>
      <c r="B26" s="173"/>
      <c r="C26" s="131"/>
      <c r="D26" s="129"/>
      <c r="E26" s="111" t="s">
        <v>7</v>
      </c>
      <c r="F26" s="83">
        <v>0</v>
      </c>
      <c r="G26" s="84">
        <v>0</v>
      </c>
      <c r="H26" s="84">
        <v>0</v>
      </c>
      <c r="I26" s="84">
        <v>0</v>
      </c>
      <c r="J26" s="84">
        <v>0</v>
      </c>
      <c r="K26" s="84">
        <v>0</v>
      </c>
      <c r="L26" s="84">
        <v>0</v>
      </c>
      <c r="M26" s="84">
        <v>0</v>
      </c>
      <c r="N26" s="84">
        <v>0</v>
      </c>
      <c r="O26" s="84">
        <v>0</v>
      </c>
      <c r="P26" s="84">
        <v>0</v>
      </c>
      <c r="Q26" s="84">
        <v>0</v>
      </c>
      <c r="R26" s="84">
        <v>0</v>
      </c>
      <c r="S26" s="33">
        <f t="shared" si="5"/>
        <v>0</v>
      </c>
      <c r="T26" s="79"/>
      <c r="U26" s="79"/>
    </row>
    <row r="27" spans="1:21" ht="15" customHeight="1" x14ac:dyDescent="0.2">
      <c r="A27" s="79"/>
      <c r="B27" s="173"/>
      <c r="C27" s="131"/>
      <c r="D27" s="130"/>
      <c r="E27" s="6" t="s">
        <v>93</v>
      </c>
      <c r="F27" s="34">
        <f t="shared" ref="F27:R27" si="6">SUM(F22:F26)</f>
        <v>0</v>
      </c>
      <c r="G27" s="35">
        <f t="shared" si="6"/>
        <v>0</v>
      </c>
      <c r="H27" s="35">
        <f t="shared" si="6"/>
        <v>0</v>
      </c>
      <c r="I27" s="35">
        <f t="shared" si="6"/>
        <v>0</v>
      </c>
      <c r="J27" s="35">
        <f t="shared" si="6"/>
        <v>0</v>
      </c>
      <c r="K27" s="35">
        <f t="shared" si="6"/>
        <v>0</v>
      </c>
      <c r="L27" s="35">
        <f t="shared" si="6"/>
        <v>0</v>
      </c>
      <c r="M27" s="35">
        <f t="shared" si="6"/>
        <v>0</v>
      </c>
      <c r="N27" s="35">
        <f t="shared" si="6"/>
        <v>0</v>
      </c>
      <c r="O27" s="35">
        <f t="shared" si="6"/>
        <v>0</v>
      </c>
      <c r="P27" s="35">
        <f t="shared" si="6"/>
        <v>0</v>
      </c>
      <c r="Q27" s="35">
        <f t="shared" si="6"/>
        <v>0</v>
      </c>
      <c r="R27" s="35">
        <f t="shared" si="6"/>
        <v>0</v>
      </c>
      <c r="S27" s="36">
        <f t="shared" si="5"/>
        <v>0</v>
      </c>
      <c r="T27" s="79"/>
      <c r="U27" s="79"/>
    </row>
    <row r="28" spans="1:21" ht="15" customHeight="1" x14ac:dyDescent="0.2">
      <c r="A28" s="79"/>
      <c r="B28" s="173"/>
      <c r="C28" s="131"/>
      <c r="D28" s="124" t="s">
        <v>33</v>
      </c>
      <c r="E28" s="111" t="s">
        <v>50</v>
      </c>
      <c r="F28" s="83">
        <v>0</v>
      </c>
      <c r="G28" s="84">
        <v>0</v>
      </c>
      <c r="H28" s="84">
        <v>0</v>
      </c>
      <c r="I28" s="84">
        <v>0</v>
      </c>
      <c r="J28" s="84">
        <v>0</v>
      </c>
      <c r="K28" s="84">
        <v>0</v>
      </c>
      <c r="L28" s="84">
        <v>0</v>
      </c>
      <c r="M28" s="84">
        <v>0</v>
      </c>
      <c r="N28" s="84">
        <v>0</v>
      </c>
      <c r="O28" s="84">
        <v>0</v>
      </c>
      <c r="P28" s="84">
        <v>0</v>
      </c>
      <c r="Q28" s="84">
        <v>0</v>
      </c>
      <c r="R28" s="84">
        <v>0</v>
      </c>
      <c r="S28" s="37">
        <f t="shared" ref="S28:S41" si="7">SUM(G28:R28)</f>
        <v>0</v>
      </c>
      <c r="T28" s="79"/>
      <c r="U28" s="79"/>
    </row>
    <row r="29" spans="1:21" ht="15" customHeight="1" x14ac:dyDescent="0.2">
      <c r="A29" s="79"/>
      <c r="B29" s="173"/>
      <c r="C29" s="131"/>
      <c r="D29" s="124"/>
      <c r="E29" s="111" t="s">
        <v>51</v>
      </c>
      <c r="F29" s="83">
        <v>0</v>
      </c>
      <c r="G29" s="84">
        <v>0</v>
      </c>
      <c r="H29" s="84">
        <v>0</v>
      </c>
      <c r="I29" s="84">
        <v>0</v>
      </c>
      <c r="J29" s="84">
        <v>0</v>
      </c>
      <c r="K29" s="84">
        <v>0</v>
      </c>
      <c r="L29" s="84">
        <v>0</v>
      </c>
      <c r="M29" s="84">
        <v>0</v>
      </c>
      <c r="N29" s="84">
        <v>0</v>
      </c>
      <c r="O29" s="84">
        <v>0</v>
      </c>
      <c r="P29" s="84">
        <v>0</v>
      </c>
      <c r="Q29" s="84">
        <v>0</v>
      </c>
      <c r="R29" s="84">
        <v>0</v>
      </c>
      <c r="S29" s="38">
        <f t="shared" si="7"/>
        <v>0</v>
      </c>
      <c r="T29" s="79"/>
      <c r="U29" s="79"/>
    </row>
    <row r="30" spans="1:21" ht="15" customHeight="1" x14ac:dyDescent="0.2">
      <c r="A30" s="79"/>
      <c r="B30" s="173"/>
      <c r="C30" s="131"/>
      <c r="D30" s="124"/>
      <c r="E30" s="111" t="s">
        <v>65</v>
      </c>
      <c r="F30" s="83">
        <v>0</v>
      </c>
      <c r="G30" s="84">
        <v>0</v>
      </c>
      <c r="H30" s="84">
        <v>0</v>
      </c>
      <c r="I30" s="84">
        <v>0</v>
      </c>
      <c r="J30" s="84">
        <v>0</v>
      </c>
      <c r="K30" s="84">
        <v>0</v>
      </c>
      <c r="L30" s="84">
        <v>0</v>
      </c>
      <c r="M30" s="84">
        <v>0</v>
      </c>
      <c r="N30" s="84">
        <v>0</v>
      </c>
      <c r="O30" s="84">
        <v>0</v>
      </c>
      <c r="P30" s="84">
        <v>0</v>
      </c>
      <c r="Q30" s="84">
        <v>0</v>
      </c>
      <c r="R30" s="84">
        <v>0</v>
      </c>
      <c r="S30" s="33">
        <f t="shared" si="7"/>
        <v>0</v>
      </c>
      <c r="T30" s="79"/>
      <c r="U30" s="79"/>
    </row>
    <row r="31" spans="1:21" ht="15" customHeight="1" x14ac:dyDescent="0.2">
      <c r="A31" s="79"/>
      <c r="B31" s="173"/>
      <c r="C31" s="131"/>
      <c r="D31" s="124"/>
      <c r="E31" s="6" t="s">
        <v>93</v>
      </c>
      <c r="F31" s="34">
        <f t="shared" ref="F31:R31" si="8">SUM(F28:F30)</f>
        <v>0</v>
      </c>
      <c r="G31" s="35">
        <f t="shared" si="8"/>
        <v>0</v>
      </c>
      <c r="H31" s="35">
        <f t="shared" si="8"/>
        <v>0</v>
      </c>
      <c r="I31" s="35">
        <f t="shared" si="8"/>
        <v>0</v>
      </c>
      <c r="J31" s="35">
        <f t="shared" si="8"/>
        <v>0</v>
      </c>
      <c r="K31" s="35">
        <f t="shared" si="8"/>
        <v>0</v>
      </c>
      <c r="L31" s="35">
        <f t="shared" si="8"/>
        <v>0</v>
      </c>
      <c r="M31" s="35">
        <f t="shared" si="8"/>
        <v>0</v>
      </c>
      <c r="N31" s="35">
        <f t="shared" si="8"/>
        <v>0</v>
      </c>
      <c r="O31" s="35">
        <f t="shared" si="8"/>
        <v>0</v>
      </c>
      <c r="P31" s="35">
        <f t="shared" si="8"/>
        <v>0</v>
      </c>
      <c r="Q31" s="35">
        <f t="shared" si="8"/>
        <v>0</v>
      </c>
      <c r="R31" s="35">
        <f t="shared" si="8"/>
        <v>0</v>
      </c>
      <c r="S31" s="36">
        <f t="shared" si="7"/>
        <v>0</v>
      </c>
      <c r="T31" s="79"/>
      <c r="U31" s="79"/>
    </row>
    <row r="32" spans="1:21" ht="15" customHeight="1" x14ac:dyDescent="0.2">
      <c r="A32" s="79"/>
      <c r="B32" s="173"/>
      <c r="C32" s="131"/>
      <c r="D32" s="124" t="s">
        <v>8</v>
      </c>
      <c r="E32" s="111" t="s">
        <v>9</v>
      </c>
      <c r="F32" s="83">
        <v>0</v>
      </c>
      <c r="G32" s="84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  <c r="N32" s="84">
        <v>0</v>
      </c>
      <c r="O32" s="84">
        <v>0</v>
      </c>
      <c r="P32" s="84">
        <v>0</v>
      </c>
      <c r="Q32" s="84">
        <v>0</v>
      </c>
      <c r="R32" s="84">
        <v>0</v>
      </c>
      <c r="S32" s="37">
        <f t="shared" si="7"/>
        <v>0</v>
      </c>
      <c r="T32" s="79"/>
      <c r="U32" s="79"/>
    </row>
    <row r="33" spans="1:21" ht="15" customHeight="1" x14ac:dyDescent="0.2">
      <c r="A33" s="79"/>
      <c r="B33" s="173"/>
      <c r="C33" s="131"/>
      <c r="D33" s="124"/>
      <c r="E33" s="111" t="s">
        <v>10</v>
      </c>
      <c r="F33" s="83">
        <v>0</v>
      </c>
      <c r="G33" s="84">
        <v>0</v>
      </c>
      <c r="H33" s="84">
        <v>0</v>
      </c>
      <c r="I33" s="84">
        <v>0</v>
      </c>
      <c r="J33" s="84">
        <v>0</v>
      </c>
      <c r="K33" s="84">
        <v>0</v>
      </c>
      <c r="L33" s="84">
        <v>0</v>
      </c>
      <c r="M33" s="84">
        <v>0</v>
      </c>
      <c r="N33" s="84">
        <v>0</v>
      </c>
      <c r="O33" s="84">
        <v>0</v>
      </c>
      <c r="P33" s="84">
        <v>0</v>
      </c>
      <c r="Q33" s="84">
        <v>0</v>
      </c>
      <c r="R33" s="84">
        <v>0</v>
      </c>
      <c r="S33" s="33">
        <f t="shared" si="7"/>
        <v>0</v>
      </c>
      <c r="T33" s="79"/>
      <c r="U33" s="79"/>
    </row>
    <row r="34" spans="1:21" ht="15" customHeight="1" x14ac:dyDescent="0.2">
      <c r="A34" s="79"/>
      <c r="B34" s="173"/>
      <c r="C34" s="131"/>
      <c r="D34" s="124"/>
      <c r="E34" s="111" t="s">
        <v>11</v>
      </c>
      <c r="F34" s="83">
        <v>0</v>
      </c>
      <c r="G34" s="84">
        <v>0</v>
      </c>
      <c r="H34" s="84">
        <v>0</v>
      </c>
      <c r="I34" s="84">
        <v>0</v>
      </c>
      <c r="J34" s="84">
        <v>0</v>
      </c>
      <c r="K34" s="84">
        <v>0</v>
      </c>
      <c r="L34" s="84">
        <v>0</v>
      </c>
      <c r="M34" s="84">
        <v>0</v>
      </c>
      <c r="N34" s="84">
        <v>0</v>
      </c>
      <c r="O34" s="84">
        <v>0</v>
      </c>
      <c r="P34" s="84">
        <v>0</v>
      </c>
      <c r="Q34" s="84">
        <v>0</v>
      </c>
      <c r="R34" s="84">
        <v>0</v>
      </c>
      <c r="S34" s="33">
        <f t="shared" si="7"/>
        <v>0</v>
      </c>
      <c r="T34" s="79"/>
      <c r="U34" s="79"/>
    </row>
    <row r="35" spans="1:21" ht="15" customHeight="1" x14ac:dyDescent="0.2">
      <c r="A35" s="79"/>
      <c r="B35" s="173"/>
      <c r="C35" s="131"/>
      <c r="D35" s="124"/>
      <c r="E35" s="6" t="s">
        <v>93</v>
      </c>
      <c r="F35" s="34">
        <f t="shared" ref="F35:R35" si="9">SUM(F32:F34)</f>
        <v>0</v>
      </c>
      <c r="G35" s="35">
        <f t="shared" si="9"/>
        <v>0</v>
      </c>
      <c r="H35" s="35">
        <f t="shared" si="9"/>
        <v>0</v>
      </c>
      <c r="I35" s="35">
        <f t="shared" si="9"/>
        <v>0</v>
      </c>
      <c r="J35" s="35">
        <f t="shared" si="9"/>
        <v>0</v>
      </c>
      <c r="K35" s="35">
        <f t="shared" si="9"/>
        <v>0</v>
      </c>
      <c r="L35" s="35">
        <f t="shared" si="9"/>
        <v>0</v>
      </c>
      <c r="M35" s="35">
        <f t="shared" si="9"/>
        <v>0</v>
      </c>
      <c r="N35" s="35">
        <f t="shared" si="9"/>
        <v>0</v>
      </c>
      <c r="O35" s="35">
        <f t="shared" si="9"/>
        <v>0</v>
      </c>
      <c r="P35" s="35">
        <f t="shared" si="9"/>
        <v>0</v>
      </c>
      <c r="Q35" s="35">
        <f t="shared" si="9"/>
        <v>0</v>
      </c>
      <c r="R35" s="35">
        <f t="shared" si="9"/>
        <v>0</v>
      </c>
      <c r="S35" s="36">
        <f t="shared" si="7"/>
        <v>0</v>
      </c>
      <c r="T35" s="79"/>
      <c r="U35" s="79"/>
    </row>
    <row r="36" spans="1:21" ht="15" customHeight="1" x14ac:dyDescent="0.2">
      <c r="A36" s="79"/>
      <c r="B36" s="173"/>
      <c r="C36" s="131"/>
      <c r="D36" s="124" t="s">
        <v>12</v>
      </c>
      <c r="E36" s="111" t="s">
        <v>13</v>
      </c>
      <c r="F36" s="83">
        <v>0</v>
      </c>
      <c r="G36" s="84">
        <v>0</v>
      </c>
      <c r="H36" s="84">
        <v>0</v>
      </c>
      <c r="I36" s="84">
        <v>0</v>
      </c>
      <c r="J36" s="84">
        <v>0</v>
      </c>
      <c r="K36" s="84">
        <v>0</v>
      </c>
      <c r="L36" s="84">
        <v>0</v>
      </c>
      <c r="M36" s="84">
        <v>0</v>
      </c>
      <c r="N36" s="84">
        <v>0</v>
      </c>
      <c r="O36" s="84">
        <v>0</v>
      </c>
      <c r="P36" s="84">
        <v>0</v>
      </c>
      <c r="Q36" s="84">
        <v>0</v>
      </c>
      <c r="R36" s="84">
        <v>0</v>
      </c>
      <c r="S36" s="37">
        <f t="shared" si="7"/>
        <v>0</v>
      </c>
      <c r="T36" s="79"/>
      <c r="U36" s="79"/>
    </row>
    <row r="37" spans="1:21" ht="15" customHeight="1" x14ac:dyDescent="0.2">
      <c r="A37" s="79"/>
      <c r="B37" s="173"/>
      <c r="C37" s="131"/>
      <c r="D37" s="124"/>
      <c r="E37" s="111" t="s">
        <v>34</v>
      </c>
      <c r="F37" s="83">
        <v>0</v>
      </c>
      <c r="G37" s="84">
        <v>0</v>
      </c>
      <c r="H37" s="84">
        <v>0</v>
      </c>
      <c r="I37" s="84">
        <v>0</v>
      </c>
      <c r="J37" s="84">
        <v>0</v>
      </c>
      <c r="K37" s="84">
        <v>0</v>
      </c>
      <c r="L37" s="84">
        <v>0</v>
      </c>
      <c r="M37" s="84">
        <v>0</v>
      </c>
      <c r="N37" s="84">
        <v>0</v>
      </c>
      <c r="O37" s="84">
        <v>0</v>
      </c>
      <c r="P37" s="84">
        <v>0</v>
      </c>
      <c r="Q37" s="84">
        <v>0</v>
      </c>
      <c r="R37" s="84">
        <v>0</v>
      </c>
      <c r="S37" s="39">
        <f t="shared" si="7"/>
        <v>0</v>
      </c>
      <c r="T37" s="79"/>
      <c r="U37" s="79"/>
    </row>
    <row r="38" spans="1:21" ht="15" customHeight="1" x14ac:dyDescent="0.2">
      <c r="A38" s="79"/>
      <c r="B38" s="173"/>
      <c r="C38" s="131"/>
      <c r="D38" s="124"/>
      <c r="E38" s="6" t="s">
        <v>93</v>
      </c>
      <c r="F38" s="34">
        <f t="shared" ref="F38:R38" si="10">SUM(F36:F37)</f>
        <v>0</v>
      </c>
      <c r="G38" s="35">
        <f t="shared" si="10"/>
        <v>0</v>
      </c>
      <c r="H38" s="35">
        <f t="shared" si="10"/>
        <v>0</v>
      </c>
      <c r="I38" s="35">
        <f t="shared" si="10"/>
        <v>0</v>
      </c>
      <c r="J38" s="35">
        <f t="shared" si="10"/>
        <v>0</v>
      </c>
      <c r="K38" s="35">
        <f t="shared" si="10"/>
        <v>0</v>
      </c>
      <c r="L38" s="35">
        <f t="shared" si="10"/>
        <v>0</v>
      </c>
      <c r="M38" s="35">
        <f t="shared" si="10"/>
        <v>0</v>
      </c>
      <c r="N38" s="35">
        <f t="shared" si="10"/>
        <v>0</v>
      </c>
      <c r="O38" s="35">
        <f t="shared" si="10"/>
        <v>0</v>
      </c>
      <c r="P38" s="35">
        <f t="shared" si="10"/>
        <v>0</v>
      </c>
      <c r="Q38" s="35">
        <f t="shared" si="10"/>
        <v>0</v>
      </c>
      <c r="R38" s="35">
        <f t="shared" si="10"/>
        <v>0</v>
      </c>
      <c r="S38" s="36">
        <f t="shared" si="7"/>
        <v>0</v>
      </c>
      <c r="T38" s="79"/>
      <c r="U38" s="79"/>
    </row>
    <row r="39" spans="1:21" ht="15" customHeight="1" x14ac:dyDescent="0.2">
      <c r="A39" s="79"/>
      <c r="B39" s="173"/>
      <c r="C39" s="131"/>
      <c r="D39" s="145" t="s">
        <v>3</v>
      </c>
      <c r="E39" s="111" t="s">
        <v>52</v>
      </c>
      <c r="F39" s="83">
        <v>0</v>
      </c>
      <c r="G39" s="84">
        <v>0</v>
      </c>
      <c r="H39" s="84">
        <v>0</v>
      </c>
      <c r="I39" s="84">
        <v>0</v>
      </c>
      <c r="J39" s="84">
        <v>0</v>
      </c>
      <c r="K39" s="84">
        <v>0</v>
      </c>
      <c r="L39" s="84">
        <v>0</v>
      </c>
      <c r="M39" s="84">
        <v>0</v>
      </c>
      <c r="N39" s="84">
        <v>0</v>
      </c>
      <c r="O39" s="84">
        <v>0</v>
      </c>
      <c r="P39" s="84">
        <v>0</v>
      </c>
      <c r="Q39" s="84">
        <v>0</v>
      </c>
      <c r="R39" s="84">
        <v>0</v>
      </c>
      <c r="S39" s="37">
        <f t="shared" si="7"/>
        <v>0</v>
      </c>
      <c r="T39" s="79"/>
      <c r="U39" s="79"/>
    </row>
    <row r="40" spans="1:21" ht="15" customHeight="1" x14ac:dyDescent="0.2">
      <c r="A40" s="79"/>
      <c r="B40" s="173"/>
      <c r="C40" s="131"/>
      <c r="D40" s="126"/>
      <c r="E40" s="111" t="s">
        <v>3</v>
      </c>
      <c r="F40" s="83">
        <v>0</v>
      </c>
      <c r="G40" s="84">
        <v>0</v>
      </c>
      <c r="H40" s="84">
        <v>0</v>
      </c>
      <c r="I40" s="84">
        <v>0</v>
      </c>
      <c r="J40" s="84">
        <v>0</v>
      </c>
      <c r="K40" s="84">
        <v>0</v>
      </c>
      <c r="L40" s="84">
        <v>0</v>
      </c>
      <c r="M40" s="84">
        <v>0</v>
      </c>
      <c r="N40" s="84">
        <v>0</v>
      </c>
      <c r="O40" s="84">
        <v>0</v>
      </c>
      <c r="P40" s="84">
        <v>0</v>
      </c>
      <c r="Q40" s="84">
        <v>0</v>
      </c>
      <c r="R40" s="84">
        <v>0</v>
      </c>
      <c r="S40" s="39">
        <f t="shared" si="7"/>
        <v>0</v>
      </c>
      <c r="T40" s="79"/>
      <c r="U40" s="79"/>
    </row>
    <row r="41" spans="1:21" ht="15" customHeight="1" x14ac:dyDescent="0.2">
      <c r="A41" s="79"/>
      <c r="B41" s="173"/>
      <c r="C41" s="131"/>
      <c r="D41" s="127"/>
      <c r="E41" s="6" t="s">
        <v>93</v>
      </c>
      <c r="F41" s="34">
        <f>SUM(F39:F40)</f>
        <v>0</v>
      </c>
      <c r="G41" s="35">
        <f>SUM(G39:G40)</f>
        <v>0</v>
      </c>
      <c r="H41" s="35">
        <f t="shared" ref="H41:R41" si="11">SUM(H39:H40)</f>
        <v>0</v>
      </c>
      <c r="I41" s="35">
        <f t="shared" si="11"/>
        <v>0</v>
      </c>
      <c r="J41" s="35">
        <f t="shared" si="11"/>
        <v>0</v>
      </c>
      <c r="K41" s="35">
        <f t="shared" si="11"/>
        <v>0</v>
      </c>
      <c r="L41" s="35">
        <f t="shared" si="11"/>
        <v>0</v>
      </c>
      <c r="M41" s="35">
        <f t="shared" si="11"/>
        <v>0</v>
      </c>
      <c r="N41" s="35">
        <f t="shared" si="11"/>
        <v>0</v>
      </c>
      <c r="O41" s="35">
        <f t="shared" si="11"/>
        <v>0</v>
      </c>
      <c r="P41" s="35">
        <f t="shared" si="11"/>
        <v>0</v>
      </c>
      <c r="Q41" s="35">
        <f t="shared" si="11"/>
        <v>0</v>
      </c>
      <c r="R41" s="35">
        <f t="shared" si="11"/>
        <v>0</v>
      </c>
      <c r="S41" s="36">
        <f t="shared" si="7"/>
        <v>0</v>
      </c>
      <c r="T41" s="79"/>
      <c r="U41" s="79"/>
    </row>
    <row r="42" spans="1:21" ht="15" customHeight="1" x14ac:dyDescent="0.2">
      <c r="A42" s="79"/>
      <c r="B42" s="173"/>
      <c r="C42" s="68"/>
      <c r="D42" s="7" t="s">
        <v>14</v>
      </c>
      <c r="E42" s="10"/>
      <c r="F42" s="52">
        <f t="shared" ref="F42:S42" si="12">SUM(F41,F38,F35,F31,F27)</f>
        <v>0</v>
      </c>
      <c r="G42" s="28">
        <f t="shared" si="12"/>
        <v>0</v>
      </c>
      <c r="H42" s="28">
        <f t="shared" si="12"/>
        <v>0</v>
      </c>
      <c r="I42" s="28">
        <f t="shared" si="12"/>
        <v>0</v>
      </c>
      <c r="J42" s="28">
        <f t="shared" si="12"/>
        <v>0</v>
      </c>
      <c r="K42" s="28">
        <f t="shared" si="12"/>
        <v>0</v>
      </c>
      <c r="L42" s="28">
        <f t="shared" si="12"/>
        <v>0</v>
      </c>
      <c r="M42" s="28">
        <f t="shared" si="12"/>
        <v>0</v>
      </c>
      <c r="N42" s="28">
        <f t="shared" si="12"/>
        <v>0</v>
      </c>
      <c r="O42" s="28">
        <f t="shared" si="12"/>
        <v>0</v>
      </c>
      <c r="P42" s="28">
        <f t="shared" si="12"/>
        <v>0</v>
      </c>
      <c r="Q42" s="28">
        <f t="shared" si="12"/>
        <v>0</v>
      </c>
      <c r="R42" s="28">
        <f t="shared" si="12"/>
        <v>0</v>
      </c>
      <c r="S42" s="53">
        <f t="shared" si="12"/>
        <v>0</v>
      </c>
      <c r="T42" s="79"/>
      <c r="U42" s="79"/>
    </row>
    <row r="43" spans="1:21" ht="15" customHeight="1" thickBot="1" x14ac:dyDescent="0.25">
      <c r="A43" s="79"/>
      <c r="B43" s="173"/>
      <c r="C43" s="69"/>
      <c r="D43" s="139" t="s">
        <v>4</v>
      </c>
      <c r="E43" s="140"/>
      <c r="F43" s="65" t="str">
        <f t="shared" ref="F43:S43" si="13">IF(F11=0,"-",F42/F11)</f>
        <v>-</v>
      </c>
      <c r="G43" s="66" t="str">
        <f t="shared" si="13"/>
        <v>-</v>
      </c>
      <c r="H43" s="66" t="str">
        <f t="shared" si="13"/>
        <v>-</v>
      </c>
      <c r="I43" s="66" t="str">
        <f t="shared" si="13"/>
        <v>-</v>
      </c>
      <c r="J43" s="66" t="str">
        <f t="shared" si="13"/>
        <v>-</v>
      </c>
      <c r="K43" s="66" t="str">
        <f t="shared" si="13"/>
        <v>-</v>
      </c>
      <c r="L43" s="66" t="str">
        <f t="shared" si="13"/>
        <v>-</v>
      </c>
      <c r="M43" s="66" t="str">
        <f t="shared" si="13"/>
        <v>-</v>
      </c>
      <c r="N43" s="66" t="str">
        <f t="shared" si="13"/>
        <v>-</v>
      </c>
      <c r="O43" s="66" t="str">
        <f t="shared" si="13"/>
        <v>-</v>
      </c>
      <c r="P43" s="66" t="str">
        <f t="shared" si="13"/>
        <v>-</v>
      </c>
      <c r="Q43" s="66" t="str">
        <f t="shared" si="13"/>
        <v>-</v>
      </c>
      <c r="R43" s="66" t="str">
        <f t="shared" si="13"/>
        <v>-</v>
      </c>
      <c r="S43" s="67" t="str">
        <f t="shared" si="13"/>
        <v>-</v>
      </c>
      <c r="T43" s="79"/>
      <c r="U43" s="79"/>
    </row>
    <row r="44" spans="1:21" ht="15" customHeight="1" thickTop="1" x14ac:dyDescent="0.2">
      <c r="A44" s="79"/>
      <c r="B44" s="173"/>
      <c r="C44" s="141" t="s">
        <v>15</v>
      </c>
      <c r="D44" s="125" t="s">
        <v>6</v>
      </c>
      <c r="E44" s="112" t="s">
        <v>16</v>
      </c>
      <c r="F44" s="85">
        <v>0</v>
      </c>
      <c r="G44" s="86">
        <v>0</v>
      </c>
      <c r="H44" s="86">
        <v>0</v>
      </c>
      <c r="I44" s="86">
        <v>0</v>
      </c>
      <c r="J44" s="86">
        <v>0</v>
      </c>
      <c r="K44" s="86">
        <v>0</v>
      </c>
      <c r="L44" s="86">
        <v>0</v>
      </c>
      <c r="M44" s="86">
        <v>0</v>
      </c>
      <c r="N44" s="86">
        <v>0</v>
      </c>
      <c r="O44" s="86">
        <v>0</v>
      </c>
      <c r="P44" s="86">
        <v>0</v>
      </c>
      <c r="Q44" s="86">
        <v>0</v>
      </c>
      <c r="R44" s="86">
        <v>0</v>
      </c>
      <c r="S44" s="47">
        <f t="shared" ref="S44:S50" si="14">SUM(G44:R44)</f>
        <v>0</v>
      </c>
      <c r="T44" s="79"/>
      <c r="U44" s="79"/>
    </row>
    <row r="45" spans="1:21" ht="15" customHeight="1" x14ac:dyDescent="0.2">
      <c r="A45" s="79"/>
      <c r="B45" s="173"/>
      <c r="C45" s="142"/>
      <c r="D45" s="126"/>
      <c r="E45" s="111" t="s">
        <v>58</v>
      </c>
      <c r="F45" s="83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41">
        <f t="shared" si="14"/>
        <v>0</v>
      </c>
      <c r="T45" s="79"/>
      <c r="U45" s="79"/>
    </row>
    <row r="46" spans="1:21" ht="15" customHeight="1" x14ac:dyDescent="0.2">
      <c r="A46" s="79"/>
      <c r="B46" s="173"/>
      <c r="C46" s="142"/>
      <c r="D46" s="126"/>
      <c r="E46" s="111" t="s">
        <v>69</v>
      </c>
      <c r="F46" s="83">
        <v>0</v>
      </c>
      <c r="G46" s="84">
        <v>0</v>
      </c>
      <c r="H46" s="84">
        <v>0</v>
      </c>
      <c r="I46" s="84">
        <v>0</v>
      </c>
      <c r="J46" s="84">
        <v>0</v>
      </c>
      <c r="K46" s="84">
        <v>0</v>
      </c>
      <c r="L46" s="84">
        <v>0</v>
      </c>
      <c r="M46" s="84">
        <v>0</v>
      </c>
      <c r="N46" s="84">
        <v>0</v>
      </c>
      <c r="O46" s="84">
        <v>0</v>
      </c>
      <c r="P46" s="84">
        <v>0</v>
      </c>
      <c r="Q46" s="84">
        <v>0</v>
      </c>
      <c r="R46" s="84">
        <v>0</v>
      </c>
      <c r="S46" s="41">
        <f t="shared" si="14"/>
        <v>0</v>
      </c>
      <c r="T46" s="79"/>
      <c r="U46" s="79"/>
    </row>
    <row r="47" spans="1:21" ht="15" customHeight="1" x14ac:dyDescent="0.2">
      <c r="A47" s="79"/>
      <c r="B47" s="173"/>
      <c r="C47" s="142"/>
      <c r="D47" s="126"/>
      <c r="E47" s="111" t="s">
        <v>17</v>
      </c>
      <c r="F47" s="83">
        <v>0</v>
      </c>
      <c r="G47" s="84">
        <v>0</v>
      </c>
      <c r="H47" s="84">
        <v>0</v>
      </c>
      <c r="I47" s="84">
        <v>0</v>
      </c>
      <c r="J47" s="84">
        <v>0</v>
      </c>
      <c r="K47" s="84">
        <v>0</v>
      </c>
      <c r="L47" s="84">
        <v>0</v>
      </c>
      <c r="M47" s="84">
        <v>0</v>
      </c>
      <c r="N47" s="84">
        <v>0</v>
      </c>
      <c r="O47" s="84">
        <v>0</v>
      </c>
      <c r="P47" s="84">
        <v>0</v>
      </c>
      <c r="Q47" s="84">
        <v>0</v>
      </c>
      <c r="R47" s="84">
        <v>0</v>
      </c>
      <c r="S47" s="41">
        <f t="shared" si="14"/>
        <v>0</v>
      </c>
      <c r="T47" s="79"/>
      <c r="U47" s="79"/>
    </row>
    <row r="48" spans="1:21" ht="15" customHeight="1" x14ac:dyDescent="0.2">
      <c r="A48" s="79"/>
      <c r="B48" s="173"/>
      <c r="C48" s="142"/>
      <c r="D48" s="126"/>
      <c r="E48" s="111" t="s">
        <v>59</v>
      </c>
      <c r="F48" s="83">
        <v>0</v>
      </c>
      <c r="G48" s="84">
        <v>0</v>
      </c>
      <c r="H48" s="84">
        <v>0</v>
      </c>
      <c r="I48" s="84">
        <v>0</v>
      </c>
      <c r="J48" s="84">
        <v>0</v>
      </c>
      <c r="K48" s="84">
        <v>0</v>
      </c>
      <c r="L48" s="84">
        <v>0</v>
      </c>
      <c r="M48" s="84">
        <v>0</v>
      </c>
      <c r="N48" s="84">
        <v>0</v>
      </c>
      <c r="O48" s="84">
        <v>0</v>
      </c>
      <c r="P48" s="84">
        <v>0</v>
      </c>
      <c r="Q48" s="84">
        <v>0</v>
      </c>
      <c r="R48" s="84">
        <v>0</v>
      </c>
      <c r="S48" s="41">
        <f t="shared" si="14"/>
        <v>0</v>
      </c>
      <c r="T48" s="79"/>
      <c r="U48" s="79"/>
    </row>
    <row r="49" spans="1:21" ht="15" customHeight="1" x14ac:dyDescent="0.2">
      <c r="A49" s="79"/>
      <c r="B49" s="173"/>
      <c r="C49" s="142"/>
      <c r="D49" s="126"/>
      <c r="E49" s="111" t="s">
        <v>3</v>
      </c>
      <c r="F49" s="83">
        <v>0</v>
      </c>
      <c r="G49" s="84">
        <v>0</v>
      </c>
      <c r="H49" s="84">
        <v>0</v>
      </c>
      <c r="I49" s="84">
        <v>0</v>
      </c>
      <c r="J49" s="84">
        <v>0</v>
      </c>
      <c r="K49" s="84">
        <v>0</v>
      </c>
      <c r="L49" s="84">
        <v>0</v>
      </c>
      <c r="M49" s="84">
        <v>0</v>
      </c>
      <c r="N49" s="84">
        <v>0</v>
      </c>
      <c r="O49" s="84">
        <v>0</v>
      </c>
      <c r="P49" s="84">
        <v>0</v>
      </c>
      <c r="Q49" s="84">
        <v>0</v>
      </c>
      <c r="R49" s="84">
        <v>0</v>
      </c>
      <c r="S49" s="41">
        <f t="shared" si="14"/>
        <v>0</v>
      </c>
      <c r="T49" s="79"/>
      <c r="U49" s="79"/>
    </row>
    <row r="50" spans="1:21" ht="15" customHeight="1" x14ac:dyDescent="0.2">
      <c r="A50" s="79"/>
      <c r="B50" s="173"/>
      <c r="C50" s="142"/>
      <c r="D50" s="127"/>
      <c r="E50" s="6" t="s">
        <v>93</v>
      </c>
      <c r="F50" s="34">
        <f t="shared" ref="F50:R50" si="15">SUM(F44:F49)</f>
        <v>0</v>
      </c>
      <c r="G50" s="35">
        <f t="shared" si="15"/>
        <v>0</v>
      </c>
      <c r="H50" s="35">
        <f t="shared" si="15"/>
        <v>0</v>
      </c>
      <c r="I50" s="35">
        <f t="shared" si="15"/>
        <v>0</v>
      </c>
      <c r="J50" s="35">
        <f t="shared" si="15"/>
        <v>0</v>
      </c>
      <c r="K50" s="35">
        <f t="shared" si="15"/>
        <v>0</v>
      </c>
      <c r="L50" s="35">
        <f t="shared" si="15"/>
        <v>0</v>
      </c>
      <c r="M50" s="35">
        <f t="shared" si="15"/>
        <v>0</v>
      </c>
      <c r="N50" s="35">
        <f t="shared" si="15"/>
        <v>0</v>
      </c>
      <c r="O50" s="35">
        <f t="shared" si="15"/>
        <v>0</v>
      </c>
      <c r="P50" s="35">
        <f t="shared" si="15"/>
        <v>0</v>
      </c>
      <c r="Q50" s="35">
        <f t="shared" si="15"/>
        <v>0</v>
      </c>
      <c r="R50" s="35">
        <f t="shared" si="15"/>
        <v>0</v>
      </c>
      <c r="S50" s="42">
        <f t="shared" si="14"/>
        <v>0</v>
      </c>
      <c r="T50" s="79"/>
      <c r="U50" s="79"/>
    </row>
    <row r="51" spans="1:21" ht="15" customHeight="1" x14ac:dyDescent="0.2">
      <c r="A51" s="79"/>
      <c r="B51" s="173"/>
      <c r="C51" s="142"/>
      <c r="D51" s="124" t="s">
        <v>8</v>
      </c>
      <c r="E51" s="111" t="s">
        <v>18</v>
      </c>
      <c r="F51" s="83">
        <v>0</v>
      </c>
      <c r="G51" s="84">
        <v>0</v>
      </c>
      <c r="H51" s="84">
        <v>0</v>
      </c>
      <c r="I51" s="84">
        <v>0</v>
      </c>
      <c r="J51" s="84">
        <v>0</v>
      </c>
      <c r="K51" s="84">
        <v>0</v>
      </c>
      <c r="L51" s="84">
        <v>0</v>
      </c>
      <c r="M51" s="84">
        <v>0</v>
      </c>
      <c r="N51" s="84">
        <v>0</v>
      </c>
      <c r="O51" s="84">
        <v>0</v>
      </c>
      <c r="P51" s="84">
        <v>0</v>
      </c>
      <c r="Q51" s="84">
        <v>0</v>
      </c>
      <c r="R51" s="84">
        <v>0</v>
      </c>
      <c r="S51" s="43">
        <f t="shared" ref="S51:S56" si="16">SUM(G51:R51)</f>
        <v>0</v>
      </c>
      <c r="T51" s="79"/>
      <c r="U51" s="79"/>
    </row>
    <row r="52" spans="1:21" ht="15" customHeight="1" x14ac:dyDescent="0.2">
      <c r="A52" s="79"/>
      <c r="B52" s="173"/>
      <c r="C52" s="142"/>
      <c r="D52" s="124"/>
      <c r="E52" s="111" t="s">
        <v>19</v>
      </c>
      <c r="F52" s="83">
        <v>0</v>
      </c>
      <c r="G52" s="84">
        <v>0</v>
      </c>
      <c r="H52" s="84">
        <v>0</v>
      </c>
      <c r="I52" s="84">
        <v>0</v>
      </c>
      <c r="J52" s="84">
        <v>0</v>
      </c>
      <c r="K52" s="84">
        <v>0</v>
      </c>
      <c r="L52" s="84">
        <v>0</v>
      </c>
      <c r="M52" s="84">
        <v>0</v>
      </c>
      <c r="N52" s="84">
        <v>0</v>
      </c>
      <c r="O52" s="84">
        <v>0</v>
      </c>
      <c r="P52" s="84">
        <v>0</v>
      </c>
      <c r="Q52" s="84">
        <v>0</v>
      </c>
      <c r="R52" s="84">
        <v>0</v>
      </c>
      <c r="S52" s="41">
        <f t="shared" si="16"/>
        <v>0</v>
      </c>
      <c r="T52" s="79"/>
      <c r="U52" s="79"/>
    </row>
    <row r="53" spans="1:21" ht="15" customHeight="1" x14ac:dyDescent="0.2">
      <c r="A53" s="79"/>
      <c r="B53" s="173"/>
      <c r="C53" s="142"/>
      <c r="D53" s="124"/>
      <c r="E53" s="111" t="s">
        <v>20</v>
      </c>
      <c r="F53" s="83">
        <v>0</v>
      </c>
      <c r="G53" s="84">
        <v>0</v>
      </c>
      <c r="H53" s="84">
        <v>0</v>
      </c>
      <c r="I53" s="84">
        <v>0</v>
      </c>
      <c r="J53" s="84">
        <v>0</v>
      </c>
      <c r="K53" s="84">
        <v>0</v>
      </c>
      <c r="L53" s="84">
        <v>0</v>
      </c>
      <c r="M53" s="84">
        <v>0</v>
      </c>
      <c r="N53" s="84">
        <v>0</v>
      </c>
      <c r="O53" s="84">
        <v>0</v>
      </c>
      <c r="P53" s="84">
        <v>0</v>
      </c>
      <c r="Q53" s="84">
        <v>0</v>
      </c>
      <c r="R53" s="84">
        <v>0</v>
      </c>
      <c r="S53" s="41">
        <f t="shared" si="16"/>
        <v>0</v>
      </c>
      <c r="T53" s="79"/>
      <c r="U53" s="79"/>
    </row>
    <row r="54" spans="1:21" ht="15" customHeight="1" x14ac:dyDescent="0.2">
      <c r="A54" s="79"/>
      <c r="B54" s="173"/>
      <c r="C54" s="142"/>
      <c r="D54" s="124"/>
      <c r="E54" s="111" t="s">
        <v>62</v>
      </c>
      <c r="F54" s="83">
        <v>0</v>
      </c>
      <c r="G54" s="84">
        <v>0</v>
      </c>
      <c r="H54" s="84">
        <v>0</v>
      </c>
      <c r="I54" s="84">
        <v>0</v>
      </c>
      <c r="J54" s="84">
        <v>0</v>
      </c>
      <c r="K54" s="84">
        <v>0</v>
      </c>
      <c r="L54" s="84">
        <v>0</v>
      </c>
      <c r="M54" s="84">
        <v>0</v>
      </c>
      <c r="N54" s="84">
        <v>0</v>
      </c>
      <c r="O54" s="84">
        <v>0</v>
      </c>
      <c r="P54" s="84">
        <v>0</v>
      </c>
      <c r="Q54" s="84">
        <v>0</v>
      </c>
      <c r="R54" s="84">
        <v>0</v>
      </c>
      <c r="S54" s="41">
        <f t="shared" si="16"/>
        <v>0</v>
      </c>
      <c r="T54" s="79"/>
      <c r="U54" s="79"/>
    </row>
    <row r="55" spans="1:21" ht="15" customHeight="1" x14ac:dyDescent="0.2">
      <c r="A55" s="79"/>
      <c r="B55" s="173"/>
      <c r="C55" s="142"/>
      <c r="D55" s="124"/>
      <c r="E55" s="111" t="s">
        <v>3</v>
      </c>
      <c r="F55" s="83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41">
        <f t="shared" si="16"/>
        <v>0</v>
      </c>
      <c r="T55" s="79"/>
      <c r="U55" s="79"/>
    </row>
    <row r="56" spans="1:21" ht="15" customHeight="1" x14ac:dyDescent="0.2">
      <c r="A56" s="79"/>
      <c r="B56" s="173"/>
      <c r="C56" s="142"/>
      <c r="D56" s="124"/>
      <c r="E56" s="6" t="s">
        <v>93</v>
      </c>
      <c r="F56" s="34">
        <f t="shared" ref="F56:R56" si="17">SUM(F51:F55)</f>
        <v>0</v>
      </c>
      <c r="G56" s="35">
        <f t="shared" si="17"/>
        <v>0</v>
      </c>
      <c r="H56" s="35">
        <f t="shared" si="17"/>
        <v>0</v>
      </c>
      <c r="I56" s="35">
        <f t="shared" si="17"/>
        <v>0</v>
      </c>
      <c r="J56" s="35">
        <f t="shared" si="17"/>
        <v>0</v>
      </c>
      <c r="K56" s="35">
        <f t="shared" si="17"/>
        <v>0</v>
      </c>
      <c r="L56" s="35">
        <f t="shared" si="17"/>
        <v>0</v>
      </c>
      <c r="M56" s="35">
        <f t="shared" si="17"/>
        <v>0</v>
      </c>
      <c r="N56" s="35">
        <f t="shared" si="17"/>
        <v>0</v>
      </c>
      <c r="O56" s="35">
        <f t="shared" si="17"/>
        <v>0</v>
      </c>
      <c r="P56" s="35">
        <f t="shared" si="17"/>
        <v>0</v>
      </c>
      <c r="Q56" s="35">
        <f t="shared" si="17"/>
        <v>0</v>
      </c>
      <c r="R56" s="35">
        <f t="shared" si="17"/>
        <v>0</v>
      </c>
      <c r="S56" s="42">
        <f t="shared" si="16"/>
        <v>0</v>
      </c>
      <c r="T56" s="79"/>
      <c r="U56" s="79"/>
    </row>
    <row r="57" spans="1:21" ht="15" customHeight="1" x14ac:dyDescent="0.2">
      <c r="A57" s="79"/>
      <c r="B57" s="173"/>
      <c r="C57" s="142"/>
      <c r="D57" s="124" t="s">
        <v>38</v>
      </c>
      <c r="E57" s="111" t="s">
        <v>21</v>
      </c>
      <c r="F57" s="83">
        <v>0</v>
      </c>
      <c r="G57" s="84">
        <v>0</v>
      </c>
      <c r="H57" s="84">
        <v>0</v>
      </c>
      <c r="I57" s="84">
        <v>0</v>
      </c>
      <c r="J57" s="84">
        <v>0</v>
      </c>
      <c r="K57" s="84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84">
        <v>0</v>
      </c>
      <c r="R57" s="84">
        <v>0</v>
      </c>
      <c r="S57" s="43">
        <f t="shared" ref="S57:S70" si="18">SUM(G57:R57)</f>
        <v>0</v>
      </c>
      <c r="T57" s="79"/>
      <c r="U57" s="79"/>
    </row>
    <row r="58" spans="1:21" ht="15" customHeight="1" x14ac:dyDescent="0.2">
      <c r="A58" s="79"/>
      <c r="B58" s="173"/>
      <c r="C58" s="142"/>
      <c r="D58" s="124"/>
      <c r="E58" s="111" t="s">
        <v>70</v>
      </c>
      <c r="F58" s="83">
        <v>0</v>
      </c>
      <c r="G58" s="84">
        <v>0</v>
      </c>
      <c r="H58" s="84">
        <v>0</v>
      </c>
      <c r="I58" s="84">
        <v>0</v>
      </c>
      <c r="J58" s="84">
        <v>0</v>
      </c>
      <c r="K58" s="84">
        <v>0</v>
      </c>
      <c r="L58" s="84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41">
        <f t="shared" si="18"/>
        <v>0</v>
      </c>
      <c r="T58" s="79"/>
      <c r="U58" s="79"/>
    </row>
    <row r="59" spans="1:21" ht="15" customHeight="1" x14ac:dyDescent="0.2">
      <c r="A59" s="79"/>
      <c r="B59" s="173"/>
      <c r="C59" s="142"/>
      <c r="D59" s="124"/>
      <c r="E59" s="111" t="s">
        <v>3</v>
      </c>
      <c r="F59" s="83">
        <v>0</v>
      </c>
      <c r="G59" s="84">
        <v>0</v>
      </c>
      <c r="H59" s="84">
        <v>0</v>
      </c>
      <c r="I59" s="84">
        <v>0</v>
      </c>
      <c r="J59" s="84">
        <v>0</v>
      </c>
      <c r="K59" s="84">
        <v>0</v>
      </c>
      <c r="L59" s="84">
        <v>0</v>
      </c>
      <c r="M59" s="84">
        <v>0</v>
      </c>
      <c r="N59" s="84">
        <v>0</v>
      </c>
      <c r="O59" s="84">
        <v>0</v>
      </c>
      <c r="P59" s="84">
        <v>0</v>
      </c>
      <c r="Q59" s="84">
        <v>0</v>
      </c>
      <c r="R59" s="84">
        <v>0</v>
      </c>
      <c r="S59" s="41">
        <f t="shared" si="18"/>
        <v>0</v>
      </c>
      <c r="T59" s="79"/>
      <c r="U59" s="79"/>
    </row>
    <row r="60" spans="1:21" ht="15" customHeight="1" x14ac:dyDescent="0.2">
      <c r="A60" s="79"/>
      <c r="B60" s="173"/>
      <c r="C60" s="142"/>
      <c r="D60" s="124"/>
      <c r="E60" s="6" t="s">
        <v>93</v>
      </c>
      <c r="F60" s="34">
        <f t="shared" ref="F60:R60" si="19">SUM(F57:F59)</f>
        <v>0</v>
      </c>
      <c r="G60" s="35">
        <f t="shared" si="19"/>
        <v>0</v>
      </c>
      <c r="H60" s="35">
        <f t="shared" si="19"/>
        <v>0</v>
      </c>
      <c r="I60" s="35">
        <f t="shared" si="19"/>
        <v>0</v>
      </c>
      <c r="J60" s="35">
        <f t="shared" si="19"/>
        <v>0</v>
      </c>
      <c r="K60" s="35">
        <f t="shared" si="19"/>
        <v>0</v>
      </c>
      <c r="L60" s="35">
        <f t="shared" si="19"/>
        <v>0</v>
      </c>
      <c r="M60" s="35">
        <f t="shared" si="19"/>
        <v>0</v>
      </c>
      <c r="N60" s="35">
        <f t="shared" si="19"/>
        <v>0</v>
      </c>
      <c r="O60" s="35">
        <f t="shared" si="19"/>
        <v>0</v>
      </c>
      <c r="P60" s="35">
        <f t="shared" si="19"/>
        <v>0</v>
      </c>
      <c r="Q60" s="35">
        <f t="shared" si="19"/>
        <v>0</v>
      </c>
      <c r="R60" s="35">
        <f t="shared" si="19"/>
        <v>0</v>
      </c>
      <c r="S60" s="42">
        <f t="shared" si="18"/>
        <v>0</v>
      </c>
      <c r="T60" s="79"/>
      <c r="U60" s="79"/>
    </row>
    <row r="61" spans="1:21" ht="15" customHeight="1" x14ac:dyDescent="0.2">
      <c r="A61" s="79"/>
      <c r="B61" s="173"/>
      <c r="C61" s="142"/>
      <c r="D61" s="128" t="s">
        <v>39</v>
      </c>
      <c r="E61" s="111" t="s">
        <v>40</v>
      </c>
      <c r="F61" s="83">
        <v>0</v>
      </c>
      <c r="G61" s="84">
        <v>0</v>
      </c>
      <c r="H61" s="84">
        <v>0</v>
      </c>
      <c r="I61" s="84">
        <v>0</v>
      </c>
      <c r="J61" s="84">
        <v>0</v>
      </c>
      <c r="K61" s="84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43">
        <f t="shared" si="18"/>
        <v>0</v>
      </c>
      <c r="T61" s="79"/>
      <c r="U61" s="79"/>
    </row>
    <row r="62" spans="1:21" ht="15" customHeight="1" x14ac:dyDescent="0.2">
      <c r="A62" s="79"/>
      <c r="B62" s="173"/>
      <c r="C62" s="142"/>
      <c r="D62" s="129"/>
      <c r="E62" s="111" t="s">
        <v>41</v>
      </c>
      <c r="F62" s="83">
        <v>0</v>
      </c>
      <c r="G62" s="84">
        <v>0</v>
      </c>
      <c r="H62" s="84">
        <v>0</v>
      </c>
      <c r="I62" s="84">
        <v>0</v>
      </c>
      <c r="J62" s="84">
        <v>0</v>
      </c>
      <c r="K62" s="84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41">
        <f t="shared" si="18"/>
        <v>0</v>
      </c>
      <c r="T62" s="79"/>
      <c r="U62" s="79"/>
    </row>
    <row r="63" spans="1:21" ht="15" customHeight="1" x14ac:dyDescent="0.2">
      <c r="A63" s="79"/>
      <c r="B63" s="173"/>
      <c r="C63" s="142"/>
      <c r="D63" s="129"/>
      <c r="E63" s="111" t="s">
        <v>42</v>
      </c>
      <c r="F63" s="83">
        <v>0</v>
      </c>
      <c r="G63" s="84">
        <v>0</v>
      </c>
      <c r="H63" s="84">
        <v>0</v>
      </c>
      <c r="I63" s="84">
        <v>0</v>
      </c>
      <c r="J63" s="84">
        <v>0</v>
      </c>
      <c r="K63" s="84">
        <v>0</v>
      </c>
      <c r="L63" s="84">
        <v>0</v>
      </c>
      <c r="M63" s="84">
        <v>0</v>
      </c>
      <c r="N63" s="84">
        <v>0</v>
      </c>
      <c r="O63" s="84">
        <v>0</v>
      </c>
      <c r="P63" s="84">
        <v>0</v>
      </c>
      <c r="Q63" s="84">
        <v>0</v>
      </c>
      <c r="R63" s="84">
        <v>0</v>
      </c>
      <c r="S63" s="41">
        <f t="shared" si="18"/>
        <v>0</v>
      </c>
      <c r="T63" s="79"/>
      <c r="U63" s="79"/>
    </row>
    <row r="64" spans="1:21" ht="15" customHeight="1" x14ac:dyDescent="0.2">
      <c r="A64" s="79"/>
      <c r="B64" s="173"/>
      <c r="C64" s="142"/>
      <c r="D64" s="129"/>
      <c r="E64" s="111" t="s">
        <v>3</v>
      </c>
      <c r="F64" s="83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41">
        <f t="shared" si="18"/>
        <v>0</v>
      </c>
      <c r="T64" s="79"/>
      <c r="U64" s="79"/>
    </row>
    <row r="65" spans="1:21" ht="15" customHeight="1" x14ac:dyDescent="0.2">
      <c r="A65" s="79"/>
      <c r="B65" s="173"/>
      <c r="C65" s="142"/>
      <c r="D65" s="130"/>
      <c r="E65" s="6" t="s">
        <v>93</v>
      </c>
      <c r="F65" s="34">
        <f t="shared" ref="F65:R65" si="20">SUM(F61:F64)</f>
        <v>0</v>
      </c>
      <c r="G65" s="35">
        <f t="shared" si="20"/>
        <v>0</v>
      </c>
      <c r="H65" s="35">
        <f t="shared" si="20"/>
        <v>0</v>
      </c>
      <c r="I65" s="35">
        <f t="shared" si="20"/>
        <v>0</v>
      </c>
      <c r="J65" s="35">
        <f t="shared" si="20"/>
        <v>0</v>
      </c>
      <c r="K65" s="35">
        <f t="shared" si="20"/>
        <v>0</v>
      </c>
      <c r="L65" s="35">
        <f t="shared" si="20"/>
        <v>0</v>
      </c>
      <c r="M65" s="35">
        <f t="shared" si="20"/>
        <v>0</v>
      </c>
      <c r="N65" s="35">
        <f t="shared" si="20"/>
        <v>0</v>
      </c>
      <c r="O65" s="35">
        <f t="shared" si="20"/>
        <v>0</v>
      </c>
      <c r="P65" s="35">
        <f t="shared" si="20"/>
        <v>0</v>
      </c>
      <c r="Q65" s="35">
        <f t="shared" si="20"/>
        <v>0</v>
      </c>
      <c r="R65" s="35">
        <f t="shared" si="20"/>
        <v>0</v>
      </c>
      <c r="S65" s="42">
        <f t="shared" si="18"/>
        <v>0</v>
      </c>
      <c r="T65" s="79"/>
      <c r="U65" s="79"/>
    </row>
    <row r="66" spans="1:21" ht="15" customHeight="1" x14ac:dyDescent="0.2">
      <c r="A66" s="79"/>
      <c r="B66" s="173"/>
      <c r="C66" s="142"/>
      <c r="D66" s="128" t="s">
        <v>37</v>
      </c>
      <c r="E66" s="111" t="s">
        <v>63</v>
      </c>
      <c r="F66" s="83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43">
        <f t="shared" si="18"/>
        <v>0</v>
      </c>
      <c r="T66" s="79"/>
      <c r="U66" s="79"/>
    </row>
    <row r="67" spans="1:21" ht="15" customHeight="1" x14ac:dyDescent="0.2">
      <c r="A67" s="79"/>
      <c r="B67" s="173"/>
      <c r="C67" s="142"/>
      <c r="D67" s="129"/>
      <c r="E67" s="111" t="s">
        <v>64</v>
      </c>
      <c r="F67" s="83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40">
        <f t="shared" si="18"/>
        <v>0</v>
      </c>
      <c r="T67" s="79"/>
      <c r="U67" s="79"/>
    </row>
    <row r="68" spans="1:21" ht="15" customHeight="1" x14ac:dyDescent="0.2">
      <c r="A68" s="79"/>
      <c r="B68" s="173"/>
      <c r="C68" s="142"/>
      <c r="D68" s="129"/>
      <c r="E68" s="111" t="s">
        <v>61</v>
      </c>
      <c r="F68" s="83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40">
        <f t="shared" si="18"/>
        <v>0</v>
      </c>
      <c r="T68" s="79"/>
      <c r="U68" s="79"/>
    </row>
    <row r="69" spans="1:21" ht="15" customHeight="1" x14ac:dyDescent="0.2">
      <c r="A69" s="79"/>
      <c r="B69" s="173"/>
      <c r="C69" s="142"/>
      <c r="D69" s="129"/>
      <c r="E69" s="111" t="s">
        <v>3</v>
      </c>
      <c r="F69" s="83">
        <v>0</v>
      </c>
      <c r="G69" s="84">
        <v>0</v>
      </c>
      <c r="H69" s="84">
        <v>0</v>
      </c>
      <c r="I69" s="84">
        <v>0</v>
      </c>
      <c r="J69" s="84">
        <v>0</v>
      </c>
      <c r="K69" s="84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40">
        <f t="shared" si="18"/>
        <v>0</v>
      </c>
      <c r="T69" s="79"/>
      <c r="U69" s="79"/>
    </row>
    <row r="70" spans="1:21" ht="15" customHeight="1" x14ac:dyDescent="0.2">
      <c r="A70" s="79"/>
      <c r="B70" s="173"/>
      <c r="C70" s="142"/>
      <c r="D70" s="130"/>
      <c r="E70" s="6" t="s">
        <v>93</v>
      </c>
      <c r="F70" s="34">
        <f t="shared" ref="F70:R70" si="21">SUM(F66:F69)</f>
        <v>0</v>
      </c>
      <c r="G70" s="35">
        <f t="shared" si="21"/>
        <v>0</v>
      </c>
      <c r="H70" s="35">
        <f t="shared" si="21"/>
        <v>0</v>
      </c>
      <c r="I70" s="35">
        <f t="shared" si="21"/>
        <v>0</v>
      </c>
      <c r="J70" s="35">
        <f t="shared" si="21"/>
        <v>0</v>
      </c>
      <c r="K70" s="35">
        <f t="shared" si="21"/>
        <v>0</v>
      </c>
      <c r="L70" s="35">
        <f t="shared" si="21"/>
        <v>0</v>
      </c>
      <c r="M70" s="35">
        <f t="shared" si="21"/>
        <v>0</v>
      </c>
      <c r="N70" s="35">
        <f t="shared" si="21"/>
        <v>0</v>
      </c>
      <c r="O70" s="35">
        <f t="shared" si="21"/>
        <v>0</v>
      </c>
      <c r="P70" s="35">
        <f t="shared" si="21"/>
        <v>0</v>
      </c>
      <c r="Q70" s="35">
        <f t="shared" si="21"/>
        <v>0</v>
      </c>
      <c r="R70" s="35">
        <f t="shared" si="21"/>
        <v>0</v>
      </c>
      <c r="S70" s="42">
        <f t="shared" si="18"/>
        <v>0</v>
      </c>
      <c r="T70" s="79"/>
      <c r="U70" s="79"/>
    </row>
    <row r="71" spans="1:21" ht="15" customHeight="1" x14ac:dyDescent="0.2">
      <c r="A71" s="79"/>
      <c r="B71" s="173"/>
      <c r="C71" s="142"/>
      <c r="D71" s="124" t="s">
        <v>22</v>
      </c>
      <c r="E71" s="111" t="s">
        <v>23</v>
      </c>
      <c r="F71" s="83">
        <v>0</v>
      </c>
      <c r="G71" s="84">
        <v>0</v>
      </c>
      <c r="H71" s="84">
        <v>0</v>
      </c>
      <c r="I71" s="84">
        <v>0</v>
      </c>
      <c r="J71" s="84">
        <v>0</v>
      </c>
      <c r="K71" s="84">
        <v>0</v>
      </c>
      <c r="L71" s="84">
        <v>0</v>
      </c>
      <c r="M71" s="84">
        <v>0</v>
      </c>
      <c r="N71" s="84">
        <v>0</v>
      </c>
      <c r="O71" s="84">
        <v>0</v>
      </c>
      <c r="P71" s="84">
        <v>0</v>
      </c>
      <c r="Q71" s="84">
        <v>0</v>
      </c>
      <c r="R71" s="84">
        <v>0</v>
      </c>
      <c r="S71" s="43">
        <f t="shared" ref="S71:S76" si="22">SUM(G71:R71)</f>
        <v>0</v>
      </c>
      <c r="T71" s="79"/>
      <c r="U71" s="79"/>
    </row>
    <row r="72" spans="1:21" ht="15" customHeight="1" x14ac:dyDescent="0.2">
      <c r="A72" s="79"/>
      <c r="B72" s="173"/>
      <c r="C72" s="142"/>
      <c r="D72" s="124"/>
      <c r="E72" s="111" t="s">
        <v>91</v>
      </c>
      <c r="F72" s="83">
        <v>0</v>
      </c>
      <c r="G72" s="84">
        <v>0</v>
      </c>
      <c r="H72" s="84">
        <v>0</v>
      </c>
      <c r="I72" s="84">
        <v>0</v>
      </c>
      <c r="J72" s="84">
        <v>0</v>
      </c>
      <c r="K72" s="84">
        <v>0</v>
      </c>
      <c r="L72" s="84">
        <v>0</v>
      </c>
      <c r="M72" s="84">
        <v>0</v>
      </c>
      <c r="N72" s="84">
        <v>0</v>
      </c>
      <c r="O72" s="84">
        <v>0</v>
      </c>
      <c r="P72" s="84">
        <v>0</v>
      </c>
      <c r="Q72" s="84">
        <v>0</v>
      </c>
      <c r="R72" s="84">
        <v>0</v>
      </c>
      <c r="S72" s="41">
        <f t="shared" si="22"/>
        <v>0</v>
      </c>
      <c r="T72" s="79"/>
      <c r="U72" s="79"/>
    </row>
    <row r="73" spans="1:21" ht="15" customHeight="1" x14ac:dyDescent="0.2">
      <c r="A73" s="79"/>
      <c r="B73" s="173"/>
      <c r="C73" s="142"/>
      <c r="D73" s="124"/>
      <c r="E73" s="111" t="s">
        <v>24</v>
      </c>
      <c r="F73" s="83">
        <v>0</v>
      </c>
      <c r="G73" s="84">
        <v>0</v>
      </c>
      <c r="H73" s="84">
        <v>0</v>
      </c>
      <c r="I73" s="84">
        <v>0</v>
      </c>
      <c r="J73" s="84">
        <v>0</v>
      </c>
      <c r="K73" s="84">
        <v>0</v>
      </c>
      <c r="L73" s="84">
        <v>0</v>
      </c>
      <c r="M73" s="84">
        <v>0</v>
      </c>
      <c r="N73" s="84">
        <v>0</v>
      </c>
      <c r="O73" s="84">
        <v>0</v>
      </c>
      <c r="P73" s="84">
        <v>0</v>
      </c>
      <c r="Q73" s="84">
        <v>0</v>
      </c>
      <c r="R73" s="84">
        <v>0</v>
      </c>
      <c r="S73" s="41">
        <f t="shared" si="22"/>
        <v>0</v>
      </c>
      <c r="T73" s="79"/>
      <c r="U73" s="79"/>
    </row>
    <row r="74" spans="1:21" ht="15" customHeight="1" x14ac:dyDescent="0.2">
      <c r="A74" s="79"/>
      <c r="B74" s="173"/>
      <c r="C74" s="142"/>
      <c r="D74" s="124"/>
      <c r="E74" s="111" t="s">
        <v>53</v>
      </c>
      <c r="F74" s="83">
        <v>0</v>
      </c>
      <c r="G74" s="84">
        <v>0</v>
      </c>
      <c r="H74" s="84">
        <v>0</v>
      </c>
      <c r="I74" s="84">
        <v>0</v>
      </c>
      <c r="J74" s="84">
        <v>0</v>
      </c>
      <c r="K74" s="84">
        <v>0</v>
      </c>
      <c r="L74" s="84">
        <v>0</v>
      </c>
      <c r="M74" s="84">
        <v>0</v>
      </c>
      <c r="N74" s="84">
        <v>0</v>
      </c>
      <c r="O74" s="84">
        <v>0</v>
      </c>
      <c r="P74" s="84">
        <v>0</v>
      </c>
      <c r="Q74" s="84">
        <v>0</v>
      </c>
      <c r="R74" s="84">
        <v>0</v>
      </c>
      <c r="S74" s="41">
        <f t="shared" si="22"/>
        <v>0</v>
      </c>
      <c r="T74" s="79"/>
      <c r="U74" s="79"/>
    </row>
    <row r="75" spans="1:21" ht="15" customHeight="1" x14ac:dyDescent="0.2">
      <c r="A75" s="79"/>
      <c r="B75" s="173"/>
      <c r="C75" s="142"/>
      <c r="D75" s="124"/>
      <c r="E75" s="111" t="s">
        <v>3</v>
      </c>
      <c r="F75" s="83">
        <v>0</v>
      </c>
      <c r="G75" s="84">
        <v>0</v>
      </c>
      <c r="H75" s="84">
        <v>0</v>
      </c>
      <c r="I75" s="84">
        <v>0</v>
      </c>
      <c r="J75" s="84">
        <v>0</v>
      </c>
      <c r="K75" s="84">
        <v>0</v>
      </c>
      <c r="L75" s="84">
        <v>0</v>
      </c>
      <c r="M75" s="84">
        <v>0</v>
      </c>
      <c r="N75" s="84">
        <v>0</v>
      </c>
      <c r="O75" s="84">
        <v>0</v>
      </c>
      <c r="P75" s="84">
        <v>0</v>
      </c>
      <c r="Q75" s="84">
        <v>0</v>
      </c>
      <c r="R75" s="84">
        <v>0</v>
      </c>
      <c r="S75" s="41">
        <f t="shared" si="22"/>
        <v>0</v>
      </c>
      <c r="T75" s="79"/>
      <c r="U75" s="79"/>
    </row>
    <row r="76" spans="1:21" ht="15" customHeight="1" x14ac:dyDescent="0.2">
      <c r="A76" s="79"/>
      <c r="B76" s="173"/>
      <c r="C76" s="142"/>
      <c r="D76" s="124"/>
      <c r="E76" s="6" t="s">
        <v>93</v>
      </c>
      <c r="F76" s="34">
        <f t="shared" ref="F76:R76" si="23">SUM(F71:F75)</f>
        <v>0</v>
      </c>
      <c r="G76" s="35">
        <f t="shared" si="23"/>
        <v>0</v>
      </c>
      <c r="H76" s="35">
        <f t="shared" si="23"/>
        <v>0</v>
      </c>
      <c r="I76" s="35">
        <f t="shared" si="23"/>
        <v>0</v>
      </c>
      <c r="J76" s="35">
        <f t="shared" si="23"/>
        <v>0</v>
      </c>
      <c r="K76" s="35">
        <f t="shared" si="23"/>
        <v>0</v>
      </c>
      <c r="L76" s="35">
        <f t="shared" si="23"/>
        <v>0</v>
      </c>
      <c r="M76" s="35">
        <f t="shared" si="23"/>
        <v>0</v>
      </c>
      <c r="N76" s="35">
        <f t="shared" si="23"/>
        <v>0</v>
      </c>
      <c r="O76" s="35">
        <f t="shared" si="23"/>
        <v>0</v>
      </c>
      <c r="P76" s="35">
        <f t="shared" si="23"/>
        <v>0</v>
      </c>
      <c r="Q76" s="35">
        <f t="shared" si="23"/>
        <v>0</v>
      </c>
      <c r="R76" s="35">
        <f t="shared" si="23"/>
        <v>0</v>
      </c>
      <c r="S76" s="42">
        <f t="shared" si="22"/>
        <v>0</v>
      </c>
      <c r="T76" s="79"/>
      <c r="U76" s="79"/>
    </row>
    <row r="77" spans="1:21" ht="15" customHeight="1" x14ac:dyDescent="0.2">
      <c r="A77" s="79"/>
      <c r="B77" s="173"/>
      <c r="C77" s="142"/>
      <c r="D77" s="145" t="s">
        <v>3</v>
      </c>
      <c r="E77" s="111" t="s">
        <v>36</v>
      </c>
      <c r="F77" s="87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43">
        <f>SUM(G77:R77)</f>
        <v>0</v>
      </c>
      <c r="T77" s="79"/>
      <c r="U77" s="79"/>
    </row>
    <row r="78" spans="1:21" ht="15" customHeight="1" x14ac:dyDescent="0.2">
      <c r="A78" s="79"/>
      <c r="B78" s="173"/>
      <c r="C78" s="142"/>
      <c r="D78" s="126"/>
      <c r="E78" s="111" t="s">
        <v>3</v>
      </c>
      <c r="F78" s="83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41">
        <f>SUM(G78:R78)</f>
        <v>0</v>
      </c>
      <c r="T78" s="79"/>
      <c r="U78" s="79"/>
    </row>
    <row r="79" spans="1:21" ht="15" customHeight="1" x14ac:dyDescent="0.2">
      <c r="A79" s="79"/>
      <c r="B79" s="173"/>
      <c r="C79" s="142"/>
      <c r="D79" s="126"/>
      <c r="E79" s="8" t="s">
        <v>93</v>
      </c>
      <c r="F79" s="44">
        <f t="shared" ref="F79:R79" si="24">SUM(F77:F78)</f>
        <v>0</v>
      </c>
      <c r="G79" s="35">
        <f t="shared" si="24"/>
        <v>0</v>
      </c>
      <c r="H79" s="35">
        <f t="shared" si="24"/>
        <v>0</v>
      </c>
      <c r="I79" s="35">
        <f t="shared" si="24"/>
        <v>0</v>
      </c>
      <c r="J79" s="35">
        <f t="shared" si="24"/>
        <v>0</v>
      </c>
      <c r="K79" s="35">
        <f t="shared" si="24"/>
        <v>0</v>
      </c>
      <c r="L79" s="35">
        <f t="shared" si="24"/>
        <v>0</v>
      </c>
      <c r="M79" s="35">
        <f t="shared" si="24"/>
        <v>0</v>
      </c>
      <c r="N79" s="35">
        <f t="shared" si="24"/>
        <v>0</v>
      </c>
      <c r="O79" s="35">
        <f t="shared" si="24"/>
        <v>0</v>
      </c>
      <c r="P79" s="35">
        <f t="shared" si="24"/>
        <v>0</v>
      </c>
      <c r="Q79" s="35">
        <f t="shared" si="24"/>
        <v>0</v>
      </c>
      <c r="R79" s="35">
        <f t="shared" si="24"/>
        <v>0</v>
      </c>
      <c r="S79" s="42">
        <f>SUM(G79:R79)</f>
        <v>0</v>
      </c>
      <c r="T79" s="79"/>
      <c r="U79" s="79"/>
    </row>
    <row r="80" spans="1:21" ht="15" customHeight="1" x14ac:dyDescent="0.2">
      <c r="A80" s="79"/>
      <c r="B80" s="173"/>
      <c r="C80" s="48"/>
      <c r="D80" s="143" t="s">
        <v>25</v>
      </c>
      <c r="E80" s="143"/>
      <c r="F80" s="52">
        <f t="shared" ref="F80:R80" si="25">SUM(F79,F76,F70,F60,F56,F50)</f>
        <v>0</v>
      </c>
      <c r="G80" s="28">
        <f t="shared" si="25"/>
        <v>0</v>
      </c>
      <c r="H80" s="28">
        <f t="shared" si="25"/>
        <v>0</v>
      </c>
      <c r="I80" s="28">
        <f t="shared" si="25"/>
        <v>0</v>
      </c>
      <c r="J80" s="28">
        <f t="shared" si="25"/>
        <v>0</v>
      </c>
      <c r="K80" s="28">
        <f t="shared" si="25"/>
        <v>0</v>
      </c>
      <c r="L80" s="28">
        <f t="shared" si="25"/>
        <v>0</v>
      </c>
      <c r="M80" s="28">
        <f t="shared" si="25"/>
        <v>0</v>
      </c>
      <c r="N80" s="28">
        <f t="shared" si="25"/>
        <v>0</v>
      </c>
      <c r="O80" s="28">
        <f t="shared" si="25"/>
        <v>0</v>
      </c>
      <c r="P80" s="28">
        <f t="shared" si="25"/>
        <v>0</v>
      </c>
      <c r="Q80" s="28">
        <f t="shared" si="25"/>
        <v>0</v>
      </c>
      <c r="R80" s="28">
        <f t="shared" si="25"/>
        <v>0</v>
      </c>
      <c r="S80" s="53">
        <f>SUM(S79,S76,S70,S60,S65,S56,S50)</f>
        <v>0</v>
      </c>
      <c r="T80" s="79"/>
      <c r="U80" s="79"/>
    </row>
    <row r="81" spans="1:21" ht="15" customHeight="1" thickBot="1" x14ac:dyDescent="0.25">
      <c r="A81" s="79"/>
      <c r="B81" s="173"/>
      <c r="C81" s="46"/>
      <c r="D81" s="139" t="s">
        <v>4</v>
      </c>
      <c r="E81" s="140"/>
      <c r="F81" s="65" t="str">
        <f t="shared" ref="F81:S81" si="26">IF(F11=0,"-",F80/F11)</f>
        <v>-</v>
      </c>
      <c r="G81" s="66" t="str">
        <f t="shared" si="26"/>
        <v>-</v>
      </c>
      <c r="H81" s="66" t="str">
        <f t="shared" si="26"/>
        <v>-</v>
      </c>
      <c r="I81" s="66" t="str">
        <f t="shared" si="26"/>
        <v>-</v>
      </c>
      <c r="J81" s="66" t="str">
        <f t="shared" si="26"/>
        <v>-</v>
      </c>
      <c r="K81" s="66" t="str">
        <f t="shared" si="26"/>
        <v>-</v>
      </c>
      <c r="L81" s="66" t="str">
        <f t="shared" si="26"/>
        <v>-</v>
      </c>
      <c r="M81" s="66" t="str">
        <f t="shared" si="26"/>
        <v>-</v>
      </c>
      <c r="N81" s="66" t="str">
        <f t="shared" si="26"/>
        <v>-</v>
      </c>
      <c r="O81" s="66" t="str">
        <f t="shared" si="26"/>
        <v>-</v>
      </c>
      <c r="P81" s="66" t="str">
        <f t="shared" si="26"/>
        <v>-</v>
      </c>
      <c r="Q81" s="66" t="str">
        <f t="shared" si="26"/>
        <v>-</v>
      </c>
      <c r="R81" s="66" t="str">
        <f t="shared" si="26"/>
        <v>-</v>
      </c>
      <c r="S81" s="67" t="str">
        <f t="shared" si="26"/>
        <v>-</v>
      </c>
      <c r="T81" s="79"/>
      <c r="U81" s="79"/>
    </row>
    <row r="82" spans="1:21" ht="15" customHeight="1" thickTop="1" x14ac:dyDescent="0.2">
      <c r="A82" s="79"/>
      <c r="B82" s="173"/>
      <c r="C82" s="175" t="s">
        <v>90</v>
      </c>
      <c r="D82" s="129" t="s">
        <v>33</v>
      </c>
      <c r="E82" s="113" t="s">
        <v>55</v>
      </c>
      <c r="F82" s="88">
        <v>0</v>
      </c>
      <c r="G82" s="89">
        <v>0</v>
      </c>
      <c r="H82" s="89">
        <v>0</v>
      </c>
      <c r="I82" s="89">
        <v>0</v>
      </c>
      <c r="J82" s="89">
        <v>0</v>
      </c>
      <c r="K82" s="89">
        <v>0</v>
      </c>
      <c r="L82" s="89">
        <v>0</v>
      </c>
      <c r="M82" s="89">
        <v>0</v>
      </c>
      <c r="N82" s="89">
        <v>0</v>
      </c>
      <c r="O82" s="89">
        <v>0</v>
      </c>
      <c r="P82" s="89">
        <v>0</v>
      </c>
      <c r="Q82" s="89">
        <v>0</v>
      </c>
      <c r="R82" s="89">
        <v>0</v>
      </c>
      <c r="S82" s="40">
        <f t="shared" ref="S82:S97" si="27">SUM(G82:R82)</f>
        <v>0</v>
      </c>
      <c r="T82" s="79"/>
      <c r="U82" s="79"/>
    </row>
    <row r="83" spans="1:21" ht="15" customHeight="1" x14ac:dyDescent="0.2">
      <c r="A83" s="79"/>
      <c r="B83" s="173"/>
      <c r="C83" s="176"/>
      <c r="D83" s="129"/>
      <c r="E83" s="111" t="s">
        <v>56</v>
      </c>
      <c r="F83" s="83">
        <v>0</v>
      </c>
      <c r="G83" s="84">
        <v>0</v>
      </c>
      <c r="H83" s="84">
        <v>0</v>
      </c>
      <c r="I83" s="84">
        <v>0</v>
      </c>
      <c r="J83" s="84">
        <v>0</v>
      </c>
      <c r="K83" s="84">
        <v>0</v>
      </c>
      <c r="L83" s="84">
        <v>0</v>
      </c>
      <c r="M83" s="84">
        <v>0</v>
      </c>
      <c r="N83" s="84">
        <v>0</v>
      </c>
      <c r="O83" s="84">
        <v>0</v>
      </c>
      <c r="P83" s="84">
        <v>0</v>
      </c>
      <c r="Q83" s="84">
        <v>0</v>
      </c>
      <c r="R83" s="84">
        <v>0</v>
      </c>
      <c r="S83" s="41">
        <f t="shared" si="27"/>
        <v>0</v>
      </c>
      <c r="T83" s="79"/>
      <c r="U83" s="79"/>
    </row>
    <row r="84" spans="1:21" ht="15" customHeight="1" x14ac:dyDescent="0.2">
      <c r="A84" s="79"/>
      <c r="B84" s="173"/>
      <c r="C84" s="176"/>
      <c r="D84" s="129"/>
      <c r="E84" s="111" t="s">
        <v>3</v>
      </c>
      <c r="F84" s="83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41">
        <f t="shared" si="27"/>
        <v>0</v>
      </c>
      <c r="T84" s="79"/>
      <c r="U84" s="79"/>
    </row>
    <row r="85" spans="1:21" ht="15" customHeight="1" x14ac:dyDescent="0.2">
      <c r="A85" s="79"/>
      <c r="B85" s="173"/>
      <c r="C85" s="176"/>
      <c r="D85" s="130"/>
      <c r="E85" s="6" t="s">
        <v>93</v>
      </c>
      <c r="F85" s="44">
        <f t="shared" ref="F85:R85" si="28">SUM(F82:F84)</f>
        <v>0</v>
      </c>
      <c r="G85" s="44">
        <f t="shared" si="28"/>
        <v>0</v>
      </c>
      <c r="H85" s="44">
        <f t="shared" si="28"/>
        <v>0</v>
      </c>
      <c r="I85" s="44">
        <f t="shared" si="28"/>
        <v>0</v>
      </c>
      <c r="J85" s="44">
        <f t="shared" si="28"/>
        <v>0</v>
      </c>
      <c r="K85" s="44">
        <f t="shared" si="28"/>
        <v>0</v>
      </c>
      <c r="L85" s="44">
        <f t="shared" si="28"/>
        <v>0</v>
      </c>
      <c r="M85" s="44">
        <f t="shared" si="28"/>
        <v>0</v>
      </c>
      <c r="N85" s="44">
        <f t="shared" si="28"/>
        <v>0</v>
      </c>
      <c r="O85" s="44">
        <f t="shared" si="28"/>
        <v>0</v>
      </c>
      <c r="P85" s="44">
        <f t="shared" si="28"/>
        <v>0</v>
      </c>
      <c r="Q85" s="44">
        <f t="shared" si="28"/>
        <v>0</v>
      </c>
      <c r="R85" s="44">
        <f t="shared" si="28"/>
        <v>0</v>
      </c>
      <c r="S85" s="45">
        <f t="shared" si="27"/>
        <v>0</v>
      </c>
      <c r="T85" s="79"/>
      <c r="U85" s="79"/>
    </row>
    <row r="86" spans="1:21" ht="15" customHeight="1" x14ac:dyDescent="0.2">
      <c r="A86" s="79"/>
      <c r="B86" s="173"/>
      <c r="C86" s="176"/>
      <c r="D86" s="124" t="s">
        <v>12</v>
      </c>
      <c r="E86" s="111" t="s">
        <v>67</v>
      </c>
      <c r="F86" s="83">
        <v>0</v>
      </c>
      <c r="G86" s="84">
        <v>0</v>
      </c>
      <c r="H86" s="84">
        <v>0</v>
      </c>
      <c r="I86" s="84">
        <v>0</v>
      </c>
      <c r="J86" s="84">
        <v>0</v>
      </c>
      <c r="K86" s="84">
        <v>0</v>
      </c>
      <c r="L86" s="84">
        <v>0</v>
      </c>
      <c r="M86" s="84">
        <v>0</v>
      </c>
      <c r="N86" s="84">
        <v>0</v>
      </c>
      <c r="O86" s="84">
        <v>0</v>
      </c>
      <c r="P86" s="84">
        <v>0</v>
      </c>
      <c r="Q86" s="84">
        <v>0</v>
      </c>
      <c r="R86" s="84">
        <v>0</v>
      </c>
      <c r="S86" s="43">
        <f t="shared" si="27"/>
        <v>0</v>
      </c>
      <c r="T86" s="79"/>
      <c r="U86" s="79"/>
    </row>
    <row r="87" spans="1:21" ht="15" customHeight="1" x14ac:dyDescent="0.2">
      <c r="A87" s="79"/>
      <c r="B87" s="173"/>
      <c r="C87" s="176"/>
      <c r="D87" s="124"/>
      <c r="E87" s="111" t="s">
        <v>35</v>
      </c>
      <c r="F87" s="83">
        <v>0</v>
      </c>
      <c r="G87" s="84">
        <v>0</v>
      </c>
      <c r="H87" s="84">
        <v>0</v>
      </c>
      <c r="I87" s="84">
        <v>0</v>
      </c>
      <c r="J87" s="84">
        <v>0</v>
      </c>
      <c r="K87" s="84">
        <v>0</v>
      </c>
      <c r="L87" s="84">
        <v>0</v>
      </c>
      <c r="M87" s="84">
        <v>0</v>
      </c>
      <c r="N87" s="84">
        <v>0</v>
      </c>
      <c r="O87" s="84">
        <v>0</v>
      </c>
      <c r="P87" s="84">
        <v>0</v>
      </c>
      <c r="Q87" s="84">
        <v>0</v>
      </c>
      <c r="R87" s="84">
        <v>0</v>
      </c>
      <c r="S87" s="40">
        <f t="shared" si="27"/>
        <v>0</v>
      </c>
      <c r="T87" s="79"/>
      <c r="U87" s="79"/>
    </row>
    <row r="88" spans="1:21" ht="15" customHeight="1" x14ac:dyDescent="0.2">
      <c r="A88" s="79"/>
      <c r="B88" s="173"/>
      <c r="C88" s="176"/>
      <c r="D88" s="124"/>
      <c r="E88" s="111" t="s">
        <v>3</v>
      </c>
      <c r="F88" s="83">
        <v>0</v>
      </c>
      <c r="G88" s="84">
        <v>0</v>
      </c>
      <c r="H88" s="84">
        <v>0</v>
      </c>
      <c r="I88" s="84">
        <v>0</v>
      </c>
      <c r="J88" s="84">
        <v>0</v>
      </c>
      <c r="K88" s="84">
        <v>0</v>
      </c>
      <c r="L88" s="84">
        <v>0</v>
      </c>
      <c r="M88" s="84">
        <v>0</v>
      </c>
      <c r="N88" s="84">
        <v>0</v>
      </c>
      <c r="O88" s="84">
        <v>0</v>
      </c>
      <c r="P88" s="84">
        <v>0</v>
      </c>
      <c r="Q88" s="84">
        <v>0</v>
      </c>
      <c r="R88" s="84">
        <v>0</v>
      </c>
      <c r="S88" s="41">
        <f t="shared" si="27"/>
        <v>0</v>
      </c>
      <c r="T88" s="79"/>
      <c r="U88" s="79"/>
    </row>
    <row r="89" spans="1:21" ht="15" customHeight="1" x14ac:dyDescent="0.2">
      <c r="A89" s="79"/>
      <c r="B89" s="173"/>
      <c r="C89" s="176"/>
      <c r="D89" s="124"/>
      <c r="E89" s="6" t="s">
        <v>93</v>
      </c>
      <c r="F89" s="44">
        <f t="shared" ref="F89:R89" si="29">SUM(F86:F88)</f>
        <v>0</v>
      </c>
      <c r="G89" s="44">
        <f t="shared" si="29"/>
        <v>0</v>
      </c>
      <c r="H89" s="44">
        <f t="shared" si="29"/>
        <v>0</v>
      </c>
      <c r="I89" s="44">
        <f t="shared" si="29"/>
        <v>0</v>
      </c>
      <c r="J89" s="44">
        <f t="shared" si="29"/>
        <v>0</v>
      </c>
      <c r="K89" s="44">
        <f t="shared" si="29"/>
        <v>0</v>
      </c>
      <c r="L89" s="44">
        <f t="shared" si="29"/>
        <v>0</v>
      </c>
      <c r="M89" s="44">
        <f t="shared" si="29"/>
        <v>0</v>
      </c>
      <c r="N89" s="44">
        <f t="shared" si="29"/>
        <v>0</v>
      </c>
      <c r="O89" s="44">
        <f t="shared" si="29"/>
        <v>0</v>
      </c>
      <c r="P89" s="44">
        <f t="shared" si="29"/>
        <v>0</v>
      </c>
      <c r="Q89" s="44">
        <f t="shared" si="29"/>
        <v>0</v>
      </c>
      <c r="R89" s="44">
        <f t="shared" si="29"/>
        <v>0</v>
      </c>
      <c r="S89" s="45">
        <f t="shared" si="27"/>
        <v>0</v>
      </c>
      <c r="T89" s="79"/>
      <c r="U89" s="79"/>
    </row>
    <row r="90" spans="1:21" ht="15" customHeight="1" x14ac:dyDescent="0.2">
      <c r="A90" s="79"/>
      <c r="B90" s="173"/>
      <c r="C90" s="176"/>
      <c r="D90" s="128" t="s">
        <v>54</v>
      </c>
      <c r="E90" s="111" t="s">
        <v>26</v>
      </c>
      <c r="F90" s="83">
        <v>0</v>
      </c>
      <c r="G90" s="84">
        <v>0</v>
      </c>
      <c r="H90" s="84">
        <v>0</v>
      </c>
      <c r="I90" s="84">
        <v>0</v>
      </c>
      <c r="J90" s="84">
        <v>0</v>
      </c>
      <c r="K90" s="84">
        <v>0</v>
      </c>
      <c r="L90" s="84">
        <v>0</v>
      </c>
      <c r="M90" s="84">
        <v>0</v>
      </c>
      <c r="N90" s="84">
        <v>0</v>
      </c>
      <c r="O90" s="84">
        <v>0</v>
      </c>
      <c r="P90" s="84">
        <v>0</v>
      </c>
      <c r="Q90" s="84">
        <v>0</v>
      </c>
      <c r="R90" s="84">
        <v>0</v>
      </c>
      <c r="S90" s="43">
        <f t="shared" si="27"/>
        <v>0</v>
      </c>
      <c r="T90" s="79"/>
      <c r="U90" s="79"/>
    </row>
    <row r="91" spans="1:21" ht="15" customHeight="1" x14ac:dyDescent="0.2">
      <c r="A91" s="79"/>
      <c r="B91" s="173"/>
      <c r="C91" s="176"/>
      <c r="D91" s="129"/>
      <c r="E91" s="111" t="s">
        <v>27</v>
      </c>
      <c r="F91" s="83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0</v>
      </c>
      <c r="R91" s="84">
        <v>0</v>
      </c>
      <c r="S91" s="41">
        <f t="shared" si="27"/>
        <v>0</v>
      </c>
      <c r="T91" s="79"/>
      <c r="U91" s="79"/>
    </row>
    <row r="92" spans="1:21" ht="15" customHeight="1" x14ac:dyDescent="0.2">
      <c r="A92" s="79"/>
      <c r="B92" s="173"/>
      <c r="C92" s="176"/>
      <c r="D92" s="129"/>
      <c r="E92" s="111" t="s">
        <v>3</v>
      </c>
      <c r="F92" s="83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0</v>
      </c>
      <c r="O92" s="84">
        <v>0</v>
      </c>
      <c r="P92" s="84">
        <v>0</v>
      </c>
      <c r="Q92" s="84">
        <v>0</v>
      </c>
      <c r="R92" s="84">
        <v>0</v>
      </c>
      <c r="S92" s="41">
        <f t="shared" si="27"/>
        <v>0</v>
      </c>
      <c r="T92" s="79"/>
      <c r="U92" s="79"/>
    </row>
    <row r="93" spans="1:21" ht="15" customHeight="1" x14ac:dyDescent="0.2">
      <c r="A93" s="79"/>
      <c r="B93" s="173"/>
      <c r="C93" s="176"/>
      <c r="D93" s="130"/>
      <c r="E93" s="6" t="s">
        <v>93</v>
      </c>
      <c r="F93" s="44">
        <f t="shared" ref="F93:R93" si="30">SUM(F90:F92)</f>
        <v>0</v>
      </c>
      <c r="G93" s="44">
        <f t="shared" si="30"/>
        <v>0</v>
      </c>
      <c r="H93" s="44">
        <f t="shared" si="30"/>
        <v>0</v>
      </c>
      <c r="I93" s="44">
        <f t="shared" si="30"/>
        <v>0</v>
      </c>
      <c r="J93" s="44">
        <f t="shared" si="30"/>
        <v>0</v>
      </c>
      <c r="K93" s="44">
        <f t="shared" si="30"/>
        <v>0</v>
      </c>
      <c r="L93" s="44">
        <f t="shared" si="30"/>
        <v>0</v>
      </c>
      <c r="M93" s="44">
        <f t="shared" si="30"/>
        <v>0</v>
      </c>
      <c r="N93" s="44">
        <f t="shared" si="30"/>
        <v>0</v>
      </c>
      <c r="O93" s="44">
        <f t="shared" si="30"/>
        <v>0</v>
      </c>
      <c r="P93" s="44">
        <f t="shared" si="30"/>
        <v>0</v>
      </c>
      <c r="Q93" s="44">
        <f t="shared" si="30"/>
        <v>0</v>
      </c>
      <c r="R93" s="44">
        <f t="shared" si="30"/>
        <v>0</v>
      </c>
      <c r="S93" s="45">
        <f t="shared" si="27"/>
        <v>0</v>
      </c>
      <c r="T93" s="79"/>
      <c r="U93" s="79"/>
    </row>
    <row r="94" spans="1:21" ht="15" customHeight="1" x14ac:dyDescent="0.2">
      <c r="A94" s="79"/>
      <c r="B94" s="173"/>
      <c r="C94" s="176"/>
      <c r="D94" s="145" t="s">
        <v>3</v>
      </c>
      <c r="E94" s="111" t="s">
        <v>57</v>
      </c>
      <c r="F94" s="83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0</v>
      </c>
      <c r="M94" s="84">
        <v>0</v>
      </c>
      <c r="N94" s="84">
        <v>0</v>
      </c>
      <c r="O94" s="84">
        <v>0</v>
      </c>
      <c r="P94" s="84">
        <v>0</v>
      </c>
      <c r="Q94" s="84">
        <v>0</v>
      </c>
      <c r="R94" s="84">
        <v>0</v>
      </c>
      <c r="S94" s="43">
        <f t="shared" si="27"/>
        <v>0</v>
      </c>
      <c r="T94" s="79"/>
      <c r="U94" s="79"/>
    </row>
    <row r="95" spans="1:21" ht="15" customHeight="1" x14ac:dyDescent="0.2">
      <c r="A95" s="79"/>
      <c r="B95" s="173"/>
      <c r="C95" s="176"/>
      <c r="D95" s="126"/>
      <c r="E95" s="111" t="s">
        <v>43</v>
      </c>
      <c r="F95" s="83">
        <v>0</v>
      </c>
      <c r="G95" s="84">
        <v>0</v>
      </c>
      <c r="H95" s="84">
        <v>0</v>
      </c>
      <c r="I95" s="84">
        <v>0</v>
      </c>
      <c r="J95" s="84">
        <v>0</v>
      </c>
      <c r="K95" s="84">
        <v>0</v>
      </c>
      <c r="L95" s="84">
        <v>0</v>
      </c>
      <c r="M95" s="84">
        <v>0</v>
      </c>
      <c r="N95" s="84">
        <v>0</v>
      </c>
      <c r="O95" s="84">
        <v>0</v>
      </c>
      <c r="P95" s="84">
        <v>0</v>
      </c>
      <c r="Q95" s="84">
        <v>0</v>
      </c>
      <c r="R95" s="84">
        <v>0</v>
      </c>
      <c r="S95" s="41">
        <f t="shared" si="27"/>
        <v>0</v>
      </c>
      <c r="T95" s="79"/>
      <c r="U95" s="79"/>
    </row>
    <row r="96" spans="1:21" ht="15" customHeight="1" x14ac:dyDescent="0.2">
      <c r="A96" s="79"/>
      <c r="B96" s="173"/>
      <c r="C96" s="176"/>
      <c r="D96" s="126"/>
      <c r="E96" s="111" t="s">
        <v>3</v>
      </c>
      <c r="F96" s="83">
        <v>0</v>
      </c>
      <c r="G96" s="84">
        <v>0</v>
      </c>
      <c r="H96" s="84">
        <v>0</v>
      </c>
      <c r="I96" s="84">
        <v>0</v>
      </c>
      <c r="J96" s="84">
        <v>0</v>
      </c>
      <c r="K96" s="84">
        <v>0</v>
      </c>
      <c r="L96" s="84">
        <v>0</v>
      </c>
      <c r="M96" s="84">
        <v>0</v>
      </c>
      <c r="N96" s="84">
        <v>0</v>
      </c>
      <c r="O96" s="84">
        <v>0</v>
      </c>
      <c r="P96" s="84">
        <v>0</v>
      </c>
      <c r="Q96" s="84">
        <v>0</v>
      </c>
      <c r="R96" s="84">
        <v>0</v>
      </c>
      <c r="S96" s="41">
        <f t="shared" si="27"/>
        <v>0</v>
      </c>
      <c r="T96" s="79"/>
      <c r="U96" s="79"/>
    </row>
    <row r="97" spans="1:21" ht="15" customHeight="1" x14ac:dyDescent="0.2">
      <c r="A97" s="79"/>
      <c r="B97" s="173"/>
      <c r="C97" s="176"/>
      <c r="D97" s="126"/>
      <c r="E97" s="8" t="s">
        <v>93</v>
      </c>
      <c r="F97" s="44">
        <f>SUM(F94:F96)</f>
        <v>0</v>
      </c>
      <c r="G97" s="44">
        <f>SUM(G94:G96)</f>
        <v>0</v>
      </c>
      <c r="H97" s="44">
        <f t="shared" ref="H97:R97" si="31">SUM(H94:H96)</f>
        <v>0</v>
      </c>
      <c r="I97" s="44">
        <f t="shared" si="31"/>
        <v>0</v>
      </c>
      <c r="J97" s="44">
        <f t="shared" si="31"/>
        <v>0</v>
      </c>
      <c r="K97" s="44">
        <f t="shared" si="31"/>
        <v>0</v>
      </c>
      <c r="L97" s="44">
        <f t="shared" si="31"/>
        <v>0</v>
      </c>
      <c r="M97" s="44">
        <f t="shared" si="31"/>
        <v>0</v>
      </c>
      <c r="N97" s="44">
        <f t="shared" si="31"/>
        <v>0</v>
      </c>
      <c r="O97" s="44">
        <f t="shared" si="31"/>
        <v>0</v>
      </c>
      <c r="P97" s="44">
        <f t="shared" si="31"/>
        <v>0</v>
      </c>
      <c r="Q97" s="44">
        <f t="shared" si="31"/>
        <v>0</v>
      </c>
      <c r="R97" s="44">
        <f t="shared" si="31"/>
        <v>0</v>
      </c>
      <c r="S97" s="45">
        <f t="shared" si="27"/>
        <v>0</v>
      </c>
      <c r="T97" s="79"/>
      <c r="U97" s="79"/>
    </row>
    <row r="98" spans="1:21" ht="15" customHeight="1" x14ac:dyDescent="0.2">
      <c r="A98" s="79"/>
      <c r="B98" s="173"/>
      <c r="C98" s="176"/>
      <c r="D98" s="143" t="s">
        <v>28</v>
      </c>
      <c r="E98" s="143"/>
      <c r="F98" s="52">
        <f t="shared" ref="F98:R98" si="32">SUM(F97,F93,F85,F65,F89)</f>
        <v>0</v>
      </c>
      <c r="G98" s="28">
        <f t="shared" si="32"/>
        <v>0</v>
      </c>
      <c r="H98" s="28">
        <f t="shared" si="32"/>
        <v>0</v>
      </c>
      <c r="I98" s="28">
        <f t="shared" si="32"/>
        <v>0</v>
      </c>
      <c r="J98" s="28">
        <f t="shared" si="32"/>
        <v>0</v>
      </c>
      <c r="K98" s="28">
        <f t="shared" si="32"/>
        <v>0</v>
      </c>
      <c r="L98" s="28">
        <f t="shared" si="32"/>
        <v>0</v>
      </c>
      <c r="M98" s="28">
        <f t="shared" si="32"/>
        <v>0</v>
      </c>
      <c r="N98" s="28">
        <f t="shared" si="32"/>
        <v>0</v>
      </c>
      <c r="O98" s="28">
        <f t="shared" si="32"/>
        <v>0</v>
      </c>
      <c r="P98" s="28">
        <f t="shared" si="32"/>
        <v>0</v>
      </c>
      <c r="Q98" s="28">
        <f t="shared" si="32"/>
        <v>0</v>
      </c>
      <c r="R98" s="28">
        <f t="shared" si="32"/>
        <v>0</v>
      </c>
      <c r="S98" s="53">
        <f>SUM(S97,S93,S85,S89)</f>
        <v>0</v>
      </c>
      <c r="T98" s="79"/>
      <c r="U98" s="79"/>
    </row>
    <row r="99" spans="1:21" ht="15" customHeight="1" thickBot="1" x14ac:dyDescent="0.25">
      <c r="A99" s="79"/>
      <c r="B99" s="174"/>
      <c r="C99" s="177"/>
      <c r="D99" s="171" t="s">
        <v>4</v>
      </c>
      <c r="E99" s="172"/>
      <c r="F99" s="49" t="str">
        <f t="shared" ref="F99:S99" si="33">IF(F11=0,"-",F98/F11)</f>
        <v>-</v>
      </c>
      <c r="G99" s="30" t="str">
        <f t="shared" si="33"/>
        <v>-</v>
      </c>
      <c r="H99" s="30" t="str">
        <f t="shared" si="33"/>
        <v>-</v>
      </c>
      <c r="I99" s="30" t="str">
        <f t="shared" si="33"/>
        <v>-</v>
      </c>
      <c r="J99" s="30" t="str">
        <f t="shared" si="33"/>
        <v>-</v>
      </c>
      <c r="K99" s="30" t="str">
        <f t="shared" si="33"/>
        <v>-</v>
      </c>
      <c r="L99" s="30" t="str">
        <f t="shared" si="33"/>
        <v>-</v>
      </c>
      <c r="M99" s="30" t="str">
        <f t="shared" si="33"/>
        <v>-</v>
      </c>
      <c r="N99" s="30" t="str">
        <f t="shared" si="33"/>
        <v>-</v>
      </c>
      <c r="O99" s="30" t="str">
        <f t="shared" si="33"/>
        <v>-</v>
      </c>
      <c r="P99" s="30" t="str">
        <f t="shared" si="33"/>
        <v>-</v>
      </c>
      <c r="Q99" s="30" t="str">
        <f t="shared" si="33"/>
        <v>-</v>
      </c>
      <c r="R99" s="30" t="str">
        <f t="shared" si="33"/>
        <v>-</v>
      </c>
      <c r="S99" s="31" t="str">
        <f t="shared" si="33"/>
        <v>-</v>
      </c>
      <c r="T99" s="79"/>
      <c r="U99" s="79"/>
    </row>
    <row r="100" spans="1:21" ht="10.5" customHeight="1" thickBot="1" x14ac:dyDescent="0.25">
      <c r="A100" s="79"/>
      <c r="B100" s="79"/>
      <c r="C100" s="79"/>
      <c r="D100" s="91"/>
      <c r="E100" s="105"/>
      <c r="F100" s="106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79"/>
      <c r="T100" s="79"/>
      <c r="U100" s="79"/>
    </row>
    <row r="101" spans="1:21" ht="15" customHeight="1" x14ac:dyDescent="0.2">
      <c r="A101" s="79"/>
      <c r="B101" s="165" t="s">
        <v>29</v>
      </c>
      <c r="C101" s="166"/>
      <c r="D101" s="166"/>
      <c r="E101" s="16" t="s">
        <v>31</v>
      </c>
      <c r="F101" s="54">
        <f t="shared" ref="F101:R101" si="34">F11</f>
        <v>0</v>
      </c>
      <c r="G101" s="55">
        <f>G11</f>
        <v>0</v>
      </c>
      <c r="H101" s="55">
        <f t="shared" si="34"/>
        <v>0</v>
      </c>
      <c r="I101" s="55">
        <f t="shared" si="34"/>
        <v>0</v>
      </c>
      <c r="J101" s="55">
        <f t="shared" si="34"/>
        <v>0</v>
      </c>
      <c r="K101" s="55">
        <f t="shared" si="34"/>
        <v>0</v>
      </c>
      <c r="L101" s="55">
        <f t="shared" si="34"/>
        <v>0</v>
      </c>
      <c r="M101" s="55">
        <f t="shared" si="34"/>
        <v>0</v>
      </c>
      <c r="N101" s="55">
        <f t="shared" si="34"/>
        <v>0</v>
      </c>
      <c r="O101" s="55">
        <f t="shared" si="34"/>
        <v>0</v>
      </c>
      <c r="P101" s="55">
        <f t="shared" si="34"/>
        <v>0</v>
      </c>
      <c r="Q101" s="55">
        <f t="shared" si="34"/>
        <v>0</v>
      </c>
      <c r="R101" s="55">
        <f t="shared" si="34"/>
        <v>0</v>
      </c>
      <c r="S101" s="56">
        <f>SUM(G101:R101)</f>
        <v>0</v>
      </c>
      <c r="T101" s="79"/>
      <c r="U101" s="79"/>
    </row>
    <row r="102" spans="1:21" ht="15" customHeight="1" x14ac:dyDescent="0.2">
      <c r="A102" s="79"/>
      <c r="B102" s="167"/>
      <c r="C102" s="168"/>
      <c r="D102" s="168"/>
      <c r="E102" s="5" t="s">
        <v>46</v>
      </c>
      <c r="F102" s="57">
        <f t="shared" ref="F102:R102" si="35">F19</f>
        <v>0</v>
      </c>
      <c r="G102" s="58">
        <f>G19</f>
        <v>0</v>
      </c>
      <c r="H102" s="58">
        <f t="shared" si="35"/>
        <v>0</v>
      </c>
      <c r="I102" s="58">
        <f t="shared" si="35"/>
        <v>0</v>
      </c>
      <c r="J102" s="58">
        <f t="shared" si="35"/>
        <v>0</v>
      </c>
      <c r="K102" s="58">
        <f t="shared" si="35"/>
        <v>0</v>
      </c>
      <c r="L102" s="58">
        <f t="shared" si="35"/>
        <v>0</v>
      </c>
      <c r="M102" s="58">
        <f t="shared" si="35"/>
        <v>0</v>
      </c>
      <c r="N102" s="58">
        <f t="shared" si="35"/>
        <v>0</v>
      </c>
      <c r="O102" s="58">
        <f t="shared" si="35"/>
        <v>0</v>
      </c>
      <c r="P102" s="58">
        <f t="shared" si="35"/>
        <v>0</v>
      </c>
      <c r="Q102" s="58">
        <f t="shared" si="35"/>
        <v>0</v>
      </c>
      <c r="R102" s="58">
        <f t="shared" si="35"/>
        <v>0</v>
      </c>
      <c r="S102" s="59">
        <f>SUM(G102:R102)</f>
        <v>0</v>
      </c>
      <c r="T102" s="79"/>
      <c r="U102" s="79"/>
    </row>
    <row r="103" spans="1:21" ht="15" customHeight="1" x14ac:dyDescent="0.2">
      <c r="A103" s="79"/>
      <c r="B103" s="167"/>
      <c r="C103" s="168"/>
      <c r="D103" s="168"/>
      <c r="E103" s="5" t="s">
        <v>60</v>
      </c>
      <c r="F103" s="60">
        <f t="shared" ref="F103:R103" si="36">SUM(F42,F80,F98)</f>
        <v>0</v>
      </c>
      <c r="G103" s="61">
        <f t="shared" si="36"/>
        <v>0</v>
      </c>
      <c r="H103" s="61">
        <f t="shared" si="36"/>
        <v>0</v>
      </c>
      <c r="I103" s="61">
        <f t="shared" si="36"/>
        <v>0</v>
      </c>
      <c r="J103" s="61">
        <f t="shared" si="36"/>
        <v>0</v>
      </c>
      <c r="K103" s="61">
        <f t="shared" si="36"/>
        <v>0</v>
      </c>
      <c r="L103" s="61">
        <f t="shared" si="36"/>
        <v>0</v>
      </c>
      <c r="M103" s="61">
        <f t="shared" si="36"/>
        <v>0</v>
      </c>
      <c r="N103" s="61">
        <f t="shared" si="36"/>
        <v>0</v>
      </c>
      <c r="O103" s="61">
        <f t="shared" si="36"/>
        <v>0</v>
      </c>
      <c r="P103" s="61">
        <f t="shared" si="36"/>
        <v>0</v>
      </c>
      <c r="Q103" s="61">
        <f t="shared" si="36"/>
        <v>0</v>
      </c>
      <c r="R103" s="61">
        <f t="shared" si="36"/>
        <v>0</v>
      </c>
      <c r="S103" s="62">
        <f>SUM(G103:R103)</f>
        <v>0</v>
      </c>
      <c r="T103" s="79"/>
      <c r="U103" s="79"/>
    </row>
    <row r="104" spans="1:21" ht="15" customHeight="1" thickBot="1" x14ac:dyDescent="0.25">
      <c r="A104" s="79"/>
      <c r="B104" s="169"/>
      <c r="C104" s="170"/>
      <c r="D104" s="170"/>
      <c r="E104" s="17" t="s">
        <v>30</v>
      </c>
      <c r="F104" s="23">
        <f t="shared" ref="F104:S104" si="37">F101-F102-F103</f>
        <v>0</v>
      </c>
      <c r="G104" s="63">
        <f t="shared" si="37"/>
        <v>0</v>
      </c>
      <c r="H104" s="63">
        <f t="shared" si="37"/>
        <v>0</v>
      </c>
      <c r="I104" s="63">
        <f t="shared" si="37"/>
        <v>0</v>
      </c>
      <c r="J104" s="63">
        <f t="shared" si="37"/>
        <v>0</v>
      </c>
      <c r="K104" s="63">
        <f t="shared" si="37"/>
        <v>0</v>
      </c>
      <c r="L104" s="63">
        <f t="shared" si="37"/>
        <v>0</v>
      </c>
      <c r="M104" s="63">
        <f t="shared" si="37"/>
        <v>0</v>
      </c>
      <c r="N104" s="63">
        <f t="shared" si="37"/>
        <v>0</v>
      </c>
      <c r="O104" s="63">
        <f t="shared" si="37"/>
        <v>0</v>
      </c>
      <c r="P104" s="63">
        <f t="shared" si="37"/>
        <v>0</v>
      </c>
      <c r="Q104" s="63">
        <f t="shared" si="37"/>
        <v>0</v>
      </c>
      <c r="R104" s="63">
        <f t="shared" si="37"/>
        <v>0</v>
      </c>
      <c r="S104" s="64">
        <f t="shared" si="37"/>
        <v>0</v>
      </c>
      <c r="T104" s="79"/>
      <c r="U104" s="79"/>
    </row>
    <row r="105" spans="1:21" ht="15" customHeight="1" x14ac:dyDescent="0.2">
      <c r="A105" s="79"/>
      <c r="B105" s="79"/>
      <c r="C105" s="79"/>
      <c r="D105" s="80"/>
      <c r="E105" s="79"/>
      <c r="F105" s="79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79"/>
      <c r="T105" s="79"/>
      <c r="U105" s="79"/>
    </row>
    <row r="106" spans="1:21" x14ac:dyDescent="0.2">
      <c r="A106" s="79"/>
      <c r="B106" s="79"/>
      <c r="C106" s="91"/>
      <c r="D106" s="80"/>
      <c r="E106" s="79"/>
      <c r="F106" s="79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79"/>
      <c r="T106" s="79"/>
      <c r="U106" s="79"/>
    </row>
    <row r="107" spans="1:21" x14ac:dyDescent="0.2">
      <c r="A107" s="79"/>
      <c r="B107" s="79"/>
      <c r="C107" s="92"/>
      <c r="D107" s="80"/>
      <c r="E107" s="79"/>
      <c r="F107" s="79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79"/>
      <c r="T107" s="79"/>
      <c r="U107" s="79"/>
    </row>
    <row r="108" spans="1:21" x14ac:dyDescent="0.2">
      <c r="A108" s="79"/>
      <c r="B108" s="79"/>
      <c r="C108" s="93"/>
      <c r="D108" s="80"/>
      <c r="E108" s="79"/>
      <c r="F108" s="79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79"/>
      <c r="T108" s="79"/>
      <c r="U108" s="79"/>
    </row>
    <row r="109" spans="1:21" x14ac:dyDescent="0.2">
      <c r="A109" s="79"/>
      <c r="B109" s="79"/>
      <c r="C109" s="94"/>
      <c r="D109" s="80"/>
      <c r="E109" s="79"/>
      <c r="F109" s="79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79"/>
      <c r="T109" s="79"/>
      <c r="U109" s="79"/>
    </row>
    <row r="110" spans="1:21" x14ac:dyDescent="0.2">
      <c r="A110" s="79"/>
      <c r="B110" s="79"/>
      <c r="C110" s="79"/>
      <c r="D110" s="80"/>
      <c r="E110" s="79"/>
      <c r="F110" s="79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79"/>
      <c r="T110" s="79"/>
      <c r="U110" s="79"/>
    </row>
  </sheetData>
  <sheetProtection password="C77B" sheet="1" objects="1" scenarios="1" formatCells="0" formatColumns="0" formatRows="0" insertColumns="0" insertRows="0" deleteColumns="0" deleteRows="0" sort="0" autoFilter="0"/>
  <mergeCells count="34">
    <mergeCell ref="B101:D104"/>
    <mergeCell ref="D90:D93"/>
    <mergeCell ref="D94:D97"/>
    <mergeCell ref="D77:D79"/>
    <mergeCell ref="D61:D65"/>
    <mergeCell ref="D98:E98"/>
    <mergeCell ref="D99:E99"/>
    <mergeCell ref="B23:B99"/>
    <mergeCell ref="D32:D35"/>
    <mergeCell ref="C82:C99"/>
    <mergeCell ref="B2:S2"/>
    <mergeCell ref="D36:D38"/>
    <mergeCell ref="D39:D41"/>
    <mergeCell ref="S3:S4"/>
    <mergeCell ref="G3:L3"/>
    <mergeCell ref="M3:R3"/>
    <mergeCell ref="B5:D11"/>
    <mergeCell ref="D28:D31"/>
    <mergeCell ref="B3:F3"/>
    <mergeCell ref="B4:D4"/>
    <mergeCell ref="C23:C41"/>
    <mergeCell ref="B13:D20"/>
    <mergeCell ref="D22:D27"/>
    <mergeCell ref="D81:E81"/>
    <mergeCell ref="C44:C79"/>
    <mergeCell ref="D80:E80"/>
    <mergeCell ref="D43:E43"/>
    <mergeCell ref="D86:D89"/>
    <mergeCell ref="D71:D76"/>
    <mergeCell ref="D44:D50"/>
    <mergeCell ref="D66:D70"/>
    <mergeCell ref="D82:D85"/>
    <mergeCell ref="D57:D60"/>
    <mergeCell ref="D51:D56"/>
  </mergeCells>
  <phoneticPr fontId="4" type="noConversion"/>
  <conditionalFormatting sqref="G104:S104">
    <cfRule type="cellIs" dxfId="0" priority="1" stopIfTrue="1" operator="lessThan">
      <formula>0</formula>
    </cfRule>
  </conditionalFormatting>
  <printOptions horizontalCentered="1"/>
  <pageMargins left="0.19685039370078741" right="0.19685039370078741" top="0.15748031496062992" bottom="0.19685039370078741" header="0.19685039370078741" footer="0.15748031496062992"/>
  <pageSetup paperSize="9" scale="52" orientation="portrait" horizontalDpi="300" verticalDpi="300" r:id="rId1"/>
  <headerFooter alignWithMargins="0"/>
  <ignoredErrors>
    <ignoredError sqref="S5:S10 S28:S30 S34 S36:S37 S39:S40 S47:S49 S51:S55 S57:S59 S66:S69 S71:S75 S77:S78 S86:S88 S90:S92 S94:S96 S22:S26 S32:S33 S44:S46 S13:S18 S82:S84 S61:S64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25"/>
  <sheetViews>
    <sheetView showGridLines="0" workbookViewId="0" xr3:uid="{842E5F09-E766-5B8D-85AF-A39847EA96FD}">
      <selection activeCell="B7" sqref="B7"/>
    </sheetView>
  </sheetViews>
  <sheetFormatPr defaultColWidth="0" defaultRowHeight="12.75" zeroHeight="1" x14ac:dyDescent="0.15"/>
  <cols>
    <col min="1" max="1" width="2.96484375" customWidth="1"/>
    <col min="2" max="2" width="124.60546875" customWidth="1"/>
    <col min="3" max="3" width="13.75390625" customWidth="1"/>
  </cols>
  <sheetData>
    <row r="1" spans="2:2" s="3" customFormat="1" ht="46.5" x14ac:dyDescent="0.65">
      <c r="B1" s="76" t="s">
        <v>105</v>
      </c>
    </row>
    <row r="2" spans="2:2" s="3" customFormat="1" ht="14.25" x14ac:dyDescent="0.2"/>
    <row r="3" spans="2:2" s="3" customFormat="1" ht="25.5" x14ac:dyDescent="0.35">
      <c r="B3" s="71" t="s">
        <v>98</v>
      </c>
    </row>
    <row r="4" spans="2:2" s="3" customFormat="1" ht="14.25" x14ac:dyDescent="0.2"/>
    <row r="5" spans="2:2" s="3" customFormat="1" ht="14.25" x14ac:dyDescent="0.2"/>
    <row r="6" spans="2:2" s="3" customFormat="1" ht="25.5" x14ac:dyDescent="0.35">
      <c r="B6" s="71" t="s">
        <v>99</v>
      </c>
    </row>
    <row r="7" spans="2:2" x14ac:dyDescent="0.15"/>
    <row r="8" spans="2:2" ht="25.5" x14ac:dyDescent="0.35">
      <c r="B8" s="70" t="s">
        <v>107</v>
      </c>
    </row>
    <row r="9" spans="2:2" ht="25.5" x14ac:dyDescent="0.35">
      <c r="B9" s="70" t="s">
        <v>108</v>
      </c>
    </row>
    <row r="10" spans="2:2" ht="25.5" x14ac:dyDescent="0.35">
      <c r="B10" s="70" t="s">
        <v>109</v>
      </c>
    </row>
    <row r="11" spans="2:2" ht="9" customHeight="1" x14ac:dyDescent="0.15"/>
    <row r="12" spans="2:2" s="3" customFormat="1" ht="9" customHeight="1" x14ac:dyDescent="0.2"/>
    <row r="13" spans="2:2" s="3" customFormat="1" ht="9" customHeight="1" x14ac:dyDescent="0.2"/>
    <row r="14" spans="2:2" s="3" customFormat="1" ht="25.5" x14ac:dyDescent="0.35">
      <c r="B14" s="77" t="s">
        <v>100</v>
      </c>
    </row>
    <row r="15" spans="2:2" s="3" customFormat="1" ht="25.5" x14ac:dyDescent="0.35">
      <c r="B15" s="77" t="s">
        <v>101</v>
      </c>
    </row>
    <row r="16" spans="2:2" s="3" customFormat="1" ht="14.25" x14ac:dyDescent="0.2"/>
    <row r="17" spans="2:2" s="3" customFormat="1" ht="14.25" x14ac:dyDescent="0.2"/>
    <row r="18" spans="2:2" s="3" customFormat="1" ht="45" customHeight="1" x14ac:dyDescent="0.3">
      <c r="B18" s="75" t="s">
        <v>110</v>
      </c>
    </row>
    <row r="19" spans="2:2" s="3" customFormat="1" ht="14.25" x14ac:dyDescent="0.2"/>
    <row r="20" spans="2:2" s="3" customFormat="1" ht="14.25" x14ac:dyDescent="0.2"/>
    <row r="21" spans="2:2" hidden="1" x14ac:dyDescent="0.15"/>
    <row r="22" spans="2:2" hidden="1" x14ac:dyDescent="0.15"/>
    <row r="23" spans="2:2" hidden="1" x14ac:dyDescent="0.15"/>
    <row r="24" spans="2:2" hidden="1" x14ac:dyDescent="0.15"/>
    <row r="25" spans="2:2" hidden="1" x14ac:dyDescent="0.15"/>
  </sheetData>
  <sheetProtection password="C77B" sheet="1" objects="1" scenarios="1" selectLockedCells="1" selectUnlockedCells="1"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16"/>
  <sheetViews>
    <sheetView showGridLines="0" workbookViewId="0" xr3:uid="{51F8DEE0-4D01-5F28-A812-FC0BD7CAC4A5}">
      <selection activeCell="A15" sqref="A15:IV16"/>
    </sheetView>
  </sheetViews>
  <sheetFormatPr defaultColWidth="0" defaultRowHeight="14.25" zeroHeight="1" x14ac:dyDescent="0.2"/>
  <cols>
    <col min="1" max="1" width="2.2890625" style="3" customWidth="1"/>
    <col min="2" max="2" width="114.7578125" style="3" customWidth="1"/>
    <col min="3" max="3" width="9.16796875" style="3" customWidth="1"/>
    <col min="4" max="16384" width="0" style="3" hidden="1"/>
  </cols>
  <sheetData>
    <row r="1" spans="2:2" ht="46.5" x14ac:dyDescent="0.65">
      <c r="B1" s="76" t="s">
        <v>111</v>
      </c>
    </row>
    <row r="2" spans="2:2" ht="25.5" x14ac:dyDescent="0.35">
      <c r="B2" s="71" t="s">
        <v>96</v>
      </c>
    </row>
    <row r="3" spans="2:2" x14ac:dyDescent="0.2"/>
    <row r="4" spans="2:2" ht="54.75" x14ac:dyDescent="0.2">
      <c r="B4" s="74" t="s">
        <v>104</v>
      </c>
    </row>
    <row r="5" spans="2:2" ht="17.25" customHeight="1" x14ac:dyDescent="0.2"/>
    <row r="6" spans="2:2" ht="31.5" x14ac:dyDescent="0.45">
      <c r="B6" s="72" t="s">
        <v>102</v>
      </c>
    </row>
    <row r="7" spans="2:2" ht="85.5" customHeight="1" x14ac:dyDescent="0.2"/>
    <row r="8" spans="2:2" ht="129" customHeight="1" x14ac:dyDescent="0.2">
      <c r="B8" s="78" t="s">
        <v>112</v>
      </c>
    </row>
    <row r="9" spans="2:2" x14ac:dyDescent="0.2"/>
    <row r="10" spans="2:2" ht="25.5" x14ac:dyDescent="0.35">
      <c r="B10" s="77" t="s">
        <v>97</v>
      </c>
    </row>
    <row r="11" spans="2:2" ht="24.75" customHeight="1" x14ac:dyDescent="0.2">
      <c r="B11" s="73" t="s">
        <v>103</v>
      </c>
    </row>
    <row r="12" spans="2:2" x14ac:dyDescent="0.2"/>
    <row r="13" spans="2:2" x14ac:dyDescent="0.2"/>
    <row r="14" spans="2:2" x14ac:dyDescent="0.2"/>
    <row r="15" spans="2:2" hidden="1" x14ac:dyDescent="0.2"/>
    <row r="16" spans="2:2" hidden="1" x14ac:dyDescent="0.2"/>
  </sheetData>
  <sheetProtection password="C77B" sheet="1" objects="1" scenarios="1" selectLockedCells="1" selectUnlockedCells="1"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563EA7C15AAF4780BECFA87D3F0E60" ma:contentTypeVersion="1" ma:contentTypeDescription="Crie um novo documento." ma:contentTypeScope="" ma:versionID="359a0de497d748b529bdb42507d11b8a">
  <xsd:schema xmlns:xsd="http://www.w3.org/2001/XMLSchema" xmlns:p="http://schemas.microsoft.com/office/2006/metadata/properties" xmlns:ns2="294f7048-f819-4cae-a0ae-7b839590406a" targetNamespace="http://schemas.microsoft.com/office/2006/metadata/properties" ma:root="true" ma:fieldsID="a5df10df85f9f18a0f03c3895cf440c1" ns2:_="">
    <xsd:import namespace="294f7048-f819-4cae-a0ae-7b839590406a"/>
    <xsd:element name="properties">
      <xsd:complexType>
        <xsd:sequence>
          <xsd:element name="documentManagement">
            <xsd:complexType>
              <xsd:all>
                <xsd:element ref="ns2:Ativ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294f7048-f819-4cae-a0ae-7b839590406a" elementFormDefault="qualified">
    <xsd:import namespace="http://schemas.microsoft.com/office/2006/documentManagement/types"/>
    <xsd:element name="Ativo" ma:index="8" nillable="true" ma:displayName="Ativo" ma:default="1" ma:internalName="Ativo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 ma:readOnly="true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26D6DA-BADE-45F1-9A82-A4BD695CBA85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294f7048-f819-4cae-a0ae-7b839590406a"/>
  </ds:schemaRefs>
</ds:datastoreItem>
</file>

<file path=customXml/itemProps2.xml><?xml version="1.0" encoding="utf-8"?>
<ds:datastoreItem xmlns:ds="http://schemas.openxmlformats.org/officeDocument/2006/customXml" ds:itemID="{0B58CFB8-796C-4FD2-9B54-87DCC577D04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D408DEFB-361E-45DA-AEF3-83432F291C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Introdução</vt:lpstr>
      <vt:lpstr>Preencha a Planilha Orçamento</vt:lpstr>
      <vt:lpstr>Saldo positivo</vt:lpstr>
      <vt:lpstr>Saldo negativo</vt:lpstr>
      <vt:lpstr>Preencha a Planilha Orçamento!Titulos_de_impressao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Modelo_Planilha_Vida_Financeira_comentada</dc:title>
  <dc:creator>Deploy</dc:creator>
  <cp:lastModifiedBy>X</cp:lastModifiedBy>
  <cp:lastPrinted>2010-10-28T19:22:35Z</cp:lastPrinted>
  <dcterms:created xsi:type="dcterms:W3CDTF">2010-02-05T10:42:09Z</dcterms:created>
  <dcterms:modified xsi:type="dcterms:W3CDTF">2018-03-02T14:49:37Z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ublishingExpirationDate">
    <vt:lpwstr/>
  </property>
  <property fmtid="{D5CDD505-2E9C-101B-9397-08002B2CF9AE}" pid="3" name="PublishingStartDate">
    <vt:lpwstr/>
  </property>
  <property fmtid="{D5CDD505-2E9C-101B-9397-08002B2CF9AE}" pid="4" name="ContentType">
    <vt:lpwstr>Documento</vt:lpwstr>
  </property>
  <property fmtid="{D5CDD505-2E9C-101B-9397-08002B2CF9AE}" pid="5" name="Ativo">
    <vt:lpwstr>1</vt:lpwstr>
  </property>
</Properties>
</file>