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6960"/>
  </bookViews>
  <sheets>
    <sheet name="INSTRUÇOES" sheetId="2" r:id="rId1"/>
    <sheet name="CALCULO PERC. CUSTO INDIRETO" sheetId="1" r:id="rId2"/>
    <sheet name="CALC. FORMAÇAO DE PREÇO" sheetId="3" r:id="rId3"/>
  </sheets>
  <calcPr calcId="124519"/>
</workbook>
</file>

<file path=xl/calcChain.xml><?xml version="1.0" encoding="utf-8"?>
<calcChain xmlns="http://schemas.openxmlformats.org/spreadsheetml/2006/main">
  <c r="I13" i="1"/>
  <c r="I22" i="3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H22"/>
  <c r="J22" s="1"/>
  <c r="H23"/>
  <c r="J23" s="1"/>
  <c r="H24"/>
  <c r="J24" s="1"/>
  <c r="H25"/>
  <c r="J25" s="1"/>
  <c r="H26"/>
  <c r="J26" s="1"/>
  <c r="H27"/>
  <c r="J27" s="1"/>
  <c r="H28"/>
  <c r="J28" s="1"/>
  <c r="H29"/>
  <c r="J29" s="1"/>
  <c r="H30"/>
  <c r="J30" s="1"/>
  <c r="H31"/>
  <c r="J31" s="1"/>
  <c r="H32"/>
  <c r="J32" s="1"/>
  <c r="H33"/>
  <c r="J33" s="1"/>
  <c r="H34"/>
  <c r="J34" s="1"/>
  <c r="H35"/>
  <c r="J35" s="1"/>
  <c r="H36"/>
  <c r="J36" s="1"/>
  <c r="H37"/>
  <c r="J37" s="1"/>
  <c r="H38"/>
  <c r="J38" s="1"/>
  <c r="H39"/>
  <c r="J39" s="1"/>
  <c r="H40"/>
  <c r="J40" s="1"/>
  <c r="H41"/>
  <c r="J41" s="1"/>
  <c r="H42"/>
  <c r="J42" s="1"/>
  <c r="H43"/>
  <c r="J43" s="1"/>
  <c r="H44"/>
  <c r="J44" s="1"/>
  <c r="H45"/>
  <c r="J45" s="1"/>
  <c r="C46" l="1"/>
  <c r="G33"/>
  <c r="G34"/>
  <c r="G35"/>
  <c r="G36"/>
  <c r="G37"/>
  <c r="G38"/>
  <c r="G39"/>
  <c r="G40"/>
  <c r="G41"/>
  <c r="G42"/>
  <c r="G43"/>
  <c r="G44"/>
  <c r="B46"/>
  <c r="G16"/>
  <c r="G17"/>
  <c r="G18"/>
  <c r="G19"/>
  <c r="G20"/>
  <c r="G21"/>
  <c r="G22"/>
  <c r="G23"/>
  <c r="G24"/>
  <c r="G25"/>
  <c r="G26"/>
  <c r="G27"/>
  <c r="G28"/>
  <c r="G29"/>
  <c r="G30"/>
  <c r="G31"/>
  <c r="G32"/>
  <c r="G45"/>
  <c r="G15"/>
  <c r="K7" i="1"/>
  <c r="L7" s="1"/>
  <c r="K8"/>
  <c r="L8" s="1"/>
  <c r="K9"/>
  <c r="K6"/>
  <c r="J10"/>
  <c r="H10"/>
  <c r="C29"/>
  <c r="D29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6"/>
  <c r="I10"/>
  <c r="Q27" i="2"/>
  <c r="Q26"/>
  <c r="E16" i="3" l="1"/>
  <c r="E17"/>
  <c r="E18"/>
  <c r="E19"/>
  <c r="E20"/>
  <c r="E21"/>
  <c r="E15"/>
  <c r="F16"/>
  <c r="F17"/>
  <c r="F18"/>
  <c r="F19"/>
  <c r="F20"/>
  <c r="F21"/>
  <c r="F15"/>
  <c r="K10" i="1"/>
  <c r="L10"/>
  <c r="B29"/>
  <c r="E29" s="1"/>
  <c r="I18" s="1"/>
  <c r="L3" i="3" s="1"/>
  <c r="I15" l="1"/>
  <c r="I16"/>
  <c r="I17"/>
  <c r="I18"/>
  <c r="I19"/>
  <c r="I20"/>
  <c r="I21"/>
  <c r="H15"/>
  <c r="J15" s="1"/>
  <c r="K15" s="1"/>
  <c r="H21"/>
  <c r="J21" s="1"/>
  <c r="H20"/>
  <c r="J20" s="1"/>
  <c r="H19"/>
  <c r="J19" s="1"/>
  <c r="H18"/>
  <c r="J18" s="1"/>
  <c r="H17"/>
  <c r="J17" s="1"/>
  <c r="H16"/>
  <c r="J16" s="1"/>
  <c r="K34"/>
  <c r="K35"/>
  <c r="K36"/>
  <c r="K37"/>
  <c r="K38"/>
  <c r="K39"/>
  <c r="K40"/>
  <c r="K41"/>
  <c r="K42"/>
  <c r="K43"/>
  <c r="K44"/>
  <c r="K16"/>
  <c r="K18"/>
  <c r="K19"/>
  <c r="K20"/>
  <c r="K21"/>
  <c r="K22"/>
  <c r="K23"/>
  <c r="K24"/>
  <c r="K25"/>
  <c r="K26"/>
  <c r="K27"/>
  <c r="K28"/>
  <c r="K29"/>
  <c r="K30"/>
  <c r="K31"/>
  <c r="K32"/>
  <c r="K45"/>
  <c r="K33" l="1"/>
  <c r="L33"/>
  <c r="L32"/>
  <c r="M32" s="1"/>
  <c r="L31"/>
  <c r="M31" s="1"/>
  <c r="L30"/>
  <c r="M30" s="1"/>
  <c r="L29"/>
  <c r="M29" s="1"/>
  <c r="L28"/>
  <c r="M28" s="1"/>
  <c r="L27"/>
  <c r="M27" s="1"/>
  <c r="L26"/>
  <c r="M26" s="1"/>
  <c r="L25"/>
  <c r="M25" s="1"/>
  <c r="L24"/>
  <c r="M24" s="1"/>
  <c r="L23"/>
  <c r="M23" s="1"/>
  <c r="L22"/>
  <c r="M22" s="1"/>
  <c r="L21"/>
  <c r="M21" s="1"/>
  <c r="L20"/>
  <c r="M20" s="1"/>
  <c r="L18"/>
  <c r="M18" s="1"/>
  <c r="L16"/>
  <c r="M16" s="1"/>
  <c r="L44"/>
  <c r="M44" s="1"/>
  <c r="L43"/>
  <c r="M43" s="1"/>
  <c r="L42"/>
  <c r="M42" s="1"/>
  <c r="L41"/>
  <c r="M41" s="1"/>
  <c r="L40"/>
  <c r="M40" s="1"/>
  <c r="L34"/>
  <c r="M34" s="1"/>
  <c r="L35"/>
  <c r="M35" s="1"/>
  <c r="L39"/>
  <c r="M39" s="1"/>
  <c r="L38"/>
  <c r="M38" s="1"/>
  <c r="L37"/>
  <c r="M37" s="1"/>
  <c r="L36"/>
  <c r="M36" s="1"/>
  <c r="L45"/>
  <c r="M45" s="1"/>
  <c r="K17"/>
  <c r="M33" l="1"/>
  <c r="L17"/>
  <c r="M17" s="1"/>
  <c r="L19"/>
  <c r="M19" s="1"/>
  <c r="L15"/>
  <c r="M15" s="1"/>
</calcChain>
</file>

<file path=xl/comments1.xml><?xml version="1.0" encoding="utf-8"?>
<comments xmlns="http://schemas.openxmlformats.org/spreadsheetml/2006/main">
  <authors>
    <author>Autor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informe nessa planilhas os custos fixos da sua empresa, para se formar uma media.</t>
        </r>
      </text>
    </comment>
    <comment ref="G5" authorId="0">
      <text>
        <r>
          <rPr>
            <b/>
            <sz val="8"/>
            <color indexed="81"/>
            <rFont val="Tahoma"/>
            <charset val="1"/>
          </rPr>
          <t>Autor:</t>
        </r>
        <r>
          <rPr>
            <sz val="8"/>
            <color indexed="81"/>
            <rFont val="Tahoma"/>
            <charset val="1"/>
          </rPr>
          <t xml:space="preserve">
Informe nessa planilha o faturamento médio.</t>
        </r>
      </text>
    </comment>
    <comment ref="G12" authorId="0">
      <text>
        <r>
          <rPr>
            <b/>
            <sz val="8"/>
            <color indexed="81"/>
            <rFont val="Tahoma"/>
            <charset val="1"/>
          </rPr>
          <t>Autor:</t>
        </r>
        <r>
          <rPr>
            <sz val="8"/>
            <color indexed="81"/>
            <rFont val="Tahoma"/>
            <charset val="1"/>
          </rPr>
          <t xml:space="preserve">
Informe a taxa do cartão em suas respectivas formas de pagamento</t>
        </r>
      </text>
    </comment>
    <comment ref="G13" authorId="0">
      <text>
        <r>
          <rPr>
            <b/>
            <sz val="8"/>
            <color indexed="81"/>
            <rFont val="Tahoma"/>
            <charset val="1"/>
          </rPr>
          <t>Autor:</t>
        </r>
        <r>
          <rPr>
            <sz val="8"/>
            <color indexed="81"/>
            <rFont val="Tahoma"/>
            <charset val="1"/>
          </rPr>
          <t xml:space="preserve">
Informe a taxa do cartão em suas respectivas formas de pagamento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10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Informe o valor do custo direto, ele será automaticamente rateado nos produtos pela quantidade.
Classifica-se FRETE e OUTRAS DESPESAS como sendo um exemplo de CUSTO DIRETO E FIXO, pois não varia conforme o valor, por tanto deve ser rateado aos produtos DIRETAMENTE relacionados.</t>
        </r>
      </text>
    </comment>
    <comment ref="D11" authorId="0">
      <text>
        <r>
          <rPr>
            <b/>
            <sz val="8"/>
            <color indexed="81"/>
            <rFont val="Tahoma"/>
            <charset val="1"/>
          </rPr>
          <t>Autor:</t>
        </r>
        <r>
          <rPr>
            <sz val="8"/>
            <color indexed="81"/>
            <rFont val="Tahoma"/>
            <charset val="1"/>
          </rPr>
          <t xml:space="preserve">
Informe o percentual de lucro desejado.</t>
        </r>
      </text>
    </comment>
    <comment ref="B14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Informe nesta coluna a quantidade de produtos adquirida.
</t>
        </r>
      </text>
    </comment>
    <comment ref="C14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Informe o valor unitário  pago pela mercadoria.
</t>
        </r>
      </text>
    </comment>
    <comment ref="D14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Informe o percentual de IPI pago na mercadoria.
Se houver mais impostos some as alíquotas e coloque o total. Exemplo: (7%ST+5%IPI=12%).</t>
        </r>
      </text>
    </comment>
    <comment ref="J14" authorId="0">
      <text>
        <r>
          <rPr>
            <b/>
            <sz val="8"/>
            <color indexed="81"/>
            <rFont val="Tahoma"/>
            <charset val="1"/>
          </rPr>
          <t>Autor:</t>
        </r>
        <r>
          <rPr>
            <sz val="8"/>
            <color indexed="81"/>
            <rFont val="Tahoma"/>
            <charset val="1"/>
          </rPr>
          <t xml:space="preserve">
Custo antes de ser somado a média do custo variavel indireto.</t>
        </r>
      </text>
    </comment>
    <comment ref="K14" authorId="0">
      <text>
        <r>
          <rPr>
            <b/>
            <sz val="8"/>
            <color indexed="81"/>
            <rFont val="Tahoma"/>
            <charset val="1"/>
          </rPr>
          <t>Autor:</t>
        </r>
        <r>
          <rPr>
            <sz val="8"/>
            <color indexed="81"/>
            <rFont val="Tahoma"/>
            <charset val="1"/>
          </rPr>
          <t xml:space="preserve">
Custo FINAL após a soma de Custos DIRETOS e INDIRETOS.
</t>
        </r>
      </text>
    </comment>
  </commentList>
</comments>
</file>

<file path=xl/sharedStrings.xml><?xml version="1.0" encoding="utf-8"?>
<sst xmlns="http://schemas.openxmlformats.org/spreadsheetml/2006/main" count="57" uniqueCount="52">
  <si>
    <t>Aluguel</t>
  </si>
  <si>
    <t>Energia</t>
  </si>
  <si>
    <t>Internet</t>
  </si>
  <si>
    <t>Fornecedores a Pagar</t>
  </si>
  <si>
    <t>Financiamento</t>
  </si>
  <si>
    <t>TOTAL</t>
  </si>
  <si>
    <t>Dinheiro</t>
  </si>
  <si>
    <t>Outras Receitas</t>
  </si>
  <si>
    <t>Total Receitas Bruta</t>
  </si>
  <si>
    <t>Cartão Debito</t>
  </si>
  <si>
    <t>Cart. Credito</t>
  </si>
  <si>
    <t>MÊS 1</t>
  </si>
  <si>
    <t>MÊS 2</t>
  </si>
  <si>
    <t>MÊS 3</t>
  </si>
  <si>
    <t>MEDIA</t>
  </si>
  <si>
    <t>PERCENTUAL DO CUSTO FIXO MEDIO</t>
  </si>
  <si>
    <t>MERCADORIA</t>
  </si>
  <si>
    <t>PRODUTO EXEMPLO 1</t>
  </si>
  <si>
    <t>PRODUTO EXEMPLO 2</t>
  </si>
  <si>
    <t>PRODUTO EXEMPLO 3</t>
  </si>
  <si>
    <t>PRODUTO EXEMPLO 4</t>
  </si>
  <si>
    <t>PRODUTO EXEMPLO 5</t>
  </si>
  <si>
    <t>PRODUTO EXEMPLO 6</t>
  </si>
  <si>
    <t>PRODUTO EXEMPLO 7</t>
  </si>
  <si>
    <t>OUTRAS DEPESAS</t>
  </si>
  <si>
    <t>IPI %</t>
  </si>
  <si>
    <t>FRETE RATEADO</t>
  </si>
  <si>
    <t>CUSTO MERC. UNIT.</t>
  </si>
  <si>
    <t>VALOR IPI</t>
  </si>
  <si>
    <t xml:space="preserve">CUSTO FINAL </t>
  </si>
  <si>
    <t>PREÇO FINAL VENDA</t>
  </si>
  <si>
    <t>C. INDIRETOS RATEADO</t>
  </si>
  <si>
    <t>FRETE</t>
  </si>
  <si>
    <t>OUTRAS DESPESAS</t>
  </si>
  <si>
    <t xml:space="preserve">CUSTOS DIRETOS </t>
  </si>
  <si>
    <t>CUSTO UNIT. ANT INDIRETO</t>
  </si>
  <si>
    <t>QUANT.</t>
  </si>
  <si>
    <t>TAXA MEDIA CARTAO</t>
  </si>
  <si>
    <t>PERC. DE LUCRO LIVRE DESEJADO</t>
  </si>
  <si>
    <t>LUCRO LIVRE OBTIDO</t>
  </si>
  <si>
    <t>% TAXA APROX</t>
  </si>
  <si>
    <t>Faturamento Médio</t>
  </si>
  <si>
    <t>Água</t>
  </si>
  <si>
    <t>Salário + Encargos (Roberto)</t>
  </si>
  <si>
    <t>Salário + Encargos (Vanessa)</t>
  </si>
  <si>
    <t>CUSTO. ANT. IND. VARIAVEL.</t>
  </si>
  <si>
    <t>DESPESAS MENSAIS FIXAS</t>
  </si>
  <si>
    <t>CUSTO FIXO INDIRETO</t>
  </si>
  <si>
    <t>RECEITAS MENSAIS</t>
  </si>
  <si>
    <t>TAXA C. CRÉDITO</t>
  </si>
  <si>
    <t>TAXA C. DÉBITO</t>
  </si>
  <si>
    <t>Este percentual representa o PESO dos seus gastos fixos sobre sua receita BRUTA. Valor a ser considerado na hora de formar o preço de venda, pois o percentual aqui demonstrado representa o quanto deve-se resguardar do produto e destinar ao pagamento de suas contas fixas.</t>
  </si>
</sst>
</file>

<file path=xl/styles.xml><?xml version="1.0" encoding="utf-8"?>
<styleSheet xmlns="http://schemas.openxmlformats.org/spreadsheetml/2006/main">
  <numFmts count="6">
    <numFmt numFmtId="44" formatCode="_(&quot;R$ &quot;* #,##0.00_);_(&quot;R$ &quot;* \(#,##0.00\);_(&quot;R$ &quot;* &quot;-&quot;??_);_(@_)"/>
    <numFmt numFmtId="164" formatCode="_-* #,##0.00_-;\-* #,##0.00_-;_-* &quot;-&quot;??_-;_-@_-"/>
    <numFmt numFmtId="165" formatCode="#,##0.00;\(#,##0.00\)"/>
    <numFmt numFmtId="166" formatCode="&quot;R$ &quot;#,##0.00;[Red]&quot;- R$ &quot;#,##0.00"/>
    <numFmt numFmtId="167" formatCode="&quot;R$ &quot;#,##0.00;&quot;- R$ &quot;#,##0.00"/>
    <numFmt numFmtId="168" formatCode="0.000%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0"/>
      <name val="Arial"/>
      <family val="2"/>
    </font>
    <font>
      <sz val="11"/>
      <color theme="1" tint="4.9989318521683403E-2"/>
      <name val="Arial"/>
      <family val="2"/>
    </font>
    <font>
      <b/>
      <sz val="10"/>
      <color theme="1" tint="4.9989318521683403E-2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Arial Black"/>
      <family val="2"/>
    </font>
    <font>
      <sz val="11"/>
      <color theme="1"/>
      <name val="Arial Black"/>
      <family val="2"/>
    </font>
    <font>
      <b/>
      <sz val="11"/>
      <color theme="1" tint="4.9989318521683403E-2"/>
      <name val="Arial"/>
      <family val="2"/>
    </font>
    <font>
      <sz val="26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name val="Calibri"/>
      <family val="2"/>
      <scheme val="minor"/>
    </font>
    <font>
      <sz val="20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66FF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29">
    <xf numFmtId="0" fontId="0" fillId="0" borderId="0" xfId="0"/>
    <xf numFmtId="0" fontId="0" fillId="3" borderId="0" xfId="0" applyFill="1"/>
    <xf numFmtId="165" fontId="9" fillId="3" borderId="0" xfId="0" applyNumberFormat="1" applyFont="1" applyFill="1" applyAlignment="1"/>
    <xf numFmtId="165" fontId="10" fillId="3" borderId="0" xfId="0" applyNumberFormat="1" applyFont="1" applyFill="1" applyAlignment="1"/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/>
    <xf numFmtId="10" fontId="12" fillId="0" borderId="0" xfId="2" applyNumberFormat="1" applyFont="1" applyFill="1" applyBorder="1" applyProtection="1">
      <protection locked="0"/>
    </xf>
    <xf numFmtId="0" fontId="2" fillId="0" borderId="0" xfId="0" applyFont="1" applyFill="1" applyBorder="1"/>
    <xf numFmtId="167" fontId="12" fillId="0" borderId="0" xfId="0" applyNumberFormat="1" applyFont="1" applyFill="1" applyBorder="1" applyAlignment="1">
      <alignment horizontal="center"/>
    </xf>
    <xf numFmtId="44" fontId="2" fillId="0" borderId="0" xfId="2" applyNumberFormat="1" applyFont="1" applyFill="1" applyBorder="1" applyAlignment="1">
      <alignment horizontal="center"/>
    </xf>
    <xf numFmtId="168" fontId="2" fillId="0" borderId="0" xfId="2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 vertical="center"/>
    </xf>
    <xf numFmtId="44" fontId="2" fillId="0" borderId="0" xfId="1" applyFont="1" applyFill="1" applyBorder="1"/>
    <xf numFmtId="4" fontId="5" fillId="0" borderId="0" xfId="0" applyNumberFormat="1" applyFont="1" applyFill="1" applyBorder="1" applyAlignment="1">
      <alignment horizontal="right"/>
    </xf>
    <xf numFmtId="10" fontId="2" fillId="0" borderId="0" xfId="2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4" fontId="2" fillId="0" borderId="0" xfId="0" applyNumberFormat="1" applyFont="1" applyFill="1" applyBorder="1" applyAlignment="1"/>
    <xf numFmtId="9" fontId="12" fillId="0" borderId="0" xfId="2" applyFont="1" applyFill="1" applyBorder="1"/>
    <xf numFmtId="4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 applyProtection="1">
      <protection locked="0"/>
    </xf>
    <xf numFmtId="44" fontId="2" fillId="0" borderId="0" xfId="1" applyFont="1" applyFill="1" applyBorder="1" applyAlignment="1" applyProtection="1">
      <protection locked="0"/>
    </xf>
    <xf numFmtId="44" fontId="2" fillId="0" borderId="0" xfId="1" applyFont="1" applyFill="1" applyBorder="1" applyProtection="1">
      <protection locked="0"/>
    </xf>
    <xf numFmtId="4" fontId="12" fillId="0" borderId="0" xfId="0" applyNumberFormat="1" applyFont="1" applyFill="1" applyBorder="1"/>
    <xf numFmtId="4" fontId="12" fillId="0" borderId="0" xfId="0" applyNumberFormat="1" applyFont="1" applyFill="1" applyBorder="1" applyAlignment="1">
      <alignment horizontal="right"/>
    </xf>
    <xf numFmtId="4" fontId="2" fillId="0" borderId="0" xfId="0" applyNumberFormat="1" applyFont="1" applyFill="1" applyBorder="1"/>
    <xf numFmtId="168" fontId="2" fillId="0" borderId="0" xfId="2" applyNumberFormat="1" applyFont="1" applyFill="1" applyBorder="1"/>
    <xf numFmtId="0" fontId="19" fillId="0" borderId="0" xfId="0" applyFont="1" applyFill="1" applyBorder="1"/>
    <xf numFmtId="0" fontId="2" fillId="0" borderId="18" xfId="0" applyFont="1" applyFill="1" applyBorder="1" applyAlignment="1"/>
    <xf numFmtId="0" fontId="2" fillId="0" borderId="19" xfId="0" applyFont="1" applyFill="1" applyBorder="1" applyAlignment="1">
      <alignment horizontal="center"/>
    </xf>
    <xf numFmtId="44" fontId="2" fillId="0" borderId="11" xfId="1" applyFont="1" applyFill="1" applyBorder="1" applyAlignment="1">
      <alignment horizontal="center"/>
    </xf>
    <xf numFmtId="0" fontId="2" fillId="0" borderId="18" xfId="0" applyFont="1" applyFill="1" applyBorder="1"/>
    <xf numFmtId="44" fontId="2" fillId="0" borderId="19" xfId="1" applyFont="1" applyFill="1" applyBorder="1" applyProtection="1">
      <protection locked="0"/>
    </xf>
    <xf numFmtId="44" fontId="2" fillId="0" borderId="19" xfId="1" applyFont="1" applyFill="1" applyBorder="1" applyProtection="1"/>
    <xf numFmtId="44" fontId="2" fillId="0" borderId="11" xfId="1" applyFont="1" applyFill="1" applyBorder="1"/>
    <xf numFmtId="168" fontId="2" fillId="0" borderId="12" xfId="2" applyNumberFormat="1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168" fontId="2" fillId="0" borderId="16" xfId="2" applyNumberFormat="1" applyFont="1" applyFill="1" applyBorder="1" applyAlignment="1">
      <alignment horizontal="center" vertical="center"/>
    </xf>
    <xf numFmtId="10" fontId="2" fillId="0" borderId="8" xfId="2" applyNumberFormat="1" applyFont="1" applyFill="1" applyBorder="1" applyAlignment="1">
      <alignment horizontal="center" vertical="center"/>
    </xf>
    <xf numFmtId="166" fontId="6" fillId="0" borderId="0" xfId="1" applyNumberFormat="1" applyFont="1" applyFill="1" applyBorder="1" applyAlignment="1">
      <alignment vertical="center" wrapText="1"/>
    </xf>
    <xf numFmtId="0" fontId="2" fillId="6" borderId="18" xfId="0" applyFont="1" applyFill="1" applyBorder="1"/>
    <xf numFmtId="44" fontId="2" fillId="6" borderId="19" xfId="1" applyFont="1" applyFill="1" applyBorder="1" applyProtection="1">
      <protection locked="0"/>
    </xf>
    <xf numFmtId="44" fontId="2" fillId="6" borderId="19" xfId="1" applyFont="1" applyFill="1" applyBorder="1" applyProtection="1"/>
    <xf numFmtId="44" fontId="2" fillId="6" borderId="11" xfId="1" applyFont="1" applyFill="1" applyBorder="1"/>
    <xf numFmtId="44" fontId="2" fillId="6" borderId="19" xfId="1" applyFont="1" applyFill="1" applyBorder="1"/>
    <xf numFmtId="0" fontId="17" fillId="10" borderId="1" xfId="0" applyFont="1" applyFill="1" applyBorder="1" applyProtection="1">
      <protection locked="0"/>
    </xf>
    <xf numFmtId="0" fontId="17" fillId="10" borderId="1" xfId="0" applyFont="1" applyFill="1" applyBorder="1" applyAlignment="1" applyProtection="1">
      <alignment horizontal="center" vertical="center"/>
      <protection locked="0"/>
    </xf>
    <xf numFmtId="44" fontId="17" fillId="10" borderId="1" xfId="1" applyFont="1" applyFill="1" applyBorder="1" applyProtection="1">
      <protection locked="0"/>
    </xf>
    <xf numFmtId="0" fontId="17" fillId="10" borderId="21" xfId="0" applyFont="1" applyFill="1" applyBorder="1" applyProtection="1">
      <protection locked="0"/>
    </xf>
    <xf numFmtId="0" fontId="17" fillId="10" borderId="21" xfId="0" applyFont="1" applyFill="1" applyBorder="1" applyAlignment="1" applyProtection="1">
      <alignment horizontal="center" vertical="center"/>
      <protection locked="0"/>
    </xf>
    <xf numFmtId="44" fontId="17" fillId="10" borderId="21" xfId="1" applyFont="1" applyFill="1" applyBorder="1" applyProtection="1">
      <protection locked="0"/>
    </xf>
    <xf numFmtId="0" fontId="17" fillId="0" borderId="0" xfId="0" applyFont="1" applyFill="1" applyBorder="1" applyProtection="1"/>
    <xf numFmtId="0" fontId="17" fillId="0" borderId="0" xfId="0" applyFont="1" applyFill="1" applyBorder="1" applyAlignment="1" applyProtection="1">
      <alignment horizontal="center" vertical="center"/>
    </xf>
    <xf numFmtId="44" fontId="17" fillId="0" borderId="0" xfId="1" applyFont="1" applyFill="1" applyBorder="1" applyProtection="1"/>
    <xf numFmtId="9" fontId="17" fillId="0" borderId="0" xfId="2" applyFont="1" applyFill="1" applyBorder="1" applyProtection="1"/>
    <xf numFmtId="0" fontId="17" fillId="5" borderId="20" xfId="0" applyFont="1" applyFill="1" applyBorder="1" applyAlignment="1" applyProtection="1">
      <alignment vertical="center"/>
    </xf>
    <xf numFmtId="0" fontId="17" fillId="0" borderId="0" xfId="0" applyFont="1" applyFill="1" applyBorder="1" applyAlignment="1" applyProtection="1">
      <alignment vertical="center"/>
    </xf>
    <xf numFmtId="0" fontId="17" fillId="7" borderId="15" xfId="0" applyFont="1" applyFill="1" applyBorder="1" applyAlignment="1" applyProtection="1">
      <alignment horizontal="left"/>
    </xf>
    <xf numFmtId="0" fontId="17" fillId="7" borderId="16" xfId="0" applyFont="1" applyFill="1" applyBorder="1" applyAlignment="1" applyProtection="1">
      <alignment horizontal="left"/>
    </xf>
    <xf numFmtId="0" fontId="17" fillId="0" borderId="0" xfId="0" applyFont="1" applyFill="1" applyBorder="1" applyAlignment="1" applyProtection="1"/>
    <xf numFmtId="0" fontId="0" fillId="0" borderId="0" xfId="0" applyBorder="1" applyProtection="1"/>
    <xf numFmtId="44" fontId="17" fillId="0" borderId="0" xfId="1" applyFont="1" applyFill="1" applyBorder="1" applyAlignment="1" applyProtection="1">
      <alignment horizontal="center"/>
    </xf>
    <xf numFmtId="44" fontId="17" fillId="0" borderId="0" xfId="1" applyFont="1" applyFill="1" applyBorder="1" applyAlignment="1" applyProtection="1"/>
    <xf numFmtId="0" fontId="26" fillId="10" borderId="1" xfId="0" applyFont="1" applyFill="1" applyBorder="1" applyAlignment="1" applyProtection="1">
      <alignment horizontal="center"/>
    </xf>
    <xf numFmtId="0" fontId="26" fillId="10" borderId="1" xfId="0" applyFont="1" applyFill="1" applyBorder="1" applyAlignment="1" applyProtection="1">
      <alignment horizontal="center" vertical="center"/>
    </xf>
    <xf numFmtId="44" fontId="26" fillId="10" borderId="1" xfId="1" applyFont="1" applyFill="1" applyBorder="1" applyAlignment="1" applyProtection="1">
      <alignment horizontal="center"/>
    </xf>
    <xf numFmtId="9" fontId="26" fillId="10" borderId="1" xfId="2" applyFont="1" applyFill="1" applyBorder="1" applyAlignment="1" applyProtection="1">
      <alignment horizontal="center" vertical="center"/>
    </xf>
    <xf numFmtId="0" fontId="26" fillId="9" borderId="1" xfId="0" applyFont="1" applyFill="1" applyBorder="1" applyAlignment="1" applyProtection="1">
      <alignment horizontal="center"/>
    </xf>
    <xf numFmtId="44" fontId="26" fillId="9" borderId="1" xfId="1" applyFont="1" applyFill="1" applyBorder="1" applyAlignment="1" applyProtection="1">
      <alignment horizontal="center"/>
    </xf>
    <xf numFmtId="0" fontId="26" fillId="11" borderId="1" xfId="0" applyFont="1" applyFill="1" applyBorder="1" applyAlignment="1" applyProtection="1">
      <alignment horizontal="center"/>
    </xf>
    <xf numFmtId="0" fontId="26" fillId="0" borderId="0" xfId="0" applyFont="1" applyFill="1" applyBorder="1" applyAlignment="1" applyProtection="1">
      <alignment horizontal="center"/>
    </xf>
    <xf numFmtId="44" fontId="17" fillId="9" borderId="1" xfId="0" applyNumberFormat="1" applyFont="1" applyFill="1" applyBorder="1" applyProtection="1"/>
    <xf numFmtId="44" fontId="17" fillId="9" borderId="1" xfId="1" applyNumberFormat="1" applyFont="1" applyFill="1" applyBorder="1" applyProtection="1"/>
    <xf numFmtId="44" fontId="17" fillId="9" borderId="1" xfId="1" applyFont="1" applyFill="1" applyBorder="1" applyProtection="1"/>
    <xf numFmtId="44" fontId="26" fillId="11" borderId="1" xfId="0" applyNumberFormat="1" applyFont="1" applyFill="1" applyBorder="1" applyProtection="1"/>
    <xf numFmtId="0" fontId="24" fillId="0" borderId="0" xfId="0" applyFont="1" applyFill="1" applyBorder="1" applyProtection="1"/>
    <xf numFmtId="0" fontId="17" fillId="0" borderId="18" xfId="0" applyFont="1" applyFill="1" applyBorder="1" applyProtection="1"/>
    <xf numFmtId="0" fontId="17" fillId="0" borderId="19" xfId="0" applyFont="1" applyFill="1" applyBorder="1" applyAlignment="1" applyProtection="1">
      <alignment horizontal="center" vertical="center"/>
    </xf>
    <xf numFmtId="44" fontId="17" fillId="0" borderId="11" xfId="1" applyFont="1" applyFill="1" applyBorder="1" applyProtection="1"/>
    <xf numFmtId="44" fontId="17" fillId="0" borderId="0" xfId="0" applyNumberFormat="1" applyFont="1" applyFill="1" applyBorder="1" applyProtection="1"/>
    <xf numFmtId="44" fontId="17" fillId="0" borderId="0" xfId="0" applyNumberFormat="1" applyFont="1" applyFill="1" applyBorder="1" applyAlignment="1" applyProtection="1">
      <alignment horizontal="center" vertical="center"/>
    </xf>
    <xf numFmtId="9" fontId="17" fillId="10" borderId="1" xfId="2" applyFont="1" applyFill="1" applyBorder="1" applyAlignment="1" applyProtection="1">
      <alignment horizontal="center" vertical="center"/>
      <protection locked="0"/>
    </xf>
    <xf numFmtId="44" fontId="17" fillId="7" borderId="14" xfId="1" applyFont="1" applyFill="1" applyBorder="1" applyAlignment="1" applyProtection="1">
      <alignment horizontal="left"/>
      <protection locked="0"/>
    </xf>
    <xf numFmtId="44" fontId="17" fillId="7" borderId="8" xfId="1" applyFont="1" applyFill="1" applyBorder="1" applyAlignment="1" applyProtection="1">
      <alignment horizontal="left"/>
      <protection locked="0"/>
    </xf>
    <xf numFmtId="164" fontId="16" fillId="0" borderId="0" xfId="0" applyNumberFormat="1" applyFont="1" applyFill="1" applyBorder="1" applyProtection="1"/>
    <xf numFmtId="168" fontId="2" fillId="0" borderId="13" xfId="2" applyNumberFormat="1" applyFont="1" applyFill="1" applyBorder="1" applyAlignment="1" applyProtection="1">
      <alignment horizontal="center"/>
      <protection locked="0"/>
    </xf>
    <xf numFmtId="168" fontId="2" fillId="0" borderId="17" xfId="2" applyNumberFormat="1" applyFont="1" applyFill="1" applyBorder="1" applyAlignment="1" applyProtection="1">
      <alignment horizontal="center"/>
      <protection locked="0"/>
    </xf>
    <xf numFmtId="0" fontId="2" fillId="0" borderId="19" xfId="0" applyFont="1" applyFill="1" applyBorder="1" applyAlignment="1" applyProtection="1">
      <alignment horizontal="center"/>
      <protection locked="0"/>
    </xf>
    <xf numFmtId="165" fontId="10" fillId="3" borderId="0" xfId="0" applyNumberFormat="1" applyFont="1" applyFill="1" applyAlignment="1">
      <alignment horizontal="center"/>
    </xf>
    <xf numFmtId="165" fontId="11" fillId="3" borderId="0" xfId="3" applyNumberFormat="1" applyFont="1" applyFill="1" applyAlignment="1" applyProtection="1">
      <alignment horizontal="center"/>
    </xf>
    <xf numFmtId="0" fontId="8" fillId="0" borderId="0" xfId="0" applyFont="1" applyFill="1" applyBorder="1" applyAlignment="1">
      <alignment horizontal="center"/>
    </xf>
    <xf numFmtId="9" fontId="21" fillId="0" borderId="10" xfId="2" applyFont="1" applyFill="1" applyBorder="1" applyAlignment="1">
      <alignment horizontal="center" vertical="center"/>
    </xf>
    <xf numFmtId="9" fontId="21" fillId="0" borderId="0" xfId="2" applyFont="1" applyFill="1" applyBorder="1" applyAlignment="1">
      <alignment horizontal="center" vertical="center"/>
    </xf>
    <xf numFmtId="9" fontId="21" fillId="0" borderId="9" xfId="2" applyFont="1" applyFill="1" applyBorder="1" applyAlignment="1">
      <alignment horizontal="center" vertical="center"/>
    </xf>
    <xf numFmtId="9" fontId="21" fillId="0" borderId="4" xfId="2" applyFont="1" applyFill="1" applyBorder="1" applyAlignment="1">
      <alignment horizontal="center" vertical="center"/>
    </xf>
    <xf numFmtId="9" fontId="21" fillId="0" borderId="7" xfId="2" applyFont="1" applyFill="1" applyBorder="1" applyAlignment="1">
      <alignment horizontal="center" vertical="center"/>
    </xf>
    <xf numFmtId="9" fontId="21" fillId="0" borderId="5" xfId="2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 wrapText="1"/>
    </xf>
    <xf numFmtId="168" fontId="18" fillId="2" borderId="2" xfId="2" applyNumberFormat="1" applyFont="1" applyFill="1" applyBorder="1" applyAlignment="1">
      <alignment horizontal="center" vertical="center" wrapText="1"/>
    </xf>
    <xf numFmtId="168" fontId="18" fillId="2" borderId="6" xfId="2" applyNumberFormat="1" applyFont="1" applyFill="1" applyBorder="1" applyAlignment="1">
      <alignment horizontal="center" vertical="center" wrapText="1"/>
    </xf>
    <xf numFmtId="168" fontId="18" fillId="2" borderId="3" xfId="2" applyNumberFormat="1" applyFont="1" applyFill="1" applyBorder="1" applyAlignment="1">
      <alignment horizontal="center" vertical="center" wrapText="1"/>
    </xf>
    <xf numFmtId="168" fontId="18" fillId="2" borderId="10" xfId="2" applyNumberFormat="1" applyFont="1" applyFill="1" applyBorder="1" applyAlignment="1">
      <alignment horizontal="center" vertical="center" wrapText="1"/>
    </xf>
    <xf numFmtId="168" fontId="18" fillId="2" borderId="0" xfId="2" applyNumberFormat="1" applyFont="1" applyFill="1" applyBorder="1" applyAlignment="1">
      <alignment horizontal="center" vertical="center" wrapText="1"/>
    </xf>
    <xf numFmtId="168" fontId="18" fillId="2" borderId="9" xfId="2" applyNumberFormat="1" applyFont="1" applyFill="1" applyBorder="1" applyAlignment="1">
      <alignment horizontal="center" vertical="center" wrapText="1"/>
    </xf>
    <xf numFmtId="166" fontId="20" fillId="0" borderId="2" xfId="1" applyNumberFormat="1" applyFont="1" applyFill="1" applyBorder="1" applyAlignment="1">
      <alignment horizontal="center" vertical="center" wrapText="1"/>
    </xf>
    <xf numFmtId="166" fontId="20" fillId="0" borderId="6" xfId="1" applyNumberFormat="1" applyFont="1" applyFill="1" applyBorder="1" applyAlignment="1">
      <alignment horizontal="center" vertical="center" wrapText="1"/>
    </xf>
    <xf numFmtId="166" fontId="20" fillId="0" borderId="3" xfId="1" applyNumberFormat="1" applyFont="1" applyFill="1" applyBorder="1" applyAlignment="1">
      <alignment horizontal="center" vertical="center" wrapText="1"/>
    </xf>
    <xf numFmtId="166" fontId="20" fillId="0" borderId="10" xfId="1" applyNumberFormat="1" applyFont="1" applyFill="1" applyBorder="1" applyAlignment="1">
      <alignment horizontal="center" vertical="center" wrapText="1"/>
    </xf>
    <xf numFmtId="166" fontId="20" fillId="0" borderId="0" xfId="1" applyNumberFormat="1" applyFont="1" applyFill="1" applyBorder="1" applyAlignment="1">
      <alignment horizontal="center" vertical="center" wrapText="1"/>
    </xf>
    <xf numFmtId="166" fontId="20" fillId="0" borderId="9" xfId="1" applyNumberFormat="1" applyFont="1" applyFill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0" fillId="0" borderId="7" xfId="1" applyNumberFormat="1" applyFont="1" applyFill="1" applyBorder="1" applyAlignment="1">
      <alignment horizontal="center" vertical="center" wrapText="1"/>
    </xf>
    <xf numFmtId="166" fontId="20" fillId="0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Fill="1" applyBorder="1" applyAlignment="1">
      <alignment horizontal="center" vertical="center"/>
    </xf>
    <xf numFmtId="166" fontId="12" fillId="0" borderId="6" xfId="1" applyNumberFormat="1" applyFont="1" applyFill="1" applyBorder="1" applyAlignment="1">
      <alignment horizontal="center" vertical="center"/>
    </xf>
    <xf numFmtId="166" fontId="12" fillId="0" borderId="3" xfId="1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166" fontId="6" fillId="0" borderId="0" xfId="1" applyNumberFormat="1" applyFont="1" applyFill="1" applyBorder="1" applyAlignment="1">
      <alignment horizontal="center" vertical="center"/>
    </xf>
    <xf numFmtId="4" fontId="7" fillId="0" borderId="0" xfId="0" applyNumberFormat="1" applyFont="1" applyFill="1" applyBorder="1" applyAlignment="1">
      <alignment horizontal="center" vertical="center"/>
    </xf>
    <xf numFmtId="0" fontId="17" fillId="8" borderId="2" xfId="0" applyFont="1" applyFill="1" applyBorder="1" applyAlignment="1" applyProtection="1">
      <alignment horizontal="center"/>
    </xf>
    <xf numFmtId="0" fontId="17" fillId="8" borderId="6" xfId="0" applyFont="1" applyFill="1" applyBorder="1" applyAlignment="1" applyProtection="1">
      <alignment horizontal="center"/>
    </xf>
    <xf numFmtId="0" fontId="17" fillId="8" borderId="3" xfId="0" applyFont="1" applyFill="1" applyBorder="1" applyAlignment="1" applyProtection="1">
      <alignment horizontal="center"/>
    </xf>
    <xf numFmtId="9" fontId="25" fillId="6" borderId="10" xfId="2" applyFont="1" applyFill="1" applyBorder="1" applyAlignment="1" applyProtection="1">
      <alignment horizontal="center" vertical="center"/>
      <protection locked="0"/>
    </xf>
    <xf numFmtId="9" fontId="25" fillId="6" borderId="0" xfId="2" applyFont="1" applyFill="1" applyBorder="1" applyAlignment="1" applyProtection="1">
      <alignment horizontal="center" vertical="center"/>
      <protection locked="0"/>
    </xf>
    <xf numFmtId="9" fontId="25" fillId="6" borderId="9" xfId="2" applyFont="1" applyFill="1" applyBorder="1" applyAlignment="1" applyProtection="1">
      <alignment horizontal="center" vertical="center"/>
      <protection locked="0"/>
    </xf>
    <xf numFmtId="9" fontId="25" fillId="6" borderId="4" xfId="2" applyFont="1" applyFill="1" applyBorder="1" applyAlignment="1" applyProtection="1">
      <alignment horizontal="center" vertical="center"/>
      <protection locked="0"/>
    </xf>
    <xf numFmtId="9" fontId="25" fillId="6" borderId="7" xfId="2" applyFont="1" applyFill="1" applyBorder="1" applyAlignment="1" applyProtection="1">
      <alignment horizontal="center" vertical="center"/>
      <protection locked="0"/>
    </xf>
    <xf numFmtId="9" fontId="25" fillId="6" borderId="5" xfId="2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/>
      <protection locked="0"/>
    </xf>
  </cellXfs>
  <cellStyles count="4">
    <cellStyle name="Hyperlink" xfId="3" builtinId="8"/>
    <cellStyle name="Moeda" xfId="1" builtinId="4"/>
    <cellStyle name="Normal" xfId="0" builtinId="0"/>
    <cellStyle name="Porcentagem" xfId="2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4" formatCode="_(&quot;R$ &quot;* #,##0.00_);_(&quot;R$ &quot;* \(#,##0.00\);_(&quot;R$ 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protection locked="0" hidden="0"/>
    </dxf>
    <dxf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protection locked="0" hidden="0"/>
    </dxf>
    <dxf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protection locked="0" hidden="0"/>
    </dxf>
    <dxf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0" hidden="0"/>
    </dxf>
    <dxf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textRotation="0" indent="0" relative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font>
        <b/>
        <i val="0"/>
        <strike val="0"/>
        <color theme="2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0"/>
      </font>
      <fill>
        <patternFill>
          <fgColor rgb="FF00B050"/>
          <bgColor rgb="FF00B050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theme="0"/>
      </font>
      <fill>
        <patternFill patternType="solid">
          <bgColor rgb="FF0070C0"/>
        </patternFill>
      </fill>
      <border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FFCC"/>
      <color rgb="FF66FF66"/>
      <color rgb="FFFF5050"/>
      <color rgb="FFFF2F34"/>
      <color rgb="FFFF0000"/>
      <color rgb="FFFF3333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http://www.softensistemas.com.br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http://www.softensistemas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9</xdr:row>
      <xdr:rowOff>28574</xdr:rowOff>
    </xdr:from>
    <xdr:to>
      <xdr:col>11</xdr:col>
      <xdr:colOff>190307</xdr:colOff>
      <xdr:row>18</xdr:row>
      <xdr:rowOff>19049</xdr:rowOff>
    </xdr:to>
    <xdr:pic>
      <xdr:nvPicPr>
        <xdr:cNvPr id="11" name="Imagem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562100" y="1743074"/>
          <a:ext cx="5333807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209549</xdr:colOff>
      <xdr:row>0</xdr:row>
      <xdr:rowOff>142876</xdr:rowOff>
    </xdr:from>
    <xdr:to>
      <xdr:col>14</xdr:col>
      <xdr:colOff>104775</xdr:colOff>
      <xdr:row>5</xdr:row>
      <xdr:rowOff>66676</xdr:rowOff>
    </xdr:to>
    <xdr:sp macro="" textlink="">
      <xdr:nvSpPr>
        <xdr:cNvPr id="2" name="CaixaDeTexto 1"/>
        <xdr:cNvSpPr txBox="1"/>
      </xdr:nvSpPr>
      <xdr:spPr>
        <a:xfrm>
          <a:off x="209549" y="142876"/>
          <a:ext cx="8429626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pt-BR" sz="1100">
              <a:latin typeface="Arial" pitchFamily="34" charset="0"/>
              <a:cs typeface="Arial" pitchFamily="34" charset="0"/>
            </a:rPr>
            <a:t>Bem</a:t>
          </a:r>
          <a:r>
            <a:rPr lang="pt-BR" sz="1100" baseline="0">
              <a:latin typeface="Arial" pitchFamily="34" charset="0"/>
              <a:cs typeface="Arial" pitchFamily="34" charset="0"/>
            </a:rPr>
            <a:t> vindo a este material totalmente gratuito. O seu proposito é auxiliar você empresário a alcançar seus objetivos, e alavancar sua empresa, através de ferramentas auxiliares de gestão. </a:t>
          </a:r>
        </a:p>
        <a:p>
          <a:pPr algn="ctr"/>
          <a:endParaRPr lang="pt-BR" sz="11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1200" b="1" baseline="0">
              <a:latin typeface="Arial" pitchFamily="34" charset="0"/>
              <a:cs typeface="Arial" pitchFamily="34" charset="0"/>
            </a:rPr>
            <a:t>Para nós, a saúde da sua empresa é essencial  para o sucesso !</a:t>
          </a:r>
        </a:p>
        <a:p>
          <a:pPr algn="ctr"/>
          <a:endParaRPr lang="pt-BR" sz="1100" baseline="0"/>
        </a:p>
        <a:p>
          <a:pPr algn="ctr"/>
          <a:endParaRPr lang="pt-BR" sz="1100" baseline="0"/>
        </a:p>
        <a:p>
          <a:pPr algn="ctr"/>
          <a:endParaRPr lang="pt-BR" sz="1100" baseline="0"/>
        </a:p>
      </xdr:txBody>
    </xdr:sp>
    <xdr:clientData/>
  </xdr:twoCellAnchor>
  <xdr:twoCellAnchor>
    <xdr:from>
      <xdr:col>0</xdr:col>
      <xdr:colOff>209551</xdr:colOff>
      <xdr:row>6</xdr:row>
      <xdr:rowOff>19050</xdr:rowOff>
    </xdr:from>
    <xdr:to>
      <xdr:col>14</xdr:col>
      <xdr:colOff>104775</xdr:colOff>
      <xdr:row>9</xdr:row>
      <xdr:rowOff>133349</xdr:rowOff>
    </xdr:to>
    <xdr:sp macro="" textlink="">
      <xdr:nvSpPr>
        <xdr:cNvPr id="3" name="CaixaDeTexto 2"/>
        <xdr:cNvSpPr txBox="1"/>
      </xdr:nvSpPr>
      <xdr:spPr>
        <a:xfrm>
          <a:off x="209551" y="1162050"/>
          <a:ext cx="8429624" cy="685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pt-BR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Antes, uma pequena dica!</a:t>
          </a:r>
          <a:endParaRPr lang="en-US" sz="11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Algumas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colunas possuem dicas ou informações que auxiliam no seu entendimento.  Basta parar o cursor do mouse sobre as células que possuem a setinha vermelha no canto direito superior</a:t>
          </a:r>
          <a:endParaRPr lang="pt-BR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180976</xdr:colOff>
      <xdr:row>20</xdr:row>
      <xdr:rowOff>28575</xdr:rowOff>
    </xdr:from>
    <xdr:to>
      <xdr:col>3</xdr:col>
      <xdr:colOff>342900</xdr:colOff>
      <xdr:row>24</xdr:row>
      <xdr:rowOff>161925</xdr:rowOff>
    </xdr:to>
    <xdr:sp macro="" textlink="">
      <xdr:nvSpPr>
        <xdr:cNvPr id="9" name="CaixaDeTexto 8"/>
        <xdr:cNvSpPr txBox="1"/>
      </xdr:nvSpPr>
      <xdr:spPr>
        <a:xfrm>
          <a:off x="180976" y="3838575"/>
          <a:ext cx="199072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100">
              <a:latin typeface="Arial" pitchFamily="34" charset="0"/>
              <a:cs typeface="Arial" pitchFamily="34" charset="0"/>
            </a:rPr>
            <a:t>Depois</a:t>
          </a:r>
          <a:r>
            <a:rPr lang="pt-BR" sz="1100" baseline="0">
              <a:latin typeface="Arial" pitchFamily="34" charset="0"/>
              <a:cs typeface="Arial" pitchFamily="34" charset="0"/>
            </a:rPr>
            <a:t> de ler as instruções, clique aqui para acessar a planilha na íntegra</a:t>
          </a:r>
          <a:endParaRPr lang="pt-BR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123825</xdr:colOff>
      <xdr:row>20</xdr:row>
      <xdr:rowOff>38100</xdr:rowOff>
    </xdr:from>
    <xdr:to>
      <xdr:col>3</xdr:col>
      <xdr:colOff>555873</xdr:colOff>
      <xdr:row>24</xdr:row>
      <xdr:rowOff>148348</xdr:rowOff>
    </xdr:to>
    <xdr:sp macro="" textlink="">
      <xdr:nvSpPr>
        <xdr:cNvPr id="8" name="Seta para baixo 7"/>
        <xdr:cNvSpPr/>
      </xdr:nvSpPr>
      <xdr:spPr>
        <a:xfrm>
          <a:off x="1952625" y="3848100"/>
          <a:ext cx="432048" cy="872248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11</xdr:col>
      <xdr:colOff>114300</xdr:colOff>
      <xdr:row>18</xdr:row>
      <xdr:rowOff>180975</xdr:rowOff>
    </xdr:from>
    <xdr:to>
      <xdr:col>14</xdr:col>
      <xdr:colOff>200025</xdr:colOff>
      <xdr:row>24</xdr:row>
      <xdr:rowOff>114300</xdr:rowOff>
    </xdr:to>
    <xdr:pic>
      <xdr:nvPicPr>
        <xdr:cNvPr id="12" name="Imagem 1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819900" y="3609975"/>
          <a:ext cx="191452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19049</xdr:colOff>
      <xdr:row>0</xdr:row>
      <xdr:rowOff>47625</xdr:rowOff>
    </xdr:from>
    <xdr:to>
      <xdr:col>16</xdr:col>
      <xdr:colOff>95250</xdr:colOff>
      <xdr:row>29</xdr:row>
      <xdr:rowOff>76200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49" y="47625"/>
          <a:ext cx="9829801" cy="5553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723900</xdr:colOff>
      <xdr:row>31</xdr:row>
      <xdr:rowOff>57150</xdr:rowOff>
    </xdr:from>
    <xdr:to>
      <xdr:col>10</xdr:col>
      <xdr:colOff>352425</xdr:colOff>
      <xdr:row>36</xdr:row>
      <xdr:rowOff>9525</xdr:rowOff>
    </xdr:to>
    <xdr:pic>
      <xdr:nvPicPr>
        <xdr:cNvPr id="2" name="image00.jpg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44200" y="5962650"/>
          <a:ext cx="1733550" cy="866775"/>
        </a:xfrm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1171575</xdr:colOff>
      <xdr:row>0</xdr:row>
      <xdr:rowOff>47625</xdr:rowOff>
    </xdr:from>
    <xdr:to>
      <xdr:col>9</xdr:col>
      <xdr:colOff>136713</xdr:colOff>
      <xdr:row>7</xdr:row>
      <xdr:rowOff>38100</xdr:rowOff>
    </xdr:to>
    <xdr:sp macro="" textlink="">
      <xdr:nvSpPr>
        <xdr:cNvPr id="3" name="CaixaDeTexto 2"/>
        <xdr:cNvSpPr txBox="1"/>
      </xdr:nvSpPr>
      <xdr:spPr>
        <a:xfrm>
          <a:off x="1171575" y="47625"/>
          <a:ext cx="8775888" cy="1323975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pt-BR" sz="1600"/>
            <a:t>Muitos se enganam ao estipular o preço</a:t>
          </a:r>
          <a:r>
            <a:rPr lang="pt-BR" sz="1600" baseline="0"/>
            <a:t> de venda dos produtos.</a:t>
          </a:r>
        </a:p>
        <a:p>
          <a:pPr algn="ctr"/>
          <a:r>
            <a:rPr lang="pt-BR" sz="1600" baseline="0"/>
            <a:t>É comum seguirem a lógica "paguei  10 vendi por 15, lucrei  5"</a:t>
          </a:r>
        </a:p>
        <a:p>
          <a:pPr algn="ctr"/>
          <a:r>
            <a:rPr lang="pt-BR" sz="1600" baseline="0"/>
            <a:t> Más é muito importante lembrar que no meio desses 5 tem muito mais a ser considerado,</a:t>
          </a:r>
        </a:p>
        <a:p>
          <a:pPr algn="ctr"/>
          <a:r>
            <a:rPr lang="pt-BR" sz="1600" baseline="0"/>
            <a:t>como custos DIRETOS, INDIRETOS, VARIAVEIS e FIXOS. </a:t>
          </a:r>
        </a:p>
        <a:p>
          <a:pPr algn="ctr"/>
          <a:r>
            <a:rPr lang="pt-BR" sz="1600" baseline="0"/>
            <a:t>Nesta planilha você descobrira aproximadamente o que realmente é o lucro LIVRE obtido.</a:t>
          </a:r>
        </a:p>
      </xdr:txBody>
    </xdr:sp>
    <xdr:clientData/>
  </xdr:twoCellAnchor>
  <xdr:twoCellAnchor>
    <xdr:from>
      <xdr:col>11</xdr:col>
      <xdr:colOff>438150</xdr:colOff>
      <xdr:row>5</xdr:row>
      <xdr:rowOff>76200</xdr:rowOff>
    </xdr:from>
    <xdr:to>
      <xdr:col>12</xdr:col>
      <xdr:colOff>847725</xdr:colOff>
      <xdr:row>9</xdr:row>
      <xdr:rowOff>171450</xdr:rowOff>
    </xdr:to>
    <xdr:pic>
      <xdr:nvPicPr>
        <xdr:cNvPr id="4" name="image00.jpg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915900" y="1028700"/>
          <a:ext cx="1733550" cy="866775"/>
        </a:xfrm>
        <a:prstGeom prst="rect">
          <a:avLst/>
        </a:prstGeom>
        <a:noFill/>
      </xdr:spPr>
    </xdr:pic>
    <xdr:clientData fLocksWithSheet="0"/>
  </xdr:twoCellAnchor>
</xdr:wsDr>
</file>

<file path=xl/tables/table1.xml><?xml version="1.0" encoding="utf-8"?>
<table xmlns="http://schemas.openxmlformats.org/spreadsheetml/2006/main" id="1" name="Tabela1" displayName="Tabela1" ref="A5:E29" headerRowCount="0" totalsRowShown="0" headerRowDxfId="11" dataDxfId="10" dataCellStyle="Moeda">
  <tableColumns count="5">
    <tableColumn id="1" name="MEDIA DESPESAS FIXAS" headerRowDxfId="9" dataDxfId="8"/>
    <tableColumn id="2" name="Colunas1" headerRowDxfId="7" dataDxfId="6" dataCellStyle="Moeda"/>
    <tableColumn id="3" name="Colunas2" headerRowDxfId="5" dataDxfId="4" dataCellStyle="Moeda"/>
    <tableColumn id="4" name="Colunas3" headerRowDxfId="3" dataDxfId="2" dataCellStyle="Moeda"/>
    <tableColumn id="5" name="Colunas4" headerRowDxfId="1" dataDxfId="0" dataCellStyle="Porcentagem">
      <calculatedColumnFormula>AVERAGE(B5:D5)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7"/>
  <sheetViews>
    <sheetView showGridLines="0" tabSelected="1" topLeftCell="A4" workbookViewId="0">
      <selection activeCell="Q27" sqref="Q27:T27"/>
    </sheetView>
  </sheetViews>
  <sheetFormatPr defaultRowHeight="15"/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S25" s="2"/>
      <c r="T25" s="2"/>
      <c r="U25" s="2"/>
      <c r="V25" s="1"/>
      <c r="W25" s="1"/>
      <c r="X25" s="1"/>
      <c r="Y25" s="1"/>
      <c r="Z25" s="1"/>
      <c r="AA25" s="1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88" t="str">
        <f t="shared" ref="Q26" si="0">HYPERLINK("mailto:contato@softensistemas.com.br","contato@softensistemas.com.br")</f>
        <v>contato@softensistemas.com.br</v>
      </c>
      <c r="R26" s="88"/>
      <c r="S26" s="88"/>
      <c r="T26" s="88"/>
      <c r="U26" s="3"/>
      <c r="V26" s="1"/>
      <c r="W26" s="1"/>
      <c r="X26" s="1"/>
      <c r="Y26" s="1"/>
      <c r="Z26" s="1"/>
      <c r="AA26" s="1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89" t="str">
        <f t="shared" ref="Q27" si="1">HYPERLINK("http://www.softensistemas.com.br/","www.softensistemas.com.br")</f>
        <v>www.softensistemas.com.br</v>
      </c>
      <c r="R27" s="89"/>
      <c r="S27" s="89"/>
      <c r="T27" s="89"/>
      <c r="U27" s="1"/>
      <c r="V27" s="1"/>
      <c r="W27" s="1"/>
      <c r="X27" s="1"/>
      <c r="Y27" s="1"/>
      <c r="Z27" s="1"/>
      <c r="AA27" s="1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</sheetData>
  <mergeCells count="2">
    <mergeCell ref="Q26:T26"/>
    <mergeCell ref="Q27:T27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7"/>
  <sheetViews>
    <sheetView showGridLines="0" topLeftCell="C1" workbookViewId="0">
      <selection activeCell="L5" sqref="L5"/>
    </sheetView>
  </sheetViews>
  <sheetFormatPr defaultRowHeight="14.25"/>
  <cols>
    <col min="1" max="1" width="29.7109375" style="8" bestFit="1" customWidth="1"/>
    <col min="2" max="4" width="18.7109375" style="8" customWidth="1"/>
    <col min="5" max="5" width="24.85546875" style="8" customWidth="1"/>
    <col min="6" max="6" width="4.28515625" style="8" customWidth="1"/>
    <col min="7" max="7" width="20.28515625" style="26" bestFit="1" customWidth="1"/>
    <col min="8" max="8" width="15" style="8" bestFit="1" customWidth="1"/>
    <col min="9" max="9" width="16.5703125" style="13" bestFit="1" customWidth="1"/>
    <col min="10" max="10" width="15" style="25" bestFit="1" customWidth="1"/>
    <col min="11" max="11" width="15" style="8" bestFit="1" customWidth="1"/>
    <col min="12" max="12" width="24.140625" style="8" bestFit="1" customWidth="1"/>
    <col min="13" max="13" width="19.7109375" style="13" customWidth="1"/>
    <col min="14" max="14" width="14.28515625" style="8" customWidth="1"/>
    <col min="15" max="16384" width="9.140625" style="8"/>
  </cols>
  <sheetData>
    <row r="1" spans="1:14" ht="18.75">
      <c r="A1" s="97" t="s">
        <v>46</v>
      </c>
      <c r="B1" s="97"/>
      <c r="C1" s="97"/>
      <c r="D1" s="97"/>
      <c r="E1" s="97"/>
      <c r="F1" s="27"/>
      <c r="G1" s="98" t="s">
        <v>48</v>
      </c>
      <c r="H1" s="99"/>
      <c r="I1" s="99"/>
      <c r="J1" s="99"/>
      <c r="K1" s="99"/>
      <c r="L1" s="100"/>
    </row>
    <row r="2" spans="1:14" ht="14.25" customHeight="1">
      <c r="A2" s="97"/>
      <c r="B2" s="97"/>
      <c r="C2" s="97"/>
      <c r="D2" s="97"/>
      <c r="E2" s="97"/>
      <c r="F2" s="27"/>
      <c r="G2" s="101"/>
      <c r="H2" s="102"/>
      <c r="I2" s="102"/>
      <c r="J2" s="102"/>
      <c r="K2" s="102"/>
      <c r="L2" s="103"/>
    </row>
    <row r="3" spans="1:14" ht="14.25" customHeight="1">
      <c r="A3" s="97"/>
      <c r="B3" s="97"/>
      <c r="C3" s="97"/>
      <c r="D3" s="97"/>
      <c r="E3" s="97"/>
      <c r="F3" s="27"/>
      <c r="G3" s="101"/>
      <c r="H3" s="102"/>
      <c r="I3" s="102"/>
      <c r="J3" s="102"/>
      <c r="K3" s="102"/>
      <c r="L3" s="103"/>
    </row>
    <row r="4" spans="1:14" ht="14.25" customHeight="1" thickBot="1">
      <c r="A4" s="97"/>
      <c r="B4" s="97"/>
      <c r="C4" s="97"/>
      <c r="D4" s="97"/>
      <c r="E4" s="97"/>
      <c r="F4" s="27"/>
      <c r="G4" s="101"/>
      <c r="H4" s="102"/>
      <c r="I4" s="102"/>
      <c r="J4" s="102"/>
      <c r="K4" s="102"/>
      <c r="L4" s="103"/>
    </row>
    <row r="5" spans="1:14" ht="18.75" customHeight="1" thickBot="1">
      <c r="A5" s="128" t="s">
        <v>47</v>
      </c>
      <c r="B5" s="128" t="s">
        <v>11</v>
      </c>
      <c r="C5" s="128" t="s">
        <v>12</v>
      </c>
      <c r="D5" s="128" t="s">
        <v>13</v>
      </c>
      <c r="E5" s="16" t="s">
        <v>14</v>
      </c>
      <c r="F5" s="16"/>
      <c r="G5" s="28" t="s">
        <v>41</v>
      </c>
      <c r="H5" s="87" t="s">
        <v>11</v>
      </c>
      <c r="I5" s="87" t="s">
        <v>12</v>
      </c>
      <c r="J5" s="87" t="s">
        <v>13</v>
      </c>
      <c r="K5" s="29" t="s">
        <v>14</v>
      </c>
      <c r="L5" s="30" t="s">
        <v>37</v>
      </c>
    </row>
    <row r="6" spans="1:14" ht="18.75" customHeight="1" thickBot="1">
      <c r="A6" s="20" t="s">
        <v>0</v>
      </c>
      <c r="B6" s="21">
        <v>1000</v>
      </c>
      <c r="C6" s="21">
        <v>1000</v>
      </c>
      <c r="D6" s="21">
        <v>1000</v>
      </c>
      <c r="E6" s="10">
        <f>AVERAGE(B6:D6)</f>
        <v>1000</v>
      </c>
      <c r="F6" s="10"/>
      <c r="G6" s="40" t="s">
        <v>6</v>
      </c>
      <c r="H6" s="41">
        <v>8000</v>
      </c>
      <c r="I6" s="41">
        <v>2000</v>
      </c>
      <c r="J6" s="41">
        <v>5000</v>
      </c>
      <c r="K6" s="42">
        <f>AVERAGE(H6:J6)</f>
        <v>5000</v>
      </c>
      <c r="L6" s="43"/>
      <c r="M6" s="8"/>
    </row>
    <row r="7" spans="1:14" ht="15" thickBot="1">
      <c r="A7" s="20" t="s">
        <v>42</v>
      </c>
      <c r="B7" s="22">
        <v>50</v>
      </c>
      <c r="C7" s="22">
        <v>65</v>
      </c>
      <c r="D7" s="22">
        <v>50</v>
      </c>
      <c r="E7" s="10">
        <f t="shared" ref="E7:E29" si="0">AVERAGE(B7:D7)</f>
        <v>55</v>
      </c>
      <c r="F7" s="10"/>
      <c r="G7" s="31" t="s">
        <v>9</v>
      </c>
      <c r="H7" s="32">
        <v>1000</v>
      </c>
      <c r="I7" s="32">
        <v>6000</v>
      </c>
      <c r="J7" s="32">
        <v>10000</v>
      </c>
      <c r="K7" s="33">
        <f t="shared" ref="K7:K10" si="1">AVERAGE(H7:J7)</f>
        <v>5666.666666666667</v>
      </c>
      <c r="L7" s="34">
        <f>H12*K7</f>
        <v>153</v>
      </c>
      <c r="M7" s="8"/>
      <c r="N7" s="26"/>
    </row>
    <row r="8" spans="1:14" ht="15" thickBot="1">
      <c r="A8" s="20" t="s">
        <v>1</v>
      </c>
      <c r="B8" s="22">
        <v>180</v>
      </c>
      <c r="C8" s="22">
        <v>220</v>
      </c>
      <c r="D8" s="22">
        <v>250</v>
      </c>
      <c r="E8" s="10">
        <f t="shared" si="0"/>
        <v>216.66666666666666</v>
      </c>
      <c r="F8" s="10"/>
      <c r="G8" s="40" t="s">
        <v>10</v>
      </c>
      <c r="H8" s="41">
        <v>6000</v>
      </c>
      <c r="I8" s="41">
        <v>6000</v>
      </c>
      <c r="J8" s="41">
        <v>3000</v>
      </c>
      <c r="K8" s="42">
        <f t="shared" si="1"/>
        <v>5000</v>
      </c>
      <c r="L8" s="43">
        <f>H13*K8</f>
        <v>158.85</v>
      </c>
      <c r="M8" s="8"/>
    </row>
    <row r="9" spans="1:14" ht="15" thickBot="1">
      <c r="A9" s="20" t="s">
        <v>2</v>
      </c>
      <c r="B9" s="22">
        <v>100</v>
      </c>
      <c r="C9" s="22">
        <v>100</v>
      </c>
      <c r="D9" s="22">
        <v>100</v>
      </c>
      <c r="E9" s="10">
        <f t="shared" si="0"/>
        <v>100</v>
      </c>
      <c r="F9" s="10"/>
      <c r="G9" s="31" t="s">
        <v>7</v>
      </c>
      <c r="H9" s="32">
        <v>0</v>
      </c>
      <c r="I9" s="32">
        <v>0</v>
      </c>
      <c r="J9" s="32">
        <v>0</v>
      </c>
      <c r="K9" s="33">
        <f t="shared" si="1"/>
        <v>0</v>
      </c>
      <c r="L9" s="34"/>
      <c r="M9" s="8"/>
    </row>
    <row r="10" spans="1:14" ht="15" thickBot="1">
      <c r="A10" s="20" t="s">
        <v>3</v>
      </c>
      <c r="B10" s="22">
        <v>5000</v>
      </c>
      <c r="C10" s="22">
        <v>2500</v>
      </c>
      <c r="D10" s="22">
        <v>2800</v>
      </c>
      <c r="E10" s="10">
        <f t="shared" si="0"/>
        <v>3433.3333333333335</v>
      </c>
      <c r="F10" s="10"/>
      <c r="G10" s="40" t="s">
        <v>8</v>
      </c>
      <c r="H10" s="44">
        <f>SUM(H6:H9)</f>
        <v>15000</v>
      </c>
      <c r="I10" s="44">
        <f>SUM(I6:I9)</f>
        <v>14000</v>
      </c>
      <c r="J10" s="44">
        <f>SUM(J6:J9)</f>
        <v>18000</v>
      </c>
      <c r="K10" s="42">
        <f t="shared" si="1"/>
        <v>15666.666666666666</v>
      </c>
      <c r="L10" s="43">
        <f>SUM(L7:L8)</f>
        <v>311.85000000000002</v>
      </c>
      <c r="M10" s="8"/>
    </row>
    <row r="11" spans="1:14" ht="15" thickBot="1">
      <c r="A11" s="20" t="s">
        <v>4</v>
      </c>
      <c r="B11" s="22">
        <v>100</v>
      </c>
      <c r="C11" s="22">
        <v>100</v>
      </c>
      <c r="D11" s="22">
        <v>100</v>
      </c>
      <c r="E11" s="10">
        <f t="shared" si="0"/>
        <v>100</v>
      </c>
      <c r="F11" s="10"/>
      <c r="G11" s="8"/>
      <c r="H11" s="13"/>
      <c r="I11" s="14"/>
      <c r="J11" s="8"/>
      <c r="L11" s="13"/>
      <c r="M11" s="8"/>
    </row>
    <row r="12" spans="1:14">
      <c r="A12" s="20" t="s">
        <v>43</v>
      </c>
      <c r="B12" s="22">
        <v>1600</v>
      </c>
      <c r="C12" s="22">
        <v>1600</v>
      </c>
      <c r="D12" s="22">
        <v>1600</v>
      </c>
      <c r="E12" s="10">
        <f t="shared" si="0"/>
        <v>1600</v>
      </c>
      <c r="F12" s="10"/>
      <c r="G12" s="35" t="s">
        <v>50</v>
      </c>
      <c r="H12" s="85">
        <v>2.7E-2</v>
      </c>
      <c r="I12" s="36" t="s">
        <v>40</v>
      </c>
      <c r="J12" s="8"/>
      <c r="L12" s="13"/>
      <c r="M12" s="8"/>
    </row>
    <row r="13" spans="1:14" ht="15" customHeight="1" thickBot="1">
      <c r="A13" s="20" t="s">
        <v>44</v>
      </c>
      <c r="B13" s="22">
        <v>1800</v>
      </c>
      <c r="C13" s="22">
        <v>1800</v>
      </c>
      <c r="D13" s="22">
        <v>1800</v>
      </c>
      <c r="E13" s="10">
        <f t="shared" si="0"/>
        <v>1800</v>
      </c>
      <c r="F13" s="10"/>
      <c r="G13" s="37" t="s">
        <v>49</v>
      </c>
      <c r="H13" s="86">
        <v>3.177E-2</v>
      </c>
      <c r="I13" s="38">
        <f>L10/(K7+K8)</f>
        <v>2.92359375E-2</v>
      </c>
      <c r="J13" s="8"/>
      <c r="L13" s="13"/>
      <c r="M13" s="8"/>
    </row>
    <row r="14" spans="1:14" ht="15">
      <c r="A14" s="20"/>
      <c r="B14" s="22">
        <v>0</v>
      </c>
      <c r="C14" s="22">
        <v>0</v>
      </c>
      <c r="D14" s="22">
        <v>0</v>
      </c>
      <c r="E14" s="10">
        <f t="shared" si="0"/>
        <v>0</v>
      </c>
      <c r="F14" s="10"/>
      <c r="G14" s="8"/>
      <c r="H14" s="116"/>
      <c r="I14" s="116"/>
      <c r="J14" s="8"/>
      <c r="M14" s="8"/>
    </row>
    <row r="15" spans="1:14">
      <c r="A15" s="20"/>
      <c r="B15" s="22">
        <v>0</v>
      </c>
      <c r="C15" s="22">
        <v>0</v>
      </c>
      <c r="D15" s="22">
        <v>0</v>
      </c>
      <c r="E15" s="10">
        <f t="shared" si="0"/>
        <v>0</v>
      </c>
      <c r="F15" s="10"/>
      <c r="G15" s="8"/>
      <c r="H15" s="117"/>
      <c r="I15" s="118"/>
      <c r="J15" s="8"/>
    </row>
    <row r="16" spans="1:14" ht="15" thickBot="1">
      <c r="A16" s="20"/>
      <c r="B16" s="22">
        <v>0</v>
      </c>
      <c r="C16" s="22">
        <v>0</v>
      </c>
      <c r="D16" s="22">
        <v>0</v>
      </c>
      <c r="E16" s="10">
        <f t="shared" si="0"/>
        <v>0</v>
      </c>
      <c r="F16" s="10"/>
      <c r="G16" s="11"/>
      <c r="H16" s="117"/>
      <c r="I16" s="118"/>
      <c r="J16" s="8"/>
    </row>
    <row r="17" spans="1:12">
      <c r="A17" s="20"/>
      <c r="B17" s="22">
        <v>0</v>
      </c>
      <c r="C17" s="22">
        <v>0</v>
      </c>
      <c r="D17" s="22">
        <v>0</v>
      </c>
      <c r="E17" s="10">
        <f t="shared" si="0"/>
        <v>0</v>
      </c>
      <c r="F17" s="10"/>
      <c r="G17" s="11"/>
      <c r="H17" s="12"/>
      <c r="I17" s="113" t="s">
        <v>15</v>
      </c>
      <c r="J17" s="114"/>
      <c r="K17" s="115"/>
    </row>
    <row r="18" spans="1:12">
      <c r="A18" s="20"/>
      <c r="B18" s="22">
        <v>0</v>
      </c>
      <c r="C18" s="22">
        <v>0</v>
      </c>
      <c r="D18" s="22">
        <v>0</v>
      </c>
      <c r="E18" s="10">
        <f t="shared" si="0"/>
        <v>0</v>
      </c>
      <c r="F18" s="10"/>
      <c r="G18" s="11"/>
      <c r="I18" s="91">
        <f>E29/K10</f>
        <v>0.53010638297872348</v>
      </c>
      <c r="J18" s="92"/>
      <c r="K18" s="93"/>
    </row>
    <row r="19" spans="1:12">
      <c r="A19" s="20"/>
      <c r="B19" s="22">
        <v>0</v>
      </c>
      <c r="C19" s="22">
        <v>0</v>
      </c>
      <c r="D19" s="22">
        <v>0</v>
      </c>
      <c r="E19" s="10">
        <f t="shared" si="0"/>
        <v>0</v>
      </c>
      <c r="F19" s="10"/>
      <c r="G19" s="11"/>
      <c r="H19" s="12"/>
      <c r="I19" s="91"/>
      <c r="J19" s="92"/>
      <c r="K19" s="93"/>
    </row>
    <row r="20" spans="1:12" ht="15" customHeight="1" thickBot="1">
      <c r="A20" s="20"/>
      <c r="B20" s="22">
        <v>0</v>
      </c>
      <c r="C20" s="22">
        <v>0</v>
      </c>
      <c r="D20" s="22">
        <v>0</v>
      </c>
      <c r="E20" s="10">
        <f t="shared" si="0"/>
        <v>0</v>
      </c>
      <c r="F20" s="10"/>
      <c r="G20" s="11"/>
      <c r="H20" s="12"/>
      <c r="I20" s="94"/>
      <c r="J20" s="95"/>
      <c r="K20" s="96"/>
    </row>
    <row r="21" spans="1:12" ht="15" customHeight="1">
      <c r="A21" s="20"/>
      <c r="B21" s="22">
        <v>0</v>
      </c>
      <c r="C21" s="22">
        <v>0</v>
      </c>
      <c r="D21" s="22">
        <v>0</v>
      </c>
      <c r="E21" s="10">
        <f t="shared" si="0"/>
        <v>0</v>
      </c>
      <c r="F21" s="10"/>
      <c r="G21" s="11"/>
      <c r="H21" s="12"/>
      <c r="I21" s="104" t="s">
        <v>51</v>
      </c>
      <c r="J21" s="105"/>
      <c r="K21" s="106"/>
    </row>
    <row r="22" spans="1:12" ht="15.75" customHeight="1">
      <c r="A22" s="20"/>
      <c r="B22" s="22">
        <v>0</v>
      </c>
      <c r="C22" s="22">
        <v>0</v>
      </c>
      <c r="D22" s="22">
        <v>0</v>
      </c>
      <c r="E22" s="10">
        <f t="shared" si="0"/>
        <v>0</v>
      </c>
      <c r="F22" s="10"/>
      <c r="G22" s="11"/>
      <c r="H22" s="12"/>
      <c r="I22" s="107"/>
      <c r="J22" s="108"/>
      <c r="K22" s="109"/>
    </row>
    <row r="23" spans="1:12">
      <c r="A23" s="20"/>
      <c r="B23" s="22">
        <v>0</v>
      </c>
      <c r="C23" s="22">
        <v>0</v>
      </c>
      <c r="D23" s="22">
        <v>0</v>
      </c>
      <c r="E23" s="10">
        <f t="shared" si="0"/>
        <v>0</v>
      </c>
      <c r="F23" s="10"/>
      <c r="G23" s="11"/>
      <c r="H23" s="12"/>
      <c r="I23" s="107"/>
      <c r="J23" s="108"/>
      <c r="K23" s="109"/>
    </row>
    <row r="24" spans="1:12">
      <c r="A24" s="20"/>
      <c r="B24" s="22">
        <v>0</v>
      </c>
      <c r="C24" s="22">
        <v>0</v>
      </c>
      <c r="D24" s="22">
        <v>0</v>
      </c>
      <c r="E24" s="10">
        <f t="shared" si="0"/>
        <v>0</v>
      </c>
      <c r="F24" s="10"/>
      <c r="G24" s="11"/>
      <c r="H24" s="12"/>
      <c r="I24" s="107"/>
      <c r="J24" s="108"/>
      <c r="K24" s="109"/>
    </row>
    <row r="25" spans="1:12" ht="14.25" customHeight="1">
      <c r="A25" s="20"/>
      <c r="B25" s="22">
        <v>0</v>
      </c>
      <c r="C25" s="22">
        <v>0</v>
      </c>
      <c r="D25" s="22">
        <v>0</v>
      </c>
      <c r="E25" s="10">
        <f t="shared" si="0"/>
        <v>0</v>
      </c>
      <c r="F25" s="10"/>
      <c r="G25" s="11"/>
      <c r="I25" s="107"/>
      <c r="J25" s="108"/>
      <c r="K25" s="109"/>
      <c r="L25" s="39"/>
    </row>
    <row r="26" spans="1:12">
      <c r="A26" s="20"/>
      <c r="B26" s="22">
        <v>0</v>
      </c>
      <c r="C26" s="22">
        <v>0</v>
      </c>
      <c r="D26" s="22">
        <v>0</v>
      </c>
      <c r="E26" s="10">
        <f t="shared" si="0"/>
        <v>0</v>
      </c>
      <c r="F26" s="10"/>
      <c r="G26" s="11"/>
      <c r="H26" s="39"/>
      <c r="I26" s="107"/>
      <c r="J26" s="108"/>
      <c r="K26" s="109"/>
      <c r="L26" s="39"/>
    </row>
    <row r="27" spans="1:12">
      <c r="A27" s="20"/>
      <c r="B27" s="22">
        <v>0</v>
      </c>
      <c r="C27" s="22">
        <v>0</v>
      </c>
      <c r="D27" s="22">
        <v>0</v>
      </c>
      <c r="E27" s="10">
        <f t="shared" si="0"/>
        <v>0</v>
      </c>
      <c r="F27" s="10"/>
      <c r="G27" s="11"/>
      <c r="H27" s="39"/>
      <c r="I27" s="107"/>
      <c r="J27" s="108"/>
      <c r="K27" s="109"/>
      <c r="L27" s="39"/>
    </row>
    <row r="28" spans="1:12" ht="15" thickBot="1">
      <c r="A28" s="20"/>
      <c r="B28" s="22">
        <v>0</v>
      </c>
      <c r="C28" s="22">
        <v>0</v>
      </c>
      <c r="D28" s="22">
        <v>0</v>
      </c>
      <c r="E28" s="10">
        <f t="shared" si="0"/>
        <v>0</v>
      </c>
      <c r="F28" s="10"/>
      <c r="G28" s="11"/>
      <c r="H28" s="39"/>
      <c r="I28" s="110"/>
      <c r="J28" s="111"/>
      <c r="K28" s="112"/>
      <c r="L28" s="39"/>
    </row>
    <row r="29" spans="1:12">
      <c r="A29" s="8" t="s">
        <v>5</v>
      </c>
      <c r="B29" s="17">
        <f>SUM(B6:B28)</f>
        <v>9830</v>
      </c>
      <c r="C29" s="17">
        <f t="shared" ref="C29:D29" si="2">SUM(C6:C28)</f>
        <v>7385</v>
      </c>
      <c r="D29" s="17">
        <f t="shared" si="2"/>
        <v>7700</v>
      </c>
      <c r="E29" s="10">
        <f t="shared" si="0"/>
        <v>8305</v>
      </c>
      <c r="F29" s="10"/>
      <c r="G29" s="11"/>
      <c r="H29" s="39"/>
      <c r="I29" s="39"/>
      <c r="J29" s="39"/>
      <c r="K29" s="39"/>
      <c r="L29" s="39"/>
    </row>
    <row r="30" spans="1:12">
      <c r="E30" s="15"/>
      <c r="F30" s="15"/>
      <c r="G30" s="11"/>
      <c r="I30" s="18"/>
      <c r="J30" s="8"/>
    </row>
    <row r="31" spans="1:12">
      <c r="A31" s="4"/>
      <c r="B31" s="5"/>
      <c r="C31" s="5"/>
      <c r="D31" s="5"/>
      <c r="E31" s="15"/>
      <c r="F31" s="15"/>
      <c r="G31" s="11"/>
      <c r="I31" s="6"/>
      <c r="J31" s="8"/>
    </row>
    <row r="32" spans="1:12">
      <c r="A32" s="6"/>
      <c r="B32" s="7"/>
      <c r="C32" s="7"/>
      <c r="D32" s="7"/>
      <c r="E32" s="15"/>
      <c r="F32" s="15"/>
      <c r="G32" s="11"/>
      <c r="I32" s="23"/>
      <c r="J32" s="8"/>
    </row>
    <row r="33" spans="1:12">
      <c r="A33" s="6"/>
      <c r="B33" s="7"/>
      <c r="C33" s="7"/>
      <c r="D33" s="7"/>
      <c r="E33" s="15"/>
      <c r="F33" s="15"/>
      <c r="G33" s="11"/>
      <c r="I33" s="24"/>
      <c r="J33" s="8"/>
    </row>
    <row r="34" spans="1:12" ht="15">
      <c r="A34" s="6"/>
      <c r="B34" s="7"/>
      <c r="C34" s="7"/>
      <c r="D34" s="7"/>
      <c r="E34" s="15"/>
      <c r="F34" s="15"/>
      <c r="G34" s="11"/>
      <c r="J34" s="90"/>
      <c r="K34" s="90"/>
    </row>
    <row r="35" spans="1:12">
      <c r="A35" s="6"/>
      <c r="B35" s="7"/>
      <c r="C35" s="7"/>
      <c r="D35" s="7"/>
      <c r="E35" s="15"/>
      <c r="F35" s="15"/>
      <c r="G35" s="11"/>
      <c r="L35" s="24"/>
    </row>
    <row r="36" spans="1:12">
      <c r="A36" s="6"/>
      <c r="B36" s="7"/>
      <c r="C36" s="7"/>
      <c r="D36" s="7"/>
      <c r="E36" s="15"/>
      <c r="F36" s="15"/>
      <c r="G36" s="11"/>
      <c r="L36" s="24"/>
    </row>
    <row r="37" spans="1:12">
      <c r="A37" s="4"/>
      <c r="B37" s="9"/>
      <c r="C37" s="9"/>
      <c r="D37" s="9"/>
      <c r="E37" s="19"/>
      <c r="F37" s="19"/>
      <c r="L37" s="14"/>
    </row>
  </sheetData>
  <sheetProtection password="CB9A" sheet="1" objects="1" scenarios="1"/>
  <mergeCells count="9">
    <mergeCell ref="J34:K34"/>
    <mergeCell ref="I18:K20"/>
    <mergeCell ref="A1:E4"/>
    <mergeCell ref="G1:L4"/>
    <mergeCell ref="I21:K28"/>
    <mergeCell ref="I17:K17"/>
    <mergeCell ref="H14:I14"/>
    <mergeCell ref="H15:H16"/>
    <mergeCell ref="I15:I16"/>
  </mergeCells>
  <conditionalFormatting sqref="H14">
    <cfRule type="colorScale" priority="8">
      <colorScale>
        <cfvo type="num" val="-1"/>
        <cfvo type="num" val="1"/>
        <color rgb="FF00B050"/>
        <color rgb="FFFFEF9C"/>
      </colorScale>
    </cfRule>
  </conditionalFormatting>
  <conditionalFormatting sqref="H14:H15">
    <cfRule type="cellIs" dxfId="16" priority="6" stopIfTrue="1" operator="equal">
      <formula>LUCRO</formula>
    </cfRule>
  </conditionalFormatting>
  <conditionalFormatting sqref="H31">
    <cfRule type="containsText" dxfId="15" priority="4" operator="containsText" text="&quot;PREJUIZO&quot;">
      <formula>NOT(ISERROR(SEARCH("""PREJUIZO""",H31)))</formula>
    </cfRule>
  </conditionalFormatting>
  <conditionalFormatting sqref="I15">
    <cfRule type="containsText" dxfId="14" priority="1" operator="containsText" text="PONTO DE EQUI">
      <formula>NOT(ISERROR(SEARCH("PONTO DE EQUI",I15)))</formula>
    </cfRule>
    <cfRule type="containsText" dxfId="13" priority="2" operator="containsText" text="LUCRO">
      <formula>NOT(ISERROR(SEARCH("LUCRO",I15)))</formula>
    </cfRule>
    <cfRule type="containsText" dxfId="12" priority="3" operator="containsText" text="Prejuizo">
      <formula>NOT(ISERROR(SEARCH("Prejuizo",I15)))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3:O48"/>
  <sheetViews>
    <sheetView showGridLines="0" workbookViewId="0">
      <selection activeCell="N9" sqref="N9"/>
    </sheetView>
  </sheetViews>
  <sheetFormatPr defaultRowHeight="15"/>
  <cols>
    <col min="1" max="1" width="20.140625" style="51" bestFit="1" customWidth="1"/>
    <col min="2" max="2" width="10.5703125" style="52" bestFit="1" customWidth="1"/>
    <col min="3" max="3" width="20.28515625" style="53" bestFit="1" customWidth="1"/>
    <col min="4" max="4" width="5.28515625" style="54" bestFit="1" customWidth="1"/>
    <col min="5" max="5" width="15.140625" style="51" bestFit="1" customWidth="1"/>
    <col min="6" max="6" width="18.140625" style="53" bestFit="1" customWidth="1"/>
    <col min="7" max="7" width="9.7109375" style="51" bestFit="1" customWidth="1"/>
    <col min="8" max="8" width="26" style="51" bestFit="1" customWidth="1"/>
    <col min="9" max="9" width="21.85546875" style="51" bestFit="1" customWidth="1"/>
    <col min="10" max="10" width="26.85546875" style="51" bestFit="1" customWidth="1"/>
    <col min="11" max="11" width="13.140625" style="51" bestFit="1" customWidth="1"/>
    <col min="12" max="12" width="19.85546875" style="51" bestFit="1" customWidth="1"/>
    <col min="13" max="13" width="19.42578125" style="51" bestFit="1" customWidth="1"/>
    <col min="14" max="16384" width="9.140625" style="51"/>
  </cols>
  <sheetData>
    <row r="3" spans="1:13">
      <c r="L3" s="84">
        <f>'CALCULO PERC. CUSTO INDIRETO'!I18*$C$46</f>
        <v>814.77351063829803</v>
      </c>
    </row>
    <row r="8" spans="1:13">
      <c r="F8" s="51"/>
    </row>
    <row r="9" spans="1:13" ht="15.75" thickBot="1">
      <c r="F9" s="51"/>
    </row>
    <row r="10" spans="1:13" ht="15.75" thickBot="1">
      <c r="A10" s="55" t="s">
        <v>34</v>
      </c>
      <c r="B10" s="56"/>
      <c r="D10" s="119" t="s">
        <v>38</v>
      </c>
      <c r="E10" s="120"/>
      <c r="F10" s="121"/>
    </row>
    <row r="11" spans="1:13">
      <c r="A11" s="57" t="s">
        <v>32</v>
      </c>
      <c r="B11" s="82">
        <v>100</v>
      </c>
      <c r="D11" s="122">
        <v>0.2</v>
      </c>
      <c r="E11" s="123"/>
      <c r="F11" s="124"/>
    </row>
    <row r="12" spans="1:13" ht="15.75" thickBot="1">
      <c r="A12" s="58" t="s">
        <v>33</v>
      </c>
      <c r="B12" s="83">
        <v>0</v>
      </c>
      <c r="C12" s="59"/>
      <c r="D12" s="125"/>
      <c r="E12" s="126"/>
      <c r="F12" s="127"/>
      <c r="G12" s="59"/>
      <c r="H12" s="60"/>
      <c r="I12" s="60"/>
      <c r="J12" s="60"/>
    </row>
    <row r="13" spans="1:13">
      <c r="A13" s="59"/>
      <c r="D13" s="59"/>
      <c r="E13" s="61"/>
      <c r="F13" s="62"/>
      <c r="G13" s="59"/>
      <c r="H13" s="60"/>
      <c r="I13" s="60"/>
      <c r="J13" s="60"/>
    </row>
    <row r="14" spans="1:13" s="70" customFormat="1">
      <c r="A14" s="63" t="s">
        <v>16</v>
      </c>
      <c r="B14" s="64" t="s">
        <v>36</v>
      </c>
      <c r="C14" s="65" t="s">
        <v>27</v>
      </c>
      <c r="D14" s="66" t="s">
        <v>25</v>
      </c>
      <c r="E14" s="67" t="s">
        <v>26</v>
      </c>
      <c r="F14" s="68" t="s">
        <v>24</v>
      </c>
      <c r="G14" s="67" t="s">
        <v>28</v>
      </c>
      <c r="H14" s="67" t="s">
        <v>35</v>
      </c>
      <c r="I14" s="67" t="s">
        <v>31</v>
      </c>
      <c r="J14" s="67" t="s">
        <v>45</v>
      </c>
      <c r="K14" s="67" t="s">
        <v>29</v>
      </c>
      <c r="L14" s="69" t="s">
        <v>39</v>
      </c>
      <c r="M14" s="69" t="s">
        <v>30</v>
      </c>
    </row>
    <row r="15" spans="1:13">
      <c r="A15" s="45" t="s">
        <v>17</v>
      </c>
      <c r="B15" s="46">
        <v>30</v>
      </c>
      <c r="C15" s="47">
        <v>20</v>
      </c>
      <c r="D15" s="81">
        <v>0.05</v>
      </c>
      <c r="E15" s="71">
        <f>IF(B15=0,0,'CALC. FORMAÇAO DE PREÇO'!$B$11/$B$46)</f>
        <v>1.075268817204301</v>
      </c>
      <c r="F15" s="71">
        <f>IF(B15=0,0,'CALC. FORMAÇAO DE PREÇO'!$B$12/$B$46)</f>
        <v>0</v>
      </c>
      <c r="G15" s="71">
        <f t="shared" ref="G15:G45" si="0">C15*D15</f>
        <v>1</v>
      </c>
      <c r="H15" s="71">
        <f>IF(B15=0,0,SUM(C15,E15,F15,G15))</f>
        <v>22.0752688172043</v>
      </c>
      <c r="I15" s="71">
        <f t="shared" ref="I15:I45" si="1">IF(B15=0,0,($L$3/$B$46))</f>
        <v>8.7610054907343873</v>
      </c>
      <c r="J15" s="72">
        <f>H15+I15</f>
        <v>30.836274307938687</v>
      </c>
      <c r="K15" s="73">
        <f>('CALCULO PERC. CUSTO INDIRETO'!$I$13*J15)+J15</f>
        <v>31.737801696338437</v>
      </c>
      <c r="L15" s="74">
        <f t="shared" ref="L15:L45" si="2">J15*$D$11</f>
        <v>6.1672548615877378</v>
      </c>
      <c r="M15" s="74">
        <f>K15+L15</f>
        <v>37.905056557926173</v>
      </c>
    </row>
    <row r="16" spans="1:13">
      <c r="A16" s="45" t="s">
        <v>18</v>
      </c>
      <c r="B16" s="46">
        <v>20</v>
      </c>
      <c r="C16" s="47">
        <v>7</v>
      </c>
      <c r="D16" s="81">
        <v>0.02</v>
      </c>
      <c r="E16" s="71">
        <f>IF(B16=0,0,'CALC. FORMAÇAO DE PREÇO'!$B$11/$B$46)</f>
        <v>1.075268817204301</v>
      </c>
      <c r="F16" s="71">
        <f>IF(B16=0,0,'CALC. FORMAÇAO DE PREÇO'!$B$12/$B$46)</f>
        <v>0</v>
      </c>
      <c r="G16" s="71">
        <f t="shared" si="0"/>
        <v>0.14000000000000001</v>
      </c>
      <c r="H16" s="71">
        <f t="shared" ref="H16:H45" si="3">IF(B16=0,0,SUM(C16,E16,F16,G16))</f>
        <v>8.2152688172043007</v>
      </c>
      <c r="I16" s="71">
        <f t="shared" si="1"/>
        <v>8.7610054907343873</v>
      </c>
      <c r="J16" s="72">
        <f t="shared" ref="J16:J45" si="4">H16+I16</f>
        <v>16.976274307938688</v>
      </c>
      <c r="K16" s="73">
        <f>('CALCULO PERC. CUSTO INDIRETO'!$I$13*J16)+J16</f>
        <v>17.472591602588441</v>
      </c>
      <c r="L16" s="74">
        <f t="shared" si="2"/>
        <v>3.3952548615877376</v>
      </c>
      <c r="M16" s="74">
        <f t="shared" ref="M16:M45" si="5">K16+L16</f>
        <v>20.867846464176179</v>
      </c>
    </row>
    <row r="17" spans="1:15">
      <c r="A17" s="45" t="s">
        <v>19</v>
      </c>
      <c r="B17" s="46">
        <v>20</v>
      </c>
      <c r="C17" s="47">
        <v>10</v>
      </c>
      <c r="D17" s="81">
        <v>0</v>
      </c>
      <c r="E17" s="71">
        <f>IF(B17=0,0,'CALC. FORMAÇAO DE PREÇO'!$B$11/$B$46)</f>
        <v>1.075268817204301</v>
      </c>
      <c r="F17" s="71">
        <f>IF(B17=0,0,'CALC. FORMAÇAO DE PREÇO'!$B$12/$B$46)</f>
        <v>0</v>
      </c>
      <c r="G17" s="71">
        <f t="shared" si="0"/>
        <v>0</v>
      </c>
      <c r="H17" s="71">
        <f t="shared" si="3"/>
        <v>11.0752688172043</v>
      </c>
      <c r="I17" s="71">
        <f t="shared" si="1"/>
        <v>8.7610054907343873</v>
      </c>
      <c r="J17" s="72">
        <f t="shared" si="4"/>
        <v>19.836274307938687</v>
      </c>
      <c r="K17" s="73">
        <f>('CALCULO PERC. CUSTO INDIRETO'!$I$13*J17)+J17</f>
        <v>20.416206383838439</v>
      </c>
      <c r="L17" s="74">
        <f t="shared" si="2"/>
        <v>3.9672548615877377</v>
      </c>
      <c r="M17" s="74">
        <f t="shared" si="5"/>
        <v>24.383461245426176</v>
      </c>
    </row>
    <row r="18" spans="1:15">
      <c r="A18" s="45" t="s">
        <v>20</v>
      </c>
      <c r="B18" s="46">
        <v>20</v>
      </c>
      <c r="C18" s="47">
        <v>500</v>
      </c>
      <c r="D18" s="81">
        <v>0</v>
      </c>
      <c r="E18" s="71">
        <f>IF(B18=0,0,'CALC. FORMAÇAO DE PREÇO'!$B$11/$B$46)</f>
        <v>1.075268817204301</v>
      </c>
      <c r="F18" s="71">
        <f>IF(B18=0,0,'CALC. FORMAÇAO DE PREÇO'!$B$12/$B$46)</f>
        <v>0</v>
      </c>
      <c r="G18" s="71">
        <f t="shared" si="0"/>
        <v>0</v>
      </c>
      <c r="H18" s="71">
        <f t="shared" si="3"/>
        <v>501.07526881720429</v>
      </c>
      <c r="I18" s="71">
        <f t="shared" si="1"/>
        <v>8.7610054907343873</v>
      </c>
      <c r="J18" s="72">
        <f t="shared" si="4"/>
        <v>509.83627430793865</v>
      </c>
      <c r="K18" s="73">
        <f>('CALCULO PERC. CUSTO INDIRETO'!$I$13*J18)+J18</f>
        <v>524.74181575883836</v>
      </c>
      <c r="L18" s="74">
        <f t="shared" si="2"/>
        <v>101.96725486158773</v>
      </c>
      <c r="M18" s="74">
        <f t="shared" si="5"/>
        <v>626.70907062042613</v>
      </c>
    </row>
    <row r="19" spans="1:15">
      <c r="A19" s="45" t="s">
        <v>21</v>
      </c>
      <c r="B19" s="46">
        <v>1</v>
      </c>
      <c r="C19" s="47">
        <v>300</v>
      </c>
      <c r="D19" s="81">
        <v>0</v>
      </c>
      <c r="E19" s="71">
        <f>IF(B19=0,0,'CALC. FORMAÇAO DE PREÇO'!$B$11/$B$46)</f>
        <v>1.075268817204301</v>
      </c>
      <c r="F19" s="71">
        <f>IF(B19=0,0,'CALC. FORMAÇAO DE PREÇO'!$B$12/$B$46)</f>
        <v>0</v>
      </c>
      <c r="G19" s="71">
        <f t="shared" si="0"/>
        <v>0</v>
      </c>
      <c r="H19" s="71">
        <f t="shared" si="3"/>
        <v>301.07526881720429</v>
      </c>
      <c r="I19" s="71">
        <f t="shared" si="1"/>
        <v>8.7610054907343873</v>
      </c>
      <c r="J19" s="72">
        <f t="shared" si="4"/>
        <v>309.83627430793865</v>
      </c>
      <c r="K19" s="73">
        <f>('CALCULO PERC. CUSTO INDIRETO'!$I$13*J19)+J19</f>
        <v>318.8946282588384</v>
      </c>
      <c r="L19" s="74">
        <f t="shared" si="2"/>
        <v>61.967254861587733</v>
      </c>
      <c r="M19" s="74">
        <f t="shared" si="5"/>
        <v>380.86188312042611</v>
      </c>
    </row>
    <row r="20" spans="1:15">
      <c r="A20" s="45" t="s">
        <v>22</v>
      </c>
      <c r="B20" s="46">
        <v>1</v>
      </c>
      <c r="C20" s="47">
        <v>400</v>
      </c>
      <c r="D20" s="81">
        <v>0</v>
      </c>
      <c r="E20" s="71">
        <f>IF(B20=0,0,'CALC. FORMAÇAO DE PREÇO'!$B$11/$B$46)</f>
        <v>1.075268817204301</v>
      </c>
      <c r="F20" s="71">
        <f>IF(B20=0,0,'CALC. FORMAÇAO DE PREÇO'!$B$12/$B$46)</f>
        <v>0</v>
      </c>
      <c r="G20" s="71">
        <f t="shared" si="0"/>
        <v>0</v>
      </c>
      <c r="H20" s="71">
        <f t="shared" si="3"/>
        <v>401.07526881720429</v>
      </c>
      <c r="I20" s="71">
        <f t="shared" si="1"/>
        <v>8.7610054907343873</v>
      </c>
      <c r="J20" s="72">
        <f t="shared" si="4"/>
        <v>409.83627430793865</v>
      </c>
      <c r="K20" s="73">
        <f>('CALCULO PERC. CUSTO INDIRETO'!$I$13*J20)+J20</f>
        <v>421.8182220088384</v>
      </c>
      <c r="L20" s="74">
        <f t="shared" si="2"/>
        <v>81.967254861587733</v>
      </c>
      <c r="M20" s="74">
        <f t="shared" si="5"/>
        <v>503.78547687042612</v>
      </c>
    </row>
    <row r="21" spans="1:15">
      <c r="A21" s="45" t="s">
        <v>23</v>
      </c>
      <c r="B21" s="46">
        <v>1</v>
      </c>
      <c r="C21" s="47">
        <v>300</v>
      </c>
      <c r="D21" s="81">
        <v>0</v>
      </c>
      <c r="E21" s="71">
        <f>IF(B21=0,0,'CALC. FORMAÇAO DE PREÇO'!$B$11/$B$46)</f>
        <v>1.075268817204301</v>
      </c>
      <c r="F21" s="71">
        <f>IF(B21=0,0,'CALC. FORMAÇAO DE PREÇO'!$B$12/$B$46)</f>
        <v>0</v>
      </c>
      <c r="G21" s="71">
        <f t="shared" si="0"/>
        <v>0</v>
      </c>
      <c r="H21" s="71">
        <f t="shared" si="3"/>
        <v>301.07526881720429</v>
      </c>
      <c r="I21" s="71">
        <f t="shared" si="1"/>
        <v>8.7610054907343873</v>
      </c>
      <c r="J21" s="72">
        <f t="shared" si="4"/>
        <v>309.83627430793865</v>
      </c>
      <c r="K21" s="73">
        <f>('CALCULO PERC. CUSTO INDIRETO'!$I$13*J21)+J21</f>
        <v>318.8946282588384</v>
      </c>
      <c r="L21" s="74">
        <f t="shared" si="2"/>
        <v>61.967254861587733</v>
      </c>
      <c r="M21" s="74">
        <f t="shared" si="5"/>
        <v>380.86188312042611</v>
      </c>
    </row>
    <row r="22" spans="1:15">
      <c r="A22" s="45"/>
      <c r="B22" s="46">
        <v>0</v>
      </c>
      <c r="C22" s="47">
        <v>0</v>
      </c>
      <c r="D22" s="81">
        <v>0</v>
      </c>
      <c r="E22" s="71">
        <f>IF(B22=0,0,'CALC. FORMAÇAO DE PREÇO'!$B$11/$B$46)</f>
        <v>0</v>
      </c>
      <c r="F22" s="71">
        <f>IF(B22=0,0,'CALC. FORMAÇAO DE PREÇO'!$B$12/$B$46)</f>
        <v>0</v>
      </c>
      <c r="G22" s="71">
        <f t="shared" si="0"/>
        <v>0</v>
      </c>
      <c r="H22" s="71">
        <f t="shared" si="3"/>
        <v>0</v>
      </c>
      <c r="I22" s="71">
        <f t="shared" si="1"/>
        <v>0</v>
      </c>
      <c r="J22" s="72">
        <f t="shared" si="4"/>
        <v>0</v>
      </c>
      <c r="K22" s="73">
        <f>('CALCULO PERC. CUSTO INDIRETO'!$I$13*J22)+J22</f>
        <v>0</v>
      </c>
      <c r="L22" s="74">
        <f t="shared" si="2"/>
        <v>0</v>
      </c>
      <c r="M22" s="74">
        <f t="shared" si="5"/>
        <v>0</v>
      </c>
    </row>
    <row r="23" spans="1:15">
      <c r="A23" s="45"/>
      <c r="B23" s="46">
        <v>0</v>
      </c>
      <c r="C23" s="47">
        <v>0</v>
      </c>
      <c r="D23" s="81">
        <v>0</v>
      </c>
      <c r="E23" s="71">
        <f>IF(B23=0,0,'CALC. FORMAÇAO DE PREÇO'!$B$11/$B$46)</f>
        <v>0</v>
      </c>
      <c r="F23" s="71">
        <f>IF(B23=0,0,'CALC. FORMAÇAO DE PREÇO'!$B$12/$B$46)</f>
        <v>0</v>
      </c>
      <c r="G23" s="71">
        <f t="shared" si="0"/>
        <v>0</v>
      </c>
      <c r="H23" s="71">
        <f t="shared" si="3"/>
        <v>0</v>
      </c>
      <c r="I23" s="71">
        <f t="shared" si="1"/>
        <v>0</v>
      </c>
      <c r="J23" s="72">
        <f t="shared" si="4"/>
        <v>0</v>
      </c>
      <c r="K23" s="73">
        <f>('CALCULO PERC. CUSTO INDIRETO'!$I$13*J23)+J23</f>
        <v>0</v>
      </c>
      <c r="L23" s="74">
        <f t="shared" si="2"/>
        <v>0</v>
      </c>
      <c r="M23" s="74">
        <f t="shared" si="5"/>
        <v>0</v>
      </c>
    </row>
    <row r="24" spans="1:15">
      <c r="A24" s="45"/>
      <c r="B24" s="46">
        <v>0</v>
      </c>
      <c r="C24" s="47">
        <v>0</v>
      </c>
      <c r="D24" s="81">
        <v>0</v>
      </c>
      <c r="E24" s="71">
        <f>IF(B24=0,0,'CALC. FORMAÇAO DE PREÇO'!$B$11/$B$46)</f>
        <v>0</v>
      </c>
      <c r="F24" s="71">
        <f>IF(B24=0,0,'CALC. FORMAÇAO DE PREÇO'!$B$12/$B$46)</f>
        <v>0</v>
      </c>
      <c r="G24" s="71">
        <f t="shared" si="0"/>
        <v>0</v>
      </c>
      <c r="H24" s="71">
        <f t="shared" si="3"/>
        <v>0</v>
      </c>
      <c r="I24" s="71">
        <f t="shared" si="1"/>
        <v>0</v>
      </c>
      <c r="J24" s="72">
        <f t="shared" si="4"/>
        <v>0</v>
      </c>
      <c r="K24" s="73">
        <f>('CALCULO PERC. CUSTO INDIRETO'!$I$13*J24)+J24</f>
        <v>0</v>
      </c>
      <c r="L24" s="74">
        <f t="shared" si="2"/>
        <v>0</v>
      </c>
      <c r="M24" s="74">
        <f t="shared" si="5"/>
        <v>0</v>
      </c>
    </row>
    <row r="25" spans="1:15">
      <c r="A25" s="45"/>
      <c r="B25" s="46">
        <v>0</v>
      </c>
      <c r="C25" s="47">
        <v>0</v>
      </c>
      <c r="D25" s="81">
        <v>0</v>
      </c>
      <c r="E25" s="71">
        <f>IF(B25=0,0,'CALC. FORMAÇAO DE PREÇO'!$B$11/$B$46)</f>
        <v>0</v>
      </c>
      <c r="F25" s="71">
        <f>IF(B25=0,0,'CALC. FORMAÇAO DE PREÇO'!$B$12/$B$46)</f>
        <v>0</v>
      </c>
      <c r="G25" s="71">
        <f t="shared" si="0"/>
        <v>0</v>
      </c>
      <c r="H25" s="71">
        <f t="shared" si="3"/>
        <v>0</v>
      </c>
      <c r="I25" s="71">
        <f t="shared" si="1"/>
        <v>0</v>
      </c>
      <c r="J25" s="72">
        <f t="shared" si="4"/>
        <v>0</v>
      </c>
      <c r="K25" s="73">
        <f>('CALCULO PERC. CUSTO INDIRETO'!$I$13*J25)+J25</f>
        <v>0</v>
      </c>
      <c r="L25" s="74">
        <f t="shared" si="2"/>
        <v>0</v>
      </c>
      <c r="M25" s="74">
        <f t="shared" si="5"/>
        <v>0</v>
      </c>
    </row>
    <row r="26" spans="1:15">
      <c r="A26" s="45"/>
      <c r="B26" s="46">
        <v>0</v>
      </c>
      <c r="C26" s="47">
        <v>0</v>
      </c>
      <c r="D26" s="81">
        <v>0</v>
      </c>
      <c r="E26" s="71">
        <f>IF(B26=0,0,'CALC. FORMAÇAO DE PREÇO'!$B$11/$B$46)</f>
        <v>0</v>
      </c>
      <c r="F26" s="71">
        <f>IF(B26=0,0,'CALC. FORMAÇAO DE PREÇO'!$B$12/$B$46)</f>
        <v>0</v>
      </c>
      <c r="G26" s="71">
        <f t="shared" si="0"/>
        <v>0</v>
      </c>
      <c r="H26" s="71">
        <f t="shared" si="3"/>
        <v>0</v>
      </c>
      <c r="I26" s="71">
        <f t="shared" si="1"/>
        <v>0</v>
      </c>
      <c r="J26" s="72">
        <f t="shared" si="4"/>
        <v>0</v>
      </c>
      <c r="K26" s="73">
        <f>('CALCULO PERC. CUSTO INDIRETO'!$I$13*J26)+J26</f>
        <v>0</v>
      </c>
      <c r="L26" s="74">
        <f t="shared" si="2"/>
        <v>0</v>
      </c>
      <c r="M26" s="74">
        <f t="shared" si="5"/>
        <v>0</v>
      </c>
    </row>
    <row r="27" spans="1:15">
      <c r="A27" s="45"/>
      <c r="B27" s="46">
        <v>0</v>
      </c>
      <c r="C27" s="47">
        <v>0</v>
      </c>
      <c r="D27" s="81">
        <v>0</v>
      </c>
      <c r="E27" s="71">
        <f>IF(B27=0,0,'CALC. FORMAÇAO DE PREÇO'!$B$11/$B$46)</f>
        <v>0</v>
      </c>
      <c r="F27" s="71">
        <f>IF(B27=0,0,'CALC. FORMAÇAO DE PREÇO'!$B$12/$B$46)</f>
        <v>0</v>
      </c>
      <c r="G27" s="71">
        <f t="shared" si="0"/>
        <v>0</v>
      </c>
      <c r="H27" s="71">
        <f t="shared" si="3"/>
        <v>0</v>
      </c>
      <c r="I27" s="71">
        <f t="shared" si="1"/>
        <v>0</v>
      </c>
      <c r="J27" s="72">
        <f t="shared" si="4"/>
        <v>0</v>
      </c>
      <c r="K27" s="73">
        <f>('CALCULO PERC. CUSTO INDIRETO'!$I$13*J27)+J27</f>
        <v>0</v>
      </c>
      <c r="L27" s="74">
        <f t="shared" si="2"/>
        <v>0</v>
      </c>
      <c r="M27" s="74">
        <f t="shared" si="5"/>
        <v>0</v>
      </c>
    </row>
    <row r="28" spans="1:15">
      <c r="A28" s="45"/>
      <c r="B28" s="46">
        <v>0</v>
      </c>
      <c r="C28" s="47">
        <v>0</v>
      </c>
      <c r="D28" s="81">
        <v>0</v>
      </c>
      <c r="E28" s="71">
        <f>IF(B28=0,0,'CALC. FORMAÇAO DE PREÇO'!$B$11/$B$46)</f>
        <v>0</v>
      </c>
      <c r="F28" s="71">
        <f>IF(B28=0,0,'CALC. FORMAÇAO DE PREÇO'!$B$12/$B$46)</f>
        <v>0</v>
      </c>
      <c r="G28" s="71">
        <f t="shared" si="0"/>
        <v>0</v>
      </c>
      <c r="H28" s="71">
        <f t="shared" si="3"/>
        <v>0</v>
      </c>
      <c r="I28" s="71">
        <f t="shared" si="1"/>
        <v>0</v>
      </c>
      <c r="J28" s="72">
        <f t="shared" si="4"/>
        <v>0</v>
      </c>
      <c r="K28" s="73">
        <f>('CALCULO PERC. CUSTO INDIRETO'!$I$13*J28)+J28</f>
        <v>0</v>
      </c>
      <c r="L28" s="74">
        <f t="shared" si="2"/>
        <v>0</v>
      </c>
      <c r="M28" s="74">
        <f t="shared" si="5"/>
        <v>0</v>
      </c>
    </row>
    <row r="29" spans="1:15">
      <c r="A29" s="45"/>
      <c r="B29" s="46">
        <v>0</v>
      </c>
      <c r="C29" s="47">
        <v>0</v>
      </c>
      <c r="D29" s="81">
        <v>0</v>
      </c>
      <c r="E29" s="71">
        <f>IF(B29=0,0,'CALC. FORMAÇAO DE PREÇO'!$B$11/$B$46)</f>
        <v>0</v>
      </c>
      <c r="F29" s="71">
        <f>IF(B29=0,0,'CALC. FORMAÇAO DE PREÇO'!$B$12/$B$46)</f>
        <v>0</v>
      </c>
      <c r="G29" s="71">
        <f t="shared" si="0"/>
        <v>0</v>
      </c>
      <c r="H29" s="71">
        <f t="shared" si="3"/>
        <v>0</v>
      </c>
      <c r="I29" s="71">
        <f t="shared" si="1"/>
        <v>0</v>
      </c>
      <c r="J29" s="72">
        <f t="shared" si="4"/>
        <v>0</v>
      </c>
      <c r="K29" s="73">
        <f>('CALCULO PERC. CUSTO INDIRETO'!$I$13*J29)+J29</f>
        <v>0</v>
      </c>
      <c r="L29" s="74">
        <f t="shared" si="2"/>
        <v>0</v>
      </c>
      <c r="M29" s="74">
        <f t="shared" si="5"/>
        <v>0</v>
      </c>
    </row>
    <row r="30" spans="1:15">
      <c r="A30" s="45"/>
      <c r="B30" s="46">
        <v>0</v>
      </c>
      <c r="C30" s="47">
        <v>0</v>
      </c>
      <c r="D30" s="81">
        <v>0</v>
      </c>
      <c r="E30" s="71">
        <f>IF(B30=0,0,'CALC. FORMAÇAO DE PREÇO'!$B$11/$B$46)</f>
        <v>0</v>
      </c>
      <c r="F30" s="71">
        <f>IF(B30=0,0,'CALC. FORMAÇAO DE PREÇO'!$B$12/$B$46)</f>
        <v>0</v>
      </c>
      <c r="G30" s="71">
        <f t="shared" si="0"/>
        <v>0</v>
      </c>
      <c r="H30" s="71">
        <f t="shared" si="3"/>
        <v>0</v>
      </c>
      <c r="I30" s="71">
        <f t="shared" si="1"/>
        <v>0</v>
      </c>
      <c r="J30" s="72">
        <f t="shared" si="4"/>
        <v>0</v>
      </c>
      <c r="K30" s="73">
        <f>('CALCULO PERC. CUSTO INDIRETO'!$I$13*J30)+J30</f>
        <v>0</v>
      </c>
      <c r="L30" s="74">
        <f t="shared" si="2"/>
        <v>0</v>
      </c>
      <c r="M30" s="74">
        <f t="shared" si="5"/>
        <v>0</v>
      </c>
      <c r="O30" s="75"/>
    </row>
    <row r="31" spans="1:15">
      <c r="A31" s="45"/>
      <c r="B31" s="46">
        <v>0</v>
      </c>
      <c r="C31" s="47">
        <v>0</v>
      </c>
      <c r="D31" s="81">
        <v>0</v>
      </c>
      <c r="E31" s="71">
        <f>IF(B31=0,0,'CALC. FORMAÇAO DE PREÇO'!$B$11/$B$46)</f>
        <v>0</v>
      </c>
      <c r="F31" s="71">
        <f>IF(B31=0,0,'CALC. FORMAÇAO DE PREÇO'!$B$12/$B$46)</f>
        <v>0</v>
      </c>
      <c r="G31" s="71">
        <f t="shared" si="0"/>
        <v>0</v>
      </c>
      <c r="H31" s="71">
        <f t="shared" si="3"/>
        <v>0</v>
      </c>
      <c r="I31" s="71">
        <f t="shared" si="1"/>
        <v>0</v>
      </c>
      <c r="J31" s="72">
        <f t="shared" si="4"/>
        <v>0</v>
      </c>
      <c r="K31" s="73">
        <f>('CALCULO PERC. CUSTO INDIRETO'!$I$13*J31)+J31</f>
        <v>0</v>
      </c>
      <c r="L31" s="74">
        <f t="shared" si="2"/>
        <v>0</v>
      </c>
      <c r="M31" s="74">
        <f t="shared" si="5"/>
        <v>0</v>
      </c>
    </row>
    <row r="32" spans="1:15">
      <c r="A32" s="45"/>
      <c r="B32" s="46">
        <v>0</v>
      </c>
      <c r="C32" s="47">
        <v>0</v>
      </c>
      <c r="D32" s="81">
        <v>0</v>
      </c>
      <c r="E32" s="71">
        <f>IF(B32=0,0,'CALC. FORMAÇAO DE PREÇO'!$B$11/$B$46)</f>
        <v>0</v>
      </c>
      <c r="F32" s="71">
        <f>IF(B32=0,0,'CALC. FORMAÇAO DE PREÇO'!$B$12/$B$46)</f>
        <v>0</v>
      </c>
      <c r="G32" s="71">
        <f t="shared" si="0"/>
        <v>0</v>
      </c>
      <c r="H32" s="71">
        <f t="shared" si="3"/>
        <v>0</v>
      </c>
      <c r="I32" s="71">
        <f t="shared" si="1"/>
        <v>0</v>
      </c>
      <c r="J32" s="72">
        <f t="shared" si="4"/>
        <v>0</v>
      </c>
      <c r="K32" s="73">
        <f>('CALCULO PERC. CUSTO INDIRETO'!$I$13*J32)+J32</f>
        <v>0</v>
      </c>
      <c r="L32" s="74">
        <f t="shared" si="2"/>
        <v>0</v>
      </c>
      <c r="M32" s="74">
        <f t="shared" si="5"/>
        <v>0</v>
      </c>
    </row>
    <row r="33" spans="1:13">
      <c r="A33" s="45"/>
      <c r="B33" s="46">
        <v>0</v>
      </c>
      <c r="C33" s="47">
        <v>0</v>
      </c>
      <c r="D33" s="81">
        <v>0</v>
      </c>
      <c r="E33" s="71">
        <f>IF(B33=0,0,'CALC. FORMAÇAO DE PREÇO'!$B$11/$B$46)</f>
        <v>0</v>
      </c>
      <c r="F33" s="71">
        <f>IF(B33=0,0,'CALC. FORMAÇAO DE PREÇO'!$B$12/$B$46)</f>
        <v>0</v>
      </c>
      <c r="G33" s="71">
        <f t="shared" si="0"/>
        <v>0</v>
      </c>
      <c r="H33" s="71">
        <f t="shared" si="3"/>
        <v>0</v>
      </c>
      <c r="I33" s="71">
        <f t="shared" si="1"/>
        <v>0</v>
      </c>
      <c r="J33" s="72">
        <f t="shared" si="4"/>
        <v>0</v>
      </c>
      <c r="K33" s="73">
        <f>('CALCULO PERC. CUSTO INDIRETO'!$I$13*J33)+J33</f>
        <v>0</v>
      </c>
      <c r="L33" s="74">
        <f t="shared" si="2"/>
        <v>0</v>
      </c>
      <c r="M33" s="74">
        <f t="shared" si="5"/>
        <v>0</v>
      </c>
    </row>
    <row r="34" spans="1:13">
      <c r="A34" s="45"/>
      <c r="B34" s="46">
        <v>0</v>
      </c>
      <c r="C34" s="47">
        <v>0</v>
      </c>
      <c r="D34" s="81">
        <v>0</v>
      </c>
      <c r="E34" s="71">
        <f>IF(B34=0,0,'CALC. FORMAÇAO DE PREÇO'!$B$11/$B$46)</f>
        <v>0</v>
      </c>
      <c r="F34" s="71">
        <f>IF(B34=0,0,'CALC. FORMAÇAO DE PREÇO'!$B$12/$B$46)</f>
        <v>0</v>
      </c>
      <c r="G34" s="71">
        <f t="shared" si="0"/>
        <v>0</v>
      </c>
      <c r="H34" s="71">
        <f t="shared" si="3"/>
        <v>0</v>
      </c>
      <c r="I34" s="71">
        <f t="shared" si="1"/>
        <v>0</v>
      </c>
      <c r="J34" s="72">
        <f t="shared" si="4"/>
        <v>0</v>
      </c>
      <c r="K34" s="73">
        <f>('CALCULO PERC. CUSTO INDIRETO'!$I$13*J34)+J34</f>
        <v>0</v>
      </c>
      <c r="L34" s="74">
        <f t="shared" si="2"/>
        <v>0</v>
      </c>
      <c r="M34" s="74">
        <f t="shared" si="5"/>
        <v>0</v>
      </c>
    </row>
    <row r="35" spans="1:13">
      <c r="A35" s="45"/>
      <c r="B35" s="46">
        <v>0</v>
      </c>
      <c r="C35" s="47">
        <v>0</v>
      </c>
      <c r="D35" s="81">
        <v>0</v>
      </c>
      <c r="E35" s="71">
        <f>IF(B35=0,0,'CALC. FORMAÇAO DE PREÇO'!$B$11/$B$46)</f>
        <v>0</v>
      </c>
      <c r="F35" s="71">
        <f>IF(B35=0,0,'CALC. FORMAÇAO DE PREÇO'!$B$12/$B$46)</f>
        <v>0</v>
      </c>
      <c r="G35" s="71">
        <f t="shared" si="0"/>
        <v>0</v>
      </c>
      <c r="H35" s="71">
        <f t="shared" si="3"/>
        <v>0</v>
      </c>
      <c r="I35" s="71">
        <f t="shared" si="1"/>
        <v>0</v>
      </c>
      <c r="J35" s="72">
        <f t="shared" si="4"/>
        <v>0</v>
      </c>
      <c r="K35" s="73">
        <f>('CALCULO PERC. CUSTO INDIRETO'!$I$13*J35)+J35</f>
        <v>0</v>
      </c>
      <c r="L35" s="74">
        <f t="shared" si="2"/>
        <v>0</v>
      </c>
      <c r="M35" s="74">
        <f t="shared" si="5"/>
        <v>0</v>
      </c>
    </row>
    <row r="36" spans="1:13">
      <c r="A36" s="45"/>
      <c r="B36" s="46">
        <v>0</v>
      </c>
      <c r="C36" s="47">
        <v>0</v>
      </c>
      <c r="D36" s="81">
        <v>0</v>
      </c>
      <c r="E36" s="71">
        <f>IF(B36=0,0,'CALC. FORMAÇAO DE PREÇO'!$B$11/$B$46)</f>
        <v>0</v>
      </c>
      <c r="F36" s="71">
        <f>IF(B36=0,0,'CALC. FORMAÇAO DE PREÇO'!$B$12/$B$46)</f>
        <v>0</v>
      </c>
      <c r="G36" s="71">
        <f t="shared" si="0"/>
        <v>0</v>
      </c>
      <c r="H36" s="71">
        <f t="shared" si="3"/>
        <v>0</v>
      </c>
      <c r="I36" s="71">
        <f t="shared" si="1"/>
        <v>0</v>
      </c>
      <c r="J36" s="72">
        <f t="shared" si="4"/>
        <v>0</v>
      </c>
      <c r="K36" s="73">
        <f>('CALCULO PERC. CUSTO INDIRETO'!$I$13*J36)+J36</f>
        <v>0</v>
      </c>
      <c r="L36" s="74">
        <f t="shared" si="2"/>
        <v>0</v>
      </c>
      <c r="M36" s="74">
        <f t="shared" si="5"/>
        <v>0</v>
      </c>
    </row>
    <row r="37" spans="1:13">
      <c r="A37" s="45"/>
      <c r="B37" s="46">
        <v>0</v>
      </c>
      <c r="C37" s="47">
        <v>0</v>
      </c>
      <c r="D37" s="81">
        <v>0</v>
      </c>
      <c r="E37" s="71">
        <f>IF(B37=0,0,'CALC. FORMAÇAO DE PREÇO'!$B$11/$B$46)</f>
        <v>0</v>
      </c>
      <c r="F37" s="71">
        <f>IF(B37=0,0,'CALC. FORMAÇAO DE PREÇO'!$B$12/$B$46)</f>
        <v>0</v>
      </c>
      <c r="G37" s="71">
        <f t="shared" si="0"/>
        <v>0</v>
      </c>
      <c r="H37" s="71">
        <f t="shared" si="3"/>
        <v>0</v>
      </c>
      <c r="I37" s="71">
        <f t="shared" si="1"/>
        <v>0</v>
      </c>
      <c r="J37" s="72">
        <f t="shared" si="4"/>
        <v>0</v>
      </c>
      <c r="K37" s="73">
        <f>('CALCULO PERC. CUSTO INDIRETO'!$I$13*J37)+J37</f>
        <v>0</v>
      </c>
      <c r="L37" s="74">
        <f t="shared" si="2"/>
        <v>0</v>
      </c>
      <c r="M37" s="74">
        <f t="shared" si="5"/>
        <v>0</v>
      </c>
    </row>
    <row r="38" spans="1:13">
      <c r="A38" s="45"/>
      <c r="B38" s="46">
        <v>0</v>
      </c>
      <c r="C38" s="47">
        <v>0</v>
      </c>
      <c r="D38" s="81">
        <v>0</v>
      </c>
      <c r="E38" s="71">
        <f>IF(B38=0,0,'CALC. FORMAÇAO DE PREÇO'!$B$11/$B$46)</f>
        <v>0</v>
      </c>
      <c r="F38" s="71">
        <f>IF(B38=0,0,'CALC. FORMAÇAO DE PREÇO'!$B$12/$B$46)</f>
        <v>0</v>
      </c>
      <c r="G38" s="71">
        <f t="shared" si="0"/>
        <v>0</v>
      </c>
      <c r="H38" s="71">
        <f t="shared" si="3"/>
        <v>0</v>
      </c>
      <c r="I38" s="71">
        <f t="shared" si="1"/>
        <v>0</v>
      </c>
      <c r="J38" s="72">
        <f t="shared" si="4"/>
        <v>0</v>
      </c>
      <c r="K38" s="73">
        <f>('CALCULO PERC. CUSTO INDIRETO'!$I$13*J38)+J38</f>
        <v>0</v>
      </c>
      <c r="L38" s="74">
        <f t="shared" si="2"/>
        <v>0</v>
      </c>
      <c r="M38" s="74">
        <f t="shared" si="5"/>
        <v>0</v>
      </c>
    </row>
    <row r="39" spans="1:13">
      <c r="A39" s="45"/>
      <c r="B39" s="46">
        <v>0</v>
      </c>
      <c r="C39" s="47">
        <v>0</v>
      </c>
      <c r="D39" s="81">
        <v>0</v>
      </c>
      <c r="E39" s="71">
        <f>IF(B39=0,0,'CALC. FORMAÇAO DE PREÇO'!$B$11/$B$46)</f>
        <v>0</v>
      </c>
      <c r="F39" s="71">
        <f>IF(B39=0,0,'CALC. FORMAÇAO DE PREÇO'!$B$12/$B$46)</f>
        <v>0</v>
      </c>
      <c r="G39" s="71">
        <f t="shared" si="0"/>
        <v>0</v>
      </c>
      <c r="H39" s="71">
        <f t="shared" si="3"/>
        <v>0</v>
      </c>
      <c r="I39" s="71">
        <f t="shared" si="1"/>
        <v>0</v>
      </c>
      <c r="J39" s="72">
        <f t="shared" si="4"/>
        <v>0</v>
      </c>
      <c r="K39" s="73">
        <f>('CALCULO PERC. CUSTO INDIRETO'!$I$13*J39)+J39</f>
        <v>0</v>
      </c>
      <c r="L39" s="74">
        <f t="shared" si="2"/>
        <v>0</v>
      </c>
      <c r="M39" s="74">
        <f t="shared" si="5"/>
        <v>0</v>
      </c>
    </row>
    <row r="40" spans="1:13">
      <c r="A40" s="45"/>
      <c r="B40" s="46">
        <v>0</v>
      </c>
      <c r="C40" s="47">
        <v>0</v>
      </c>
      <c r="D40" s="81">
        <v>0</v>
      </c>
      <c r="E40" s="71">
        <f>IF(B40=0,0,'CALC. FORMAÇAO DE PREÇO'!$B$11/$B$46)</f>
        <v>0</v>
      </c>
      <c r="F40" s="71">
        <f>IF(B40=0,0,'CALC. FORMAÇAO DE PREÇO'!$B$12/$B$46)</f>
        <v>0</v>
      </c>
      <c r="G40" s="71">
        <f t="shared" si="0"/>
        <v>0</v>
      </c>
      <c r="H40" s="71">
        <f t="shared" si="3"/>
        <v>0</v>
      </c>
      <c r="I40" s="71">
        <f t="shared" si="1"/>
        <v>0</v>
      </c>
      <c r="J40" s="72">
        <f t="shared" si="4"/>
        <v>0</v>
      </c>
      <c r="K40" s="73">
        <f>('CALCULO PERC. CUSTO INDIRETO'!$I$13*J40)+J40</f>
        <v>0</v>
      </c>
      <c r="L40" s="74">
        <f t="shared" si="2"/>
        <v>0</v>
      </c>
      <c r="M40" s="74">
        <f t="shared" si="5"/>
        <v>0</v>
      </c>
    </row>
    <row r="41" spans="1:13">
      <c r="A41" s="45"/>
      <c r="B41" s="46">
        <v>0</v>
      </c>
      <c r="C41" s="47">
        <v>0</v>
      </c>
      <c r="D41" s="81">
        <v>0</v>
      </c>
      <c r="E41" s="71">
        <f>IF(B41=0,0,'CALC. FORMAÇAO DE PREÇO'!$B$11/$B$46)</f>
        <v>0</v>
      </c>
      <c r="F41" s="71">
        <f>IF(B41=0,0,'CALC. FORMAÇAO DE PREÇO'!$B$12/$B$46)</f>
        <v>0</v>
      </c>
      <c r="G41" s="71">
        <f t="shared" si="0"/>
        <v>0</v>
      </c>
      <c r="H41" s="71">
        <f t="shared" si="3"/>
        <v>0</v>
      </c>
      <c r="I41" s="71">
        <f t="shared" si="1"/>
        <v>0</v>
      </c>
      <c r="J41" s="72">
        <f t="shared" si="4"/>
        <v>0</v>
      </c>
      <c r="K41" s="73">
        <f>('CALCULO PERC. CUSTO INDIRETO'!$I$13*J41)+J41</f>
        <v>0</v>
      </c>
      <c r="L41" s="74">
        <f t="shared" si="2"/>
        <v>0</v>
      </c>
      <c r="M41" s="74">
        <f t="shared" si="5"/>
        <v>0</v>
      </c>
    </row>
    <row r="42" spans="1:13">
      <c r="A42" s="45"/>
      <c r="B42" s="46">
        <v>0</v>
      </c>
      <c r="C42" s="47">
        <v>0</v>
      </c>
      <c r="D42" s="81">
        <v>0</v>
      </c>
      <c r="E42" s="71">
        <f>IF(B42=0,0,'CALC. FORMAÇAO DE PREÇO'!$B$11/$B$46)</f>
        <v>0</v>
      </c>
      <c r="F42" s="71">
        <f>IF(B42=0,0,'CALC. FORMAÇAO DE PREÇO'!$B$12/$B$46)</f>
        <v>0</v>
      </c>
      <c r="G42" s="71">
        <f t="shared" si="0"/>
        <v>0</v>
      </c>
      <c r="H42" s="71">
        <f t="shared" si="3"/>
        <v>0</v>
      </c>
      <c r="I42" s="71">
        <f t="shared" si="1"/>
        <v>0</v>
      </c>
      <c r="J42" s="72">
        <f t="shared" si="4"/>
        <v>0</v>
      </c>
      <c r="K42" s="73">
        <f>('CALCULO PERC. CUSTO INDIRETO'!$I$13*J42)+J42</f>
        <v>0</v>
      </c>
      <c r="L42" s="74">
        <f t="shared" si="2"/>
        <v>0</v>
      </c>
      <c r="M42" s="74">
        <f t="shared" si="5"/>
        <v>0</v>
      </c>
    </row>
    <row r="43" spans="1:13">
      <c r="A43" s="45"/>
      <c r="B43" s="46">
        <v>0</v>
      </c>
      <c r="C43" s="47">
        <v>0</v>
      </c>
      <c r="D43" s="81">
        <v>0</v>
      </c>
      <c r="E43" s="71">
        <f>IF(B43=0,0,'CALC. FORMAÇAO DE PREÇO'!$B$11/$B$46)</f>
        <v>0</v>
      </c>
      <c r="F43" s="71">
        <f>IF(B43=0,0,'CALC. FORMAÇAO DE PREÇO'!$B$12/$B$46)</f>
        <v>0</v>
      </c>
      <c r="G43" s="71">
        <f t="shared" si="0"/>
        <v>0</v>
      </c>
      <c r="H43" s="71">
        <f t="shared" si="3"/>
        <v>0</v>
      </c>
      <c r="I43" s="71">
        <f t="shared" si="1"/>
        <v>0</v>
      </c>
      <c r="J43" s="72">
        <f t="shared" si="4"/>
        <v>0</v>
      </c>
      <c r="K43" s="73">
        <f>('CALCULO PERC. CUSTO INDIRETO'!$I$13*J43)+J43</f>
        <v>0</v>
      </c>
      <c r="L43" s="74">
        <f t="shared" si="2"/>
        <v>0</v>
      </c>
      <c r="M43" s="74">
        <f t="shared" si="5"/>
        <v>0</v>
      </c>
    </row>
    <row r="44" spans="1:13">
      <c r="A44" s="45"/>
      <c r="B44" s="46">
        <v>0</v>
      </c>
      <c r="C44" s="47">
        <v>0</v>
      </c>
      <c r="D44" s="81">
        <v>0</v>
      </c>
      <c r="E44" s="71">
        <f>IF(B44=0,0,'CALC. FORMAÇAO DE PREÇO'!$B$11/$B$46)</f>
        <v>0</v>
      </c>
      <c r="F44" s="71">
        <f>IF(B44=0,0,'CALC. FORMAÇAO DE PREÇO'!$B$12/$B$46)</f>
        <v>0</v>
      </c>
      <c r="G44" s="71">
        <f t="shared" si="0"/>
        <v>0</v>
      </c>
      <c r="H44" s="71">
        <f t="shared" si="3"/>
        <v>0</v>
      </c>
      <c r="I44" s="71">
        <f t="shared" si="1"/>
        <v>0</v>
      </c>
      <c r="J44" s="72">
        <f t="shared" si="4"/>
        <v>0</v>
      </c>
      <c r="K44" s="73">
        <f>('CALCULO PERC. CUSTO INDIRETO'!$I$13*J44)+J44</f>
        <v>0</v>
      </c>
      <c r="L44" s="74">
        <f t="shared" si="2"/>
        <v>0</v>
      </c>
      <c r="M44" s="74">
        <f t="shared" si="5"/>
        <v>0</v>
      </c>
    </row>
    <row r="45" spans="1:13" ht="15.75" thickBot="1">
      <c r="A45" s="48"/>
      <c r="B45" s="49">
        <v>0</v>
      </c>
      <c r="C45" s="50">
        <v>0</v>
      </c>
      <c r="D45" s="81">
        <v>0</v>
      </c>
      <c r="E45" s="71">
        <f>IF(B45=0,0,'CALC. FORMAÇAO DE PREÇO'!$B$11/$B$46)</f>
        <v>0</v>
      </c>
      <c r="F45" s="71">
        <f>IF(B45=0,0,'CALC. FORMAÇAO DE PREÇO'!$B$12/$B$46)</f>
        <v>0</v>
      </c>
      <c r="G45" s="71">
        <f t="shared" si="0"/>
        <v>0</v>
      </c>
      <c r="H45" s="71">
        <f t="shared" si="3"/>
        <v>0</v>
      </c>
      <c r="I45" s="71">
        <f t="shared" si="1"/>
        <v>0</v>
      </c>
      <c r="J45" s="72">
        <f t="shared" si="4"/>
        <v>0</v>
      </c>
      <c r="K45" s="73">
        <f>('CALCULO PERC. CUSTO INDIRETO'!$I$13*J45)+J45</f>
        <v>0</v>
      </c>
      <c r="L45" s="74">
        <f t="shared" si="2"/>
        <v>0</v>
      </c>
      <c r="M45" s="74">
        <f t="shared" si="5"/>
        <v>0</v>
      </c>
    </row>
    <row r="46" spans="1:13" ht="15.75" thickBot="1">
      <c r="A46" s="76" t="s">
        <v>5</v>
      </c>
      <c r="B46" s="77">
        <f>SUM(B15:B45)</f>
        <v>93</v>
      </c>
      <c r="C46" s="78">
        <f>SUM(C15:C45)</f>
        <v>1537</v>
      </c>
      <c r="E46" s="79"/>
    </row>
    <row r="48" spans="1:13">
      <c r="B48" s="80"/>
    </row>
  </sheetData>
  <sheetProtection password="CB9A" sheet="1" objects="1" scenarios="1"/>
  <mergeCells count="2">
    <mergeCell ref="D10:F10"/>
    <mergeCell ref="D11:F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INSTRUÇOES</vt:lpstr>
      <vt:lpstr>CALCULO PERC. CUSTO INDIRETO</vt:lpstr>
      <vt:lpstr>CALC. FORMAÇAO DE PREÇO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2018-04-05T20:02:32Z</dcterms:modified>
</cp:coreProperties>
</file>