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ONTMATIC\"/>
    </mc:Choice>
  </mc:AlternateContent>
  <bookViews>
    <workbookView xWindow="120" yWindow="315" windowWidth="15600" windowHeight="7755"/>
  </bookViews>
  <sheets>
    <sheet name="Plan1" sheetId="1" r:id="rId1"/>
    <sheet name="Plan2" sheetId="2" r:id="rId2"/>
    <sheet name="Plan3" sheetId="3" r:id="rId3"/>
  </sheets>
  <calcPr calcId="152511"/>
</workbook>
</file>

<file path=xl/calcChain.xml><?xml version="1.0" encoding="utf-8"?>
<calcChain xmlns="http://schemas.openxmlformats.org/spreadsheetml/2006/main">
  <c r="C217" i="1" l="1"/>
  <c r="C208" i="1"/>
  <c r="D169" i="1"/>
  <c r="C136" i="1"/>
  <c r="C124" i="1"/>
  <c r="C125" i="1"/>
  <c r="C123" i="1"/>
  <c r="C113" i="1"/>
  <c r="C103" i="1"/>
  <c r="C73" i="1"/>
  <c r="C74" i="1" s="1"/>
  <c r="C40" i="1"/>
  <c r="C41" i="1" s="1"/>
  <c r="B45" i="1" s="1"/>
  <c r="C105" i="1" l="1"/>
  <c r="D42" i="1"/>
  <c r="B46" i="1" s="1"/>
  <c r="C114" i="1"/>
  <c r="C115" i="1" s="1"/>
  <c r="C104" i="1"/>
  <c r="C218" i="1"/>
  <c r="C209" i="1"/>
  <c r="C199" i="1"/>
  <c r="C200" i="1" s="1"/>
  <c r="B177" i="1"/>
  <c r="B173" i="1"/>
  <c r="B175" i="1" s="1"/>
  <c r="B176" i="1" s="1"/>
  <c r="B142" i="1"/>
  <c r="B144" i="1" s="1"/>
  <c r="C71" i="1"/>
  <c r="B48" i="1"/>
  <c r="C8" i="1"/>
  <c r="B12" i="1" s="1"/>
  <c r="B78" i="1" l="1"/>
  <c r="C72" i="1"/>
  <c r="B82" i="1" s="1"/>
  <c r="B13" i="1"/>
  <c r="D10" i="1" s="1"/>
  <c r="D9" i="1"/>
  <c r="B14" i="1"/>
  <c r="B15" i="1" s="1"/>
  <c r="B50" i="1"/>
  <c r="B16" i="1"/>
  <c r="B49" i="1"/>
  <c r="B140" i="1"/>
  <c r="B141" i="1" s="1"/>
  <c r="D170" i="1"/>
  <c r="B80" i="1" l="1"/>
  <c r="B81" i="1" s="1"/>
  <c r="D75" i="1"/>
  <c r="B174" i="1"/>
  <c r="D171" i="1" s="1"/>
  <c r="B178" i="1"/>
  <c r="B179" i="1" s="1"/>
  <c r="B51" i="1"/>
  <c r="B17" i="1"/>
  <c r="B18" i="1" s="1"/>
  <c r="B83" i="1" l="1"/>
  <c r="B84" i="1" s="1"/>
  <c r="B79" i="1"/>
  <c r="D76" i="1" s="1"/>
</calcChain>
</file>

<file path=xl/sharedStrings.xml><?xml version="1.0" encoding="utf-8"?>
<sst xmlns="http://schemas.openxmlformats.org/spreadsheetml/2006/main" count="167" uniqueCount="73">
  <si>
    <t>DESCRIÇÃO</t>
  </si>
  <si>
    <t>REFERÊNCIA</t>
  </si>
  <si>
    <t>FÉRIAS</t>
  </si>
  <si>
    <t>1/3 S/ FÉRIAS</t>
  </si>
  <si>
    <t>INSS</t>
  </si>
  <si>
    <t>IRRF</t>
  </si>
  <si>
    <t>BASE INSS EMPREGADO COM LIMITE</t>
  </si>
  <si>
    <t>BASE IRRF</t>
  </si>
  <si>
    <t>BASE FGTS</t>
  </si>
  <si>
    <t>VALOR FGTS</t>
  </si>
  <si>
    <t>T. VENCIMENTO</t>
  </si>
  <si>
    <t>T. DESCONTO</t>
  </si>
  <si>
    <t>LÍQUIDO A RECEBER</t>
  </si>
  <si>
    <t>FALTA NO PERÍODO AQUISITIVO 08 FALTAS</t>
  </si>
  <si>
    <t>TEM 02 DEPENDENTES PARA IRRF</t>
  </si>
  <si>
    <t>1/3 S FÉRIAS</t>
  </si>
  <si>
    <t>OPTOU PELO ABONO PECUNIÁRIO</t>
  </si>
  <si>
    <t>ABONO PECUNIÁRIO</t>
  </si>
  <si>
    <t>1/3 S ABONO PECUNIÁRIO</t>
  </si>
  <si>
    <t>CALCULE AS FÉRIAS PROPORCIONAIS DO EMPREGADO ABAIXO:</t>
  </si>
  <si>
    <t>SALÁRIO MENSAL  2.300,00</t>
  </si>
  <si>
    <t>VALOR</t>
  </si>
  <si>
    <t>FÉRIAS PROPORCIONAIS</t>
  </si>
  <si>
    <t>1/3 CONSTITUCIONAL</t>
  </si>
  <si>
    <t>TOTAL</t>
  </si>
  <si>
    <t>SALÁRIO MENSAL  1.250,00</t>
  </si>
  <si>
    <t>PRAZO ATÉ 30/11 DO ANO</t>
  </si>
  <si>
    <t>1ª PARCELA 13SAL</t>
  </si>
  <si>
    <t>BASE INSS</t>
  </si>
  <si>
    <t>RECEBEU ADIANTAMENTO DA 1º PARCELA DE R$ 1.750,00</t>
  </si>
  <si>
    <t>13º SALÁRIO</t>
  </si>
  <si>
    <t>ADIANT. 1ª PÁRC 13ºSAL</t>
  </si>
  <si>
    <t>QUITA NO ANO</t>
  </si>
  <si>
    <t>CALCULE  0 13º SALÁRIO PROPORCIONAL DO EMPREGADO ABAIXO:</t>
  </si>
  <si>
    <t>13º PROPORCIONAL</t>
  </si>
  <si>
    <t>CALCULE  O  13º PROPORCIONAL DO EMPREGADO ABAIXO:</t>
  </si>
  <si>
    <t>VENCIMENTOS</t>
  </si>
  <si>
    <t>DESCONTOS</t>
  </si>
  <si>
    <t xml:space="preserve">BASE INSS </t>
  </si>
  <si>
    <t>SALÁRIO MENSAL  1.040,00</t>
  </si>
  <si>
    <t>SALÁRIO MENSAL  1.100,00</t>
  </si>
  <si>
    <t>1/3</t>
  </si>
  <si>
    <t>7,5%</t>
  </si>
  <si>
    <t>10</t>
  </si>
  <si>
    <t>11%</t>
  </si>
  <si>
    <t>5/12</t>
  </si>
  <si>
    <t>7/12</t>
  </si>
  <si>
    <t>3/12</t>
  </si>
  <si>
    <t>ADMISSÃO: 10/10/2016</t>
  </si>
  <si>
    <t>12/12</t>
  </si>
  <si>
    <t>50%</t>
  </si>
  <si>
    <t>15%</t>
  </si>
  <si>
    <t>6/12</t>
  </si>
  <si>
    <t>2/12</t>
  </si>
  <si>
    <t>ADMISSÃO:    30/06/2017</t>
  </si>
  <si>
    <t>DEMISSÃO:     09/12/2017</t>
  </si>
  <si>
    <t>ADMISSÃO:    15/05/2017</t>
  </si>
  <si>
    <t>DEMISSÃO:     30/11/2017</t>
  </si>
  <si>
    <t>ADMISSÃO:    01/08/2017</t>
  </si>
  <si>
    <t>DEMISSÃO:     08/11/2017</t>
  </si>
  <si>
    <t>CALCULE AS FÉRIAS DO EMPREGADO ABAIXO, ADMISSÃO 15/07/2016, SALÁRIO R$ 1.000,00</t>
  </si>
  <si>
    <t>CALCULE AS FÉRIAS DO EMPREGADO ABAIXO, ADMISSÃO 20/08/2016, SALÁRIO R$ 4.000,00</t>
  </si>
  <si>
    <t>ADMISSÃO:    01/06/2018</t>
  </si>
  <si>
    <t>DEMISSÃO:     09/12/2018</t>
  </si>
  <si>
    <t>ADMISSÃO:    17/05/2018</t>
  </si>
  <si>
    <t>DEMISSÃO:     30/11/2018</t>
  </si>
  <si>
    <t>ADMISSÃO:    19/08/2018</t>
  </si>
  <si>
    <t>DEMISSÃO:     08/11/2018</t>
  </si>
  <si>
    <t>CALCULE A 1ª PARCELA DO 13º SALÁRIO DE 2018, SALÁRIO MENSAL DE R$ 3.500,00</t>
  </si>
  <si>
    <t>SALÁRIO MENSAL  954,00</t>
  </si>
  <si>
    <t xml:space="preserve">CALCULE O 13º SALÁRIO 2018, SALÁRIO MENSAL DE R$ 3.500,00 </t>
  </si>
  <si>
    <r>
      <rPr>
        <sz val="12"/>
        <color theme="1"/>
        <rFont val="Calibri"/>
        <family val="2"/>
        <scheme val="minor"/>
      </rPr>
      <t>SALÁRIO MENSAL DE R$ 2.000,00</t>
    </r>
    <r>
      <rPr>
        <b/>
        <sz val="12"/>
        <color theme="1"/>
        <rFont val="Calibri"/>
        <family val="2"/>
        <scheme val="minor"/>
      </rPr>
      <t xml:space="preserve"> </t>
    </r>
  </si>
  <si>
    <t xml:space="preserve">CALCULE AS FÉRIAS DO EMPREGADO ABAIXO, ADMISSÃO  10/06/2016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</si>
</sst>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/>
    <xf numFmtId="49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/>
    <xf numFmtId="9" fontId="1" fillId="0" borderId="1" xfId="0" applyNumberFormat="1" applyFont="1" applyBorder="1" applyAlignment="1">
      <alignment horizontal="center"/>
    </xf>
    <xf numFmtId="0" fontId="1" fillId="2" borderId="1" xfId="0" applyFont="1" applyFill="1" applyBorder="1"/>
    <xf numFmtId="4" fontId="1" fillId="0" borderId="1" xfId="0" applyNumberFormat="1" applyFont="1" applyBorder="1" applyAlignment="1">
      <alignment horizontal="right"/>
    </xf>
    <xf numFmtId="0" fontId="0" fillId="0" borderId="1" xfId="0" applyBorder="1"/>
    <xf numFmtId="2" fontId="0" fillId="0" borderId="1" xfId="0" applyNumberFormat="1" applyBorder="1"/>
    <xf numFmtId="0" fontId="1" fillId="0" borderId="0" xfId="0" applyFont="1" applyAlignment="1">
      <alignment wrapText="1"/>
    </xf>
    <xf numFmtId="0" fontId="0" fillId="0" borderId="0" xfId="0" applyBorder="1"/>
    <xf numFmtId="49" fontId="0" fillId="0" borderId="0" xfId="0" applyNumberFormat="1" applyBorder="1"/>
    <xf numFmtId="2" fontId="0" fillId="0" borderId="0" xfId="0" applyNumberFormat="1" applyBorder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Border="1"/>
    <xf numFmtId="4" fontId="1" fillId="0" borderId="0" xfId="0" applyNumberFormat="1" applyFont="1" applyBorder="1"/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8"/>
  <sheetViews>
    <sheetView showGridLines="0" tabSelected="1" topLeftCell="B1" workbookViewId="0">
      <selection activeCell="I69" sqref="I69"/>
    </sheetView>
  </sheetViews>
  <sheetFormatPr defaultRowHeight="15" x14ac:dyDescent="0.25"/>
  <cols>
    <col min="1" max="1" width="38.7109375" customWidth="1"/>
    <col min="2" max="2" width="12.5703125" customWidth="1"/>
    <col min="3" max="3" width="15.7109375" customWidth="1"/>
    <col min="4" max="4" width="14.5703125" customWidth="1"/>
  </cols>
  <sheetData>
    <row r="1" spans="1:7" ht="15.75" x14ac:dyDescent="0.25">
      <c r="A1" s="17" t="s">
        <v>72</v>
      </c>
      <c r="B1" s="13"/>
      <c r="C1" s="13"/>
      <c r="D1" s="13"/>
      <c r="E1" s="13"/>
      <c r="F1" s="13"/>
      <c r="G1" s="1"/>
    </row>
    <row r="2" spans="1:7" ht="15.75" x14ac:dyDescent="0.25">
      <c r="A2" s="18" t="s">
        <v>71</v>
      </c>
      <c r="B2" s="13"/>
      <c r="C2" s="13"/>
      <c r="D2" s="13"/>
      <c r="E2" s="13"/>
      <c r="F2" s="13"/>
      <c r="G2" s="1"/>
    </row>
    <row r="3" spans="1:7" ht="15.75" x14ac:dyDescent="0.25">
      <c r="A3" s="1"/>
      <c r="B3" s="1"/>
      <c r="C3" s="1"/>
      <c r="D3" s="1"/>
      <c r="E3" s="1"/>
      <c r="F3" s="1"/>
      <c r="G3" s="1"/>
    </row>
    <row r="4" spans="1:7" ht="15.75" x14ac:dyDescent="0.25">
      <c r="A4" s="2"/>
      <c r="B4" s="1"/>
      <c r="C4" s="1"/>
      <c r="D4" s="1"/>
      <c r="E4" s="1"/>
      <c r="F4" s="1"/>
      <c r="G4" s="1"/>
    </row>
    <row r="5" spans="1:7" ht="15.75" x14ac:dyDescent="0.25">
      <c r="A5" s="1"/>
      <c r="B5" s="1"/>
      <c r="C5" s="1"/>
      <c r="D5" s="1"/>
      <c r="E5" s="1"/>
      <c r="F5" s="1"/>
      <c r="G5" s="1"/>
    </row>
    <row r="6" spans="1:7" ht="15.75" x14ac:dyDescent="0.25">
      <c r="A6" s="3" t="s">
        <v>0</v>
      </c>
      <c r="B6" s="3" t="s">
        <v>1</v>
      </c>
      <c r="C6" s="3" t="s">
        <v>36</v>
      </c>
      <c r="D6" s="3" t="s">
        <v>37</v>
      </c>
      <c r="E6" s="1"/>
      <c r="F6" s="1"/>
      <c r="G6" s="1"/>
    </row>
    <row r="7" spans="1:7" ht="15.75" x14ac:dyDescent="0.25">
      <c r="A7" s="3" t="s">
        <v>2</v>
      </c>
      <c r="B7" s="4">
        <v>30</v>
      </c>
      <c r="C7" s="5">
        <v>2000</v>
      </c>
      <c r="D7" s="3"/>
      <c r="E7" s="1"/>
      <c r="F7" s="1"/>
      <c r="G7" s="1"/>
    </row>
    <row r="8" spans="1:7" ht="15.75" x14ac:dyDescent="0.25">
      <c r="A8" s="3" t="s">
        <v>3</v>
      </c>
      <c r="B8" s="6" t="s">
        <v>41</v>
      </c>
      <c r="C8" s="5">
        <f>+C7/3</f>
        <v>666.66666666666663</v>
      </c>
      <c r="D8" s="5"/>
      <c r="E8" s="1"/>
      <c r="F8" s="1"/>
      <c r="G8" s="1"/>
    </row>
    <row r="9" spans="1:7" ht="15.75" x14ac:dyDescent="0.25">
      <c r="A9" s="3" t="s">
        <v>4</v>
      </c>
      <c r="B9" s="8">
        <v>0.09</v>
      </c>
      <c r="C9" s="5"/>
      <c r="D9" s="5">
        <f>+B12*B9</f>
        <v>239.99999999999997</v>
      </c>
      <c r="E9" s="1"/>
      <c r="F9" s="1"/>
      <c r="G9" s="1"/>
    </row>
    <row r="10" spans="1:7" ht="15.75" x14ac:dyDescent="0.25">
      <c r="A10" s="3" t="s">
        <v>5</v>
      </c>
      <c r="B10" s="6" t="s">
        <v>42</v>
      </c>
      <c r="C10" s="5"/>
      <c r="D10" s="5">
        <f>+B13*B10-142.8</f>
        <v>39.19999999999996</v>
      </c>
      <c r="E10" s="1"/>
      <c r="F10" s="1"/>
      <c r="G10" s="1"/>
    </row>
    <row r="11" spans="1:7" ht="15.75" x14ac:dyDescent="0.25">
      <c r="A11" s="9"/>
      <c r="B11" s="9"/>
      <c r="C11" s="9"/>
      <c r="D11" s="9"/>
      <c r="E11" s="1"/>
      <c r="F11" s="1"/>
      <c r="G11" s="1"/>
    </row>
    <row r="12" spans="1:7" ht="15.75" x14ac:dyDescent="0.25">
      <c r="A12" s="3" t="s">
        <v>38</v>
      </c>
      <c r="B12" s="5">
        <f>+C7+C8</f>
        <v>2666.6666666666665</v>
      </c>
      <c r="C12" s="3"/>
      <c r="D12" s="3"/>
      <c r="E12" s="1"/>
      <c r="F12" s="1"/>
      <c r="G12" s="1"/>
    </row>
    <row r="13" spans="1:7" ht="15.75" x14ac:dyDescent="0.25">
      <c r="A13" s="3" t="s">
        <v>7</v>
      </c>
      <c r="B13" s="5">
        <f>+B12-D9</f>
        <v>2426.6666666666665</v>
      </c>
      <c r="C13" s="3"/>
      <c r="D13" s="3"/>
      <c r="E13" s="1"/>
      <c r="F13" s="1"/>
      <c r="G13" s="1"/>
    </row>
    <row r="14" spans="1:7" ht="15.75" x14ac:dyDescent="0.25">
      <c r="A14" s="3" t="s">
        <v>8</v>
      </c>
      <c r="B14" s="5">
        <f>+B12</f>
        <v>2666.6666666666665</v>
      </c>
      <c r="C14" s="3"/>
      <c r="D14" s="3"/>
      <c r="E14" s="1"/>
      <c r="F14" s="1"/>
      <c r="G14" s="1"/>
    </row>
    <row r="15" spans="1:7" ht="15.75" x14ac:dyDescent="0.25">
      <c r="A15" s="3" t="s">
        <v>9</v>
      </c>
      <c r="B15" s="5">
        <f>+B14*8%</f>
        <v>213.33333333333331</v>
      </c>
      <c r="C15" s="3"/>
      <c r="D15" s="3"/>
      <c r="E15" s="1"/>
      <c r="F15" s="1"/>
      <c r="G15" s="1"/>
    </row>
    <row r="16" spans="1:7" ht="15.75" x14ac:dyDescent="0.25">
      <c r="A16" s="3" t="s">
        <v>10</v>
      </c>
      <c r="B16" s="5">
        <f>+C7+C8</f>
        <v>2666.6666666666665</v>
      </c>
      <c r="C16" s="7"/>
      <c r="D16" s="3"/>
      <c r="E16" s="1"/>
      <c r="F16" s="1"/>
      <c r="G16" s="1"/>
    </row>
    <row r="17" spans="1:7" ht="15.75" x14ac:dyDescent="0.25">
      <c r="A17" s="3" t="s">
        <v>11</v>
      </c>
      <c r="B17" s="5">
        <f>+D9+D10</f>
        <v>279.19999999999993</v>
      </c>
      <c r="C17" s="3"/>
      <c r="D17" s="3"/>
      <c r="E17" s="1"/>
      <c r="F17" s="1"/>
      <c r="G17" s="1"/>
    </row>
    <row r="18" spans="1:7" ht="15.75" x14ac:dyDescent="0.25">
      <c r="A18" s="3" t="s">
        <v>12</v>
      </c>
      <c r="B18" s="5">
        <f>+B16-B17</f>
        <v>2387.4666666666667</v>
      </c>
      <c r="C18" s="3"/>
      <c r="D18" s="3"/>
      <c r="E18" s="1"/>
      <c r="F18" s="1"/>
      <c r="G18" s="1"/>
    </row>
    <row r="34" spans="1:7" ht="15.75" x14ac:dyDescent="0.25">
      <c r="A34" s="1" t="s">
        <v>60</v>
      </c>
      <c r="B34" s="1"/>
      <c r="C34" s="1"/>
      <c r="D34" s="1"/>
      <c r="E34" s="1"/>
      <c r="F34" s="1"/>
      <c r="G34" s="1"/>
    </row>
    <row r="35" spans="1:7" ht="15.75" x14ac:dyDescent="0.25">
      <c r="A35" s="1" t="s">
        <v>13</v>
      </c>
      <c r="B35" s="1"/>
      <c r="C35" s="1"/>
      <c r="D35" s="1"/>
      <c r="E35" s="1"/>
      <c r="F35" s="1"/>
      <c r="G35" s="1"/>
    </row>
    <row r="36" spans="1:7" ht="15.75" x14ac:dyDescent="0.25">
      <c r="A36" s="2" t="s">
        <v>14</v>
      </c>
      <c r="B36" s="1"/>
      <c r="C36" s="1"/>
      <c r="D36" s="1"/>
      <c r="E36" s="1"/>
      <c r="F36" s="1"/>
      <c r="G36" s="1"/>
    </row>
    <row r="37" spans="1:7" ht="15.75" x14ac:dyDescent="0.25">
      <c r="A37" s="2"/>
      <c r="B37" s="1"/>
      <c r="C37" s="1"/>
      <c r="D37" s="1"/>
      <c r="E37" s="1"/>
      <c r="F37" s="1"/>
      <c r="G37" s="1"/>
    </row>
    <row r="38" spans="1:7" ht="15.75" x14ac:dyDescent="0.25">
      <c r="A38" s="1"/>
      <c r="B38" s="1"/>
      <c r="C38" s="1"/>
      <c r="D38" s="1"/>
      <c r="E38" s="1"/>
      <c r="F38" s="1"/>
      <c r="G38" s="1"/>
    </row>
    <row r="39" spans="1:7" ht="15.75" x14ac:dyDescent="0.25">
      <c r="A39" s="3" t="s">
        <v>0</v>
      </c>
      <c r="B39" s="3" t="s">
        <v>1</v>
      </c>
      <c r="C39" s="3" t="s">
        <v>36</v>
      </c>
      <c r="D39" s="3" t="s">
        <v>37</v>
      </c>
      <c r="E39" s="1"/>
      <c r="F39" s="1"/>
      <c r="G39" s="1"/>
    </row>
    <row r="40" spans="1:7" ht="15.75" x14ac:dyDescent="0.25">
      <c r="A40" s="3" t="s">
        <v>2</v>
      </c>
      <c r="B40" s="4">
        <v>24</v>
      </c>
      <c r="C40" s="5">
        <f>1000/30*24</f>
        <v>800</v>
      </c>
      <c r="D40" s="3"/>
      <c r="E40" s="1"/>
      <c r="F40" s="1"/>
      <c r="G40" s="1"/>
    </row>
    <row r="41" spans="1:7" ht="15.75" x14ac:dyDescent="0.25">
      <c r="A41" s="3" t="s">
        <v>15</v>
      </c>
      <c r="B41" s="6" t="s">
        <v>41</v>
      </c>
      <c r="C41" s="7">
        <f>+C40/3</f>
        <v>266.66666666666669</v>
      </c>
      <c r="D41" s="3"/>
      <c r="E41" s="1"/>
      <c r="F41" s="1"/>
      <c r="G41" s="1"/>
    </row>
    <row r="42" spans="1:7" ht="15.75" x14ac:dyDescent="0.25">
      <c r="A42" s="3" t="s">
        <v>4</v>
      </c>
      <c r="B42" s="8">
        <v>0.08</v>
      </c>
      <c r="C42" s="7"/>
      <c r="D42" s="7">
        <f>+B45*B42</f>
        <v>85.333333333333343</v>
      </c>
      <c r="E42" s="1"/>
      <c r="F42" s="1"/>
      <c r="G42" s="1"/>
    </row>
    <row r="43" spans="1:7" ht="15.75" x14ac:dyDescent="0.25">
      <c r="A43" s="3" t="s">
        <v>5</v>
      </c>
      <c r="B43" s="8"/>
      <c r="C43" s="7"/>
      <c r="D43" s="3"/>
      <c r="E43" s="1"/>
      <c r="F43" s="1"/>
      <c r="G43" s="1"/>
    </row>
    <row r="44" spans="1:7" ht="15.75" x14ac:dyDescent="0.25">
      <c r="A44" s="9"/>
      <c r="B44" s="9"/>
      <c r="C44" s="9"/>
      <c r="D44" s="9"/>
      <c r="E44" s="1"/>
      <c r="F44" s="1"/>
      <c r="G44" s="1"/>
    </row>
    <row r="45" spans="1:7" ht="15.75" x14ac:dyDescent="0.25">
      <c r="A45" s="3" t="s">
        <v>38</v>
      </c>
      <c r="B45" s="7">
        <f>+C40+C41</f>
        <v>1066.6666666666667</v>
      </c>
      <c r="C45" s="10"/>
      <c r="D45" s="3"/>
      <c r="E45" s="1"/>
      <c r="F45" s="1"/>
      <c r="G45" s="1"/>
    </row>
    <row r="46" spans="1:7" ht="15.75" x14ac:dyDescent="0.25">
      <c r="A46" s="3" t="s">
        <v>7</v>
      </c>
      <c r="B46" s="7">
        <f>+B45-D42-379.18</f>
        <v>602.15333333333342</v>
      </c>
      <c r="C46" s="7"/>
      <c r="D46" s="3"/>
      <c r="E46" s="1"/>
      <c r="F46" s="1"/>
      <c r="G46" s="1"/>
    </row>
    <row r="47" spans="1:7" ht="15.75" x14ac:dyDescent="0.25">
      <c r="A47" s="3" t="s">
        <v>8</v>
      </c>
      <c r="B47" s="3">
        <v>1066.67</v>
      </c>
      <c r="C47" s="3"/>
      <c r="D47" s="3"/>
      <c r="E47" s="1"/>
      <c r="F47" s="1"/>
      <c r="G47" s="1"/>
    </row>
    <row r="48" spans="1:7" ht="15.75" x14ac:dyDescent="0.25">
      <c r="A48" s="3" t="s">
        <v>9</v>
      </c>
      <c r="B48" s="7">
        <f>+B47*8%</f>
        <v>85.333600000000004</v>
      </c>
      <c r="C48" s="7"/>
      <c r="D48" s="3"/>
      <c r="E48" s="1"/>
      <c r="F48" s="1"/>
      <c r="G48" s="1"/>
    </row>
    <row r="49" spans="1:7" ht="15.75" x14ac:dyDescent="0.25">
      <c r="A49" s="3" t="s">
        <v>10</v>
      </c>
      <c r="B49" s="7">
        <f>+C40+C41</f>
        <v>1066.6666666666667</v>
      </c>
      <c r="C49" s="7"/>
      <c r="D49" s="3"/>
      <c r="E49" s="1"/>
      <c r="F49" s="1"/>
      <c r="G49" s="1"/>
    </row>
    <row r="50" spans="1:7" ht="15.75" x14ac:dyDescent="0.25">
      <c r="A50" s="3" t="s">
        <v>11</v>
      </c>
      <c r="B50" s="7">
        <f>+D42</f>
        <v>85.333333333333343</v>
      </c>
      <c r="C50" s="7"/>
      <c r="D50" s="3"/>
      <c r="E50" s="1"/>
      <c r="F50" s="1"/>
      <c r="G50" s="1"/>
    </row>
    <row r="51" spans="1:7" ht="15.75" x14ac:dyDescent="0.25">
      <c r="A51" s="3" t="s">
        <v>12</v>
      </c>
      <c r="B51" s="7">
        <f>+B49-B50</f>
        <v>981.33333333333337</v>
      </c>
      <c r="C51" s="3"/>
      <c r="D51" s="3"/>
      <c r="E51" s="1"/>
      <c r="F51" s="1"/>
      <c r="G51" s="1"/>
    </row>
    <row r="66" spans="1:7" ht="15.75" x14ac:dyDescent="0.25">
      <c r="A66" s="1" t="s">
        <v>61</v>
      </c>
      <c r="B66" s="1"/>
      <c r="C66" s="1"/>
      <c r="D66" s="1"/>
      <c r="E66" s="1"/>
      <c r="F66" s="1"/>
      <c r="G66" s="1"/>
    </row>
    <row r="67" spans="1:7" ht="15.75" x14ac:dyDescent="0.25">
      <c r="A67" s="1" t="s">
        <v>16</v>
      </c>
      <c r="B67" s="1"/>
      <c r="C67" s="1"/>
      <c r="D67" s="1"/>
      <c r="E67" s="1"/>
      <c r="F67" s="1"/>
      <c r="G67" s="1"/>
    </row>
    <row r="68" spans="1:7" ht="15.75" x14ac:dyDescent="0.25">
      <c r="A68" s="2" t="s">
        <v>14</v>
      </c>
      <c r="B68" s="1"/>
      <c r="C68" s="1"/>
      <c r="D68" s="1"/>
      <c r="E68" s="1"/>
      <c r="F68" s="1"/>
      <c r="G68" s="1"/>
    </row>
    <row r="69" spans="1:7" ht="15.75" x14ac:dyDescent="0.25">
      <c r="A69" s="2"/>
      <c r="B69" s="1"/>
      <c r="C69" s="1"/>
      <c r="D69" s="1"/>
      <c r="E69" s="1"/>
      <c r="F69" s="1"/>
      <c r="G69" s="1"/>
    </row>
    <row r="70" spans="1:7" ht="15.75" x14ac:dyDescent="0.25">
      <c r="A70" s="3" t="s">
        <v>0</v>
      </c>
      <c r="B70" s="3" t="s">
        <v>1</v>
      </c>
      <c r="C70" s="3" t="s">
        <v>36</v>
      </c>
      <c r="D70" s="3" t="s">
        <v>37</v>
      </c>
      <c r="E70" s="1"/>
      <c r="F70" s="1"/>
      <c r="G70" s="1"/>
    </row>
    <row r="71" spans="1:7" ht="15.75" x14ac:dyDescent="0.25">
      <c r="A71" s="3" t="s">
        <v>2</v>
      </c>
      <c r="B71" s="4">
        <v>20</v>
      </c>
      <c r="C71" s="5">
        <f>4000/30*20</f>
        <v>2666.666666666667</v>
      </c>
      <c r="D71" s="3"/>
      <c r="E71" s="1"/>
      <c r="F71" s="1"/>
      <c r="G71" s="1"/>
    </row>
    <row r="72" spans="1:7" ht="15.75" x14ac:dyDescent="0.25">
      <c r="A72" s="3" t="s">
        <v>15</v>
      </c>
      <c r="B72" s="6" t="s">
        <v>41</v>
      </c>
      <c r="C72" s="7">
        <f>+C71/3</f>
        <v>888.88888888888903</v>
      </c>
      <c r="D72" s="3"/>
      <c r="E72" s="1"/>
      <c r="F72" s="1"/>
      <c r="G72" s="1"/>
    </row>
    <row r="73" spans="1:7" ht="15.75" x14ac:dyDescent="0.25">
      <c r="A73" s="3" t="s">
        <v>17</v>
      </c>
      <c r="B73" s="6" t="s">
        <v>43</v>
      </c>
      <c r="C73" s="7">
        <f>4000/30*10</f>
        <v>1333.3333333333335</v>
      </c>
      <c r="D73" s="3"/>
      <c r="E73" s="1"/>
      <c r="F73" s="1"/>
      <c r="G73" s="1"/>
    </row>
    <row r="74" spans="1:7" ht="15.75" x14ac:dyDescent="0.25">
      <c r="A74" s="3" t="s">
        <v>18</v>
      </c>
      <c r="B74" s="6" t="s">
        <v>41</v>
      </c>
      <c r="C74" s="7">
        <f>+C73/3</f>
        <v>444.44444444444451</v>
      </c>
      <c r="D74" s="3"/>
      <c r="E74" s="1"/>
      <c r="F74" s="1"/>
      <c r="G74" s="1"/>
    </row>
    <row r="75" spans="1:7" ht="15.75" x14ac:dyDescent="0.25">
      <c r="A75" s="3" t="s">
        <v>4</v>
      </c>
      <c r="B75" s="6" t="s">
        <v>44</v>
      </c>
      <c r="C75" s="7"/>
      <c r="D75" s="7">
        <f>+B78*B75</f>
        <v>391.1111111111112</v>
      </c>
      <c r="E75" s="1"/>
      <c r="F75" s="1"/>
      <c r="G75" s="1"/>
    </row>
    <row r="76" spans="1:7" ht="15.75" x14ac:dyDescent="0.25">
      <c r="A76" s="3" t="s">
        <v>5</v>
      </c>
      <c r="B76" s="6" t="s">
        <v>42</v>
      </c>
      <c r="C76" s="7"/>
      <c r="D76" s="7">
        <f>+B79*B76-142.8</f>
        <v>66.094833333333355</v>
      </c>
      <c r="E76" s="1"/>
      <c r="F76" s="1"/>
      <c r="G76" s="1"/>
    </row>
    <row r="77" spans="1:7" ht="15.75" x14ac:dyDescent="0.25">
      <c r="A77" s="9"/>
      <c r="B77" s="9"/>
      <c r="C77" s="9"/>
      <c r="D77" s="9"/>
      <c r="E77" s="1"/>
      <c r="F77" s="1"/>
      <c r="G77" s="1"/>
    </row>
    <row r="78" spans="1:7" ht="15.75" x14ac:dyDescent="0.25">
      <c r="A78" s="3" t="s">
        <v>6</v>
      </c>
      <c r="B78" s="5">
        <f>+C71+C72</f>
        <v>3555.5555555555561</v>
      </c>
      <c r="C78" s="10"/>
      <c r="D78" s="3"/>
      <c r="E78" s="1"/>
      <c r="F78" s="1"/>
      <c r="G78" s="1"/>
    </row>
    <row r="79" spans="1:7" ht="15.75" x14ac:dyDescent="0.25">
      <c r="A79" s="3" t="s">
        <v>7</v>
      </c>
      <c r="B79" s="5">
        <f>+B78-D75-379.18</f>
        <v>2785.264444444445</v>
      </c>
      <c r="C79" s="7"/>
      <c r="D79" s="3"/>
      <c r="E79" s="1"/>
      <c r="F79" s="1"/>
      <c r="G79" s="1"/>
    </row>
    <row r="80" spans="1:7" ht="15.75" x14ac:dyDescent="0.25">
      <c r="A80" s="3" t="s">
        <v>8</v>
      </c>
      <c r="B80" s="5">
        <f>+B78</f>
        <v>3555.5555555555561</v>
      </c>
      <c r="C80" s="3"/>
      <c r="D80" s="3"/>
      <c r="E80" s="1"/>
      <c r="F80" s="1"/>
      <c r="G80" s="1"/>
    </row>
    <row r="81" spans="1:7" ht="15.75" x14ac:dyDescent="0.25">
      <c r="A81" s="3" t="s">
        <v>9</v>
      </c>
      <c r="B81" s="5">
        <f>+B80*8%</f>
        <v>284.44444444444451</v>
      </c>
      <c r="C81" s="7"/>
      <c r="D81" s="3"/>
      <c r="E81" s="1"/>
      <c r="F81" s="1"/>
      <c r="G81" s="1"/>
    </row>
    <row r="82" spans="1:7" ht="15.75" x14ac:dyDescent="0.25">
      <c r="A82" s="3" t="s">
        <v>10</v>
      </c>
      <c r="B82" s="5">
        <f>+C71+C72+C73+C74</f>
        <v>5333.3333333333339</v>
      </c>
      <c r="C82" s="7"/>
      <c r="D82" s="3"/>
      <c r="E82" s="1"/>
      <c r="F82" s="1"/>
      <c r="G82" s="1"/>
    </row>
    <row r="83" spans="1:7" ht="15.75" x14ac:dyDescent="0.25">
      <c r="A83" s="3" t="s">
        <v>11</v>
      </c>
      <c r="B83" s="5">
        <f>+D75+D76</f>
        <v>457.20594444444453</v>
      </c>
      <c r="C83" s="7"/>
      <c r="D83" s="3"/>
      <c r="E83" s="1"/>
      <c r="F83" s="1"/>
      <c r="G83" s="1"/>
    </row>
    <row r="84" spans="1:7" ht="15.75" x14ac:dyDescent="0.25">
      <c r="A84" s="3" t="s">
        <v>12</v>
      </c>
      <c r="B84" s="5">
        <f>+B82-B83</f>
        <v>4876.1273888888891</v>
      </c>
      <c r="C84" s="3"/>
      <c r="D84" s="3"/>
      <c r="E84" s="1"/>
      <c r="F84" s="1"/>
      <c r="G84" s="1"/>
    </row>
    <row r="85" spans="1:7" ht="15.75" x14ac:dyDescent="0.25">
      <c r="A85" s="19"/>
      <c r="B85" s="20"/>
      <c r="C85" s="19"/>
      <c r="D85" s="19"/>
      <c r="E85" s="1"/>
      <c r="F85" s="1"/>
      <c r="G85" s="1"/>
    </row>
    <row r="86" spans="1:7" ht="15.75" x14ac:dyDescent="0.25">
      <c r="A86" s="19"/>
      <c r="B86" s="20"/>
      <c r="C86" s="19"/>
      <c r="D86" s="19"/>
      <c r="E86" s="1"/>
      <c r="F86" s="1"/>
      <c r="G86" s="1"/>
    </row>
    <row r="87" spans="1:7" ht="15.75" x14ac:dyDescent="0.25">
      <c r="A87" s="19"/>
      <c r="B87" s="20"/>
      <c r="C87" s="19"/>
      <c r="D87" s="19"/>
      <c r="E87" s="1"/>
      <c r="F87" s="1"/>
      <c r="G87" s="1"/>
    </row>
    <row r="88" spans="1:7" ht="15.75" x14ac:dyDescent="0.25">
      <c r="A88" s="19"/>
      <c r="B88" s="20"/>
      <c r="C88" s="19"/>
      <c r="D88" s="19"/>
      <c r="E88" s="1"/>
      <c r="F88" s="1"/>
      <c r="G88" s="1"/>
    </row>
    <row r="89" spans="1:7" ht="15.75" x14ac:dyDescent="0.25">
      <c r="A89" s="19"/>
      <c r="B89" s="20"/>
      <c r="C89" s="19"/>
      <c r="D89" s="19"/>
      <c r="E89" s="1"/>
      <c r="F89" s="1"/>
      <c r="G89" s="1"/>
    </row>
    <row r="90" spans="1:7" ht="15.75" x14ac:dyDescent="0.25">
      <c r="A90" s="19"/>
      <c r="B90" s="20"/>
      <c r="C90" s="19"/>
      <c r="D90" s="19"/>
      <c r="E90" s="1"/>
      <c r="F90" s="1"/>
      <c r="G90" s="1"/>
    </row>
    <row r="91" spans="1:7" ht="15.75" x14ac:dyDescent="0.25">
      <c r="A91" s="19"/>
      <c r="B91" s="20"/>
      <c r="C91" s="19"/>
      <c r="D91" s="19"/>
      <c r="E91" s="1"/>
      <c r="F91" s="1"/>
      <c r="G91" s="1"/>
    </row>
    <row r="92" spans="1:7" ht="15.75" x14ac:dyDescent="0.25">
      <c r="A92" s="19"/>
      <c r="B92" s="20"/>
      <c r="C92" s="19"/>
      <c r="D92" s="19"/>
      <c r="E92" s="1"/>
      <c r="F92" s="1"/>
      <c r="G92" s="1"/>
    </row>
    <row r="93" spans="1:7" ht="15.75" x14ac:dyDescent="0.25">
      <c r="A93" s="19"/>
      <c r="B93" s="20"/>
      <c r="C93" s="19"/>
      <c r="D93" s="19"/>
      <c r="E93" s="1"/>
      <c r="F93" s="1"/>
      <c r="G93" s="1"/>
    </row>
    <row r="94" spans="1:7" ht="15.75" x14ac:dyDescent="0.25">
      <c r="A94" s="19"/>
      <c r="B94" s="20"/>
      <c r="C94" s="19"/>
      <c r="D94" s="19"/>
      <c r="E94" s="1"/>
      <c r="F94" s="1"/>
      <c r="G94" s="1"/>
    </row>
    <row r="95" spans="1:7" ht="15.75" x14ac:dyDescent="0.25">
      <c r="A95" s="19"/>
      <c r="B95" s="20"/>
      <c r="C95" s="19"/>
      <c r="D95" s="19"/>
      <c r="E95" s="1"/>
      <c r="F95" s="1"/>
      <c r="G95" s="1"/>
    </row>
    <row r="97" spans="1:3" x14ac:dyDescent="0.25">
      <c r="A97" t="s">
        <v>19</v>
      </c>
    </row>
    <row r="98" spans="1:3" x14ac:dyDescent="0.25">
      <c r="A98" t="s">
        <v>20</v>
      </c>
    </row>
    <row r="99" spans="1:3" x14ac:dyDescent="0.25">
      <c r="A99" t="s">
        <v>54</v>
      </c>
    </row>
    <row r="100" spans="1:3" x14ac:dyDescent="0.25">
      <c r="A100" t="s">
        <v>55</v>
      </c>
    </row>
    <row r="102" spans="1:3" x14ac:dyDescent="0.25">
      <c r="A102" s="11" t="s">
        <v>0</v>
      </c>
      <c r="B102" s="11" t="s">
        <v>1</v>
      </c>
      <c r="C102" s="11" t="s">
        <v>21</v>
      </c>
    </row>
    <row r="103" spans="1:3" x14ac:dyDescent="0.25">
      <c r="A103" s="11" t="s">
        <v>22</v>
      </c>
      <c r="B103" s="21" t="s">
        <v>45</v>
      </c>
      <c r="C103" s="12">
        <f>2300/12*5</f>
        <v>958.33333333333326</v>
      </c>
    </row>
    <row r="104" spans="1:3" x14ac:dyDescent="0.25">
      <c r="A104" s="11" t="s">
        <v>23</v>
      </c>
      <c r="B104" s="21" t="s">
        <v>41</v>
      </c>
      <c r="C104" s="12">
        <f>+C103/3</f>
        <v>319.4444444444444</v>
      </c>
    </row>
    <row r="105" spans="1:3" x14ac:dyDescent="0.25">
      <c r="A105" s="11" t="s">
        <v>24</v>
      </c>
      <c r="B105" s="21"/>
      <c r="C105" s="12">
        <f>+C103+C104</f>
        <v>1277.7777777777776</v>
      </c>
    </row>
    <row r="106" spans="1:3" x14ac:dyDescent="0.25">
      <c r="A106" s="14"/>
      <c r="B106" s="15"/>
      <c r="C106" s="16"/>
    </row>
    <row r="107" spans="1:3" x14ac:dyDescent="0.25">
      <c r="A107" t="s">
        <v>19</v>
      </c>
    </row>
    <row r="108" spans="1:3" x14ac:dyDescent="0.25">
      <c r="A108" t="s">
        <v>39</v>
      </c>
    </row>
    <row r="109" spans="1:3" x14ac:dyDescent="0.25">
      <c r="A109" t="s">
        <v>56</v>
      </c>
    </row>
    <row r="110" spans="1:3" x14ac:dyDescent="0.25">
      <c r="A110" t="s">
        <v>57</v>
      </c>
    </row>
    <row r="112" spans="1:3" x14ac:dyDescent="0.25">
      <c r="A112" s="11" t="s">
        <v>0</v>
      </c>
      <c r="B112" s="11" t="s">
        <v>1</v>
      </c>
      <c r="C112" s="11" t="s">
        <v>21</v>
      </c>
    </row>
    <row r="113" spans="1:3" x14ac:dyDescent="0.25">
      <c r="A113" s="11" t="s">
        <v>22</v>
      </c>
      <c r="B113" s="21" t="s">
        <v>46</v>
      </c>
      <c r="C113" s="12">
        <f>1040/12*7</f>
        <v>606.66666666666674</v>
      </c>
    </row>
    <row r="114" spans="1:3" x14ac:dyDescent="0.25">
      <c r="A114" s="11" t="s">
        <v>23</v>
      </c>
      <c r="B114" s="21" t="s">
        <v>41</v>
      </c>
      <c r="C114" s="12">
        <f>+C113/3</f>
        <v>202.22222222222226</v>
      </c>
    </row>
    <row r="115" spans="1:3" x14ac:dyDescent="0.25">
      <c r="A115" s="11" t="s">
        <v>24</v>
      </c>
      <c r="B115" s="21"/>
      <c r="C115" s="12">
        <f>+C113+C114</f>
        <v>808.88888888888903</v>
      </c>
    </row>
    <row r="117" spans="1:3" x14ac:dyDescent="0.25">
      <c r="A117" t="s">
        <v>19</v>
      </c>
    </row>
    <row r="118" spans="1:3" x14ac:dyDescent="0.25">
      <c r="A118" t="s">
        <v>25</v>
      </c>
    </row>
    <row r="119" spans="1:3" x14ac:dyDescent="0.25">
      <c r="A119" t="s">
        <v>58</v>
      </c>
    </row>
    <row r="120" spans="1:3" x14ac:dyDescent="0.25">
      <c r="A120" t="s">
        <v>59</v>
      </c>
    </row>
    <row r="122" spans="1:3" x14ac:dyDescent="0.25">
      <c r="A122" s="11" t="s">
        <v>0</v>
      </c>
      <c r="B122" s="11" t="s">
        <v>1</v>
      </c>
      <c r="C122" s="11" t="s">
        <v>21</v>
      </c>
    </row>
    <row r="123" spans="1:3" x14ac:dyDescent="0.25">
      <c r="A123" s="11" t="s">
        <v>22</v>
      </c>
      <c r="B123" s="21" t="s">
        <v>47</v>
      </c>
      <c r="C123" s="12">
        <f>1250/12*3</f>
        <v>312.5</v>
      </c>
    </row>
    <row r="124" spans="1:3" x14ac:dyDescent="0.25">
      <c r="A124" s="11" t="s">
        <v>23</v>
      </c>
      <c r="B124" s="21" t="s">
        <v>41</v>
      </c>
      <c r="C124" s="12">
        <f>+C123/3</f>
        <v>104.16666666666667</v>
      </c>
    </row>
    <row r="125" spans="1:3" x14ac:dyDescent="0.25">
      <c r="A125" s="11" t="s">
        <v>24</v>
      </c>
      <c r="B125" s="21"/>
      <c r="C125" s="12">
        <f>+C123+C124</f>
        <v>416.66666666666669</v>
      </c>
    </row>
    <row r="126" spans="1:3" x14ac:dyDescent="0.25">
      <c r="A126" s="14"/>
      <c r="B126" s="15"/>
      <c r="C126" s="16"/>
    </row>
    <row r="127" spans="1:3" x14ac:dyDescent="0.25">
      <c r="A127" s="14"/>
      <c r="B127" s="15"/>
      <c r="C127" s="16"/>
    </row>
    <row r="128" spans="1:3" x14ac:dyDescent="0.25">
      <c r="A128" s="14"/>
      <c r="B128" s="15"/>
      <c r="C128" s="16"/>
    </row>
    <row r="129" spans="1:7" x14ac:dyDescent="0.25">
      <c r="A129" s="14"/>
      <c r="B129" s="15"/>
      <c r="C129" s="16"/>
    </row>
    <row r="130" spans="1:7" x14ac:dyDescent="0.25">
      <c r="A130" s="14"/>
      <c r="B130" s="15"/>
      <c r="C130" s="16"/>
    </row>
    <row r="131" spans="1:7" ht="15.75" x14ac:dyDescent="0.25">
      <c r="A131" s="1" t="s">
        <v>68</v>
      </c>
      <c r="B131" s="1"/>
      <c r="C131" s="1"/>
      <c r="D131" s="1"/>
      <c r="E131" s="1"/>
      <c r="F131" s="1"/>
      <c r="G131" s="1"/>
    </row>
    <row r="132" spans="1:7" ht="15.75" x14ac:dyDescent="0.25">
      <c r="A132" s="1" t="s">
        <v>48</v>
      </c>
      <c r="B132" s="1"/>
      <c r="C132" s="1"/>
      <c r="D132" s="1"/>
      <c r="E132" s="1"/>
      <c r="F132" s="1"/>
      <c r="G132" s="1"/>
    </row>
    <row r="133" spans="1:7" ht="15.75" x14ac:dyDescent="0.25">
      <c r="A133" s="1" t="s">
        <v>26</v>
      </c>
      <c r="B133" s="1"/>
      <c r="C133" s="1"/>
      <c r="D133" s="1"/>
      <c r="E133" s="1"/>
      <c r="F133" s="1"/>
      <c r="G133" s="1"/>
    </row>
    <row r="134" spans="1:7" ht="15.75" x14ac:dyDescent="0.25">
      <c r="A134" s="1"/>
      <c r="B134" s="1"/>
      <c r="C134" s="1"/>
      <c r="D134" s="1"/>
      <c r="E134" s="1"/>
      <c r="F134" s="1"/>
      <c r="G134" s="1"/>
    </row>
    <row r="135" spans="1:7" ht="15.75" x14ac:dyDescent="0.25">
      <c r="A135" s="3" t="s">
        <v>0</v>
      </c>
      <c r="B135" s="3" t="s">
        <v>1</v>
      </c>
      <c r="C135" s="3" t="s">
        <v>36</v>
      </c>
      <c r="D135" s="3" t="s">
        <v>37</v>
      </c>
      <c r="E135" s="1"/>
      <c r="F135" s="1"/>
      <c r="G135" s="1"/>
    </row>
    <row r="136" spans="1:7" ht="15.75" x14ac:dyDescent="0.25">
      <c r="A136" s="3" t="s">
        <v>27</v>
      </c>
      <c r="B136" s="8">
        <v>0.5</v>
      </c>
      <c r="C136" s="5">
        <f>3500/2</f>
        <v>1750</v>
      </c>
      <c r="D136" s="3"/>
      <c r="E136" s="1"/>
      <c r="F136" s="1"/>
      <c r="G136" s="1"/>
    </row>
    <row r="137" spans="1:7" ht="15.75" x14ac:dyDescent="0.25">
      <c r="A137" s="9"/>
      <c r="B137" s="9"/>
      <c r="C137" s="9"/>
      <c r="D137" s="9"/>
      <c r="E137" s="1"/>
      <c r="F137" s="1"/>
      <c r="G137" s="1"/>
    </row>
    <row r="138" spans="1:7" ht="15.75" x14ac:dyDescent="0.25">
      <c r="A138" s="3" t="s">
        <v>28</v>
      </c>
      <c r="B138" s="5"/>
      <c r="C138" s="3"/>
      <c r="D138" s="3"/>
      <c r="E138" s="1"/>
      <c r="F138" s="1"/>
      <c r="G138" s="1"/>
    </row>
    <row r="139" spans="1:7" ht="15.75" x14ac:dyDescent="0.25">
      <c r="A139" s="3" t="s">
        <v>7</v>
      </c>
      <c r="B139" s="5"/>
      <c r="C139" s="3"/>
      <c r="D139" s="3"/>
      <c r="E139" s="1"/>
      <c r="F139" s="1"/>
      <c r="G139" s="1"/>
    </row>
    <row r="140" spans="1:7" ht="15.75" x14ac:dyDescent="0.25">
      <c r="A140" s="3" t="s">
        <v>8</v>
      </c>
      <c r="B140" s="5">
        <f>+C136</f>
        <v>1750</v>
      </c>
      <c r="C140" s="3"/>
      <c r="D140" s="3"/>
      <c r="E140" s="1"/>
      <c r="F140" s="1"/>
      <c r="G140" s="1"/>
    </row>
    <row r="141" spans="1:7" ht="15.75" x14ac:dyDescent="0.25">
      <c r="A141" s="3" t="s">
        <v>9</v>
      </c>
      <c r="B141" s="5">
        <f>+B140*8%</f>
        <v>140</v>
      </c>
      <c r="C141" s="3"/>
      <c r="D141" s="3"/>
      <c r="E141" s="1"/>
      <c r="F141" s="1"/>
      <c r="G141" s="1"/>
    </row>
    <row r="142" spans="1:7" ht="15.75" x14ac:dyDescent="0.25">
      <c r="A142" s="3" t="s">
        <v>10</v>
      </c>
      <c r="B142" s="5">
        <f>+C136</f>
        <v>1750</v>
      </c>
      <c r="C142" s="7"/>
      <c r="D142" s="3"/>
      <c r="E142" s="1"/>
      <c r="F142" s="1"/>
      <c r="G142" s="1"/>
    </row>
    <row r="143" spans="1:7" ht="15.75" x14ac:dyDescent="0.25">
      <c r="A143" s="3" t="s">
        <v>11</v>
      </c>
      <c r="B143" s="5">
        <v>0</v>
      </c>
      <c r="C143" s="3"/>
      <c r="D143" s="3"/>
      <c r="E143" s="1"/>
      <c r="F143" s="1"/>
      <c r="G143" s="1"/>
    </row>
    <row r="144" spans="1:7" ht="15.75" x14ac:dyDescent="0.25">
      <c r="A144" s="3" t="s">
        <v>12</v>
      </c>
      <c r="B144" s="5">
        <f>+B142+B143</f>
        <v>1750</v>
      </c>
      <c r="C144" s="3"/>
      <c r="D144" s="3"/>
      <c r="E144" s="1"/>
      <c r="F144" s="1"/>
      <c r="G144" s="1"/>
    </row>
    <row r="163" spans="1:5" ht="15.75" x14ac:dyDescent="0.25">
      <c r="A163" s="1" t="s">
        <v>70</v>
      </c>
      <c r="B163" s="1"/>
      <c r="C163" s="1"/>
      <c r="D163" s="1"/>
      <c r="E163" s="1"/>
    </row>
    <row r="164" spans="1:5" ht="15.75" x14ac:dyDescent="0.25">
      <c r="A164" s="1" t="s">
        <v>29</v>
      </c>
      <c r="B164" s="1"/>
      <c r="C164" s="1"/>
      <c r="D164" s="1"/>
      <c r="E164" s="1"/>
    </row>
    <row r="165" spans="1:5" ht="15.75" x14ac:dyDescent="0.25">
      <c r="A165" s="1" t="s">
        <v>48</v>
      </c>
      <c r="B165" s="1"/>
      <c r="C165" s="1"/>
      <c r="D165" s="1"/>
      <c r="E165" s="1"/>
    </row>
    <row r="166" spans="1:5" ht="15.75" x14ac:dyDescent="0.25">
      <c r="A166" s="1"/>
      <c r="B166" s="1"/>
      <c r="C166" s="1"/>
      <c r="D166" s="1"/>
      <c r="E166" s="1"/>
    </row>
    <row r="167" spans="1:5" ht="15.75" x14ac:dyDescent="0.25">
      <c r="A167" s="3" t="s">
        <v>0</v>
      </c>
      <c r="B167" s="3" t="s">
        <v>1</v>
      </c>
      <c r="C167" s="3" t="s">
        <v>36</v>
      </c>
      <c r="D167" s="3" t="s">
        <v>37</v>
      </c>
      <c r="E167" s="1"/>
    </row>
    <row r="168" spans="1:5" ht="15.75" x14ac:dyDescent="0.25">
      <c r="A168" s="3" t="s">
        <v>30</v>
      </c>
      <c r="B168" s="6" t="s">
        <v>49</v>
      </c>
      <c r="C168" s="5">
        <v>3500</v>
      </c>
      <c r="D168" s="5"/>
      <c r="E168" s="1"/>
    </row>
    <row r="169" spans="1:5" ht="15.75" x14ac:dyDescent="0.25">
      <c r="A169" s="3" t="s">
        <v>31</v>
      </c>
      <c r="B169" s="6" t="s">
        <v>50</v>
      </c>
      <c r="C169" s="5"/>
      <c r="D169" s="5">
        <f>+C168/2</f>
        <v>1750</v>
      </c>
      <c r="E169" s="1"/>
    </row>
    <row r="170" spans="1:5" ht="15.75" x14ac:dyDescent="0.25">
      <c r="A170" s="3" t="s">
        <v>4</v>
      </c>
      <c r="B170" s="6" t="s">
        <v>44</v>
      </c>
      <c r="C170" s="7"/>
      <c r="D170" s="5">
        <f>+B173*B170</f>
        <v>385</v>
      </c>
      <c r="E170" s="1"/>
    </row>
    <row r="171" spans="1:5" ht="15.75" x14ac:dyDescent="0.25">
      <c r="A171" s="3" t="s">
        <v>5</v>
      </c>
      <c r="B171" s="6" t="s">
        <v>51</v>
      </c>
      <c r="C171" s="7"/>
      <c r="D171" s="5">
        <f>+B174*B171-354.8</f>
        <v>112.44999999999999</v>
      </c>
      <c r="E171" s="1"/>
    </row>
    <row r="172" spans="1:5" ht="15.75" x14ac:dyDescent="0.25">
      <c r="A172" s="9"/>
      <c r="B172" s="9"/>
      <c r="C172" s="9"/>
      <c r="D172" s="9"/>
      <c r="E172" t="s">
        <v>32</v>
      </c>
    </row>
    <row r="173" spans="1:5" ht="15.75" x14ac:dyDescent="0.25">
      <c r="A173" s="3" t="s">
        <v>28</v>
      </c>
      <c r="B173" s="5">
        <f>+C168</f>
        <v>3500</v>
      </c>
      <c r="C173" s="3"/>
      <c r="D173" s="3"/>
      <c r="E173" s="1"/>
    </row>
    <row r="174" spans="1:5" ht="15.75" x14ac:dyDescent="0.25">
      <c r="A174" s="3" t="s">
        <v>7</v>
      </c>
      <c r="B174" s="5">
        <f>+B173-D170</f>
        <v>3115</v>
      </c>
      <c r="C174" s="3"/>
      <c r="D174" s="3"/>
      <c r="E174" s="1"/>
    </row>
    <row r="175" spans="1:5" ht="15.75" x14ac:dyDescent="0.25">
      <c r="A175" s="3" t="s">
        <v>8</v>
      </c>
      <c r="B175" s="5">
        <f>+B173-D169</f>
        <v>1750</v>
      </c>
      <c r="C175" s="3"/>
      <c r="D175" s="3"/>
      <c r="E175" s="1"/>
    </row>
    <row r="176" spans="1:5" ht="15.75" x14ac:dyDescent="0.25">
      <c r="A176" s="3" t="s">
        <v>9</v>
      </c>
      <c r="B176" s="5">
        <f>+B175*8%</f>
        <v>140</v>
      </c>
      <c r="C176" s="3"/>
      <c r="D176" s="3"/>
      <c r="E176" s="1"/>
    </row>
    <row r="177" spans="1:5" ht="15.75" x14ac:dyDescent="0.25">
      <c r="A177" s="3" t="s">
        <v>10</v>
      </c>
      <c r="B177" s="5">
        <f>+C168</f>
        <v>3500</v>
      </c>
      <c r="C177" s="7"/>
      <c r="D177" s="3"/>
      <c r="E177" s="1"/>
    </row>
    <row r="178" spans="1:5" ht="15.75" x14ac:dyDescent="0.25">
      <c r="A178" s="3" t="s">
        <v>11</v>
      </c>
      <c r="B178" s="5">
        <f>+D169+D170+D171</f>
        <v>2247.4499999999998</v>
      </c>
      <c r="C178" s="3"/>
      <c r="D178" s="3"/>
      <c r="E178" s="1"/>
    </row>
    <row r="179" spans="1:5" ht="15.75" x14ac:dyDescent="0.25">
      <c r="A179" s="3" t="s">
        <v>12</v>
      </c>
      <c r="B179" s="5">
        <f>+B177-B178</f>
        <v>1252.5500000000002</v>
      </c>
      <c r="C179" s="3"/>
      <c r="D179" s="3"/>
      <c r="E179" s="1"/>
    </row>
    <row r="180" spans="1:5" ht="15.75" x14ac:dyDescent="0.25">
      <c r="A180" s="19"/>
      <c r="B180" s="20"/>
      <c r="C180" s="19"/>
      <c r="D180" s="19"/>
      <c r="E180" s="1"/>
    </row>
    <row r="181" spans="1:5" ht="15.75" x14ac:dyDescent="0.25">
      <c r="A181" s="19"/>
      <c r="B181" s="20"/>
      <c r="C181" s="19"/>
      <c r="D181" s="19"/>
      <c r="E181" s="1"/>
    </row>
    <row r="182" spans="1:5" ht="15.75" x14ac:dyDescent="0.25">
      <c r="A182" s="19"/>
      <c r="B182" s="20"/>
      <c r="C182" s="19"/>
      <c r="D182" s="19"/>
      <c r="E182" s="1"/>
    </row>
    <row r="183" spans="1:5" ht="15.75" x14ac:dyDescent="0.25">
      <c r="A183" s="19"/>
      <c r="B183" s="20"/>
      <c r="C183" s="19"/>
      <c r="D183" s="19"/>
      <c r="E183" s="1"/>
    </row>
    <row r="184" spans="1:5" ht="15.75" x14ac:dyDescent="0.25">
      <c r="A184" s="19"/>
      <c r="B184" s="20"/>
      <c r="C184" s="19"/>
      <c r="D184" s="19"/>
      <c r="E184" s="1"/>
    </row>
    <row r="185" spans="1:5" ht="15.75" x14ac:dyDescent="0.25">
      <c r="A185" s="19"/>
      <c r="B185" s="20"/>
      <c r="C185" s="19"/>
      <c r="D185" s="19"/>
      <c r="E185" s="1"/>
    </row>
    <row r="186" spans="1:5" ht="15.75" x14ac:dyDescent="0.25">
      <c r="A186" s="19"/>
      <c r="B186" s="20"/>
      <c r="C186" s="19"/>
      <c r="D186" s="19"/>
      <c r="E186" s="1"/>
    </row>
    <row r="187" spans="1:5" ht="15.75" x14ac:dyDescent="0.25">
      <c r="A187" s="19"/>
      <c r="B187" s="20"/>
      <c r="C187" s="19"/>
      <c r="D187" s="19"/>
      <c r="E187" s="1"/>
    </row>
    <row r="188" spans="1:5" ht="15.75" x14ac:dyDescent="0.25">
      <c r="A188" s="19"/>
      <c r="B188" s="20"/>
      <c r="C188" s="19"/>
      <c r="D188" s="19"/>
      <c r="E188" s="1"/>
    </row>
    <row r="189" spans="1:5" ht="15.75" x14ac:dyDescent="0.25">
      <c r="A189" s="19"/>
      <c r="B189" s="20"/>
      <c r="C189" s="19"/>
      <c r="D189" s="19"/>
      <c r="E189" s="1"/>
    </row>
    <row r="190" spans="1:5" ht="15.75" x14ac:dyDescent="0.25">
      <c r="A190" s="19"/>
      <c r="B190" s="20"/>
      <c r="C190" s="19"/>
      <c r="D190" s="19"/>
      <c r="E190" s="1"/>
    </row>
    <row r="191" spans="1:5" ht="15.75" x14ac:dyDescent="0.25">
      <c r="A191" s="19"/>
      <c r="B191" s="20"/>
      <c r="C191" s="19"/>
      <c r="D191" s="19"/>
      <c r="E191" s="1"/>
    </row>
    <row r="193" spans="1:3" x14ac:dyDescent="0.25">
      <c r="A193" t="s">
        <v>33</v>
      </c>
    </row>
    <row r="194" spans="1:3" x14ac:dyDescent="0.25">
      <c r="A194" t="s">
        <v>40</v>
      </c>
    </row>
    <row r="195" spans="1:3" x14ac:dyDescent="0.25">
      <c r="A195" t="s">
        <v>62</v>
      </c>
    </row>
    <row r="196" spans="1:3" x14ac:dyDescent="0.25">
      <c r="A196" t="s">
        <v>63</v>
      </c>
    </row>
    <row r="198" spans="1:3" x14ac:dyDescent="0.25">
      <c r="A198" s="11" t="s">
        <v>0</v>
      </c>
      <c r="B198" s="11" t="s">
        <v>1</v>
      </c>
      <c r="C198" s="11" t="s">
        <v>21</v>
      </c>
    </row>
    <row r="199" spans="1:3" x14ac:dyDescent="0.25">
      <c r="A199" s="11" t="s">
        <v>34</v>
      </c>
      <c r="B199" s="21" t="s">
        <v>52</v>
      </c>
      <c r="C199" s="12">
        <f>1100/12*6</f>
        <v>550</v>
      </c>
    </row>
    <row r="200" spans="1:3" x14ac:dyDescent="0.25">
      <c r="A200" s="11" t="s">
        <v>24</v>
      </c>
      <c r="B200" s="21"/>
      <c r="C200" s="12">
        <f>+C199</f>
        <v>550</v>
      </c>
    </row>
    <row r="202" spans="1:3" x14ac:dyDescent="0.25">
      <c r="A202" t="s">
        <v>33</v>
      </c>
    </row>
    <row r="203" spans="1:3" x14ac:dyDescent="0.25">
      <c r="A203" t="s">
        <v>69</v>
      </c>
    </row>
    <row r="204" spans="1:3" x14ac:dyDescent="0.25">
      <c r="A204" t="s">
        <v>64</v>
      </c>
    </row>
    <row r="205" spans="1:3" x14ac:dyDescent="0.25">
      <c r="A205" t="s">
        <v>65</v>
      </c>
    </row>
    <row r="207" spans="1:3" x14ac:dyDescent="0.25">
      <c r="A207" s="11" t="s">
        <v>0</v>
      </c>
      <c r="B207" s="11" t="s">
        <v>1</v>
      </c>
      <c r="C207" s="11" t="s">
        <v>21</v>
      </c>
    </row>
    <row r="208" spans="1:3" x14ac:dyDescent="0.25">
      <c r="A208" s="11" t="s">
        <v>34</v>
      </c>
      <c r="B208" s="21" t="s">
        <v>46</v>
      </c>
      <c r="C208" s="12">
        <f>+(79.5)*7</f>
        <v>556.5</v>
      </c>
    </row>
    <row r="209" spans="1:3" x14ac:dyDescent="0.25">
      <c r="A209" s="11" t="s">
        <v>24</v>
      </c>
      <c r="B209" s="21"/>
      <c r="C209" s="12">
        <f>+C208</f>
        <v>556.5</v>
      </c>
    </row>
    <row r="211" spans="1:3" x14ac:dyDescent="0.25">
      <c r="A211" t="s">
        <v>35</v>
      </c>
    </row>
    <row r="212" spans="1:3" x14ac:dyDescent="0.25">
      <c r="A212" t="s">
        <v>25</v>
      </c>
    </row>
    <row r="213" spans="1:3" x14ac:dyDescent="0.25">
      <c r="A213" t="s">
        <v>66</v>
      </c>
    </row>
    <row r="214" spans="1:3" x14ac:dyDescent="0.25">
      <c r="A214" t="s">
        <v>67</v>
      </c>
    </row>
    <row r="216" spans="1:3" ht="15.75" x14ac:dyDescent="0.25">
      <c r="A216" s="3" t="s">
        <v>0</v>
      </c>
      <c r="B216" s="3" t="s">
        <v>1</v>
      </c>
      <c r="C216" s="3" t="s">
        <v>21</v>
      </c>
    </row>
    <row r="217" spans="1:3" ht="15.75" x14ac:dyDescent="0.25">
      <c r="A217" s="3" t="s">
        <v>34</v>
      </c>
      <c r="B217" s="6" t="s">
        <v>53</v>
      </c>
      <c r="C217" s="12">
        <f>1250/12*2</f>
        <v>208.33333333333334</v>
      </c>
    </row>
    <row r="218" spans="1:3" ht="15.75" x14ac:dyDescent="0.25">
      <c r="A218" s="3" t="s">
        <v>24</v>
      </c>
      <c r="B218" s="6"/>
      <c r="C218" s="12">
        <f>+C217</f>
        <v>208.33333333333334</v>
      </c>
    </row>
  </sheetData>
  <pageMargins left="0.51181102362204722" right="0.51181102362204722" top="0.78740157480314965" bottom="0.78740157480314965" header="0.31496062992125984" footer="0.31496062992125984"/>
  <pageSetup paperSize="9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SIDNEY</cp:lastModifiedBy>
  <cp:lastPrinted>2018-03-26T12:41:45Z</cp:lastPrinted>
  <dcterms:created xsi:type="dcterms:W3CDTF">2015-02-25T18:44:51Z</dcterms:created>
  <dcterms:modified xsi:type="dcterms:W3CDTF">2018-09-23T23:07:00Z</dcterms:modified>
</cp:coreProperties>
</file>