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a44\AC\Temp\"/>
    </mc:Choice>
  </mc:AlternateContent>
  <xr:revisionPtr revIDLastSave="0" documentId="8_{8EC919ED-4C9F-4D46-B88B-B42AEB0596EE}" xr6:coauthVersionLast="28" xr6:coauthVersionMax="28" xr10:uidLastSave="{00000000-0000-0000-0000-000000000000}"/>
  <bookViews>
    <workbookView xWindow="360" yWindow="15" windowWidth="15480" windowHeight="10170" tabRatio="371" xr2:uid="{00000000-000D-0000-FFFF-FFFF00000000}"/>
  </bookViews>
  <sheets>
    <sheet name="CARTÃO" sheetId="2" r:id="rId1"/>
  </sheets>
  <calcPr calcId="171026"/>
</workbook>
</file>

<file path=xl/calcChain.xml><?xml version="1.0" encoding="utf-8"?>
<calcChain xmlns="http://schemas.openxmlformats.org/spreadsheetml/2006/main">
  <c r="F32" i="2" l="1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I4" i="2"/>
  <c r="J4" i="2"/>
  <c r="K4" i="2"/>
  <c r="L4" i="2"/>
  <c r="M4" i="2"/>
  <c r="N4" i="2"/>
  <c r="O4" i="2"/>
  <c r="P4" i="2"/>
  <c r="Q4" i="2"/>
  <c r="I5" i="2"/>
  <c r="J5" i="2"/>
  <c r="K5" i="2"/>
  <c r="L5" i="2"/>
  <c r="M5" i="2"/>
  <c r="N5" i="2"/>
  <c r="O5" i="2"/>
  <c r="P5" i="2"/>
  <c r="Q5" i="2"/>
  <c r="I6" i="2"/>
  <c r="J6" i="2"/>
  <c r="K6" i="2"/>
  <c r="L6" i="2"/>
  <c r="M6" i="2"/>
  <c r="N6" i="2"/>
  <c r="O6" i="2"/>
  <c r="P6" i="2"/>
  <c r="Q6" i="2"/>
  <c r="Q7" i="2"/>
  <c r="I8" i="2"/>
  <c r="J8" i="2"/>
  <c r="K8" i="2"/>
  <c r="L8" i="2"/>
  <c r="M8" i="2"/>
  <c r="N8" i="2"/>
  <c r="O8" i="2"/>
  <c r="P8" i="2"/>
  <c r="Q8" i="2"/>
  <c r="I9" i="2"/>
  <c r="J9" i="2"/>
  <c r="K9" i="2"/>
  <c r="L9" i="2"/>
  <c r="M9" i="2"/>
  <c r="N9" i="2"/>
  <c r="O9" i="2"/>
  <c r="P9" i="2"/>
  <c r="Q9" i="2"/>
  <c r="I19" i="2"/>
  <c r="I20" i="2"/>
  <c r="N21" i="2"/>
  <c r="J22" i="2"/>
  <c r="I22" i="2"/>
  <c r="I23" i="2"/>
  <c r="N24" i="2"/>
  <c r="P25" i="2"/>
  <c r="I25" i="2"/>
  <c r="P13" i="2"/>
  <c r="I13" i="2"/>
  <c r="I10" i="2"/>
  <c r="O11" i="2"/>
  <c r="I12" i="2"/>
  <c r="O14" i="2"/>
  <c r="I14" i="2"/>
  <c r="I15" i="2"/>
  <c r="I16" i="2"/>
  <c r="I17" i="2"/>
  <c r="J18" i="2"/>
  <c r="O26" i="2"/>
  <c r="J27" i="2"/>
  <c r="M28" i="2"/>
  <c r="L29" i="2"/>
  <c r="K30" i="2"/>
  <c r="I31" i="2"/>
  <c r="M32" i="2"/>
  <c r="P31" i="2"/>
  <c r="L27" i="2"/>
  <c r="K15" i="2"/>
  <c r="L10" i="2"/>
  <c r="O18" i="2"/>
  <c r="K16" i="2"/>
  <c r="M12" i="2"/>
  <c r="N11" i="2"/>
  <c r="Q10" i="2"/>
  <c r="M10" i="2"/>
  <c r="P15" i="2"/>
  <c r="L26" i="2"/>
  <c r="P30" i="2"/>
  <c r="P10" i="2"/>
  <c r="N12" i="2"/>
  <c r="M15" i="2"/>
  <c r="K17" i="2"/>
  <c r="I26" i="2"/>
  <c r="Q26" i="2"/>
  <c r="O28" i="2"/>
  <c r="K32" i="2"/>
  <c r="J30" i="2"/>
  <c r="J28" i="2"/>
  <c r="J26" i="2"/>
  <c r="Q32" i="2"/>
  <c r="N29" i="2"/>
  <c r="J17" i="2"/>
  <c r="N14" i="2"/>
  <c r="J11" i="2"/>
  <c r="K14" i="2"/>
  <c r="O16" i="2"/>
  <c r="P17" i="2"/>
  <c r="Q29" i="2"/>
  <c r="M31" i="2"/>
  <c r="P32" i="2"/>
  <c r="J16" i="2"/>
  <c r="M17" i="2"/>
  <c r="P29" i="2"/>
  <c r="J31" i="2"/>
  <c r="O32" i="2"/>
  <c r="L31" i="2"/>
  <c r="I29" i="2"/>
  <c r="L16" i="2"/>
  <c r="N32" i="2"/>
  <c r="J25" i="2"/>
  <c r="Q25" i="2"/>
  <c r="O25" i="2"/>
  <c r="M25" i="2"/>
  <c r="K25" i="2"/>
  <c r="Q24" i="2"/>
  <c r="O24" i="2"/>
  <c r="M24" i="2"/>
  <c r="K24" i="2"/>
  <c r="Q23" i="2"/>
  <c r="O23" i="2"/>
  <c r="M23" i="2"/>
  <c r="K23" i="2"/>
  <c r="Q22" i="2"/>
  <c r="O22" i="2"/>
  <c r="M22" i="2"/>
  <c r="K22" i="2"/>
  <c r="Q21" i="2"/>
  <c r="O21" i="2"/>
  <c r="M21" i="2"/>
  <c r="K21" i="2"/>
  <c r="Q20" i="2"/>
  <c r="O20" i="2"/>
  <c r="M20" i="2"/>
  <c r="K20" i="2"/>
  <c r="Q19" i="2"/>
  <c r="O19" i="2"/>
  <c r="M19" i="2"/>
  <c r="K19" i="2"/>
  <c r="Q27" i="2"/>
  <c r="K31" i="2"/>
  <c r="I11" i="2"/>
  <c r="P18" i="2"/>
  <c r="L13" i="2"/>
  <c r="M16" i="2"/>
  <c r="K18" i="2"/>
  <c r="P26" i="2"/>
  <c r="M11" i="2"/>
  <c r="L14" i="2"/>
  <c r="N16" i="2"/>
  <c r="L18" i="2"/>
  <c r="K26" i="2"/>
  <c r="Q28" i="2"/>
  <c r="I18" i="2"/>
  <c r="N13" i="2"/>
  <c r="J13" i="2"/>
  <c r="J24" i="2"/>
  <c r="N23" i="2"/>
  <c r="J20" i="2"/>
  <c r="N19" i="2"/>
  <c r="Q16" i="2"/>
  <c r="N17" i="2"/>
  <c r="M18" i="2"/>
  <c r="Q18" i="2"/>
  <c r="M27" i="2"/>
  <c r="P28" i="2"/>
  <c r="L30" i="2"/>
  <c r="L32" i="2"/>
  <c r="J12" i="2"/>
  <c r="Q15" i="2"/>
  <c r="P16" i="2"/>
  <c r="Q17" i="2"/>
  <c r="N18" i="2"/>
  <c r="I28" i="2"/>
  <c r="I30" i="2"/>
  <c r="P27" i="2"/>
  <c r="J15" i="2"/>
  <c r="Q13" i="2"/>
  <c r="O13" i="2"/>
  <c r="M13" i="2"/>
  <c r="K13" i="2"/>
  <c r="L25" i="2"/>
  <c r="J23" i="2"/>
  <c r="J21" i="2"/>
  <c r="J19" i="2"/>
  <c r="O7" i="2"/>
  <c r="L7" i="2"/>
  <c r="M7" i="2"/>
  <c r="K7" i="2"/>
  <c r="P7" i="2"/>
  <c r="N7" i="2"/>
  <c r="J7" i="2"/>
  <c r="I7" i="2"/>
  <c r="K12" i="2"/>
  <c r="O12" i="2"/>
  <c r="M14" i="2"/>
  <c r="Q14" i="2"/>
  <c r="N15" i="2"/>
  <c r="N26" i="2"/>
  <c r="K27" i="2"/>
  <c r="O27" i="2"/>
  <c r="L28" i="2"/>
  <c r="K29" i="2"/>
  <c r="O29" i="2"/>
  <c r="N30" i="2"/>
  <c r="O31" i="2"/>
  <c r="J10" i="2"/>
  <c r="N10" i="2"/>
  <c r="K11" i="2"/>
  <c r="Q11" i="2"/>
  <c r="L12" i="2"/>
  <c r="J14" i="2"/>
  <c r="P14" i="2"/>
  <c r="O15" i="2"/>
  <c r="M26" i="2"/>
  <c r="N27" i="2"/>
  <c r="K28" i="2"/>
  <c r="J29" i="2"/>
  <c r="O30" i="2"/>
  <c r="N31" i="2"/>
  <c r="I27" i="2"/>
  <c r="N25" i="2"/>
  <c r="P24" i="2"/>
  <c r="L24" i="2"/>
  <c r="P23" i="2"/>
  <c r="L23" i="2"/>
  <c r="P22" i="2"/>
  <c r="L22" i="2"/>
  <c r="P21" i="2"/>
  <c r="L21" i="2"/>
  <c r="P20" i="2"/>
  <c r="L20" i="2"/>
  <c r="P19" i="2"/>
  <c r="L19" i="2"/>
  <c r="I32" i="2"/>
  <c r="J32" i="2"/>
  <c r="M30" i="2"/>
  <c r="Q31" i="2"/>
  <c r="N28" i="2"/>
  <c r="K10" i="2"/>
  <c r="O10" i="2"/>
  <c r="L11" i="2"/>
  <c r="P11" i="2"/>
  <c r="Q12" i="2"/>
  <c r="L15" i="2"/>
  <c r="L17" i="2"/>
  <c r="M29" i="2"/>
  <c r="P12" i="2"/>
  <c r="O17" i="2"/>
  <c r="Q30" i="2"/>
  <c r="N22" i="2"/>
  <c r="N20" i="2"/>
  <c r="I24" i="2"/>
  <c r="I21" i="2"/>
</calcChain>
</file>

<file path=xl/sharedStrings.xml><?xml version="1.0" encoding="utf-8"?>
<sst xmlns="http://schemas.openxmlformats.org/spreadsheetml/2006/main" count="34" uniqueCount="27">
  <si>
    <t>DATA VENDA</t>
  </si>
  <si>
    <t>CLIENTE</t>
  </si>
  <si>
    <t>TIPO</t>
  </si>
  <si>
    <t>VALOR</t>
  </si>
  <si>
    <t xml:space="preserve">VALOR LIQUIDO </t>
  </si>
  <si>
    <t>José Da Silva</t>
  </si>
  <si>
    <t>Carlos</t>
  </si>
  <si>
    <t>Zé</t>
  </si>
  <si>
    <t>CONTROLE   RECEBIMENTO   CARTÃO  DE CRÉDITO</t>
  </si>
  <si>
    <t>Nº PARC</t>
  </si>
  <si>
    <t>ZSF</t>
  </si>
  <si>
    <t>Adalberto</t>
  </si>
  <si>
    <t>Carlos da Silva</t>
  </si>
  <si>
    <t>SETEMBRO</t>
  </si>
  <si>
    <t>OUTUBRO</t>
  </si>
  <si>
    <t>NOVEMBRO</t>
  </si>
  <si>
    <t>DEZEMBRO</t>
  </si>
  <si>
    <t>ABRIL</t>
  </si>
  <si>
    <t>MAIO</t>
  </si>
  <si>
    <t>JUNHO</t>
  </si>
  <si>
    <t>JULHO</t>
  </si>
  <si>
    <t>N° CARTÃO</t>
  </si>
  <si>
    <t>AGOSTO</t>
  </si>
  <si>
    <t>JANEIRO</t>
  </si>
  <si>
    <t>DÉBITO</t>
  </si>
  <si>
    <t>CRÉDITO</t>
  </si>
  <si>
    <t>PARCELADO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</si>
</sst>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#\ª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0" applyFont="1" applyBorder="1" applyAlignment="1">
      <alignment horizontal="center"/>
    </xf>
    <xf numFmtId="0" fontId="5" fillId="0" borderId="0" xfId="0" applyFont="1"/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5" fillId="0" borderId="4" xfId="0" applyNumberFormat="1" applyFont="1" applyFill="1" applyBorder="1"/>
    <xf numFmtId="0" fontId="5" fillId="0" borderId="4" xfId="0" applyFont="1" applyFill="1" applyBorder="1"/>
    <xf numFmtId="164" fontId="5" fillId="0" borderId="4" xfId="1" applyFont="1" applyFill="1" applyBorder="1"/>
    <xf numFmtId="0" fontId="5" fillId="0" borderId="5" xfId="0" applyFont="1" applyFill="1" applyBorder="1" applyAlignment="1">
      <alignment horizontal="center"/>
    </xf>
    <xf numFmtId="164" fontId="5" fillId="0" borderId="6" xfId="1" applyFont="1" applyFill="1" applyBorder="1"/>
    <xf numFmtId="0" fontId="5" fillId="0" borderId="0" xfId="0" applyFont="1" applyFill="1" applyBorder="1"/>
    <xf numFmtId="0" fontId="5" fillId="0" borderId="0" xfId="0" applyFont="1" applyFill="1"/>
    <xf numFmtId="14" fontId="5" fillId="0" borderId="7" xfId="0" applyNumberFormat="1" applyFont="1" applyFill="1" applyBorder="1"/>
    <xf numFmtId="0" fontId="5" fillId="0" borderId="7" xfId="0" applyFont="1" applyFill="1" applyBorder="1"/>
    <xf numFmtId="164" fontId="5" fillId="0" borderId="7" xfId="1" applyFont="1" applyFill="1" applyBorder="1"/>
    <xf numFmtId="0" fontId="5" fillId="0" borderId="8" xfId="0" applyFont="1" applyFill="1" applyBorder="1" applyAlignment="1">
      <alignment horizontal="center"/>
    </xf>
    <xf numFmtId="164" fontId="5" fillId="0" borderId="9" xfId="1" applyFont="1" applyFill="1" applyBorder="1"/>
    <xf numFmtId="0" fontId="5" fillId="0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Fill="1" applyBorder="1"/>
    <xf numFmtId="165" fontId="6" fillId="2" borderId="16" xfId="0" applyNumberFormat="1" applyFont="1" applyFill="1" applyBorder="1" applyAlignment="1">
      <alignment horizontal="center" vertical="center" wrapText="1"/>
    </xf>
    <xf numFmtId="165" fontId="6" fillId="2" borderId="17" xfId="0" applyNumberFormat="1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165" fontId="6" fillId="2" borderId="21" xfId="0" applyNumberFormat="1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64" fontId="5" fillId="0" borderId="7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S77"/>
  <sheetViews>
    <sheetView showGridLines="0" tabSelected="1" workbookViewId="0" xr3:uid="{AEA406A1-0E4B-5B11-9CD5-51D6E497D94C}">
      <pane xSplit="7" ySplit="3" topLeftCell="I4" activePane="bottomRight" state="frozen"/>
      <selection pane="bottomLeft" activeCell="A4" sqref="A4"/>
      <selection pane="topRight" activeCell="H1" sqref="H1"/>
      <selection pane="bottomRight" sqref="A1:Q1"/>
    </sheetView>
  </sheetViews>
  <sheetFormatPr defaultColWidth="11.703125" defaultRowHeight="13.5" x14ac:dyDescent="0.15"/>
  <cols>
    <col min="1" max="1" width="11.97265625" style="2" customWidth="1"/>
    <col min="2" max="2" width="24.078125" style="2" customWidth="1"/>
    <col min="3" max="3" width="10.35546875" style="2" customWidth="1"/>
    <col min="4" max="4" width="14.125" style="2" bestFit="1" customWidth="1"/>
    <col min="5" max="6" width="11.703125" style="2" customWidth="1"/>
    <col min="7" max="7" width="6.859375" style="2" customWidth="1"/>
    <col min="8" max="12" width="11.703125" style="2" customWidth="1"/>
    <col min="13" max="13" width="13.5859375" style="2" bestFit="1" customWidth="1"/>
    <col min="14" max="14" width="12.10546875" style="2" bestFit="1" customWidth="1"/>
    <col min="15" max="15" width="13.85546875" style="2" bestFit="1" customWidth="1"/>
    <col min="16" max="16" width="13.44921875" style="2" bestFit="1" customWidth="1"/>
    <col min="17" max="17" width="11.703125" style="2" customWidth="1"/>
    <col min="18" max="18" width="2.6875" style="2" customWidth="1"/>
    <col min="19" max="19" width="15.6015625" style="2" bestFit="1" customWidth="1"/>
    <col min="20" max="16384" width="11.703125" style="2"/>
  </cols>
  <sheetData>
    <row r="1" spans="1:19" ht="21" customHeight="1" thickBot="1" x14ac:dyDescent="0.2">
      <c r="A1" s="29" t="s">
        <v>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1"/>
      <c r="R1" s="1"/>
      <c r="S1" s="18" t="s">
        <v>2</v>
      </c>
    </row>
    <row r="2" spans="1:19" s="4" customFormat="1" x14ac:dyDescent="0.15">
      <c r="A2" s="32" t="s">
        <v>0</v>
      </c>
      <c r="B2" s="34" t="s">
        <v>1</v>
      </c>
      <c r="C2" s="40" t="s">
        <v>21</v>
      </c>
      <c r="D2" s="36" t="s">
        <v>2</v>
      </c>
      <c r="E2" s="36" t="s">
        <v>3</v>
      </c>
      <c r="F2" s="34" t="s">
        <v>4</v>
      </c>
      <c r="G2" s="38" t="s">
        <v>9</v>
      </c>
      <c r="H2" s="26">
        <v>1</v>
      </c>
      <c r="I2" s="22">
        <v>2</v>
      </c>
      <c r="J2" s="22">
        <v>3</v>
      </c>
      <c r="K2" s="22">
        <v>4</v>
      </c>
      <c r="L2" s="22">
        <v>5</v>
      </c>
      <c r="M2" s="22">
        <v>6</v>
      </c>
      <c r="N2" s="22">
        <v>7</v>
      </c>
      <c r="O2" s="22">
        <v>8</v>
      </c>
      <c r="P2" s="22">
        <v>9</v>
      </c>
      <c r="Q2" s="23">
        <v>10</v>
      </c>
      <c r="R2" s="3"/>
      <c r="S2" s="19" t="s">
        <v>24</v>
      </c>
    </row>
    <row r="3" spans="1:19" s="4" customFormat="1" ht="24" customHeight="1" thickBot="1" x14ac:dyDescent="0.25">
      <c r="A3" s="33"/>
      <c r="B3" s="35"/>
      <c r="C3" s="41"/>
      <c r="D3" s="37"/>
      <c r="E3" s="37"/>
      <c r="F3" s="35"/>
      <c r="G3" s="39"/>
      <c r="H3" s="27" t="s">
        <v>17</v>
      </c>
      <c r="I3" s="24" t="s">
        <v>18</v>
      </c>
      <c r="J3" s="24" t="s">
        <v>19</v>
      </c>
      <c r="K3" s="24" t="s">
        <v>20</v>
      </c>
      <c r="L3" s="24" t="s">
        <v>22</v>
      </c>
      <c r="M3" s="24" t="s">
        <v>13</v>
      </c>
      <c r="N3" s="24" t="s">
        <v>14</v>
      </c>
      <c r="O3" s="24" t="s">
        <v>15</v>
      </c>
      <c r="P3" s="24" t="s">
        <v>16</v>
      </c>
      <c r="Q3" s="25" t="s">
        <v>23</v>
      </c>
      <c r="R3" s="3"/>
      <c r="S3" s="20" t="s">
        <v>25</v>
      </c>
    </row>
    <row r="4" spans="1:19" s="11" customFormat="1" ht="15.75" customHeight="1" thickBot="1" x14ac:dyDescent="0.2">
      <c r="A4" s="5">
        <v>40255</v>
      </c>
      <c r="B4" s="6" t="s">
        <v>5</v>
      </c>
      <c r="C4" s="6">
        <v>1111566</v>
      </c>
      <c r="D4" s="6" t="s">
        <v>26</v>
      </c>
      <c r="E4" s="7">
        <v>250</v>
      </c>
      <c r="F4" s="7">
        <f>IF(E4="","",IF(D4="CRÉDITO",E4-(E4*3.8%),IF(D4="DÉBITO",E4-(E4*2.3%),IF(D4="PARCELADO",E4-(E4*4.4%)))))</f>
        <v>239</v>
      </c>
      <c r="G4" s="8">
        <v>5</v>
      </c>
      <c r="H4" s="9">
        <f>IF(AND($D4="PARCELADO",$G4&gt;0),$F4/$G4,$F4)</f>
        <v>47.8</v>
      </c>
      <c r="I4" s="7">
        <f>IF($H4="","",IF($H4*$I$2&gt;$F4,"",H4))</f>
        <v>47.8</v>
      </c>
      <c r="J4" s="7">
        <f>IF($H4="","",IF($H4*$J$2&gt;$F4,"",I4))</f>
        <v>47.8</v>
      </c>
      <c r="K4" s="7">
        <f>IF($H4="","",IF($H4*$K$2&gt;$F4,"",J4))</f>
        <v>47.8</v>
      </c>
      <c r="L4" s="7">
        <f>IF($H4="","",IF($H4*$L$2&gt;$F4,"",K4))</f>
        <v>47.8</v>
      </c>
      <c r="M4" s="7" t="str">
        <f>IF($H4="","",IF($H4*$M$2&gt;$F4,"",L4))</f>
        <v/>
      </c>
      <c r="N4" s="7" t="str">
        <f>IF($H4="","",IF($H4*$N$2&gt;$F4,"",M4))</f>
        <v/>
      </c>
      <c r="O4" s="7" t="str">
        <f>IF($H4="","",IF($H4*$O$2&gt;$F4,"",N4))</f>
        <v/>
      </c>
      <c r="P4" s="7" t="str">
        <f>IF($H4="","",IF($H4*$P$2&gt;$F4,"",O4))</f>
        <v/>
      </c>
      <c r="Q4" s="7" t="str">
        <f t="shared" ref="Q4:Q32" si="0">IF($H4="","",IF($H4*$Q$2&gt;$F4,"",P4))</f>
        <v/>
      </c>
      <c r="R4" s="10"/>
      <c r="S4" s="21" t="s">
        <v>26</v>
      </c>
    </row>
    <row r="5" spans="1:19" s="11" customFormat="1" x14ac:dyDescent="0.15">
      <c r="A5" s="12">
        <v>40255</v>
      </c>
      <c r="B5" s="13" t="s">
        <v>6</v>
      </c>
      <c r="C5" s="13">
        <v>4444215</v>
      </c>
      <c r="D5" s="13" t="s">
        <v>25</v>
      </c>
      <c r="E5" s="14">
        <v>45</v>
      </c>
      <c r="F5" s="28">
        <f>IF(E5="","",IF(D5="CRÉDITO",E5-(E5*3.8%),IF(D5="DÉBITO",E5-(E5*2.3%),IF(D5="PARCELADO",E5-(E5*4.4%)))))</f>
        <v>43.29</v>
      </c>
      <c r="G5" s="15">
        <v>1</v>
      </c>
      <c r="H5" s="16">
        <f>IF(AND($D5="PARCELADO",$G5&gt;0),$F5/$G5,$F5)</f>
        <v>43.29</v>
      </c>
      <c r="I5" s="14" t="str">
        <f t="shared" ref="I5:I32" si="1">IF($H5="","",IF($H5*$I$2&gt;$F5,"",H5))</f>
        <v/>
      </c>
      <c r="J5" s="14" t="str">
        <f t="shared" ref="J5:J32" si="2">IF($H5="","",IF($H5*$J$2&gt;$F5,"",I5))</f>
        <v/>
      </c>
      <c r="K5" s="14" t="str">
        <f t="shared" ref="K5:K32" si="3">IF($H5="","",IF($H5*$K$2&gt;$F5,"",J5))</f>
        <v/>
      </c>
      <c r="L5" s="14" t="str">
        <f t="shared" ref="L5:L32" si="4">IF($H5="","",IF($H5*$L$2&gt;$F5,"",K5))</f>
        <v/>
      </c>
      <c r="M5" s="14" t="str">
        <f t="shared" ref="M5:M32" si="5">IF($H5="","",IF($H5*$M$2&gt;$F5,"",L5))</f>
        <v/>
      </c>
      <c r="N5" s="14" t="str">
        <f t="shared" ref="N5:N32" si="6">IF($H5="","",IF($H5*$N$2&gt;$F5,"",M5))</f>
        <v/>
      </c>
      <c r="O5" s="14" t="str">
        <f t="shared" ref="O5:O32" si="7">IF($H5="","",IF($H5*$O$2&gt;$F5,"",N5))</f>
        <v/>
      </c>
      <c r="P5" s="14" t="str">
        <f t="shared" ref="P5:P32" si="8">IF($H5="","",IF($H5*$P$2&gt;$F5,"",O5))</f>
        <v/>
      </c>
      <c r="Q5" s="14" t="str">
        <f t="shared" si="0"/>
        <v/>
      </c>
      <c r="R5" s="10"/>
    </row>
    <row r="6" spans="1:19" s="11" customFormat="1" x14ac:dyDescent="0.15">
      <c r="A6" s="12">
        <v>40259</v>
      </c>
      <c r="B6" s="13" t="s">
        <v>7</v>
      </c>
      <c r="C6" s="13">
        <v>5555566</v>
      </c>
      <c r="D6" s="13" t="s">
        <v>26</v>
      </c>
      <c r="E6" s="14">
        <v>250</v>
      </c>
      <c r="F6" s="14">
        <f>IF(E6="","",IF(D6="CRÉDITO",E6-(E6*3.8%),IF(D6="DÉBITO",E6-(E6*2.3%),IF(D6="PARCELADO",E6-(E6*4.4%)))))</f>
        <v>239</v>
      </c>
      <c r="G6" s="15">
        <v>8</v>
      </c>
      <c r="H6" s="16">
        <f>IF(AND($D6="PARCELADO",$G6&gt;0),$F6/$G6,$F6)</f>
        <v>29.875</v>
      </c>
      <c r="I6" s="14">
        <f t="shared" si="1"/>
        <v>29.875</v>
      </c>
      <c r="J6" s="14">
        <f t="shared" si="2"/>
        <v>29.875</v>
      </c>
      <c r="K6" s="14">
        <f t="shared" si="3"/>
        <v>29.875</v>
      </c>
      <c r="L6" s="14">
        <f t="shared" si="4"/>
        <v>29.875</v>
      </c>
      <c r="M6" s="14">
        <f t="shared" si="5"/>
        <v>29.875</v>
      </c>
      <c r="N6" s="14">
        <f t="shared" si="6"/>
        <v>29.875</v>
      </c>
      <c r="O6" s="14">
        <f t="shared" si="7"/>
        <v>29.875</v>
      </c>
      <c r="P6" s="14" t="str">
        <f t="shared" si="8"/>
        <v/>
      </c>
      <c r="Q6" s="14" t="str">
        <f t="shared" si="0"/>
        <v/>
      </c>
      <c r="R6" s="10"/>
    </row>
    <row r="7" spans="1:19" s="11" customFormat="1" x14ac:dyDescent="0.15">
      <c r="A7" s="12">
        <v>40261</v>
      </c>
      <c r="B7" s="13" t="s">
        <v>11</v>
      </c>
      <c r="C7" s="13">
        <v>6685512</v>
      </c>
      <c r="D7" s="13" t="s">
        <v>24</v>
      </c>
      <c r="E7" s="14">
        <v>250</v>
      </c>
      <c r="F7" s="14">
        <f>IF(E7="","",IF(D7="CRÉDITO",E7-(E7*3.8%),IF(D7="DÉBITO",E7-(E7*2.3%),IF(D7="PARCELADO",E7-(E7*4.4%)))))</f>
        <v>244.25</v>
      </c>
      <c r="G7" s="15">
        <v>1</v>
      </c>
      <c r="H7" s="16">
        <f t="shared" ref="H7:H32" si="9">IF(B7="","",IF(AND($D7="PARCELADO",$G7&gt;0),$F7/$G7,$F7))</f>
        <v>244.25</v>
      </c>
      <c r="I7" s="14" t="str">
        <f t="shared" si="1"/>
        <v/>
      </c>
      <c r="J7" s="14" t="str">
        <f t="shared" si="2"/>
        <v/>
      </c>
      <c r="K7" s="14" t="str">
        <f t="shared" si="3"/>
        <v/>
      </c>
      <c r="L7" s="14" t="str">
        <f t="shared" si="4"/>
        <v/>
      </c>
      <c r="M7" s="14" t="str">
        <f t="shared" si="5"/>
        <v/>
      </c>
      <c r="N7" s="14" t="str">
        <f t="shared" si="6"/>
        <v/>
      </c>
      <c r="O7" s="14" t="str">
        <f t="shared" si="7"/>
        <v/>
      </c>
      <c r="P7" s="14" t="str">
        <f t="shared" si="8"/>
        <v/>
      </c>
      <c r="Q7" s="14" t="str">
        <f t="shared" si="0"/>
        <v/>
      </c>
      <c r="R7" s="10"/>
    </row>
    <row r="8" spans="1:19" s="11" customFormat="1" x14ac:dyDescent="0.15">
      <c r="A8" s="12">
        <v>40263</v>
      </c>
      <c r="B8" s="13" t="s">
        <v>10</v>
      </c>
      <c r="C8" s="13">
        <v>1125351</v>
      </c>
      <c r="D8" s="13" t="s">
        <v>26</v>
      </c>
      <c r="E8" s="14">
        <v>250</v>
      </c>
      <c r="F8" s="14">
        <f>IF(E8="","",IF(D8="CRÉDITO",E8-(E8*3.8%),IF(D8="DÉBITO",E8-(E8*2.3%),IF(D8="PARCELADO",E8-(E8*4.4%)))))</f>
        <v>239</v>
      </c>
      <c r="G8" s="15">
        <v>5</v>
      </c>
      <c r="H8" s="16">
        <f t="shared" si="9"/>
        <v>47.8</v>
      </c>
      <c r="I8" s="14">
        <f t="shared" si="1"/>
        <v>47.8</v>
      </c>
      <c r="J8" s="14">
        <f t="shared" si="2"/>
        <v>47.8</v>
      </c>
      <c r="K8" s="14">
        <f t="shared" si="3"/>
        <v>47.8</v>
      </c>
      <c r="L8" s="14">
        <f t="shared" si="4"/>
        <v>47.8</v>
      </c>
      <c r="M8" s="14" t="str">
        <f t="shared" si="5"/>
        <v/>
      </c>
      <c r="N8" s="14" t="str">
        <f t="shared" si="6"/>
        <v/>
      </c>
      <c r="O8" s="14" t="str">
        <f t="shared" si="7"/>
        <v/>
      </c>
      <c r="P8" s="14" t="str">
        <f t="shared" si="8"/>
        <v/>
      </c>
      <c r="Q8" s="14" t="str">
        <f t="shared" si="0"/>
        <v/>
      </c>
      <c r="R8" s="10"/>
    </row>
    <row r="9" spans="1:19" s="11" customFormat="1" x14ac:dyDescent="0.15">
      <c r="A9" s="12">
        <v>40264</v>
      </c>
      <c r="B9" s="13" t="s">
        <v>12</v>
      </c>
      <c r="C9" s="13">
        <v>5646583</v>
      </c>
      <c r="D9" s="13" t="s">
        <v>25</v>
      </c>
      <c r="E9" s="14">
        <v>120</v>
      </c>
      <c r="F9" s="14">
        <f t="shared" ref="F9:F32" si="10">IF(E9="","",IF(D9="CRÉDITO",E9-(E9*3.8%),IF(D9="DÉBITO",E9-(E9*2.5%),IF(D9="PARCELADO",E9-(E9*4.8%)))))</f>
        <v>115.44</v>
      </c>
      <c r="G9" s="15"/>
      <c r="H9" s="16">
        <f t="shared" si="9"/>
        <v>115.44</v>
      </c>
      <c r="I9" s="14" t="str">
        <f t="shared" si="1"/>
        <v/>
      </c>
      <c r="J9" s="14" t="str">
        <f t="shared" si="2"/>
        <v/>
      </c>
      <c r="K9" s="14" t="str">
        <f t="shared" si="3"/>
        <v/>
      </c>
      <c r="L9" s="14" t="str">
        <f t="shared" si="4"/>
        <v/>
      </c>
      <c r="M9" s="14" t="str">
        <f t="shared" si="5"/>
        <v/>
      </c>
      <c r="N9" s="14" t="str">
        <f t="shared" si="6"/>
        <v/>
      </c>
      <c r="O9" s="14" t="str">
        <f t="shared" si="7"/>
        <v/>
      </c>
      <c r="P9" s="14" t="str">
        <f t="shared" si="8"/>
        <v/>
      </c>
      <c r="Q9" s="14" t="str">
        <f t="shared" si="0"/>
        <v/>
      </c>
      <c r="R9" s="10"/>
    </row>
    <row r="10" spans="1:19" s="11" customFormat="1" x14ac:dyDescent="0.15">
      <c r="A10" s="13"/>
      <c r="C10" s="13"/>
      <c r="D10" s="13"/>
      <c r="E10" s="14"/>
      <c r="F10" s="14" t="str">
        <f t="shared" si="10"/>
        <v/>
      </c>
      <c r="G10" s="15"/>
      <c r="H10" s="16" t="str">
        <f t="shared" si="9"/>
        <v/>
      </c>
      <c r="I10" s="14" t="str">
        <f t="shared" si="1"/>
        <v/>
      </c>
      <c r="J10" s="14" t="str">
        <f t="shared" si="2"/>
        <v/>
      </c>
      <c r="K10" s="14" t="str">
        <f t="shared" si="3"/>
        <v/>
      </c>
      <c r="L10" s="14" t="str">
        <f t="shared" si="4"/>
        <v/>
      </c>
      <c r="M10" s="14" t="str">
        <f t="shared" si="5"/>
        <v/>
      </c>
      <c r="N10" s="14" t="str">
        <f t="shared" si="6"/>
        <v/>
      </c>
      <c r="O10" s="14" t="str">
        <f t="shared" si="7"/>
        <v/>
      </c>
      <c r="P10" s="14" t="str">
        <f t="shared" si="8"/>
        <v/>
      </c>
      <c r="Q10" s="14" t="str">
        <f t="shared" si="0"/>
        <v/>
      </c>
      <c r="R10" s="10"/>
    </row>
    <row r="11" spans="1:19" s="11" customFormat="1" x14ac:dyDescent="0.15">
      <c r="A11" s="13"/>
      <c r="B11" s="13"/>
      <c r="C11" s="13"/>
      <c r="D11" s="13"/>
      <c r="E11" s="14"/>
      <c r="F11" s="14" t="str">
        <f t="shared" si="10"/>
        <v/>
      </c>
      <c r="G11" s="15"/>
      <c r="H11" s="16" t="str">
        <f t="shared" si="9"/>
        <v/>
      </c>
      <c r="I11" s="14" t="str">
        <f t="shared" si="1"/>
        <v/>
      </c>
      <c r="J11" s="14" t="str">
        <f t="shared" si="2"/>
        <v/>
      </c>
      <c r="K11" s="14" t="str">
        <f t="shared" si="3"/>
        <v/>
      </c>
      <c r="L11" s="14" t="str">
        <f t="shared" si="4"/>
        <v/>
      </c>
      <c r="M11" s="14" t="str">
        <f t="shared" si="5"/>
        <v/>
      </c>
      <c r="N11" s="14" t="str">
        <f t="shared" si="6"/>
        <v/>
      </c>
      <c r="O11" s="14" t="str">
        <f t="shared" si="7"/>
        <v/>
      </c>
      <c r="P11" s="14" t="str">
        <f t="shared" si="8"/>
        <v/>
      </c>
      <c r="Q11" s="14" t="str">
        <f t="shared" si="0"/>
        <v/>
      </c>
      <c r="R11" s="10"/>
    </row>
    <row r="12" spans="1:19" s="11" customFormat="1" x14ac:dyDescent="0.15">
      <c r="A12" s="13"/>
      <c r="B12" s="13"/>
      <c r="C12" s="13"/>
      <c r="D12" s="13"/>
      <c r="E12" s="14"/>
      <c r="F12" s="14" t="str">
        <f t="shared" si="10"/>
        <v/>
      </c>
      <c r="G12" s="15"/>
      <c r="H12" s="16" t="str">
        <f t="shared" si="9"/>
        <v/>
      </c>
      <c r="I12" s="14" t="str">
        <f t="shared" si="1"/>
        <v/>
      </c>
      <c r="J12" s="14" t="str">
        <f t="shared" si="2"/>
        <v/>
      </c>
      <c r="K12" s="14" t="str">
        <f t="shared" si="3"/>
        <v/>
      </c>
      <c r="L12" s="14" t="str">
        <f t="shared" si="4"/>
        <v/>
      </c>
      <c r="M12" s="14" t="str">
        <f t="shared" si="5"/>
        <v/>
      </c>
      <c r="N12" s="14" t="str">
        <f t="shared" si="6"/>
        <v/>
      </c>
      <c r="O12" s="14" t="str">
        <f t="shared" si="7"/>
        <v/>
      </c>
      <c r="P12" s="14" t="str">
        <f t="shared" si="8"/>
        <v/>
      </c>
      <c r="Q12" s="14" t="str">
        <f t="shared" si="0"/>
        <v/>
      </c>
      <c r="R12" s="10"/>
    </row>
    <row r="13" spans="1:19" s="11" customFormat="1" x14ac:dyDescent="0.15">
      <c r="A13" s="13"/>
      <c r="B13" s="13"/>
      <c r="C13" s="13"/>
      <c r="D13" s="13"/>
      <c r="E13" s="14"/>
      <c r="F13" s="14" t="str">
        <f t="shared" si="10"/>
        <v/>
      </c>
      <c r="G13" s="15"/>
      <c r="H13" s="16" t="str">
        <f t="shared" si="9"/>
        <v/>
      </c>
      <c r="I13" s="14" t="str">
        <f t="shared" si="1"/>
        <v/>
      </c>
      <c r="J13" s="14" t="str">
        <f t="shared" si="2"/>
        <v/>
      </c>
      <c r="K13" s="14" t="str">
        <f t="shared" si="3"/>
        <v/>
      </c>
      <c r="L13" s="14" t="str">
        <f t="shared" si="4"/>
        <v/>
      </c>
      <c r="M13" s="14" t="str">
        <f t="shared" si="5"/>
        <v/>
      </c>
      <c r="N13" s="14" t="str">
        <f t="shared" si="6"/>
        <v/>
      </c>
      <c r="O13" s="14" t="str">
        <f t="shared" si="7"/>
        <v/>
      </c>
      <c r="P13" s="14" t="str">
        <f t="shared" si="8"/>
        <v/>
      </c>
      <c r="Q13" s="14" t="str">
        <f t="shared" si="0"/>
        <v/>
      </c>
      <c r="R13" s="10"/>
    </row>
    <row r="14" spans="1:19" s="11" customFormat="1" x14ac:dyDescent="0.15">
      <c r="A14" s="13"/>
      <c r="B14" s="13"/>
      <c r="C14" s="13"/>
      <c r="D14" s="13"/>
      <c r="E14" s="14"/>
      <c r="F14" s="14" t="str">
        <f t="shared" si="10"/>
        <v/>
      </c>
      <c r="G14" s="15"/>
      <c r="H14" s="16" t="str">
        <f t="shared" si="9"/>
        <v/>
      </c>
      <c r="I14" s="14" t="str">
        <f t="shared" si="1"/>
        <v/>
      </c>
      <c r="J14" s="14" t="str">
        <f t="shared" si="2"/>
        <v/>
      </c>
      <c r="K14" s="14" t="str">
        <f t="shared" si="3"/>
        <v/>
      </c>
      <c r="L14" s="14" t="str">
        <f t="shared" si="4"/>
        <v/>
      </c>
      <c r="M14" s="14" t="str">
        <f t="shared" si="5"/>
        <v/>
      </c>
      <c r="N14" s="14" t="str">
        <f t="shared" si="6"/>
        <v/>
      </c>
      <c r="O14" s="14" t="str">
        <f t="shared" si="7"/>
        <v/>
      </c>
      <c r="P14" s="14" t="str">
        <f t="shared" si="8"/>
        <v/>
      </c>
      <c r="Q14" s="14" t="str">
        <f t="shared" si="0"/>
        <v/>
      </c>
      <c r="R14" s="10"/>
    </row>
    <row r="15" spans="1:19" s="11" customFormat="1" x14ac:dyDescent="0.15">
      <c r="A15" s="13"/>
      <c r="B15" s="13"/>
      <c r="C15" s="13"/>
      <c r="D15" s="13"/>
      <c r="E15" s="14"/>
      <c r="F15" s="14" t="str">
        <f t="shared" si="10"/>
        <v/>
      </c>
      <c r="G15" s="15"/>
      <c r="H15" s="16" t="str">
        <f t="shared" si="9"/>
        <v/>
      </c>
      <c r="I15" s="14" t="str">
        <f t="shared" si="1"/>
        <v/>
      </c>
      <c r="J15" s="14" t="str">
        <f t="shared" si="2"/>
        <v/>
      </c>
      <c r="K15" s="14" t="str">
        <f t="shared" si="3"/>
        <v/>
      </c>
      <c r="L15" s="14" t="str">
        <f t="shared" si="4"/>
        <v/>
      </c>
      <c r="M15" s="14" t="str">
        <f t="shared" si="5"/>
        <v/>
      </c>
      <c r="N15" s="14" t="str">
        <f t="shared" si="6"/>
        <v/>
      </c>
      <c r="O15" s="14" t="str">
        <f t="shared" si="7"/>
        <v/>
      </c>
      <c r="P15" s="14" t="str">
        <f t="shared" si="8"/>
        <v/>
      </c>
      <c r="Q15" s="14" t="str">
        <f t="shared" si="0"/>
        <v/>
      </c>
      <c r="R15" s="10"/>
    </row>
    <row r="16" spans="1:19" s="11" customFormat="1" x14ac:dyDescent="0.15">
      <c r="A16" s="13"/>
      <c r="B16" s="13"/>
      <c r="C16" s="13"/>
      <c r="D16" s="13"/>
      <c r="E16" s="14"/>
      <c r="F16" s="14" t="str">
        <f t="shared" si="10"/>
        <v/>
      </c>
      <c r="G16" s="15"/>
      <c r="H16" s="16" t="str">
        <f t="shared" si="9"/>
        <v/>
      </c>
      <c r="I16" s="14" t="str">
        <f t="shared" si="1"/>
        <v/>
      </c>
      <c r="J16" s="14" t="str">
        <f t="shared" si="2"/>
        <v/>
      </c>
      <c r="K16" s="14" t="str">
        <f t="shared" si="3"/>
        <v/>
      </c>
      <c r="L16" s="14" t="str">
        <f t="shared" si="4"/>
        <v/>
      </c>
      <c r="M16" s="14" t="str">
        <f t="shared" si="5"/>
        <v/>
      </c>
      <c r="N16" s="14" t="str">
        <f t="shared" si="6"/>
        <v/>
      </c>
      <c r="O16" s="14" t="str">
        <f t="shared" si="7"/>
        <v/>
      </c>
      <c r="P16" s="14" t="str">
        <f t="shared" si="8"/>
        <v/>
      </c>
      <c r="Q16" s="14" t="str">
        <f t="shared" si="0"/>
        <v/>
      </c>
      <c r="R16" s="10"/>
    </row>
    <row r="17" spans="1:18" s="11" customFormat="1" x14ac:dyDescent="0.15">
      <c r="A17" s="13"/>
      <c r="B17" s="13"/>
      <c r="C17" s="13"/>
      <c r="D17" s="13"/>
      <c r="E17" s="14"/>
      <c r="F17" s="14" t="str">
        <f t="shared" si="10"/>
        <v/>
      </c>
      <c r="G17" s="15"/>
      <c r="H17" s="16" t="str">
        <f t="shared" si="9"/>
        <v/>
      </c>
      <c r="I17" s="14" t="str">
        <f t="shared" si="1"/>
        <v/>
      </c>
      <c r="J17" s="14" t="str">
        <f t="shared" si="2"/>
        <v/>
      </c>
      <c r="K17" s="14" t="str">
        <f t="shared" si="3"/>
        <v/>
      </c>
      <c r="L17" s="14" t="str">
        <f t="shared" si="4"/>
        <v/>
      </c>
      <c r="M17" s="14" t="str">
        <f t="shared" si="5"/>
        <v/>
      </c>
      <c r="N17" s="14" t="str">
        <f t="shared" si="6"/>
        <v/>
      </c>
      <c r="O17" s="14" t="str">
        <f t="shared" si="7"/>
        <v/>
      </c>
      <c r="P17" s="14" t="str">
        <f t="shared" si="8"/>
        <v/>
      </c>
      <c r="Q17" s="14" t="str">
        <f t="shared" si="0"/>
        <v/>
      </c>
      <c r="R17" s="10"/>
    </row>
    <row r="18" spans="1:18" s="11" customFormat="1" x14ac:dyDescent="0.15">
      <c r="A18" s="13"/>
      <c r="B18" s="13"/>
      <c r="C18" s="13"/>
      <c r="D18" s="13"/>
      <c r="E18" s="14"/>
      <c r="F18" s="14" t="str">
        <f t="shared" si="10"/>
        <v/>
      </c>
      <c r="G18" s="15"/>
      <c r="H18" s="16" t="str">
        <f t="shared" si="9"/>
        <v/>
      </c>
      <c r="I18" s="14" t="str">
        <f t="shared" si="1"/>
        <v/>
      </c>
      <c r="J18" s="14" t="str">
        <f t="shared" si="2"/>
        <v/>
      </c>
      <c r="K18" s="14" t="str">
        <f t="shared" si="3"/>
        <v/>
      </c>
      <c r="L18" s="14" t="str">
        <f t="shared" si="4"/>
        <v/>
      </c>
      <c r="M18" s="14" t="str">
        <f t="shared" si="5"/>
        <v/>
      </c>
      <c r="N18" s="14" t="str">
        <f t="shared" si="6"/>
        <v/>
      </c>
      <c r="O18" s="14" t="str">
        <f t="shared" si="7"/>
        <v/>
      </c>
      <c r="P18" s="14" t="str">
        <f t="shared" si="8"/>
        <v/>
      </c>
      <c r="Q18" s="14" t="str">
        <f t="shared" si="0"/>
        <v/>
      </c>
      <c r="R18" s="10"/>
    </row>
    <row r="19" spans="1:18" s="11" customFormat="1" x14ac:dyDescent="0.15">
      <c r="A19" s="13"/>
      <c r="B19" s="13"/>
      <c r="C19" s="13"/>
      <c r="D19" s="13"/>
      <c r="E19" s="14"/>
      <c r="F19" s="14" t="str">
        <f t="shared" si="10"/>
        <v/>
      </c>
      <c r="G19" s="15"/>
      <c r="H19" s="16" t="str">
        <f t="shared" si="9"/>
        <v/>
      </c>
      <c r="I19" s="14" t="str">
        <f t="shared" ref="I19:I25" si="11">IF($H19="","",IF($H19*$I$2&gt;$F19,"",H19))</f>
        <v/>
      </c>
      <c r="J19" s="14" t="str">
        <f t="shared" ref="J19:J25" si="12">IF($H19="","",IF($H19*$J$2&gt;$F19,"",I19))</f>
        <v/>
      </c>
      <c r="K19" s="14" t="str">
        <f t="shared" ref="K19:K25" si="13">IF($H19="","",IF($H19*$K$2&gt;$F19,"",J19))</f>
        <v/>
      </c>
      <c r="L19" s="14" t="str">
        <f t="shared" ref="L19:L25" si="14">IF($H19="","",IF($H19*$L$2&gt;$F19,"",K19))</f>
        <v/>
      </c>
      <c r="M19" s="14" t="str">
        <f t="shared" ref="M19:M25" si="15">IF($H19="","",IF($H19*$M$2&gt;$F19,"",L19))</f>
        <v/>
      </c>
      <c r="N19" s="14" t="str">
        <f t="shared" ref="N19:N25" si="16">IF($H19="","",IF($H19*$N$2&gt;$F19,"",M19))</f>
        <v/>
      </c>
      <c r="O19" s="14" t="str">
        <f t="shared" ref="O19:O25" si="17">IF($H19="","",IF($H19*$O$2&gt;$F19,"",N19))</f>
        <v/>
      </c>
      <c r="P19" s="14" t="str">
        <f t="shared" ref="P19:P25" si="18">IF($H19="","",IF($H19*$P$2&gt;$F19,"",O19))</f>
        <v/>
      </c>
      <c r="Q19" s="14" t="str">
        <f t="shared" si="0"/>
        <v/>
      </c>
      <c r="R19" s="10"/>
    </row>
    <row r="20" spans="1:18" s="11" customFormat="1" x14ac:dyDescent="0.15">
      <c r="A20" s="13"/>
      <c r="B20" s="13"/>
      <c r="C20" s="13"/>
      <c r="D20" s="13"/>
      <c r="E20" s="14"/>
      <c r="F20" s="14" t="str">
        <f t="shared" si="10"/>
        <v/>
      </c>
      <c r="G20" s="15"/>
      <c r="H20" s="16" t="str">
        <f t="shared" si="9"/>
        <v/>
      </c>
      <c r="I20" s="14" t="str">
        <f t="shared" si="11"/>
        <v/>
      </c>
      <c r="J20" s="14" t="str">
        <f t="shared" si="12"/>
        <v/>
      </c>
      <c r="K20" s="14" t="str">
        <f t="shared" si="13"/>
        <v/>
      </c>
      <c r="L20" s="14" t="str">
        <f t="shared" si="14"/>
        <v/>
      </c>
      <c r="M20" s="14" t="str">
        <f t="shared" si="15"/>
        <v/>
      </c>
      <c r="N20" s="14" t="str">
        <f t="shared" si="16"/>
        <v/>
      </c>
      <c r="O20" s="14" t="str">
        <f t="shared" si="17"/>
        <v/>
      </c>
      <c r="P20" s="14" t="str">
        <f t="shared" si="18"/>
        <v/>
      </c>
      <c r="Q20" s="14" t="str">
        <f t="shared" si="0"/>
        <v/>
      </c>
      <c r="R20" s="10"/>
    </row>
    <row r="21" spans="1:18" s="11" customFormat="1" x14ac:dyDescent="0.15">
      <c r="A21" s="13"/>
      <c r="B21" s="13"/>
      <c r="C21" s="13"/>
      <c r="D21" s="13"/>
      <c r="E21" s="14"/>
      <c r="F21" s="14" t="str">
        <f t="shared" si="10"/>
        <v/>
      </c>
      <c r="G21" s="15"/>
      <c r="H21" s="16" t="str">
        <f t="shared" si="9"/>
        <v/>
      </c>
      <c r="I21" s="14" t="str">
        <f t="shared" si="11"/>
        <v/>
      </c>
      <c r="J21" s="14" t="str">
        <f t="shared" si="12"/>
        <v/>
      </c>
      <c r="K21" s="14" t="str">
        <f t="shared" si="13"/>
        <v/>
      </c>
      <c r="L21" s="14" t="str">
        <f t="shared" si="14"/>
        <v/>
      </c>
      <c r="M21" s="14" t="str">
        <f t="shared" si="15"/>
        <v/>
      </c>
      <c r="N21" s="14" t="str">
        <f t="shared" si="16"/>
        <v/>
      </c>
      <c r="O21" s="14" t="str">
        <f t="shared" si="17"/>
        <v/>
      </c>
      <c r="P21" s="14" t="str">
        <f t="shared" si="18"/>
        <v/>
      </c>
      <c r="Q21" s="14" t="str">
        <f t="shared" si="0"/>
        <v/>
      </c>
      <c r="R21" s="10"/>
    </row>
    <row r="22" spans="1:18" s="11" customFormat="1" x14ac:dyDescent="0.15">
      <c r="A22" s="13"/>
      <c r="B22" s="13"/>
      <c r="C22" s="13"/>
      <c r="D22" s="13"/>
      <c r="E22" s="14"/>
      <c r="F22" s="14" t="str">
        <f t="shared" si="10"/>
        <v/>
      </c>
      <c r="G22" s="15"/>
      <c r="H22" s="16" t="str">
        <f t="shared" si="9"/>
        <v/>
      </c>
      <c r="I22" s="14" t="str">
        <f t="shared" si="11"/>
        <v/>
      </c>
      <c r="J22" s="14" t="str">
        <f t="shared" si="12"/>
        <v/>
      </c>
      <c r="K22" s="14" t="str">
        <f t="shared" si="13"/>
        <v/>
      </c>
      <c r="L22" s="14" t="str">
        <f t="shared" si="14"/>
        <v/>
      </c>
      <c r="M22" s="14" t="str">
        <f t="shared" si="15"/>
        <v/>
      </c>
      <c r="N22" s="14" t="str">
        <f t="shared" si="16"/>
        <v/>
      </c>
      <c r="O22" s="14" t="str">
        <f t="shared" si="17"/>
        <v/>
      </c>
      <c r="P22" s="14" t="str">
        <f t="shared" si="18"/>
        <v/>
      </c>
      <c r="Q22" s="14" t="str">
        <f t="shared" si="0"/>
        <v/>
      </c>
      <c r="R22" s="10"/>
    </row>
    <row r="23" spans="1:18" s="11" customFormat="1" x14ac:dyDescent="0.15">
      <c r="A23" s="13"/>
      <c r="B23" s="13"/>
      <c r="C23" s="13"/>
      <c r="D23" s="13"/>
      <c r="E23" s="14"/>
      <c r="F23" s="14" t="str">
        <f t="shared" si="10"/>
        <v/>
      </c>
      <c r="G23" s="15"/>
      <c r="H23" s="16" t="str">
        <f t="shared" si="9"/>
        <v/>
      </c>
      <c r="I23" s="14" t="str">
        <f t="shared" si="11"/>
        <v/>
      </c>
      <c r="J23" s="14" t="str">
        <f t="shared" si="12"/>
        <v/>
      </c>
      <c r="K23" s="14" t="str">
        <f t="shared" si="13"/>
        <v/>
      </c>
      <c r="L23" s="14" t="str">
        <f t="shared" si="14"/>
        <v/>
      </c>
      <c r="M23" s="14" t="str">
        <f t="shared" si="15"/>
        <v/>
      </c>
      <c r="N23" s="14" t="str">
        <f t="shared" si="16"/>
        <v/>
      </c>
      <c r="O23" s="14" t="str">
        <f t="shared" si="17"/>
        <v/>
      </c>
      <c r="P23" s="14" t="str">
        <f t="shared" si="18"/>
        <v/>
      </c>
      <c r="Q23" s="14" t="str">
        <f t="shared" si="0"/>
        <v/>
      </c>
      <c r="R23" s="10"/>
    </row>
    <row r="24" spans="1:18" s="11" customFormat="1" x14ac:dyDescent="0.15">
      <c r="A24" s="13"/>
      <c r="B24" s="13"/>
      <c r="C24" s="13"/>
      <c r="D24" s="13"/>
      <c r="E24" s="14"/>
      <c r="F24" s="14" t="str">
        <f t="shared" si="10"/>
        <v/>
      </c>
      <c r="G24" s="15"/>
      <c r="H24" s="16" t="str">
        <f t="shared" si="9"/>
        <v/>
      </c>
      <c r="I24" s="14" t="str">
        <f t="shared" si="11"/>
        <v/>
      </c>
      <c r="J24" s="14" t="str">
        <f t="shared" si="12"/>
        <v/>
      </c>
      <c r="K24" s="14" t="str">
        <f t="shared" si="13"/>
        <v/>
      </c>
      <c r="L24" s="14" t="str">
        <f t="shared" si="14"/>
        <v/>
      </c>
      <c r="M24" s="14" t="str">
        <f t="shared" si="15"/>
        <v/>
      </c>
      <c r="N24" s="14" t="str">
        <f t="shared" si="16"/>
        <v/>
      </c>
      <c r="O24" s="14" t="str">
        <f t="shared" si="17"/>
        <v/>
      </c>
      <c r="P24" s="14" t="str">
        <f t="shared" si="18"/>
        <v/>
      </c>
      <c r="Q24" s="14" t="str">
        <f t="shared" si="0"/>
        <v/>
      </c>
      <c r="R24" s="10"/>
    </row>
    <row r="25" spans="1:18" s="11" customFormat="1" x14ac:dyDescent="0.15">
      <c r="A25" s="13"/>
      <c r="B25" s="13"/>
      <c r="C25" s="13"/>
      <c r="D25" s="13"/>
      <c r="E25" s="14"/>
      <c r="F25" s="14" t="str">
        <f t="shared" si="10"/>
        <v/>
      </c>
      <c r="G25" s="15"/>
      <c r="H25" s="16" t="str">
        <f t="shared" si="9"/>
        <v/>
      </c>
      <c r="I25" s="14" t="str">
        <f t="shared" si="11"/>
        <v/>
      </c>
      <c r="J25" s="14" t="str">
        <f t="shared" si="12"/>
        <v/>
      </c>
      <c r="K25" s="14" t="str">
        <f t="shared" si="13"/>
        <v/>
      </c>
      <c r="L25" s="14" t="str">
        <f t="shared" si="14"/>
        <v/>
      </c>
      <c r="M25" s="14" t="str">
        <f t="shared" si="15"/>
        <v/>
      </c>
      <c r="N25" s="14" t="str">
        <f t="shared" si="16"/>
        <v/>
      </c>
      <c r="O25" s="14" t="str">
        <f t="shared" si="17"/>
        <v/>
      </c>
      <c r="P25" s="14" t="str">
        <f t="shared" si="18"/>
        <v/>
      </c>
      <c r="Q25" s="14" t="str">
        <f t="shared" si="0"/>
        <v/>
      </c>
      <c r="R25" s="10"/>
    </row>
    <row r="26" spans="1:18" s="11" customFormat="1" x14ac:dyDescent="0.15">
      <c r="A26" s="13"/>
      <c r="B26" s="13"/>
      <c r="C26" s="13"/>
      <c r="D26" s="13"/>
      <c r="E26" s="14"/>
      <c r="F26" s="14" t="str">
        <f t="shared" si="10"/>
        <v/>
      </c>
      <c r="G26" s="15"/>
      <c r="H26" s="16" t="str">
        <f t="shared" si="9"/>
        <v/>
      </c>
      <c r="I26" s="14" t="str">
        <f t="shared" si="1"/>
        <v/>
      </c>
      <c r="J26" s="14" t="str">
        <f t="shared" si="2"/>
        <v/>
      </c>
      <c r="K26" s="14" t="str">
        <f t="shared" si="3"/>
        <v/>
      </c>
      <c r="L26" s="14" t="str">
        <f t="shared" si="4"/>
        <v/>
      </c>
      <c r="M26" s="14" t="str">
        <f t="shared" si="5"/>
        <v/>
      </c>
      <c r="N26" s="14" t="str">
        <f t="shared" si="6"/>
        <v/>
      </c>
      <c r="O26" s="14" t="str">
        <f t="shared" si="7"/>
        <v/>
      </c>
      <c r="P26" s="14" t="str">
        <f t="shared" si="8"/>
        <v/>
      </c>
      <c r="Q26" s="14" t="str">
        <f t="shared" si="0"/>
        <v/>
      </c>
      <c r="R26" s="10"/>
    </row>
    <row r="27" spans="1:18" s="11" customFormat="1" x14ac:dyDescent="0.15">
      <c r="A27" s="13"/>
      <c r="B27" s="13"/>
      <c r="C27" s="13"/>
      <c r="D27" s="13"/>
      <c r="E27" s="14"/>
      <c r="F27" s="14" t="str">
        <f t="shared" si="10"/>
        <v/>
      </c>
      <c r="G27" s="15"/>
      <c r="H27" s="16" t="str">
        <f t="shared" si="9"/>
        <v/>
      </c>
      <c r="I27" s="14" t="str">
        <f t="shared" si="1"/>
        <v/>
      </c>
      <c r="J27" s="14" t="str">
        <f t="shared" si="2"/>
        <v/>
      </c>
      <c r="K27" s="14" t="str">
        <f t="shared" si="3"/>
        <v/>
      </c>
      <c r="L27" s="14" t="str">
        <f t="shared" si="4"/>
        <v/>
      </c>
      <c r="M27" s="14" t="str">
        <f t="shared" si="5"/>
        <v/>
      </c>
      <c r="N27" s="14" t="str">
        <f t="shared" si="6"/>
        <v/>
      </c>
      <c r="O27" s="14" t="str">
        <f t="shared" si="7"/>
        <v/>
      </c>
      <c r="P27" s="14" t="str">
        <f t="shared" si="8"/>
        <v/>
      </c>
      <c r="Q27" s="14" t="str">
        <f t="shared" si="0"/>
        <v/>
      </c>
      <c r="R27" s="10"/>
    </row>
    <row r="28" spans="1:18" s="11" customFormat="1" x14ac:dyDescent="0.15">
      <c r="A28" s="13"/>
      <c r="B28" s="13"/>
      <c r="C28" s="13"/>
      <c r="D28" s="13"/>
      <c r="E28" s="14"/>
      <c r="F28" s="14" t="str">
        <f t="shared" si="10"/>
        <v/>
      </c>
      <c r="G28" s="15"/>
      <c r="H28" s="16" t="str">
        <f t="shared" si="9"/>
        <v/>
      </c>
      <c r="I28" s="14" t="str">
        <f t="shared" si="1"/>
        <v/>
      </c>
      <c r="J28" s="14" t="str">
        <f t="shared" si="2"/>
        <v/>
      </c>
      <c r="K28" s="14" t="str">
        <f t="shared" si="3"/>
        <v/>
      </c>
      <c r="L28" s="14" t="str">
        <f t="shared" si="4"/>
        <v/>
      </c>
      <c r="M28" s="14" t="str">
        <f t="shared" si="5"/>
        <v/>
      </c>
      <c r="N28" s="14" t="str">
        <f t="shared" si="6"/>
        <v/>
      </c>
      <c r="O28" s="14" t="str">
        <f t="shared" si="7"/>
        <v/>
      </c>
      <c r="P28" s="14" t="str">
        <f t="shared" si="8"/>
        <v/>
      </c>
      <c r="Q28" s="14" t="str">
        <f t="shared" si="0"/>
        <v/>
      </c>
      <c r="R28" s="10"/>
    </row>
    <row r="29" spans="1:18" s="11" customFormat="1" x14ac:dyDescent="0.15">
      <c r="A29" s="13"/>
      <c r="B29" s="13"/>
      <c r="C29" s="13"/>
      <c r="D29" s="13"/>
      <c r="E29" s="14"/>
      <c r="F29" s="14" t="str">
        <f t="shared" si="10"/>
        <v/>
      </c>
      <c r="G29" s="15"/>
      <c r="H29" s="16" t="str">
        <f t="shared" si="9"/>
        <v/>
      </c>
      <c r="I29" s="14" t="str">
        <f t="shared" si="1"/>
        <v/>
      </c>
      <c r="J29" s="14" t="str">
        <f t="shared" si="2"/>
        <v/>
      </c>
      <c r="K29" s="14" t="str">
        <f t="shared" si="3"/>
        <v/>
      </c>
      <c r="L29" s="14" t="str">
        <f t="shared" si="4"/>
        <v/>
      </c>
      <c r="M29" s="14" t="str">
        <f t="shared" si="5"/>
        <v/>
      </c>
      <c r="N29" s="14" t="str">
        <f t="shared" si="6"/>
        <v/>
      </c>
      <c r="O29" s="14" t="str">
        <f t="shared" si="7"/>
        <v/>
      </c>
      <c r="P29" s="14" t="str">
        <f t="shared" si="8"/>
        <v/>
      </c>
      <c r="Q29" s="14" t="str">
        <f t="shared" si="0"/>
        <v/>
      </c>
      <c r="R29" s="10"/>
    </row>
    <row r="30" spans="1:18" s="11" customFormat="1" x14ac:dyDescent="0.15">
      <c r="A30" s="13"/>
      <c r="B30" s="13"/>
      <c r="C30" s="13"/>
      <c r="D30" s="13"/>
      <c r="E30" s="14"/>
      <c r="F30" s="14" t="str">
        <f t="shared" si="10"/>
        <v/>
      </c>
      <c r="G30" s="15"/>
      <c r="H30" s="16" t="str">
        <f t="shared" si="9"/>
        <v/>
      </c>
      <c r="I30" s="14" t="str">
        <f t="shared" si="1"/>
        <v/>
      </c>
      <c r="J30" s="14" t="str">
        <f t="shared" si="2"/>
        <v/>
      </c>
      <c r="K30" s="14" t="str">
        <f t="shared" si="3"/>
        <v/>
      </c>
      <c r="L30" s="14" t="str">
        <f t="shared" si="4"/>
        <v/>
      </c>
      <c r="M30" s="14" t="str">
        <f t="shared" si="5"/>
        <v/>
      </c>
      <c r="N30" s="14" t="str">
        <f t="shared" si="6"/>
        <v/>
      </c>
      <c r="O30" s="14" t="str">
        <f t="shared" si="7"/>
        <v/>
      </c>
      <c r="P30" s="14" t="str">
        <f t="shared" si="8"/>
        <v/>
      </c>
      <c r="Q30" s="14" t="str">
        <f t="shared" si="0"/>
        <v/>
      </c>
      <c r="R30" s="10"/>
    </row>
    <row r="31" spans="1:18" s="11" customFormat="1" x14ac:dyDescent="0.15">
      <c r="A31" s="13"/>
      <c r="B31" s="13"/>
      <c r="C31" s="13"/>
      <c r="D31" s="13"/>
      <c r="E31" s="14"/>
      <c r="F31" s="14" t="str">
        <f t="shared" si="10"/>
        <v/>
      </c>
      <c r="G31" s="15"/>
      <c r="H31" s="16" t="str">
        <f t="shared" si="9"/>
        <v/>
      </c>
      <c r="I31" s="14" t="str">
        <f t="shared" si="1"/>
        <v/>
      </c>
      <c r="J31" s="14" t="str">
        <f t="shared" si="2"/>
        <v/>
      </c>
      <c r="K31" s="14" t="str">
        <f t="shared" si="3"/>
        <v/>
      </c>
      <c r="L31" s="14" t="str">
        <f t="shared" si="4"/>
        <v/>
      </c>
      <c r="M31" s="14" t="str">
        <f t="shared" si="5"/>
        <v/>
      </c>
      <c r="N31" s="14" t="str">
        <f t="shared" si="6"/>
        <v/>
      </c>
      <c r="O31" s="14" t="str">
        <f t="shared" si="7"/>
        <v/>
      </c>
      <c r="P31" s="14" t="str">
        <f t="shared" si="8"/>
        <v/>
      </c>
      <c r="Q31" s="14" t="str">
        <f t="shared" si="0"/>
        <v/>
      </c>
      <c r="R31" s="10"/>
    </row>
    <row r="32" spans="1:18" s="11" customFormat="1" x14ac:dyDescent="0.15">
      <c r="A32" s="13"/>
      <c r="B32" s="13"/>
      <c r="C32" s="13"/>
      <c r="D32" s="13"/>
      <c r="E32" s="14"/>
      <c r="F32" s="14" t="str">
        <f t="shared" si="10"/>
        <v/>
      </c>
      <c r="G32" s="17"/>
      <c r="H32" s="16" t="str">
        <f t="shared" si="9"/>
        <v/>
      </c>
      <c r="I32" s="14" t="str">
        <f t="shared" si="1"/>
        <v/>
      </c>
      <c r="J32" s="14" t="str">
        <f t="shared" si="2"/>
        <v/>
      </c>
      <c r="K32" s="14" t="str">
        <f t="shared" si="3"/>
        <v/>
      </c>
      <c r="L32" s="14" t="str">
        <f t="shared" si="4"/>
        <v/>
      </c>
      <c r="M32" s="14" t="str">
        <f t="shared" si="5"/>
        <v/>
      </c>
      <c r="N32" s="14" t="str">
        <f t="shared" si="6"/>
        <v/>
      </c>
      <c r="O32" s="14" t="str">
        <f t="shared" si="7"/>
        <v/>
      </c>
      <c r="P32" s="14" t="str">
        <f t="shared" si="8"/>
        <v/>
      </c>
      <c r="Q32" s="14" t="str">
        <f t="shared" si="0"/>
        <v/>
      </c>
      <c r="R32" s="10"/>
    </row>
    <row r="33" s="11" customFormat="1" x14ac:dyDescent="0.15"/>
    <row r="34" s="11" customFormat="1" x14ac:dyDescent="0.15"/>
    <row r="35" s="11" customFormat="1" x14ac:dyDescent="0.15"/>
    <row r="36" s="11" customFormat="1" x14ac:dyDescent="0.15"/>
    <row r="37" s="11" customFormat="1" x14ac:dyDescent="0.15"/>
    <row r="38" s="11" customFormat="1" x14ac:dyDescent="0.15"/>
    <row r="39" s="11" customFormat="1" x14ac:dyDescent="0.15"/>
    <row r="40" s="11" customFormat="1" x14ac:dyDescent="0.15"/>
    <row r="41" s="11" customFormat="1" x14ac:dyDescent="0.15"/>
    <row r="42" s="11" customFormat="1" x14ac:dyDescent="0.15"/>
    <row r="43" s="11" customFormat="1" x14ac:dyDescent="0.15"/>
    <row r="44" s="11" customFormat="1" x14ac:dyDescent="0.15"/>
    <row r="45" s="11" customFormat="1" x14ac:dyDescent="0.15"/>
    <row r="46" s="11" customFormat="1" x14ac:dyDescent="0.15"/>
    <row r="47" s="11" customFormat="1" x14ac:dyDescent="0.15"/>
    <row r="48" s="11" customFormat="1" x14ac:dyDescent="0.15"/>
    <row r="49" s="11" customFormat="1" x14ac:dyDescent="0.15"/>
    <row r="50" s="11" customFormat="1" x14ac:dyDescent="0.15"/>
    <row r="51" s="11" customFormat="1" x14ac:dyDescent="0.15"/>
    <row r="52" s="11" customFormat="1" x14ac:dyDescent="0.15"/>
    <row r="53" s="11" customFormat="1" x14ac:dyDescent="0.15"/>
    <row r="54" s="11" customFormat="1" x14ac:dyDescent="0.15"/>
    <row r="55" s="11" customFormat="1" x14ac:dyDescent="0.15"/>
    <row r="56" s="11" customFormat="1" x14ac:dyDescent="0.15"/>
    <row r="57" s="11" customFormat="1" x14ac:dyDescent="0.15"/>
    <row r="58" s="11" customFormat="1" x14ac:dyDescent="0.15"/>
    <row r="59" s="11" customFormat="1" x14ac:dyDescent="0.15"/>
    <row r="60" s="11" customFormat="1" x14ac:dyDescent="0.15"/>
    <row r="61" s="11" customFormat="1" x14ac:dyDescent="0.15"/>
    <row r="62" s="11" customFormat="1" x14ac:dyDescent="0.15"/>
    <row r="63" s="11" customFormat="1" x14ac:dyDescent="0.15"/>
    <row r="64" s="11" customFormat="1" x14ac:dyDescent="0.15"/>
    <row r="65" s="11" customFormat="1" x14ac:dyDescent="0.15"/>
    <row r="66" s="11" customFormat="1" x14ac:dyDescent="0.15"/>
    <row r="67" s="11" customFormat="1" x14ac:dyDescent="0.15"/>
    <row r="68" s="11" customFormat="1" x14ac:dyDescent="0.15"/>
    <row r="69" s="11" customFormat="1" x14ac:dyDescent="0.15"/>
    <row r="70" s="11" customFormat="1" x14ac:dyDescent="0.15"/>
    <row r="71" s="11" customFormat="1" x14ac:dyDescent="0.15"/>
    <row r="72" s="11" customFormat="1" x14ac:dyDescent="0.15"/>
    <row r="73" s="11" customFormat="1" x14ac:dyDescent="0.15"/>
    <row r="74" s="11" customFormat="1" x14ac:dyDescent="0.15"/>
    <row r="75" s="11" customFormat="1" x14ac:dyDescent="0.15"/>
    <row r="76" s="11" customFormat="1" x14ac:dyDescent="0.15"/>
    <row r="77" s="11" customFormat="1" x14ac:dyDescent="0.15"/>
  </sheetData>
  <mergeCells count="8">
    <mergeCell ref="A1:Q1"/>
    <mergeCell ref="A2:A3"/>
    <mergeCell ref="B2:B3"/>
    <mergeCell ref="D2:D3"/>
    <mergeCell ref="E2:E3"/>
    <mergeCell ref="F2:F3"/>
    <mergeCell ref="G2:G3"/>
    <mergeCell ref="C2:C3"/>
  </mergeCells>
  <phoneticPr fontId="2" type="noConversion"/>
  <dataValidations count="1">
    <dataValidation type="list" allowBlank="1" showInputMessage="1" showErrorMessage="1" errorTitle="PRRENCHIMENTO INCORRETO" error="Escolha apenas uma das opções anteriores." sqref="D4:D32" xr:uid="{00000000-0002-0000-0000-000000000000}">
      <formula1>$S$2:$S$4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</cp:lastModifiedBy>
  <cp:lastPrinted>2009-01-28T16:09:21Z</cp:lastPrinted>
  <dcterms:created xsi:type="dcterms:W3CDTF">2009-01-27T22:27:22Z</dcterms:created>
  <dcterms:modified xsi:type="dcterms:W3CDTF">2018-04-14T18:11:12Z</dcterms:modified>
</cp:coreProperties>
</file>