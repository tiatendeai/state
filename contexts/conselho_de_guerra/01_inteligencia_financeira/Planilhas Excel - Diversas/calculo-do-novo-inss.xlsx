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Tabela de Calculos INSS" sheetId="1" r:id="rId1"/>
  </sheets>
  <calcPr calcId="145621"/>
</workbook>
</file>

<file path=xl/calcChain.xml><?xml version="1.0" encoding="utf-8"?>
<calcChain xmlns="http://schemas.openxmlformats.org/spreadsheetml/2006/main">
  <c r="K4" i="1" l="1"/>
  <c r="E5" i="1" l="1"/>
  <c r="F5" i="1" s="1"/>
  <c r="G5" i="1" s="1"/>
  <c r="E6" i="1"/>
  <c r="E7" i="1"/>
  <c r="F7" i="1" s="1"/>
  <c r="I6" i="1"/>
  <c r="K6" i="1" s="1"/>
  <c r="I5" i="1"/>
  <c r="K5" i="1" s="1"/>
  <c r="G4" i="1"/>
  <c r="F4" i="1"/>
  <c r="L4" i="1"/>
  <c r="I7" i="1" l="1"/>
  <c r="K7" i="1" s="1"/>
  <c r="L5" i="1"/>
  <c r="F6" i="1"/>
  <c r="G6" i="1" l="1"/>
  <c r="L6" i="1" s="1"/>
  <c r="G7" i="1"/>
  <c r="L7" i="1"/>
</calcChain>
</file>

<file path=xl/sharedStrings.xml><?xml version="1.0" encoding="utf-8"?>
<sst xmlns="http://schemas.openxmlformats.org/spreadsheetml/2006/main" count="15" uniqueCount="15">
  <si>
    <t>Tabela INSS 2020 - Faixas Progressivas</t>
  </si>
  <si>
    <t>De</t>
  </si>
  <si>
    <t>Até</t>
  </si>
  <si>
    <t>Aliquota</t>
  </si>
  <si>
    <t>Parcela a Deduzir</t>
  </si>
  <si>
    <t>Faixas</t>
  </si>
  <si>
    <t>Valor da Contribuição a Recolher</t>
  </si>
  <si>
    <t>Valor Padrão da Contribuição</t>
  </si>
  <si>
    <t>Teto Permitido para 2020 - R$ 713,08</t>
  </si>
  <si>
    <t>Diferença entre as faixas</t>
  </si>
  <si>
    <t>Digite o Salário Abaixo</t>
  </si>
  <si>
    <t>Observação</t>
  </si>
  <si>
    <t>marquescursosetreinamentos@gmail.com</t>
  </si>
  <si>
    <t>http://bit.ly/2RM5D7I</t>
  </si>
  <si>
    <t>Quer ser um Expert em MEI Click no Link&gt;&gt;&gt;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</si>
</sst>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R$&quot;\ #,##0.00"/>
    <numFmt numFmtId="165" formatCode="0.0%"/>
    <numFmt numFmtId="166" formatCode="&quot;R$&quot;\ #,##0.000"/>
    <numFmt numFmtId="167" formatCode="&quot;R$&quot;\ #,##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/>
    <xf numFmtId="9" fontId="0" fillId="0" borderId="0" xfId="1" applyFont="1" applyAlignment="1">
      <alignment horizontal="center"/>
    </xf>
    <xf numFmtId="165" fontId="0" fillId="0" borderId="0" xfId="1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9" fontId="4" fillId="7" borderId="0" xfId="1" applyFont="1" applyFill="1" applyAlignment="1">
      <alignment horizontal="center" vertical="center"/>
    </xf>
    <xf numFmtId="164" fontId="4" fillId="7" borderId="0" xfId="1" applyNumberFormat="1" applyFont="1" applyFill="1" applyAlignment="1">
      <alignment horizontal="center" vertical="center" wrapText="1"/>
    </xf>
    <xf numFmtId="164" fontId="0" fillId="7" borderId="0" xfId="1" applyNumberFormat="1" applyFont="1" applyFill="1" applyAlignment="1">
      <alignment horizontal="center"/>
    </xf>
    <xf numFmtId="10" fontId="0" fillId="7" borderId="0" xfId="1" applyNumberFormat="1" applyFont="1" applyFill="1" applyAlignment="1">
      <alignment horizontal="center"/>
    </xf>
    <xf numFmtId="10" fontId="4" fillId="2" borderId="0" xfId="1" applyNumberFormat="1" applyFont="1" applyFill="1" applyAlignment="1">
      <alignment horizontal="center" vertical="center" wrapText="1"/>
    </xf>
    <xf numFmtId="10" fontId="0" fillId="2" borderId="0" xfId="1" applyNumberFormat="1" applyFont="1" applyFill="1" applyAlignment="1">
      <alignment horizontal="center"/>
    </xf>
    <xf numFmtId="10" fontId="0" fillId="0" borderId="0" xfId="1" applyNumberFormat="1" applyFont="1" applyAlignment="1">
      <alignment horizontal="center"/>
    </xf>
    <xf numFmtId="164" fontId="3" fillId="6" borderId="0" xfId="0" applyNumberFormat="1" applyFont="1" applyFill="1" applyAlignment="1">
      <alignment horizontal="center" vertical="center" wrapText="1"/>
    </xf>
    <xf numFmtId="166" fontId="4" fillId="2" borderId="0" xfId="1" applyNumberFormat="1" applyFont="1" applyFill="1" applyAlignment="1">
      <alignment horizontal="center"/>
    </xf>
    <xf numFmtId="0" fontId="0" fillId="0" borderId="0" xfId="0" applyFont="1" applyFill="1" applyProtection="1"/>
    <xf numFmtId="0" fontId="9" fillId="0" borderId="0" xfId="0" applyFont="1" applyFill="1" applyAlignment="1" applyProtection="1">
      <alignment wrapText="1"/>
    </xf>
    <xf numFmtId="0" fontId="0" fillId="4" borderId="0" xfId="0" applyFont="1" applyFill="1" applyProtection="1"/>
    <xf numFmtId="0" fontId="10" fillId="4" borderId="0" xfId="0" applyFont="1" applyFill="1" applyAlignment="1" applyProtection="1">
      <alignment horizontal="center" vertical="center"/>
    </xf>
    <xf numFmtId="164" fontId="7" fillId="6" borderId="0" xfId="0" applyNumberFormat="1" applyFont="1" applyFill="1" applyProtection="1">
      <protection locked="0"/>
    </xf>
    <xf numFmtId="167" fontId="6" fillId="5" borderId="0" xfId="0" applyNumberFormat="1" applyFont="1" applyFill="1" applyAlignment="1">
      <alignment horizontal="center" vertical="center" wrapText="1"/>
    </xf>
    <xf numFmtId="167" fontId="8" fillId="5" borderId="0" xfId="0" applyNumberFormat="1" applyFont="1" applyFill="1"/>
    <xf numFmtId="167" fontId="0" fillId="0" borderId="0" xfId="0" applyNumberFormat="1"/>
    <xf numFmtId="0" fontId="4" fillId="5" borderId="0" xfId="0" applyFont="1" applyFill="1" applyAlignment="1" applyProtection="1">
      <alignment horizontal="center" vertical="center"/>
      <protection locked="0"/>
    </xf>
    <xf numFmtId="164" fontId="4" fillId="5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/>
      <protection locked="0"/>
    </xf>
    <xf numFmtId="164" fontId="0" fillId="2" borderId="0" xfId="0" applyNumberFormat="1" applyFill="1" applyProtection="1">
      <protection locked="0"/>
    </xf>
    <xf numFmtId="0" fontId="4" fillId="5" borderId="0" xfId="0" applyFont="1" applyFill="1" applyAlignment="1" applyProtection="1">
      <alignment horizontal="center"/>
      <protection locked="0"/>
    </xf>
    <xf numFmtId="164" fontId="0" fillId="5" borderId="0" xfId="0" applyNumberFormat="1" applyFill="1" applyProtection="1">
      <protection locked="0"/>
    </xf>
    <xf numFmtId="164" fontId="5" fillId="2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right"/>
    </xf>
    <xf numFmtId="164" fontId="4" fillId="2" borderId="0" xfId="1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0" xfId="0" applyFont="1" applyFill="1" applyAlignment="1" applyProtection="1">
      <alignment horizontal="center" wrapText="1"/>
    </xf>
    <xf numFmtId="166" fontId="0" fillId="2" borderId="0" xfId="1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0" fillId="2" borderId="0" xfId="0" applyNumberFormat="1" applyFill="1"/>
    <xf numFmtId="9" fontId="0" fillId="2" borderId="0" xfId="1" applyFont="1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167" fontId="0" fillId="2" borderId="0" xfId="0" applyNumberFormat="1" applyFill="1"/>
    <xf numFmtId="0" fontId="0" fillId="2" borderId="0" xfId="0" applyFont="1" applyFill="1" applyProtection="1"/>
    <xf numFmtId="0" fontId="12" fillId="2" borderId="0" xfId="2" applyFont="1" applyFill="1" applyAlignment="1">
      <alignment horizontal="center"/>
    </xf>
    <xf numFmtId="0" fontId="11" fillId="2" borderId="0" xfId="2" applyFill="1" applyAlignment="1">
      <alignment horizontal="left"/>
    </xf>
    <xf numFmtId="0" fontId="4" fillId="2" borderId="0" xfId="0" applyFont="1" applyFill="1" applyAlignment="1">
      <alignment horizontal="right"/>
    </xf>
  </cellXfs>
  <cellStyles count="3">
    <cellStyle name="Hiperlink" xfId="2" builtinId="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bit.ly/2RM5D7I" TargetMode="External"/><Relationship Id="rId1" Type="http://schemas.openxmlformats.org/officeDocument/2006/relationships/hyperlink" Target="mailto:marquescursosetreinament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J4" sqref="J4"/>
    </sheetView>
  </sheetViews>
  <sheetFormatPr defaultColWidth="0" defaultRowHeight="15" zeroHeight="1" x14ac:dyDescent="0.25"/>
  <cols>
    <col min="1" max="1" width="9.140625" style="2" customWidth="1"/>
    <col min="2" max="2" width="11.5703125" style="3" customWidth="1"/>
    <col min="3" max="3" width="10.7109375" style="3" bestFit="1" customWidth="1"/>
    <col min="4" max="4" width="11.85546875" style="4" customWidth="1"/>
    <col min="5" max="5" width="14.42578125" style="8" customWidth="1"/>
    <col min="6" max="6" width="12.28515625" style="8" bestFit="1" customWidth="1"/>
    <col min="7" max="7" width="12.28515625" style="8" customWidth="1"/>
    <col min="8" max="8" width="12.28515625" style="16" customWidth="1"/>
    <col min="9" max="9" width="9.140625" style="1" customWidth="1"/>
    <col min="10" max="10" width="14.85546875" bestFit="1" customWidth="1"/>
    <col min="11" max="11" width="16.42578125" style="26" bestFit="1" customWidth="1"/>
    <col min="12" max="12" width="14.85546875" style="19" customWidth="1"/>
    <col min="13" max="16384" width="9.140625" hidden="1"/>
  </cols>
  <sheetData>
    <row r="1" spans="1:12" ht="18.75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21"/>
    </row>
    <row r="2" spans="1:12" ht="18.75" x14ac:dyDescent="0.3">
      <c r="A2" s="34" t="s">
        <v>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21"/>
    </row>
    <row r="3" spans="1:12" s="2" customFormat="1" ht="45" x14ac:dyDescent="0.25">
      <c r="A3" s="27" t="s">
        <v>5</v>
      </c>
      <c r="B3" s="28" t="s">
        <v>1</v>
      </c>
      <c r="C3" s="28" t="s">
        <v>2</v>
      </c>
      <c r="D3" s="10" t="s">
        <v>3</v>
      </c>
      <c r="E3" s="11" t="s">
        <v>9</v>
      </c>
      <c r="F3" s="35" t="s">
        <v>7</v>
      </c>
      <c r="G3" s="35"/>
      <c r="H3" s="14"/>
      <c r="I3" s="6" t="s">
        <v>4</v>
      </c>
      <c r="J3" s="17" t="s">
        <v>10</v>
      </c>
      <c r="K3" s="24" t="s">
        <v>6</v>
      </c>
      <c r="L3" s="22" t="s">
        <v>11</v>
      </c>
    </row>
    <row r="4" spans="1:12" ht="30.75" x14ac:dyDescent="0.3">
      <c r="A4" s="29">
        <v>1</v>
      </c>
      <c r="B4" s="30"/>
      <c r="C4" s="30">
        <v>1045</v>
      </c>
      <c r="D4" s="13">
        <v>7.4999999999999997E-2</v>
      </c>
      <c r="E4" s="12">
        <v>0</v>
      </c>
      <c r="F4" s="18">
        <f>C4*D4</f>
        <v>78.375</v>
      </c>
      <c r="G4" s="18">
        <f>F4</f>
        <v>78.375</v>
      </c>
      <c r="H4" s="15"/>
      <c r="I4" s="7">
        <v>0</v>
      </c>
      <c r="J4" s="23"/>
      <c r="K4" s="25">
        <f>J4*D4</f>
        <v>0</v>
      </c>
      <c r="L4" s="37" t="str">
        <f>IF(K4&gt;G4,"Verificar Faixa salarial","Permitido")</f>
        <v>Permitido</v>
      </c>
    </row>
    <row r="5" spans="1:12" ht="30.75" x14ac:dyDescent="0.3">
      <c r="A5" s="31">
        <v>2</v>
      </c>
      <c r="B5" s="32">
        <v>1045.01</v>
      </c>
      <c r="C5" s="32">
        <v>2089.6</v>
      </c>
      <c r="D5" s="13">
        <v>0.09</v>
      </c>
      <c r="E5" s="12">
        <f>C5-B5</f>
        <v>1044.5899999999999</v>
      </c>
      <c r="F5" s="18">
        <f>E5*D5</f>
        <v>94.013099999999994</v>
      </c>
      <c r="G5" s="18">
        <f>F5+F4</f>
        <v>172.38810000000001</v>
      </c>
      <c r="H5" s="15">
        <v>1.4999999999999999E-2</v>
      </c>
      <c r="I5" s="7">
        <f>C4*H5</f>
        <v>15.674999999999999</v>
      </c>
      <c r="J5" s="23"/>
      <c r="K5" s="25">
        <f>J5*D5-I5</f>
        <v>-15.674999999999999</v>
      </c>
      <c r="L5" s="37" t="str">
        <f>IF(K5&gt;G5,"Verificar Faixa salarial","Permitido")</f>
        <v>Permitido</v>
      </c>
    </row>
    <row r="6" spans="1:12" ht="30.75" x14ac:dyDescent="0.3">
      <c r="A6" s="29">
        <v>3</v>
      </c>
      <c r="B6" s="30">
        <v>2089.61</v>
      </c>
      <c r="C6" s="30">
        <v>3134.4</v>
      </c>
      <c r="D6" s="13">
        <v>0.12</v>
      </c>
      <c r="E6" s="12">
        <f>C6-B6</f>
        <v>1044.79</v>
      </c>
      <c r="F6" s="18">
        <f>E6*D6</f>
        <v>125.37479999999999</v>
      </c>
      <c r="G6" s="18">
        <f>F6+G5</f>
        <v>297.7629</v>
      </c>
      <c r="H6" s="15">
        <v>0.03</v>
      </c>
      <c r="I6" s="7">
        <f>C5*H6+I5</f>
        <v>78.363</v>
      </c>
      <c r="J6" s="23"/>
      <c r="K6" s="25">
        <f>J6*D6-I6</f>
        <v>-78.363</v>
      </c>
      <c r="L6" s="37" t="str">
        <f>IF(K6&gt;G6,"Verificar Faixa salarial","Permitido")</f>
        <v>Permitido</v>
      </c>
    </row>
    <row r="7" spans="1:12" ht="32.25" customHeight="1" x14ac:dyDescent="0.3">
      <c r="A7" s="31">
        <v>4</v>
      </c>
      <c r="B7" s="32">
        <v>3134.41</v>
      </c>
      <c r="C7" s="32">
        <v>6101.06</v>
      </c>
      <c r="D7" s="13">
        <v>0.14000000000000001</v>
      </c>
      <c r="E7" s="12">
        <f>C7-B7</f>
        <v>2966.6500000000005</v>
      </c>
      <c r="F7" s="18">
        <f>E7*D7</f>
        <v>415.33100000000013</v>
      </c>
      <c r="G7" s="18">
        <f>F4+F5+F6+F7</f>
        <v>713.09390000000008</v>
      </c>
      <c r="H7" s="15">
        <v>0.02</v>
      </c>
      <c r="I7" s="7">
        <f>C6*H7+I6</f>
        <v>141.05099999999999</v>
      </c>
      <c r="J7" s="23"/>
      <c r="K7" s="25">
        <f>J7*D7-I7</f>
        <v>-141.05099999999999</v>
      </c>
      <c r="L7" s="20" t="str">
        <f>IF(K7&gt;G7,"Valor Acima do Teto Permitido","Valor Dentro do Teto Permitido")</f>
        <v>Valor Dentro do Teto Permitido</v>
      </c>
    </row>
    <row r="8" spans="1:12" x14ac:dyDescent="0.25">
      <c r="A8" s="39"/>
      <c r="B8" s="40"/>
      <c r="C8" s="40"/>
      <c r="D8" s="41"/>
      <c r="E8" s="42"/>
      <c r="F8" s="42"/>
      <c r="G8" s="42"/>
      <c r="H8" s="15"/>
      <c r="I8" s="43"/>
      <c r="J8" s="44"/>
      <c r="K8" s="45"/>
      <c r="L8" s="46"/>
    </row>
    <row r="9" spans="1:12" ht="21" customHeight="1" x14ac:dyDescent="0.35">
      <c r="A9" s="47" t="s">
        <v>12</v>
      </c>
      <c r="B9" s="47"/>
      <c r="C9" s="47"/>
      <c r="D9" s="47"/>
      <c r="E9" s="47"/>
      <c r="F9" s="49" t="s">
        <v>14</v>
      </c>
      <c r="G9" s="49"/>
      <c r="H9" s="49"/>
      <c r="I9" s="49"/>
      <c r="J9" s="49"/>
      <c r="K9" s="48" t="s">
        <v>13</v>
      </c>
      <c r="L9" s="48"/>
    </row>
    <row r="10" spans="1:12" hidden="1" x14ac:dyDescent="0.25"/>
    <row r="11" spans="1:12" hidden="1" x14ac:dyDescent="0.25">
      <c r="A11" s="36"/>
      <c r="B11" s="36"/>
    </row>
    <row r="12" spans="1:12" hidden="1" x14ac:dyDescent="0.25">
      <c r="E12" s="4"/>
    </row>
    <row r="13" spans="1:12" hidden="1" x14ac:dyDescent="0.25">
      <c r="E13" s="5"/>
      <c r="F13" s="9"/>
      <c r="G13" s="9"/>
    </row>
    <row r="14" spans="1:12" hidden="1" x14ac:dyDescent="0.25">
      <c r="D14" s="8"/>
      <c r="E14" s="5"/>
      <c r="F14" s="9"/>
      <c r="G14" s="9"/>
    </row>
    <row r="15" spans="1:12" hidden="1" x14ac:dyDescent="0.25">
      <c r="D15" s="8"/>
      <c r="E15" s="5"/>
      <c r="F15" s="9"/>
      <c r="G15" s="9"/>
    </row>
    <row r="16" spans="1:12" hidden="1" x14ac:dyDescent="0.25">
      <c r="D16" s="8"/>
      <c r="E16" s="4"/>
      <c r="F16" s="9"/>
      <c r="G16" s="38"/>
    </row>
  </sheetData>
  <sheetProtection password="9B6B" sheet="1" objects="1" scenarios="1"/>
  <mergeCells count="7">
    <mergeCell ref="A1:K1"/>
    <mergeCell ref="A2:K2"/>
    <mergeCell ref="F3:G3"/>
    <mergeCell ref="A11:B11"/>
    <mergeCell ref="A9:E9"/>
    <mergeCell ref="K9:L9"/>
    <mergeCell ref="F9:J9"/>
  </mergeCells>
  <hyperlinks>
    <hyperlink ref="A9" r:id="rId1"/>
    <hyperlink ref="K9" r:id="rId2"/>
  </hyperlinks>
  <pageMargins left="0.511811024" right="0.511811024" top="0.78740157499999996" bottom="0.78740157499999996" header="0.31496062000000002" footer="0.31496062000000002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de Calculos INSS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Marques Contabilidad</dc:creator>
  <cp:lastModifiedBy>Marques Contabilidad</cp:lastModifiedBy>
  <dcterms:created xsi:type="dcterms:W3CDTF">2020-02-04T23:56:31Z</dcterms:created>
  <dcterms:modified xsi:type="dcterms:W3CDTF">2020-02-06T04:44:57Z</dcterms:modified>
</cp:coreProperties>
</file>