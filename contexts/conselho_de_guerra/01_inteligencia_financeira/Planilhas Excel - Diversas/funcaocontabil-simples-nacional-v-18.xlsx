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E:\Site\"/>
    </mc:Choice>
  </mc:AlternateContent>
  <bookViews>
    <workbookView xWindow="0" yWindow="0" windowWidth="24000" windowHeight="8550" tabRatio="580"/>
  </bookViews>
  <sheets>
    <sheet name="Simples Nacional" sheetId="3" r:id="rId1"/>
    <sheet name="Simples Nacional Fator &quot;r&quot;" sheetId="5" r:id="rId2"/>
    <sheet name="Anexos" sheetId="4" r:id="rId3"/>
  </sheets>
  <definedNames>
    <definedName name="Icms" localSheetId="0">#REF!</definedName>
    <definedName name="Icms" localSheetId="1">#REF!</definedName>
    <definedName name="Icms">#REF!</definedName>
  </definedNames>
  <calcPr calcId="171027"/>
</workbook>
</file>

<file path=xl/calcChain.xml><?xml version="1.0" encoding="utf-8"?>
<calcChain xmlns="http://schemas.openxmlformats.org/spreadsheetml/2006/main">
  <c r="E38" i="3" l="1"/>
  <c r="F38" i="3"/>
  <c r="G38" i="3"/>
  <c r="H38" i="3"/>
  <c r="I38" i="3"/>
  <c r="J38" i="3"/>
  <c r="K38" i="3"/>
  <c r="L38" i="3"/>
  <c r="M38" i="3"/>
  <c r="N38" i="3"/>
  <c r="O38" i="3"/>
  <c r="E39" i="3"/>
  <c r="F39" i="3"/>
  <c r="G39" i="3"/>
  <c r="H39" i="3"/>
  <c r="I39" i="3"/>
  <c r="J39" i="3"/>
  <c r="K39" i="3"/>
  <c r="L39" i="3"/>
  <c r="M39" i="3"/>
  <c r="N39" i="3"/>
  <c r="O39" i="3"/>
  <c r="E40" i="3"/>
  <c r="F40" i="3"/>
  <c r="G40" i="3"/>
  <c r="H40" i="3"/>
  <c r="I40" i="3"/>
  <c r="J40" i="3"/>
  <c r="K40" i="3"/>
  <c r="L40" i="3"/>
  <c r="M40" i="3"/>
  <c r="N40" i="3"/>
  <c r="O40" i="3"/>
  <c r="E41" i="3"/>
  <c r="F41" i="3"/>
  <c r="G41" i="3"/>
  <c r="H41" i="3"/>
  <c r="I41" i="3"/>
  <c r="J41" i="3"/>
  <c r="K41" i="3"/>
  <c r="L41" i="3"/>
  <c r="M41" i="3"/>
  <c r="N41" i="3"/>
  <c r="O41" i="3"/>
  <c r="E42" i="3"/>
  <c r="F42" i="3"/>
  <c r="G42" i="3"/>
  <c r="H42" i="3"/>
  <c r="I42" i="3"/>
  <c r="J42" i="3"/>
  <c r="K42" i="3"/>
  <c r="L42" i="3"/>
  <c r="M42" i="3"/>
  <c r="N42" i="3"/>
  <c r="O42" i="3"/>
  <c r="E43" i="3"/>
  <c r="F43" i="3"/>
  <c r="G43" i="3"/>
  <c r="H43" i="3"/>
  <c r="I43" i="3"/>
  <c r="J43" i="3"/>
  <c r="K43" i="3"/>
  <c r="L43" i="3"/>
  <c r="M43" i="3"/>
  <c r="N43" i="3"/>
  <c r="O43" i="3"/>
  <c r="E44" i="3"/>
  <c r="F44" i="3"/>
  <c r="G44" i="3"/>
  <c r="H44" i="3"/>
  <c r="I44" i="3"/>
  <c r="J44" i="3"/>
  <c r="K44" i="3"/>
  <c r="L44" i="3"/>
  <c r="M44" i="3"/>
  <c r="N44" i="3"/>
  <c r="O44" i="3"/>
  <c r="E45" i="3"/>
  <c r="F45" i="3"/>
  <c r="G45" i="3"/>
  <c r="H45" i="3"/>
  <c r="I45" i="3"/>
  <c r="J45" i="3"/>
  <c r="K45" i="3"/>
  <c r="L45" i="3"/>
  <c r="M45" i="3"/>
  <c r="N45" i="3"/>
  <c r="O45" i="3"/>
  <c r="D45" i="3"/>
  <c r="D44" i="3"/>
  <c r="D43" i="3"/>
  <c r="D42" i="3"/>
  <c r="D41" i="3"/>
  <c r="D40" i="3"/>
  <c r="D39" i="3"/>
  <c r="D38" i="3"/>
  <c r="E19" i="3"/>
  <c r="F19" i="3"/>
  <c r="G19" i="3"/>
  <c r="H19" i="3"/>
  <c r="I19" i="3"/>
  <c r="J19" i="3"/>
  <c r="K19" i="3"/>
  <c r="L19" i="3"/>
  <c r="M19" i="3"/>
  <c r="N19" i="3"/>
  <c r="O19" i="3"/>
  <c r="E20" i="3"/>
  <c r="F20" i="3"/>
  <c r="G20" i="3"/>
  <c r="H20" i="3"/>
  <c r="I20" i="3"/>
  <c r="J20" i="3"/>
  <c r="K20" i="3"/>
  <c r="L20" i="3"/>
  <c r="M20" i="3"/>
  <c r="N20" i="3"/>
  <c r="O20" i="3"/>
  <c r="E21" i="3"/>
  <c r="F21" i="3"/>
  <c r="G21" i="3"/>
  <c r="H21" i="3"/>
  <c r="I21" i="3"/>
  <c r="J21" i="3"/>
  <c r="K21" i="3"/>
  <c r="L21" i="3"/>
  <c r="M21" i="3"/>
  <c r="N21" i="3"/>
  <c r="O21" i="3"/>
  <c r="E22" i="3"/>
  <c r="F22" i="3"/>
  <c r="G22" i="3"/>
  <c r="H22" i="3"/>
  <c r="I22" i="3"/>
  <c r="J22" i="3"/>
  <c r="K22" i="3"/>
  <c r="L22" i="3"/>
  <c r="M22" i="3"/>
  <c r="N22" i="3"/>
  <c r="O22" i="3"/>
  <c r="E23" i="3"/>
  <c r="F23" i="3"/>
  <c r="G23" i="3"/>
  <c r="H23" i="3"/>
  <c r="I23" i="3"/>
  <c r="J23" i="3"/>
  <c r="K23" i="3"/>
  <c r="L23" i="3"/>
  <c r="M23" i="3"/>
  <c r="N23" i="3"/>
  <c r="O23" i="3"/>
  <c r="E24" i="3"/>
  <c r="F24" i="3"/>
  <c r="G24" i="3"/>
  <c r="H24" i="3"/>
  <c r="I24" i="3"/>
  <c r="J24" i="3"/>
  <c r="K24" i="3"/>
  <c r="L24" i="3"/>
  <c r="M24" i="3"/>
  <c r="N24" i="3"/>
  <c r="O24" i="3"/>
  <c r="E25" i="3"/>
  <c r="F25" i="3"/>
  <c r="G25" i="3"/>
  <c r="H25" i="3"/>
  <c r="I25" i="3"/>
  <c r="J25" i="3"/>
  <c r="K25" i="3"/>
  <c r="L25" i="3"/>
  <c r="M25" i="3"/>
  <c r="N25" i="3"/>
  <c r="O25" i="3"/>
  <c r="E26" i="3"/>
  <c r="F26" i="3"/>
  <c r="G26" i="3"/>
  <c r="H26" i="3"/>
  <c r="I26" i="3"/>
  <c r="J26" i="3"/>
  <c r="K26" i="3"/>
  <c r="L26" i="3"/>
  <c r="M26" i="3"/>
  <c r="N26" i="3"/>
  <c r="O26" i="3"/>
  <c r="D26" i="3"/>
  <c r="D25" i="3"/>
  <c r="D24" i="3"/>
  <c r="D23" i="3"/>
  <c r="D22" i="3"/>
  <c r="D21" i="3"/>
  <c r="D20" i="3"/>
  <c r="D19" i="3"/>
  <c r="B13" i="3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E11" i="3" l="1"/>
  <c r="D16" i="3"/>
  <c r="O16" i="3"/>
  <c r="N16" i="3"/>
  <c r="M16" i="3"/>
  <c r="L16" i="3"/>
  <c r="K16" i="3"/>
  <c r="J16" i="3"/>
  <c r="I16" i="3"/>
  <c r="H16" i="3"/>
  <c r="G16" i="3"/>
  <c r="E16" i="3"/>
  <c r="F16" i="3"/>
  <c r="N18" i="3" l="1"/>
  <c r="L18" i="3"/>
  <c r="N17" i="3"/>
  <c r="G17" i="3"/>
  <c r="K17" i="3"/>
  <c r="O17" i="3"/>
  <c r="E17" i="3"/>
  <c r="H17" i="3"/>
  <c r="L17" i="3"/>
  <c r="D17" i="3"/>
  <c r="J17" i="3"/>
  <c r="F17" i="3"/>
  <c r="I17" i="3"/>
  <c r="M17" i="3"/>
  <c r="E9" i="3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I18" i="3" l="1"/>
  <c r="F18" i="3"/>
  <c r="K18" i="3"/>
  <c r="D18" i="3"/>
  <c r="M18" i="3"/>
  <c r="E18" i="3"/>
  <c r="H18" i="3"/>
  <c r="O18" i="3"/>
  <c r="G18" i="3"/>
  <c r="J18" i="3"/>
  <c r="E15" i="5"/>
  <c r="B11" i="5" s="1"/>
  <c r="E28" i="3" l="1"/>
  <c r="D19" i="5" l="1"/>
  <c r="D21" i="5" s="1"/>
  <c r="O19" i="5" l="1"/>
  <c r="O21" i="5" s="1"/>
  <c r="N19" i="5"/>
  <c r="N21" i="5" s="1"/>
  <c r="M19" i="5"/>
  <c r="M21" i="5" s="1"/>
  <c r="L19" i="5"/>
  <c r="L21" i="5" s="1"/>
  <c r="K19" i="5"/>
  <c r="K21" i="5" s="1"/>
  <c r="J19" i="5"/>
  <c r="J21" i="5" s="1"/>
  <c r="I19" i="5"/>
  <c r="I21" i="5" s="1"/>
  <c r="H19" i="5"/>
  <c r="H21" i="5" s="1"/>
  <c r="G19" i="5"/>
  <c r="G21" i="5" s="1"/>
  <c r="F19" i="5"/>
  <c r="F21" i="5" s="1"/>
  <c r="E19" i="5"/>
  <c r="E21" i="5" s="1"/>
  <c r="B17" i="5"/>
  <c r="D17" i="5" s="1"/>
  <c r="E17" i="5" s="1"/>
  <c r="F17" i="5" s="1"/>
  <c r="G17" i="5" s="1"/>
  <c r="H17" i="5" s="1"/>
  <c r="I17" i="5" s="1"/>
  <c r="J17" i="5" s="1"/>
  <c r="K17" i="5" s="1"/>
  <c r="L17" i="5" s="1"/>
  <c r="M17" i="5" s="1"/>
  <c r="N17" i="5" s="1"/>
  <c r="O17" i="5" s="1"/>
  <c r="D11" i="5" l="1"/>
  <c r="E11" i="5" s="1"/>
  <c r="F11" i="5" s="1"/>
  <c r="G11" i="5" s="1"/>
  <c r="H11" i="5" s="1"/>
  <c r="I11" i="5" s="1"/>
  <c r="J11" i="5" s="1"/>
  <c r="K11" i="5" s="1"/>
  <c r="L11" i="5" s="1"/>
  <c r="M11" i="5" s="1"/>
  <c r="N11" i="5" s="1"/>
  <c r="O11" i="5" s="1"/>
  <c r="E32" i="3" l="1"/>
  <c r="F32" i="3"/>
  <c r="G32" i="3"/>
  <c r="H32" i="3"/>
  <c r="I32" i="3"/>
  <c r="J32" i="3"/>
  <c r="K32" i="3"/>
  <c r="L32" i="3"/>
  <c r="M32" i="3"/>
  <c r="N32" i="3"/>
  <c r="O32" i="3"/>
  <c r="A17" i="4" l="1"/>
  <c r="A16" i="4"/>
  <c r="A15" i="4"/>
  <c r="A14" i="4"/>
  <c r="A13" i="4"/>
  <c r="E24" i="5" l="1"/>
  <c r="F24" i="5"/>
  <c r="J24" i="5"/>
  <c r="N24" i="5"/>
  <c r="K24" i="5"/>
  <c r="O24" i="5"/>
  <c r="G24" i="5"/>
  <c r="H24" i="5"/>
  <c r="L24" i="5"/>
  <c r="D24" i="5"/>
  <c r="I24" i="5"/>
  <c r="M24" i="5"/>
  <c r="I22" i="5"/>
  <c r="I23" i="5" s="1"/>
  <c r="H22" i="5"/>
  <c r="H23" i="5" s="1"/>
  <c r="F22" i="5"/>
  <c r="F23" i="5" s="1"/>
  <c r="G22" i="5"/>
  <c r="G23" i="5" s="1"/>
  <c r="D22" i="5"/>
  <c r="D23" i="5" s="1"/>
  <c r="E22" i="5"/>
  <c r="E23" i="5" s="1"/>
  <c r="J22" i="5"/>
  <c r="J23" i="5" s="1"/>
  <c r="K22" i="5"/>
  <c r="K23" i="5" s="1"/>
  <c r="L22" i="5"/>
  <c r="L23" i="5" s="1"/>
  <c r="L25" i="5" s="1"/>
  <c r="M22" i="5"/>
  <c r="M23" i="5" s="1"/>
  <c r="N22" i="5"/>
  <c r="N23" i="5" s="1"/>
  <c r="O22" i="5"/>
  <c r="O23" i="5" s="1"/>
  <c r="L30" i="5" l="1"/>
  <c r="L28" i="5"/>
  <c r="L32" i="5"/>
  <c r="L27" i="5"/>
  <c r="L26" i="5" s="1"/>
  <c r="L29" i="5"/>
  <c r="L31" i="5"/>
  <c r="E25" i="5"/>
  <c r="K25" i="5"/>
  <c r="M25" i="5"/>
  <c r="D25" i="5"/>
  <c r="G25" i="5"/>
  <c r="I25" i="5"/>
  <c r="N25" i="5"/>
  <c r="H25" i="5"/>
  <c r="O25" i="5"/>
  <c r="J25" i="5"/>
  <c r="F25" i="5"/>
  <c r="B30" i="3"/>
  <c r="D30" i="3" s="1"/>
  <c r="E30" i="3" s="1"/>
  <c r="F30" i="3" s="1"/>
  <c r="H27" i="5" l="1"/>
  <c r="H26" i="5" s="1"/>
  <c r="H29" i="5"/>
  <c r="H28" i="5"/>
  <c r="H30" i="5"/>
  <c r="H32" i="5"/>
  <c r="H31" i="5"/>
  <c r="D27" i="5"/>
  <c r="D30" i="5"/>
  <c r="D28" i="5"/>
  <c r="D29" i="5"/>
  <c r="D31" i="5"/>
  <c r="D32" i="5"/>
  <c r="O29" i="5"/>
  <c r="O27" i="5"/>
  <c r="O26" i="5" s="1"/>
  <c r="O28" i="5"/>
  <c r="O31" i="5"/>
  <c r="O30" i="5"/>
  <c r="O32" i="5"/>
  <c r="M32" i="5"/>
  <c r="M31" i="5"/>
  <c r="M30" i="5"/>
  <c r="M27" i="5"/>
  <c r="M26" i="5" s="1"/>
  <c r="M29" i="5"/>
  <c r="M28" i="5"/>
  <c r="G29" i="5"/>
  <c r="G27" i="5"/>
  <c r="G28" i="5"/>
  <c r="G31" i="5"/>
  <c r="G26" i="5" s="1"/>
  <c r="G30" i="5"/>
  <c r="G32" i="5"/>
  <c r="E27" i="5"/>
  <c r="E26" i="5" s="1"/>
  <c r="E29" i="5"/>
  <c r="E31" i="5"/>
  <c r="E28" i="5"/>
  <c r="E32" i="5"/>
  <c r="E30" i="5"/>
  <c r="F27" i="5"/>
  <c r="F26" i="5" s="1"/>
  <c r="F32" i="5"/>
  <c r="F31" i="5"/>
  <c r="F30" i="5"/>
  <c r="F28" i="5"/>
  <c r="F29" i="5"/>
  <c r="N27" i="5"/>
  <c r="N26" i="5" s="1"/>
  <c r="N29" i="5"/>
  <c r="N31" i="5"/>
  <c r="N32" i="5"/>
  <c r="N28" i="5"/>
  <c r="N30" i="5"/>
  <c r="J28" i="5"/>
  <c r="J31" i="5"/>
  <c r="J27" i="5"/>
  <c r="J32" i="5"/>
  <c r="J26" i="5" s="1"/>
  <c r="J30" i="5"/>
  <c r="J29" i="5"/>
  <c r="I27" i="5"/>
  <c r="I26" i="5" s="1"/>
  <c r="I29" i="5"/>
  <c r="I31" i="5"/>
  <c r="I32" i="5"/>
  <c r="I30" i="5"/>
  <c r="I28" i="5"/>
  <c r="K28" i="5"/>
  <c r="K30" i="5"/>
  <c r="K32" i="5"/>
  <c r="K29" i="5"/>
  <c r="K27" i="5"/>
  <c r="K26" i="5" s="1"/>
  <c r="K31" i="5"/>
  <c r="G30" i="3"/>
  <c r="D26" i="5" l="1"/>
  <c r="H30" i="3"/>
  <c r="I30" i="3" l="1"/>
  <c r="J30" i="3" l="1"/>
  <c r="K30" i="3" l="1"/>
  <c r="L30" i="3" l="1"/>
  <c r="M30" i="3" l="1"/>
  <c r="N30" i="3" l="1"/>
  <c r="O30" i="3" l="1"/>
  <c r="D32" i="3" l="1"/>
  <c r="D33" i="3" l="1"/>
  <c r="D34" i="3" s="1"/>
  <c r="D35" i="3"/>
  <c r="D36" i="3" l="1"/>
  <c r="E35" i="3"/>
  <c r="E33" i="3"/>
  <c r="E34" i="3" s="1"/>
  <c r="E36" i="3" l="1"/>
  <c r="G33" i="3"/>
  <c r="G34" i="3" s="1"/>
  <c r="G35" i="3"/>
  <c r="F35" i="3"/>
  <c r="F33" i="3"/>
  <c r="F34" i="3" s="1"/>
  <c r="D37" i="3" l="1"/>
  <c r="F36" i="3"/>
  <c r="G36" i="3"/>
  <c r="E37" i="3" l="1"/>
  <c r="F37" i="3"/>
  <c r="I33" i="3"/>
  <c r="I34" i="3" s="1"/>
  <c r="I35" i="3"/>
  <c r="H33" i="3"/>
  <c r="H34" i="3" s="1"/>
  <c r="H35" i="3"/>
  <c r="G37" i="3" l="1"/>
  <c r="I36" i="3"/>
  <c r="H36" i="3"/>
  <c r="J35" i="3"/>
  <c r="J33" i="3"/>
  <c r="J34" i="3" s="1"/>
  <c r="H37" i="3" l="1"/>
  <c r="J36" i="3"/>
  <c r="K35" i="3"/>
  <c r="K33" i="3"/>
  <c r="K34" i="3" s="1"/>
  <c r="I37" i="3" l="1"/>
  <c r="K36" i="3"/>
  <c r="J37" i="3" l="1"/>
  <c r="M33" i="3"/>
  <c r="M34" i="3" s="1"/>
  <c r="M35" i="3"/>
  <c r="L35" i="3"/>
  <c r="L33" i="3"/>
  <c r="L34" i="3" s="1"/>
  <c r="K37" i="3" l="1"/>
  <c r="L36" i="3"/>
  <c r="M36" i="3"/>
  <c r="N33" i="3"/>
  <c r="N34" i="3" s="1"/>
  <c r="N35" i="3"/>
  <c r="N36" i="3" l="1"/>
  <c r="O33" i="3"/>
  <c r="O34" i="3" s="1"/>
  <c r="O35" i="3"/>
  <c r="M37" i="3" l="1"/>
  <c r="L37" i="3"/>
  <c r="O36" i="3"/>
  <c r="N37" i="3" l="1"/>
  <c r="O37" i="3" l="1"/>
</calcChain>
</file>

<file path=xl/comments1.xml><?xml version="1.0" encoding="utf-8"?>
<comments xmlns="http://schemas.openxmlformats.org/spreadsheetml/2006/main">
  <authors>
    <author>User</author>
    <author>Guilherme</author>
  </authors>
  <commentList>
    <comment ref="F2" authorId="0" shapeId="0">
      <text>
        <r>
          <rPr>
            <sz val="9"/>
            <color indexed="81"/>
            <rFont val="Segoe UI"/>
            <family val="2"/>
          </rPr>
          <t>Para liberar a planilha será necessária um pagamento, consulte desbloqueio de Planilhas Mestre. 
Obs: A planilha utiliza-se de fórmulas válidas somente para versão atualizada do Microsoft Office 365 Excel 2016, Aplicativo Microsoft Excel (smartphone / tablet) ou LibreOffice.
Importante!
Apesar de o limite de faturamento no regime aumentar, negócios que faturarem acima de R$ 3,6 milhões ao ano terão de fazer algumas apurações como empresas não optantes pelo Simples.
O ICMS e o Imposto Sobre Serviços (ISS) , respectivamente estadual e municipal, deverão ser calculados conforme os percentuais locais e as regras para empresas fora do Simples quando o faturamento anual ficar entre R$ 3,6 milhões e R$ 4,8 milhões. Inclusive, as declarações referentes a esses tributos, das quais optantes pelo Simples podem ser desobrigados, terão de ser entregues.
Quando isso ocorrer, apenas os demais impostos — os federais — serão recolhidos na guia mensal unificada.</t>
        </r>
      </text>
    </comment>
    <comment ref="B14" authorId="1" shapeId="0">
      <text>
        <r>
          <rPr>
            <sz val="9"/>
            <color indexed="81"/>
            <rFont val="Segoe UI"/>
            <family val="2"/>
          </rPr>
          <t>Informar Receita Bruta Mensal</t>
        </r>
      </text>
    </comment>
    <comment ref="B15" authorId="1" shapeId="0">
      <text>
        <r>
          <rPr>
            <sz val="9"/>
            <color indexed="81"/>
            <rFont val="Segoe UI"/>
            <family val="2"/>
          </rPr>
          <t>Informar Receita Bruta Mensal</t>
        </r>
      </text>
    </comment>
    <comment ref="B16" authorId="1" shapeId="0">
      <text>
        <r>
          <rPr>
            <sz val="9"/>
            <color indexed="81"/>
            <rFont val="Segoe UI"/>
            <family val="2"/>
          </rPr>
          <t>Informar Receita Bruta Acumulada. Proporcional ao início de atividade.</t>
        </r>
      </text>
    </comment>
    <comment ref="B31" authorId="1" shapeId="0">
      <text>
        <r>
          <rPr>
            <sz val="9"/>
            <color indexed="81"/>
            <rFont val="Segoe UI"/>
            <family val="2"/>
          </rPr>
          <t>Informar Receita Bruta Mensal</t>
        </r>
      </text>
    </comment>
    <comment ref="B32" authorId="1" shapeId="0">
      <text>
        <r>
          <rPr>
            <sz val="9"/>
            <color indexed="81"/>
            <rFont val="Segoe UI"/>
            <family val="2"/>
          </rPr>
          <t>Informar Receita Bruta Acumulada</t>
        </r>
      </text>
    </comment>
  </commentList>
</comments>
</file>

<file path=xl/comments2.xml><?xml version="1.0" encoding="utf-8"?>
<comments xmlns="http://schemas.openxmlformats.org/spreadsheetml/2006/main">
  <authors>
    <author>User</author>
    <author>Guilherme Fernando Ferrari</author>
    <author>Guilherme</author>
  </authors>
  <commentList>
    <comment ref="F2" authorId="0" shapeId="0">
      <text>
        <r>
          <rPr>
            <sz val="9"/>
            <color indexed="81"/>
            <rFont val="Segoe UI"/>
            <family val="2"/>
          </rPr>
          <t>Para liberar a planilha será necessária um pagamento, consulte desbloqueio de Planilhas Mestre. 
Obs: A planilha utiliza-se de fórmulas válidas somente para versão atualizada do Microsoft Office 365 Excel 2016, Aplicativo Microsoft Excel (smartphone / tablet) ou LibreOffice.
Importante!
Apesar de o limite de faturamento no regime aumentar, negócios que faturarem acima de R$ 3,6 milhões ao ano terão de fazer algumas apurações como empresas não optantes pelo Simples.
O ICMS e o Imposto Sobre Serviços (ISS) , respectivamente estadual e municipal, deverão ser calculados conforme os percentuais locais e as regras para empresas fora do Simples quando o faturamento anual ficar entre R$ 3,6 milhões e R$ 4,8 milhões. Inclusive, as declarações referentes a esses tributos, das quais optantes pelo Simples podem ser desobrigados, terão de ser entregues.
Quando isso ocorrer, apenas os demais impostos — os federais — serão recolhidos na guia mensal unificada.</t>
        </r>
      </text>
    </comment>
    <comment ref="E7" authorId="1" shapeId="0">
      <text>
        <r>
          <rPr>
            <sz val="9"/>
            <color indexed="81"/>
            <rFont val="Segoe UI"/>
            <family val="2"/>
          </rPr>
          <t>Se o Fator R for igual ou superior a 28%, as atividades de prestação de serviços sujeitas à tabela do anexo V serão tributadas de acordo com o Anexo III e, assim, as alíquotas serão menores.
E quando essa razão for inferior a 28%, determinadas atividades dos anexos III serão tributadas de acordo com as alíquotas do Anexo V, pagando alíquotas maiores.
As atividades que estão sujeita a essa situação são as seguintes:
arquitetura e urbanismo
fisioterapia
enfermagem e medicina, inclusive laboratorial
odontologia e prótese dentária
psicologia, psicanálise, terapia ocupacional
acupuntura, podologia, fonoaudiologia, clínicas de nutrição e de vacinação e bancos de leite
administração e locação de imóveis de terceiros
academias de dança, de capoeira, de ioga e de artes marciais
academias de atividades físicas, desportivas, de natação e escolas de esportes
elaboração de programas de computadores, inclusive jogos eletrônicos
licenciamento ou cessão de direito de uso de programas de computação
planejamento, confecção, manutenção e atualização de páginas eletrônicas
empresas montadoras de estandes para feiras
laboratórios de análises clínicas ou de patologia clínica
serviços de tomografia, diagnósticos médicos por imagem, registros gráficos e métodos óticos, bem como ressonância magnética
serviços de prótese em geral</t>
        </r>
      </text>
    </comment>
    <comment ref="B12" authorId="2" shapeId="0">
      <text>
        <r>
          <rPr>
            <sz val="9"/>
            <color indexed="81"/>
            <rFont val="Segoe UI"/>
            <family val="2"/>
          </rPr>
          <t>Informar Receita Bruta Mensal</t>
        </r>
      </text>
    </comment>
    <comment ref="B13" authorId="2" shapeId="0">
      <text>
        <r>
          <rPr>
            <sz val="9"/>
            <color indexed="81"/>
            <rFont val="Segoe UI"/>
            <family val="2"/>
          </rPr>
          <t>Informar Folha de Pagamento</t>
        </r>
      </text>
    </comment>
    <comment ref="B18" authorId="2" shapeId="0">
      <text>
        <r>
          <rPr>
            <sz val="9"/>
            <color indexed="81"/>
            <rFont val="Segoe UI"/>
            <family val="2"/>
          </rPr>
          <t>Informar Receita Bruta Mensal</t>
        </r>
      </text>
    </comment>
    <comment ref="B19" authorId="2" shapeId="0">
      <text>
        <r>
          <rPr>
            <sz val="9"/>
            <color indexed="81"/>
            <rFont val="Segoe UI"/>
            <family val="2"/>
          </rPr>
          <t>Informar Receita Bruta Acumulada</t>
        </r>
      </text>
    </comment>
    <comment ref="B20" authorId="2" shapeId="0">
      <text>
        <r>
          <rPr>
            <sz val="9"/>
            <color indexed="81"/>
            <rFont val="Segoe UI"/>
            <family val="2"/>
          </rPr>
          <t>Informar Folha de Pagamento</t>
        </r>
      </text>
    </comment>
  </commentList>
</comments>
</file>

<file path=xl/comments3.xml><?xml version="1.0" encoding="utf-8"?>
<comments xmlns="http://schemas.openxmlformats.org/spreadsheetml/2006/main">
  <authors>
    <author>Guilherme Fernando Ferrari</author>
  </authors>
  <commentList>
    <comment ref="B2" authorId="0" shapeId="0">
      <text>
        <r>
          <rPr>
            <sz val="9"/>
            <color indexed="81"/>
            <rFont val="Segoe UI"/>
            <family val="2"/>
          </rPr>
          <t xml:space="preserve">A partir do ano de 2018.
</t>
        </r>
      </text>
    </comment>
  </commentList>
</comments>
</file>

<file path=xl/sharedStrings.xml><?xml version="1.0" encoding="utf-8"?>
<sst xmlns="http://schemas.openxmlformats.org/spreadsheetml/2006/main" count="193" uniqueCount="128">
  <si>
    <t>Receita Bruta Mensal</t>
  </si>
  <si>
    <t>Anexo I</t>
  </si>
  <si>
    <t>Anexo II</t>
  </si>
  <si>
    <t>Anexo IV</t>
  </si>
  <si>
    <t>Receita Acumulada (12 meses)</t>
  </si>
  <si>
    <t>PLANILHA DE CÁLCULO SIMPLES NACIONAL</t>
  </si>
  <si>
    <t>Aviso Desbloqueio</t>
  </si>
  <si>
    <t xml:space="preserve">               Função Contábil</t>
  </si>
  <si>
    <t>Anexo I IRPJ</t>
  </si>
  <si>
    <t>Anexo I CSLL</t>
  </si>
  <si>
    <t>Anexo I Cofins</t>
  </si>
  <si>
    <t>Anexo I PIS/Pasep</t>
  </si>
  <si>
    <t>Anexo I CPP</t>
  </si>
  <si>
    <t>Anexo I ICMS</t>
  </si>
  <si>
    <t>Anexo II IRPJ</t>
  </si>
  <si>
    <t>Anexo II CSLL</t>
  </si>
  <si>
    <t>Anexo II Cofins</t>
  </si>
  <si>
    <t>Anexo II PIS/Pasep</t>
  </si>
  <si>
    <t>Anexo II CPP</t>
  </si>
  <si>
    <t>Anexo II IPI</t>
  </si>
  <si>
    <t>Anexo II ICMS</t>
  </si>
  <si>
    <t>Anexo I Deduzir</t>
  </si>
  <si>
    <t>Anexo II Deduzir</t>
  </si>
  <si>
    <t>Comércio</t>
  </si>
  <si>
    <t>Indústria</t>
  </si>
  <si>
    <t>Referência</t>
  </si>
  <si>
    <t>Anexo III</t>
  </si>
  <si>
    <t>Anexo V</t>
  </si>
  <si>
    <t>Prestação de serviços relacionados no § 5o-I do art. 18 LC123</t>
  </si>
  <si>
    <t>Prestação de serviços relacionados no § 5o-C do art. 18 LC123</t>
  </si>
  <si>
    <t>Locação de bens móveis e de prestação de serviços não relacionados no § 5o-C do art. 18 LC123</t>
  </si>
  <si>
    <t>Repartição do ISS</t>
  </si>
  <si>
    <t>Setor</t>
  </si>
  <si>
    <t>(Alíquota efetiva – 5%) x 5,26%</t>
  </si>
  <si>
    <t>(Alíquota efetiva – 5%) x 19,28%</t>
  </si>
  <si>
    <t>(Alíquota efetiva – 5%) x 4,18%</t>
  </si>
  <si>
    <t>(Alíquota efetiva – 5%) x 65,26%</t>
  </si>
  <si>
    <t>Percentual de ISS fixo em 5%</t>
  </si>
  <si>
    <t>Anexo III Deduzir</t>
  </si>
  <si>
    <t>Anexo III IRPJ</t>
  </si>
  <si>
    <t>Anexo III CSLL</t>
  </si>
  <si>
    <t>Anexo III Cofins</t>
  </si>
  <si>
    <t>Anexo III PIS/Pasep</t>
  </si>
  <si>
    <t>Anexo III CPP</t>
  </si>
  <si>
    <t>Anexo III ISS (*)</t>
  </si>
  <si>
    <t>(*) O percentual efetivo máximo devido ao ISS será de 5%, transferindo-se a diferença, de forma proporcional, aos tributos federais da mesma faixa de receita bruta anual. Sendo assim, na 5ª faixa, quando a alíquota efetiva for superior a 12,5%, a repartição será:</t>
  </si>
  <si>
    <t>(Alíquota efetiva – 5%) x 31,33%</t>
  </si>
  <si>
    <t>(Alíquota efetiva – 5%) x 32,00%</t>
  </si>
  <si>
    <t>(Alíquota efetiva – 5%) x 30,13%</t>
  </si>
  <si>
    <t>(Alíquota efetiva – 5%) x 6,54%</t>
  </si>
  <si>
    <t>(*) O percentual efetivo máximo devido ao ISS será de 5%, transferindo-se a diferença, de forma proporcional, aos tributos federais
 da mesma faixa de receita bruta anual. Sendo assim, na 5ª faixa, quando a alíquota efetiva for superior a 14,92537%, a repartição será:</t>
  </si>
  <si>
    <t>Anexo IV Deduzir</t>
  </si>
  <si>
    <t>Anexo IV IRPJ</t>
  </si>
  <si>
    <t>Anexo IV CSLL</t>
  </si>
  <si>
    <t>Anexo IV Cofins</t>
  </si>
  <si>
    <t>Anexo IV PIS/Pasep</t>
  </si>
  <si>
    <t>Anexo IV ISS (*)</t>
  </si>
  <si>
    <t>Anexo V Deduzir</t>
  </si>
  <si>
    <t>Anexo V IRPJ</t>
  </si>
  <si>
    <t>Anexo V CSLL</t>
  </si>
  <si>
    <t>Anexo V Cofins</t>
  </si>
  <si>
    <t>Anexo V PIS/Pasep</t>
  </si>
  <si>
    <t>Anexo V ISS (*)</t>
  </si>
  <si>
    <t>Valor Simples Nacional</t>
  </si>
  <si>
    <t>Data Atual</t>
  </si>
  <si>
    <t>-</t>
  </si>
  <si>
    <t>Anexo V PCC</t>
  </si>
  <si>
    <t>https://pt-br.libreoffice.org/baixe-ja/</t>
  </si>
  <si>
    <t>Download:</t>
  </si>
  <si>
    <t xml:space="preserve">ANEXOS SIMPLES NACIONAL </t>
  </si>
  <si>
    <t>LCP 155/16</t>
  </si>
  <si>
    <t>Anexo Serviço - Fator "r"</t>
  </si>
  <si>
    <t>Folha de Pagamento - Fator "r"</t>
  </si>
  <si>
    <t>Fator "r" para Anexos III ou V</t>
  </si>
  <si>
    <t>Atividades Fator "r"</t>
  </si>
  <si>
    <t>arquitetura e urbanismo</t>
  </si>
  <si>
    <t>fisioterapia</t>
  </si>
  <si>
    <t>enfermagem e medicina, inclusive laboratorial</t>
  </si>
  <si>
    <t>odontologia e prótese dentária</t>
  </si>
  <si>
    <t>psicologia, psicanálise, terapia ocupacional</t>
  </si>
  <si>
    <t>acupuntura, podologia, fonoaudiologia, clínicas de nutrição e de vacinação e bancos de leite</t>
  </si>
  <si>
    <t>administração e locação de imóveis de terceiros</t>
  </si>
  <si>
    <t>academias de dança, de capoeira, de ioga e de artes marciais</t>
  </si>
  <si>
    <t>academias de atividades físicas, desportivas, de natação e escolas de esportes</t>
  </si>
  <si>
    <t>elaboração de programas de computadores, inclusive jogos eletrônicos</t>
  </si>
  <si>
    <t>licenciamento ou cessão de direito de uso de programas de computação</t>
  </si>
  <si>
    <t>planejamento, confecção, manutenção e atualização de páginas eletrônicas</t>
  </si>
  <si>
    <t>empresas montadoras de estandes para feiras</t>
  </si>
  <si>
    <t>laboratórios de análises clínicas ou de patologia clínica</t>
  </si>
  <si>
    <t>serviços de tomografia, diagnósticos médicos por imagem, registros gráficos e métodos óticos, bem como ressonância magnética</t>
  </si>
  <si>
    <t>serviços de prótese em geral</t>
  </si>
  <si>
    <t>Prestação de Serviços</t>
  </si>
  <si>
    <t>Recomenda-se a utilização do software gratuito LibreOffice.</t>
  </si>
  <si>
    <t>Anexo VI</t>
  </si>
  <si>
    <t>Receita Bruta em 12 Meses (2017)</t>
  </si>
  <si>
    <t>Receita Bruta em 12 Meses (2018)</t>
  </si>
  <si>
    <t>Serviços §5º - I Art. 18 - Extinto</t>
  </si>
  <si>
    <t>IRPJ</t>
  </si>
  <si>
    <t>CSLL</t>
  </si>
  <si>
    <t>Cofins</t>
  </si>
  <si>
    <t>PIS/Pasep</t>
  </si>
  <si>
    <t>CPP</t>
  </si>
  <si>
    <t>ISS</t>
  </si>
  <si>
    <t>Anexo VI IRPJ, PIS/Pasep, CSLL ,Cofins e CPP</t>
  </si>
  <si>
    <t>Anexo VI ISS</t>
  </si>
  <si>
    <t>Anexo IV ISS</t>
  </si>
  <si>
    <t>Anexo IV PIS</t>
  </si>
  <si>
    <t>Anexo IV COFINS</t>
  </si>
  <si>
    <t>PLANILHA DE CÁLCULO SIMPLES NACIONAL FATOR "R" 2018</t>
  </si>
  <si>
    <t>Receita Bruta Mensal - 2016</t>
  </si>
  <si>
    <t>Regra Antiga</t>
  </si>
  <si>
    <t>Regra Atual</t>
  </si>
  <si>
    <t>Repartição do IRPJ</t>
  </si>
  <si>
    <t>Repartição do CSLL</t>
  </si>
  <si>
    <t>Repartição do COFINS</t>
  </si>
  <si>
    <t>Repartição do PIS/Pasep</t>
  </si>
  <si>
    <t>Repartição do CPP</t>
  </si>
  <si>
    <t>Repartição do IPI</t>
  </si>
  <si>
    <t>Repartição do ICMS</t>
  </si>
  <si>
    <t>Simples Nacional</t>
  </si>
  <si>
    <t>Memória de Cálculo</t>
  </si>
  <si>
    <t>meses →</t>
  </si>
  <si>
    <t>Redução da Base de Cálculo ↓</t>
  </si>
  <si>
    <t>Receita Bruta Mensal - 2017</t>
  </si>
  <si>
    <t>Alíquota Integral</t>
  </si>
  <si>
    <t>Alíquota Efetiva Integral</t>
  </si>
  <si>
    <t>Alíquota da Tabela</t>
  </si>
  <si>
    <t>Dedução da Tabela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</si>
</sst>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(* #,##0.00_);_(* \(#,##0.00\);_(* &quot;-&quot;??_);_(@_)"/>
    <numFmt numFmtId="165" formatCode="&quot;R$ &quot;#,##0.00"/>
    <numFmt numFmtId="166" formatCode="mmmm"/>
    <numFmt numFmtId="167" formatCode="&quot;SIMPLES NACIONAL -&quot;\ ##"/>
    <numFmt numFmtId="168" formatCode="mmmm\,\ yyyy;@"/>
  </numFmts>
  <fonts count="2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color indexed="81"/>
      <name val="Segoe UI"/>
      <family val="2"/>
    </font>
    <font>
      <u/>
      <sz val="10"/>
      <color indexed="12"/>
      <name val="Arial"/>
      <family val="2"/>
    </font>
    <font>
      <u/>
      <sz val="8"/>
      <name val="Arial"/>
      <family val="2"/>
    </font>
    <font>
      <sz val="10"/>
      <color theme="0" tint="-0.249977111117893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theme="1"/>
      <name val="Times New Roman"/>
      <family val="1"/>
    </font>
    <font>
      <b/>
      <sz val="10"/>
      <color rgb="FFFF0000"/>
      <name val="Arial"/>
      <family val="2"/>
    </font>
    <font>
      <sz val="8"/>
      <color rgb="FF000000"/>
      <name val="Arial"/>
      <family val="2"/>
    </font>
    <font>
      <u/>
      <sz val="8"/>
      <color indexed="12"/>
      <name val="Arial"/>
      <family val="2"/>
    </font>
    <font>
      <b/>
      <sz val="18"/>
      <color theme="1"/>
      <name val="Arial"/>
      <family val="2"/>
    </font>
    <font>
      <i/>
      <sz val="8"/>
      <color theme="1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</cellStyleXfs>
  <cellXfs count="130">
    <xf numFmtId="0" fontId="0" fillId="0" borderId="0" xfId="0"/>
    <xf numFmtId="0" fontId="1" fillId="2" borderId="0" xfId="0" applyFont="1" applyFill="1" applyBorder="1" applyProtection="1"/>
    <xf numFmtId="165" fontId="3" fillId="2" borderId="0" xfId="0" applyNumberFormat="1" applyFont="1" applyFill="1" applyBorder="1" applyAlignment="1" applyProtection="1"/>
    <xf numFmtId="165" fontId="6" fillId="2" borderId="0" xfId="0" applyNumberFormat="1" applyFont="1" applyFill="1" applyBorder="1" applyAlignment="1" applyProtection="1"/>
    <xf numFmtId="0" fontId="11" fillId="0" borderId="0" xfId="2" applyFont="1" applyAlignment="1" applyProtection="1"/>
    <xf numFmtId="0" fontId="5" fillId="0" borderId="0" xfId="0" applyFont="1" applyProtection="1"/>
    <xf numFmtId="0" fontId="12" fillId="0" borderId="0" xfId="0" applyFont="1" applyAlignment="1" applyProtection="1">
      <alignment horizontal="left"/>
    </xf>
    <xf numFmtId="0" fontId="13" fillId="0" borderId="0" xfId="0" applyFont="1" applyProtection="1"/>
    <xf numFmtId="0" fontId="15" fillId="0" borderId="1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</xf>
    <xf numFmtId="0" fontId="14" fillId="0" borderId="2" xfId="0" applyFont="1" applyBorder="1" applyAlignment="1" applyProtection="1">
      <alignment horizontal="center" vertical="center" wrapText="1"/>
    </xf>
    <xf numFmtId="0" fontId="14" fillId="0" borderId="2" xfId="0" applyFont="1" applyBorder="1" applyAlignment="1" applyProtection="1">
      <alignment vertical="center" wrapText="1"/>
    </xf>
    <xf numFmtId="0" fontId="14" fillId="0" borderId="0" xfId="0" applyFont="1" applyProtection="1"/>
    <xf numFmtId="43" fontId="16" fillId="2" borderId="1" xfId="3" applyFont="1" applyFill="1" applyBorder="1" applyAlignment="1" applyProtection="1">
      <alignment horizontal="left"/>
    </xf>
    <xf numFmtId="10" fontId="15" fillId="0" borderId="1" xfId="0" applyNumberFormat="1" applyFont="1" applyBorder="1" applyAlignment="1" applyProtection="1">
      <alignment horizontal="center" vertical="center" wrapText="1"/>
    </xf>
    <xf numFmtId="43" fontId="14" fillId="0" borderId="1" xfId="3" applyFont="1" applyBorder="1" applyAlignment="1" applyProtection="1">
      <alignment horizontal="center" vertical="center" wrapText="1"/>
    </xf>
    <xf numFmtId="10" fontId="14" fillId="0" borderId="1" xfId="0" applyNumberFormat="1" applyFont="1" applyBorder="1" applyAlignment="1" applyProtection="1">
      <alignment horizontal="center" vertical="center" wrapText="1"/>
    </xf>
    <xf numFmtId="10" fontId="14" fillId="0" borderId="2" xfId="0" applyNumberFormat="1" applyFont="1" applyBorder="1" applyAlignment="1" applyProtection="1">
      <alignment horizontal="center" vertical="center" wrapText="1"/>
    </xf>
    <xf numFmtId="43" fontId="14" fillId="0" borderId="2" xfId="3" applyFont="1" applyBorder="1" applyAlignment="1" applyProtection="1">
      <alignment horizontal="center" vertical="center" wrapText="1"/>
    </xf>
    <xf numFmtId="10" fontId="14" fillId="0" borderId="3" xfId="0" applyNumberFormat="1" applyFont="1" applyBorder="1" applyAlignment="1" applyProtection="1">
      <alignment horizontal="center" vertical="center" wrapText="1"/>
    </xf>
    <xf numFmtId="10" fontId="14" fillId="0" borderId="4" xfId="0" applyNumberFormat="1" applyFont="1" applyBorder="1" applyAlignment="1" applyProtection="1">
      <alignment horizontal="center" vertical="center" wrapText="1"/>
    </xf>
    <xf numFmtId="10" fontId="14" fillId="0" borderId="2" xfId="0" applyNumberFormat="1" applyFont="1" applyBorder="1" applyAlignment="1" applyProtection="1">
      <alignment horizontal="justify" vertical="center" wrapText="1"/>
    </xf>
    <xf numFmtId="4" fontId="14" fillId="0" borderId="1" xfId="0" applyNumberFormat="1" applyFont="1" applyBorder="1" applyAlignment="1" applyProtection="1">
      <alignment horizontal="center" vertical="center" wrapText="1"/>
    </xf>
    <xf numFmtId="10" fontId="14" fillId="0" borderId="1" xfId="0" applyNumberFormat="1" applyFont="1" applyBorder="1" applyAlignment="1" applyProtection="1">
      <alignment horizontal="justify" vertical="center" wrapText="1"/>
    </xf>
    <xf numFmtId="10" fontId="15" fillId="0" borderId="5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14" fillId="0" borderId="0" xfId="0" applyFont="1" applyBorder="1" applyAlignment="1" applyProtection="1">
      <alignment horizontal="justify" vertical="center" wrapText="1"/>
    </xf>
    <xf numFmtId="0" fontId="14" fillId="0" borderId="1" xfId="0" applyFont="1" applyBorder="1" applyAlignment="1" applyProtection="1">
      <alignment horizontal="justify" vertical="center" wrapText="1"/>
    </xf>
    <xf numFmtId="0" fontId="15" fillId="0" borderId="0" xfId="0" applyFont="1" applyBorder="1" applyAlignment="1" applyProtection="1">
      <alignment horizontal="left" vertical="center" wrapText="1"/>
    </xf>
    <xf numFmtId="0" fontId="14" fillId="0" borderId="0" xfId="0" applyFont="1" applyBorder="1" applyProtection="1"/>
    <xf numFmtId="9" fontId="14" fillId="0" borderId="0" xfId="0" applyNumberFormat="1" applyFont="1" applyBorder="1" applyAlignment="1" applyProtection="1">
      <alignment horizontal="justify" vertical="center" wrapText="1"/>
    </xf>
    <xf numFmtId="0" fontId="17" fillId="0" borderId="0" xfId="0" applyFont="1" applyBorder="1" applyAlignment="1" applyProtection="1">
      <alignment horizontal="justify" vertical="center" wrapText="1"/>
    </xf>
    <xf numFmtId="9" fontId="17" fillId="0" borderId="0" xfId="0" applyNumberFormat="1" applyFont="1" applyBorder="1" applyAlignment="1" applyProtection="1">
      <alignment horizontal="justify" vertical="center" wrapText="1"/>
    </xf>
    <xf numFmtId="43" fontId="1" fillId="2" borderId="0" xfId="0" applyNumberFormat="1" applyFont="1" applyFill="1" applyBorder="1" applyProtection="1"/>
    <xf numFmtId="0" fontId="7" fillId="3" borderId="0" xfId="0" applyFont="1" applyFill="1" applyProtection="1">
      <protection locked="0"/>
    </xf>
    <xf numFmtId="168" fontId="5" fillId="3" borderId="0" xfId="0" applyNumberFormat="1" applyFont="1" applyFill="1" applyAlignment="1" applyProtection="1">
      <alignment horizontal="left"/>
      <protection locked="0"/>
    </xf>
    <xf numFmtId="0" fontId="11" fillId="0" borderId="0" xfId="2" applyFont="1" applyAlignment="1" applyProtection="1">
      <protection locked="0"/>
    </xf>
    <xf numFmtId="0" fontId="18" fillId="2" borderId="0" xfId="0" applyFont="1" applyFill="1" applyBorder="1" applyProtection="1"/>
    <xf numFmtId="0" fontId="14" fillId="0" borderId="1" xfId="0" applyFont="1" applyBorder="1" applyAlignment="1" applyProtection="1">
      <alignment horizontal="center" vertical="center" wrapText="1"/>
    </xf>
    <xf numFmtId="4" fontId="14" fillId="0" borderId="2" xfId="0" applyNumberFormat="1" applyFont="1" applyBorder="1" applyAlignment="1" applyProtection="1">
      <alignment horizontal="center" vertical="center" wrapText="1"/>
    </xf>
    <xf numFmtId="10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0" xfId="2" applyFont="1" applyAlignment="1" applyProtection="1"/>
    <xf numFmtId="0" fontId="21" fillId="0" borderId="0" xfId="0" applyFont="1" applyProtection="1"/>
    <xf numFmtId="0" fontId="22" fillId="0" borderId="0" xfId="0" applyFont="1"/>
    <xf numFmtId="43" fontId="5" fillId="0" borderId="0" xfId="3" applyFont="1" applyProtection="1"/>
    <xf numFmtId="0" fontId="7" fillId="0" borderId="0" xfId="0" applyFont="1" applyFill="1" applyProtection="1"/>
    <xf numFmtId="0" fontId="5" fillId="0" borderId="0" xfId="0" applyFont="1" applyProtection="1">
      <protection locked="0"/>
    </xf>
    <xf numFmtId="165" fontId="16" fillId="2" borderId="1" xfId="0" applyNumberFormat="1" applyFont="1" applyFill="1" applyBorder="1" applyAlignment="1">
      <alignment horizontal="center"/>
    </xf>
    <xf numFmtId="10" fontId="14" fillId="0" borderId="1" xfId="1" applyNumberFormat="1" applyFont="1" applyBorder="1"/>
    <xf numFmtId="0" fontId="14" fillId="0" borderId="6" xfId="0" applyFont="1" applyBorder="1" applyAlignment="1" applyProtection="1">
      <alignment horizontal="left" vertical="top" wrapText="1"/>
    </xf>
    <xf numFmtId="10" fontId="1" fillId="2" borderId="0" xfId="0" applyNumberFormat="1" applyFont="1" applyFill="1" applyBorder="1" applyProtection="1"/>
    <xf numFmtId="0" fontId="2" fillId="2" borderId="10" xfId="0" applyFont="1" applyFill="1" applyBorder="1" applyProtection="1"/>
    <xf numFmtId="164" fontId="1" fillId="3" borderId="11" xfId="0" applyNumberFormat="1" applyFont="1" applyFill="1" applyBorder="1" applyProtection="1">
      <protection locked="0"/>
    </xf>
    <xf numFmtId="164" fontId="1" fillId="3" borderId="12" xfId="0" applyNumberFormat="1" applyFont="1" applyFill="1" applyBorder="1" applyProtection="1">
      <protection locked="0"/>
    </xf>
    <xf numFmtId="10" fontId="1" fillId="2" borderId="11" xfId="0" applyNumberFormat="1" applyFont="1" applyFill="1" applyBorder="1" applyProtection="1"/>
    <xf numFmtId="10" fontId="1" fillId="2" borderId="12" xfId="0" applyNumberFormat="1" applyFont="1" applyFill="1" applyBorder="1" applyProtection="1"/>
    <xf numFmtId="43" fontId="1" fillId="2" borderId="11" xfId="3" applyFont="1" applyFill="1" applyBorder="1" applyProtection="1"/>
    <xf numFmtId="43" fontId="1" fillId="2" borderId="12" xfId="3" applyFont="1" applyFill="1" applyBorder="1" applyProtection="1"/>
    <xf numFmtId="164" fontId="1" fillId="2" borderId="11" xfId="0" applyNumberFormat="1" applyFont="1" applyFill="1" applyBorder="1" applyProtection="1"/>
    <xf numFmtId="164" fontId="1" fillId="2" borderId="12" xfId="0" applyNumberFormat="1" applyFont="1" applyFill="1" applyBorder="1" applyProtection="1"/>
    <xf numFmtId="10" fontId="1" fillId="2" borderId="11" xfId="1" applyNumberFormat="1" applyFont="1" applyFill="1" applyBorder="1" applyProtection="1"/>
    <xf numFmtId="10" fontId="1" fillId="2" borderId="12" xfId="1" applyNumberFormat="1" applyFont="1" applyFill="1" applyBorder="1" applyProtection="1"/>
    <xf numFmtId="0" fontId="18" fillId="2" borderId="10" xfId="0" applyFont="1" applyFill="1" applyBorder="1" applyProtection="1"/>
    <xf numFmtId="43" fontId="18" fillId="2" borderId="11" xfId="3" applyFont="1" applyFill="1" applyBorder="1" applyProtection="1"/>
    <xf numFmtId="43" fontId="18" fillId="2" borderId="12" xfId="3" applyFont="1" applyFill="1" applyBorder="1" applyProtection="1"/>
    <xf numFmtId="0" fontId="2" fillId="2" borderId="7" xfId="0" applyFont="1" applyFill="1" applyBorder="1" applyProtection="1"/>
    <xf numFmtId="164" fontId="1" fillId="3" borderId="8" xfId="0" applyNumberFormat="1" applyFont="1" applyFill="1" applyBorder="1" applyProtection="1">
      <protection locked="0"/>
    </xf>
    <xf numFmtId="164" fontId="1" fillId="3" borderId="9" xfId="0" applyNumberFormat="1" applyFont="1" applyFill="1" applyBorder="1" applyProtection="1">
      <protection locked="0"/>
    </xf>
    <xf numFmtId="0" fontId="2" fillId="2" borderId="16" xfId="0" applyFont="1" applyFill="1" applyBorder="1" applyProtection="1"/>
    <xf numFmtId="164" fontId="1" fillId="3" borderId="17" xfId="0" applyNumberFormat="1" applyFont="1" applyFill="1" applyBorder="1" applyProtection="1">
      <protection locked="0"/>
    </xf>
    <xf numFmtId="164" fontId="1" fillId="3" borderId="18" xfId="0" applyNumberFormat="1" applyFont="1" applyFill="1" applyBorder="1" applyProtection="1">
      <protection locked="0"/>
    </xf>
    <xf numFmtId="0" fontId="19" fillId="5" borderId="21" xfId="0" applyFont="1" applyFill="1" applyBorder="1" applyAlignment="1">
      <alignment vertical="center" wrapText="1"/>
    </xf>
    <xf numFmtId="10" fontId="19" fillId="5" borderId="21" xfId="0" applyNumberFormat="1" applyFont="1" applyFill="1" applyBorder="1" applyAlignment="1">
      <alignment vertical="center" wrapText="1"/>
    </xf>
    <xf numFmtId="0" fontId="14" fillId="0" borderId="0" xfId="0" applyFont="1" applyBorder="1" applyAlignment="1" applyProtection="1">
      <alignment horizontal="left" vertical="top" wrapText="1"/>
    </xf>
    <xf numFmtId="0" fontId="14" fillId="0" borderId="0" xfId="0" applyFont="1" applyBorder="1" applyAlignment="1" applyProtection="1">
      <alignment horizontal="center" vertical="top" wrapText="1"/>
    </xf>
    <xf numFmtId="0" fontId="14" fillId="0" borderId="19" xfId="0" applyFont="1" applyBorder="1" applyAlignment="1" applyProtection="1">
      <alignment horizontal="left" vertical="top" wrapText="1"/>
    </xf>
    <xf numFmtId="0" fontId="14" fillId="0" borderId="1" xfId="0" applyFont="1" applyBorder="1"/>
    <xf numFmtId="165" fontId="23" fillId="2" borderId="1" xfId="0" applyNumberFormat="1" applyFont="1" applyFill="1" applyBorder="1" applyAlignment="1">
      <alignment horizontal="center"/>
    </xf>
    <xf numFmtId="10" fontId="23" fillId="2" borderId="1" xfId="0" applyNumberFormat="1" applyFont="1" applyFill="1" applyBorder="1" applyProtection="1">
      <protection locked="0"/>
    </xf>
    <xf numFmtId="10" fontId="15" fillId="0" borderId="1" xfId="1" applyNumberFormat="1" applyFont="1" applyBorder="1"/>
    <xf numFmtId="10" fontId="23" fillId="2" borderId="1" xfId="0" applyNumberFormat="1" applyFont="1" applyFill="1" applyBorder="1" applyAlignment="1" applyProtection="1">
      <alignment horizontal="left"/>
      <protection locked="0"/>
    </xf>
    <xf numFmtId="10" fontId="15" fillId="0" borderId="1" xfId="0" applyNumberFormat="1" applyFont="1" applyBorder="1"/>
    <xf numFmtId="164" fontId="1" fillId="4" borderId="8" xfId="0" applyNumberFormat="1" applyFont="1" applyFill="1" applyBorder="1" applyProtection="1">
      <protection locked="0"/>
    </xf>
    <xf numFmtId="167" fontId="2" fillId="0" borderId="22" xfId="0" applyNumberFormat="1" applyFont="1" applyFill="1" applyBorder="1" applyAlignment="1" applyProtection="1">
      <alignment horizontal="left"/>
    </xf>
    <xf numFmtId="166" fontId="2" fillId="2" borderId="23" xfId="0" applyNumberFormat="1" applyFont="1" applyFill="1" applyBorder="1" applyAlignment="1" applyProtection="1">
      <alignment horizontal="center"/>
    </xf>
    <xf numFmtId="166" fontId="2" fillId="2" borderId="24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Alignment="1" applyProtection="1">
      <alignment horizontal="left"/>
    </xf>
    <xf numFmtId="10" fontId="1" fillId="0" borderId="11" xfId="1" applyNumberFormat="1" applyFont="1" applyFill="1" applyBorder="1" applyAlignment="1" applyProtection="1">
      <alignment horizontal="center"/>
    </xf>
    <xf numFmtId="10" fontId="1" fillId="0" borderId="12" xfId="1" applyNumberFormat="1" applyFont="1" applyFill="1" applyBorder="1" applyAlignment="1" applyProtection="1">
      <alignment horizontal="center"/>
    </xf>
    <xf numFmtId="10" fontId="1" fillId="2" borderId="17" xfId="1" applyNumberFormat="1" applyFont="1" applyFill="1" applyBorder="1" applyProtection="1"/>
    <xf numFmtId="167" fontId="2" fillId="0" borderId="25" xfId="0" applyNumberFormat="1" applyFont="1" applyFill="1" applyBorder="1" applyAlignment="1" applyProtection="1">
      <alignment horizontal="left"/>
    </xf>
    <xf numFmtId="166" fontId="2" fillId="2" borderId="26" xfId="0" applyNumberFormat="1" applyFont="1" applyFill="1" applyBorder="1" applyAlignment="1" applyProtection="1">
      <alignment horizontal="center"/>
    </xf>
    <xf numFmtId="166" fontId="2" fillId="2" borderId="20" xfId="0" applyNumberFormat="1" applyFont="1" applyFill="1" applyBorder="1" applyAlignment="1" applyProtection="1">
      <alignment horizontal="center"/>
    </xf>
    <xf numFmtId="0" fontId="2" fillId="2" borderId="13" xfId="0" applyFont="1" applyFill="1" applyBorder="1" applyProtection="1"/>
    <xf numFmtId="164" fontId="1" fillId="3" borderId="14" xfId="0" applyNumberFormat="1" applyFont="1" applyFill="1" applyBorder="1" applyProtection="1">
      <protection locked="0"/>
    </xf>
    <xf numFmtId="164" fontId="1" fillId="3" borderId="15" xfId="0" applyNumberFormat="1" applyFont="1" applyFill="1" applyBorder="1" applyProtection="1">
      <protection locked="0"/>
    </xf>
    <xf numFmtId="10" fontId="8" fillId="2" borderId="11" xfId="1" applyNumberFormat="1" applyFont="1" applyFill="1" applyBorder="1" applyProtection="1"/>
    <xf numFmtId="10" fontId="8" fillId="2" borderId="12" xfId="1" applyNumberFormat="1" applyFont="1" applyFill="1" applyBorder="1" applyProtection="1"/>
    <xf numFmtId="43" fontId="8" fillId="2" borderId="10" xfId="3" applyFont="1" applyFill="1" applyBorder="1" applyProtection="1"/>
    <xf numFmtId="43" fontId="8" fillId="2" borderId="16" xfId="3" applyFont="1" applyFill="1" applyBorder="1" applyProtection="1"/>
    <xf numFmtId="10" fontId="8" fillId="2" borderId="17" xfId="1" applyNumberFormat="1" applyFont="1" applyFill="1" applyBorder="1" applyProtection="1"/>
    <xf numFmtId="10" fontId="8" fillId="2" borderId="18" xfId="1" applyNumberFormat="1" applyFont="1" applyFill="1" applyBorder="1" applyProtection="1"/>
    <xf numFmtId="10" fontId="1" fillId="2" borderId="17" xfId="0" applyNumberFormat="1" applyFont="1" applyFill="1" applyBorder="1" applyProtection="1"/>
    <xf numFmtId="10" fontId="1" fillId="2" borderId="18" xfId="0" applyNumberFormat="1" applyFont="1" applyFill="1" applyBorder="1" applyProtection="1"/>
    <xf numFmtId="0" fontId="1" fillId="0" borderId="0" xfId="0" applyFont="1" applyFill="1" applyBorder="1" applyProtection="1"/>
    <xf numFmtId="10" fontId="1" fillId="2" borderId="18" xfId="1" applyNumberFormat="1" applyFont="1" applyFill="1" applyBorder="1" applyProtection="1"/>
    <xf numFmtId="0" fontId="1" fillId="2" borderId="10" xfId="0" applyFont="1" applyFill="1" applyBorder="1" applyProtection="1"/>
    <xf numFmtId="0" fontId="1" fillId="2" borderId="16" xfId="0" applyFont="1" applyFill="1" applyBorder="1" applyProtection="1"/>
    <xf numFmtId="43" fontId="18" fillId="2" borderId="0" xfId="3" applyFont="1" applyFill="1" applyBorder="1" applyProtection="1"/>
    <xf numFmtId="167" fontId="24" fillId="0" borderId="25" xfId="0" applyNumberFormat="1" applyFont="1" applyFill="1" applyBorder="1" applyAlignment="1" applyProtection="1">
      <alignment horizontal="center"/>
    </xf>
    <xf numFmtId="167" fontId="24" fillId="0" borderId="23" xfId="0" applyNumberFormat="1" applyFont="1" applyFill="1" applyBorder="1" applyAlignment="1" applyProtection="1">
      <alignment horizontal="center"/>
    </xf>
    <xf numFmtId="0" fontId="2" fillId="3" borderId="7" xfId="0" applyFont="1" applyFill="1" applyBorder="1" applyProtection="1">
      <protection locked="0"/>
    </xf>
    <xf numFmtId="10" fontId="1" fillId="3" borderId="10" xfId="1" applyNumberFormat="1" applyFont="1" applyFill="1" applyBorder="1" applyProtection="1">
      <protection locked="0"/>
    </xf>
    <xf numFmtId="10" fontId="1" fillId="3" borderId="16" xfId="1" applyNumberFormat="1" applyFont="1" applyFill="1" applyBorder="1" applyProtection="1">
      <protection locked="0"/>
    </xf>
    <xf numFmtId="10" fontId="8" fillId="3" borderId="10" xfId="1" applyNumberFormat="1" applyFont="1" applyFill="1" applyBorder="1" applyProtection="1">
      <protection locked="0"/>
    </xf>
    <xf numFmtId="10" fontId="8" fillId="3" borderId="17" xfId="1" applyNumberFormat="1" applyFont="1" applyFill="1" applyBorder="1" applyProtection="1">
      <protection locked="0"/>
    </xf>
    <xf numFmtId="10" fontId="8" fillId="3" borderId="16" xfId="1" applyNumberFormat="1" applyFont="1" applyFill="1" applyBorder="1" applyProtection="1">
      <protection locked="0"/>
    </xf>
    <xf numFmtId="0" fontId="25" fillId="2" borderId="26" xfId="0" applyFont="1" applyFill="1" applyBorder="1" applyAlignment="1" applyProtection="1">
      <alignment horizontal="center" vertical="center" wrapText="1"/>
    </xf>
    <xf numFmtId="0" fontId="25" fillId="2" borderId="27" xfId="0" applyFont="1" applyFill="1" applyBorder="1" applyAlignment="1" applyProtection="1">
      <alignment horizontal="center" vertical="center" wrapText="1"/>
    </xf>
    <xf numFmtId="0" fontId="25" fillId="2" borderId="8" xfId="0" applyFont="1" applyFill="1" applyBorder="1" applyAlignment="1" applyProtection="1">
      <alignment horizontal="center" vertical="center" wrapText="1"/>
    </xf>
    <xf numFmtId="0" fontId="25" fillId="2" borderId="27" xfId="0" applyFont="1" applyFill="1" applyBorder="1" applyAlignment="1" applyProtection="1">
      <alignment horizontal="center" vertical="center"/>
    </xf>
    <xf numFmtId="0" fontId="25" fillId="2" borderId="28" xfId="0" applyFont="1" applyFill="1" applyBorder="1" applyAlignment="1" applyProtection="1">
      <alignment horizontal="center" vertical="center"/>
    </xf>
    <xf numFmtId="0" fontId="14" fillId="0" borderId="2" xfId="0" applyFont="1" applyBorder="1" applyAlignment="1" applyProtection="1">
      <alignment horizontal="center" vertical="top" wrapText="1"/>
    </xf>
    <xf numFmtId="0" fontId="14" fillId="0" borderId="6" xfId="0" applyFont="1" applyBorder="1" applyAlignment="1" applyProtection="1">
      <alignment horizontal="center" vertical="top" wrapText="1"/>
    </xf>
    <xf numFmtId="0" fontId="14" fillId="0" borderId="5" xfId="0" applyFont="1" applyBorder="1" applyAlignment="1" applyProtection="1">
      <alignment horizontal="center" vertical="top" wrapText="1"/>
    </xf>
    <xf numFmtId="0" fontId="15" fillId="0" borderId="1" xfId="0" applyFont="1" applyBorder="1" applyAlignment="1" applyProtection="1">
      <alignment horizontal="center" vertical="center" wrapText="1"/>
    </xf>
    <xf numFmtId="0" fontId="14" fillId="0" borderId="2" xfId="0" applyFont="1" applyBorder="1" applyAlignment="1" applyProtection="1">
      <alignment horizontal="left" vertical="top" wrapText="1"/>
    </xf>
    <xf numFmtId="0" fontId="14" fillId="0" borderId="6" xfId="0" applyFont="1" applyBorder="1" applyAlignment="1" applyProtection="1">
      <alignment horizontal="left" vertical="top" wrapText="1"/>
    </xf>
    <xf numFmtId="0" fontId="14" fillId="0" borderId="5" xfId="0" applyFont="1" applyBorder="1" applyAlignment="1" applyProtection="1">
      <alignment horizontal="left" vertical="top" wrapText="1"/>
    </xf>
  </cellXfs>
  <cellStyles count="4">
    <cellStyle name="Hiperlink" xfId="2" builtinId="8"/>
    <cellStyle name="Normal" xfId="0" builtinId="0"/>
    <cellStyle name="Porcentagem" xfId="1" builtinId="5"/>
    <cellStyle name="Vírgula" xfId="3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47625</xdr:colOff>
      <xdr:row>10</xdr:row>
      <xdr:rowOff>38100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0"/>
          <a:ext cx="2000250" cy="1790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2000250</xdr:colOff>
      <xdr:row>9</xdr:row>
      <xdr:rowOff>123825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FD9377-8C3A-46FD-9B04-2D085AE81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0"/>
          <a:ext cx="2000250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t-br.libreoffice.org/baixe-ja/" TargetMode="External"/><Relationship Id="rId1" Type="http://schemas.openxmlformats.org/officeDocument/2006/relationships/hyperlink" Target="http://www.funcaocontabil.net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t-br.libreoffice.org/baixe-ja/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planalto.gov.br/ccivil_03/leis/LCP/Lcp155.htm" TargetMode="Externa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2">
    <tabColor rgb="FF00B050"/>
  </sheetPr>
  <dimension ref="A1:O48"/>
  <sheetViews>
    <sheetView showGridLines="0" tabSelected="1" zoomScaleNormal="100" zoomScaleSheetLayoutView="100" workbookViewId="0">
      <selection activeCell="F2" sqref="F2"/>
    </sheetView>
  </sheetViews>
  <sheetFormatPr defaultRowHeight="12.75" outlineLevelRow="1" x14ac:dyDescent="0.2"/>
  <cols>
    <col min="1" max="1" width="2.7109375" style="1" customWidth="1"/>
    <col min="2" max="2" width="29.28515625" style="1" bestFit="1" customWidth="1"/>
    <col min="3" max="3" width="8.28515625" style="1" customWidth="1"/>
    <col min="4" max="4" width="13" style="1" bestFit="1" customWidth="1"/>
    <col min="5" max="5" width="14.42578125" style="1" bestFit="1" customWidth="1"/>
    <col min="6" max="6" width="14.140625" style="1" bestFit="1" customWidth="1"/>
    <col min="7" max="15" width="13" style="1" bestFit="1" customWidth="1"/>
    <col min="16" max="16384" width="9.140625" style="1"/>
  </cols>
  <sheetData>
    <row r="1" spans="1:15" ht="23.25" x14ac:dyDescent="0.35">
      <c r="A1" s="2" t="s">
        <v>5</v>
      </c>
      <c r="B1" s="3"/>
      <c r="C1" s="3"/>
      <c r="D1" s="3"/>
      <c r="E1" s="3"/>
      <c r="F1" s="3"/>
      <c r="G1" s="3"/>
    </row>
    <row r="2" spans="1:15" s="5" customFormat="1" x14ac:dyDescent="0.2">
      <c r="E2" s="4"/>
      <c r="F2" s="36" t="s">
        <v>6</v>
      </c>
      <c r="G2" s="12"/>
    </row>
    <row r="3" spans="1:15" s="5" customFormat="1" x14ac:dyDescent="0.2">
      <c r="F3" s="12" t="s">
        <v>92</v>
      </c>
      <c r="G3" s="12"/>
    </row>
    <row r="4" spans="1:15" s="5" customFormat="1" x14ac:dyDescent="0.2">
      <c r="F4" s="44" t="s">
        <v>68</v>
      </c>
      <c r="G4" s="42" t="s">
        <v>67</v>
      </c>
    </row>
    <row r="5" spans="1:15" s="5" customFormat="1" x14ac:dyDescent="0.2"/>
    <row r="6" spans="1:15" s="5" customFormat="1" x14ac:dyDescent="0.2"/>
    <row r="7" spans="1:15" s="5" customFormat="1" x14ac:dyDescent="0.2"/>
    <row r="8" spans="1:15" s="5" customFormat="1" x14ac:dyDescent="0.2">
      <c r="D8" s="7" t="s">
        <v>25</v>
      </c>
      <c r="E8" s="34" t="s">
        <v>1</v>
      </c>
    </row>
    <row r="9" spans="1:15" s="5" customFormat="1" x14ac:dyDescent="0.2">
      <c r="B9" s="6" t="s">
        <v>7</v>
      </c>
      <c r="C9" s="6"/>
      <c r="D9" s="7" t="s">
        <v>32</v>
      </c>
      <c r="E9" s="5" t="str">
        <f>IFERROR(VLOOKUP($E$8,Anexos!A44:B49,2,0),"")</f>
        <v>Comércio</v>
      </c>
    </row>
    <row r="10" spans="1:15" s="5" customFormat="1" x14ac:dyDescent="0.2"/>
    <row r="11" spans="1:15" s="5" customFormat="1" x14ac:dyDescent="0.2">
      <c r="D11" s="7" t="s">
        <v>110</v>
      </c>
      <c r="E11" s="87">
        <f>2017</f>
        <v>2017</v>
      </c>
    </row>
    <row r="12" spans="1:15" s="5" customFormat="1" x14ac:dyDescent="0.2"/>
    <row r="13" spans="1:15" x14ac:dyDescent="0.2">
      <c r="B13" s="91">
        <f>2017</f>
        <v>2017</v>
      </c>
      <c r="C13" s="110" t="s">
        <v>121</v>
      </c>
      <c r="D13" s="92">
        <f>DATE(B13,1,1)</f>
        <v>42736</v>
      </c>
      <c r="E13" s="92">
        <f>EDATE(D13,1)</f>
        <v>42767</v>
      </c>
      <c r="F13" s="92">
        <f t="shared" ref="F13:O13" si="0">EDATE(E13,1)</f>
        <v>42795</v>
      </c>
      <c r="G13" s="92">
        <f t="shared" si="0"/>
        <v>42826</v>
      </c>
      <c r="H13" s="92">
        <f t="shared" si="0"/>
        <v>42856</v>
      </c>
      <c r="I13" s="92">
        <f t="shared" si="0"/>
        <v>42887</v>
      </c>
      <c r="J13" s="92">
        <f t="shared" si="0"/>
        <v>42917</v>
      </c>
      <c r="K13" s="92">
        <f t="shared" si="0"/>
        <v>42948</v>
      </c>
      <c r="L13" s="92">
        <f t="shared" si="0"/>
        <v>42979</v>
      </c>
      <c r="M13" s="92">
        <f t="shared" si="0"/>
        <v>43009</v>
      </c>
      <c r="N13" s="92">
        <f>EDATE(M13,1)</f>
        <v>43040</v>
      </c>
      <c r="O13" s="93">
        <f t="shared" si="0"/>
        <v>43070</v>
      </c>
    </row>
    <row r="14" spans="1:15" x14ac:dyDescent="0.2">
      <c r="B14" s="94" t="s">
        <v>109</v>
      </c>
      <c r="C14" s="118" t="s">
        <v>122</v>
      </c>
      <c r="D14" s="95">
        <v>20000</v>
      </c>
      <c r="E14" s="95">
        <v>20000</v>
      </c>
      <c r="F14" s="95">
        <v>20000</v>
      </c>
      <c r="G14" s="95">
        <v>20000</v>
      </c>
      <c r="H14" s="95">
        <v>20000</v>
      </c>
      <c r="I14" s="95">
        <v>20000</v>
      </c>
      <c r="J14" s="95">
        <v>20000</v>
      </c>
      <c r="K14" s="95">
        <v>20000</v>
      </c>
      <c r="L14" s="95">
        <v>20000</v>
      </c>
      <c r="M14" s="95">
        <v>20000</v>
      </c>
      <c r="N14" s="95">
        <v>20000</v>
      </c>
      <c r="O14" s="96">
        <v>20000</v>
      </c>
    </row>
    <row r="15" spans="1:15" x14ac:dyDescent="0.2">
      <c r="B15" s="52" t="s">
        <v>0</v>
      </c>
      <c r="C15" s="119"/>
      <c r="D15" s="53">
        <v>20000</v>
      </c>
      <c r="E15" s="53">
        <v>20000</v>
      </c>
      <c r="F15" s="53">
        <v>20000</v>
      </c>
      <c r="G15" s="53">
        <v>20000</v>
      </c>
      <c r="H15" s="53">
        <v>20000</v>
      </c>
      <c r="I15" s="53">
        <v>20000</v>
      </c>
      <c r="J15" s="53">
        <v>20000</v>
      </c>
      <c r="K15" s="53">
        <v>20000</v>
      </c>
      <c r="L15" s="53">
        <v>20000</v>
      </c>
      <c r="M15" s="53">
        <v>20000</v>
      </c>
      <c r="N15" s="53">
        <v>20000</v>
      </c>
      <c r="O15" s="54">
        <v>20000</v>
      </c>
    </row>
    <row r="16" spans="1:15" hidden="1" outlineLevel="1" x14ac:dyDescent="0.2">
      <c r="B16" s="52" t="s">
        <v>4</v>
      </c>
      <c r="C16" s="119"/>
      <c r="D16" s="53">
        <f>AVERAGE(D14:O$14)*12</f>
        <v>240000</v>
      </c>
      <c r="E16" s="53">
        <f>AVERAGE(E14:O$14,D15)*12</f>
        <v>240000</v>
      </c>
      <c r="F16" s="53">
        <f>AVERAGE(F14:O$14,$D$15:E15)*12</f>
        <v>240000</v>
      </c>
      <c r="G16" s="53">
        <f>AVERAGE(G14:O$14,$D$15:F15)*12</f>
        <v>240000</v>
      </c>
      <c r="H16" s="53">
        <f>AVERAGE(H14:O$14,$D$15:G15)*12</f>
        <v>240000</v>
      </c>
      <c r="I16" s="53">
        <f>AVERAGE(I14:O$14,$D$15:H15)*12</f>
        <v>240000</v>
      </c>
      <c r="J16" s="53">
        <f>AVERAGE(J14:O$14,$D$15:I15)*12</f>
        <v>240000</v>
      </c>
      <c r="K16" s="53">
        <f>AVERAGE(K14:O$14,$D$15:J15)*12</f>
        <v>240000</v>
      </c>
      <c r="L16" s="53">
        <f>AVERAGE(L15:O$15,$D$15:K15)*12</f>
        <v>240000</v>
      </c>
      <c r="M16" s="53">
        <f>AVERAGE(M14:O$14,$D$15:L15)*12</f>
        <v>240000</v>
      </c>
      <c r="N16" s="53">
        <f>AVERAGE(N14:O$14,$D$15:M15)*12</f>
        <v>240000</v>
      </c>
      <c r="O16" s="54">
        <f>AVERAGE(O14:O$14,$D$15:N15)*12</f>
        <v>240000</v>
      </c>
    </row>
    <row r="17" spans="2:15" hidden="1" outlineLevel="1" x14ac:dyDescent="0.2">
      <c r="B17" s="52" t="s">
        <v>124</v>
      </c>
      <c r="C17" s="119"/>
      <c r="D17" s="55">
        <f>IFERROR(_xlfn.IFS($E$8="Anexo I",VLOOKUP(D16,Anexos!$A$22:$AG$41,3),$E$8="Anexo II",VLOOKUP(D16,Anexos!$A$22:$AG$41,10),$E$8="Anexo III",VLOOKUP(D16,Anexos!$A$22:$AG$41,18),$E$8="Anexo IV",VLOOKUP(D16,Anexos!$A$22:$AG$41,25),$E$8="Anexo VI",VLOOKUP(D16,Anexos!$A$22:$AG$41,31)),0)</f>
        <v>5.4699999999999999E-2</v>
      </c>
      <c r="E17" s="55">
        <f>IFERROR(_xlfn.IFS($E$8="Anexo I",VLOOKUP(E16,Anexos!$A$22:$AG$41,3),$E$8="Anexo II",VLOOKUP(E16,Anexos!$A$22:$AG$41,10),$E$8="Anexo III",VLOOKUP(E16,Anexos!$A$22:$AG$41,18),$E$8="Anexo IV",VLOOKUP(E16,Anexos!$A$22:$AG$41,25),$E$8="Anexo VI",VLOOKUP(E16,Anexos!$A$22:$AG$41,31)),0)</f>
        <v>5.4699999999999999E-2</v>
      </c>
      <c r="F17" s="55">
        <f>IFERROR(_xlfn.IFS($E$8="Anexo I",VLOOKUP(F16,Anexos!$A$22:$AG$41,3),$E$8="Anexo II",VLOOKUP(F16,Anexos!$A$22:$AG$41,10),$E$8="Anexo III",VLOOKUP(F16,Anexos!$A$22:$AG$41,18),$E$8="Anexo IV",VLOOKUP(F16,Anexos!$A$22:$AG$41,25),$E$8="Anexo VI",VLOOKUP(F16,Anexos!$A$22:$AG$41,31)),0)</f>
        <v>5.4699999999999999E-2</v>
      </c>
      <c r="G17" s="55">
        <f>IFERROR(_xlfn.IFS($E$8="Anexo I",VLOOKUP(G16,Anexos!$A$22:$AG$41,3),$E$8="Anexo II",VLOOKUP(G16,Anexos!$A$22:$AG$41,10),$E$8="Anexo III",VLOOKUP(G16,Anexos!$A$22:$AG$41,18),$E$8="Anexo IV",VLOOKUP(G16,Anexos!$A$22:$AG$41,25),$E$8="Anexo VI",VLOOKUP(G16,Anexos!$A$22:$AG$41,31)),0)</f>
        <v>5.4699999999999999E-2</v>
      </c>
      <c r="H17" s="55">
        <f>IFERROR(_xlfn.IFS($E$8="Anexo I",VLOOKUP(H16,Anexos!$A$22:$AG$41,3),$E$8="Anexo II",VLOOKUP(H16,Anexos!$A$22:$AG$41,10),$E$8="Anexo III",VLOOKUP(H16,Anexos!$A$22:$AG$41,18),$E$8="Anexo IV",VLOOKUP(H16,Anexos!$A$22:$AG$41,25),$E$8="Anexo VI",VLOOKUP(H16,Anexos!$A$22:$AG$41,31)),0)</f>
        <v>5.4699999999999999E-2</v>
      </c>
      <c r="I17" s="55">
        <f>IFERROR(_xlfn.IFS($E$8="Anexo I",VLOOKUP(I16,Anexos!$A$22:$AG$41,3),$E$8="Anexo II",VLOOKUP(I16,Anexos!$A$22:$AG$41,10),$E$8="Anexo III",VLOOKUP(I16,Anexos!$A$22:$AG$41,18),$E$8="Anexo IV",VLOOKUP(I16,Anexos!$A$22:$AG$41,25),$E$8="Anexo VI",VLOOKUP(I16,Anexos!$A$22:$AG$41,31)),0)</f>
        <v>5.4699999999999999E-2</v>
      </c>
      <c r="J17" s="55">
        <f>IFERROR(_xlfn.IFS($E$8="Anexo I",VLOOKUP(J16,Anexos!$A$22:$AG$41,3),$E$8="Anexo II",VLOOKUP(J16,Anexos!$A$22:$AG$41,10),$E$8="Anexo III",VLOOKUP(J16,Anexos!$A$22:$AG$41,18),$E$8="Anexo IV",VLOOKUP(J16,Anexos!$A$22:$AG$41,25),$E$8="Anexo VI",VLOOKUP(J16,Anexos!$A$22:$AG$41,31)),0)</f>
        <v>5.4699999999999999E-2</v>
      </c>
      <c r="K17" s="55">
        <f>IFERROR(_xlfn.IFS($E$8="Anexo I",VLOOKUP(K16,Anexos!$A$22:$AG$41,3),$E$8="Anexo II",VLOOKUP(K16,Anexos!$A$22:$AG$41,10),$E$8="Anexo III",VLOOKUP(K16,Anexos!$A$22:$AG$41,18),$E$8="Anexo IV",VLOOKUP(K16,Anexos!$A$22:$AG$41,25),$E$8="Anexo VI",VLOOKUP(K16,Anexos!$A$22:$AG$41,31)),0)</f>
        <v>5.4699999999999999E-2</v>
      </c>
      <c r="L17" s="55">
        <f>IFERROR(_xlfn.IFS($E$8="Anexo I",VLOOKUP(L16,Anexos!$A$22:$AG$41,3),$E$8="Anexo II",VLOOKUP(L16,Anexos!$A$22:$AG$41,10),$E$8="Anexo III",VLOOKUP(L16,Anexos!$A$22:$AG$41,18),$E$8="Anexo IV",VLOOKUP(L16,Anexos!$A$22:$AG$41,25),$E$8="Anexo VI",VLOOKUP(L16,Anexos!$A$22:$AG$41,31)),0)</f>
        <v>5.4699999999999999E-2</v>
      </c>
      <c r="M17" s="55">
        <f>IFERROR(_xlfn.IFS($E$8="Anexo I",VLOOKUP(M16,Anexos!$A$22:$AG$41,3),$E$8="Anexo II",VLOOKUP(M16,Anexos!$A$22:$AG$41,10),$E$8="Anexo III",VLOOKUP(M16,Anexos!$A$22:$AG$41,18),$E$8="Anexo IV",VLOOKUP(M16,Anexos!$A$22:$AG$41,25),$E$8="Anexo VI",VLOOKUP(M16,Anexos!$A$22:$AG$41,31)),0)</f>
        <v>5.4699999999999999E-2</v>
      </c>
      <c r="N17" s="55">
        <f>IFERROR(_xlfn.IFS($E$8="Anexo I",VLOOKUP(N16,Anexos!$A$22:$AG$41,3),$E$8="Anexo II",VLOOKUP(N16,Anexos!$A$22:$AG$41,10),$E$8="Anexo III",VLOOKUP(N16,Anexos!$A$22:$AG$41,18),$E$8="Anexo IV",VLOOKUP(N16,Anexos!$A$22:$AG$41,25),$E$8="Anexo VI",VLOOKUP(N16,Anexos!$A$22:$AG$41,31)),0)</f>
        <v>5.4699999999999999E-2</v>
      </c>
      <c r="O17" s="56">
        <f>IFERROR(_xlfn.IFS($E$8="Anexo I",VLOOKUP(O16,Anexos!$A$22:$AG$41,3),$E$8="Anexo II",VLOOKUP(O16,Anexos!$A$22:$AG$41,10),$E$8="Anexo III",VLOOKUP(O16,Anexos!$A$22:$AG$41,18),$E$8="Anexo IV",VLOOKUP(O16,Anexos!$A$22:$AG$41,25),$E$8="Anexo VI",VLOOKUP(O16,Anexos!$A$22:$AG$41,31)),0)</f>
        <v>5.4699999999999999E-2</v>
      </c>
    </row>
    <row r="18" spans="2:15" hidden="1" outlineLevel="1" x14ac:dyDescent="0.2">
      <c r="B18" s="63" t="s">
        <v>119</v>
      </c>
      <c r="C18" s="120"/>
      <c r="D18" s="64">
        <f>IFERROR(D15*(SUM(D19:D26)),0)</f>
        <v>1094</v>
      </c>
      <c r="E18" s="64">
        <f t="shared" ref="E18:O18" si="1">IFERROR(E15*(SUM(E19:E26)),0)</f>
        <v>1094</v>
      </c>
      <c r="F18" s="64">
        <f t="shared" si="1"/>
        <v>1094</v>
      </c>
      <c r="G18" s="64">
        <f t="shared" si="1"/>
        <v>1094</v>
      </c>
      <c r="H18" s="64">
        <f t="shared" si="1"/>
        <v>1094</v>
      </c>
      <c r="I18" s="64">
        <f t="shared" si="1"/>
        <v>1094</v>
      </c>
      <c r="J18" s="64">
        <f t="shared" si="1"/>
        <v>1094</v>
      </c>
      <c r="K18" s="64">
        <f t="shared" si="1"/>
        <v>1094</v>
      </c>
      <c r="L18" s="64">
        <f t="shared" si="1"/>
        <v>1094</v>
      </c>
      <c r="M18" s="64">
        <f t="shared" si="1"/>
        <v>1094</v>
      </c>
      <c r="N18" s="64">
        <f t="shared" si="1"/>
        <v>1094</v>
      </c>
      <c r="O18" s="65">
        <f t="shared" si="1"/>
        <v>1094</v>
      </c>
    </row>
    <row r="19" spans="2:15" hidden="1" outlineLevel="1" x14ac:dyDescent="0.2">
      <c r="B19" s="99" t="s">
        <v>112</v>
      </c>
      <c r="C19" s="115">
        <v>1</v>
      </c>
      <c r="D19" s="55">
        <f>IFERROR(_xlfn.IFS($E$8="Anexo I",VLOOKUP(D16,Anexos!$A$22:$AG$41,4),$E$8="Anexo II",VLOOKUP(D16,Anexos!$A$22:$AG$41,11),$E$8="Anexo III",VLOOKUP(D16,Anexos!$A$22:$AG$41,19),$E$8="Anexo IV",VLOOKUP(D16,Anexos!$A$22:$AG$41,26))*$C$19,0)</f>
        <v>0</v>
      </c>
      <c r="E19" s="55">
        <f>IFERROR(_xlfn.IFS($E$8="Anexo I",VLOOKUP(E16,Anexos!$A$22:$AG$41,4),$E$8="Anexo II",VLOOKUP(E16,Anexos!$A$22:$AG$41,11),$E$8="Anexo III",VLOOKUP(E16,Anexos!$A$22:$AG$41,19),$E$8="Anexo IV",VLOOKUP(E16,Anexos!$A$22:$AG$41,26))*$C$19,0)</f>
        <v>0</v>
      </c>
      <c r="F19" s="55">
        <f>IFERROR(_xlfn.IFS($E$8="Anexo I",VLOOKUP(F16,Anexos!$A$22:$AG$41,4),$E$8="Anexo II",VLOOKUP(F16,Anexos!$A$22:$AG$41,11),$E$8="Anexo III",VLOOKUP(F16,Anexos!$A$22:$AG$41,19),$E$8="Anexo IV",VLOOKUP(F16,Anexos!$A$22:$AG$41,26))*$C$19,0)</f>
        <v>0</v>
      </c>
      <c r="G19" s="55">
        <f>IFERROR(_xlfn.IFS($E$8="Anexo I",VLOOKUP(G16,Anexos!$A$22:$AG$41,4),$E$8="Anexo II",VLOOKUP(G16,Anexos!$A$22:$AG$41,11),$E$8="Anexo III",VLOOKUP(G16,Anexos!$A$22:$AG$41,19),$E$8="Anexo IV",VLOOKUP(G16,Anexos!$A$22:$AG$41,26))*$C$19,0)</f>
        <v>0</v>
      </c>
      <c r="H19" s="55">
        <f>IFERROR(_xlfn.IFS($E$8="Anexo I",VLOOKUP(H16,Anexos!$A$22:$AG$41,4),$E$8="Anexo II",VLOOKUP(H16,Anexos!$A$22:$AG$41,11),$E$8="Anexo III",VLOOKUP(H16,Anexos!$A$22:$AG$41,19),$E$8="Anexo IV",VLOOKUP(H16,Anexos!$A$22:$AG$41,26))*$C$19,0)</f>
        <v>0</v>
      </c>
      <c r="I19" s="55">
        <f>IFERROR(_xlfn.IFS($E$8="Anexo I",VLOOKUP(I16,Anexos!$A$22:$AG$41,4),$E$8="Anexo II",VLOOKUP(I16,Anexos!$A$22:$AG$41,11),$E$8="Anexo III",VLOOKUP(I16,Anexos!$A$22:$AG$41,19),$E$8="Anexo IV",VLOOKUP(I16,Anexos!$A$22:$AG$41,26))*$C$19,0)</f>
        <v>0</v>
      </c>
      <c r="J19" s="55">
        <f>IFERROR(_xlfn.IFS($E$8="Anexo I",VLOOKUP(J16,Anexos!$A$22:$AG$41,4),$E$8="Anexo II",VLOOKUP(J16,Anexos!$A$22:$AG$41,11),$E$8="Anexo III",VLOOKUP(J16,Anexos!$A$22:$AG$41,19),$E$8="Anexo IV",VLOOKUP(J16,Anexos!$A$22:$AG$41,26))*$C$19,0)</f>
        <v>0</v>
      </c>
      <c r="K19" s="55">
        <f>IFERROR(_xlfn.IFS($E$8="Anexo I",VLOOKUP(K16,Anexos!$A$22:$AG$41,4),$E$8="Anexo II",VLOOKUP(K16,Anexos!$A$22:$AG$41,11),$E$8="Anexo III",VLOOKUP(K16,Anexos!$A$22:$AG$41,19),$E$8="Anexo IV",VLOOKUP(K16,Anexos!$A$22:$AG$41,26))*$C$19,0)</f>
        <v>0</v>
      </c>
      <c r="L19" s="55">
        <f>IFERROR(_xlfn.IFS($E$8="Anexo I",VLOOKUP(L16,Anexos!$A$22:$AG$41,4),$E$8="Anexo II",VLOOKUP(L16,Anexos!$A$22:$AG$41,11),$E$8="Anexo III",VLOOKUP(L16,Anexos!$A$22:$AG$41,19),$E$8="Anexo IV",VLOOKUP(L16,Anexos!$A$22:$AG$41,26))*$C$19,0)</f>
        <v>0</v>
      </c>
      <c r="M19" s="55">
        <f>IFERROR(_xlfn.IFS($E$8="Anexo I",VLOOKUP(M16,Anexos!$A$22:$AG$41,4),$E$8="Anexo II",VLOOKUP(M16,Anexos!$A$22:$AG$41,11),$E$8="Anexo III",VLOOKUP(M16,Anexos!$A$22:$AG$41,19),$E$8="Anexo IV",VLOOKUP(M16,Anexos!$A$22:$AG$41,26))*$C$19,0)</f>
        <v>0</v>
      </c>
      <c r="N19" s="55">
        <f>IFERROR(_xlfn.IFS($E$8="Anexo I",VLOOKUP(N16,Anexos!$A$22:$AG$41,4),$E$8="Anexo II",VLOOKUP(N16,Anexos!$A$22:$AG$41,11),$E$8="Anexo III",VLOOKUP(N16,Anexos!$A$22:$AG$41,19),$E$8="Anexo IV",VLOOKUP(N16,Anexos!$A$22:$AG$41,26))*$C$19,0)</f>
        <v>0</v>
      </c>
      <c r="O19" s="56">
        <f>IFERROR(_xlfn.IFS($E$8="Anexo I",VLOOKUP(O16,Anexos!$A$22:$AG$41,4),$E$8="Anexo II",VLOOKUP(O16,Anexos!$A$22:$AG$41,11),$E$8="Anexo III",VLOOKUP(O16,Anexos!$A$22:$AG$41,19),$E$8="Anexo IV",VLOOKUP(O16,Anexos!$A$22:$AG$41,26))*$C$19,0)</f>
        <v>0</v>
      </c>
    </row>
    <row r="20" spans="2:15" hidden="1" outlineLevel="1" x14ac:dyDescent="0.2">
      <c r="B20" s="99" t="s">
        <v>113</v>
      </c>
      <c r="C20" s="115">
        <v>1</v>
      </c>
      <c r="D20" s="55">
        <f>IFERROR(_xlfn.IFS($E$8="Anexo I",VLOOKUP(D16,Anexos!$A$22:$AG$41,5),$E$8="Anexo II",VLOOKUP(D16,Anexos!$A$22:$AG$41,12),$E$8="Anexo III",VLOOKUP(D16,Anexos!$A$22:$AG$41,20),$E$8="Anexo IV",VLOOKUP(D16,Anexos!$A$22:$AG$41,27))*$C$20,0)</f>
        <v>0</v>
      </c>
      <c r="E20" s="55">
        <f>IFERROR(_xlfn.IFS($E$8="Anexo I",VLOOKUP(E16,Anexos!$A$22:$AG$41,5),$E$8="Anexo II",VLOOKUP(E16,Anexos!$A$22:$AG$41,12),$E$8="Anexo III",VLOOKUP(E16,Anexos!$A$22:$AG$41,20),$E$8="Anexo IV",VLOOKUP(E16,Anexos!$A$22:$AG$41,27))*$C$20,0)</f>
        <v>0</v>
      </c>
      <c r="F20" s="55">
        <f>IFERROR(_xlfn.IFS($E$8="Anexo I",VLOOKUP(F16,Anexos!$A$22:$AG$41,5),$E$8="Anexo II",VLOOKUP(F16,Anexos!$A$22:$AG$41,12),$E$8="Anexo III",VLOOKUP(F16,Anexos!$A$22:$AG$41,20),$E$8="Anexo IV",VLOOKUP(F16,Anexos!$A$22:$AG$41,27))*$C$20,0)</f>
        <v>0</v>
      </c>
      <c r="G20" s="55">
        <f>IFERROR(_xlfn.IFS($E$8="Anexo I",VLOOKUP(G16,Anexos!$A$22:$AG$41,5),$E$8="Anexo II",VLOOKUP(G16,Anexos!$A$22:$AG$41,12),$E$8="Anexo III",VLOOKUP(G16,Anexos!$A$22:$AG$41,20),$E$8="Anexo IV",VLOOKUP(G16,Anexos!$A$22:$AG$41,27))*$C$20,0)</f>
        <v>0</v>
      </c>
      <c r="H20" s="55">
        <f>IFERROR(_xlfn.IFS($E$8="Anexo I",VLOOKUP(H16,Anexos!$A$22:$AG$41,5),$E$8="Anexo II",VLOOKUP(H16,Anexos!$A$22:$AG$41,12),$E$8="Anexo III",VLOOKUP(H16,Anexos!$A$22:$AG$41,20),$E$8="Anexo IV",VLOOKUP(H16,Anexos!$A$22:$AG$41,27))*$C$20,0)</f>
        <v>0</v>
      </c>
      <c r="I20" s="55">
        <f>IFERROR(_xlfn.IFS($E$8="Anexo I",VLOOKUP(I16,Anexos!$A$22:$AG$41,5),$E$8="Anexo II",VLOOKUP(I16,Anexos!$A$22:$AG$41,12),$E$8="Anexo III",VLOOKUP(I16,Anexos!$A$22:$AG$41,20),$E$8="Anexo IV",VLOOKUP(I16,Anexos!$A$22:$AG$41,27))*$C$20,0)</f>
        <v>0</v>
      </c>
      <c r="J20" s="55">
        <f>IFERROR(_xlfn.IFS($E$8="Anexo I",VLOOKUP(J16,Anexos!$A$22:$AG$41,5),$E$8="Anexo II",VLOOKUP(J16,Anexos!$A$22:$AG$41,12),$E$8="Anexo III",VLOOKUP(J16,Anexos!$A$22:$AG$41,20),$E$8="Anexo IV",VLOOKUP(J16,Anexos!$A$22:$AG$41,27))*$C$20,0)</f>
        <v>0</v>
      </c>
      <c r="K20" s="55">
        <f>IFERROR(_xlfn.IFS($E$8="Anexo I",VLOOKUP(K16,Anexos!$A$22:$AG$41,5),$E$8="Anexo II",VLOOKUP(K16,Anexos!$A$22:$AG$41,12),$E$8="Anexo III",VLOOKUP(K16,Anexos!$A$22:$AG$41,20),$E$8="Anexo IV",VLOOKUP(K16,Anexos!$A$22:$AG$41,27))*$C$20,0)</f>
        <v>0</v>
      </c>
      <c r="L20" s="55">
        <f>IFERROR(_xlfn.IFS($E$8="Anexo I",VLOOKUP(L16,Anexos!$A$22:$AG$41,5),$E$8="Anexo II",VLOOKUP(L16,Anexos!$A$22:$AG$41,12),$E$8="Anexo III",VLOOKUP(L16,Anexos!$A$22:$AG$41,20),$E$8="Anexo IV",VLOOKUP(L16,Anexos!$A$22:$AG$41,27))*$C$20,0)</f>
        <v>0</v>
      </c>
      <c r="M20" s="55">
        <f>IFERROR(_xlfn.IFS($E$8="Anexo I",VLOOKUP(M16,Anexos!$A$22:$AG$41,5),$E$8="Anexo II",VLOOKUP(M16,Anexos!$A$22:$AG$41,12),$E$8="Anexo III",VLOOKUP(M16,Anexos!$A$22:$AG$41,20),$E$8="Anexo IV",VLOOKUP(M16,Anexos!$A$22:$AG$41,27))*$C$20,0)</f>
        <v>0</v>
      </c>
      <c r="N20" s="55">
        <f>IFERROR(_xlfn.IFS($E$8="Anexo I",VLOOKUP(N16,Anexos!$A$22:$AG$41,5),$E$8="Anexo II",VLOOKUP(N16,Anexos!$A$22:$AG$41,12),$E$8="Anexo III",VLOOKUP(N16,Anexos!$A$22:$AG$41,20),$E$8="Anexo IV",VLOOKUP(N16,Anexos!$A$22:$AG$41,27))*$C$20,0)</f>
        <v>0</v>
      </c>
      <c r="O20" s="56">
        <f>IFERROR(_xlfn.IFS($E$8="Anexo I",VLOOKUP(O16,Anexos!$A$22:$AG$41,5),$E$8="Anexo II",VLOOKUP(O16,Anexos!$A$22:$AG$41,12),$E$8="Anexo III",VLOOKUP(O16,Anexos!$A$22:$AG$41,20),$E$8="Anexo IV",VLOOKUP(O16,Anexos!$A$22:$AG$41,27))*$C$20,0)</f>
        <v>0</v>
      </c>
    </row>
    <row r="21" spans="2:15" hidden="1" outlineLevel="1" x14ac:dyDescent="0.2">
      <c r="B21" s="99" t="s">
        <v>114</v>
      </c>
      <c r="C21" s="115">
        <v>1</v>
      </c>
      <c r="D21" s="55">
        <f>IFERROR(_xlfn.IFS($E$8="Anexo I",VLOOKUP(D16,Anexos!$A$22:$AG$41,6),$E$8="Anexo II",VLOOKUP(D16,Anexos!$A$22:$AG$41,13),$E$8="Anexo III",VLOOKUP(D16,Anexos!$A$22:$AG$41,21),$E$8="Anexo IV",VLOOKUP(D16,Anexos!$A$22:$AG$41,28))*$C$21,0)</f>
        <v>8.6E-3</v>
      </c>
      <c r="E21" s="55">
        <f>IFERROR(_xlfn.IFS($E$8="Anexo I",VLOOKUP(E16,Anexos!$A$22:$AG$41,6),$E$8="Anexo II",VLOOKUP(E16,Anexos!$A$22:$AG$41,13),$E$8="Anexo III",VLOOKUP(E16,Anexos!$A$22:$AG$41,21),$E$8="Anexo IV",VLOOKUP(E16,Anexos!$A$22:$AG$41,28))*$C$21,0)</f>
        <v>8.6E-3</v>
      </c>
      <c r="F21" s="55">
        <f>IFERROR(_xlfn.IFS($E$8="Anexo I",VLOOKUP(F16,Anexos!$A$22:$AG$41,6),$E$8="Anexo II",VLOOKUP(F16,Anexos!$A$22:$AG$41,13),$E$8="Anexo III",VLOOKUP(F16,Anexos!$A$22:$AG$41,21),$E$8="Anexo IV",VLOOKUP(F16,Anexos!$A$22:$AG$41,28))*$C$21,0)</f>
        <v>8.6E-3</v>
      </c>
      <c r="G21" s="55">
        <f>IFERROR(_xlfn.IFS($E$8="Anexo I",VLOOKUP(G16,Anexos!$A$22:$AG$41,6),$E$8="Anexo II",VLOOKUP(G16,Anexos!$A$22:$AG$41,13),$E$8="Anexo III",VLOOKUP(G16,Anexos!$A$22:$AG$41,21),$E$8="Anexo IV",VLOOKUP(G16,Anexos!$A$22:$AG$41,28))*$C$21,0)</f>
        <v>8.6E-3</v>
      </c>
      <c r="H21" s="55">
        <f>IFERROR(_xlfn.IFS($E$8="Anexo I",VLOOKUP(H16,Anexos!$A$22:$AG$41,6),$E$8="Anexo II",VLOOKUP(H16,Anexos!$A$22:$AG$41,13),$E$8="Anexo III",VLOOKUP(H16,Anexos!$A$22:$AG$41,21),$E$8="Anexo IV",VLOOKUP(H16,Anexos!$A$22:$AG$41,28))*$C$21,0)</f>
        <v>8.6E-3</v>
      </c>
      <c r="I21" s="55">
        <f>IFERROR(_xlfn.IFS($E$8="Anexo I",VLOOKUP(I16,Anexos!$A$22:$AG$41,6),$E$8="Anexo II",VLOOKUP(I16,Anexos!$A$22:$AG$41,13),$E$8="Anexo III",VLOOKUP(I16,Anexos!$A$22:$AG$41,21),$E$8="Anexo IV",VLOOKUP(I16,Anexos!$A$22:$AG$41,28))*$C$21,0)</f>
        <v>8.6E-3</v>
      </c>
      <c r="J21" s="55">
        <f>IFERROR(_xlfn.IFS($E$8="Anexo I",VLOOKUP(J16,Anexos!$A$22:$AG$41,6),$E$8="Anexo II",VLOOKUP(J16,Anexos!$A$22:$AG$41,13),$E$8="Anexo III",VLOOKUP(J16,Anexos!$A$22:$AG$41,21),$E$8="Anexo IV",VLOOKUP(J16,Anexos!$A$22:$AG$41,28))*$C$21,0)</f>
        <v>8.6E-3</v>
      </c>
      <c r="K21" s="55">
        <f>IFERROR(_xlfn.IFS($E$8="Anexo I",VLOOKUP(K16,Anexos!$A$22:$AG$41,6),$E$8="Anexo II",VLOOKUP(K16,Anexos!$A$22:$AG$41,13),$E$8="Anexo III",VLOOKUP(K16,Anexos!$A$22:$AG$41,21),$E$8="Anexo IV",VLOOKUP(K16,Anexos!$A$22:$AG$41,28))*$C$21,0)</f>
        <v>8.6E-3</v>
      </c>
      <c r="L21" s="55">
        <f>IFERROR(_xlfn.IFS($E$8="Anexo I",VLOOKUP(L16,Anexos!$A$22:$AG$41,6),$E$8="Anexo II",VLOOKUP(L16,Anexos!$A$22:$AG$41,13),$E$8="Anexo III",VLOOKUP(L16,Anexos!$A$22:$AG$41,21),$E$8="Anexo IV",VLOOKUP(L16,Anexos!$A$22:$AG$41,28))*$C$21,0)</f>
        <v>8.6E-3</v>
      </c>
      <c r="M21" s="55">
        <f>IFERROR(_xlfn.IFS($E$8="Anexo I",VLOOKUP(M16,Anexos!$A$22:$AG$41,6),$E$8="Anexo II",VLOOKUP(M16,Anexos!$A$22:$AG$41,13),$E$8="Anexo III",VLOOKUP(M16,Anexos!$A$22:$AG$41,21),$E$8="Anexo IV",VLOOKUP(M16,Anexos!$A$22:$AG$41,28))*$C$21,0)</f>
        <v>8.6E-3</v>
      </c>
      <c r="N21" s="55">
        <f>IFERROR(_xlfn.IFS($E$8="Anexo I",VLOOKUP(N16,Anexos!$A$22:$AG$41,6),$E$8="Anexo II",VLOOKUP(N16,Anexos!$A$22:$AG$41,13),$E$8="Anexo III",VLOOKUP(N16,Anexos!$A$22:$AG$41,21),$E$8="Anexo IV",VLOOKUP(N16,Anexos!$A$22:$AG$41,28))*$C$21,0)</f>
        <v>8.6E-3</v>
      </c>
      <c r="O21" s="56">
        <f>IFERROR(_xlfn.IFS($E$8="Anexo I",VLOOKUP(O16,Anexos!$A$22:$AG$41,6),$E$8="Anexo II",VLOOKUP(O16,Anexos!$A$22:$AG$41,13),$E$8="Anexo III",VLOOKUP(O16,Anexos!$A$22:$AG$41,21),$E$8="Anexo IV",VLOOKUP(O16,Anexos!$A$22:$AG$41,28))*$C$21,0)</f>
        <v>8.6E-3</v>
      </c>
    </row>
    <row r="22" spans="2:15" hidden="1" outlineLevel="1" x14ac:dyDescent="0.2">
      <c r="B22" s="99" t="s">
        <v>115</v>
      </c>
      <c r="C22" s="115">
        <v>1</v>
      </c>
      <c r="D22" s="55">
        <f>IFERROR(_xlfn.IFS($E$8="Anexo I",VLOOKUP(D16,Anexos!$A$22:$AG$41,7),$E$8="Anexo II",VLOOKUP(D16,Anexos!$A$22:$AG$41,14),$E$8="Anexo III",VLOOKUP(D16,Anexos!$A$22:$AG$41,22),$E$8="Anexo IV",VLOOKUP(D16,Anexos!$A$22:$AG$41,29))*$C$22,0)</f>
        <v>0</v>
      </c>
      <c r="E22" s="55">
        <f>IFERROR(_xlfn.IFS($E$8="Anexo I",VLOOKUP(E16,Anexos!$A$22:$AG$41,7),$E$8="Anexo II",VLOOKUP(E16,Anexos!$A$22:$AG$41,14),$E$8="Anexo III",VLOOKUP(E16,Anexos!$A$22:$AG$41,22),$E$8="Anexo IV",VLOOKUP(E16,Anexos!$A$22:$AG$41,29))*$C$22,0)</f>
        <v>0</v>
      </c>
      <c r="F22" s="55">
        <f>IFERROR(_xlfn.IFS($E$8="Anexo I",VLOOKUP(F16,Anexos!$A$22:$AG$41,7),$E$8="Anexo II",VLOOKUP(F16,Anexos!$A$22:$AG$41,14),$E$8="Anexo III",VLOOKUP(F16,Anexos!$A$22:$AG$41,22),$E$8="Anexo IV",VLOOKUP(F16,Anexos!$A$22:$AG$41,29))*$C$22,0)</f>
        <v>0</v>
      </c>
      <c r="G22" s="55">
        <f>IFERROR(_xlfn.IFS($E$8="Anexo I",VLOOKUP(G16,Anexos!$A$22:$AG$41,7),$E$8="Anexo II",VLOOKUP(G16,Anexos!$A$22:$AG$41,14),$E$8="Anexo III",VLOOKUP(G16,Anexos!$A$22:$AG$41,22),$E$8="Anexo IV",VLOOKUP(G16,Anexos!$A$22:$AG$41,29))*$C$22,0)</f>
        <v>0</v>
      </c>
      <c r="H22" s="55">
        <f>IFERROR(_xlfn.IFS($E$8="Anexo I",VLOOKUP(H16,Anexos!$A$22:$AG$41,7),$E$8="Anexo II",VLOOKUP(H16,Anexos!$A$22:$AG$41,14),$E$8="Anexo III",VLOOKUP(H16,Anexos!$A$22:$AG$41,22),$E$8="Anexo IV",VLOOKUP(H16,Anexos!$A$22:$AG$41,29))*$C$22,0)</f>
        <v>0</v>
      </c>
      <c r="I22" s="55">
        <f>IFERROR(_xlfn.IFS($E$8="Anexo I",VLOOKUP(I16,Anexos!$A$22:$AG$41,7),$E$8="Anexo II",VLOOKUP(I16,Anexos!$A$22:$AG$41,14),$E$8="Anexo III",VLOOKUP(I16,Anexos!$A$22:$AG$41,22),$E$8="Anexo IV",VLOOKUP(I16,Anexos!$A$22:$AG$41,29))*$C$22,0)</f>
        <v>0</v>
      </c>
      <c r="J22" s="55">
        <f>IFERROR(_xlfn.IFS($E$8="Anexo I",VLOOKUP(J16,Anexos!$A$22:$AG$41,7),$E$8="Anexo II",VLOOKUP(J16,Anexos!$A$22:$AG$41,14),$E$8="Anexo III",VLOOKUP(J16,Anexos!$A$22:$AG$41,22),$E$8="Anexo IV",VLOOKUP(J16,Anexos!$A$22:$AG$41,29))*$C$22,0)</f>
        <v>0</v>
      </c>
      <c r="K22" s="55">
        <f>IFERROR(_xlfn.IFS($E$8="Anexo I",VLOOKUP(K16,Anexos!$A$22:$AG$41,7),$E$8="Anexo II",VLOOKUP(K16,Anexos!$A$22:$AG$41,14),$E$8="Anexo III",VLOOKUP(K16,Anexos!$A$22:$AG$41,22),$E$8="Anexo IV",VLOOKUP(K16,Anexos!$A$22:$AG$41,29))*$C$22,0)</f>
        <v>0</v>
      </c>
      <c r="L22" s="55">
        <f>IFERROR(_xlfn.IFS($E$8="Anexo I",VLOOKUP(L16,Anexos!$A$22:$AG$41,7),$E$8="Anexo II",VLOOKUP(L16,Anexos!$A$22:$AG$41,14),$E$8="Anexo III",VLOOKUP(L16,Anexos!$A$22:$AG$41,22),$E$8="Anexo IV",VLOOKUP(L16,Anexos!$A$22:$AG$41,29))*$C$22,0)</f>
        <v>0</v>
      </c>
      <c r="M22" s="55">
        <f>IFERROR(_xlfn.IFS($E$8="Anexo I",VLOOKUP(M16,Anexos!$A$22:$AG$41,7),$E$8="Anexo II",VLOOKUP(M16,Anexos!$A$22:$AG$41,14),$E$8="Anexo III",VLOOKUP(M16,Anexos!$A$22:$AG$41,22),$E$8="Anexo IV",VLOOKUP(M16,Anexos!$A$22:$AG$41,29))*$C$22,0)</f>
        <v>0</v>
      </c>
      <c r="N22" s="55">
        <f>IFERROR(_xlfn.IFS($E$8="Anexo I",VLOOKUP(N16,Anexos!$A$22:$AG$41,7),$E$8="Anexo II",VLOOKUP(N16,Anexos!$A$22:$AG$41,14),$E$8="Anexo III",VLOOKUP(N16,Anexos!$A$22:$AG$41,22),$E$8="Anexo IV",VLOOKUP(N16,Anexos!$A$22:$AG$41,29))*$C$22,0)</f>
        <v>0</v>
      </c>
      <c r="O22" s="56">
        <f>IFERROR(_xlfn.IFS($E$8="Anexo I",VLOOKUP(O16,Anexos!$A$22:$AG$41,7),$E$8="Anexo II",VLOOKUP(O16,Anexos!$A$22:$AG$41,14),$E$8="Anexo III",VLOOKUP(O16,Anexos!$A$22:$AG$41,22),$E$8="Anexo IV",VLOOKUP(O16,Anexos!$A$22:$AG$41,29))*$C$22,0)</f>
        <v>0</v>
      </c>
    </row>
    <row r="23" spans="2:15" hidden="1" outlineLevel="1" x14ac:dyDescent="0.2">
      <c r="B23" s="99" t="s">
        <v>116</v>
      </c>
      <c r="C23" s="115">
        <v>1</v>
      </c>
      <c r="D23" s="55">
        <f>IFERROR(_xlfn.IFS($E$8="Anexo I",VLOOKUP(D16,Anexos!$A$22:$AG$41,8),$E$8="Anexo II",VLOOKUP(D16,Anexos!$A$22:$AG$41,15),$E$8="Anexo III",VLOOKUP(D16,Anexos!$A$22:$AG$41,23))*$C$23,0)</f>
        <v>2.75E-2</v>
      </c>
      <c r="E23" s="55">
        <f>IFERROR(_xlfn.IFS($E$8="Anexo I",VLOOKUP(E16,Anexos!$A$22:$AG$41,8),$E$8="Anexo II",VLOOKUP(E16,Anexos!$A$22:$AG$41,15),$E$8="Anexo III",VLOOKUP(E16,Anexos!$A$22:$AG$41,23))*$C$23,0)</f>
        <v>2.75E-2</v>
      </c>
      <c r="F23" s="55">
        <f>IFERROR(_xlfn.IFS($E$8="Anexo I",VLOOKUP(F16,Anexos!$A$22:$AG$41,8),$E$8="Anexo II",VLOOKUP(F16,Anexos!$A$22:$AG$41,15),$E$8="Anexo III",VLOOKUP(F16,Anexos!$A$22:$AG$41,23))*$C$23,0)</f>
        <v>2.75E-2</v>
      </c>
      <c r="G23" s="55">
        <f>IFERROR(_xlfn.IFS($E$8="Anexo I",VLOOKUP(G16,Anexos!$A$22:$AG$41,8),$E$8="Anexo II",VLOOKUP(G16,Anexos!$A$22:$AG$41,15),$E$8="Anexo III",VLOOKUP(G16,Anexos!$A$22:$AG$41,23))*$C$23,0)</f>
        <v>2.75E-2</v>
      </c>
      <c r="H23" s="55">
        <f>IFERROR(_xlfn.IFS($E$8="Anexo I",VLOOKUP(H16,Anexos!$A$22:$AG$41,8),$E$8="Anexo II",VLOOKUP(H16,Anexos!$A$22:$AG$41,15),$E$8="Anexo III",VLOOKUP(H16,Anexos!$A$22:$AG$41,23))*$C$23,0)</f>
        <v>2.75E-2</v>
      </c>
      <c r="I23" s="55">
        <f>IFERROR(_xlfn.IFS($E$8="Anexo I",VLOOKUP(I16,Anexos!$A$22:$AG$41,8),$E$8="Anexo II",VLOOKUP(I16,Anexos!$A$22:$AG$41,15),$E$8="Anexo III",VLOOKUP(I16,Anexos!$A$22:$AG$41,23))*$C$23,0)</f>
        <v>2.75E-2</v>
      </c>
      <c r="J23" s="55">
        <f>IFERROR(_xlfn.IFS($E$8="Anexo I",VLOOKUP(J16,Anexos!$A$22:$AG$41,8),$E$8="Anexo II",VLOOKUP(J16,Anexos!$A$22:$AG$41,15),$E$8="Anexo III",VLOOKUP(J16,Anexos!$A$22:$AG$41,23))*$C$23,0)</f>
        <v>2.75E-2</v>
      </c>
      <c r="K23" s="55">
        <f>IFERROR(_xlfn.IFS($E$8="Anexo I",VLOOKUP(K16,Anexos!$A$22:$AG$41,8),$E$8="Anexo II",VLOOKUP(K16,Anexos!$A$22:$AG$41,15),$E$8="Anexo III",VLOOKUP(K16,Anexos!$A$22:$AG$41,23))*$C$23,0)</f>
        <v>2.75E-2</v>
      </c>
      <c r="L23" s="55">
        <f>IFERROR(_xlfn.IFS($E$8="Anexo I",VLOOKUP(L16,Anexos!$A$22:$AG$41,8),$E$8="Anexo II",VLOOKUP(L16,Anexos!$A$22:$AG$41,15),$E$8="Anexo III",VLOOKUP(L16,Anexos!$A$22:$AG$41,23))*$C$23,0)</f>
        <v>2.75E-2</v>
      </c>
      <c r="M23" s="55">
        <f>IFERROR(_xlfn.IFS($E$8="Anexo I",VLOOKUP(M16,Anexos!$A$22:$AG$41,8),$E$8="Anexo II",VLOOKUP(M16,Anexos!$A$22:$AG$41,15),$E$8="Anexo III",VLOOKUP(M16,Anexos!$A$22:$AG$41,23))*$C$23,0)</f>
        <v>2.75E-2</v>
      </c>
      <c r="N23" s="55">
        <f>IFERROR(_xlfn.IFS($E$8="Anexo I",VLOOKUP(N16,Anexos!$A$22:$AG$41,8),$E$8="Anexo II",VLOOKUP(N16,Anexos!$A$22:$AG$41,15),$E$8="Anexo III",VLOOKUP(N16,Anexos!$A$22:$AG$41,23))*$C$23,0)</f>
        <v>2.75E-2</v>
      </c>
      <c r="O23" s="56">
        <f>IFERROR(_xlfn.IFS($E$8="Anexo I",VLOOKUP(O16,Anexos!$A$22:$AG$41,8),$E$8="Anexo II",VLOOKUP(O16,Anexos!$A$22:$AG$41,15),$E$8="Anexo III",VLOOKUP(O16,Anexos!$A$22:$AG$41,23))*$C$23,0)</f>
        <v>2.75E-2</v>
      </c>
    </row>
    <row r="24" spans="2:15" hidden="1" outlineLevel="1" x14ac:dyDescent="0.2">
      <c r="B24" s="99" t="s">
        <v>117</v>
      </c>
      <c r="C24" s="115">
        <v>1</v>
      </c>
      <c r="D24" s="55">
        <f>IFERROR(_xlfn.IFS($E$8="Anexo II",VLOOKUP(D16,Anexos!$A$22:$AG$41,17))*$C$24,0)</f>
        <v>0</v>
      </c>
      <c r="E24" s="55">
        <f>IFERROR(_xlfn.IFS($E$8="Anexo II",VLOOKUP(E16,Anexos!$A$22:$AG$41,17))*$C$24,0)</f>
        <v>0</v>
      </c>
      <c r="F24" s="55">
        <f>IFERROR(_xlfn.IFS($E$8="Anexo II",VLOOKUP(F16,Anexos!$A$22:$AG$41,17))*$C$24,0)</f>
        <v>0</v>
      </c>
      <c r="G24" s="55">
        <f>IFERROR(_xlfn.IFS($E$8="Anexo II",VLOOKUP(G16,Anexos!$A$22:$AG$41,17))*$C$24,0)</f>
        <v>0</v>
      </c>
      <c r="H24" s="55">
        <f>IFERROR(_xlfn.IFS($E$8="Anexo II",VLOOKUP(H16,Anexos!$A$22:$AG$41,17))*$C$24,0)</f>
        <v>0</v>
      </c>
      <c r="I24" s="55">
        <f>IFERROR(_xlfn.IFS($E$8="Anexo II",VLOOKUP(I16,Anexos!$A$22:$AG$41,17))*$C$24,0)</f>
        <v>0</v>
      </c>
      <c r="J24" s="55">
        <f>IFERROR(_xlfn.IFS($E$8="Anexo II",VLOOKUP(J16,Anexos!$A$22:$AG$41,17))*$C$24,0)</f>
        <v>0</v>
      </c>
      <c r="K24" s="55">
        <f>IFERROR(_xlfn.IFS($E$8="Anexo II",VLOOKUP(K16,Anexos!$A$22:$AG$41,17))*$C$24,0)</f>
        <v>0</v>
      </c>
      <c r="L24" s="55">
        <f>IFERROR(_xlfn.IFS($E$8="Anexo II",VLOOKUP(L16,Anexos!$A$22:$AG$41,17))*$C$24,0)</f>
        <v>0</v>
      </c>
      <c r="M24" s="55">
        <f>IFERROR(_xlfn.IFS($E$8="Anexo II",VLOOKUP(M16,Anexos!$A$22:$AG$41,17))*$C$24,0)</f>
        <v>0</v>
      </c>
      <c r="N24" s="55">
        <f>IFERROR(_xlfn.IFS($E$8="Anexo II",VLOOKUP(N16,Anexos!$A$22:$AG$41,17))*$C$24,0)</f>
        <v>0</v>
      </c>
      <c r="O24" s="56">
        <f>IFERROR(_xlfn.IFS($E$8="Anexo II",VLOOKUP(O16,Anexos!$A$22:$AG$41,17))*$C$24,0)</f>
        <v>0</v>
      </c>
    </row>
    <row r="25" spans="2:15" hidden="1" outlineLevel="1" x14ac:dyDescent="0.2">
      <c r="B25" s="99" t="s">
        <v>118</v>
      </c>
      <c r="C25" s="115">
        <v>1</v>
      </c>
      <c r="D25" s="55">
        <f>IFERROR(_xlfn.IFS($E$8="Anexo I",VLOOKUP(D16,Anexos!$A$22:$AG$41,9),$E$8="Anexo II",VLOOKUP(D16,Anexos!$A$22:$AG$41,16))*$C$25,0)</f>
        <v>1.8599999999999998E-2</v>
      </c>
      <c r="E25" s="55">
        <f>IFERROR(_xlfn.IFS($E$8="Anexo I",VLOOKUP(E16,Anexos!$A$22:$AG$41,9),$E$8="Anexo II",VLOOKUP(E16,Anexos!$A$22:$AG$41,16))*$C$25,0)</f>
        <v>1.8599999999999998E-2</v>
      </c>
      <c r="F25" s="55">
        <f>IFERROR(_xlfn.IFS($E$8="Anexo I",VLOOKUP(F16,Anexos!$A$22:$AG$41,9),$E$8="Anexo II",VLOOKUP(F16,Anexos!$A$22:$AG$41,16))*$C$25,0)</f>
        <v>1.8599999999999998E-2</v>
      </c>
      <c r="G25" s="55">
        <f>IFERROR(_xlfn.IFS($E$8="Anexo I",VLOOKUP(G16,Anexos!$A$22:$AG$41,9),$E$8="Anexo II",VLOOKUP(G16,Anexos!$A$22:$AG$41,16))*$C$25,0)</f>
        <v>1.8599999999999998E-2</v>
      </c>
      <c r="H25" s="55">
        <f>IFERROR(_xlfn.IFS($E$8="Anexo I",VLOOKUP(H16,Anexos!$A$22:$AG$41,9),$E$8="Anexo II",VLOOKUP(H16,Anexos!$A$22:$AG$41,16))*$C$25,0)</f>
        <v>1.8599999999999998E-2</v>
      </c>
      <c r="I25" s="55">
        <f>IFERROR(_xlfn.IFS($E$8="Anexo I",VLOOKUP(I16,Anexos!$A$22:$AG$41,9),$E$8="Anexo II",VLOOKUP(I16,Anexos!$A$22:$AG$41,16))*$C$25,0)</f>
        <v>1.8599999999999998E-2</v>
      </c>
      <c r="J25" s="55">
        <f>IFERROR(_xlfn.IFS($E$8="Anexo I",VLOOKUP(J16,Anexos!$A$22:$AG$41,9),$E$8="Anexo II",VLOOKUP(J16,Anexos!$A$22:$AG$41,16))*$C$25,0)</f>
        <v>1.8599999999999998E-2</v>
      </c>
      <c r="K25" s="55">
        <f>IFERROR(_xlfn.IFS($E$8="Anexo I",VLOOKUP(K16,Anexos!$A$22:$AG$41,9),$E$8="Anexo II",VLOOKUP(K16,Anexos!$A$22:$AG$41,16))*$C$25,0)</f>
        <v>1.8599999999999998E-2</v>
      </c>
      <c r="L25" s="55">
        <f>IFERROR(_xlfn.IFS($E$8="Anexo I",VLOOKUP(L16,Anexos!$A$22:$AG$41,9),$E$8="Anexo II",VLOOKUP(L16,Anexos!$A$22:$AG$41,16))*$C$25,0)</f>
        <v>1.8599999999999998E-2</v>
      </c>
      <c r="M25" s="55">
        <f>IFERROR(_xlfn.IFS($E$8="Anexo I",VLOOKUP(M16,Anexos!$A$22:$AG$41,9),$E$8="Anexo II",VLOOKUP(M16,Anexos!$A$22:$AG$41,16))*$C$25,0)</f>
        <v>1.8599999999999998E-2</v>
      </c>
      <c r="N25" s="55">
        <f>IFERROR(_xlfn.IFS($E$8="Anexo I",VLOOKUP(N16,Anexos!$A$22:$AG$41,9),$E$8="Anexo II",VLOOKUP(N16,Anexos!$A$22:$AG$41,16))*$C$25,0)</f>
        <v>1.8599999999999998E-2</v>
      </c>
      <c r="O25" s="56">
        <f>IFERROR(_xlfn.IFS($E$8="Anexo I",VLOOKUP(O16,Anexos!$A$22:$AG$41,9),$E$8="Anexo II",VLOOKUP(O16,Anexos!$A$22:$AG$41,16))*$C$25,0)</f>
        <v>1.8599999999999998E-2</v>
      </c>
    </row>
    <row r="26" spans="2:15" hidden="1" outlineLevel="1" x14ac:dyDescent="0.2">
      <c r="B26" s="100" t="s">
        <v>31</v>
      </c>
      <c r="C26" s="116">
        <v>1</v>
      </c>
      <c r="D26" s="103">
        <f>IFERROR(_xlfn.IFS($E$8="Anexo III",VLOOKUP(D16,Anexos!$A$22:$AG$41,24),$E$8="Anexo IV",VLOOKUP(D16,Anexos!$A$22:$AG$41,30),$E$8="Anexo VI",VLOOKUP(D16,Anexos!$A$22:$AG$41,33))*$C$26,0)</f>
        <v>0</v>
      </c>
      <c r="E26" s="103">
        <f>IFERROR(_xlfn.IFS($E$8="Anexo III",VLOOKUP(E16,Anexos!$A$22:$AG$41,24),$E$8="Anexo IV",VLOOKUP(E16,Anexos!$A$22:$AG$41,30),$E$8="Anexo VI",VLOOKUP(E16,Anexos!$A$22:$AG$41,33))*$C$26,0)</f>
        <v>0</v>
      </c>
      <c r="F26" s="103">
        <f>IFERROR(_xlfn.IFS($E$8="Anexo III",VLOOKUP(F16,Anexos!$A$22:$AG$41,24),$E$8="Anexo IV",VLOOKUP(F16,Anexos!$A$22:$AG$41,30),$E$8="Anexo VI",VLOOKUP(F16,Anexos!$A$22:$AG$41,33))*$C$26,0)</f>
        <v>0</v>
      </c>
      <c r="G26" s="103">
        <f>IFERROR(_xlfn.IFS($E$8="Anexo III",VLOOKUP(G16,Anexos!$A$22:$AG$41,24),$E$8="Anexo IV",VLOOKUP(G16,Anexos!$A$22:$AG$41,30),$E$8="Anexo VI",VLOOKUP(G16,Anexos!$A$22:$AG$41,33))*$C$26,0)</f>
        <v>0</v>
      </c>
      <c r="H26" s="103">
        <f>IFERROR(_xlfn.IFS($E$8="Anexo III",VLOOKUP(H16,Anexos!$A$22:$AG$41,24),$E$8="Anexo IV",VLOOKUP(H16,Anexos!$A$22:$AG$41,30),$E$8="Anexo VI",VLOOKUP(H16,Anexos!$A$22:$AG$41,33))*$C$26,0)</f>
        <v>0</v>
      </c>
      <c r="I26" s="103">
        <f>IFERROR(_xlfn.IFS($E$8="Anexo III",VLOOKUP(I16,Anexos!$A$22:$AG$41,24),$E$8="Anexo IV",VLOOKUP(I16,Anexos!$A$22:$AG$41,30),$E$8="Anexo VI",VLOOKUP(I16,Anexos!$A$22:$AG$41,33))*$C$26,0)</f>
        <v>0</v>
      </c>
      <c r="J26" s="103">
        <f>IFERROR(_xlfn.IFS($E$8="Anexo III",VLOOKUP(J16,Anexos!$A$22:$AG$41,24),$E$8="Anexo IV",VLOOKUP(J16,Anexos!$A$22:$AG$41,30),$E$8="Anexo VI",VLOOKUP(J16,Anexos!$A$22:$AG$41,33))*$C$26,0)</f>
        <v>0</v>
      </c>
      <c r="K26" s="103">
        <f>IFERROR(_xlfn.IFS($E$8="Anexo III",VLOOKUP(K16,Anexos!$A$22:$AG$41,24),$E$8="Anexo IV",VLOOKUP(K16,Anexos!$A$22:$AG$41,30),$E$8="Anexo VI",VLOOKUP(K16,Anexos!$A$22:$AG$41,33))*$C$26,0)</f>
        <v>0</v>
      </c>
      <c r="L26" s="103">
        <f>IFERROR(_xlfn.IFS($E$8="Anexo III",VLOOKUP(L16,Anexos!$A$22:$AG$41,24),$E$8="Anexo IV",VLOOKUP(L16,Anexos!$A$22:$AG$41,30),$E$8="Anexo VI",VLOOKUP(L16,Anexos!$A$22:$AG$41,33))*$C$26,0)</f>
        <v>0</v>
      </c>
      <c r="M26" s="103">
        <f>IFERROR(_xlfn.IFS($E$8="Anexo III",VLOOKUP(M16,Anexos!$A$22:$AG$41,24),$E$8="Anexo IV",VLOOKUP(M16,Anexos!$A$22:$AG$41,30),$E$8="Anexo VI",VLOOKUP(M16,Anexos!$A$22:$AG$41,33))*$C$26,0)</f>
        <v>0</v>
      </c>
      <c r="N26" s="103">
        <f>IFERROR(_xlfn.IFS($E$8="Anexo III",VLOOKUP(N16,Anexos!$A$22:$AG$41,24),$E$8="Anexo IV",VLOOKUP(N16,Anexos!$A$22:$AG$41,30),$E$8="Anexo VI",VLOOKUP(N16,Anexos!$A$22:$AG$41,33))*$C$26,0)</f>
        <v>0</v>
      </c>
      <c r="O26" s="104">
        <f>IFERROR(_xlfn.IFS($E$8="Anexo III",VLOOKUP(O16,Anexos!$A$22:$AG$41,24),$E$8="Anexo IV",VLOOKUP(O16,Anexos!$A$22:$AG$41,30),$E$8="Anexo VI",VLOOKUP(O16,Anexos!$A$22:$AG$41,33))*$C$26,0)</f>
        <v>0</v>
      </c>
    </row>
    <row r="27" spans="2:15" collapsed="1" x14ac:dyDescent="0.2"/>
    <row r="28" spans="2:15" outlineLevel="1" x14ac:dyDescent="0.2">
      <c r="D28" s="7" t="s">
        <v>111</v>
      </c>
      <c r="E28" s="35">
        <f ca="1">TODAY()</f>
        <v>43151</v>
      </c>
      <c r="F28" s="51"/>
      <c r="G28" s="33"/>
      <c r="I28" s="33"/>
    </row>
    <row r="29" spans="2:15" outlineLevel="1" x14ac:dyDescent="0.2">
      <c r="E29" s="33"/>
    </row>
    <row r="30" spans="2:15" outlineLevel="1" x14ac:dyDescent="0.2">
      <c r="B30" s="84">
        <f ca="1">YEAR($E$28)</f>
        <v>2018</v>
      </c>
      <c r="C30" s="110" t="s">
        <v>121</v>
      </c>
      <c r="D30" s="85">
        <f ca="1">DATE(B30,1,1)</f>
        <v>43101</v>
      </c>
      <c r="E30" s="85">
        <f ca="1">EDATE(D30,1)</f>
        <v>43132</v>
      </c>
      <c r="F30" s="85">
        <f t="shared" ref="F30" ca="1" si="2">EDATE(E30,1)</f>
        <v>43160</v>
      </c>
      <c r="G30" s="85">
        <f t="shared" ref="G30" ca="1" si="3">EDATE(F30,1)</f>
        <v>43191</v>
      </c>
      <c r="H30" s="85">
        <f t="shared" ref="H30" ca="1" si="4">EDATE(G30,1)</f>
        <v>43221</v>
      </c>
      <c r="I30" s="85">
        <f t="shared" ref="I30" ca="1" si="5">EDATE(H30,1)</f>
        <v>43252</v>
      </c>
      <c r="J30" s="85">
        <f t="shared" ref="J30" ca="1" si="6">EDATE(I30,1)</f>
        <v>43282</v>
      </c>
      <c r="K30" s="85">
        <f t="shared" ref="K30" ca="1" si="7">EDATE(J30,1)</f>
        <v>43313</v>
      </c>
      <c r="L30" s="85">
        <f t="shared" ref="L30" ca="1" si="8">EDATE(K30,1)</f>
        <v>43344</v>
      </c>
      <c r="M30" s="85">
        <f t="shared" ref="M30" ca="1" si="9">EDATE(L30,1)</f>
        <v>43374</v>
      </c>
      <c r="N30" s="85">
        <f ca="1">EDATE(M30,1)</f>
        <v>43405</v>
      </c>
      <c r="O30" s="86">
        <f t="shared" ref="O30" ca="1" si="10">EDATE(N30,1)</f>
        <v>43435</v>
      </c>
    </row>
    <row r="31" spans="2:15" outlineLevel="1" x14ac:dyDescent="0.2">
      <c r="B31" s="66" t="s">
        <v>0</v>
      </c>
      <c r="C31" s="118" t="s">
        <v>122</v>
      </c>
      <c r="D31" s="83">
        <v>20000</v>
      </c>
      <c r="E31" s="67">
        <v>0</v>
      </c>
      <c r="F31" s="67"/>
      <c r="G31" s="67"/>
      <c r="H31" s="67"/>
      <c r="I31" s="67"/>
      <c r="J31" s="67"/>
      <c r="K31" s="67"/>
      <c r="L31" s="67"/>
      <c r="M31" s="67"/>
      <c r="N31" s="67"/>
      <c r="O31" s="68"/>
    </row>
    <row r="32" spans="2:15" outlineLevel="1" x14ac:dyDescent="0.2">
      <c r="B32" s="52" t="s">
        <v>4</v>
      </c>
      <c r="C32" s="119"/>
      <c r="D32" s="53">
        <f>AVERAGE(D15:$O$15)*12</f>
        <v>240000</v>
      </c>
      <c r="E32" s="53">
        <f>AVERAGE(E15:$O$15,$D$31)*12</f>
        <v>240000</v>
      </c>
      <c r="F32" s="53">
        <f>AVERAGE(F15:$O$15,$D$31:E31)*12</f>
        <v>220000</v>
      </c>
      <c r="G32" s="53">
        <f>AVERAGE(G15:$O$15,$D$31:F31)*12</f>
        <v>218181.81818181818</v>
      </c>
      <c r="H32" s="53">
        <f>AVERAGE(H15:$O$15,$D$31:G31)*12</f>
        <v>216000</v>
      </c>
      <c r="I32" s="53">
        <f>AVERAGE(I15:$O$15,$D$31:H31)*12</f>
        <v>213333.33333333331</v>
      </c>
      <c r="J32" s="53">
        <f>AVERAGE(J15:$O$15,$D$31:I31)*12</f>
        <v>210000</v>
      </c>
      <c r="K32" s="53">
        <f>AVERAGE(K15:$O$15,$D$31:J31)*12</f>
        <v>205714.28571428568</v>
      </c>
      <c r="L32" s="53">
        <f>AVERAGE(L15:$O$15,$D$31:K31)*12</f>
        <v>200000</v>
      </c>
      <c r="M32" s="53">
        <f>AVERAGE(M15:$O$15,$D$31:L31)*12</f>
        <v>192000</v>
      </c>
      <c r="N32" s="53">
        <f>AVERAGE(N15:$O$15,$D$31:M31)*12</f>
        <v>180000</v>
      </c>
      <c r="O32" s="54">
        <f>AVERAGE(O15:$O$15,$D$31:N31)*12</f>
        <v>160000</v>
      </c>
    </row>
    <row r="33" spans="2:15" outlineLevel="1" x14ac:dyDescent="0.2">
      <c r="B33" s="52" t="s">
        <v>126</v>
      </c>
      <c r="C33" s="119"/>
      <c r="D33" s="55">
        <f>IFERROR(_xlfn.IFS($E$8="Anexo I",VLOOKUP(D32,Anexos!$A$12:$AP$17,3),$E$8="Anexo II",VLOOKUP(D32,Anexos!$A$12:$AP$17,11),$E$8="Anexo III",VLOOKUP(D32,Anexos!$A$12:$AP$17,20),$E$8="Anexo IV",VLOOKUP(D32,Anexos!$A$12:$AP$17,28),$E$8="Anexo V",VLOOKUP(D32,Anexos!$A$12:$AP$17,35)),0)</f>
        <v>7.2999999999999995E-2</v>
      </c>
      <c r="E33" s="55">
        <f>IFERROR(_xlfn.IFS($E$8="Anexo I",VLOOKUP(E32,Anexos!$A$12:$AP$17,3),$E$8="Anexo II",VLOOKUP(E32,Anexos!$A$12:$AP$17,11),$E$8="Anexo III",VLOOKUP(E32,Anexos!$A$12:$AP$17,20),$E$8="Anexo IV",VLOOKUP(E32,Anexos!$A$12:$AP$17,28),$E$8="Anexo V",VLOOKUP(E32,Anexos!$A$12:$AP$17,35)),0)</f>
        <v>7.2999999999999995E-2</v>
      </c>
      <c r="F33" s="55">
        <f>IFERROR(_xlfn.IFS($E$8="Anexo I",VLOOKUP(F32,Anexos!$A$12:$AP$17,3),$E$8="Anexo II",VLOOKUP(F32,Anexos!$A$12:$AP$17,11),$E$8="Anexo III",VLOOKUP(F32,Anexos!$A$12:$AP$17,20),$E$8="Anexo IV",VLOOKUP(F32,Anexos!$A$12:$AP$17,28),$E$8="Anexo V",VLOOKUP(F32,Anexos!$A$12:$AP$17,35)),0)</f>
        <v>7.2999999999999995E-2</v>
      </c>
      <c r="G33" s="55">
        <f>IFERROR(_xlfn.IFS($E$8="Anexo I",VLOOKUP(G32,Anexos!$A$12:$AP$17,3),$E$8="Anexo II",VLOOKUP(G32,Anexos!$A$12:$AP$17,11),$E$8="Anexo III",VLOOKUP(G32,Anexos!$A$12:$AP$17,20),$E$8="Anexo IV",VLOOKUP(G32,Anexos!$A$12:$AP$17,28),$E$8="Anexo V",VLOOKUP(G32,Anexos!$A$12:$AP$17,35)),0)</f>
        <v>7.2999999999999995E-2</v>
      </c>
      <c r="H33" s="55">
        <f>IFERROR(_xlfn.IFS($E$8="Anexo I",VLOOKUP(H32,Anexos!$A$12:$AP$17,3),$E$8="Anexo II",VLOOKUP(H32,Anexos!$A$12:$AP$17,11),$E$8="Anexo III",VLOOKUP(H32,Anexos!$A$12:$AP$17,20),$E$8="Anexo IV",VLOOKUP(H32,Anexos!$A$12:$AP$17,28),$E$8="Anexo V",VLOOKUP(H32,Anexos!$A$12:$AP$17,35)),0)</f>
        <v>7.2999999999999995E-2</v>
      </c>
      <c r="I33" s="55">
        <f>IFERROR(_xlfn.IFS($E$8="Anexo I",VLOOKUP(I32,Anexos!$A$12:$AP$17,3),$E$8="Anexo II",VLOOKUP(I32,Anexos!$A$12:$AP$17,11),$E$8="Anexo III",VLOOKUP(I32,Anexos!$A$12:$AP$17,20),$E$8="Anexo IV",VLOOKUP(I32,Anexos!$A$12:$AP$17,28),$E$8="Anexo V",VLOOKUP(I32,Anexos!$A$12:$AP$17,35)),0)</f>
        <v>7.2999999999999995E-2</v>
      </c>
      <c r="J33" s="55">
        <f>IFERROR(_xlfn.IFS($E$8="Anexo I",VLOOKUP(J32,Anexos!$A$12:$AP$17,3),$E$8="Anexo II",VLOOKUP(J32,Anexos!$A$12:$AP$17,11),$E$8="Anexo III",VLOOKUP(J32,Anexos!$A$12:$AP$17,20),$E$8="Anexo IV",VLOOKUP(J32,Anexos!$A$12:$AP$17,28),$E$8="Anexo V",VLOOKUP(J32,Anexos!$A$12:$AP$17,35)),0)</f>
        <v>7.2999999999999995E-2</v>
      </c>
      <c r="K33" s="55">
        <f>IFERROR(_xlfn.IFS($E$8="Anexo I",VLOOKUP(K32,Anexos!$A$12:$AP$17,3),$E$8="Anexo II",VLOOKUP(K32,Anexos!$A$12:$AP$17,11),$E$8="Anexo III",VLOOKUP(K32,Anexos!$A$12:$AP$17,20),$E$8="Anexo IV",VLOOKUP(K32,Anexos!$A$12:$AP$17,28),$E$8="Anexo V",VLOOKUP(K32,Anexos!$A$12:$AP$17,35)),0)</f>
        <v>7.2999999999999995E-2</v>
      </c>
      <c r="L33" s="55">
        <f>IFERROR(_xlfn.IFS($E$8="Anexo I",VLOOKUP(L32,Anexos!$A$12:$AP$17,3),$E$8="Anexo II",VLOOKUP(L32,Anexos!$A$12:$AP$17,11),$E$8="Anexo III",VLOOKUP(L32,Anexos!$A$12:$AP$17,20),$E$8="Anexo IV",VLOOKUP(L32,Anexos!$A$12:$AP$17,28),$E$8="Anexo V",VLOOKUP(L32,Anexos!$A$12:$AP$17,35)),0)</f>
        <v>7.2999999999999995E-2</v>
      </c>
      <c r="M33" s="55">
        <f>IFERROR(_xlfn.IFS($E$8="Anexo I",VLOOKUP(M32,Anexos!$A$12:$AP$17,3),$E$8="Anexo II",VLOOKUP(M32,Anexos!$A$12:$AP$17,11),$E$8="Anexo III",VLOOKUP(M32,Anexos!$A$12:$AP$17,20),$E$8="Anexo IV",VLOOKUP(M32,Anexos!$A$12:$AP$17,28),$E$8="Anexo V",VLOOKUP(M32,Anexos!$A$12:$AP$17,35)),0)</f>
        <v>7.2999999999999995E-2</v>
      </c>
      <c r="N33" s="55">
        <f>IFERROR(_xlfn.IFS($E$8="Anexo I",VLOOKUP(N32,Anexos!$A$12:$AP$17,3),$E$8="Anexo II",VLOOKUP(N32,Anexos!$A$12:$AP$17,11),$E$8="Anexo III",VLOOKUP(N32,Anexos!$A$12:$AP$17,20),$E$8="Anexo IV",VLOOKUP(N32,Anexos!$A$12:$AP$17,28),$E$8="Anexo V",VLOOKUP(N32,Anexos!$A$12:$AP$17,35)),0)</f>
        <v>0.04</v>
      </c>
      <c r="O33" s="56">
        <f>IFERROR(_xlfn.IFS($E$8="Anexo I",VLOOKUP(O32,Anexos!$A$12:$AP$17,3),$E$8="Anexo II",VLOOKUP(O32,Anexos!$A$12:$AP$17,11),$E$8="Anexo III",VLOOKUP(O32,Anexos!$A$12:$AP$17,20),$E$8="Anexo IV",VLOOKUP(O32,Anexos!$A$12:$AP$17,28),$E$8="Anexo V",VLOOKUP(O32,Anexos!$A$12:$AP$17,35)),0)</f>
        <v>0.04</v>
      </c>
    </row>
    <row r="34" spans="2:15" outlineLevel="1" x14ac:dyDescent="0.2">
      <c r="B34" s="52" t="s">
        <v>120</v>
      </c>
      <c r="C34" s="119"/>
      <c r="D34" s="57">
        <f t="shared" ref="D34:O34" si="11">IFERROR(D32*D33,0)</f>
        <v>17520</v>
      </c>
      <c r="E34" s="57">
        <f t="shared" si="11"/>
        <v>17520</v>
      </c>
      <c r="F34" s="57">
        <f t="shared" si="11"/>
        <v>16059.999999999998</v>
      </c>
      <c r="G34" s="57">
        <f t="shared" si="11"/>
        <v>15927.272727272726</v>
      </c>
      <c r="H34" s="57">
        <f t="shared" si="11"/>
        <v>15767.999999999998</v>
      </c>
      <c r="I34" s="57">
        <f t="shared" si="11"/>
        <v>15573.33333333333</v>
      </c>
      <c r="J34" s="57">
        <f t="shared" si="11"/>
        <v>15329.999999999998</v>
      </c>
      <c r="K34" s="57">
        <f t="shared" si="11"/>
        <v>15017.142857142853</v>
      </c>
      <c r="L34" s="57">
        <f t="shared" si="11"/>
        <v>14599.999999999998</v>
      </c>
      <c r="M34" s="57">
        <f t="shared" si="11"/>
        <v>14016</v>
      </c>
      <c r="N34" s="57">
        <f t="shared" si="11"/>
        <v>7200</v>
      </c>
      <c r="O34" s="58">
        <f t="shared" si="11"/>
        <v>6400</v>
      </c>
    </row>
    <row r="35" spans="2:15" outlineLevel="1" x14ac:dyDescent="0.2">
      <c r="B35" s="52" t="s">
        <v>127</v>
      </c>
      <c r="C35" s="119"/>
      <c r="D35" s="59">
        <f>-IFERROR(_xlfn.IFS($E$8="Anexo I",VLOOKUP(D32,Anexos!$A$12:$AP$17,4),$E$8="Anexo II",VLOOKUP(D32,Anexos!$A$12:$AP$17,12),$E$8="Anexo III",VLOOKUP(D32,Anexos!$A$12:$AP$17,21),$E$8="Anexo IV",VLOOKUP(D32,Anexos!$A$12:$AP$17,29),$E$8="Anexo V",VLOOKUP(D32,Anexos!$A$12:$AP$17,36)),0)</f>
        <v>-5940</v>
      </c>
      <c r="E35" s="59">
        <f>-IFERROR(_xlfn.IFS($E$8="Anexo I",VLOOKUP(E32,Anexos!$A$12:$AP$17,4),$E$8="Anexo II",VLOOKUP(E32,Anexos!$A$12:$AP$17,12),$E$8="Anexo III",VLOOKUP(E32,Anexos!$A$12:$AP$17,21),$E$8="Anexo IV",VLOOKUP(E32,Anexos!$A$12:$AP$17,29),$E$8="Anexo V",VLOOKUP(E32,Anexos!$A$12:$AP$17,36)),0)</f>
        <v>-5940</v>
      </c>
      <c r="F35" s="59">
        <f>-IFERROR(_xlfn.IFS($E$8="Anexo I",VLOOKUP(F32,Anexos!$A$12:$AP$17,4),$E$8="Anexo II",VLOOKUP(F32,Anexos!$A$12:$AP$17,12),$E$8="Anexo III",VLOOKUP(F32,Anexos!$A$12:$AP$17,21),$E$8="Anexo IV",VLOOKUP(F32,Anexos!$A$12:$AP$17,29),$E$8="Anexo V",VLOOKUP(F32,Anexos!$A$12:$AP$17,36)),0)</f>
        <v>-5940</v>
      </c>
      <c r="G35" s="59">
        <f>-IFERROR(_xlfn.IFS($E$8="Anexo I",VLOOKUP(G32,Anexos!$A$12:$AP$17,4),$E$8="Anexo II",VLOOKUP(G32,Anexos!$A$12:$AP$17,12),$E$8="Anexo III",VLOOKUP(G32,Anexos!$A$12:$AP$17,21),$E$8="Anexo IV",VLOOKUP(G32,Anexos!$A$12:$AP$17,29),$E$8="Anexo V",VLOOKUP(G32,Anexos!$A$12:$AP$17,36)),0)</f>
        <v>-5940</v>
      </c>
      <c r="H35" s="59">
        <f>-IFERROR(_xlfn.IFS($E$8="Anexo I",VLOOKUP(H32,Anexos!$A$12:$AP$17,4),$E$8="Anexo II",VLOOKUP(H32,Anexos!$A$12:$AP$17,12),$E$8="Anexo III",VLOOKUP(H32,Anexos!$A$12:$AP$17,21),$E$8="Anexo IV",VLOOKUP(H32,Anexos!$A$12:$AP$17,29),$E$8="Anexo V",VLOOKUP(H32,Anexos!$A$12:$AP$17,36)),0)</f>
        <v>-5940</v>
      </c>
      <c r="I35" s="59">
        <f>-IFERROR(_xlfn.IFS($E$8="Anexo I",VLOOKUP(I32,Anexos!$A$12:$AP$17,4),$E$8="Anexo II",VLOOKUP(I32,Anexos!$A$12:$AP$17,12),$E$8="Anexo III",VLOOKUP(I32,Anexos!$A$12:$AP$17,21),$E$8="Anexo IV",VLOOKUP(I32,Anexos!$A$12:$AP$17,29),$E$8="Anexo V",VLOOKUP(I32,Anexos!$A$12:$AP$17,36)),0)</f>
        <v>-5940</v>
      </c>
      <c r="J35" s="59">
        <f>-IFERROR(_xlfn.IFS($E$8="Anexo I",VLOOKUP(J32,Anexos!$A$12:$AP$17,4),$E$8="Anexo II",VLOOKUP(J32,Anexos!$A$12:$AP$17,12),$E$8="Anexo III",VLOOKUP(J32,Anexos!$A$12:$AP$17,21),$E$8="Anexo IV",VLOOKUP(J32,Anexos!$A$12:$AP$17,29),$E$8="Anexo V",VLOOKUP(J32,Anexos!$A$12:$AP$17,36)),0)</f>
        <v>-5940</v>
      </c>
      <c r="K35" s="59">
        <f>-IFERROR(_xlfn.IFS($E$8="Anexo I",VLOOKUP(K32,Anexos!$A$12:$AP$17,4),$E$8="Anexo II",VLOOKUP(K32,Anexos!$A$12:$AP$17,12),$E$8="Anexo III",VLOOKUP(K32,Anexos!$A$12:$AP$17,21),$E$8="Anexo IV",VLOOKUP(K32,Anexos!$A$12:$AP$17,29),$E$8="Anexo V",VLOOKUP(K32,Anexos!$A$12:$AP$17,36)),0)</f>
        <v>-5940</v>
      </c>
      <c r="L35" s="59">
        <f>-IFERROR(_xlfn.IFS($E$8="Anexo I",VLOOKUP(L32,Anexos!$A$12:$AP$17,4),$E$8="Anexo II",VLOOKUP(L32,Anexos!$A$12:$AP$17,12),$E$8="Anexo III",VLOOKUP(L32,Anexos!$A$12:$AP$17,21),$E$8="Anexo IV",VLOOKUP(L32,Anexos!$A$12:$AP$17,29),$E$8="Anexo V",VLOOKUP(L32,Anexos!$A$12:$AP$17,36)),0)</f>
        <v>-5940</v>
      </c>
      <c r="M35" s="59">
        <f>-IFERROR(_xlfn.IFS($E$8="Anexo I",VLOOKUP(M32,Anexos!$A$12:$AP$17,4),$E$8="Anexo II",VLOOKUP(M32,Anexos!$A$12:$AP$17,12),$E$8="Anexo III",VLOOKUP(M32,Anexos!$A$12:$AP$17,21),$E$8="Anexo IV",VLOOKUP(M32,Anexos!$A$12:$AP$17,29),$E$8="Anexo V",VLOOKUP(M32,Anexos!$A$12:$AP$17,36)),0)</f>
        <v>-5940</v>
      </c>
      <c r="N35" s="59">
        <f>-IFERROR(_xlfn.IFS($E$8="Anexo I",VLOOKUP(N32,Anexos!$A$12:$AP$17,4),$E$8="Anexo II",VLOOKUP(N32,Anexos!$A$12:$AP$17,12),$E$8="Anexo III",VLOOKUP(N32,Anexos!$A$12:$AP$17,21),$E$8="Anexo IV",VLOOKUP(N32,Anexos!$A$12:$AP$17,29),$E$8="Anexo V",VLOOKUP(N32,Anexos!$A$12:$AP$17,36)),0)</f>
        <v>0</v>
      </c>
      <c r="O35" s="60">
        <f>-IFERROR(_xlfn.IFS($E$8="Anexo I",VLOOKUP(O32,Anexos!$A$12:$AP$17,4),$E$8="Anexo II",VLOOKUP(O32,Anexos!$A$12:$AP$17,12),$E$8="Anexo III",VLOOKUP(O32,Anexos!$A$12:$AP$17,21),$E$8="Anexo IV",VLOOKUP(O32,Anexos!$A$12:$AP$17,29),$E$8="Anexo V",VLOOKUP(O32,Anexos!$A$12:$AP$17,36)),0)</f>
        <v>0</v>
      </c>
    </row>
    <row r="36" spans="2:15" outlineLevel="1" x14ac:dyDescent="0.2">
      <c r="B36" s="52" t="s">
        <v>125</v>
      </c>
      <c r="C36" s="119"/>
      <c r="D36" s="61">
        <f>IFERROR(ROUND(SUM(D34:D35)/D32,4),0)</f>
        <v>4.8300000000000003E-2</v>
      </c>
      <c r="E36" s="61">
        <f t="shared" ref="E36:O36" si="12">IFERROR(ROUND(SUM(E34:E35)/E32,4),0)</f>
        <v>4.8300000000000003E-2</v>
      </c>
      <c r="F36" s="61">
        <f t="shared" si="12"/>
        <v>4.5999999999999999E-2</v>
      </c>
      <c r="G36" s="61">
        <f t="shared" si="12"/>
        <v>4.58E-2</v>
      </c>
      <c r="H36" s="61">
        <f t="shared" si="12"/>
        <v>4.5499999999999999E-2</v>
      </c>
      <c r="I36" s="61">
        <f t="shared" si="12"/>
        <v>4.5199999999999997E-2</v>
      </c>
      <c r="J36" s="61">
        <f t="shared" si="12"/>
        <v>4.4699999999999997E-2</v>
      </c>
      <c r="K36" s="61">
        <f t="shared" si="12"/>
        <v>4.41E-2</v>
      </c>
      <c r="L36" s="61">
        <f t="shared" si="12"/>
        <v>4.3299999999999998E-2</v>
      </c>
      <c r="M36" s="61">
        <f t="shared" si="12"/>
        <v>4.2099999999999999E-2</v>
      </c>
      <c r="N36" s="61">
        <f t="shared" si="12"/>
        <v>0.04</v>
      </c>
      <c r="O36" s="62">
        <f t="shared" si="12"/>
        <v>0.04</v>
      </c>
    </row>
    <row r="37" spans="2:15" s="37" customFormat="1" outlineLevel="1" x14ac:dyDescent="0.2">
      <c r="B37" s="63" t="s">
        <v>119</v>
      </c>
      <c r="C37" s="120"/>
      <c r="D37" s="64">
        <f>IFERROR(D31*SUM(D38:D45),0)</f>
        <v>966.00000000000023</v>
      </c>
      <c r="E37" s="64">
        <f t="shared" ref="E37:O37" si="13">IFERROR(E31*SUM(E38:E45),0)</f>
        <v>0</v>
      </c>
      <c r="F37" s="64">
        <f t="shared" si="13"/>
        <v>0</v>
      </c>
      <c r="G37" s="64">
        <f t="shared" si="13"/>
        <v>0</v>
      </c>
      <c r="H37" s="64">
        <f t="shared" si="13"/>
        <v>0</v>
      </c>
      <c r="I37" s="64">
        <f t="shared" si="13"/>
        <v>0</v>
      </c>
      <c r="J37" s="64">
        <f t="shared" si="13"/>
        <v>0</v>
      </c>
      <c r="K37" s="64">
        <f t="shared" si="13"/>
        <v>0</v>
      </c>
      <c r="L37" s="64">
        <f t="shared" si="13"/>
        <v>0</v>
      </c>
      <c r="M37" s="64">
        <f t="shared" si="13"/>
        <v>0</v>
      </c>
      <c r="N37" s="64">
        <f t="shared" si="13"/>
        <v>0</v>
      </c>
      <c r="O37" s="65">
        <f t="shared" si="13"/>
        <v>0</v>
      </c>
    </row>
    <row r="38" spans="2:15" s="37" customFormat="1" outlineLevel="1" x14ac:dyDescent="0.2">
      <c r="B38" s="99" t="s">
        <v>112</v>
      </c>
      <c r="C38" s="115">
        <v>1</v>
      </c>
      <c r="D38" s="97">
        <f>IFERROR(_xlfn.IFS($E$8="Anexo I",VLOOKUP(D32,Anexos!$A$12:$AP$17,5),$E$8="Anexo II",VLOOKUP(D32,Anexos!$A$12:$AP$17,13),$E$8="Anexo III",VLOOKUP(D32,Anexos!$A$12:$AP$17,22),$E$8="Anexo IV",VLOOKUP(D32,Anexos!$A$12:$AP$17,30),$E$8="Anexo V",VLOOKUP(D32,Anexos!$A$12:$AP$17,37))*D36*$C$38,0)</f>
        <v>2.6565E-3</v>
      </c>
      <c r="E38" s="97">
        <f>IFERROR(_xlfn.IFS($E$8="Anexo I",VLOOKUP(E32,Anexos!$A$12:$AP$17,5),$E$8="Anexo II",VLOOKUP(E32,Anexos!$A$12:$AP$17,13),$E$8="Anexo III",VLOOKUP(E32,Anexos!$A$12:$AP$17,22),$E$8="Anexo IV",VLOOKUP(E32,Anexos!$A$12:$AP$17,30),$E$8="Anexo V",VLOOKUP(E32,Anexos!$A$12:$AP$17,37))*E36*$C$38,0)</f>
        <v>2.6565E-3</v>
      </c>
      <c r="F38" s="97">
        <f>IFERROR(_xlfn.IFS($E$8="Anexo I",VLOOKUP(F32,Anexos!$A$12:$AP$17,5),$E$8="Anexo II",VLOOKUP(F32,Anexos!$A$12:$AP$17,13),$E$8="Anexo III",VLOOKUP(F32,Anexos!$A$12:$AP$17,22),$E$8="Anexo IV",VLOOKUP(F32,Anexos!$A$12:$AP$17,30),$E$8="Anexo V",VLOOKUP(F32,Anexos!$A$12:$AP$17,37))*F36*$C$38,0)</f>
        <v>2.5300000000000001E-3</v>
      </c>
      <c r="G38" s="97">
        <f>IFERROR(_xlfn.IFS($E$8="Anexo I",VLOOKUP(G32,Anexos!$A$12:$AP$17,5),$E$8="Anexo II",VLOOKUP(G32,Anexos!$A$12:$AP$17,13),$E$8="Anexo III",VLOOKUP(G32,Anexos!$A$12:$AP$17,22),$E$8="Anexo IV",VLOOKUP(G32,Anexos!$A$12:$AP$17,30),$E$8="Anexo V",VLOOKUP(G32,Anexos!$A$12:$AP$17,37))*G36*$C$38,0)</f>
        <v>2.519E-3</v>
      </c>
      <c r="H38" s="97">
        <f>IFERROR(_xlfn.IFS($E$8="Anexo I",VLOOKUP(H32,Anexos!$A$12:$AP$17,5),$E$8="Anexo II",VLOOKUP(H32,Anexos!$A$12:$AP$17,13),$E$8="Anexo III",VLOOKUP(H32,Anexos!$A$12:$AP$17,22),$E$8="Anexo IV",VLOOKUP(H32,Anexos!$A$12:$AP$17,30),$E$8="Anexo V",VLOOKUP(H32,Anexos!$A$12:$AP$17,37))*H36*$C$38,0)</f>
        <v>2.5025E-3</v>
      </c>
      <c r="I38" s="97">
        <f>IFERROR(_xlfn.IFS($E$8="Anexo I",VLOOKUP(I32,Anexos!$A$12:$AP$17,5),$E$8="Anexo II",VLOOKUP(I32,Anexos!$A$12:$AP$17,13),$E$8="Anexo III",VLOOKUP(I32,Anexos!$A$12:$AP$17,22),$E$8="Anexo IV",VLOOKUP(I32,Anexos!$A$12:$AP$17,30),$E$8="Anexo V",VLOOKUP(I32,Anexos!$A$12:$AP$17,37))*I36*$C$38,0)</f>
        <v>2.4859999999999999E-3</v>
      </c>
      <c r="J38" s="97">
        <f>IFERROR(_xlfn.IFS($E$8="Anexo I",VLOOKUP(J32,Anexos!$A$12:$AP$17,5),$E$8="Anexo II",VLOOKUP(J32,Anexos!$A$12:$AP$17,13),$E$8="Anexo III",VLOOKUP(J32,Anexos!$A$12:$AP$17,22),$E$8="Anexo IV",VLOOKUP(J32,Anexos!$A$12:$AP$17,30),$E$8="Anexo V",VLOOKUP(J32,Anexos!$A$12:$AP$17,37))*J36*$C$38,0)</f>
        <v>2.4584999999999997E-3</v>
      </c>
      <c r="K38" s="97">
        <f>IFERROR(_xlfn.IFS($E$8="Anexo I",VLOOKUP(K32,Anexos!$A$12:$AP$17,5),$E$8="Anexo II",VLOOKUP(K32,Anexos!$A$12:$AP$17,13),$E$8="Anexo III",VLOOKUP(K32,Anexos!$A$12:$AP$17,22),$E$8="Anexo IV",VLOOKUP(K32,Anexos!$A$12:$AP$17,30),$E$8="Anexo V",VLOOKUP(K32,Anexos!$A$12:$AP$17,37))*K36*$C$38,0)</f>
        <v>2.4255000000000001E-3</v>
      </c>
      <c r="L38" s="97">
        <f>IFERROR(_xlfn.IFS($E$8="Anexo I",VLOOKUP(L32,Anexos!$A$12:$AP$17,5),$E$8="Anexo II",VLOOKUP(L32,Anexos!$A$12:$AP$17,13),$E$8="Anexo III",VLOOKUP(L32,Anexos!$A$12:$AP$17,22),$E$8="Anexo IV",VLOOKUP(L32,Anexos!$A$12:$AP$17,30),$E$8="Anexo V",VLOOKUP(L32,Anexos!$A$12:$AP$17,37))*L36*$C$38,0)</f>
        <v>2.3814999999999999E-3</v>
      </c>
      <c r="M38" s="97">
        <f>IFERROR(_xlfn.IFS($E$8="Anexo I",VLOOKUP(M32,Anexos!$A$12:$AP$17,5),$E$8="Anexo II",VLOOKUP(M32,Anexos!$A$12:$AP$17,13),$E$8="Anexo III",VLOOKUP(M32,Anexos!$A$12:$AP$17,22),$E$8="Anexo IV",VLOOKUP(M32,Anexos!$A$12:$AP$17,30),$E$8="Anexo V",VLOOKUP(M32,Anexos!$A$12:$AP$17,37))*M36*$C$38,0)</f>
        <v>2.3154999999999999E-3</v>
      </c>
      <c r="N38" s="97">
        <f>IFERROR(_xlfn.IFS($E$8="Anexo I",VLOOKUP(N32,Anexos!$A$12:$AP$17,5),$E$8="Anexo II",VLOOKUP(N32,Anexos!$A$12:$AP$17,13),$E$8="Anexo III",VLOOKUP(N32,Anexos!$A$12:$AP$17,22),$E$8="Anexo IV",VLOOKUP(N32,Anexos!$A$12:$AP$17,30),$E$8="Anexo V",VLOOKUP(N32,Anexos!$A$12:$AP$17,37))*N36*$C$38,0)</f>
        <v>2.2000000000000001E-3</v>
      </c>
      <c r="O38" s="98">
        <f>IFERROR(_xlfn.IFS($E$8="Anexo I",VLOOKUP(O32,Anexos!$A$12:$AP$17,5),$E$8="Anexo II",VLOOKUP(O32,Anexos!$A$12:$AP$17,13),$E$8="Anexo III",VLOOKUP(O32,Anexos!$A$12:$AP$17,22),$E$8="Anexo IV",VLOOKUP(O32,Anexos!$A$12:$AP$17,30),$E$8="Anexo V",VLOOKUP(O32,Anexos!$A$12:$AP$17,37))*O36*$C$38,0)</f>
        <v>2.2000000000000001E-3</v>
      </c>
    </row>
    <row r="39" spans="2:15" s="37" customFormat="1" outlineLevel="1" x14ac:dyDescent="0.2">
      <c r="B39" s="99" t="s">
        <v>113</v>
      </c>
      <c r="C39" s="115">
        <v>1</v>
      </c>
      <c r="D39" s="97">
        <f>IFERROR(_xlfn.IFS($E$8="Anexo I",VLOOKUP(D32,Anexos!$A$12:$AP$17,6),$E$8="Anexo II",VLOOKUP(D32,Anexos!$A$12:$AP$17,14),$E$8="Anexo III",VLOOKUP(D32,Anexos!$A$12:$AP$17,23),$E$8="Anexo IV",VLOOKUP(D32,Anexos!$A$12:$AP$17,31),$E$8="Anexo V",VLOOKUP(D32,Anexos!$A$12:$AP$17,38))*D36*$C$39,0)</f>
        <v>1.6905000000000002E-3</v>
      </c>
      <c r="E39" s="97">
        <f>IFERROR(_xlfn.IFS($E$8="Anexo I",VLOOKUP(E32,Anexos!$A$12:$AP$17,6),$E$8="Anexo II",VLOOKUP(E32,Anexos!$A$12:$AP$17,14),$E$8="Anexo III",VLOOKUP(E32,Anexos!$A$12:$AP$17,23),$E$8="Anexo IV",VLOOKUP(E32,Anexos!$A$12:$AP$17,31),$E$8="Anexo V",VLOOKUP(E32,Anexos!$A$12:$AP$17,38))*E36*$C$39,0)</f>
        <v>1.6905000000000002E-3</v>
      </c>
      <c r="F39" s="97">
        <f>IFERROR(_xlfn.IFS($E$8="Anexo I",VLOOKUP(F32,Anexos!$A$12:$AP$17,6),$E$8="Anexo II",VLOOKUP(F32,Anexos!$A$12:$AP$17,14),$E$8="Anexo III",VLOOKUP(F32,Anexos!$A$12:$AP$17,23),$E$8="Anexo IV",VLOOKUP(F32,Anexos!$A$12:$AP$17,31),$E$8="Anexo V",VLOOKUP(F32,Anexos!$A$12:$AP$17,38))*F36*$C$39,0)</f>
        <v>1.6100000000000001E-3</v>
      </c>
      <c r="G39" s="97">
        <f>IFERROR(_xlfn.IFS($E$8="Anexo I",VLOOKUP(G32,Anexos!$A$12:$AP$17,6),$E$8="Anexo II",VLOOKUP(G32,Anexos!$A$12:$AP$17,14),$E$8="Anexo III",VLOOKUP(G32,Anexos!$A$12:$AP$17,23),$E$8="Anexo IV",VLOOKUP(G32,Anexos!$A$12:$AP$17,31),$E$8="Anexo V",VLOOKUP(G32,Anexos!$A$12:$AP$17,38))*G36*$C$39,0)</f>
        <v>1.6030000000000003E-3</v>
      </c>
      <c r="H39" s="97">
        <f>IFERROR(_xlfn.IFS($E$8="Anexo I",VLOOKUP(H32,Anexos!$A$12:$AP$17,6),$E$8="Anexo II",VLOOKUP(H32,Anexos!$A$12:$AP$17,14),$E$8="Anexo III",VLOOKUP(H32,Anexos!$A$12:$AP$17,23),$E$8="Anexo IV",VLOOKUP(H32,Anexos!$A$12:$AP$17,31),$E$8="Anexo V",VLOOKUP(H32,Anexos!$A$12:$AP$17,38))*H36*$C$39,0)</f>
        <v>1.5925000000000002E-3</v>
      </c>
      <c r="I39" s="97">
        <f>IFERROR(_xlfn.IFS($E$8="Anexo I",VLOOKUP(I32,Anexos!$A$12:$AP$17,6),$E$8="Anexo II",VLOOKUP(I32,Anexos!$A$12:$AP$17,14),$E$8="Anexo III",VLOOKUP(I32,Anexos!$A$12:$AP$17,23),$E$8="Anexo IV",VLOOKUP(I32,Anexos!$A$12:$AP$17,31),$E$8="Anexo V",VLOOKUP(I32,Anexos!$A$12:$AP$17,38))*I36*$C$39,0)</f>
        <v>1.5820000000000001E-3</v>
      </c>
      <c r="J39" s="97">
        <f>IFERROR(_xlfn.IFS($E$8="Anexo I",VLOOKUP(J32,Anexos!$A$12:$AP$17,6),$E$8="Anexo II",VLOOKUP(J32,Anexos!$A$12:$AP$17,14),$E$8="Anexo III",VLOOKUP(J32,Anexos!$A$12:$AP$17,23),$E$8="Anexo IV",VLOOKUP(J32,Anexos!$A$12:$AP$17,31),$E$8="Anexo V",VLOOKUP(J32,Anexos!$A$12:$AP$17,38))*J36*$C$39,0)</f>
        <v>1.5645000000000001E-3</v>
      </c>
      <c r="K39" s="97">
        <f>IFERROR(_xlfn.IFS($E$8="Anexo I",VLOOKUP(K32,Anexos!$A$12:$AP$17,6),$E$8="Anexo II",VLOOKUP(K32,Anexos!$A$12:$AP$17,14),$E$8="Anexo III",VLOOKUP(K32,Anexos!$A$12:$AP$17,23),$E$8="Anexo IV",VLOOKUP(K32,Anexos!$A$12:$AP$17,31),$E$8="Anexo V",VLOOKUP(K32,Anexos!$A$12:$AP$17,38))*K36*$C$39,0)</f>
        <v>1.5435000000000002E-3</v>
      </c>
      <c r="L39" s="97">
        <f>IFERROR(_xlfn.IFS($E$8="Anexo I",VLOOKUP(L32,Anexos!$A$12:$AP$17,6),$E$8="Anexo II",VLOOKUP(L32,Anexos!$A$12:$AP$17,14),$E$8="Anexo III",VLOOKUP(L32,Anexos!$A$12:$AP$17,23),$E$8="Anexo IV",VLOOKUP(L32,Anexos!$A$12:$AP$17,31),$E$8="Anexo V",VLOOKUP(L32,Anexos!$A$12:$AP$17,38))*L36*$C$39,0)</f>
        <v>1.5155000000000001E-3</v>
      </c>
      <c r="M39" s="97">
        <f>IFERROR(_xlfn.IFS($E$8="Anexo I",VLOOKUP(M32,Anexos!$A$12:$AP$17,6),$E$8="Anexo II",VLOOKUP(M32,Anexos!$A$12:$AP$17,14),$E$8="Anexo III",VLOOKUP(M32,Anexos!$A$12:$AP$17,23),$E$8="Anexo IV",VLOOKUP(M32,Anexos!$A$12:$AP$17,31),$E$8="Anexo V",VLOOKUP(M32,Anexos!$A$12:$AP$17,38))*M36*$C$39,0)</f>
        <v>1.4735E-3</v>
      </c>
      <c r="N39" s="97">
        <f>IFERROR(_xlfn.IFS($E$8="Anexo I",VLOOKUP(N32,Anexos!$A$12:$AP$17,6),$E$8="Anexo II",VLOOKUP(N32,Anexos!$A$12:$AP$17,14),$E$8="Anexo III",VLOOKUP(N32,Anexos!$A$12:$AP$17,23),$E$8="Anexo IV",VLOOKUP(N32,Anexos!$A$12:$AP$17,31),$E$8="Anexo V",VLOOKUP(N32,Anexos!$A$12:$AP$17,38))*N36*$C$39,0)</f>
        <v>1.4000000000000002E-3</v>
      </c>
      <c r="O39" s="98">
        <f>IFERROR(_xlfn.IFS($E$8="Anexo I",VLOOKUP(O32,Anexos!$A$12:$AP$17,6),$E$8="Anexo II",VLOOKUP(O32,Anexos!$A$12:$AP$17,14),$E$8="Anexo III",VLOOKUP(O32,Anexos!$A$12:$AP$17,23),$E$8="Anexo IV",VLOOKUP(O32,Anexos!$A$12:$AP$17,31),$E$8="Anexo V",VLOOKUP(O32,Anexos!$A$12:$AP$17,38))*O36*$C$39,0)</f>
        <v>1.4000000000000002E-3</v>
      </c>
    </row>
    <row r="40" spans="2:15" s="37" customFormat="1" outlineLevel="1" x14ac:dyDescent="0.2">
      <c r="B40" s="99" t="s">
        <v>114</v>
      </c>
      <c r="C40" s="115">
        <v>1</v>
      </c>
      <c r="D40" s="97">
        <f>IFERROR(_xlfn.IFS($E$8="Anexo I",VLOOKUP(D32,Anexos!$A$12:$AP$17,7),$E$8="Anexo II",VLOOKUP(D32,Anexos!$A$12:$AP$17,15),$E$8="Anexo III",VLOOKUP(D32,Anexos!$A$12:$AP$17,24),$E$8="Anexo IV",VLOOKUP(D32,Anexos!$A$12:$AP$17,32),$E$8="Anexo V",VLOOKUP(D32,Anexos!$A$12:$AP$17,39))*D36*$C$40,0)</f>
        <v>6.1534200000000006E-3</v>
      </c>
      <c r="E40" s="97">
        <f>IFERROR(_xlfn.IFS($E$8="Anexo I",VLOOKUP(E32,Anexos!$A$12:$AP$17,7),$E$8="Anexo II",VLOOKUP(E32,Anexos!$A$12:$AP$17,15),$E$8="Anexo III",VLOOKUP(E32,Anexos!$A$12:$AP$17,24),$E$8="Anexo IV",VLOOKUP(E32,Anexos!$A$12:$AP$17,32),$E$8="Anexo V",VLOOKUP(E32,Anexos!$A$12:$AP$17,39))*E36*$C$40,0)</f>
        <v>6.1534200000000006E-3</v>
      </c>
      <c r="F40" s="97">
        <f>IFERROR(_xlfn.IFS($E$8="Anexo I",VLOOKUP(F32,Anexos!$A$12:$AP$17,7),$E$8="Anexo II",VLOOKUP(F32,Anexos!$A$12:$AP$17,15),$E$8="Anexo III",VLOOKUP(F32,Anexos!$A$12:$AP$17,24),$E$8="Anexo IV",VLOOKUP(F32,Anexos!$A$12:$AP$17,32),$E$8="Anexo V",VLOOKUP(F32,Anexos!$A$12:$AP$17,39))*F36*$C$40,0)</f>
        <v>5.8604000000000009E-3</v>
      </c>
      <c r="G40" s="97">
        <f>IFERROR(_xlfn.IFS($E$8="Anexo I",VLOOKUP(G32,Anexos!$A$12:$AP$17,7),$E$8="Anexo II",VLOOKUP(G32,Anexos!$A$12:$AP$17,15),$E$8="Anexo III",VLOOKUP(G32,Anexos!$A$12:$AP$17,24),$E$8="Anexo IV",VLOOKUP(G32,Anexos!$A$12:$AP$17,32),$E$8="Anexo V",VLOOKUP(G32,Anexos!$A$12:$AP$17,39))*G36*$C$40,0)</f>
        <v>5.8349200000000004E-3</v>
      </c>
      <c r="H40" s="97">
        <f>IFERROR(_xlfn.IFS($E$8="Anexo I",VLOOKUP(H32,Anexos!$A$12:$AP$17,7),$E$8="Anexo II",VLOOKUP(H32,Anexos!$A$12:$AP$17,15),$E$8="Anexo III",VLOOKUP(H32,Anexos!$A$12:$AP$17,24),$E$8="Anexo IV",VLOOKUP(H32,Anexos!$A$12:$AP$17,32),$E$8="Anexo V",VLOOKUP(H32,Anexos!$A$12:$AP$17,39))*H36*$C$40,0)</f>
        <v>5.7967000000000001E-3</v>
      </c>
      <c r="I40" s="97">
        <f>IFERROR(_xlfn.IFS($E$8="Anexo I",VLOOKUP(I32,Anexos!$A$12:$AP$17,7),$E$8="Anexo II",VLOOKUP(I32,Anexos!$A$12:$AP$17,15),$E$8="Anexo III",VLOOKUP(I32,Anexos!$A$12:$AP$17,24),$E$8="Anexo IV",VLOOKUP(I32,Anexos!$A$12:$AP$17,32),$E$8="Anexo V",VLOOKUP(I32,Anexos!$A$12:$AP$17,39))*I36*$C$40,0)</f>
        <v>5.7584799999999998E-3</v>
      </c>
      <c r="J40" s="97">
        <f>IFERROR(_xlfn.IFS($E$8="Anexo I",VLOOKUP(J32,Anexos!$A$12:$AP$17,7),$E$8="Anexo II",VLOOKUP(J32,Anexos!$A$12:$AP$17,15),$E$8="Anexo III",VLOOKUP(J32,Anexos!$A$12:$AP$17,24),$E$8="Anexo IV",VLOOKUP(J32,Anexos!$A$12:$AP$17,32),$E$8="Anexo V",VLOOKUP(J32,Anexos!$A$12:$AP$17,39))*J36*$C$40,0)</f>
        <v>5.69478E-3</v>
      </c>
      <c r="K40" s="97">
        <f>IFERROR(_xlfn.IFS($E$8="Anexo I",VLOOKUP(K32,Anexos!$A$12:$AP$17,7),$E$8="Anexo II",VLOOKUP(K32,Anexos!$A$12:$AP$17,15),$E$8="Anexo III",VLOOKUP(K32,Anexos!$A$12:$AP$17,24),$E$8="Anexo IV",VLOOKUP(K32,Anexos!$A$12:$AP$17,32),$E$8="Anexo V",VLOOKUP(K32,Anexos!$A$12:$AP$17,39))*K36*$C$40,0)</f>
        <v>5.6183400000000003E-3</v>
      </c>
      <c r="L40" s="97">
        <f>IFERROR(_xlfn.IFS($E$8="Anexo I",VLOOKUP(L32,Anexos!$A$12:$AP$17,7),$E$8="Anexo II",VLOOKUP(L32,Anexos!$A$12:$AP$17,15),$E$8="Anexo III",VLOOKUP(L32,Anexos!$A$12:$AP$17,24),$E$8="Anexo IV",VLOOKUP(L32,Anexos!$A$12:$AP$17,32),$E$8="Anexo V",VLOOKUP(L32,Anexos!$A$12:$AP$17,39))*L36*$C$40,0)</f>
        <v>5.5164200000000002E-3</v>
      </c>
      <c r="M40" s="97">
        <f>IFERROR(_xlfn.IFS($E$8="Anexo I",VLOOKUP(M32,Anexos!$A$12:$AP$17,7),$E$8="Anexo II",VLOOKUP(M32,Anexos!$A$12:$AP$17,15),$E$8="Anexo III",VLOOKUP(M32,Anexos!$A$12:$AP$17,24),$E$8="Anexo IV",VLOOKUP(M32,Anexos!$A$12:$AP$17,32),$E$8="Anexo V",VLOOKUP(M32,Anexos!$A$12:$AP$17,39))*M36*$C$40,0)</f>
        <v>5.36354E-3</v>
      </c>
      <c r="N40" s="97">
        <f>IFERROR(_xlfn.IFS($E$8="Anexo I",VLOOKUP(N32,Anexos!$A$12:$AP$17,7),$E$8="Anexo II",VLOOKUP(N32,Anexos!$A$12:$AP$17,15),$E$8="Anexo III",VLOOKUP(N32,Anexos!$A$12:$AP$17,24),$E$8="Anexo IV",VLOOKUP(N32,Anexos!$A$12:$AP$17,32),$E$8="Anexo V",VLOOKUP(N32,Anexos!$A$12:$AP$17,39))*N36*$C$40,0)</f>
        <v>5.0960000000000007E-3</v>
      </c>
      <c r="O40" s="98">
        <f>IFERROR(_xlfn.IFS($E$8="Anexo I",VLOOKUP(O32,Anexos!$A$12:$AP$17,7),$E$8="Anexo II",VLOOKUP(O32,Anexos!$A$12:$AP$17,15),$E$8="Anexo III",VLOOKUP(O32,Anexos!$A$12:$AP$17,24),$E$8="Anexo IV",VLOOKUP(O32,Anexos!$A$12:$AP$17,32),$E$8="Anexo V",VLOOKUP(O32,Anexos!$A$12:$AP$17,39))*O36*$C$40,0)</f>
        <v>5.0960000000000007E-3</v>
      </c>
    </row>
    <row r="41" spans="2:15" s="37" customFormat="1" outlineLevel="1" x14ac:dyDescent="0.2">
      <c r="B41" s="99" t="s">
        <v>115</v>
      </c>
      <c r="C41" s="115">
        <v>1</v>
      </c>
      <c r="D41" s="97">
        <f>IFERROR(_xlfn.IFS($E$8="Anexo I",VLOOKUP(D32,Anexos!$A$12:$AP$17,8),$E$8="Anexo II",VLOOKUP(D32,Anexos!$A$12:$AP$17,16),$E$8="Anexo III",VLOOKUP(D32,Anexos!$A$12:$AP$17,25),$E$8="Anexo IV",VLOOKUP(D32,Anexos!$A$12:$AP$17,33),$E$8="Anexo V",VLOOKUP(D32,Anexos!$A$12:$AP$17,40))*D36*$C$41,0)</f>
        <v>1.3330800000000002E-3</v>
      </c>
      <c r="E41" s="97">
        <f>IFERROR(_xlfn.IFS($E$8="Anexo I",VLOOKUP(E32,Anexos!$A$12:$AP$17,8),$E$8="Anexo II",VLOOKUP(E32,Anexos!$A$12:$AP$17,16),$E$8="Anexo III",VLOOKUP(E32,Anexos!$A$12:$AP$17,25),$E$8="Anexo IV",VLOOKUP(E32,Anexos!$A$12:$AP$17,33),$E$8="Anexo V",VLOOKUP(E32,Anexos!$A$12:$AP$17,40))*E36*$C$41,0)</f>
        <v>1.3330800000000002E-3</v>
      </c>
      <c r="F41" s="97">
        <f>IFERROR(_xlfn.IFS($E$8="Anexo I",VLOOKUP(F32,Anexos!$A$12:$AP$17,8),$E$8="Anexo II",VLOOKUP(F32,Anexos!$A$12:$AP$17,16),$E$8="Anexo III",VLOOKUP(F32,Anexos!$A$12:$AP$17,25),$E$8="Anexo IV",VLOOKUP(F32,Anexos!$A$12:$AP$17,33),$E$8="Anexo V",VLOOKUP(F32,Anexos!$A$12:$AP$17,40))*F36*$C$41,0)</f>
        <v>1.2695999999999999E-3</v>
      </c>
      <c r="G41" s="97">
        <f>IFERROR(_xlfn.IFS($E$8="Anexo I",VLOOKUP(G32,Anexos!$A$12:$AP$17,8),$E$8="Anexo II",VLOOKUP(G32,Anexos!$A$12:$AP$17,16),$E$8="Anexo III",VLOOKUP(G32,Anexos!$A$12:$AP$17,25),$E$8="Anexo IV",VLOOKUP(G32,Anexos!$A$12:$AP$17,33),$E$8="Anexo V",VLOOKUP(G32,Anexos!$A$12:$AP$17,40))*G36*$C$41,0)</f>
        <v>1.2640799999999999E-3</v>
      </c>
      <c r="H41" s="97">
        <f>IFERROR(_xlfn.IFS($E$8="Anexo I",VLOOKUP(H32,Anexos!$A$12:$AP$17,8),$E$8="Anexo II",VLOOKUP(H32,Anexos!$A$12:$AP$17,16),$E$8="Anexo III",VLOOKUP(H32,Anexos!$A$12:$AP$17,25),$E$8="Anexo IV",VLOOKUP(H32,Anexos!$A$12:$AP$17,33),$E$8="Anexo V",VLOOKUP(H32,Anexos!$A$12:$AP$17,40))*H36*$C$41,0)</f>
        <v>1.2557999999999998E-3</v>
      </c>
      <c r="I41" s="97">
        <f>IFERROR(_xlfn.IFS($E$8="Anexo I",VLOOKUP(I32,Anexos!$A$12:$AP$17,8),$E$8="Anexo II",VLOOKUP(I32,Anexos!$A$12:$AP$17,16),$E$8="Anexo III",VLOOKUP(I32,Anexos!$A$12:$AP$17,25),$E$8="Anexo IV",VLOOKUP(I32,Anexos!$A$12:$AP$17,33),$E$8="Anexo V",VLOOKUP(I32,Anexos!$A$12:$AP$17,40))*I36*$C$41,0)</f>
        <v>1.2475199999999998E-3</v>
      </c>
      <c r="J41" s="97">
        <f>IFERROR(_xlfn.IFS($E$8="Anexo I",VLOOKUP(J32,Anexos!$A$12:$AP$17,8),$E$8="Anexo II",VLOOKUP(J32,Anexos!$A$12:$AP$17,16),$E$8="Anexo III",VLOOKUP(J32,Anexos!$A$12:$AP$17,25),$E$8="Anexo IV",VLOOKUP(J32,Anexos!$A$12:$AP$17,33),$E$8="Anexo V",VLOOKUP(J32,Anexos!$A$12:$AP$17,40))*J36*$C$41,0)</f>
        <v>1.2337199999999998E-3</v>
      </c>
      <c r="K41" s="97">
        <f>IFERROR(_xlfn.IFS($E$8="Anexo I",VLOOKUP(K32,Anexos!$A$12:$AP$17,8),$E$8="Anexo II",VLOOKUP(K32,Anexos!$A$12:$AP$17,16),$E$8="Anexo III",VLOOKUP(K32,Anexos!$A$12:$AP$17,25),$E$8="Anexo IV",VLOOKUP(K32,Anexos!$A$12:$AP$17,33),$E$8="Anexo V",VLOOKUP(K32,Anexos!$A$12:$AP$17,40))*K36*$C$41,0)</f>
        <v>1.2171599999999999E-3</v>
      </c>
      <c r="L41" s="97">
        <f>IFERROR(_xlfn.IFS($E$8="Anexo I",VLOOKUP(L32,Anexos!$A$12:$AP$17,8),$E$8="Anexo II",VLOOKUP(L32,Anexos!$A$12:$AP$17,16),$E$8="Anexo III",VLOOKUP(L32,Anexos!$A$12:$AP$17,25),$E$8="Anexo IV",VLOOKUP(L32,Anexos!$A$12:$AP$17,33),$E$8="Anexo V",VLOOKUP(L32,Anexos!$A$12:$AP$17,40))*L36*$C$41,0)</f>
        <v>1.1950799999999998E-3</v>
      </c>
      <c r="M41" s="97">
        <f>IFERROR(_xlfn.IFS($E$8="Anexo I",VLOOKUP(M32,Anexos!$A$12:$AP$17,8),$E$8="Anexo II",VLOOKUP(M32,Anexos!$A$12:$AP$17,16),$E$8="Anexo III",VLOOKUP(M32,Anexos!$A$12:$AP$17,25),$E$8="Anexo IV",VLOOKUP(M32,Anexos!$A$12:$AP$17,33),$E$8="Anexo V",VLOOKUP(M32,Anexos!$A$12:$AP$17,40))*M36*$C$41,0)</f>
        <v>1.1619599999999999E-3</v>
      </c>
      <c r="N41" s="97">
        <f>IFERROR(_xlfn.IFS($E$8="Anexo I",VLOOKUP(N32,Anexos!$A$12:$AP$17,8),$E$8="Anexo II",VLOOKUP(N32,Anexos!$A$12:$AP$17,16),$E$8="Anexo III",VLOOKUP(N32,Anexos!$A$12:$AP$17,25),$E$8="Anexo IV",VLOOKUP(N32,Anexos!$A$12:$AP$17,33),$E$8="Anexo V",VLOOKUP(N32,Anexos!$A$12:$AP$17,40))*N36*$C$41,0)</f>
        <v>1.1039999999999999E-3</v>
      </c>
      <c r="O41" s="98">
        <f>IFERROR(_xlfn.IFS($E$8="Anexo I",VLOOKUP(O32,Anexos!$A$12:$AP$17,8),$E$8="Anexo II",VLOOKUP(O32,Anexos!$A$12:$AP$17,16),$E$8="Anexo III",VLOOKUP(O32,Anexos!$A$12:$AP$17,25),$E$8="Anexo IV",VLOOKUP(O32,Anexos!$A$12:$AP$17,33),$E$8="Anexo V",VLOOKUP(O32,Anexos!$A$12:$AP$17,40))*O36*$C$41,0)</f>
        <v>1.1039999999999999E-3</v>
      </c>
    </row>
    <row r="42" spans="2:15" s="37" customFormat="1" outlineLevel="1" x14ac:dyDescent="0.2">
      <c r="B42" s="99" t="s">
        <v>116</v>
      </c>
      <c r="C42" s="115">
        <v>1</v>
      </c>
      <c r="D42" s="97">
        <f>IFERROR(_xlfn.IFS($E$8="Anexo I",VLOOKUP(D32,Anexos!$A$12:$AP$17,9),$E$8="Anexo II",VLOOKUP(D32,Anexos!$A$12:$AP$17,17),$E$8="Anexo III",VLOOKUP(D32,Anexos!$A$12:$AP$17,26),$E$8="Anexo V",VLOOKUP(D32,Anexos!$A$12:$AP$17,41))*D36*$C$42,0)</f>
        <v>2.00445E-2</v>
      </c>
      <c r="E42" s="97">
        <f>IFERROR(_xlfn.IFS($E$8="Anexo I",VLOOKUP(E32,Anexos!$A$12:$AP$17,9),$E$8="Anexo II",VLOOKUP(E32,Anexos!$A$12:$AP$17,17),$E$8="Anexo III",VLOOKUP(E32,Anexos!$A$12:$AP$17,26),$E$8="Anexo V",VLOOKUP(E32,Anexos!$A$12:$AP$17,41))*E36*$C$42,0)</f>
        <v>2.00445E-2</v>
      </c>
      <c r="F42" s="97">
        <f>IFERROR(_xlfn.IFS($E$8="Anexo I",VLOOKUP(F32,Anexos!$A$12:$AP$17,9),$E$8="Anexo II",VLOOKUP(F32,Anexos!$A$12:$AP$17,17),$E$8="Anexo III",VLOOKUP(F32,Anexos!$A$12:$AP$17,26),$E$8="Anexo V",VLOOKUP(F32,Anexos!$A$12:$AP$17,41))*F36*$C$42,0)</f>
        <v>1.9089999999999999E-2</v>
      </c>
      <c r="G42" s="97">
        <f>IFERROR(_xlfn.IFS($E$8="Anexo I",VLOOKUP(G32,Anexos!$A$12:$AP$17,9),$E$8="Anexo II",VLOOKUP(G32,Anexos!$A$12:$AP$17,17),$E$8="Anexo III",VLOOKUP(G32,Anexos!$A$12:$AP$17,26),$E$8="Anexo V",VLOOKUP(G32,Anexos!$A$12:$AP$17,41))*G36*$C$42,0)</f>
        <v>1.9007E-2</v>
      </c>
      <c r="H42" s="97">
        <f>IFERROR(_xlfn.IFS($E$8="Anexo I",VLOOKUP(H32,Anexos!$A$12:$AP$17,9),$E$8="Anexo II",VLOOKUP(H32,Anexos!$A$12:$AP$17,17),$E$8="Anexo III",VLOOKUP(H32,Anexos!$A$12:$AP$17,26),$E$8="Anexo V",VLOOKUP(H32,Anexos!$A$12:$AP$17,41))*H36*$C$42,0)</f>
        <v>1.88825E-2</v>
      </c>
      <c r="I42" s="97">
        <f>IFERROR(_xlfn.IFS($E$8="Anexo I",VLOOKUP(I32,Anexos!$A$12:$AP$17,9),$E$8="Anexo II",VLOOKUP(I32,Anexos!$A$12:$AP$17,17),$E$8="Anexo III",VLOOKUP(I32,Anexos!$A$12:$AP$17,26),$E$8="Anexo V",VLOOKUP(I32,Anexos!$A$12:$AP$17,41))*I36*$C$42,0)</f>
        <v>1.8757999999999997E-2</v>
      </c>
      <c r="J42" s="97">
        <f>IFERROR(_xlfn.IFS($E$8="Anexo I",VLOOKUP(J32,Anexos!$A$12:$AP$17,9),$E$8="Anexo II",VLOOKUP(J32,Anexos!$A$12:$AP$17,17),$E$8="Anexo III",VLOOKUP(J32,Anexos!$A$12:$AP$17,26),$E$8="Anexo V",VLOOKUP(J32,Anexos!$A$12:$AP$17,41))*J36*$C$42,0)</f>
        <v>1.8550499999999998E-2</v>
      </c>
      <c r="K42" s="97">
        <f>IFERROR(_xlfn.IFS($E$8="Anexo I",VLOOKUP(K32,Anexos!$A$12:$AP$17,9),$E$8="Anexo II",VLOOKUP(K32,Anexos!$A$12:$AP$17,17),$E$8="Anexo III",VLOOKUP(K32,Anexos!$A$12:$AP$17,26),$E$8="Anexo V",VLOOKUP(K32,Anexos!$A$12:$AP$17,41))*K36*$C$42,0)</f>
        <v>1.8301499999999998E-2</v>
      </c>
      <c r="L42" s="97">
        <f>IFERROR(_xlfn.IFS($E$8="Anexo I",VLOOKUP(L32,Anexos!$A$12:$AP$17,9),$E$8="Anexo II",VLOOKUP(L32,Anexos!$A$12:$AP$17,17),$E$8="Anexo III",VLOOKUP(L32,Anexos!$A$12:$AP$17,26),$E$8="Anexo V",VLOOKUP(L32,Anexos!$A$12:$AP$17,41))*L36*$C$42,0)</f>
        <v>1.7969499999999999E-2</v>
      </c>
      <c r="M42" s="97">
        <f>IFERROR(_xlfn.IFS($E$8="Anexo I",VLOOKUP(M32,Anexos!$A$12:$AP$17,9),$E$8="Anexo II",VLOOKUP(M32,Anexos!$A$12:$AP$17,17),$E$8="Anexo III",VLOOKUP(M32,Anexos!$A$12:$AP$17,26),$E$8="Anexo V",VLOOKUP(M32,Anexos!$A$12:$AP$17,41))*M36*$C$42,0)</f>
        <v>1.7471499999999997E-2</v>
      </c>
      <c r="N42" s="97">
        <f>IFERROR(_xlfn.IFS($E$8="Anexo I",VLOOKUP(N32,Anexos!$A$12:$AP$17,9),$E$8="Anexo II",VLOOKUP(N32,Anexos!$A$12:$AP$17,17),$E$8="Anexo III",VLOOKUP(N32,Anexos!$A$12:$AP$17,26),$E$8="Anexo V",VLOOKUP(N32,Anexos!$A$12:$AP$17,41))*N36*$C$42,0)</f>
        <v>1.66E-2</v>
      </c>
      <c r="O42" s="98">
        <f>IFERROR(_xlfn.IFS($E$8="Anexo I",VLOOKUP(O32,Anexos!$A$12:$AP$17,9),$E$8="Anexo II",VLOOKUP(O32,Anexos!$A$12:$AP$17,17),$E$8="Anexo III",VLOOKUP(O32,Anexos!$A$12:$AP$17,26),$E$8="Anexo V",VLOOKUP(O32,Anexos!$A$12:$AP$17,41))*O36*$C$42,0)</f>
        <v>1.66E-2</v>
      </c>
    </row>
    <row r="43" spans="2:15" s="37" customFormat="1" outlineLevel="1" x14ac:dyDescent="0.2">
      <c r="B43" s="99" t="s">
        <v>117</v>
      </c>
      <c r="C43" s="115">
        <v>1</v>
      </c>
      <c r="D43" s="97">
        <f>IFERROR(_xlfn.IFS($E$8="Anexo II",VLOOKUP(D32,Anexos!$A$12:$AP$17,18))*D36*$C$43,0)</f>
        <v>0</v>
      </c>
      <c r="E43" s="97">
        <f>IFERROR(_xlfn.IFS($E$8="Anexo II",VLOOKUP(E32,Anexos!$A$12:$AP$17,18))*E36*$C$43,0)</f>
        <v>0</v>
      </c>
      <c r="F43" s="97">
        <f>IFERROR(_xlfn.IFS($E$8="Anexo II",VLOOKUP(F32,Anexos!$A$12:$AP$17,18))*F36*$C$43,0)</f>
        <v>0</v>
      </c>
      <c r="G43" s="97">
        <f>IFERROR(_xlfn.IFS($E$8="Anexo II",VLOOKUP(G32,Anexos!$A$12:$AP$17,18))*G36*$C$43,0)</f>
        <v>0</v>
      </c>
      <c r="H43" s="97">
        <f>IFERROR(_xlfn.IFS($E$8="Anexo II",VLOOKUP(H32,Anexos!$A$12:$AP$17,18))*H36*$C$43,0)</f>
        <v>0</v>
      </c>
      <c r="I43" s="97">
        <f>IFERROR(_xlfn.IFS($E$8="Anexo II",VLOOKUP(I32,Anexos!$A$12:$AP$17,18))*I36*$C$43,0)</f>
        <v>0</v>
      </c>
      <c r="J43" s="97">
        <f>IFERROR(_xlfn.IFS($E$8="Anexo II",VLOOKUP(J32,Anexos!$A$12:$AP$17,18))*J36*$C$43,0)</f>
        <v>0</v>
      </c>
      <c r="K43" s="97">
        <f>IFERROR(_xlfn.IFS($E$8="Anexo II",VLOOKUP(K32,Anexos!$A$12:$AP$17,18))*K36*$C$43,0)</f>
        <v>0</v>
      </c>
      <c r="L43" s="97">
        <f>IFERROR(_xlfn.IFS($E$8="Anexo II",VLOOKUP(L32,Anexos!$A$12:$AP$17,18))*L36*$C$43,0)</f>
        <v>0</v>
      </c>
      <c r="M43" s="97">
        <f>IFERROR(_xlfn.IFS($E$8="Anexo II",VLOOKUP(M32,Anexos!$A$12:$AP$17,18))*M36*$C$43,0)</f>
        <v>0</v>
      </c>
      <c r="N43" s="97">
        <f>IFERROR(_xlfn.IFS($E$8="Anexo II",VLOOKUP(N32,Anexos!$A$12:$AP$17,18))*N36*$C$43,0)</f>
        <v>0</v>
      </c>
      <c r="O43" s="98">
        <f>IFERROR(_xlfn.IFS($E$8="Anexo II",VLOOKUP(O32,Anexos!$A$12:$AP$17,18))*O36*$C$43,0)</f>
        <v>0</v>
      </c>
    </row>
    <row r="44" spans="2:15" s="37" customFormat="1" outlineLevel="1" x14ac:dyDescent="0.2">
      <c r="B44" s="99" t="s">
        <v>118</v>
      </c>
      <c r="C44" s="115">
        <v>1</v>
      </c>
      <c r="D44" s="97">
        <f>IFERROR(_xlfn.IFS($E$8="Anexo I",VLOOKUP(D32,Anexos!$A$12:$AP$17,10),$E$8="Anexo II",VLOOKUP(D32,Anexos!$A$12:$AP$17,19))*D36*$C$44,0)</f>
        <v>1.6422000000000003E-2</v>
      </c>
      <c r="E44" s="97">
        <f>IFERROR(_xlfn.IFS($E$8="Anexo I",VLOOKUP(E32,Anexos!$A$12:$AP$17,10),$E$8="Anexo II",VLOOKUP(E32,Anexos!$A$12:$AP$17,19))*E36*$C$44,0)</f>
        <v>1.6422000000000003E-2</v>
      </c>
      <c r="F44" s="97">
        <f>IFERROR(_xlfn.IFS($E$8="Anexo I",VLOOKUP(F32,Anexos!$A$12:$AP$17,10),$E$8="Anexo II",VLOOKUP(F32,Anexos!$A$12:$AP$17,19))*F36*$C$44,0)</f>
        <v>1.5640000000000001E-2</v>
      </c>
      <c r="G44" s="97">
        <f>IFERROR(_xlfn.IFS($E$8="Anexo I",VLOOKUP(G32,Anexos!$A$12:$AP$17,10),$E$8="Anexo II",VLOOKUP(G32,Anexos!$A$12:$AP$17,19))*G36*$C$44,0)</f>
        <v>1.5572000000000001E-2</v>
      </c>
      <c r="H44" s="97">
        <f>IFERROR(_xlfn.IFS($E$8="Anexo I",VLOOKUP(H32,Anexos!$A$12:$AP$17,10),$E$8="Anexo II",VLOOKUP(H32,Anexos!$A$12:$AP$17,19))*H36*$C$44,0)</f>
        <v>1.5470000000000001E-2</v>
      </c>
      <c r="I44" s="97">
        <f>IFERROR(_xlfn.IFS($E$8="Anexo I",VLOOKUP(I32,Anexos!$A$12:$AP$17,10),$E$8="Anexo II",VLOOKUP(I32,Anexos!$A$12:$AP$17,19))*I36*$C$44,0)</f>
        <v>1.5368E-2</v>
      </c>
      <c r="J44" s="97">
        <f>IFERROR(_xlfn.IFS($E$8="Anexo I",VLOOKUP(J32,Anexos!$A$12:$AP$17,10),$E$8="Anexo II",VLOOKUP(J32,Anexos!$A$12:$AP$17,19))*J36*$C$44,0)</f>
        <v>1.5198E-2</v>
      </c>
      <c r="K44" s="97">
        <f>IFERROR(_xlfn.IFS($E$8="Anexo I",VLOOKUP(K32,Anexos!$A$12:$AP$17,10),$E$8="Anexo II",VLOOKUP(K32,Anexos!$A$12:$AP$17,19))*K36*$C$44,0)</f>
        <v>1.4994E-2</v>
      </c>
      <c r="L44" s="97">
        <f>IFERROR(_xlfn.IFS($E$8="Anexo I",VLOOKUP(L32,Anexos!$A$12:$AP$17,10),$E$8="Anexo II",VLOOKUP(L32,Anexos!$A$12:$AP$17,19))*L36*$C$44,0)</f>
        <v>1.4722000000000001E-2</v>
      </c>
      <c r="M44" s="97">
        <f>IFERROR(_xlfn.IFS($E$8="Anexo I",VLOOKUP(M32,Anexos!$A$12:$AP$17,10),$E$8="Anexo II",VLOOKUP(M32,Anexos!$A$12:$AP$17,19))*M36*$C$44,0)</f>
        <v>1.4314E-2</v>
      </c>
      <c r="N44" s="97">
        <f>IFERROR(_xlfn.IFS($E$8="Anexo I",VLOOKUP(N32,Anexos!$A$12:$AP$17,10),$E$8="Anexo II",VLOOKUP(N32,Anexos!$A$12:$AP$17,19))*N36*$C$44,0)</f>
        <v>1.3600000000000001E-2</v>
      </c>
      <c r="O44" s="98">
        <f>IFERROR(_xlfn.IFS($E$8="Anexo I",VLOOKUP(O32,Anexos!$A$12:$AP$17,10),$E$8="Anexo II",VLOOKUP(O32,Anexos!$A$12:$AP$17,19))*O36*$C$44,0)</f>
        <v>1.3600000000000001E-2</v>
      </c>
    </row>
    <row r="45" spans="2:15" s="37" customFormat="1" outlineLevel="1" x14ac:dyDescent="0.2">
      <c r="B45" s="100" t="s">
        <v>31</v>
      </c>
      <c r="C45" s="117">
        <v>1</v>
      </c>
      <c r="D45" s="101">
        <f>IFERROR(_xlfn.IFS($E$8="Anexo III",VLOOKUP(D32,Anexos!$A$12:$AP$17,27),$E$8="Anexo IV",VLOOKUP(D32,Anexos!$A$12:$AP$17,34),$E$8="Anexo V",VLOOKUP(D32,Anexos!$A$12:$AP$17,42))*D36*$C$45,0)</f>
        <v>0</v>
      </c>
      <c r="E45" s="101">
        <f>IFERROR(_xlfn.IFS($E$8="Anexo III",VLOOKUP(E32,Anexos!$A$12:$AP$17,27),$E$8="Anexo IV",VLOOKUP(E32,Anexos!$A$12:$AP$17,34),$E$8="Anexo V",VLOOKUP(E32,Anexos!$A$12:$AP$17,42))*E36*$C$45,0)</f>
        <v>0</v>
      </c>
      <c r="F45" s="101">
        <f>IFERROR(_xlfn.IFS($E$8="Anexo III",VLOOKUP(F32,Anexos!$A$12:$AP$17,27),$E$8="Anexo IV",VLOOKUP(F32,Anexos!$A$12:$AP$17,34),$E$8="Anexo V",VLOOKUP(F32,Anexos!$A$12:$AP$17,42))*F36*$C$45,0)</f>
        <v>0</v>
      </c>
      <c r="G45" s="101">
        <f>IFERROR(_xlfn.IFS($E$8="Anexo III",VLOOKUP(G32,Anexos!$A$12:$AP$17,27),$E$8="Anexo IV",VLOOKUP(G32,Anexos!$A$12:$AP$17,34),$E$8="Anexo V",VLOOKUP(G32,Anexos!$A$12:$AP$17,42))*G36*$C$45,0)</f>
        <v>0</v>
      </c>
      <c r="H45" s="101">
        <f>IFERROR(_xlfn.IFS($E$8="Anexo III",VLOOKUP(H32,Anexos!$A$12:$AP$17,27),$E$8="Anexo IV",VLOOKUP(H32,Anexos!$A$12:$AP$17,34),$E$8="Anexo V",VLOOKUP(H32,Anexos!$A$12:$AP$17,42))*H36*$C$45,0)</f>
        <v>0</v>
      </c>
      <c r="I45" s="101">
        <f>IFERROR(_xlfn.IFS($E$8="Anexo III",VLOOKUP(I32,Anexos!$A$12:$AP$17,27),$E$8="Anexo IV",VLOOKUP(I32,Anexos!$A$12:$AP$17,34),$E$8="Anexo V",VLOOKUP(I32,Anexos!$A$12:$AP$17,42))*I36*$C$45,0)</f>
        <v>0</v>
      </c>
      <c r="J45" s="101">
        <f>IFERROR(_xlfn.IFS($E$8="Anexo III",VLOOKUP(J32,Anexos!$A$12:$AP$17,27),$E$8="Anexo IV",VLOOKUP(J32,Anexos!$A$12:$AP$17,34),$E$8="Anexo V",VLOOKUP(J32,Anexos!$A$12:$AP$17,42))*J36*$C$45,0)</f>
        <v>0</v>
      </c>
      <c r="K45" s="101">
        <f>IFERROR(_xlfn.IFS($E$8="Anexo III",VLOOKUP(K32,Anexos!$A$12:$AP$17,27),$E$8="Anexo IV",VLOOKUP(K32,Anexos!$A$12:$AP$17,34),$E$8="Anexo V",VLOOKUP(K32,Anexos!$A$12:$AP$17,42))*K36*$C$45,0)</f>
        <v>0</v>
      </c>
      <c r="L45" s="101">
        <f>IFERROR(_xlfn.IFS($E$8="Anexo III",VLOOKUP(L32,Anexos!$A$12:$AP$17,27),$E$8="Anexo IV",VLOOKUP(L32,Anexos!$A$12:$AP$17,34),$E$8="Anexo V",VLOOKUP(L32,Anexos!$A$12:$AP$17,42))*L36*$C$45,0)</f>
        <v>0</v>
      </c>
      <c r="M45" s="101">
        <f>IFERROR(_xlfn.IFS($E$8="Anexo III",VLOOKUP(M32,Anexos!$A$12:$AP$17,27),$E$8="Anexo IV",VLOOKUP(M32,Anexos!$A$12:$AP$17,34),$E$8="Anexo V",VLOOKUP(M32,Anexos!$A$12:$AP$17,42))*M36*$C$45,0)</f>
        <v>0</v>
      </c>
      <c r="N45" s="101">
        <f>IFERROR(_xlfn.IFS($E$8="Anexo III",VLOOKUP(N32,Anexos!$A$12:$AP$17,27),$E$8="Anexo IV",VLOOKUP(N32,Anexos!$A$12:$AP$17,34),$E$8="Anexo V",VLOOKUP(N32,Anexos!$A$12:$AP$17,42))*N36*$C$45,0)</f>
        <v>0</v>
      </c>
      <c r="O45" s="102">
        <f>IFERROR(_xlfn.IFS($E$8="Anexo III",VLOOKUP(O32,Anexos!$A$12:$AP$17,27),$E$8="Anexo IV",VLOOKUP(O32,Anexos!$A$12:$AP$17,34),$E$8="Anexo V",VLOOKUP(O32,Anexos!$A$12:$AP$17,42))*O36*$C$45,0)</f>
        <v>0</v>
      </c>
    </row>
    <row r="47" spans="2:15" x14ac:dyDescent="0.2">
      <c r="D47" s="109"/>
    </row>
    <row r="48" spans="2:15" x14ac:dyDescent="0.2">
      <c r="D48" s="51"/>
    </row>
  </sheetData>
  <sheetProtection algorithmName="SHA-512" hashValue="0GgFkZA8xFst8qotkqeDmDJlQJ8Bx0hMNQdIjk/zkOeqi3Ppvycl7yt+sMQ21WqF9byiuKAGvTrKPaQUVdJrYA==" saltValue="ePZxDl7rhw7mSkrQU3c93g==" spinCount="100000" sheet="1" objects="1" scenarios="1" formatColumns="0" selectLockedCells="1"/>
  <mergeCells count="2">
    <mergeCell ref="C14:C18"/>
    <mergeCell ref="C31:C37"/>
  </mergeCells>
  <hyperlinks>
    <hyperlink ref="F2" r:id="rId1" location="!download/cu9f"/>
    <hyperlink ref="G4" r:id="rId2"/>
  </hyperlinks>
  <pageMargins left="0.25" right="0.25" top="0.75" bottom="0.75" header="0.3" footer="0.3"/>
  <pageSetup paperSize="9" orientation="landscape" r:id="rId3"/>
  <drawing r:id="rId4"/>
  <legacyDrawing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Anexos!$A$44:$A$50</xm:f>
          </x14:formula1>
          <xm:sqref>E8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/>
  </sheetPr>
  <dimension ref="A1:P32"/>
  <sheetViews>
    <sheetView showGridLines="0" zoomScaleNormal="100" zoomScaleSheetLayoutView="100" workbookViewId="0">
      <selection activeCell="F2" sqref="F2"/>
    </sheetView>
  </sheetViews>
  <sheetFormatPr defaultRowHeight="13.5" customHeight="1" x14ac:dyDescent="0.2"/>
  <cols>
    <col min="1" max="1" width="2.7109375" style="1" customWidth="1"/>
    <col min="2" max="2" width="30.140625" style="1" bestFit="1" customWidth="1"/>
    <col min="3" max="3" width="8.28515625" style="1" customWidth="1"/>
    <col min="4" max="4" width="13" style="1" customWidth="1"/>
    <col min="5" max="5" width="14.42578125" style="1" customWidth="1"/>
    <col min="6" max="6" width="14.140625" style="1" customWidth="1"/>
    <col min="7" max="15" width="13" style="1" customWidth="1"/>
    <col min="16" max="16384" width="9.140625" style="1"/>
  </cols>
  <sheetData>
    <row r="1" spans="1:15" ht="23.25" x14ac:dyDescent="0.35">
      <c r="A1" s="2" t="s">
        <v>108</v>
      </c>
      <c r="B1" s="3"/>
      <c r="C1" s="3"/>
      <c r="D1" s="3"/>
      <c r="E1" s="3"/>
      <c r="F1" s="3"/>
      <c r="G1" s="3"/>
    </row>
    <row r="2" spans="1:15" s="5" customFormat="1" ht="13.5" customHeight="1" x14ac:dyDescent="0.2">
      <c r="E2" s="4"/>
      <c r="F2" s="36" t="s">
        <v>6</v>
      </c>
      <c r="G2" s="12"/>
    </row>
    <row r="3" spans="1:15" s="5" customFormat="1" ht="13.5" customHeight="1" x14ac:dyDescent="0.2">
      <c r="F3" s="12" t="s">
        <v>92</v>
      </c>
      <c r="G3" s="12"/>
    </row>
    <row r="4" spans="1:15" s="5" customFormat="1" ht="13.5" customHeight="1" x14ac:dyDescent="0.2">
      <c r="F4" s="44" t="s">
        <v>68</v>
      </c>
      <c r="G4" s="42" t="s">
        <v>67</v>
      </c>
    </row>
    <row r="5" spans="1:15" s="5" customFormat="1" ht="13.5" customHeight="1" x14ac:dyDescent="0.2"/>
    <row r="6" spans="1:15" s="5" customFormat="1" ht="13.5" customHeight="1" x14ac:dyDescent="0.2"/>
    <row r="7" spans="1:15" s="5" customFormat="1" ht="13.5" customHeight="1" x14ac:dyDescent="0.2">
      <c r="D7" s="7" t="s">
        <v>25</v>
      </c>
      <c r="E7" s="46" t="s">
        <v>73</v>
      </c>
      <c r="H7" s="45"/>
    </row>
    <row r="8" spans="1:15" s="5" customFormat="1" ht="13.5" customHeight="1" x14ac:dyDescent="0.2">
      <c r="D8" s="7" t="s">
        <v>32</v>
      </c>
      <c r="E8" s="5" t="s">
        <v>91</v>
      </c>
      <c r="G8" s="47" t="s">
        <v>75</v>
      </c>
    </row>
    <row r="9" spans="1:15" s="5" customFormat="1" ht="13.5" customHeight="1" x14ac:dyDescent="0.2">
      <c r="B9" s="6" t="s">
        <v>7</v>
      </c>
      <c r="C9" s="6"/>
    </row>
    <row r="10" spans="1:15" s="5" customFormat="1" ht="13.5" customHeight="1" x14ac:dyDescent="0.2"/>
    <row r="11" spans="1:15" ht="13.5" customHeight="1" x14ac:dyDescent="0.2">
      <c r="B11" s="84">
        <f ca="1">YEAR($E$15)</f>
        <v>2018</v>
      </c>
      <c r="C11" s="111" t="s">
        <v>121</v>
      </c>
      <c r="D11" s="85">
        <f ca="1">DATE(B11,1,1)</f>
        <v>43101</v>
      </c>
      <c r="E11" s="85">
        <f ca="1">EDATE(D11,1)</f>
        <v>43132</v>
      </c>
      <c r="F11" s="85">
        <f t="shared" ref="F11:O11" ca="1" si="0">EDATE(E11,1)</f>
        <v>43160</v>
      </c>
      <c r="G11" s="85">
        <f t="shared" ca="1" si="0"/>
        <v>43191</v>
      </c>
      <c r="H11" s="85">
        <f t="shared" ca="1" si="0"/>
        <v>43221</v>
      </c>
      <c r="I11" s="85">
        <f t="shared" ca="1" si="0"/>
        <v>43252</v>
      </c>
      <c r="J11" s="85">
        <f t="shared" ca="1" si="0"/>
        <v>43282</v>
      </c>
      <c r="K11" s="85">
        <f t="shared" ca="1" si="0"/>
        <v>43313</v>
      </c>
      <c r="L11" s="85">
        <f t="shared" ca="1" si="0"/>
        <v>43344</v>
      </c>
      <c r="M11" s="85">
        <f t="shared" ca="1" si="0"/>
        <v>43374</v>
      </c>
      <c r="N11" s="85">
        <f ca="1">EDATE(M11,1)</f>
        <v>43405</v>
      </c>
      <c r="O11" s="86">
        <f t="shared" ca="1" si="0"/>
        <v>43435</v>
      </c>
    </row>
    <row r="12" spans="1:15" ht="13.5" customHeight="1" x14ac:dyDescent="0.2">
      <c r="B12" s="112" t="s">
        <v>123</v>
      </c>
      <c r="C12" s="121" t="s">
        <v>25</v>
      </c>
      <c r="D12" s="67">
        <v>20000</v>
      </c>
      <c r="E12" s="67">
        <v>20000</v>
      </c>
      <c r="F12" s="67">
        <v>20000</v>
      </c>
      <c r="G12" s="67">
        <v>20000</v>
      </c>
      <c r="H12" s="67">
        <v>20000</v>
      </c>
      <c r="I12" s="67">
        <v>20000</v>
      </c>
      <c r="J12" s="67">
        <v>20000</v>
      </c>
      <c r="K12" s="67">
        <v>20000</v>
      </c>
      <c r="L12" s="67">
        <v>20000</v>
      </c>
      <c r="M12" s="67">
        <v>20000</v>
      </c>
      <c r="N12" s="67">
        <v>20000</v>
      </c>
      <c r="O12" s="68">
        <v>20000</v>
      </c>
    </row>
    <row r="13" spans="1:15" ht="13.5" customHeight="1" x14ac:dyDescent="0.2">
      <c r="B13" s="69" t="s">
        <v>72</v>
      </c>
      <c r="C13" s="122"/>
      <c r="D13" s="70">
        <v>5000</v>
      </c>
      <c r="E13" s="70">
        <v>5000</v>
      </c>
      <c r="F13" s="70">
        <v>5000</v>
      </c>
      <c r="G13" s="70">
        <v>5000</v>
      </c>
      <c r="H13" s="70">
        <v>5000</v>
      </c>
      <c r="I13" s="70">
        <v>5000</v>
      </c>
      <c r="J13" s="70">
        <v>5000</v>
      </c>
      <c r="K13" s="70">
        <v>5000</v>
      </c>
      <c r="L13" s="70">
        <v>5000</v>
      </c>
      <c r="M13" s="70">
        <v>5000</v>
      </c>
      <c r="N13" s="70">
        <v>5000</v>
      </c>
      <c r="O13" s="71">
        <v>5000</v>
      </c>
    </row>
    <row r="14" spans="1:15" s="105" customFormat="1" ht="13.5" customHeight="1" x14ac:dyDescent="0.2"/>
    <row r="15" spans="1:15" ht="13.5" customHeight="1" x14ac:dyDescent="0.2">
      <c r="D15" s="7" t="s">
        <v>64</v>
      </c>
      <c r="E15" s="35">
        <f ca="1">TODAY()</f>
        <v>43151</v>
      </c>
      <c r="G15" s="33"/>
      <c r="I15" s="33"/>
    </row>
    <row r="16" spans="1:15" ht="13.5" customHeight="1" x14ac:dyDescent="0.2">
      <c r="E16" s="33"/>
    </row>
    <row r="17" spans="2:16" ht="13.5" customHeight="1" x14ac:dyDescent="0.2">
      <c r="B17" s="84">
        <f ca="1">YEAR($E$15)</f>
        <v>2018</v>
      </c>
      <c r="C17" s="111" t="s">
        <v>121</v>
      </c>
      <c r="D17" s="85">
        <f ca="1">DATE(B17,1,1)</f>
        <v>43101</v>
      </c>
      <c r="E17" s="85">
        <f ca="1">EDATE(D17,1)</f>
        <v>43132</v>
      </c>
      <c r="F17" s="85">
        <f t="shared" ref="F17:M17" ca="1" si="1">EDATE(E17,1)</f>
        <v>43160</v>
      </c>
      <c r="G17" s="85">
        <f t="shared" ca="1" si="1"/>
        <v>43191</v>
      </c>
      <c r="H17" s="85">
        <f t="shared" ca="1" si="1"/>
        <v>43221</v>
      </c>
      <c r="I17" s="85">
        <f t="shared" ca="1" si="1"/>
        <v>43252</v>
      </c>
      <c r="J17" s="85">
        <f t="shared" ca="1" si="1"/>
        <v>43282</v>
      </c>
      <c r="K17" s="85">
        <f t="shared" ca="1" si="1"/>
        <v>43313</v>
      </c>
      <c r="L17" s="85">
        <f t="shared" ca="1" si="1"/>
        <v>43344</v>
      </c>
      <c r="M17" s="85">
        <f t="shared" ca="1" si="1"/>
        <v>43374</v>
      </c>
      <c r="N17" s="85">
        <f ca="1">EDATE(M17,1)</f>
        <v>43405</v>
      </c>
      <c r="O17" s="86">
        <f t="shared" ref="O17" ca="1" si="2">EDATE(N17,1)</f>
        <v>43435</v>
      </c>
    </row>
    <row r="18" spans="2:16" ht="13.5" customHeight="1" x14ac:dyDescent="0.2">
      <c r="B18" s="66" t="s">
        <v>0</v>
      </c>
      <c r="C18" s="119" t="s">
        <v>122</v>
      </c>
      <c r="D18" s="83">
        <v>20000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8"/>
    </row>
    <row r="19" spans="2:16" ht="13.5" customHeight="1" x14ac:dyDescent="0.2">
      <c r="B19" s="52" t="s">
        <v>4</v>
      </c>
      <c r="C19" s="119"/>
      <c r="D19" s="53">
        <f>AVERAGE(D12:$O$12)*12</f>
        <v>240000</v>
      </c>
      <c r="E19" s="53">
        <f>AVERAGE(E12:$O$12,$D$18)*12</f>
        <v>240000</v>
      </c>
      <c r="F19" s="53">
        <f>AVERAGE(F12:$O$12,$D$18:E18)*12</f>
        <v>240000</v>
      </c>
      <c r="G19" s="53">
        <f>AVERAGE(G12:$O$12,$D$18:F18)*12</f>
        <v>240000</v>
      </c>
      <c r="H19" s="53">
        <f>AVERAGE(H12:$O$12,$D$18:G18)*12</f>
        <v>240000</v>
      </c>
      <c r="I19" s="53">
        <f>AVERAGE(I12:$O$12,$D$18:H18)*12</f>
        <v>240000</v>
      </c>
      <c r="J19" s="53">
        <f>AVERAGE(J12:$O$12,$D$18:I18)*12</f>
        <v>240000</v>
      </c>
      <c r="K19" s="53">
        <f>AVERAGE(K12:$O$12,$D$18:J18)*12</f>
        <v>240000</v>
      </c>
      <c r="L19" s="53">
        <f>AVERAGE(L12:$O$12,$D$18:K18)*12</f>
        <v>240000</v>
      </c>
      <c r="M19" s="53">
        <f>AVERAGE(M12:$O$12,$D$18:L18)*12</f>
        <v>240000</v>
      </c>
      <c r="N19" s="53">
        <f>AVERAGE(N12:$O$12,$D$18:M18)*12</f>
        <v>240000</v>
      </c>
      <c r="O19" s="54">
        <f>AVERAGE(O12:$O$12,$D$18:N18)*12</f>
        <v>240000</v>
      </c>
    </row>
    <row r="20" spans="2:16" ht="13.5" customHeight="1" x14ac:dyDescent="0.2">
      <c r="B20" s="52" t="s">
        <v>72</v>
      </c>
      <c r="C20" s="119"/>
      <c r="D20" s="53">
        <v>10000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</row>
    <row r="21" spans="2:16" ht="13.5" customHeight="1" x14ac:dyDescent="0.2">
      <c r="B21" s="52" t="s">
        <v>71</v>
      </c>
      <c r="C21" s="119"/>
      <c r="D21" s="88" t="str">
        <f>IFERROR(IF(AVERAGE(D13:$O13)*12/D19&gt;=0.28,"Anexo III","Anexo V"),"")</f>
        <v>Anexo V</v>
      </c>
      <c r="E21" s="88" t="str">
        <f>IFERROR(IF(AVERAGE(E13:$O13,$D20)*12/E19&gt;=0.28,"Anexo III","Anexo V"),"")</f>
        <v>Anexo V</v>
      </c>
      <c r="F21" s="88" t="str">
        <f>IFERROR(IF(AVERAGE(F13:$O13,$D20:E20)*12/F19&gt;=0.28,"Anexo III","Anexo V"),"")</f>
        <v>Anexo V</v>
      </c>
      <c r="G21" s="88" t="str">
        <f>IFERROR(IF(AVERAGE(G13:$O13,$D20:F20)*12/G19&gt;=0.28,"Anexo III","Anexo V"),"")</f>
        <v>Anexo V</v>
      </c>
      <c r="H21" s="88" t="str">
        <f>IFERROR(IF(AVERAGE(H13:$O13,$D20:G20)*12/H19&gt;=0.28,"Anexo III","Anexo V"),"")</f>
        <v>Anexo V</v>
      </c>
      <c r="I21" s="88" t="str">
        <f>IFERROR(IF(AVERAGE(I13:$O13,$D20:H20)*12/I19&gt;=0.28,"Anexo III","Anexo V"),"")</f>
        <v>Anexo III</v>
      </c>
      <c r="J21" s="88" t="str">
        <f>IFERROR(IF(AVERAGE(J13:$O13,$D20:I20)*12/J19&gt;=0.28,"Anexo III","Anexo V"),"")</f>
        <v>Anexo III</v>
      </c>
      <c r="K21" s="88" t="str">
        <f>IFERROR(IF(AVERAGE(K13:$O13,$D20:J20)*12/K19&gt;=0.28,"Anexo III","Anexo V"),"")</f>
        <v>Anexo III</v>
      </c>
      <c r="L21" s="88" t="str">
        <f>IFERROR(IF(AVERAGE(L13:$O13,$D20:K20)*12/L19&gt;=0.28,"Anexo III","Anexo V"),"")</f>
        <v>Anexo III</v>
      </c>
      <c r="M21" s="88" t="str">
        <f>IFERROR(IF(AVERAGE(M13:$O13,$D20:L20)*12/M19&gt;=0.28,"Anexo III","Anexo V"),"")</f>
        <v>Anexo III</v>
      </c>
      <c r="N21" s="88" t="str">
        <f>IFERROR(IF(AVERAGE(N13:$O13,$D20:M20)*12/N19&gt;=0.28,"Anexo III","Anexo V"),"")</f>
        <v>Anexo III</v>
      </c>
      <c r="O21" s="89" t="str">
        <f>IFERROR(IF(AVERAGE(O13:$O13,$D20:N20)*12/O19&gt;=0.28,"Anexo III","Anexo V"),"")</f>
        <v>Anexo III</v>
      </c>
    </row>
    <row r="22" spans="2:16" ht="13.5" customHeight="1" x14ac:dyDescent="0.2">
      <c r="B22" s="52" t="s">
        <v>126</v>
      </c>
      <c r="C22" s="119"/>
      <c r="D22" s="55">
        <f>IFERROR(_xlfn.IFS(D21="Anexo III",VLOOKUP(D19,Anexos!$A$12:$AP$17,20),D21="Anexo V",VLOOKUP(D19,Anexos!$A$12:$AP$17,35)),0)</f>
        <v>0.18</v>
      </c>
      <c r="E22" s="55">
        <f>IFERROR(_xlfn.IFS(E21="Anexo III",VLOOKUP(E19,Anexos!$A$12:$AP$17,20),E21="Anexo V",VLOOKUP(E19,Anexos!$A$12:$AP$17,35)),0)</f>
        <v>0.18</v>
      </c>
      <c r="F22" s="55">
        <f>IFERROR(_xlfn.IFS(F21="Anexo III",VLOOKUP(F19,Anexos!$A$12:$AP$17,20),F21="Anexo V",VLOOKUP(F19,Anexos!$A$12:$AP$17,35)),0)</f>
        <v>0.18</v>
      </c>
      <c r="G22" s="55">
        <f>IFERROR(_xlfn.IFS(G21="Anexo III",VLOOKUP(G19,Anexos!$A$12:$AP$17,20),G21="Anexo V",VLOOKUP(G19,Anexos!$A$12:$AP$17,35)),0)</f>
        <v>0.18</v>
      </c>
      <c r="H22" s="55">
        <f>IFERROR(_xlfn.IFS(H21="Anexo III",VLOOKUP(H19,Anexos!$A$12:$AP$17,20),H21="Anexo V",VLOOKUP(H19,Anexos!$A$12:$AP$17,35)),0)</f>
        <v>0.18</v>
      </c>
      <c r="I22" s="55">
        <f>IFERROR(_xlfn.IFS(I21="Anexo III",VLOOKUP(I19,Anexos!$A$12:$AP$17,20),I21="Anexo V",VLOOKUP(I19,Anexos!$A$12:$AP$17,35)),0)</f>
        <v>0.112</v>
      </c>
      <c r="J22" s="55">
        <f>IFERROR(_xlfn.IFS(J21="Anexo III",VLOOKUP(J19,Anexos!$A$12:$AP$17,20),J21="Anexo V",VLOOKUP(J19,Anexos!$A$12:$AP$17,35)),0)</f>
        <v>0.112</v>
      </c>
      <c r="K22" s="55">
        <f>IFERROR(_xlfn.IFS(K21="Anexo III",VLOOKUP(K19,Anexos!$A$12:$AP$17,20),K21="Anexo V",VLOOKUP(K19,Anexos!$A$12:$AP$17,35)),0)</f>
        <v>0.112</v>
      </c>
      <c r="L22" s="55">
        <f>IFERROR(_xlfn.IFS(L21="Anexo III",VLOOKUP(L19,Anexos!$A$12:$AP$17,20),L21="Anexo V",VLOOKUP(L19,Anexos!$A$12:$AP$17,35)),0)</f>
        <v>0.112</v>
      </c>
      <c r="M22" s="55">
        <f>IFERROR(_xlfn.IFS(M21="Anexo III",VLOOKUP(M19,Anexos!$A$12:$AP$17,20),M21="Anexo V",VLOOKUP(M19,Anexos!$A$12:$AP$17,35)),0)</f>
        <v>0.112</v>
      </c>
      <c r="N22" s="55">
        <f>IFERROR(_xlfn.IFS(N21="Anexo III",VLOOKUP(N19,Anexos!$A$12:$AP$17,20),N21="Anexo V",VLOOKUP(N19,Anexos!$A$12:$AP$17,35)),0)</f>
        <v>0.112</v>
      </c>
      <c r="O22" s="56">
        <f>IFERROR(_xlfn.IFS(O21="Anexo III",VLOOKUP(O19,Anexos!$A$12:$AP$17,20),O21="Anexo V",VLOOKUP(O19,Anexos!$A$12:$AP$17,35)),0)</f>
        <v>0.112</v>
      </c>
    </row>
    <row r="23" spans="2:16" ht="13.5" customHeight="1" x14ac:dyDescent="0.2">
      <c r="B23" s="52" t="s">
        <v>120</v>
      </c>
      <c r="C23" s="119"/>
      <c r="D23" s="57">
        <f>IFERROR(D19*D22,0)</f>
        <v>43200</v>
      </c>
      <c r="E23" s="57">
        <f t="shared" ref="E23:O23" si="3">IFERROR(E19*E22,0)</f>
        <v>43200</v>
      </c>
      <c r="F23" s="57">
        <f t="shared" si="3"/>
        <v>43200</v>
      </c>
      <c r="G23" s="57">
        <f t="shared" si="3"/>
        <v>43200</v>
      </c>
      <c r="H23" s="57">
        <f t="shared" si="3"/>
        <v>43200</v>
      </c>
      <c r="I23" s="57">
        <f t="shared" si="3"/>
        <v>26880</v>
      </c>
      <c r="J23" s="57">
        <f t="shared" si="3"/>
        <v>26880</v>
      </c>
      <c r="K23" s="57">
        <f t="shared" si="3"/>
        <v>26880</v>
      </c>
      <c r="L23" s="57">
        <f t="shared" si="3"/>
        <v>26880</v>
      </c>
      <c r="M23" s="57">
        <f t="shared" si="3"/>
        <v>26880</v>
      </c>
      <c r="N23" s="57">
        <f t="shared" si="3"/>
        <v>26880</v>
      </c>
      <c r="O23" s="58">
        <f t="shared" si="3"/>
        <v>26880</v>
      </c>
    </row>
    <row r="24" spans="2:16" ht="13.5" customHeight="1" x14ac:dyDescent="0.2">
      <c r="B24" s="52" t="s">
        <v>127</v>
      </c>
      <c r="C24" s="119"/>
      <c r="D24" s="59">
        <f>-IFERROR(_xlfn.IFS(D21="Anexo I",VLOOKUP(D19,Anexos!$A$12:$AP$17,4),D21="Anexo II",VLOOKUP(D19,Anexos!$A$12:$AP$17,12),D21="Anexo III",VLOOKUP(D19,Anexos!$A$12:$AP$17,21),D21="Anexo IV",VLOOKUP(D19,Anexos!$A$12:$AP$17,29),D21="Anexo V",VLOOKUP(D19,Anexos!$A$12:$AP$17,36)),0)</f>
        <v>-4500</v>
      </c>
      <c r="E24" s="59">
        <f>-IFERROR(_xlfn.IFS(E21="Anexo I",VLOOKUP(E19,Anexos!$A$12:$AP$17,4),E21="Anexo II",VLOOKUP(E19,Anexos!$A$12:$AP$17,12),E21="Anexo III",VLOOKUP(E19,Anexos!$A$12:$AP$17,21),E21="Anexo IV",VLOOKUP(E19,Anexos!$A$12:$AP$17,29),E21="Anexo V",VLOOKUP(E19,Anexos!$A$12:$AP$17,36)),0)</f>
        <v>-4500</v>
      </c>
      <c r="F24" s="59">
        <f>-IFERROR(_xlfn.IFS(F21="Anexo I",VLOOKUP(F19,Anexos!$A$12:$AP$17,4),F21="Anexo II",VLOOKUP(F19,Anexos!$A$12:$AP$17,12),F21="Anexo III",VLOOKUP(F19,Anexos!$A$12:$AP$17,21),F21="Anexo IV",VLOOKUP(F19,Anexos!$A$12:$AP$17,29),F21="Anexo V",VLOOKUP(F19,Anexos!$A$12:$AP$17,36)),0)</f>
        <v>-4500</v>
      </c>
      <c r="G24" s="59">
        <f>-IFERROR(_xlfn.IFS(G21="Anexo I",VLOOKUP(G19,Anexos!$A$12:$AP$17,4),G21="Anexo II",VLOOKUP(G19,Anexos!$A$12:$AP$17,12),G21="Anexo III",VLOOKUP(G19,Anexos!$A$12:$AP$17,21),G21="Anexo IV",VLOOKUP(G19,Anexos!$A$12:$AP$17,29),G21="Anexo V",VLOOKUP(G19,Anexos!$A$12:$AP$17,36)),0)</f>
        <v>-4500</v>
      </c>
      <c r="H24" s="59">
        <f>-IFERROR(_xlfn.IFS(H21="Anexo I",VLOOKUP(H19,Anexos!$A$12:$AP$17,4),H21="Anexo II",VLOOKUP(H19,Anexos!$A$12:$AP$17,12),H21="Anexo III",VLOOKUP(H19,Anexos!$A$12:$AP$17,21),H21="Anexo IV",VLOOKUP(H19,Anexos!$A$12:$AP$17,29),H21="Anexo V",VLOOKUP(H19,Anexos!$A$12:$AP$17,36)),0)</f>
        <v>-4500</v>
      </c>
      <c r="I24" s="59">
        <f>-IFERROR(_xlfn.IFS(I21="Anexo I",VLOOKUP(I19,Anexos!$A$12:$AP$17,4),I21="Anexo II",VLOOKUP(I19,Anexos!$A$12:$AP$17,12),I21="Anexo III",VLOOKUP(I19,Anexos!$A$12:$AP$17,21),I21="Anexo IV",VLOOKUP(I19,Anexos!$A$12:$AP$17,29),I21="Anexo V",VLOOKUP(I19,Anexos!$A$12:$AP$17,36)),0)</f>
        <v>-9360</v>
      </c>
      <c r="J24" s="59">
        <f>-IFERROR(_xlfn.IFS(J21="Anexo I",VLOOKUP(J19,Anexos!$A$12:$AP$17,4),J21="Anexo II",VLOOKUP(J19,Anexos!$A$12:$AP$17,12),J21="Anexo III",VLOOKUP(J19,Anexos!$A$12:$AP$17,21),J21="Anexo IV",VLOOKUP(J19,Anexos!$A$12:$AP$17,29),J21="Anexo V",VLOOKUP(J19,Anexos!$A$12:$AP$17,36)),0)</f>
        <v>-9360</v>
      </c>
      <c r="K24" s="59">
        <f>-IFERROR(_xlfn.IFS(K21="Anexo I",VLOOKUP(K19,Anexos!$A$12:$AP$17,4),K21="Anexo II",VLOOKUP(K19,Anexos!$A$12:$AP$17,12),K21="Anexo III",VLOOKUP(K19,Anexos!$A$12:$AP$17,21),K21="Anexo IV",VLOOKUP(K19,Anexos!$A$12:$AP$17,29),K21="Anexo V",VLOOKUP(K19,Anexos!$A$12:$AP$17,36)),0)</f>
        <v>-9360</v>
      </c>
      <c r="L24" s="59">
        <f>-IFERROR(_xlfn.IFS(L21="Anexo I",VLOOKUP(L19,Anexos!$A$12:$AP$17,4),L21="Anexo II",VLOOKUP(L19,Anexos!$A$12:$AP$17,12),L21="Anexo III",VLOOKUP(L19,Anexos!$A$12:$AP$17,21),L21="Anexo IV",VLOOKUP(L19,Anexos!$A$12:$AP$17,29),L21="Anexo V",VLOOKUP(L19,Anexos!$A$12:$AP$17,36)),0)</f>
        <v>-9360</v>
      </c>
      <c r="M24" s="59">
        <f>-IFERROR(_xlfn.IFS(M21="Anexo I",VLOOKUP(M19,Anexos!$A$12:$AP$17,4),M21="Anexo II",VLOOKUP(M19,Anexos!$A$12:$AP$17,12),M21="Anexo III",VLOOKUP(M19,Anexos!$A$12:$AP$17,21),M21="Anexo IV",VLOOKUP(M19,Anexos!$A$12:$AP$17,29),M21="Anexo V",VLOOKUP(M19,Anexos!$A$12:$AP$17,36)),0)</f>
        <v>-9360</v>
      </c>
      <c r="N24" s="59">
        <f>-IFERROR(_xlfn.IFS(N21="Anexo I",VLOOKUP(N19,Anexos!$A$12:$AP$17,4),N21="Anexo II",VLOOKUP(N19,Anexos!$A$12:$AP$17,12),N21="Anexo III",VLOOKUP(N19,Anexos!$A$12:$AP$17,21),N21="Anexo IV",VLOOKUP(N19,Anexos!$A$12:$AP$17,29),N21="Anexo V",VLOOKUP(N19,Anexos!$A$12:$AP$17,36)),0)</f>
        <v>-9360</v>
      </c>
      <c r="O24" s="60">
        <f>-IFERROR(_xlfn.IFS(O21="Anexo I",VLOOKUP(O19,Anexos!$A$12:$AP$17,4),O21="Anexo II",VLOOKUP(O19,Anexos!$A$12:$AP$17,12),O21="Anexo III",VLOOKUP(O19,Anexos!$A$12:$AP$17,21),O21="Anexo IV",VLOOKUP(O19,Anexos!$A$12:$AP$17,29),O21="Anexo V",VLOOKUP(O19,Anexos!$A$12:$AP$17,36)),0)</f>
        <v>-9360</v>
      </c>
    </row>
    <row r="25" spans="2:16" ht="13.5" customHeight="1" x14ac:dyDescent="0.2">
      <c r="B25" s="52" t="s">
        <v>125</v>
      </c>
      <c r="C25" s="119"/>
      <c r="D25" s="61">
        <f>IFERROR(ROUND(SUM(D23:D24)/D19,4),0)</f>
        <v>0.1613</v>
      </c>
      <c r="E25" s="61">
        <f t="shared" ref="E25" si="4">IFERROR(ROUND(SUM(E23:E24)/E19,4),0)</f>
        <v>0.1613</v>
      </c>
      <c r="F25" s="61">
        <f t="shared" ref="F25" si="5">IFERROR(ROUND(SUM(F23:F24)/F19,4),0)</f>
        <v>0.1613</v>
      </c>
      <c r="G25" s="61">
        <f t="shared" ref="G25" si="6">IFERROR(ROUND(SUM(G23:G24)/G19,4),0)</f>
        <v>0.1613</v>
      </c>
      <c r="H25" s="61">
        <f t="shared" ref="H25" si="7">IFERROR(ROUND(SUM(H23:H24)/H19,4),0)</f>
        <v>0.1613</v>
      </c>
      <c r="I25" s="61">
        <f t="shared" ref="I25" si="8">IFERROR(ROUND(SUM(I23:I24)/I19,4),0)</f>
        <v>7.2999999999999995E-2</v>
      </c>
      <c r="J25" s="61">
        <f t="shared" ref="J25" si="9">IFERROR(ROUND(SUM(J23:J24)/J19,4),0)</f>
        <v>7.2999999999999995E-2</v>
      </c>
      <c r="K25" s="61">
        <f t="shared" ref="K25" si="10">IFERROR(ROUND(SUM(K23:K24)/K19,4),0)</f>
        <v>7.2999999999999995E-2</v>
      </c>
      <c r="L25" s="61">
        <f t="shared" ref="L25" si="11">IFERROR(ROUND(SUM(L23:L24)/L19,4),0)</f>
        <v>7.2999999999999995E-2</v>
      </c>
      <c r="M25" s="61">
        <f t="shared" ref="M25" si="12">IFERROR(ROUND(SUM(M23:M24)/M19,4),0)</f>
        <v>7.2999999999999995E-2</v>
      </c>
      <c r="N25" s="61">
        <f t="shared" ref="N25" si="13">IFERROR(ROUND(SUM(N23:N24)/N19,4),0)</f>
        <v>7.2999999999999995E-2</v>
      </c>
      <c r="O25" s="62">
        <f t="shared" ref="O25" si="14">IFERROR(ROUND(SUM(O23:O24)/O19,4),0)</f>
        <v>7.2999999999999995E-2</v>
      </c>
    </row>
    <row r="26" spans="2:16" s="37" customFormat="1" ht="13.5" customHeight="1" x14ac:dyDescent="0.2">
      <c r="B26" s="63" t="s">
        <v>63</v>
      </c>
      <c r="C26" s="120"/>
      <c r="D26" s="64">
        <f>IFERROR(D18*(SUM(D27:D32)),0)</f>
        <v>3226</v>
      </c>
      <c r="E26" s="64">
        <f t="shared" ref="E26:O26" si="15">IFERROR(E18*(SUM(E27:E32)),0)</f>
        <v>0</v>
      </c>
      <c r="F26" s="64">
        <f t="shared" si="15"/>
        <v>0</v>
      </c>
      <c r="G26" s="64">
        <f t="shared" si="15"/>
        <v>0</v>
      </c>
      <c r="H26" s="64">
        <f t="shared" si="15"/>
        <v>0</v>
      </c>
      <c r="I26" s="64">
        <f t="shared" si="15"/>
        <v>0</v>
      </c>
      <c r="J26" s="64">
        <f t="shared" si="15"/>
        <v>0</v>
      </c>
      <c r="K26" s="64">
        <f t="shared" si="15"/>
        <v>0</v>
      </c>
      <c r="L26" s="64">
        <f t="shared" si="15"/>
        <v>0</v>
      </c>
      <c r="M26" s="64">
        <f t="shared" si="15"/>
        <v>0</v>
      </c>
      <c r="N26" s="64">
        <f t="shared" si="15"/>
        <v>0</v>
      </c>
      <c r="O26" s="65">
        <f t="shared" si="15"/>
        <v>0</v>
      </c>
    </row>
    <row r="27" spans="2:16" ht="13.5" customHeight="1" x14ac:dyDescent="0.2">
      <c r="B27" s="107" t="s">
        <v>112</v>
      </c>
      <c r="C27" s="113">
        <v>1</v>
      </c>
      <c r="D27" s="61">
        <f>IFERROR(_xlfn.IFS(D21="Anexo III",VLOOKUP(D19,Anexos!$A$12:$AP$17,22),D21="Anexo V",VLOOKUP(D19,Anexos!$A$12:$AP$17,37))*D25*$C$27,0)</f>
        <v>3.7099E-2</v>
      </c>
      <c r="E27" s="61">
        <f>IFERROR(_xlfn.IFS(E21="Anexo III",VLOOKUP(E19,Anexos!$A$12:$AP$17,22),E21="Anexo V",VLOOKUP(E19,Anexos!$A$12:$AP$17,37))*E25*$C$27,0)</f>
        <v>3.7099E-2</v>
      </c>
      <c r="F27" s="61">
        <f>IFERROR(_xlfn.IFS(F21="Anexo III",VLOOKUP(F19,Anexos!$A$12:$AP$17,22),F21="Anexo V",VLOOKUP(F19,Anexos!$A$12:$AP$17,37))*F25*$C$27,0)</f>
        <v>3.7099E-2</v>
      </c>
      <c r="G27" s="61">
        <f>IFERROR(_xlfn.IFS(G21="Anexo III",VLOOKUP(G19,Anexos!$A$12:$AP$17,22),G21="Anexo V",VLOOKUP(G19,Anexos!$A$12:$AP$17,37))*G25*$C$27,0)</f>
        <v>3.7099E-2</v>
      </c>
      <c r="H27" s="61">
        <f>IFERROR(_xlfn.IFS(H21="Anexo III",VLOOKUP(H19,Anexos!$A$12:$AP$17,22),H21="Anexo V",VLOOKUP(H19,Anexos!$A$12:$AP$17,37))*H25*$C$27,0)</f>
        <v>3.7099E-2</v>
      </c>
      <c r="I27" s="61">
        <f>IFERROR(_xlfn.IFS(I21="Anexo III",VLOOKUP(I19,Anexos!$A$12:$AP$17,22),I21="Anexo V",VLOOKUP(I19,Anexos!$A$12:$AP$17,37))*I25*$C$27,0)</f>
        <v>2.9199999999999999E-3</v>
      </c>
      <c r="J27" s="61">
        <f>IFERROR(_xlfn.IFS(J21="Anexo III",VLOOKUP(J19,Anexos!$A$12:$AP$17,22),J21="Anexo V",VLOOKUP(J19,Anexos!$A$12:$AP$17,37))*J25*$C$27,0)</f>
        <v>2.9199999999999999E-3</v>
      </c>
      <c r="K27" s="61">
        <f>IFERROR(_xlfn.IFS(K21="Anexo III",VLOOKUP(K19,Anexos!$A$12:$AP$17,22),K21="Anexo V",VLOOKUP(K19,Anexos!$A$12:$AP$17,37))*K25*$C$27,0)</f>
        <v>2.9199999999999999E-3</v>
      </c>
      <c r="L27" s="61">
        <f>IFERROR(_xlfn.IFS(L21="Anexo III",VLOOKUP(L19,Anexos!$A$12:$AP$17,22),L21="Anexo V",VLOOKUP(L19,Anexos!$A$12:$AP$17,37))*L25*$C$27,0)</f>
        <v>2.9199999999999999E-3</v>
      </c>
      <c r="M27" s="61">
        <f>IFERROR(_xlfn.IFS(M21="Anexo III",VLOOKUP(M19,Anexos!$A$12:$AP$17,22),M21="Anexo V",VLOOKUP(M19,Anexos!$A$12:$AP$17,37))*M25*$C$27,0)</f>
        <v>2.9199999999999999E-3</v>
      </c>
      <c r="N27" s="61">
        <f>IFERROR(_xlfn.IFS(N21="Anexo III",VLOOKUP(N19,Anexos!$A$12:$AP$17,22),N21="Anexo V",VLOOKUP(N19,Anexos!$A$12:$AP$17,37))*N25*$C$27,0)</f>
        <v>2.9199999999999999E-3</v>
      </c>
      <c r="O27" s="62">
        <f>IFERROR(_xlfn.IFS(O21="Anexo III",VLOOKUP(O19,Anexos!$A$12:$AP$17,22),O21="Anexo V",VLOOKUP(O19,Anexos!$A$12:$AP$17,37))*O25*$C$27,0)</f>
        <v>2.9199999999999999E-3</v>
      </c>
      <c r="P27" s="105"/>
    </row>
    <row r="28" spans="2:16" ht="13.5" customHeight="1" x14ac:dyDescent="0.2">
      <c r="B28" s="107" t="s">
        <v>113</v>
      </c>
      <c r="C28" s="113">
        <v>1</v>
      </c>
      <c r="D28" s="61">
        <f>IFERROR(_xlfn.IFS(D21="Anexo III",VLOOKUP(D19,Anexos!$A$12:$AP$17,23),D21="Anexo V",VLOOKUP(D19,Anexos!$A$12:$AP$17,38))*D25*$C$28,0)</f>
        <v>2.4194999999999998E-2</v>
      </c>
      <c r="E28" s="61">
        <f>IFERROR(_xlfn.IFS(E21="Anexo III",VLOOKUP(E19,Anexos!$A$12:$AP$17,23),E21="Anexo V",VLOOKUP(E19,Anexos!$A$12:$AP$17,38))*E25*$C$28,0)</f>
        <v>2.4194999999999998E-2</v>
      </c>
      <c r="F28" s="61">
        <f>IFERROR(_xlfn.IFS(F21="Anexo III",VLOOKUP(F19,Anexos!$A$12:$AP$17,23),F21="Anexo V",VLOOKUP(F19,Anexos!$A$12:$AP$17,38))*F25*$C$28,0)</f>
        <v>2.4194999999999998E-2</v>
      </c>
      <c r="G28" s="61">
        <f>IFERROR(_xlfn.IFS(G21="Anexo III",VLOOKUP(G19,Anexos!$A$12:$AP$17,23),G21="Anexo V",VLOOKUP(G19,Anexos!$A$12:$AP$17,38))*G25*$C$28,0)</f>
        <v>2.4194999999999998E-2</v>
      </c>
      <c r="H28" s="61">
        <f>IFERROR(_xlfn.IFS(H21="Anexo III",VLOOKUP(H19,Anexos!$A$12:$AP$17,23),H21="Anexo V",VLOOKUP(H19,Anexos!$A$12:$AP$17,38))*H25*$C$28,0)</f>
        <v>2.4194999999999998E-2</v>
      </c>
      <c r="I28" s="61">
        <f>IFERROR(_xlfn.IFS(I21="Anexo III",VLOOKUP(I19,Anexos!$A$12:$AP$17,23),I21="Anexo V",VLOOKUP(I19,Anexos!$A$12:$AP$17,38))*I25*$C$28,0)</f>
        <v>2.555E-3</v>
      </c>
      <c r="J28" s="61">
        <f>IFERROR(_xlfn.IFS(J21="Anexo III",VLOOKUP(J19,Anexos!$A$12:$AP$17,23),J21="Anexo V",VLOOKUP(J19,Anexos!$A$12:$AP$17,38))*J25*$C$28,0)</f>
        <v>2.555E-3</v>
      </c>
      <c r="K28" s="61">
        <f>IFERROR(_xlfn.IFS(K21="Anexo III",VLOOKUP(K19,Anexos!$A$12:$AP$17,23),K21="Anexo V",VLOOKUP(K19,Anexos!$A$12:$AP$17,38))*K25*$C$28,0)</f>
        <v>2.555E-3</v>
      </c>
      <c r="L28" s="61">
        <f>IFERROR(_xlfn.IFS(L21="Anexo III",VLOOKUP(L19,Anexos!$A$12:$AP$17,23),L21="Anexo V",VLOOKUP(L19,Anexos!$A$12:$AP$17,38))*L25*$C$28,0)</f>
        <v>2.555E-3</v>
      </c>
      <c r="M28" s="61">
        <f>IFERROR(_xlfn.IFS(M21="Anexo III",VLOOKUP(M19,Anexos!$A$12:$AP$17,23),M21="Anexo V",VLOOKUP(M19,Anexos!$A$12:$AP$17,38))*M25*$C$28,0)</f>
        <v>2.555E-3</v>
      </c>
      <c r="N28" s="61">
        <f>IFERROR(_xlfn.IFS(N21="Anexo III",VLOOKUP(N19,Anexos!$A$12:$AP$17,23),N21="Anexo V",VLOOKUP(N19,Anexos!$A$12:$AP$17,38))*N25*$C$28,0)</f>
        <v>2.555E-3</v>
      </c>
      <c r="O28" s="62">
        <f>IFERROR(_xlfn.IFS(O21="Anexo III",VLOOKUP(O19,Anexos!$A$12:$AP$17,23),O21="Anexo V",VLOOKUP(O19,Anexos!$A$12:$AP$17,38))*O25*$C$28,0)</f>
        <v>2.555E-3</v>
      </c>
      <c r="P28" s="105"/>
    </row>
    <row r="29" spans="2:16" ht="13.5" customHeight="1" x14ac:dyDescent="0.2">
      <c r="B29" s="107" t="s">
        <v>114</v>
      </c>
      <c r="C29" s="113">
        <v>1</v>
      </c>
      <c r="D29" s="61">
        <f>IFERROR(_xlfn.IFS(D21="Anexo III",VLOOKUP(D19,Anexos!$A$12:$AP$17,24),D21="Anexo V",VLOOKUP(D19,Anexos!$A$12:$AP$17,39))*D25*$C$29,0)</f>
        <v>2.2743299999999998E-2</v>
      </c>
      <c r="E29" s="61">
        <f>IFERROR(_xlfn.IFS(E21="Anexo III",VLOOKUP(E19,Anexos!$A$12:$AP$17,24),E21="Anexo V",VLOOKUP(E19,Anexos!$A$12:$AP$17,39))*E25*$C$29,0)</f>
        <v>2.2743299999999998E-2</v>
      </c>
      <c r="F29" s="61">
        <f>IFERROR(_xlfn.IFS(F21="Anexo III",VLOOKUP(F19,Anexos!$A$12:$AP$17,24),F21="Anexo V",VLOOKUP(F19,Anexos!$A$12:$AP$17,39))*F25*$C$29,0)</f>
        <v>2.2743299999999998E-2</v>
      </c>
      <c r="G29" s="61">
        <f>IFERROR(_xlfn.IFS(G21="Anexo III",VLOOKUP(G19,Anexos!$A$12:$AP$17,24),G21="Anexo V",VLOOKUP(G19,Anexos!$A$12:$AP$17,39))*G25*$C$29,0)</f>
        <v>2.2743299999999998E-2</v>
      </c>
      <c r="H29" s="61">
        <f>IFERROR(_xlfn.IFS(H21="Anexo III",VLOOKUP(H19,Anexos!$A$12:$AP$17,24),H21="Anexo V",VLOOKUP(H19,Anexos!$A$12:$AP$17,39))*H25*$C$29,0)</f>
        <v>2.2743299999999998E-2</v>
      </c>
      <c r="I29" s="61">
        <f>IFERROR(_xlfn.IFS(I21="Anexo III",VLOOKUP(I19,Anexos!$A$12:$AP$17,24),I21="Anexo V",VLOOKUP(I19,Anexos!$A$12:$AP$17,39))*I25*$C$29,0)</f>
        <v>1.02565E-2</v>
      </c>
      <c r="J29" s="61">
        <f>IFERROR(_xlfn.IFS(J21="Anexo III",VLOOKUP(J19,Anexos!$A$12:$AP$17,24),J21="Anexo V",VLOOKUP(J19,Anexos!$A$12:$AP$17,39))*J25*$C$29,0)</f>
        <v>1.02565E-2</v>
      </c>
      <c r="K29" s="61">
        <f>IFERROR(_xlfn.IFS(K21="Anexo III",VLOOKUP(K19,Anexos!$A$12:$AP$17,24),K21="Anexo V",VLOOKUP(K19,Anexos!$A$12:$AP$17,39))*K25*$C$29,0)</f>
        <v>1.02565E-2</v>
      </c>
      <c r="L29" s="61">
        <f>IFERROR(_xlfn.IFS(L21="Anexo III",VLOOKUP(L19,Anexos!$A$12:$AP$17,24),L21="Anexo V",VLOOKUP(L19,Anexos!$A$12:$AP$17,39))*L25*$C$29,0)</f>
        <v>1.02565E-2</v>
      </c>
      <c r="M29" s="61">
        <f>IFERROR(_xlfn.IFS(M21="Anexo III",VLOOKUP(M19,Anexos!$A$12:$AP$17,24),M21="Anexo V",VLOOKUP(M19,Anexos!$A$12:$AP$17,39))*M25*$C$29,0)</f>
        <v>1.02565E-2</v>
      </c>
      <c r="N29" s="61">
        <f>IFERROR(_xlfn.IFS(N21="Anexo III",VLOOKUP(N19,Anexos!$A$12:$AP$17,24),N21="Anexo V",VLOOKUP(N19,Anexos!$A$12:$AP$17,39))*N25*$C$29,0)</f>
        <v>1.02565E-2</v>
      </c>
      <c r="O29" s="62">
        <f>IFERROR(_xlfn.IFS(O21="Anexo III",VLOOKUP(O19,Anexos!$A$12:$AP$17,24),O21="Anexo V",VLOOKUP(O19,Anexos!$A$12:$AP$17,39))*O25*$C$29,0)</f>
        <v>1.02565E-2</v>
      </c>
      <c r="P29" s="105"/>
    </row>
    <row r="30" spans="2:16" ht="13.5" customHeight="1" x14ac:dyDescent="0.2">
      <c r="B30" s="107" t="s">
        <v>115</v>
      </c>
      <c r="C30" s="113">
        <v>1</v>
      </c>
      <c r="D30" s="61">
        <f>IFERROR(_xlfn.IFS(D21="Anexo III",VLOOKUP(D19,Anexos!$A$12:$AP$17,25),D21="Anexo V",VLOOKUP(D19,Anexos!$A$12:$AP$17,40))*D25*$C$30,0)</f>
        <v>4.9196500000000002E-3</v>
      </c>
      <c r="E30" s="61">
        <f>IFERROR(_xlfn.IFS(E21="Anexo III",VLOOKUP(E19,Anexos!$A$12:$AP$17,25),E21="Anexo V",VLOOKUP(E19,Anexos!$A$12:$AP$17,40))*E25*$C$30,0)</f>
        <v>4.9196500000000002E-3</v>
      </c>
      <c r="F30" s="61">
        <f>IFERROR(_xlfn.IFS(F21="Anexo III",VLOOKUP(F19,Anexos!$A$12:$AP$17,25),F21="Anexo V",VLOOKUP(F19,Anexos!$A$12:$AP$17,40))*F25*$C$30,0)</f>
        <v>4.9196500000000002E-3</v>
      </c>
      <c r="G30" s="61">
        <f>IFERROR(_xlfn.IFS(G21="Anexo III",VLOOKUP(G19,Anexos!$A$12:$AP$17,25),G21="Anexo V",VLOOKUP(G19,Anexos!$A$12:$AP$17,40))*G25*$C$30,0)</f>
        <v>4.9196500000000002E-3</v>
      </c>
      <c r="H30" s="61">
        <f>IFERROR(_xlfn.IFS(H21="Anexo III",VLOOKUP(H19,Anexos!$A$12:$AP$17,25),H21="Anexo V",VLOOKUP(H19,Anexos!$A$12:$AP$17,40))*H25*$C$30,0)</f>
        <v>4.9196500000000002E-3</v>
      </c>
      <c r="I30" s="61">
        <f>IFERROR(_xlfn.IFS(I21="Anexo III",VLOOKUP(I19,Anexos!$A$12:$AP$17,25),I21="Anexo V",VLOOKUP(I19,Anexos!$A$12:$AP$17,40))*I25*$C$30,0)</f>
        <v>2.2264999999999997E-3</v>
      </c>
      <c r="J30" s="61">
        <f>IFERROR(_xlfn.IFS(J21="Anexo III",VLOOKUP(J19,Anexos!$A$12:$AP$17,25),J21="Anexo V",VLOOKUP(J19,Anexos!$A$12:$AP$17,40))*J25*$C$30,0)</f>
        <v>2.2264999999999997E-3</v>
      </c>
      <c r="K30" s="61">
        <f>IFERROR(_xlfn.IFS(K21="Anexo III",VLOOKUP(K19,Anexos!$A$12:$AP$17,25),K21="Anexo V",VLOOKUP(K19,Anexos!$A$12:$AP$17,40))*K25*$C$30,0)</f>
        <v>2.2264999999999997E-3</v>
      </c>
      <c r="L30" s="61">
        <f>IFERROR(_xlfn.IFS(L21="Anexo III",VLOOKUP(L19,Anexos!$A$12:$AP$17,25),L21="Anexo V",VLOOKUP(L19,Anexos!$A$12:$AP$17,40))*L25*$C$30,0)</f>
        <v>2.2264999999999997E-3</v>
      </c>
      <c r="M30" s="61">
        <f>IFERROR(_xlfn.IFS(M21="Anexo III",VLOOKUP(M19,Anexos!$A$12:$AP$17,25),M21="Anexo V",VLOOKUP(M19,Anexos!$A$12:$AP$17,40))*M25*$C$30,0)</f>
        <v>2.2264999999999997E-3</v>
      </c>
      <c r="N30" s="61">
        <f>IFERROR(_xlfn.IFS(N21="Anexo III",VLOOKUP(N19,Anexos!$A$12:$AP$17,25),N21="Anexo V",VLOOKUP(N19,Anexos!$A$12:$AP$17,40))*N25*$C$30,0)</f>
        <v>2.2264999999999997E-3</v>
      </c>
      <c r="O30" s="62">
        <f>IFERROR(_xlfn.IFS(O21="Anexo III",VLOOKUP(O19,Anexos!$A$12:$AP$17,25),O21="Anexo V",VLOOKUP(O19,Anexos!$A$12:$AP$17,40))*O25*$C$30,0)</f>
        <v>2.2264999999999997E-3</v>
      </c>
      <c r="P30" s="105"/>
    </row>
    <row r="31" spans="2:16" ht="13.5" customHeight="1" x14ac:dyDescent="0.2">
      <c r="B31" s="107" t="s">
        <v>116</v>
      </c>
      <c r="C31" s="113">
        <v>1</v>
      </c>
      <c r="D31" s="61">
        <f>IFERROR(_xlfn.IFS(D21="Anexo III",VLOOKUP(D19,Anexos!$A$12:$AP$17,26),D21="Anexo V",VLOOKUP(D19,Anexos!$A$12:$AP$17,41))*D25*$C$31,0)</f>
        <v>4.4922050000000005E-2</v>
      </c>
      <c r="E31" s="61">
        <f>IFERROR(_xlfn.IFS(E21="Anexo III",VLOOKUP(E19,Anexos!$A$12:$AP$17,26),E21="Anexo V",VLOOKUP(E19,Anexos!$A$12:$AP$17,41))*E25*$C$31,0)</f>
        <v>4.4922050000000005E-2</v>
      </c>
      <c r="F31" s="61">
        <f>IFERROR(_xlfn.IFS(F21="Anexo III",VLOOKUP(F19,Anexos!$A$12:$AP$17,26),F21="Anexo V",VLOOKUP(F19,Anexos!$A$12:$AP$17,41))*F25*$C$31,0)</f>
        <v>4.4922050000000005E-2</v>
      </c>
      <c r="G31" s="61">
        <f>IFERROR(_xlfn.IFS(G21="Anexo III",VLOOKUP(G19,Anexos!$A$12:$AP$17,26),G21="Anexo V",VLOOKUP(G19,Anexos!$A$12:$AP$17,41))*G25*$C$31,0)</f>
        <v>4.4922050000000005E-2</v>
      </c>
      <c r="H31" s="61">
        <f>IFERROR(_xlfn.IFS(H21="Anexo III",VLOOKUP(H19,Anexos!$A$12:$AP$17,26),H21="Anexo V",VLOOKUP(H19,Anexos!$A$12:$AP$17,41))*H25*$C$31,0)</f>
        <v>4.4922050000000005E-2</v>
      </c>
      <c r="I31" s="61">
        <f>IFERROR(_xlfn.IFS(I21="Anexo III",VLOOKUP(I19,Anexos!$A$12:$AP$17,26),I21="Anexo V",VLOOKUP(I19,Anexos!$A$12:$AP$17,41))*I25*$C$31,0)</f>
        <v>3.1681999999999995E-2</v>
      </c>
      <c r="J31" s="61">
        <f>IFERROR(_xlfn.IFS(J21="Anexo III",VLOOKUP(J19,Anexos!$A$12:$AP$17,26),J21="Anexo V",VLOOKUP(J19,Anexos!$A$12:$AP$17,41))*J25*$C$31,0)</f>
        <v>3.1681999999999995E-2</v>
      </c>
      <c r="K31" s="61">
        <f>IFERROR(_xlfn.IFS(K21="Anexo III",VLOOKUP(K19,Anexos!$A$12:$AP$17,26),K21="Anexo V",VLOOKUP(K19,Anexos!$A$12:$AP$17,41))*K25*$C$31,0)</f>
        <v>3.1681999999999995E-2</v>
      </c>
      <c r="L31" s="61">
        <f>IFERROR(_xlfn.IFS(L21="Anexo III",VLOOKUP(L19,Anexos!$A$12:$AP$17,26),L21="Anexo V",VLOOKUP(L19,Anexos!$A$12:$AP$17,41))*L25*$C$31,0)</f>
        <v>3.1681999999999995E-2</v>
      </c>
      <c r="M31" s="61">
        <f>IFERROR(_xlfn.IFS(M21="Anexo III",VLOOKUP(M19,Anexos!$A$12:$AP$17,26),M21="Anexo V",VLOOKUP(M19,Anexos!$A$12:$AP$17,41))*M25*$C$31,0)</f>
        <v>3.1681999999999995E-2</v>
      </c>
      <c r="N31" s="61">
        <f>IFERROR(_xlfn.IFS(N21="Anexo III",VLOOKUP(N19,Anexos!$A$12:$AP$17,26),N21="Anexo V",VLOOKUP(N19,Anexos!$A$12:$AP$17,41))*N25*$C$31,0)</f>
        <v>3.1681999999999995E-2</v>
      </c>
      <c r="O31" s="62">
        <f>IFERROR(_xlfn.IFS(O21="Anexo III",VLOOKUP(O19,Anexos!$A$12:$AP$17,26),O21="Anexo V",VLOOKUP(O19,Anexos!$A$12:$AP$17,41))*O25*$C$31,0)</f>
        <v>3.1681999999999995E-2</v>
      </c>
      <c r="P31" s="105"/>
    </row>
    <row r="32" spans="2:16" ht="13.5" customHeight="1" x14ac:dyDescent="0.2">
      <c r="B32" s="108" t="s">
        <v>31</v>
      </c>
      <c r="C32" s="114">
        <v>1</v>
      </c>
      <c r="D32" s="90">
        <f>IFERROR(_xlfn.IFS(D21="Anexo III",VLOOKUP(D19,Anexos!$A$12:$AP$17,27),D21="Anexo V",VLOOKUP(D19,Anexos!$A$12:$AP$17,42))*D25*$C$32,0)</f>
        <v>2.7421000000000001E-2</v>
      </c>
      <c r="E32" s="90">
        <f>IFERROR(_xlfn.IFS(E21="Anexo III",VLOOKUP(E19,Anexos!$A$12:$AP$17,27),E21="Anexo V",VLOOKUP(E19,Anexos!$A$12:$AP$17,42))*E25*$C$32,0)</f>
        <v>2.7421000000000001E-2</v>
      </c>
      <c r="F32" s="90">
        <f>IFERROR(_xlfn.IFS(F21="Anexo III",VLOOKUP(F19,Anexos!$A$12:$AP$17,27),F21="Anexo V",VLOOKUP(F19,Anexos!$A$12:$AP$17,42))*F25*$C$32,0)</f>
        <v>2.7421000000000001E-2</v>
      </c>
      <c r="G32" s="90">
        <f>IFERROR(_xlfn.IFS(G21="Anexo III",VLOOKUP(G19,Anexos!$A$12:$AP$17,27),G21="Anexo V",VLOOKUP(G19,Anexos!$A$12:$AP$17,42))*G25*$C$32,0)</f>
        <v>2.7421000000000001E-2</v>
      </c>
      <c r="H32" s="90">
        <f>IFERROR(_xlfn.IFS(H21="Anexo III",VLOOKUP(H19,Anexos!$A$12:$AP$17,27),H21="Anexo V",VLOOKUP(H19,Anexos!$A$12:$AP$17,42))*H25*$C$32,0)</f>
        <v>2.7421000000000001E-2</v>
      </c>
      <c r="I32" s="90">
        <f>IFERROR(_xlfn.IFS(I21="Anexo III",VLOOKUP(I19,Anexos!$A$12:$AP$17,27),I21="Anexo V",VLOOKUP(I19,Anexos!$A$12:$AP$17,42))*I25*$C$32,0)</f>
        <v>2.3359999999999999E-2</v>
      </c>
      <c r="J32" s="90">
        <f>IFERROR(_xlfn.IFS(J21="Anexo III",VLOOKUP(J19,Anexos!$A$12:$AP$17,27),J21="Anexo V",VLOOKUP(J19,Anexos!$A$12:$AP$17,42))*J25*$C$32,0)</f>
        <v>2.3359999999999999E-2</v>
      </c>
      <c r="K32" s="90">
        <f>IFERROR(_xlfn.IFS(K21="Anexo III",VLOOKUP(K19,Anexos!$A$12:$AP$17,27),K21="Anexo V",VLOOKUP(K19,Anexos!$A$12:$AP$17,42))*K25*$C$32,0)</f>
        <v>2.3359999999999999E-2</v>
      </c>
      <c r="L32" s="90">
        <f>IFERROR(_xlfn.IFS(L21="Anexo III",VLOOKUP(L19,Anexos!$A$12:$AP$17,27),L21="Anexo V",VLOOKUP(L19,Anexos!$A$12:$AP$17,42))*L25*$C$32,0)</f>
        <v>2.3359999999999999E-2</v>
      </c>
      <c r="M32" s="90">
        <f>IFERROR(_xlfn.IFS(M21="Anexo III",VLOOKUP(M19,Anexos!$A$12:$AP$17,27),M21="Anexo V",VLOOKUP(M19,Anexos!$A$12:$AP$17,42))*M25*$C$32,0)</f>
        <v>2.3359999999999999E-2</v>
      </c>
      <c r="N32" s="90">
        <f>IFERROR(_xlfn.IFS(N21="Anexo III",VLOOKUP(N19,Anexos!$A$12:$AP$17,27),N21="Anexo V",VLOOKUP(N19,Anexos!$A$12:$AP$17,42))*N25*$C$32,0)</f>
        <v>2.3359999999999999E-2</v>
      </c>
      <c r="O32" s="106">
        <f>IFERROR(_xlfn.IFS(O21="Anexo III",VLOOKUP(O19,Anexos!$A$12:$AP$17,27),O21="Anexo V",VLOOKUP(O19,Anexos!$A$12:$AP$17,42))*O25*$C$32,0)</f>
        <v>2.3359999999999999E-2</v>
      </c>
      <c r="P32" s="105"/>
    </row>
  </sheetData>
  <sheetProtection algorithmName="SHA-512" hashValue="3HfszaoJrhxytv9J0pbPEefk79ZiHABWBnQFiio4PvDHSF90EOUgtIVpFGjZ8qRvcU3q8j7X12oQ+oI7K7A75Q==" saltValue="nHVVf14lyF/fhYeT4w2k1Q==" spinCount="100000" sheet="1" formatColumns="0" selectLockedCells="1"/>
  <mergeCells count="2">
    <mergeCell ref="C12:C13"/>
    <mergeCell ref="C18:C26"/>
  </mergeCells>
  <hyperlinks>
    <hyperlink ref="G4" r:id="rId1"/>
  </hyperlinks>
  <pageMargins left="0.25" right="0.25" top="0.75" bottom="0.75" header="0.3" footer="0.3"/>
  <pageSetup paperSize="9" orientation="landscape" r:id="rId2"/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Anexos!$B$52:$B$67</xm:f>
          </x14:formula1>
          <xm:sqref>G8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3">
    <tabColor rgb="FFFFFF00"/>
  </sheetPr>
  <dimension ref="A1:BM67"/>
  <sheetViews>
    <sheetView showGridLines="0" workbookViewId="0">
      <selection activeCell="B2" sqref="B2"/>
    </sheetView>
  </sheetViews>
  <sheetFormatPr defaultRowHeight="11.25" x14ac:dyDescent="0.2"/>
  <cols>
    <col min="1" max="2" width="15.140625" style="12" customWidth="1"/>
    <col min="3" max="3" width="6.85546875" style="12" bestFit="1" customWidth="1"/>
    <col min="4" max="4" width="12" style="12" bestFit="1" customWidth="1"/>
    <col min="5" max="5" width="10.42578125" style="12" bestFit="1" customWidth="1"/>
    <col min="6" max="6" width="11.140625" style="12" bestFit="1" customWidth="1"/>
    <col min="7" max="8" width="13.7109375" style="12" bestFit="1" customWidth="1"/>
    <col min="9" max="10" width="10.140625" style="12" bestFit="1" customWidth="1"/>
    <col min="11" max="11" width="9.85546875" style="25" bestFit="1" customWidth="1"/>
    <col min="12" max="12" width="12.28515625" style="12" bestFit="1" customWidth="1"/>
    <col min="13" max="13" width="11.42578125" style="12" bestFit="1" customWidth="1"/>
    <col min="14" max="14" width="14" style="12" bestFit="1" customWidth="1"/>
    <col min="15" max="15" width="11.42578125" style="12" bestFit="1" customWidth="1"/>
    <col min="16" max="16" width="14" style="12" bestFit="1" customWidth="1"/>
    <col min="17" max="17" width="9.7109375" style="12" bestFit="1" customWidth="1"/>
    <col min="18" max="18" width="8.42578125" style="12" bestFit="1" customWidth="1"/>
    <col min="19" max="19" width="10.42578125" style="12" bestFit="1" customWidth="1"/>
    <col min="20" max="20" width="7.7109375" style="12" bestFit="1" customWidth="1"/>
    <col min="21" max="21" width="12.5703125" style="12" bestFit="1" customWidth="1"/>
    <col min="22" max="22" width="10.140625" style="12" bestFit="1" customWidth="1"/>
    <col min="23" max="23" width="11" style="12" bestFit="1" customWidth="1"/>
    <col min="24" max="24" width="11.7109375" style="12" bestFit="1" customWidth="1"/>
    <col min="25" max="25" width="14.28515625" style="12" bestFit="1" customWidth="1"/>
    <col min="26" max="26" width="10.7109375" style="12" bestFit="1" customWidth="1"/>
    <col min="27" max="27" width="11.7109375" style="12" bestFit="1" customWidth="1"/>
    <col min="28" max="29" width="13.28515625" style="12" bestFit="1" customWidth="1"/>
    <col min="30" max="30" width="10.7109375" style="12" bestFit="1" customWidth="1"/>
    <col min="31" max="31" width="11.5703125" style="12" bestFit="1" customWidth="1"/>
    <col min="32" max="32" width="33.42578125" style="12" bestFit="1" customWidth="1"/>
    <col min="33" max="33" width="14.85546875" style="12" bestFit="1" customWidth="1"/>
    <col min="34" max="34" width="12.28515625" style="12" bestFit="1" customWidth="1"/>
    <col min="35" max="35" width="7.5703125" style="12" bestFit="1" customWidth="1"/>
    <col min="36" max="36" width="12.85546875" style="12" bestFit="1" customWidth="1"/>
    <col min="37" max="37" width="10.42578125" style="12" bestFit="1" customWidth="1"/>
    <col min="38" max="38" width="11.28515625" style="12" bestFit="1" customWidth="1"/>
    <col min="39" max="39" width="12" style="12" bestFit="1" customWidth="1"/>
    <col min="40" max="40" width="14.5703125" style="12" bestFit="1" customWidth="1"/>
    <col min="41" max="41" width="10.42578125" style="12" bestFit="1" customWidth="1"/>
    <col min="42" max="42" width="12" style="12" bestFit="1" customWidth="1"/>
    <col min="43" max="46" width="9.140625" style="12"/>
    <col min="47" max="47" width="23.42578125" style="12" bestFit="1" customWidth="1"/>
    <col min="48" max="48" width="24.28515625" style="12" bestFit="1" customWidth="1"/>
    <col min="49" max="49" width="23.42578125" style="12" bestFit="1" customWidth="1"/>
    <col min="50" max="50" width="24.28515625" style="12" bestFit="1" customWidth="1"/>
    <col min="51" max="51" width="21.7109375" style="12" bestFit="1" customWidth="1"/>
    <col min="52" max="53" width="9.140625" style="12"/>
    <col min="54" max="56" width="24.28515625" style="12" bestFit="1" customWidth="1"/>
    <col min="57" max="57" width="23.42578125" style="12" bestFit="1" customWidth="1"/>
    <col min="58" max="58" width="21.7109375" style="12" bestFit="1" customWidth="1"/>
    <col min="59" max="16384" width="9.140625" style="12"/>
  </cols>
  <sheetData>
    <row r="1" spans="1:42" ht="23.25" x14ac:dyDescent="0.35">
      <c r="A1" s="43" t="s">
        <v>69</v>
      </c>
    </row>
    <row r="2" spans="1:42" x14ac:dyDescent="0.2">
      <c r="B2" s="4" t="s">
        <v>70</v>
      </c>
    </row>
    <row r="11" spans="1:42" x14ac:dyDescent="0.2">
      <c r="A11" s="126" t="s">
        <v>95</v>
      </c>
      <c r="B11" s="126"/>
      <c r="C11" s="8" t="s">
        <v>1</v>
      </c>
      <c r="D11" s="9" t="s">
        <v>21</v>
      </c>
      <c r="E11" s="9" t="s">
        <v>8</v>
      </c>
      <c r="F11" s="9" t="s">
        <v>9</v>
      </c>
      <c r="G11" s="9" t="s">
        <v>10</v>
      </c>
      <c r="H11" s="9" t="s">
        <v>11</v>
      </c>
      <c r="I11" s="9" t="s">
        <v>12</v>
      </c>
      <c r="J11" s="9" t="s">
        <v>13</v>
      </c>
      <c r="K11" s="8" t="s">
        <v>2</v>
      </c>
      <c r="L11" s="9" t="s">
        <v>22</v>
      </c>
      <c r="M11" s="9" t="s">
        <v>14</v>
      </c>
      <c r="N11" s="9" t="s">
        <v>15</v>
      </c>
      <c r="O11" s="9" t="s">
        <v>16</v>
      </c>
      <c r="P11" s="9" t="s">
        <v>17</v>
      </c>
      <c r="Q11" s="9" t="s">
        <v>18</v>
      </c>
      <c r="R11" s="9" t="s">
        <v>19</v>
      </c>
      <c r="S11" s="10" t="s">
        <v>20</v>
      </c>
      <c r="T11" s="8" t="s">
        <v>26</v>
      </c>
      <c r="U11" s="9" t="s">
        <v>38</v>
      </c>
      <c r="V11" s="9" t="s">
        <v>39</v>
      </c>
      <c r="W11" s="9" t="s">
        <v>40</v>
      </c>
      <c r="X11" s="9" t="s">
        <v>41</v>
      </c>
      <c r="Y11" s="9" t="s">
        <v>42</v>
      </c>
      <c r="Z11" s="9" t="s">
        <v>43</v>
      </c>
      <c r="AA11" s="11" t="s">
        <v>44</v>
      </c>
      <c r="AB11" s="8" t="s">
        <v>3</v>
      </c>
      <c r="AC11" s="9" t="s">
        <v>51</v>
      </c>
      <c r="AD11" s="9" t="s">
        <v>52</v>
      </c>
      <c r="AE11" s="9" t="s">
        <v>53</v>
      </c>
      <c r="AF11" s="9" t="s">
        <v>54</v>
      </c>
      <c r="AG11" s="9" t="s">
        <v>55</v>
      </c>
      <c r="AH11" s="10" t="s">
        <v>56</v>
      </c>
      <c r="AI11" s="8" t="s">
        <v>27</v>
      </c>
      <c r="AJ11" s="9" t="s">
        <v>57</v>
      </c>
      <c r="AK11" s="9" t="s">
        <v>58</v>
      </c>
      <c r="AL11" s="9" t="s">
        <v>59</v>
      </c>
      <c r="AM11" s="9" t="s">
        <v>60</v>
      </c>
      <c r="AN11" s="9" t="s">
        <v>61</v>
      </c>
      <c r="AO11" s="38" t="s">
        <v>66</v>
      </c>
      <c r="AP11" s="9" t="s">
        <v>62</v>
      </c>
    </row>
    <row r="12" spans="1:42" x14ac:dyDescent="0.2">
      <c r="A12" s="13">
        <v>0</v>
      </c>
      <c r="B12" s="13">
        <v>180000</v>
      </c>
      <c r="C12" s="14">
        <v>0.04</v>
      </c>
      <c r="D12" s="15">
        <v>0</v>
      </c>
      <c r="E12" s="16">
        <v>5.5E-2</v>
      </c>
      <c r="F12" s="16">
        <v>3.5000000000000003E-2</v>
      </c>
      <c r="G12" s="16">
        <v>0.12740000000000001</v>
      </c>
      <c r="H12" s="16">
        <v>2.76E-2</v>
      </c>
      <c r="I12" s="16">
        <v>0.41499999999999998</v>
      </c>
      <c r="J12" s="17">
        <v>0.34</v>
      </c>
      <c r="K12" s="14">
        <v>4.4999999999999998E-2</v>
      </c>
      <c r="L12" s="18">
        <v>0</v>
      </c>
      <c r="M12" s="19">
        <v>5.5E-2</v>
      </c>
      <c r="N12" s="19">
        <v>3.5000000000000003E-2</v>
      </c>
      <c r="O12" s="19">
        <v>0.11509999999999999</v>
      </c>
      <c r="P12" s="19">
        <v>2.4899999999999999E-2</v>
      </c>
      <c r="Q12" s="19">
        <v>0.375</v>
      </c>
      <c r="R12" s="19">
        <v>7.4999999999999997E-2</v>
      </c>
      <c r="S12" s="20">
        <v>0.32</v>
      </c>
      <c r="T12" s="14">
        <v>0.06</v>
      </c>
      <c r="U12" s="18">
        <v>0</v>
      </c>
      <c r="V12" s="16">
        <v>0.04</v>
      </c>
      <c r="W12" s="16">
        <v>3.5000000000000003E-2</v>
      </c>
      <c r="X12" s="16">
        <v>0.12820000000000001</v>
      </c>
      <c r="Y12" s="16">
        <v>2.7799999999999998E-2</v>
      </c>
      <c r="Z12" s="16">
        <v>0.434</v>
      </c>
      <c r="AA12" s="21">
        <v>0.33500000000000002</v>
      </c>
      <c r="AB12" s="14">
        <v>4.4999999999999998E-2</v>
      </c>
      <c r="AC12" s="15">
        <v>0</v>
      </c>
      <c r="AD12" s="16">
        <v>0.188</v>
      </c>
      <c r="AE12" s="16">
        <v>0.152</v>
      </c>
      <c r="AF12" s="16">
        <v>0.1767</v>
      </c>
      <c r="AG12" s="16">
        <v>3.8300000000000001E-2</v>
      </c>
      <c r="AH12" s="17">
        <v>0.44500000000000001</v>
      </c>
      <c r="AI12" s="14">
        <v>0.155</v>
      </c>
      <c r="AJ12" s="18">
        <v>0</v>
      </c>
      <c r="AK12" s="40">
        <v>0.25</v>
      </c>
      <c r="AL12" s="40">
        <v>0.15</v>
      </c>
      <c r="AM12" s="40">
        <v>0.14099999999999999</v>
      </c>
      <c r="AN12" s="40">
        <v>3.0499999999999999E-2</v>
      </c>
      <c r="AO12" s="40">
        <v>0.28849999999999998</v>
      </c>
      <c r="AP12" s="40">
        <v>0.14000000000000001</v>
      </c>
    </row>
    <row r="13" spans="1:42" x14ac:dyDescent="0.2">
      <c r="A13" s="13">
        <f>B12+0.01</f>
        <v>180000.01</v>
      </c>
      <c r="B13" s="13">
        <v>360000</v>
      </c>
      <c r="C13" s="14">
        <v>7.2999999999999995E-2</v>
      </c>
      <c r="D13" s="15">
        <v>5940</v>
      </c>
      <c r="E13" s="16">
        <v>5.5E-2</v>
      </c>
      <c r="F13" s="16">
        <v>3.5000000000000003E-2</v>
      </c>
      <c r="G13" s="16">
        <v>0.12740000000000001</v>
      </c>
      <c r="H13" s="16">
        <v>2.76E-2</v>
      </c>
      <c r="I13" s="16">
        <v>0.41499999999999998</v>
      </c>
      <c r="J13" s="17">
        <v>0.34</v>
      </c>
      <c r="K13" s="14">
        <v>7.8E-2</v>
      </c>
      <c r="L13" s="18">
        <v>5940</v>
      </c>
      <c r="M13" s="16">
        <v>5.5E-2</v>
      </c>
      <c r="N13" s="16">
        <v>3.5000000000000003E-2</v>
      </c>
      <c r="O13" s="16">
        <v>0.11509999999999999</v>
      </c>
      <c r="P13" s="16">
        <v>2.4899999999999999E-2</v>
      </c>
      <c r="Q13" s="16">
        <v>0.375</v>
      </c>
      <c r="R13" s="16">
        <v>7.4999999999999997E-2</v>
      </c>
      <c r="S13" s="17">
        <v>0.32</v>
      </c>
      <c r="T13" s="14">
        <v>0.112</v>
      </c>
      <c r="U13" s="22">
        <v>9360</v>
      </c>
      <c r="V13" s="16">
        <v>0.04</v>
      </c>
      <c r="W13" s="16">
        <v>3.5000000000000003E-2</v>
      </c>
      <c r="X13" s="16">
        <v>0.14050000000000001</v>
      </c>
      <c r="Y13" s="16">
        <v>3.0499999999999999E-2</v>
      </c>
      <c r="Z13" s="16">
        <v>0.434</v>
      </c>
      <c r="AA13" s="21">
        <v>0.32</v>
      </c>
      <c r="AB13" s="14">
        <v>0.09</v>
      </c>
      <c r="AC13" s="22">
        <v>8100</v>
      </c>
      <c r="AD13" s="16">
        <v>0.19800000000000001</v>
      </c>
      <c r="AE13" s="16">
        <v>0.152</v>
      </c>
      <c r="AF13" s="16">
        <v>0.20549999999999999</v>
      </c>
      <c r="AG13" s="16">
        <v>4.4499999999999998E-2</v>
      </c>
      <c r="AH13" s="17">
        <v>0.4</v>
      </c>
      <c r="AI13" s="14">
        <v>0.18</v>
      </c>
      <c r="AJ13" s="39">
        <v>4500</v>
      </c>
      <c r="AK13" s="40">
        <v>0.23</v>
      </c>
      <c r="AL13" s="40">
        <v>0.15</v>
      </c>
      <c r="AM13" s="40">
        <v>0.14099999999999999</v>
      </c>
      <c r="AN13" s="40">
        <v>3.0499999999999999E-2</v>
      </c>
      <c r="AO13" s="40">
        <v>0.27850000000000003</v>
      </c>
      <c r="AP13" s="40">
        <v>0.17</v>
      </c>
    </row>
    <row r="14" spans="1:42" x14ac:dyDescent="0.2">
      <c r="A14" s="13">
        <f>B13+0.01</f>
        <v>360000.01</v>
      </c>
      <c r="B14" s="13">
        <v>720000</v>
      </c>
      <c r="C14" s="14">
        <v>9.5000000000000001E-2</v>
      </c>
      <c r="D14" s="15">
        <v>13860</v>
      </c>
      <c r="E14" s="16">
        <v>5.5E-2</v>
      </c>
      <c r="F14" s="16">
        <v>3.5000000000000003E-2</v>
      </c>
      <c r="G14" s="16">
        <v>0.12740000000000001</v>
      </c>
      <c r="H14" s="16">
        <v>2.76E-2</v>
      </c>
      <c r="I14" s="16">
        <v>0.42</v>
      </c>
      <c r="J14" s="17">
        <v>0.33500000000000002</v>
      </c>
      <c r="K14" s="14">
        <v>0.1</v>
      </c>
      <c r="L14" s="18">
        <v>13860</v>
      </c>
      <c r="M14" s="16">
        <v>5.5E-2</v>
      </c>
      <c r="N14" s="16">
        <v>3.5000000000000003E-2</v>
      </c>
      <c r="O14" s="16">
        <v>0.11509999999999999</v>
      </c>
      <c r="P14" s="16">
        <v>2.4899999999999999E-2</v>
      </c>
      <c r="Q14" s="16">
        <v>0.375</v>
      </c>
      <c r="R14" s="16">
        <v>7.4999999999999997E-2</v>
      </c>
      <c r="S14" s="17">
        <v>0.32</v>
      </c>
      <c r="T14" s="14">
        <v>0.13500000000000001</v>
      </c>
      <c r="U14" s="22">
        <v>17640</v>
      </c>
      <c r="V14" s="16">
        <v>0.04</v>
      </c>
      <c r="W14" s="16">
        <v>3.5000000000000003E-2</v>
      </c>
      <c r="X14" s="16">
        <v>0.13639999999999999</v>
      </c>
      <c r="Y14" s="16">
        <v>2.9600000000000001E-2</v>
      </c>
      <c r="Z14" s="16">
        <v>0.434</v>
      </c>
      <c r="AA14" s="21">
        <v>0.32500000000000001</v>
      </c>
      <c r="AB14" s="14">
        <v>0.10199999999999999</v>
      </c>
      <c r="AC14" s="22">
        <v>12420</v>
      </c>
      <c r="AD14" s="16">
        <v>0.20799999999999999</v>
      </c>
      <c r="AE14" s="16">
        <v>0.152</v>
      </c>
      <c r="AF14" s="16">
        <v>0.1973</v>
      </c>
      <c r="AG14" s="16">
        <v>4.2700000000000002E-2</v>
      </c>
      <c r="AH14" s="17">
        <v>0.4</v>
      </c>
      <c r="AI14" s="14">
        <v>0.19500000000000001</v>
      </c>
      <c r="AJ14" s="39">
        <v>9900</v>
      </c>
      <c r="AK14" s="40">
        <v>0.24</v>
      </c>
      <c r="AL14" s="40">
        <v>0.15</v>
      </c>
      <c r="AM14" s="40">
        <v>0.1492</v>
      </c>
      <c r="AN14" s="40">
        <v>3.2300000000000002E-2</v>
      </c>
      <c r="AO14" s="40">
        <v>0.23849999999999999</v>
      </c>
      <c r="AP14" s="40">
        <v>0.19</v>
      </c>
    </row>
    <row r="15" spans="1:42" x14ac:dyDescent="0.2">
      <c r="A15" s="13">
        <f t="shared" ref="A15:A17" si="0">B14+0.01</f>
        <v>720000.01</v>
      </c>
      <c r="B15" s="13">
        <v>1800000</v>
      </c>
      <c r="C15" s="14">
        <v>0.107</v>
      </c>
      <c r="D15" s="15">
        <v>22500</v>
      </c>
      <c r="E15" s="16">
        <v>5.5E-2</v>
      </c>
      <c r="F15" s="16">
        <v>3.5000000000000003E-2</v>
      </c>
      <c r="G15" s="16">
        <v>0.12740000000000001</v>
      </c>
      <c r="H15" s="16">
        <v>2.76E-2</v>
      </c>
      <c r="I15" s="16">
        <v>0.42</v>
      </c>
      <c r="J15" s="17">
        <v>0.33500000000000002</v>
      </c>
      <c r="K15" s="14">
        <v>0.112</v>
      </c>
      <c r="L15" s="18">
        <v>22500</v>
      </c>
      <c r="M15" s="16">
        <v>5.5E-2</v>
      </c>
      <c r="N15" s="16">
        <v>3.5000000000000003E-2</v>
      </c>
      <c r="O15" s="16">
        <v>0.11509999999999999</v>
      </c>
      <c r="P15" s="16">
        <v>2.4899999999999999E-2</v>
      </c>
      <c r="Q15" s="16">
        <v>0.375</v>
      </c>
      <c r="R15" s="16">
        <v>7.4999999999999997E-2</v>
      </c>
      <c r="S15" s="17">
        <v>0.32</v>
      </c>
      <c r="T15" s="14">
        <v>0.16</v>
      </c>
      <c r="U15" s="22">
        <v>35640</v>
      </c>
      <c r="V15" s="16">
        <v>0.04</v>
      </c>
      <c r="W15" s="16">
        <v>3.5000000000000003E-2</v>
      </c>
      <c r="X15" s="16">
        <v>0.13639999999999999</v>
      </c>
      <c r="Y15" s="16">
        <v>2.9600000000000001E-2</v>
      </c>
      <c r="Z15" s="16">
        <v>0.434</v>
      </c>
      <c r="AA15" s="21">
        <v>0.32500000000000001</v>
      </c>
      <c r="AB15" s="14">
        <v>0.14000000000000001</v>
      </c>
      <c r="AC15" s="22">
        <v>39780</v>
      </c>
      <c r="AD15" s="16">
        <v>0.17799999999999999</v>
      </c>
      <c r="AE15" s="16">
        <v>0.192</v>
      </c>
      <c r="AF15" s="16">
        <v>0.189</v>
      </c>
      <c r="AG15" s="16">
        <v>4.1000000000000002E-2</v>
      </c>
      <c r="AH15" s="17">
        <v>0.4</v>
      </c>
      <c r="AI15" s="14">
        <v>0.20499999999999999</v>
      </c>
      <c r="AJ15" s="39">
        <v>17100</v>
      </c>
      <c r="AK15" s="40">
        <v>0.21</v>
      </c>
      <c r="AL15" s="40">
        <v>0.15</v>
      </c>
      <c r="AM15" s="40">
        <v>0.15740000000000001</v>
      </c>
      <c r="AN15" s="40">
        <v>3.4099999999999998E-2</v>
      </c>
      <c r="AO15" s="40">
        <v>0.23849999999999999</v>
      </c>
      <c r="AP15" s="40">
        <v>0.21</v>
      </c>
    </row>
    <row r="16" spans="1:42" x14ac:dyDescent="0.2">
      <c r="A16" s="13">
        <f t="shared" si="0"/>
        <v>1800000.01</v>
      </c>
      <c r="B16" s="13">
        <v>3600000</v>
      </c>
      <c r="C16" s="14">
        <v>0.14299999999999999</v>
      </c>
      <c r="D16" s="15">
        <v>87300</v>
      </c>
      <c r="E16" s="16">
        <v>5.5E-2</v>
      </c>
      <c r="F16" s="16">
        <v>3.5000000000000003E-2</v>
      </c>
      <c r="G16" s="16">
        <v>0.12740000000000001</v>
      </c>
      <c r="H16" s="16">
        <v>2.76E-2</v>
      </c>
      <c r="I16" s="16">
        <v>0.42</v>
      </c>
      <c r="J16" s="17">
        <v>0.33500000000000002</v>
      </c>
      <c r="K16" s="14">
        <v>0.14699999999999999</v>
      </c>
      <c r="L16" s="18">
        <v>85500</v>
      </c>
      <c r="M16" s="16">
        <v>5.5E-2</v>
      </c>
      <c r="N16" s="16">
        <v>3.5000000000000003E-2</v>
      </c>
      <c r="O16" s="16">
        <v>0.11509999999999999</v>
      </c>
      <c r="P16" s="16">
        <v>2.4899999999999999E-2</v>
      </c>
      <c r="Q16" s="16">
        <v>0.375</v>
      </c>
      <c r="R16" s="16">
        <v>7.4999999999999997E-2</v>
      </c>
      <c r="S16" s="17">
        <v>0.32</v>
      </c>
      <c r="T16" s="14">
        <v>0.21</v>
      </c>
      <c r="U16" s="22">
        <v>125640</v>
      </c>
      <c r="V16" s="16">
        <v>0.04</v>
      </c>
      <c r="W16" s="16">
        <v>3.5000000000000003E-2</v>
      </c>
      <c r="X16" s="16">
        <v>0.12820000000000001</v>
      </c>
      <c r="Y16" s="16">
        <v>2.7799999999999998E-2</v>
      </c>
      <c r="Z16" s="16">
        <v>0.434</v>
      </c>
      <c r="AA16" s="23">
        <v>0.33500000000000002</v>
      </c>
      <c r="AB16" s="24">
        <v>0.22</v>
      </c>
      <c r="AC16" s="22">
        <v>183780</v>
      </c>
      <c r="AD16" s="16">
        <v>0.188</v>
      </c>
      <c r="AE16" s="16">
        <v>0.192</v>
      </c>
      <c r="AF16" s="16">
        <v>0.18079999999999999</v>
      </c>
      <c r="AG16" s="16">
        <v>3.9199999999999999E-2</v>
      </c>
      <c r="AH16" s="17">
        <v>0.4</v>
      </c>
      <c r="AI16" s="14">
        <v>0.23</v>
      </c>
      <c r="AJ16" s="39">
        <v>62100</v>
      </c>
      <c r="AK16" s="40">
        <v>0.23</v>
      </c>
      <c r="AL16" s="40">
        <v>0.125</v>
      </c>
      <c r="AM16" s="40">
        <v>0.14099999999999999</v>
      </c>
      <c r="AN16" s="40">
        <v>3.0499999999999999E-2</v>
      </c>
      <c r="AO16" s="40">
        <v>0.23849999999999999</v>
      </c>
      <c r="AP16" s="40">
        <v>0.23499999999999999</v>
      </c>
    </row>
    <row r="17" spans="1:65" x14ac:dyDescent="0.2">
      <c r="A17" s="13">
        <f t="shared" si="0"/>
        <v>3600000.01</v>
      </c>
      <c r="B17" s="13">
        <v>4800000</v>
      </c>
      <c r="C17" s="14">
        <v>0.19</v>
      </c>
      <c r="D17" s="15">
        <v>378000</v>
      </c>
      <c r="E17" s="16">
        <v>0.13500000000000001</v>
      </c>
      <c r="F17" s="16">
        <v>0.1</v>
      </c>
      <c r="G17" s="16">
        <v>0.28270000000000001</v>
      </c>
      <c r="H17" s="16">
        <v>6.13E-2</v>
      </c>
      <c r="I17" s="16">
        <v>0.42099999999999999</v>
      </c>
      <c r="J17" s="18">
        <v>0</v>
      </c>
      <c r="K17" s="14">
        <v>0.3</v>
      </c>
      <c r="L17" s="18">
        <v>720000</v>
      </c>
      <c r="M17" s="16">
        <v>8.5000000000000006E-2</v>
      </c>
      <c r="N17" s="16">
        <v>7.4999999999999997E-2</v>
      </c>
      <c r="O17" s="16">
        <v>0.20960000000000001</v>
      </c>
      <c r="P17" s="16">
        <v>4.5400000000000003E-2</v>
      </c>
      <c r="Q17" s="16">
        <v>0.23499999999999999</v>
      </c>
      <c r="R17" s="16">
        <v>0.35</v>
      </c>
      <c r="S17" s="18">
        <v>0</v>
      </c>
      <c r="T17" s="14">
        <v>0.33</v>
      </c>
      <c r="U17" s="22">
        <v>648000</v>
      </c>
      <c r="V17" s="16">
        <v>0.35</v>
      </c>
      <c r="W17" s="16">
        <v>0.15</v>
      </c>
      <c r="X17" s="16">
        <v>0.1603</v>
      </c>
      <c r="Y17" s="16">
        <v>3.4700000000000002E-2</v>
      </c>
      <c r="Z17" s="16">
        <v>0.30499999999999999</v>
      </c>
      <c r="AA17" s="15">
        <v>0</v>
      </c>
      <c r="AB17" s="24">
        <v>0.33</v>
      </c>
      <c r="AC17" s="22">
        <v>828000</v>
      </c>
      <c r="AD17" s="16">
        <v>0.53500000000000003</v>
      </c>
      <c r="AE17" s="16">
        <v>0.215</v>
      </c>
      <c r="AF17" s="16">
        <v>0.20549999999999999</v>
      </c>
      <c r="AG17" s="16">
        <v>4.4499999999999998E-2</v>
      </c>
      <c r="AH17" s="18">
        <v>0</v>
      </c>
      <c r="AI17" s="14">
        <v>0.30499999999999999</v>
      </c>
      <c r="AJ17" s="39">
        <v>540000</v>
      </c>
      <c r="AK17" s="40">
        <v>0.35</v>
      </c>
      <c r="AL17" s="40">
        <v>0.155</v>
      </c>
      <c r="AM17" s="40">
        <v>0.16439999999999999</v>
      </c>
      <c r="AN17" s="40">
        <v>3.56E-2</v>
      </c>
      <c r="AO17" s="40">
        <v>0.29499999999999998</v>
      </c>
      <c r="AP17" s="41" t="s">
        <v>65</v>
      </c>
    </row>
    <row r="18" spans="1:65" ht="11.25" customHeight="1" x14ac:dyDescent="0.2">
      <c r="W18" s="127" t="s">
        <v>50</v>
      </c>
      <c r="X18" s="128"/>
      <c r="Y18" s="128"/>
      <c r="Z18" s="128"/>
      <c r="AA18" s="129"/>
      <c r="AD18" s="123" t="s">
        <v>45</v>
      </c>
      <c r="AE18" s="124"/>
      <c r="AF18" s="124"/>
      <c r="AG18" s="124"/>
      <c r="AH18" s="125"/>
    </row>
    <row r="19" spans="1:65" ht="11.25" customHeight="1" x14ac:dyDescent="0.2">
      <c r="W19" s="27" t="s">
        <v>33</v>
      </c>
      <c r="X19" s="27" t="s">
        <v>34</v>
      </c>
      <c r="Y19" s="27" t="s">
        <v>35</v>
      </c>
      <c r="Z19" s="27" t="s">
        <v>36</v>
      </c>
      <c r="AA19" s="27" t="s">
        <v>37</v>
      </c>
      <c r="AC19" s="26"/>
      <c r="AD19" s="27" t="s">
        <v>46</v>
      </c>
      <c r="AE19" s="27" t="s">
        <v>47</v>
      </c>
      <c r="AF19" s="27" t="s">
        <v>48</v>
      </c>
      <c r="AG19" s="27" t="s">
        <v>49</v>
      </c>
      <c r="AH19" s="27" t="s">
        <v>37</v>
      </c>
    </row>
    <row r="20" spans="1:65" ht="11.25" customHeight="1" x14ac:dyDescent="0.2">
      <c r="W20" s="74"/>
      <c r="X20" s="74"/>
      <c r="Y20" s="50"/>
      <c r="Z20" s="76"/>
      <c r="AA20" s="74"/>
      <c r="AD20" s="75"/>
      <c r="AE20" s="75"/>
      <c r="AF20" s="75"/>
      <c r="AG20" s="75"/>
      <c r="AH20" s="75"/>
    </row>
    <row r="21" spans="1:65" ht="11.25" customHeight="1" x14ac:dyDescent="0.2">
      <c r="A21" s="126" t="s">
        <v>94</v>
      </c>
      <c r="B21" s="126"/>
      <c r="C21" s="78" t="s">
        <v>1</v>
      </c>
      <c r="D21" s="48" t="s">
        <v>8</v>
      </c>
      <c r="E21" s="48" t="s">
        <v>9</v>
      </c>
      <c r="F21" s="48" t="s">
        <v>10</v>
      </c>
      <c r="G21" s="48" t="s">
        <v>11</v>
      </c>
      <c r="H21" s="48" t="s">
        <v>12</v>
      </c>
      <c r="I21" s="48" t="s">
        <v>13</v>
      </c>
      <c r="J21" s="78" t="s">
        <v>2</v>
      </c>
      <c r="K21" s="48" t="s">
        <v>14</v>
      </c>
      <c r="L21" s="48" t="s">
        <v>15</v>
      </c>
      <c r="M21" s="48" t="s">
        <v>16</v>
      </c>
      <c r="N21" s="48" t="s">
        <v>17</v>
      </c>
      <c r="O21" s="48" t="s">
        <v>18</v>
      </c>
      <c r="P21" s="48" t="s">
        <v>20</v>
      </c>
      <c r="Q21" s="48" t="s">
        <v>19</v>
      </c>
      <c r="R21" s="78" t="s">
        <v>26</v>
      </c>
      <c r="S21" s="72" t="s">
        <v>97</v>
      </c>
      <c r="T21" s="72" t="s">
        <v>98</v>
      </c>
      <c r="U21" s="72" t="s">
        <v>99</v>
      </c>
      <c r="V21" s="72" t="s">
        <v>100</v>
      </c>
      <c r="W21" s="72" t="s">
        <v>101</v>
      </c>
      <c r="X21" s="72" t="s">
        <v>102</v>
      </c>
      <c r="Y21" s="78" t="s">
        <v>3</v>
      </c>
      <c r="Z21" s="77" t="s">
        <v>52</v>
      </c>
      <c r="AA21" s="77" t="s">
        <v>53</v>
      </c>
      <c r="AB21" s="77" t="s">
        <v>107</v>
      </c>
      <c r="AC21" s="77" t="s">
        <v>106</v>
      </c>
      <c r="AD21" s="77" t="s">
        <v>105</v>
      </c>
      <c r="AE21" s="78" t="s">
        <v>93</v>
      </c>
      <c r="AF21" s="77" t="s">
        <v>103</v>
      </c>
      <c r="AG21" s="77" t="s">
        <v>104</v>
      </c>
      <c r="AI21" s="25"/>
      <c r="AT21" s="26"/>
    </row>
    <row r="22" spans="1:65" x14ac:dyDescent="0.2">
      <c r="A22" s="13">
        <v>0</v>
      </c>
      <c r="B22" s="13">
        <v>180000</v>
      </c>
      <c r="C22" s="79">
        <v>0.04</v>
      </c>
      <c r="D22" s="49">
        <v>0</v>
      </c>
      <c r="E22" s="49">
        <v>0</v>
      </c>
      <c r="F22" s="49">
        <v>0</v>
      </c>
      <c r="G22" s="49">
        <v>0</v>
      </c>
      <c r="H22" s="49">
        <v>2.75E-2</v>
      </c>
      <c r="I22" s="49">
        <v>1.2500000000000001E-2</v>
      </c>
      <c r="J22" s="80">
        <v>4.4999999999999998E-2</v>
      </c>
      <c r="K22" s="49">
        <v>0</v>
      </c>
      <c r="L22" s="49">
        <v>0</v>
      </c>
      <c r="M22" s="49">
        <v>0</v>
      </c>
      <c r="N22" s="49">
        <v>0</v>
      </c>
      <c r="O22" s="49">
        <v>2.75E-2</v>
      </c>
      <c r="P22" s="49">
        <v>1.2500000000000001E-2</v>
      </c>
      <c r="Q22" s="49">
        <v>5.0000000000000001E-3</v>
      </c>
      <c r="R22" s="81">
        <v>0.06</v>
      </c>
      <c r="S22" s="73">
        <v>0</v>
      </c>
      <c r="T22" s="73">
        <v>0</v>
      </c>
      <c r="U22" s="73">
        <v>0</v>
      </c>
      <c r="V22" s="73">
        <v>0</v>
      </c>
      <c r="W22" s="73">
        <v>0.04</v>
      </c>
      <c r="X22" s="73">
        <v>0.02</v>
      </c>
      <c r="Y22" s="82">
        <v>4.4999999999999998E-2</v>
      </c>
      <c r="Z22" s="49">
        <v>0</v>
      </c>
      <c r="AA22" s="49">
        <v>1.2200000000000001E-2</v>
      </c>
      <c r="AB22" s="49">
        <v>1.2800000000000001E-2</v>
      </c>
      <c r="AC22" s="49">
        <v>0</v>
      </c>
      <c r="AD22" s="49">
        <v>0.02</v>
      </c>
      <c r="AE22" s="82">
        <v>0.16929999999999998</v>
      </c>
      <c r="AF22" s="49">
        <v>0.14929999999999999</v>
      </c>
      <c r="AG22" s="49">
        <v>0.02</v>
      </c>
      <c r="AI22" s="25"/>
      <c r="BA22" s="26"/>
      <c r="BB22" s="26"/>
      <c r="BC22" s="26"/>
      <c r="BD22" s="26"/>
      <c r="BE22" s="26"/>
      <c r="BF22" s="30"/>
      <c r="BI22" s="31"/>
      <c r="BJ22" s="31"/>
      <c r="BK22" s="31"/>
      <c r="BL22" s="31"/>
      <c r="BM22" s="32"/>
    </row>
    <row r="23" spans="1:65" x14ac:dyDescent="0.2">
      <c r="A23" s="13">
        <f>B22+0.01</f>
        <v>180000.01</v>
      </c>
      <c r="B23" s="13">
        <v>360000</v>
      </c>
      <c r="C23" s="79">
        <v>5.4699999999999999E-2</v>
      </c>
      <c r="D23" s="49">
        <v>0</v>
      </c>
      <c r="E23" s="49">
        <v>0</v>
      </c>
      <c r="F23" s="49">
        <v>8.6E-3</v>
      </c>
      <c r="G23" s="49">
        <v>0</v>
      </c>
      <c r="H23" s="49">
        <v>2.75E-2</v>
      </c>
      <c r="I23" s="49">
        <v>1.8599999999999998E-2</v>
      </c>
      <c r="J23" s="80">
        <v>5.9699999999999996E-2</v>
      </c>
      <c r="K23" s="49">
        <v>0</v>
      </c>
      <c r="L23" s="49">
        <v>0</v>
      </c>
      <c r="M23" s="49">
        <v>8.6E-3</v>
      </c>
      <c r="N23" s="49">
        <v>0</v>
      </c>
      <c r="O23" s="49">
        <v>2.75E-2</v>
      </c>
      <c r="P23" s="49">
        <v>1.8599999999999998E-2</v>
      </c>
      <c r="Q23" s="49">
        <v>5.0000000000000001E-3</v>
      </c>
      <c r="R23" s="81">
        <v>8.2100000000000006E-2</v>
      </c>
      <c r="S23" s="73">
        <v>0</v>
      </c>
      <c r="T23" s="73">
        <v>0</v>
      </c>
      <c r="U23" s="73">
        <v>1.4200000000000001E-2</v>
      </c>
      <c r="V23" s="73">
        <v>0</v>
      </c>
      <c r="W23" s="73">
        <v>0.04</v>
      </c>
      <c r="X23" s="73">
        <v>2.7900000000000001E-2</v>
      </c>
      <c r="Y23" s="82">
        <v>6.54E-2</v>
      </c>
      <c r="Z23" s="49">
        <v>0</v>
      </c>
      <c r="AA23" s="49">
        <v>1.84E-2</v>
      </c>
      <c r="AB23" s="49">
        <v>1.9099999999999999E-2</v>
      </c>
      <c r="AC23" s="49">
        <v>0</v>
      </c>
      <c r="AD23" s="49">
        <v>2.7900000000000001E-2</v>
      </c>
      <c r="AE23" s="82">
        <v>0.1772</v>
      </c>
      <c r="AF23" s="49">
        <v>0.14929999999999999</v>
      </c>
      <c r="AG23" s="49">
        <v>2.7900000000000001E-2</v>
      </c>
      <c r="AI23" s="25"/>
    </row>
    <row r="24" spans="1:65" x14ac:dyDescent="0.2">
      <c r="A24" s="13">
        <f t="shared" ref="A24:A40" si="1">B23+0.01</f>
        <v>360000.01</v>
      </c>
      <c r="B24" s="13">
        <v>540000</v>
      </c>
      <c r="C24" s="79">
        <v>6.8400000000000002E-2</v>
      </c>
      <c r="D24" s="49">
        <v>2.7000000000000001E-3</v>
      </c>
      <c r="E24" s="49">
        <v>3.0999999999999999E-3</v>
      </c>
      <c r="F24" s="49">
        <v>9.4999999999999998E-3</v>
      </c>
      <c r="G24" s="49">
        <v>2.3E-3</v>
      </c>
      <c r="H24" s="49">
        <v>2.75E-2</v>
      </c>
      <c r="I24" s="49">
        <v>2.3300000000000001E-2</v>
      </c>
      <c r="J24" s="80">
        <v>7.3400000000000007E-2</v>
      </c>
      <c r="K24" s="49">
        <v>2.7000000000000001E-3</v>
      </c>
      <c r="L24" s="49">
        <v>3.0999999999999999E-3</v>
      </c>
      <c r="M24" s="49">
        <v>9.4999999999999998E-3</v>
      </c>
      <c r="N24" s="49">
        <v>2.3E-3</v>
      </c>
      <c r="O24" s="49">
        <v>2.75E-2</v>
      </c>
      <c r="P24" s="49">
        <v>2.3300000000000001E-2</v>
      </c>
      <c r="Q24" s="49">
        <v>5.0000000000000001E-3</v>
      </c>
      <c r="R24" s="81">
        <v>0.1026</v>
      </c>
      <c r="S24" s="73">
        <v>4.7999999999999996E-3</v>
      </c>
      <c r="T24" s="73">
        <v>4.3E-3</v>
      </c>
      <c r="U24" s="73">
        <v>1.43E-2</v>
      </c>
      <c r="V24" s="73">
        <v>3.5000000000000001E-3</v>
      </c>
      <c r="W24" s="73">
        <v>4.07E-2</v>
      </c>
      <c r="X24" s="73">
        <v>3.5000000000000003E-2</v>
      </c>
      <c r="Y24" s="82">
        <v>7.6999999999999999E-2</v>
      </c>
      <c r="Z24" s="49">
        <v>1.6000000000000001E-3</v>
      </c>
      <c r="AA24" s="49">
        <v>1.8499999999999999E-2</v>
      </c>
      <c r="AB24" s="49">
        <v>1.95E-2</v>
      </c>
      <c r="AC24" s="49">
        <v>2.3999999999999998E-3</v>
      </c>
      <c r="AD24" s="49">
        <v>3.5000000000000003E-2</v>
      </c>
      <c r="AE24" s="82">
        <v>0.18429999999999999</v>
      </c>
      <c r="AF24" s="49">
        <v>0.14929999999999999</v>
      </c>
      <c r="AG24" s="49">
        <v>3.5000000000000003E-2</v>
      </c>
      <c r="AI24" s="25"/>
    </row>
    <row r="25" spans="1:65" x14ac:dyDescent="0.2">
      <c r="A25" s="13">
        <f t="shared" si="1"/>
        <v>540000.01</v>
      </c>
      <c r="B25" s="13">
        <v>720000</v>
      </c>
      <c r="C25" s="79">
        <v>7.5399999999999995E-2</v>
      </c>
      <c r="D25" s="49">
        <v>3.5000000000000001E-3</v>
      </c>
      <c r="E25" s="49">
        <v>3.5000000000000001E-3</v>
      </c>
      <c r="F25" s="49">
        <v>1.04E-2</v>
      </c>
      <c r="G25" s="49">
        <v>2.5000000000000001E-3</v>
      </c>
      <c r="H25" s="49">
        <v>2.9899999999999999E-2</v>
      </c>
      <c r="I25" s="49">
        <v>2.5600000000000001E-2</v>
      </c>
      <c r="J25" s="80">
        <v>8.0399999999999999E-2</v>
      </c>
      <c r="K25" s="49">
        <v>3.5000000000000001E-3</v>
      </c>
      <c r="L25" s="49">
        <v>3.5000000000000001E-3</v>
      </c>
      <c r="M25" s="49">
        <v>1.04E-2</v>
      </c>
      <c r="N25" s="49">
        <v>2.5000000000000001E-3</v>
      </c>
      <c r="O25" s="49">
        <v>2.9899999999999999E-2</v>
      </c>
      <c r="P25" s="49">
        <v>2.5600000000000001E-2</v>
      </c>
      <c r="Q25" s="49">
        <v>5.0000000000000001E-3</v>
      </c>
      <c r="R25" s="81">
        <v>0.11310000000000001</v>
      </c>
      <c r="S25" s="73">
        <v>5.3E-3</v>
      </c>
      <c r="T25" s="73">
        <v>5.3E-3</v>
      </c>
      <c r="U25" s="73">
        <v>1.5599999999999999E-2</v>
      </c>
      <c r="V25" s="73">
        <v>3.8E-3</v>
      </c>
      <c r="W25" s="73">
        <v>4.4699999999999997E-2</v>
      </c>
      <c r="X25" s="73">
        <v>3.8399999999999997E-2</v>
      </c>
      <c r="Y25" s="82">
        <v>8.4900000000000003E-2</v>
      </c>
      <c r="Z25" s="49">
        <v>5.1999999999999998E-3</v>
      </c>
      <c r="AA25" s="49">
        <v>1.8700000000000001E-2</v>
      </c>
      <c r="AB25" s="49">
        <v>1.9900000000000001E-2</v>
      </c>
      <c r="AC25" s="49">
        <v>2.7000000000000001E-3</v>
      </c>
      <c r="AD25" s="49">
        <v>3.8399999999999997E-2</v>
      </c>
      <c r="AE25" s="82">
        <v>0.18769999999999998</v>
      </c>
      <c r="AF25" s="49">
        <v>0.14929999999999999</v>
      </c>
      <c r="AG25" s="49">
        <v>3.8399999999999997E-2</v>
      </c>
      <c r="AI25" s="25"/>
    </row>
    <row r="26" spans="1:65" x14ac:dyDescent="0.2">
      <c r="A26" s="13">
        <f t="shared" si="1"/>
        <v>720000.01</v>
      </c>
      <c r="B26" s="13">
        <v>900000</v>
      </c>
      <c r="C26" s="79">
        <v>7.5999999999999998E-2</v>
      </c>
      <c r="D26" s="49">
        <v>3.5000000000000001E-3</v>
      </c>
      <c r="E26" s="49">
        <v>3.5000000000000001E-3</v>
      </c>
      <c r="F26" s="49">
        <v>1.0500000000000001E-2</v>
      </c>
      <c r="G26" s="49">
        <v>2.5000000000000001E-3</v>
      </c>
      <c r="H26" s="49">
        <v>3.0200000000000001E-2</v>
      </c>
      <c r="I26" s="49">
        <v>2.58E-2</v>
      </c>
      <c r="J26" s="80">
        <v>8.1000000000000003E-2</v>
      </c>
      <c r="K26" s="49">
        <v>3.5000000000000001E-3</v>
      </c>
      <c r="L26" s="49">
        <v>3.5000000000000001E-3</v>
      </c>
      <c r="M26" s="49">
        <v>1.0500000000000001E-2</v>
      </c>
      <c r="N26" s="49">
        <v>2.5000000000000001E-3</v>
      </c>
      <c r="O26" s="49">
        <v>3.0200000000000001E-2</v>
      </c>
      <c r="P26" s="49">
        <v>2.58E-2</v>
      </c>
      <c r="Q26" s="49">
        <v>5.0000000000000001E-3</v>
      </c>
      <c r="R26" s="81">
        <v>0.114</v>
      </c>
      <c r="S26" s="73">
        <v>5.3E-3</v>
      </c>
      <c r="T26" s="73">
        <v>5.1999999999999998E-3</v>
      </c>
      <c r="U26" s="73">
        <v>1.5800000000000002E-2</v>
      </c>
      <c r="V26" s="73">
        <v>3.8E-3</v>
      </c>
      <c r="W26" s="73">
        <v>4.5199999999999997E-2</v>
      </c>
      <c r="X26" s="73">
        <v>3.8699999999999998E-2</v>
      </c>
      <c r="Y26" s="82">
        <v>8.9700000000000002E-2</v>
      </c>
      <c r="Z26" s="49">
        <v>8.8999999999999999E-3</v>
      </c>
      <c r="AA26" s="49">
        <v>1.89E-2</v>
      </c>
      <c r="AB26" s="49">
        <v>2.0299999999999999E-2</v>
      </c>
      <c r="AC26" s="49">
        <v>2.8999999999999998E-3</v>
      </c>
      <c r="AD26" s="49">
        <v>3.8699999999999998E-2</v>
      </c>
      <c r="AE26" s="82">
        <v>0.19040000000000001</v>
      </c>
      <c r="AF26" s="49">
        <v>0.1517</v>
      </c>
      <c r="AG26" s="49">
        <v>3.8699999999999998E-2</v>
      </c>
      <c r="AI26" s="25"/>
    </row>
    <row r="27" spans="1:65" x14ac:dyDescent="0.2">
      <c r="A27" s="13">
        <f t="shared" si="1"/>
        <v>900000.01</v>
      </c>
      <c r="B27" s="13">
        <v>1080000</v>
      </c>
      <c r="C27" s="79">
        <v>8.2799999999999999E-2</v>
      </c>
      <c r="D27" s="49">
        <v>3.8E-3</v>
      </c>
      <c r="E27" s="49">
        <v>3.8E-3</v>
      </c>
      <c r="F27" s="49">
        <v>1.15E-2</v>
      </c>
      <c r="G27" s="49">
        <v>2.7000000000000001E-3</v>
      </c>
      <c r="H27" s="49">
        <v>3.2800000000000003E-2</v>
      </c>
      <c r="I27" s="49">
        <v>2.8199999999999999E-2</v>
      </c>
      <c r="J27" s="80">
        <v>8.7800000000000003E-2</v>
      </c>
      <c r="K27" s="49">
        <v>3.8E-3</v>
      </c>
      <c r="L27" s="49">
        <v>3.8E-3</v>
      </c>
      <c r="M27" s="49">
        <v>1.15E-2</v>
      </c>
      <c r="N27" s="49">
        <v>2.7000000000000001E-3</v>
      </c>
      <c r="O27" s="49">
        <v>3.2800000000000003E-2</v>
      </c>
      <c r="P27" s="49">
        <v>2.8199999999999999E-2</v>
      </c>
      <c r="Q27" s="49">
        <v>5.0000000000000001E-3</v>
      </c>
      <c r="R27" s="81">
        <v>0.1242</v>
      </c>
      <c r="S27" s="73">
        <v>5.7000000000000002E-3</v>
      </c>
      <c r="T27" s="73">
        <v>5.7000000000000002E-3</v>
      </c>
      <c r="U27" s="73">
        <v>1.7299999999999999E-2</v>
      </c>
      <c r="V27" s="73">
        <v>4.0000000000000001E-3</v>
      </c>
      <c r="W27" s="73">
        <v>4.9200000000000001E-2</v>
      </c>
      <c r="X27" s="73">
        <v>4.2299999999999997E-2</v>
      </c>
      <c r="Y27" s="82">
        <v>9.7799999999999998E-2</v>
      </c>
      <c r="Z27" s="49">
        <v>1.2500000000000001E-2</v>
      </c>
      <c r="AA27" s="49">
        <v>1.9099999999999999E-2</v>
      </c>
      <c r="AB27" s="49">
        <v>2.07E-2</v>
      </c>
      <c r="AC27" s="49">
        <v>3.2000000000000002E-3</v>
      </c>
      <c r="AD27" s="49">
        <v>4.2299999999999997E-2</v>
      </c>
      <c r="AE27" s="82">
        <v>0.19939999999999999</v>
      </c>
      <c r="AF27" s="49">
        <v>0.15709999999999999</v>
      </c>
      <c r="AG27" s="49">
        <v>4.2299999999999997E-2</v>
      </c>
      <c r="AI27" s="25"/>
    </row>
    <row r="28" spans="1:65" x14ac:dyDescent="0.2">
      <c r="A28" s="13">
        <f t="shared" si="1"/>
        <v>1080000.01</v>
      </c>
      <c r="B28" s="13">
        <v>1260000</v>
      </c>
      <c r="C28" s="79">
        <v>8.3599999999999994E-2</v>
      </c>
      <c r="D28" s="49">
        <v>3.8999999999999998E-3</v>
      </c>
      <c r="E28" s="49">
        <v>3.8999999999999998E-3</v>
      </c>
      <c r="F28" s="49">
        <v>1.1599999999999999E-2</v>
      </c>
      <c r="G28" s="49">
        <v>2.8E-3</v>
      </c>
      <c r="H28" s="49">
        <v>3.3000000000000002E-2</v>
      </c>
      <c r="I28" s="49">
        <v>2.8400000000000002E-2</v>
      </c>
      <c r="J28" s="80">
        <v>8.8600000000000012E-2</v>
      </c>
      <c r="K28" s="49">
        <v>3.8999999999999998E-3</v>
      </c>
      <c r="L28" s="49">
        <v>3.8999999999999998E-3</v>
      </c>
      <c r="M28" s="49">
        <v>1.1599999999999999E-2</v>
      </c>
      <c r="N28" s="49">
        <v>2.8E-3</v>
      </c>
      <c r="O28" s="49">
        <v>3.3000000000000002E-2</v>
      </c>
      <c r="P28" s="49">
        <v>2.8400000000000002E-2</v>
      </c>
      <c r="Q28" s="49">
        <v>5.0000000000000001E-3</v>
      </c>
      <c r="R28" s="81">
        <v>0.12540000000000001</v>
      </c>
      <c r="S28" s="73">
        <v>5.8999999999999999E-3</v>
      </c>
      <c r="T28" s="73">
        <v>5.5999999999999999E-3</v>
      </c>
      <c r="U28" s="73">
        <v>1.7399999999999999E-2</v>
      </c>
      <c r="V28" s="73">
        <v>4.1999999999999997E-3</v>
      </c>
      <c r="W28" s="73">
        <v>4.9700000000000001E-2</v>
      </c>
      <c r="X28" s="73">
        <v>4.2599999999999999E-2</v>
      </c>
      <c r="Y28" s="82">
        <v>0.1026</v>
      </c>
      <c r="Z28" s="49">
        <v>1.6199999999999999E-2</v>
      </c>
      <c r="AA28" s="49">
        <v>1.9300000000000001E-2</v>
      </c>
      <c r="AB28" s="49">
        <v>2.1100000000000001E-2</v>
      </c>
      <c r="AC28" s="49">
        <v>3.3999999999999998E-3</v>
      </c>
      <c r="AD28" s="49">
        <v>4.2599999999999999E-2</v>
      </c>
      <c r="AE28" s="82">
        <v>0.2034</v>
      </c>
      <c r="AF28" s="49">
        <v>0.1608</v>
      </c>
      <c r="AG28" s="49">
        <v>4.2599999999999999E-2</v>
      </c>
      <c r="AI28" s="25"/>
    </row>
    <row r="29" spans="1:65" x14ac:dyDescent="0.2">
      <c r="A29" s="13">
        <f t="shared" si="1"/>
        <v>1260000.01</v>
      </c>
      <c r="B29" s="13">
        <v>1440000</v>
      </c>
      <c r="C29" s="79">
        <v>8.4500000000000006E-2</v>
      </c>
      <c r="D29" s="49">
        <v>3.8999999999999998E-3</v>
      </c>
      <c r="E29" s="49">
        <v>3.8999999999999998E-3</v>
      </c>
      <c r="F29" s="49">
        <v>1.17E-2</v>
      </c>
      <c r="G29" s="49">
        <v>2.8E-3</v>
      </c>
      <c r="H29" s="49">
        <v>3.3500000000000002E-2</v>
      </c>
      <c r="I29" s="49">
        <v>2.87E-2</v>
      </c>
      <c r="J29" s="80">
        <v>8.950000000000001E-2</v>
      </c>
      <c r="K29" s="49">
        <v>3.8999999999999998E-3</v>
      </c>
      <c r="L29" s="49">
        <v>3.8999999999999998E-3</v>
      </c>
      <c r="M29" s="49">
        <v>1.17E-2</v>
      </c>
      <c r="N29" s="49">
        <v>2.8E-3</v>
      </c>
      <c r="O29" s="49">
        <v>3.3500000000000002E-2</v>
      </c>
      <c r="P29" s="49">
        <v>2.87E-2</v>
      </c>
      <c r="Q29" s="49">
        <v>5.0000000000000001E-3</v>
      </c>
      <c r="R29" s="81">
        <v>0.1268</v>
      </c>
      <c r="S29" s="73">
        <v>5.8999999999999999E-3</v>
      </c>
      <c r="T29" s="73">
        <v>5.7000000000000002E-3</v>
      </c>
      <c r="U29" s="73">
        <v>1.7600000000000001E-2</v>
      </c>
      <c r="V29" s="73">
        <v>4.1999999999999997E-3</v>
      </c>
      <c r="W29" s="73">
        <v>5.0299999999999997E-2</v>
      </c>
      <c r="X29" s="73">
        <v>4.3099999999999999E-2</v>
      </c>
      <c r="Y29" s="82">
        <v>0.1076</v>
      </c>
      <c r="Z29" s="49">
        <v>0.02</v>
      </c>
      <c r="AA29" s="49">
        <v>1.95E-2</v>
      </c>
      <c r="AB29" s="49">
        <v>2.1499999999999998E-2</v>
      </c>
      <c r="AC29" s="49">
        <v>3.5000000000000001E-3</v>
      </c>
      <c r="AD29" s="49">
        <v>4.3099999999999999E-2</v>
      </c>
      <c r="AE29" s="82">
        <v>0.20660000000000001</v>
      </c>
      <c r="AF29" s="49">
        <v>0.16350000000000001</v>
      </c>
      <c r="AG29" s="49">
        <v>4.3099999999999999E-2</v>
      </c>
      <c r="AI29" s="25"/>
    </row>
    <row r="30" spans="1:65" x14ac:dyDescent="0.2">
      <c r="A30" s="13">
        <f t="shared" si="1"/>
        <v>1440000.01</v>
      </c>
      <c r="B30" s="13">
        <v>1620000</v>
      </c>
      <c r="C30" s="79">
        <v>9.0300000000000005E-2</v>
      </c>
      <c r="D30" s="49">
        <v>4.1999999999999997E-3</v>
      </c>
      <c r="E30" s="49">
        <v>4.1999999999999997E-3</v>
      </c>
      <c r="F30" s="49">
        <v>1.2500000000000001E-2</v>
      </c>
      <c r="G30" s="49">
        <v>3.0000000000000001E-3</v>
      </c>
      <c r="H30" s="49">
        <v>3.5700000000000003E-2</v>
      </c>
      <c r="I30" s="49">
        <v>3.0700000000000002E-2</v>
      </c>
      <c r="J30" s="80">
        <v>9.530000000000001E-2</v>
      </c>
      <c r="K30" s="49">
        <v>4.1999999999999997E-3</v>
      </c>
      <c r="L30" s="49">
        <v>4.1999999999999997E-3</v>
      </c>
      <c r="M30" s="49">
        <v>1.2500000000000001E-2</v>
      </c>
      <c r="N30" s="49">
        <v>3.0000000000000001E-3</v>
      </c>
      <c r="O30" s="49">
        <v>3.5700000000000003E-2</v>
      </c>
      <c r="P30" s="49">
        <v>3.0700000000000002E-2</v>
      </c>
      <c r="Q30" s="49">
        <v>5.0000000000000001E-3</v>
      </c>
      <c r="R30" s="81">
        <v>0.13550000000000001</v>
      </c>
      <c r="S30" s="73">
        <v>6.3E-3</v>
      </c>
      <c r="T30" s="73">
        <v>6.1000000000000004E-3</v>
      </c>
      <c r="U30" s="73">
        <v>1.8800000000000001E-2</v>
      </c>
      <c r="V30" s="73">
        <v>4.4999999999999997E-3</v>
      </c>
      <c r="W30" s="73">
        <v>5.3699999999999998E-2</v>
      </c>
      <c r="X30" s="73">
        <v>4.6100000000000002E-2</v>
      </c>
      <c r="Y30" s="82">
        <v>0.11509999999999999</v>
      </c>
      <c r="Z30" s="49">
        <v>2.3699999999999999E-2</v>
      </c>
      <c r="AA30" s="49">
        <v>1.9699999999999999E-2</v>
      </c>
      <c r="AB30" s="49">
        <v>2.1899999999999999E-2</v>
      </c>
      <c r="AC30" s="49">
        <v>3.7000000000000002E-3</v>
      </c>
      <c r="AD30" s="49">
        <v>4.6100000000000002E-2</v>
      </c>
      <c r="AE30" s="82">
        <v>0.2117</v>
      </c>
      <c r="AF30" s="49">
        <v>0.1656</v>
      </c>
      <c r="AG30" s="49">
        <v>4.6100000000000002E-2</v>
      </c>
      <c r="AI30" s="25"/>
    </row>
    <row r="31" spans="1:65" x14ac:dyDescent="0.2">
      <c r="A31" s="13">
        <f t="shared" si="1"/>
        <v>1620000.01</v>
      </c>
      <c r="B31" s="13">
        <v>1800000</v>
      </c>
      <c r="C31" s="79">
        <v>9.1200000000000003E-2</v>
      </c>
      <c r="D31" s="49">
        <v>4.3E-3</v>
      </c>
      <c r="E31" s="49">
        <v>4.3E-3</v>
      </c>
      <c r="F31" s="49">
        <v>1.26E-2</v>
      </c>
      <c r="G31" s="49">
        <v>3.0000000000000001E-3</v>
      </c>
      <c r="H31" s="49">
        <v>3.5999999999999997E-2</v>
      </c>
      <c r="I31" s="49">
        <v>3.1E-2</v>
      </c>
      <c r="J31" s="80">
        <v>9.6200000000000008E-2</v>
      </c>
      <c r="K31" s="49">
        <v>4.1999999999999997E-3</v>
      </c>
      <c r="L31" s="49">
        <v>4.1999999999999997E-3</v>
      </c>
      <c r="M31" s="49">
        <v>1.26E-2</v>
      </c>
      <c r="N31" s="49">
        <v>3.0000000000000001E-3</v>
      </c>
      <c r="O31" s="49">
        <v>3.6200000000000003E-2</v>
      </c>
      <c r="P31" s="49">
        <v>3.1E-2</v>
      </c>
      <c r="Q31" s="49">
        <v>5.0000000000000001E-3</v>
      </c>
      <c r="R31" s="81">
        <v>0.13679999999999998</v>
      </c>
      <c r="S31" s="73">
        <v>6.3E-3</v>
      </c>
      <c r="T31" s="73">
        <v>6.4000000000000003E-3</v>
      </c>
      <c r="U31" s="73">
        <v>1.89E-2</v>
      </c>
      <c r="V31" s="73">
        <v>4.4999999999999997E-3</v>
      </c>
      <c r="W31" s="73">
        <v>5.4199999999999998E-2</v>
      </c>
      <c r="X31" s="73">
        <v>4.65E-2</v>
      </c>
      <c r="Y31" s="82">
        <v>0.12</v>
      </c>
      <c r="Z31" s="49">
        <v>2.7400000000000001E-2</v>
      </c>
      <c r="AA31" s="49">
        <v>0.02</v>
      </c>
      <c r="AB31" s="49">
        <v>2.23E-2</v>
      </c>
      <c r="AC31" s="49">
        <v>3.8E-3</v>
      </c>
      <c r="AD31" s="49">
        <v>4.65E-2</v>
      </c>
      <c r="AE31" s="82">
        <v>0.21379999999999999</v>
      </c>
      <c r="AF31" s="49">
        <v>0.1673</v>
      </c>
      <c r="AG31" s="49">
        <v>4.65E-2</v>
      </c>
      <c r="AI31" s="25"/>
    </row>
    <row r="32" spans="1:65" x14ac:dyDescent="0.2">
      <c r="A32" s="13">
        <f t="shared" si="1"/>
        <v>1800000.01</v>
      </c>
      <c r="B32" s="13">
        <v>1980000</v>
      </c>
      <c r="C32" s="79">
        <v>9.9500000000000005E-2</v>
      </c>
      <c r="D32" s="49">
        <v>4.5999999999999999E-3</v>
      </c>
      <c r="E32" s="49">
        <v>4.5999999999999999E-3</v>
      </c>
      <c r="F32" s="49">
        <v>1.38E-2</v>
      </c>
      <c r="G32" s="49">
        <v>3.3E-3</v>
      </c>
      <c r="H32" s="49">
        <v>3.9399999999999998E-2</v>
      </c>
      <c r="I32" s="49">
        <v>3.3799999999999997E-2</v>
      </c>
      <c r="J32" s="80">
        <v>0.1045</v>
      </c>
      <c r="K32" s="49">
        <v>4.5999999999999999E-3</v>
      </c>
      <c r="L32" s="49">
        <v>4.5999999999999999E-3</v>
      </c>
      <c r="M32" s="49">
        <v>1.38E-2</v>
      </c>
      <c r="N32" s="49">
        <v>3.3E-3</v>
      </c>
      <c r="O32" s="49">
        <v>3.9399999999999998E-2</v>
      </c>
      <c r="P32" s="49">
        <v>3.3799999999999997E-2</v>
      </c>
      <c r="Q32" s="49">
        <v>5.0000000000000001E-3</v>
      </c>
      <c r="R32" s="81">
        <v>0.14929999999999999</v>
      </c>
      <c r="S32" s="73">
        <v>6.8999999999999999E-3</v>
      </c>
      <c r="T32" s="73">
        <v>6.8999999999999999E-3</v>
      </c>
      <c r="U32" s="73">
        <v>2.07E-2</v>
      </c>
      <c r="V32" s="73">
        <v>5.0000000000000001E-3</v>
      </c>
      <c r="W32" s="73">
        <v>5.9799999999999999E-2</v>
      </c>
      <c r="X32" s="73">
        <v>0.05</v>
      </c>
      <c r="Y32" s="82">
        <v>0.128</v>
      </c>
      <c r="Z32" s="49">
        <v>3.1199999999999999E-2</v>
      </c>
      <c r="AA32" s="49">
        <v>2.01E-2</v>
      </c>
      <c r="AB32" s="49">
        <v>2.2700000000000001E-2</v>
      </c>
      <c r="AC32" s="49">
        <v>4.0000000000000001E-3</v>
      </c>
      <c r="AD32" s="49">
        <v>0.05</v>
      </c>
      <c r="AE32" s="82">
        <v>0.21860000000000002</v>
      </c>
      <c r="AF32" s="49">
        <v>0.1686</v>
      </c>
      <c r="AG32" s="49">
        <v>0.05</v>
      </c>
      <c r="AI32" s="25"/>
    </row>
    <row r="33" spans="1:35" x14ac:dyDescent="0.2">
      <c r="A33" s="13">
        <f t="shared" si="1"/>
        <v>1980000.01</v>
      </c>
      <c r="B33" s="13">
        <v>2160000</v>
      </c>
      <c r="C33" s="79">
        <v>0.1004</v>
      </c>
      <c r="D33" s="49">
        <v>4.5999999999999999E-3</v>
      </c>
      <c r="E33" s="49">
        <v>4.5999999999999999E-3</v>
      </c>
      <c r="F33" s="49">
        <v>1.3899999999999999E-2</v>
      </c>
      <c r="G33" s="49">
        <v>3.3E-3</v>
      </c>
      <c r="H33" s="49">
        <v>3.9899999999999998E-2</v>
      </c>
      <c r="I33" s="49">
        <v>3.4099999999999998E-2</v>
      </c>
      <c r="J33" s="80">
        <v>0.10539999999999999</v>
      </c>
      <c r="K33" s="49">
        <v>4.5999999999999999E-3</v>
      </c>
      <c r="L33" s="49">
        <v>4.5999999999999999E-3</v>
      </c>
      <c r="M33" s="49">
        <v>1.3899999999999999E-2</v>
      </c>
      <c r="N33" s="49">
        <v>3.3E-3</v>
      </c>
      <c r="O33" s="49">
        <v>3.9899999999999998E-2</v>
      </c>
      <c r="P33" s="49">
        <v>3.4099999999999998E-2</v>
      </c>
      <c r="Q33" s="49">
        <v>5.0000000000000001E-3</v>
      </c>
      <c r="R33" s="81">
        <v>0.15060000000000001</v>
      </c>
      <c r="S33" s="73">
        <v>6.8999999999999999E-3</v>
      </c>
      <c r="T33" s="73">
        <v>6.8999999999999999E-3</v>
      </c>
      <c r="U33" s="73">
        <v>2.0899999999999998E-2</v>
      </c>
      <c r="V33" s="73">
        <v>5.0000000000000001E-3</v>
      </c>
      <c r="W33" s="73">
        <v>6.0900000000000003E-2</v>
      </c>
      <c r="X33" s="73">
        <v>0.05</v>
      </c>
      <c r="Y33" s="82">
        <v>0.13250000000000001</v>
      </c>
      <c r="Z33" s="49">
        <v>3.49E-2</v>
      </c>
      <c r="AA33" s="49">
        <v>2.0299999999999999E-2</v>
      </c>
      <c r="AB33" s="49">
        <v>2.3099999999999999E-2</v>
      </c>
      <c r="AC33" s="49">
        <v>4.1999999999999997E-3</v>
      </c>
      <c r="AD33" s="49">
        <v>0.05</v>
      </c>
      <c r="AE33" s="82">
        <v>0.21970000000000001</v>
      </c>
      <c r="AF33" s="49">
        <v>0.16969999999999999</v>
      </c>
      <c r="AG33" s="49">
        <v>0.05</v>
      </c>
      <c r="AI33" s="25"/>
    </row>
    <row r="34" spans="1:35" x14ac:dyDescent="0.2">
      <c r="A34" s="13">
        <f t="shared" si="1"/>
        <v>2160000.0099999998</v>
      </c>
      <c r="B34" s="13">
        <v>2340000</v>
      </c>
      <c r="C34" s="79">
        <v>0.1013</v>
      </c>
      <c r="D34" s="49">
        <v>4.7000000000000002E-3</v>
      </c>
      <c r="E34" s="49">
        <v>4.7000000000000002E-3</v>
      </c>
      <c r="F34" s="49">
        <v>1.4E-2</v>
      </c>
      <c r="G34" s="49">
        <v>3.3E-3</v>
      </c>
      <c r="H34" s="49">
        <v>4.0099999999999997E-2</v>
      </c>
      <c r="I34" s="49">
        <v>3.4500000000000003E-2</v>
      </c>
      <c r="J34" s="80">
        <v>0.10630000000000001</v>
      </c>
      <c r="K34" s="49">
        <v>4.7000000000000002E-3</v>
      </c>
      <c r="L34" s="49">
        <v>4.7000000000000002E-3</v>
      </c>
      <c r="M34" s="49">
        <v>1.4E-2</v>
      </c>
      <c r="N34" s="49">
        <v>3.3E-3</v>
      </c>
      <c r="O34" s="49">
        <v>4.0099999999999997E-2</v>
      </c>
      <c r="P34" s="49">
        <v>3.4500000000000003E-2</v>
      </c>
      <c r="Q34" s="49">
        <v>5.0000000000000001E-3</v>
      </c>
      <c r="R34" s="81">
        <v>0.15200000000000002</v>
      </c>
      <c r="S34" s="73">
        <v>7.1000000000000004E-3</v>
      </c>
      <c r="T34" s="73">
        <v>7.0000000000000001E-3</v>
      </c>
      <c r="U34" s="73">
        <v>2.1000000000000001E-2</v>
      </c>
      <c r="V34" s="73">
        <v>5.0000000000000001E-3</v>
      </c>
      <c r="W34" s="73">
        <v>6.1899999999999997E-2</v>
      </c>
      <c r="X34" s="73">
        <v>0.05</v>
      </c>
      <c r="Y34" s="82">
        <v>0.13700000000000001</v>
      </c>
      <c r="Z34" s="49">
        <v>3.8600000000000002E-2</v>
      </c>
      <c r="AA34" s="49">
        <v>2.0500000000000001E-2</v>
      </c>
      <c r="AB34" s="49">
        <v>2.35E-2</v>
      </c>
      <c r="AC34" s="49">
        <v>4.4000000000000003E-3</v>
      </c>
      <c r="AD34" s="49">
        <v>0.05</v>
      </c>
      <c r="AE34" s="82">
        <v>0.22060000000000002</v>
      </c>
      <c r="AF34" s="49">
        <v>0.1706</v>
      </c>
      <c r="AG34" s="49">
        <v>0.05</v>
      </c>
      <c r="AI34" s="25"/>
    </row>
    <row r="35" spans="1:35" x14ac:dyDescent="0.2">
      <c r="A35" s="13">
        <f t="shared" si="1"/>
        <v>2340000.0099999998</v>
      </c>
      <c r="B35" s="13">
        <v>2520000</v>
      </c>
      <c r="C35" s="79">
        <v>0.1023</v>
      </c>
      <c r="D35" s="49">
        <v>4.7000000000000002E-3</v>
      </c>
      <c r="E35" s="49">
        <v>4.7000000000000002E-3</v>
      </c>
      <c r="F35" s="49">
        <v>1.4200000000000001E-2</v>
      </c>
      <c r="G35" s="49">
        <v>3.3999999999999998E-3</v>
      </c>
      <c r="H35" s="49">
        <v>4.0500000000000001E-2</v>
      </c>
      <c r="I35" s="49">
        <v>3.4799999999999998E-2</v>
      </c>
      <c r="J35" s="80">
        <v>0.10730000000000001</v>
      </c>
      <c r="K35" s="49">
        <v>4.7000000000000002E-3</v>
      </c>
      <c r="L35" s="49">
        <v>4.7000000000000002E-3</v>
      </c>
      <c r="M35" s="49">
        <v>1.4200000000000001E-2</v>
      </c>
      <c r="N35" s="49">
        <v>3.3999999999999998E-3</v>
      </c>
      <c r="O35" s="49">
        <v>4.0500000000000001E-2</v>
      </c>
      <c r="P35" s="49">
        <v>3.4799999999999998E-2</v>
      </c>
      <c r="Q35" s="49">
        <v>5.0000000000000001E-3</v>
      </c>
      <c r="R35" s="81">
        <v>0.15350000000000003</v>
      </c>
      <c r="S35" s="73">
        <v>7.1000000000000004E-3</v>
      </c>
      <c r="T35" s="73">
        <v>7.0000000000000001E-3</v>
      </c>
      <c r="U35" s="73">
        <v>2.1299999999999999E-2</v>
      </c>
      <c r="V35" s="73">
        <v>5.1000000000000004E-3</v>
      </c>
      <c r="W35" s="73">
        <v>6.3E-2</v>
      </c>
      <c r="X35" s="73">
        <v>0.05</v>
      </c>
      <c r="Y35" s="82">
        <v>0.14150000000000001</v>
      </c>
      <c r="Z35" s="49">
        <v>4.2299999999999997E-2</v>
      </c>
      <c r="AA35" s="49">
        <v>2.07E-2</v>
      </c>
      <c r="AB35" s="49">
        <v>2.3900000000000001E-2</v>
      </c>
      <c r="AC35" s="49">
        <v>4.5999999999999999E-3</v>
      </c>
      <c r="AD35" s="49">
        <v>0.05</v>
      </c>
      <c r="AE35" s="82">
        <v>0.22139999999999999</v>
      </c>
      <c r="AF35" s="49">
        <v>0.1714</v>
      </c>
      <c r="AG35" s="49">
        <v>0.05</v>
      </c>
      <c r="AI35" s="25"/>
    </row>
    <row r="36" spans="1:35" x14ac:dyDescent="0.2">
      <c r="A36" s="13">
        <f t="shared" si="1"/>
        <v>2520000.0099999998</v>
      </c>
      <c r="B36" s="13">
        <v>2700000</v>
      </c>
      <c r="C36" s="79">
        <v>0.1032</v>
      </c>
      <c r="D36" s="49">
        <v>4.7999999999999996E-3</v>
      </c>
      <c r="E36" s="49">
        <v>4.7999999999999996E-3</v>
      </c>
      <c r="F36" s="49">
        <v>1.43E-2</v>
      </c>
      <c r="G36" s="49">
        <v>3.3999999999999998E-3</v>
      </c>
      <c r="H36" s="49">
        <v>4.0800000000000003E-2</v>
      </c>
      <c r="I36" s="49">
        <v>3.5099999999999999E-2</v>
      </c>
      <c r="J36" s="80">
        <v>0.10819999999999999</v>
      </c>
      <c r="K36" s="49">
        <v>4.7999999999999996E-3</v>
      </c>
      <c r="L36" s="49">
        <v>4.7999999999999996E-3</v>
      </c>
      <c r="M36" s="49">
        <v>1.43E-2</v>
      </c>
      <c r="N36" s="49">
        <v>3.3999999999999998E-3</v>
      </c>
      <c r="O36" s="49">
        <v>4.0800000000000003E-2</v>
      </c>
      <c r="P36" s="49">
        <v>3.5099999999999999E-2</v>
      </c>
      <c r="Q36" s="49">
        <v>5.0000000000000001E-3</v>
      </c>
      <c r="R36" s="81">
        <v>0.15479999999999999</v>
      </c>
      <c r="S36" s="73">
        <v>7.1999999999999998E-3</v>
      </c>
      <c r="T36" s="73">
        <v>7.0000000000000001E-3</v>
      </c>
      <c r="U36" s="73">
        <v>2.1499999999999998E-2</v>
      </c>
      <c r="V36" s="73">
        <v>5.1000000000000004E-3</v>
      </c>
      <c r="W36" s="73">
        <v>6.4000000000000001E-2</v>
      </c>
      <c r="X36" s="73">
        <v>0.05</v>
      </c>
      <c r="Y36" s="82">
        <v>0.14600000000000002</v>
      </c>
      <c r="Z36" s="49">
        <v>4.5999999999999999E-2</v>
      </c>
      <c r="AA36" s="49">
        <v>2.1000000000000001E-2</v>
      </c>
      <c r="AB36" s="49">
        <v>2.4299999999999999E-2</v>
      </c>
      <c r="AC36" s="49">
        <v>4.7000000000000002E-3</v>
      </c>
      <c r="AD36" s="49">
        <v>0.05</v>
      </c>
      <c r="AE36" s="82">
        <v>0.22210000000000002</v>
      </c>
      <c r="AF36" s="49">
        <v>0.1721</v>
      </c>
      <c r="AG36" s="49">
        <v>0.05</v>
      </c>
      <c r="AI36" s="25"/>
    </row>
    <row r="37" spans="1:35" x14ac:dyDescent="0.2">
      <c r="A37" s="13">
        <f t="shared" si="1"/>
        <v>2700000.01</v>
      </c>
      <c r="B37" s="13">
        <v>2880000</v>
      </c>
      <c r="C37" s="79">
        <v>0.1123</v>
      </c>
      <c r="D37" s="49">
        <v>5.1999999999999998E-3</v>
      </c>
      <c r="E37" s="49">
        <v>5.1999999999999998E-3</v>
      </c>
      <c r="F37" s="49">
        <v>1.5599999999999999E-2</v>
      </c>
      <c r="G37" s="49">
        <v>3.7000000000000002E-3</v>
      </c>
      <c r="H37" s="49">
        <v>4.4400000000000002E-2</v>
      </c>
      <c r="I37" s="49">
        <v>3.8199999999999998E-2</v>
      </c>
      <c r="J37" s="80">
        <v>0.1173</v>
      </c>
      <c r="K37" s="49">
        <v>5.1999999999999998E-3</v>
      </c>
      <c r="L37" s="49">
        <v>5.1999999999999998E-3</v>
      </c>
      <c r="M37" s="49">
        <v>1.5599999999999999E-2</v>
      </c>
      <c r="N37" s="49">
        <v>3.7000000000000002E-3</v>
      </c>
      <c r="O37" s="49">
        <v>4.4400000000000002E-2</v>
      </c>
      <c r="P37" s="49">
        <v>3.8199999999999998E-2</v>
      </c>
      <c r="Q37" s="49">
        <v>5.0000000000000001E-3</v>
      </c>
      <c r="R37" s="81">
        <v>0.16849999999999998</v>
      </c>
      <c r="S37" s="73">
        <v>7.7999999999999996E-3</v>
      </c>
      <c r="T37" s="73">
        <v>7.6E-3</v>
      </c>
      <c r="U37" s="73">
        <v>2.3400000000000001E-2</v>
      </c>
      <c r="V37" s="73">
        <v>5.5999999999999999E-3</v>
      </c>
      <c r="W37" s="73">
        <v>7.4099999999999999E-2</v>
      </c>
      <c r="X37" s="73">
        <v>0.05</v>
      </c>
      <c r="Y37" s="82">
        <v>0.15050000000000002</v>
      </c>
      <c r="Z37" s="49">
        <v>4.9000000000000002E-2</v>
      </c>
      <c r="AA37" s="49">
        <v>2.1899999999999999E-2</v>
      </c>
      <c r="AB37" s="49">
        <v>2.47E-2</v>
      </c>
      <c r="AC37" s="49">
        <v>4.8999999999999998E-3</v>
      </c>
      <c r="AD37" s="49">
        <v>0.05</v>
      </c>
      <c r="AE37" s="82">
        <v>0.22210000000000002</v>
      </c>
      <c r="AF37" s="49">
        <v>0.1721</v>
      </c>
      <c r="AG37" s="49">
        <v>0.05</v>
      </c>
      <c r="AI37" s="25"/>
    </row>
    <row r="38" spans="1:35" x14ac:dyDescent="0.2">
      <c r="A38" s="13">
        <f t="shared" si="1"/>
        <v>2880000.01</v>
      </c>
      <c r="B38" s="13">
        <v>3060000</v>
      </c>
      <c r="C38" s="79">
        <v>0.1132</v>
      </c>
      <c r="D38" s="49">
        <v>5.1999999999999998E-3</v>
      </c>
      <c r="E38" s="49">
        <v>5.1999999999999998E-3</v>
      </c>
      <c r="F38" s="49">
        <v>1.5699999999999999E-2</v>
      </c>
      <c r="G38" s="49">
        <v>3.7000000000000002E-3</v>
      </c>
      <c r="H38" s="49">
        <v>4.4900000000000002E-2</v>
      </c>
      <c r="I38" s="49">
        <v>3.85E-2</v>
      </c>
      <c r="J38" s="80">
        <v>0.1182</v>
      </c>
      <c r="K38" s="49">
        <v>5.1999999999999998E-3</v>
      </c>
      <c r="L38" s="49">
        <v>5.1999999999999998E-3</v>
      </c>
      <c r="M38" s="49">
        <v>1.5699999999999999E-2</v>
      </c>
      <c r="N38" s="49">
        <v>3.7000000000000002E-3</v>
      </c>
      <c r="O38" s="49">
        <v>4.4900000000000002E-2</v>
      </c>
      <c r="P38" s="49">
        <v>3.85E-2</v>
      </c>
      <c r="Q38" s="49">
        <v>5.0000000000000001E-3</v>
      </c>
      <c r="R38" s="81">
        <v>0.16980000000000001</v>
      </c>
      <c r="S38" s="73">
        <v>7.7999999999999996E-3</v>
      </c>
      <c r="T38" s="73">
        <v>7.7999999999999996E-3</v>
      </c>
      <c r="U38" s="73">
        <v>2.3599999999999999E-2</v>
      </c>
      <c r="V38" s="73">
        <v>5.5999999999999999E-3</v>
      </c>
      <c r="W38" s="73">
        <v>7.4999999999999997E-2</v>
      </c>
      <c r="X38" s="73">
        <v>0.05</v>
      </c>
      <c r="Y38" s="82">
        <v>0.15500000000000003</v>
      </c>
      <c r="Z38" s="49">
        <v>5.21E-2</v>
      </c>
      <c r="AA38" s="49">
        <v>2.2700000000000001E-2</v>
      </c>
      <c r="AB38" s="49">
        <v>2.5100000000000001E-2</v>
      </c>
      <c r="AC38" s="49">
        <v>5.1000000000000004E-3</v>
      </c>
      <c r="AD38" s="49">
        <v>0.05</v>
      </c>
      <c r="AE38" s="82">
        <v>0.22320000000000001</v>
      </c>
      <c r="AF38" s="49">
        <v>0.17319999999999999</v>
      </c>
      <c r="AG38" s="49">
        <v>0.05</v>
      </c>
      <c r="AI38" s="25"/>
    </row>
    <row r="39" spans="1:35" x14ac:dyDescent="0.2">
      <c r="A39" s="13">
        <f t="shared" si="1"/>
        <v>3060000.01</v>
      </c>
      <c r="B39" s="13">
        <v>3240000</v>
      </c>
      <c r="C39" s="79">
        <v>0.1142</v>
      </c>
      <c r="D39" s="49">
        <v>5.3E-3</v>
      </c>
      <c r="E39" s="49">
        <v>5.3E-3</v>
      </c>
      <c r="F39" s="49">
        <v>1.5800000000000002E-2</v>
      </c>
      <c r="G39" s="49">
        <v>3.8E-3</v>
      </c>
      <c r="H39" s="49">
        <v>4.5199999999999997E-2</v>
      </c>
      <c r="I39" s="49">
        <v>3.8800000000000001E-2</v>
      </c>
      <c r="J39" s="80">
        <v>0.1192</v>
      </c>
      <c r="K39" s="49">
        <v>5.3E-3</v>
      </c>
      <c r="L39" s="49">
        <v>5.3E-3</v>
      </c>
      <c r="M39" s="49">
        <v>1.5800000000000002E-2</v>
      </c>
      <c r="N39" s="49">
        <v>3.8E-3</v>
      </c>
      <c r="O39" s="49">
        <v>4.5199999999999997E-2</v>
      </c>
      <c r="P39" s="49">
        <v>3.8800000000000001E-2</v>
      </c>
      <c r="Q39" s="49">
        <v>5.0000000000000001E-3</v>
      </c>
      <c r="R39" s="81">
        <v>0.17130000000000001</v>
      </c>
      <c r="S39" s="73">
        <v>8.0000000000000002E-3</v>
      </c>
      <c r="T39" s="73">
        <v>7.9000000000000008E-3</v>
      </c>
      <c r="U39" s="73">
        <v>2.3699999999999999E-2</v>
      </c>
      <c r="V39" s="73">
        <v>5.7000000000000002E-3</v>
      </c>
      <c r="W39" s="73">
        <v>7.5999999999999998E-2</v>
      </c>
      <c r="X39" s="73">
        <v>0.05</v>
      </c>
      <c r="Y39" s="82">
        <v>0.1595</v>
      </c>
      <c r="Z39" s="49">
        <v>5.5100000000000003E-2</v>
      </c>
      <c r="AA39" s="49">
        <v>2.3599999999999999E-2</v>
      </c>
      <c r="AB39" s="49">
        <v>2.5499999999999998E-2</v>
      </c>
      <c r="AC39" s="49">
        <v>5.3E-3</v>
      </c>
      <c r="AD39" s="49">
        <v>0.05</v>
      </c>
      <c r="AE39" s="82">
        <v>0.22370000000000001</v>
      </c>
      <c r="AF39" s="49">
        <v>0.17369999999999999</v>
      </c>
      <c r="AG39" s="49">
        <v>0.05</v>
      </c>
      <c r="AI39" s="25"/>
    </row>
    <row r="40" spans="1:35" x14ac:dyDescent="0.2">
      <c r="A40" s="13">
        <f t="shared" si="1"/>
        <v>3240000.01</v>
      </c>
      <c r="B40" s="13">
        <v>3420000</v>
      </c>
      <c r="C40" s="79">
        <v>0.11509999999999999</v>
      </c>
      <c r="D40" s="49">
        <v>5.3E-3</v>
      </c>
      <c r="E40" s="49">
        <v>5.3E-3</v>
      </c>
      <c r="F40" s="49">
        <v>1.6E-2</v>
      </c>
      <c r="G40" s="49">
        <v>3.8E-3</v>
      </c>
      <c r="H40" s="49">
        <v>4.5600000000000002E-2</v>
      </c>
      <c r="I40" s="49">
        <v>3.9100000000000003E-2</v>
      </c>
      <c r="J40" s="80">
        <v>0.12010000000000001</v>
      </c>
      <c r="K40" s="49">
        <v>5.3E-3</v>
      </c>
      <c r="L40" s="49">
        <v>5.3E-3</v>
      </c>
      <c r="M40" s="49">
        <v>1.6E-2</v>
      </c>
      <c r="N40" s="49">
        <v>3.8E-3</v>
      </c>
      <c r="O40" s="49">
        <v>4.5600000000000002E-2</v>
      </c>
      <c r="P40" s="49">
        <v>3.9100000000000003E-2</v>
      </c>
      <c r="Q40" s="49">
        <v>5.0000000000000001E-3</v>
      </c>
      <c r="R40" s="81">
        <v>0.17270000000000002</v>
      </c>
      <c r="S40" s="73">
        <v>8.0000000000000002E-3</v>
      </c>
      <c r="T40" s="73">
        <v>7.9000000000000008E-3</v>
      </c>
      <c r="U40" s="73">
        <v>2.4E-2</v>
      </c>
      <c r="V40" s="73">
        <v>5.7000000000000002E-3</v>
      </c>
      <c r="W40" s="73">
        <v>7.7100000000000002E-2</v>
      </c>
      <c r="X40" s="73">
        <v>0.05</v>
      </c>
      <c r="Y40" s="82">
        <v>0.16400000000000003</v>
      </c>
      <c r="Z40" s="49">
        <v>5.8099999999999999E-2</v>
      </c>
      <c r="AA40" s="49">
        <v>2.4500000000000001E-2</v>
      </c>
      <c r="AB40" s="49">
        <v>2.5899999999999999E-2</v>
      </c>
      <c r="AC40" s="49">
        <v>5.4999999999999997E-3</v>
      </c>
      <c r="AD40" s="49">
        <v>0.05</v>
      </c>
      <c r="AE40" s="82">
        <v>0.22410000000000002</v>
      </c>
      <c r="AF40" s="49">
        <v>0.1741</v>
      </c>
      <c r="AG40" s="49">
        <v>0.05</v>
      </c>
      <c r="AI40" s="25"/>
    </row>
    <row r="41" spans="1:35" x14ac:dyDescent="0.2">
      <c r="A41" s="13">
        <f>B40+0.01</f>
        <v>3420000.01</v>
      </c>
      <c r="B41" s="13">
        <v>3600000</v>
      </c>
      <c r="C41" s="79">
        <v>0.11609999999999999</v>
      </c>
      <c r="D41" s="49">
        <v>5.4000000000000003E-3</v>
      </c>
      <c r="E41" s="49">
        <v>5.4000000000000003E-3</v>
      </c>
      <c r="F41" s="49">
        <v>1.6E-2</v>
      </c>
      <c r="G41" s="49">
        <v>3.8E-3</v>
      </c>
      <c r="H41" s="49">
        <v>4.5999999999999999E-2</v>
      </c>
      <c r="I41" s="49">
        <v>3.95E-2</v>
      </c>
      <c r="J41" s="80">
        <v>0.12110000000000001</v>
      </c>
      <c r="K41" s="49">
        <v>5.4000000000000003E-3</v>
      </c>
      <c r="L41" s="49">
        <v>5.4000000000000003E-3</v>
      </c>
      <c r="M41" s="49">
        <v>1.6E-2</v>
      </c>
      <c r="N41" s="49">
        <v>3.8E-3</v>
      </c>
      <c r="O41" s="49">
        <v>4.5999999999999999E-2</v>
      </c>
      <c r="P41" s="49">
        <v>3.95E-2</v>
      </c>
      <c r="Q41" s="49">
        <v>5.0000000000000001E-3</v>
      </c>
      <c r="R41" s="81">
        <v>0.17419999999999999</v>
      </c>
      <c r="S41" s="73">
        <v>8.0999999999999996E-3</v>
      </c>
      <c r="T41" s="73">
        <v>7.9000000000000008E-3</v>
      </c>
      <c r="U41" s="73">
        <v>2.4199999999999999E-2</v>
      </c>
      <c r="V41" s="73">
        <v>5.7000000000000002E-3</v>
      </c>
      <c r="W41" s="73">
        <v>7.8299999999999995E-2</v>
      </c>
      <c r="X41" s="73">
        <v>0.05</v>
      </c>
      <c r="Y41" s="82">
        <v>0.16849999999999998</v>
      </c>
      <c r="Z41" s="49">
        <v>6.1199999999999997E-2</v>
      </c>
      <c r="AA41" s="49">
        <v>2.53E-2</v>
      </c>
      <c r="AB41" s="49">
        <v>2.63E-2</v>
      </c>
      <c r="AC41" s="49">
        <v>5.7000000000000002E-3</v>
      </c>
      <c r="AD41" s="49">
        <v>0.05</v>
      </c>
      <c r="AE41" s="82">
        <v>0.22449999999999998</v>
      </c>
      <c r="AF41" s="49">
        <v>0.17449999999999999</v>
      </c>
      <c r="AG41" s="49">
        <v>0.05</v>
      </c>
      <c r="AI41" s="25"/>
    </row>
    <row r="44" spans="1:35" x14ac:dyDescent="0.2">
      <c r="A44" s="28" t="s">
        <v>1</v>
      </c>
      <c r="B44" s="29" t="s">
        <v>23</v>
      </c>
    </row>
    <row r="45" spans="1:35" x14ac:dyDescent="0.2">
      <c r="A45" s="28" t="s">
        <v>2</v>
      </c>
      <c r="B45" s="29" t="s">
        <v>24</v>
      </c>
    </row>
    <row r="46" spans="1:35" x14ac:dyDescent="0.2">
      <c r="A46" s="28" t="s">
        <v>26</v>
      </c>
      <c r="B46" s="12" t="s">
        <v>30</v>
      </c>
    </row>
    <row r="47" spans="1:35" x14ac:dyDescent="0.2">
      <c r="A47" s="28" t="s">
        <v>3</v>
      </c>
      <c r="B47" s="12" t="s">
        <v>29</v>
      </c>
    </row>
    <row r="48" spans="1:35" x14ac:dyDescent="0.2">
      <c r="A48" s="28" t="s">
        <v>27</v>
      </c>
      <c r="B48" s="12" t="s">
        <v>28</v>
      </c>
    </row>
    <row r="49" spans="1:2" x14ac:dyDescent="0.2">
      <c r="A49" s="28" t="s">
        <v>93</v>
      </c>
      <c r="B49" s="12" t="s">
        <v>96</v>
      </c>
    </row>
    <row r="51" spans="1:2" x14ac:dyDescent="0.2">
      <c r="A51" s="25" t="s">
        <v>74</v>
      </c>
    </row>
    <row r="52" spans="1:2" x14ac:dyDescent="0.2">
      <c r="B52" s="12" t="s">
        <v>75</v>
      </c>
    </row>
    <row r="53" spans="1:2" x14ac:dyDescent="0.2">
      <c r="B53" s="12" t="s">
        <v>76</v>
      </c>
    </row>
    <row r="54" spans="1:2" x14ac:dyDescent="0.2">
      <c r="B54" s="12" t="s">
        <v>77</v>
      </c>
    </row>
    <row r="55" spans="1:2" x14ac:dyDescent="0.2">
      <c r="B55" s="12" t="s">
        <v>78</v>
      </c>
    </row>
    <row r="56" spans="1:2" x14ac:dyDescent="0.2">
      <c r="B56" s="12" t="s">
        <v>79</v>
      </c>
    </row>
    <row r="57" spans="1:2" x14ac:dyDescent="0.2">
      <c r="B57" s="12" t="s">
        <v>80</v>
      </c>
    </row>
    <row r="58" spans="1:2" x14ac:dyDescent="0.2">
      <c r="B58" s="12" t="s">
        <v>81</v>
      </c>
    </row>
    <row r="59" spans="1:2" x14ac:dyDescent="0.2">
      <c r="B59" s="12" t="s">
        <v>82</v>
      </c>
    </row>
    <row r="60" spans="1:2" x14ac:dyDescent="0.2">
      <c r="B60" s="12" t="s">
        <v>83</v>
      </c>
    </row>
    <row r="61" spans="1:2" x14ac:dyDescent="0.2">
      <c r="B61" s="12" t="s">
        <v>84</v>
      </c>
    </row>
    <row r="62" spans="1:2" x14ac:dyDescent="0.2">
      <c r="B62" s="12" t="s">
        <v>85</v>
      </c>
    </row>
    <row r="63" spans="1:2" x14ac:dyDescent="0.2">
      <c r="B63" s="12" t="s">
        <v>86</v>
      </c>
    </row>
    <row r="64" spans="1:2" x14ac:dyDescent="0.2">
      <c r="B64" s="12" t="s">
        <v>87</v>
      </c>
    </row>
    <row r="65" spans="2:2" x14ac:dyDescent="0.2">
      <c r="B65" s="12" t="s">
        <v>88</v>
      </c>
    </row>
    <row r="66" spans="2:2" x14ac:dyDescent="0.2">
      <c r="B66" s="12" t="s">
        <v>89</v>
      </c>
    </row>
    <row r="67" spans="2:2" x14ac:dyDescent="0.2">
      <c r="B67" s="12" t="s">
        <v>90</v>
      </c>
    </row>
  </sheetData>
  <mergeCells count="4">
    <mergeCell ref="AD18:AH18"/>
    <mergeCell ref="A11:B11"/>
    <mergeCell ref="W18:AA18"/>
    <mergeCell ref="A21:B21"/>
  </mergeCells>
  <hyperlinks>
    <hyperlink ref="B2" r:id="rId1" display="LCP 115/16"/>
  </hyperlinks>
  <pageMargins left="0.25" right="0.25" top="0.75" bottom="0.75" header="0.3" footer="0.3"/>
  <pageSetup paperSize="9" orientation="landscape" verticalDpi="120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Simples Nacional</vt:lpstr>
      <vt:lpstr>Simples Nacional Fator "r"</vt:lpstr>
      <vt:lpstr>Anexos</vt:lpstr>
    </vt:vector>
  </TitlesOfParts>
  <Company>Cliente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Cálculo Simples Nacional</dc:title>
  <dc:subject>Impostos</dc:subject>
  <dc:creator>www.funcaocontabil.net</dc:creator>
  <cp:keywords>Função Contábil</cp:keywords>
  <cp:lastModifiedBy>Guilherme Fernando Ferrari</cp:lastModifiedBy>
  <cp:lastPrinted>2017-12-08T17:59:42Z</cp:lastPrinted>
  <dcterms:created xsi:type="dcterms:W3CDTF">2011-04-15T19:05:09Z</dcterms:created>
  <dcterms:modified xsi:type="dcterms:W3CDTF">2018-02-20T20:58:47Z</dcterms:modified>
</cp:coreProperties>
</file>