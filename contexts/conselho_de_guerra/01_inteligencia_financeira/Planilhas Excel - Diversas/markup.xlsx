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STUDOS\CONTABILIDADE\Markup\"/>
    </mc:Choice>
  </mc:AlternateContent>
  <xr:revisionPtr revIDLastSave="0" documentId="10_ncr:8100000_{983517FA-6EBF-4A5E-A678-08948369B4FC}" xr6:coauthVersionLast="33" xr6:coauthVersionMax="33" xr10:uidLastSave="{00000000-0000-0000-0000-000000000000}"/>
  <bookViews>
    <workbookView xWindow="240" yWindow="60" windowWidth="20115" windowHeight="8010" activeTab="1" xr2:uid="{00000000-000D-0000-FFFF-FFFF00000000}"/>
  </bookViews>
  <sheets>
    <sheet name="Mark up " sheetId="2" r:id="rId1"/>
    <sheet name="Markup-sobre revenda" sheetId="1" r:id="rId2"/>
    <sheet name="Plan3" sheetId="3" r:id="rId3"/>
  </sheets>
  <calcPr calcId="162913"/>
</workbook>
</file>

<file path=xl/calcChain.xml><?xml version="1.0" encoding="utf-8"?>
<calcChain xmlns="http://schemas.openxmlformats.org/spreadsheetml/2006/main">
  <c r="B12" i="2" l="1"/>
  <c r="D4" i="2" s="1"/>
  <c r="D14" i="2" s="1"/>
  <c r="C13" i="2"/>
  <c r="E4" i="2" l="1"/>
  <c r="E14" i="2" s="1"/>
  <c r="C4" i="2"/>
  <c r="D5" i="1"/>
  <c r="D6" i="1"/>
  <c r="D7" i="1"/>
  <c r="D8" i="1"/>
  <c r="D9" i="1"/>
  <c r="D4" i="1"/>
  <c r="B10" i="1"/>
  <c r="B13" i="1" s="1"/>
  <c r="B17" i="1" s="1"/>
  <c r="B24" i="1" s="1"/>
  <c r="C7" i="2" l="1"/>
  <c r="C11" i="2"/>
  <c r="C8" i="2"/>
  <c r="C6" i="2"/>
  <c r="C9" i="2"/>
  <c r="C10" i="2"/>
  <c r="E2" i="2"/>
  <c r="E10" i="1"/>
  <c r="C12" i="2" l="1"/>
  <c r="C14" i="2" s="1"/>
</calcChain>
</file>

<file path=xl/sharedStrings.xml><?xml version="1.0" encoding="utf-8"?>
<sst xmlns="http://schemas.openxmlformats.org/spreadsheetml/2006/main" count="36" uniqueCount="33">
  <si>
    <t>ICMS</t>
  </si>
  <si>
    <t>PIS  Cofins</t>
  </si>
  <si>
    <t>Comissão do vendedor</t>
  </si>
  <si>
    <t>Despesas Administrativas</t>
  </si>
  <si>
    <t>Lucro desejado</t>
  </si>
  <si>
    <t>Custo do produto</t>
  </si>
  <si>
    <t>Custo do produto (comprado)</t>
  </si>
  <si>
    <t>Preço de Venda $</t>
  </si>
  <si>
    <t>IPI</t>
  </si>
  <si>
    <t>MKM - Markup Multiplicador</t>
  </si>
  <si>
    <t>MKD = Markup Dividor</t>
  </si>
  <si>
    <t>MKM - 100% / 33,85%</t>
  </si>
  <si>
    <t xml:space="preserve">MKM * preço de custo </t>
  </si>
  <si>
    <t>Cálculo do Preço de venda</t>
  </si>
  <si>
    <t>Cálculo do Custo Total de Venda</t>
  </si>
  <si>
    <t>MKD = (100% - CTV) = (100% - 66,15%)</t>
  </si>
  <si>
    <t>MKM - 100% / MKD</t>
  </si>
  <si>
    <t>Produto</t>
  </si>
  <si>
    <t>Preço de Custo</t>
  </si>
  <si>
    <t>Preço de Venda</t>
  </si>
  <si>
    <t>Margem de lucro</t>
  </si>
  <si>
    <t>Cálculo</t>
  </si>
  <si>
    <t>Markup Div</t>
  </si>
  <si>
    <t>Markup Mult</t>
  </si>
  <si>
    <t>Comissão de venda</t>
  </si>
  <si>
    <t>PIS/Cofins</t>
  </si>
  <si>
    <t>Preço de custo</t>
  </si>
  <si>
    <t>Percentuais</t>
  </si>
  <si>
    <t>Itens</t>
  </si>
  <si>
    <t>Laranja</t>
  </si>
  <si>
    <t>Desp. de Venda</t>
  </si>
  <si>
    <t>Total Custo sobre a Venda</t>
  </si>
  <si>
    <t>PTV - Preço Total de venda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</si>
</sst>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0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2" fillId="0" borderId="0" xfId="0" applyFont="1"/>
    <xf numFmtId="43" fontId="0" fillId="0" borderId="1" xfId="1" applyFont="1" applyBorder="1"/>
    <xf numFmtId="43" fontId="0" fillId="0" borderId="0" xfId="0" applyNumberFormat="1"/>
    <xf numFmtId="43" fontId="0" fillId="0" borderId="0" xfId="1" applyFont="1"/>
    <xf numFmtId="0" fontId="0" fillId="0" borderId="6" xfId="0" applyBorder="1"/>
    <xf numFmtId="10" fontId="0" fillId="0" borderId="7" xfId="2" applyNumberFormat="1" applyFont="1" applyBorder="1"/>
    <xf numFmtId="0" fontId="2" fillId="0" borderId="8" xfId="0" applyFont="1" applyBorder="1"/>
    <xf numFmtId="10" fontId="0" fillId="0" borderId="9" xfId="0" applyNumberFormat="1" applyBorder="1"/>
    <xf numFmtId="0" fontId="0" fillId="3" borderId="10" xfId="0" applyFont="1" applyFill="1" applyBorder="1"/>
    <xf numFmtId="0" fontId="0" fillId="0" borderId="10" xfId="0" applyFont="1" applyBorder="1"/>
    <xf numFmtId="2" fontId="0" fillId="0" borderId="1" xfId="0" applyNumberFormat="1" applyFont="1" applyBorder="1"/>
    <xf numFmtId="2" fontId="0" fillId="3" borderId="1" xfId="0" applyNumberFormat="1" applyFont="1" applyFill="1" applyBorder="1"/>
    <xf numFmtId="0" fontId="2" fillId="3" borderId="10" xfId="0" applyFont="1" applyFill="1" applyBorder="1"/>
    <xf numFmtId="0" fontId="2" fillId="3" borderId="1" xfId="0" applyFont="1" applyFill="1" applyBorder="1"/>
    <xf numFmtId="2" fontId="0" fillId="0" borderId="1" xfId="0" applyNumberFormat="1" applyFont="1" applyBorder="1" applyAlignment="1">
      <alignment horizontal="center"/>
    </xf>
    <xf numFmtId="43" fontId="2" fillId="5" borderId="1" xfId="1" applyNumberFormat="1" applyFont="1" applyFill="1" applyBorder="1"/>
    <xf numFmtId="9" fontId="0" fillId="5" borderId="1" xfId="2" applyNumberFormat="1" applyFont="1" applyFill="1" applyBorder="1"/>
    <xf numFmtId="10" fontId="0" fillId="5" borderId="1" xfId="2" applyNumberFormat="1" applyFont="1" applyFill="1" applyBorder="1"/>
    <xf numFmtId="0" fontId="2" fillId="5" borderId="10" xfId="0" applyFont="1" applyFill="1" applyBorder="1"/>
    <xf numFmtId="10" fontId="2" fillId="0" borderId="1" xfId="2" applyNumberFormat="1" applyFont="1" applyBorder="1"/>
    <xf numFmtId="43" fontId="0" fillId="0" borderId="10" xfId="1" applyNumberFormat="1" applyFont="1" applyBorder="1"/>
    <xf numFmtId="43" fontId="0" fillId="3" borderId="10" xfId="1" applyNumberFormat="1" applyFont="1" applyFill="1" applyBorder="1"/>
    <xf numFmtId="43" fontId="2" fillId="0" borderId="1" xfId="1" applyNumberFormat="1" applyFont="1" applyBorder="1"/>
    <xf numFmtId="43" fontId="2" fillId="3" borderId="10" xfId="1" applyNumberFormat="1" applyFont="1" applyFill="1" applyBorder="1"/>
    <xf numFmtId="0" fontId="2" fillId="3" borderId="7" xfId="0" applyFont="1" applyFill="1" applyBorder="1"/>
    <xf numFmtId="0" fontId="0" fillId="0" borderId="6" xfId="0" applyFont="1" applyBorder="1"/>
    <xf numFmtId="43" fontId="2" fillId="0" borderId="7" xfId="1" applyNumberFormat="1" applyFont="1" applyBorder="1"/>
    <xf numFmtId="0" fontId="0" fillId="3" borderId="6" xfId="0" applyFont="1" applyFill="1" applyBorder="1"/>
    <xf numFmtId="43" fontId="0" fillId="0" borderId="6" xfId="1" applyNumberFormat="1" applyFont="1" applyBorder="1"/>
    <xf numFmtId="2" fontId="0" fillId="0" borderId="7" xfId="0" applyNumberFormat="1" applyFont="1" applyBorder="1" applyAlignment="1">
      <alignment horizontal="center"/>
    </xf>
    <xf numFmtId="43" fontId="0" fillId="3" borderId="6" xfId="1" applyNumberFormat="1" applyFont="1" applyFill="1" applyBorder="1"/>
    <xf numFmtId="2" fontId="0" fillId="3" borderId="7" xfId="0" applyNumberFormat="1" applyFont="1" applyFill="1" applyBorder="1"/>
    <xf numFmtId="0" fontId="0" fillId="4" borderId="6" xfId="0" applyFont="1" applyFill="1" applyBorder="1"/>
    <xf numFmtId="2" fontId="0" fillId="0" borderId="7" xfId="0" applyNumberFormat="1" applyFont="1" applyBorder="1"/>
    <xf numFmtId="0" fontId="2" fillId="4" borderId="6" xfId="0" applyFont="1" applyFill="1" applyBorder="1"/>
    <xf numFmtId="43" fontId="2" fillId="3" borderId="6" xfId="1" applyNumberFormat="1" applyFont="1" applyFill="1" applyBorder="1"/>
    <xf numFmtId="43" fontId="0" fillId="6" borderId="10" xfId="1" applyNumberFormat="1" applyFont="1" applyFill="1" applyBorder="1"/>
    <xf numFmtId="0" fontId="2" fillId="3" borderId="13" xfId="0" applyFont="1" applyFill="1" applyBorder="1"/>
    <xf numFmtId="0" fontId="2" fillId="3" borderId="14" xfId="0" applyFont="1" applyFill="1" applyBorder="1"/>
    <xf numFmtId="0" fontId="2" fillId="3" borderId="15" xfId="0" applyFont="1" applyFill="1" applyBorder="1"/>
    <xf numFmtId="0" fontId="2" fillId="3" borderId="16" xfId="0" applyFont="1" applyFill="1" applyBorder="1"/>
    <xf numFmtId="43" fontId="2" fillId="0" borderId="8" xfId="1" applyNumberFormat="1" applyFont="1" applyBorder="1"/>
    <xf numFmtId="43" fontId="2" fillId="0" borderId="11" xfId="1" applyNumberFormat="1" applyFont="1" applyBorder="1"/>
    <xf numFmtId="2" fontId="2" fillId="0" borderId="12" xfId="0" applyNumberFormat="1" applyFont="1" applyBorder="1"/>
    <xf numFmtId="2" fontId="2" fillId="0" borderId="9" xfId="0" applyNumberFormat="1" applyFont="1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0" fillId="0" borderId="17" xfId="0" applyBorder="1"/>
    <xf numFmtId="2" fontId="0" fillId="0" borderId="1" xfId="0" applyNumberFormat="1" applyBorder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selection activeCell="E14" sqref="E14"/>
    </sheetView>
  </sheetViews>
  <sheetFormatPr defaultRowHeight="15" x14ac:dyDescent="0.25"/>
  <cols>
    <col min="1" max="1" width="24.28515625" bestFit="1" customWidth="1"/>
    <col min="2" max="2" width="11.42578125" bestFit="1" customWidth="1"/>
    <col min="3" max="3" width="8.7109375" bestFit="1" customWidth="1"/>
    <col min="4" max="4" width="14.28515625" bestFit="1" customWidth="1"/>
    <col min="5" max="5" width="15" bestFit="1" customWidth="1"/>
  </cols>
  <sheetData>
    <row r="1" spans="1:8" x14ac:dyDescent="0.25">
      <c r="A1" s="40" t="s">
        <v>28</v>
      </c>
      <c r="B1" s="41" t="s">
        <v>27</v>
      </c>
      <c r="C1" s="41" t="s">
        <v>17</v>
      </c>
      <c r="D1" s="42" t="s">
        <v>18</v>
      </c>
      <c r="E1" s="43" t="s">
        <v>19</v>
      </c>
    </row>
    <row r="2" spans="1:8" x14ac:dyDescent="0.25">
      <c r="A2" s="28"/>
      <c r="B2" s="12"/>
      <c r="C2" s="21" t="s">
        <v>29</v>
      </c>
      <c r="D2" s="18">
        <v>160</v>
      </c>
      <c r="E2" s="29">
        <f>C4</f>
        <v>472.67355982274739</v>
      </c>
    </row>
    <row r="3" spans="1:8" x14ac:dyDescent="0.25">
      <c r="A3" s="30"/>
      <c r="B3" s="11"/>
      <c r="C3" s="15" t="s">
        <v>21</v>
      </c>
      <c r="D3" s="16" t="s">
        <v>22</v>
      </c>
      <c r="E3" s="27" t="s">
        <v>23</v>
      </c>
    </row>
    <row r="4" spans="1:8" x14ac:dyDescent="0.25">
      <c r="A4" s="31"/>
      <c r="B4" s="23"/>
      <c r="C4" s="23">
        <f>D2/D4</f>
        <v>472.67355982274739</v>
      </c>
      <c r="D4" s="17">
        <f>1-B12</f>
        <v>0.33850000000000002</v>
      </c>
      <c r="E4" s="32">
        <f>1/D4</f>
        <v>2.954209748892171</v>
      </c>
    </row>
    <row r="5" spans="1:8" x14ac:dyDescent="0.25">
      <c r="A5" s="33"/>
      <c r="B5" s="24"/>
      <c r="C5" s="24"/>
      <c r="D5" s="14"/>
      <c r="E5" s="34"/>
    </row>
    <row r="6" spans="1:8" x14ac:dyDescent="0.25">
      <c r="A6" s="35" t="s">
        <v>0</v>
      </c>
      <c r="B6" s="19">
        <v>0.18</v>
      </c>
      <c r="C6" s="23">
        <f>B6*$C$4</f>
        <v>85.081240768094531</v>
      </c>
      <c r="D6" s="13"/>
      <c r="E6" s="36"/>
    </row>
    <row r="7" spans="1:8" x14ac:dyDescent="0.25">
      <c r="A7" s="30" t="s">
        <v>8</v>
      </c>
      <c r="B7" s="19">
        <v>0.05</v>
      </c>
      <c r="C7" s="39">
        <f t="shared" ref="C7:C11" si="0">B7*$C$4</f>
        <v>23.633677991137372</v>
      </c>
      <c r="D7" s="14"/>
      <c r="E7" s="34"/>
    </row>
    <row r="8" spans="1:8" x14ac:dyDescent="0.25">
      <c r="A8" s="35" t="s">
        <v>25</v>
      </c>
      <c r="B8" s="20">
        <v>4.65E-2</v>
      </c>
      <c r="C8" s="23">
        <f t="shared" si="0"/>
        <v>21.979320531757754</v>
      </c>
      <c r="D8" s="13"/>
      <c r="E8" s="36"/>
      <c r="H8" s="5"/>
    </row>
    <row r="9" spans="1:8" x14ac:dyDescent="0.25">
      <c r="A9" s="30" t="s">
        <v>24</v>
      </c>
      <c r="B9" s="19">
        <v>2.5000000000000001E-2</v>
      </c>
      <c r="C9" s="39">
        <f t="shared" si="0"/>
        <v>11.816838995568686</v>
      </c>
      <c r="D9" s="14"/>
      <c r="E9" s="34"/>
    </row>
    <row r="10" spans="1:8" x14ac:dyDescent="0.25">
      <c r="A10" s="35" t="s">
        <v>30</v>
      </c>
      <c r="B10" s="19">
        <v>0.06</v>
      </c>
      <c r="C10" s="23">
        <f t="shared" si="0"/>
        <v>28.360413589364843</v>
      </c>
      <c r="D10" s="13"/>
      <c r="E10" s="36"/>
    </row>
    <row r="11" spans="1:8" x14ac:dyDescent="0.25">
      <c r="A11" s="30" t="s">
        <v>20</v>
      </c>
      <c r="B11" s="19">
        <v>0.3</v>
      </c>
      <c r="C11" s="39">
        <f t="shared" si="0"/>
        <v>141.80206794682422</v>
      </c>
      <c r="D11" s="14"/>
      <c r="E11" s="34"/>
      <c r="H11" s="5"/>
    </row>
    <row r="12" spans="1:8" x14ac:dyDescent="0.25">
      <c r="A12" s="37" t="s">
        <v>31</v>
      </c>
      <c r="B12" s="22">
        <f>SUM(B6:B11)</f>
        <v>0.66149999999999998</v>
      </c>
      <c r="C12" s="25">
        <f>SUM(C6:C11)</f>
        <v>312.67355982274739</v>
      </c>
      <c r="D12" s="13"/>
      <c r="E12" s="36"/>
    </row>
    <row r="13" spans="1:8" x14ac:dyDescent="0.25">
      <c r="A13" s="38" t="s">
        <v>26</v>
      </c>
      <c r="B13" s="26"/>
      <c r="C13" s="26">
        <f>D2</f>
        <v>160</v>
      </c>
      <c r="D13" s="14"/>
      <c r="E13" s="34"/>
    </row>
    <row r="14" spans="1:8" ht="15.75" thickBot="1" x14ac:dyDescent="0.3">
      <c r="A14" s="44" t="s">
        <v>19</v>
      </c>
      <c r="B14" s="45"/>
      <c r="C14" s="45">
        <f>C12+C13</f>
        <v>472.67355982274739</v>
      </c>
      <c r="D14" s="46">
        <f>D2/D4</f>
        <v>472.67355982274739</v>
      </c>
      <c r="E14" s="47">
        <f>E4*D2</f>
        <v>472.67355982274739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workbookViewId="0">
      <selection activeCell="B17" sqref="B17"/>
    </sheetView>
  </sheetViews>
  <sheetFormatPr defaultRowHeight="15" x14ac:dyDescent="0.25"/>
  <cols>
    <col min="1" max="1" width="33.7109375" customWidth="1"/>
    <col min="2" max="2" width="25.28515625" customWidth="1"/>
  </cols>
  <sheetData>
    <row r="1" spans="1:5" ht="15.75" thickBot="1" x14ac:dyDescent="0.3"/>
    <row r="2" spans="1:5" ht="19.5" thickBot="1" x14ac:dyDescent="0.35">
      <c r="A2" s="50" t="s">
        <v>14</v>
      </c>
      <c r="B2" s="51"/>
    </row>
    <row r="3" spans="1:5" x14ac:dyDescent="0.25">
      <c r="A3" s="52" t="s">
        <v>5</v>
      </c>
      <c r="B3" s="53"/>
      <c r="D3" s="6">
        <v>60</v>
      </c>
    </row>
    <row r="4" spans="1:5" x14ac:dyDescent="0.25">
      <c r="A4" s="7" t="s">
        <v>0</v>
      </c>
      <c r="B4" s="8">
        <v>0.18</v>
      </c>
      <c r="C4" s="5"/>
      <c r="D4" s="6">
        <f>B4*$D$10</f>
        <v>31.904999999999998</v>
      </c>
    </row>
    <row r="5" spans="1:5" x14ac:dyDescent="0.25">
      <c r="A5" s="7" t="s">
        <v>1</v>
      </c>
      <c r="B5" s="8">
        <v>4.65E-2</v>
      </c>
      <c r="C5" s="5"/>
      <c r="D5" s="6">
        <f t="shared" ref="D5:D9" si="0">B5*$D$10</f>
        <v>8.2421249999999997</v>
      </c>
    </row>
    <row r="6" spans="1:5" x14ac:dyDescent="0.25">
      <c r="A6" s="7" t="s">
        <v>8</v>
      </c>
      <c r="B6" s="8">
        <v>0.05</v>
      </c>
      <c r="C6" s="5"/>
      <c r="D6" s="6">
        <f t="shared" si="0"/>
        <v>8.8625000000000007</v>
      </c>
    </row>
    <row r="7" spans="1:5" x14ac:dyDescent="0.25">
      <c r="A7" s="7" t="s">
        <v>2</v>
      </c>
      <c r="B7" s="8">
        <v>2.5000000000000001E-2</v>
      </c>
      <c r="C7" s="5"/>
      <c r="D7" s="6">
        <f t="shared" si="0"/>
        <v>4.4312500000000004</v>
      </c>
    </row>
    <row r="8" spans="1:5" x14ac:dyDescent="0.25">
      <c r="A8" s="7" t="s">
        <v>3</v>
      </c>
      <c r="B8" s="8">
        <v>0.06</v>
      </c>
      <c r="C8" s="5"/>
      <c r="D8" s="6">
        <f t="shared" si="0"/>
        <v>10.635</v>
      </c>
    </row>
    <row r="9" spans="1:5" x14ac:dyDescent="0.25">
      <c r="A9" s="7" t="s">
        <v>4</v>
      </c>
      <c r="B9" s="8">
        <v>0.3</v>
      </c>
      <c r="C9" s="5"/>
      <c r="D9" s="6">
        <f t="shared" si="0"/>
        <v>53.174999999999997</v>
      </c>
    </row>
    <row r="10" spans="1:5" ht="15.75" thickBot="1" x14ac:dyDescent="0.3">
      <c r="A10" s="9" t="s">
        <v>32</v>
      </c>
      <c r="B10" s="10">
        <f>SUM(B4:B9)</f>
        <v>0.66149999999999998</v>
      </c>
      <c r="D10" s="6">
        <v>177.25</v>
      </c>
      <c r="E10" s="5">
        <f>SUM(D3:D9)</f>
        <v>177.25087500000001</v>
      </c>
    </row>
    <row r="11" spans="1:5" ht="15.75" thickBot="1" x14ac:dyDescent="0.3">
      <c r="A11" s="3"/>
      <c r="B11" s="1"/>
      <c r="D11" s="5"/>
    </row>
    <row r="12" spans="1:5" ht="18.75" x14ac:dyDescent="0.3">
      <c r="A12" s="50" t="s">
        <v>10</v>
      </c>
      <c r="B12" s="51"/>
    </row>
    <row r="13" spans="1:5" x14ac:dyDescent="0.25">
      <c r="A13" s="54" t="s">
        <v>15</v>
      </c>
      <c r="B13" s="55">
        <f>100%-B10</f>
        <v>0.33850000000000002</v>
      </c>
    </row>
    <row r="14" spans="1:5" ht="15.75" thickBot="1" x14ac:dyDescent="0.3"/>
    <row r="15" spans="1:5" ht="19.5" thickBot="1" x14ac:dyDescent="0.35">
      <c r="A15" s="50" t="s">
        <v>9</v>
      </c>
      <c r="B15" s="49"/>
    </row>
    <row r="16" spans="1:5" x14ac:dyDescent="0.25">
      <c r="A16" s="56" t="s">
        <v>16</v>
      </c>
      <c r="B16" s="1"/>
    </row>
    <row r="17" spans="1:2" x14ac:dyDescent="0.25">
      <c r="A17" s="54" t="s">
        <v>11</v>
      </c>
      <c r="B17" s="57">
        <f>100%/B13</f>
        <v>2.954209748892171</v>
      </c>
    </row>
    <row r="18" spans="1:2" x14ac:dyDescent="0.25">
      <c r="B18" s="1"/>
    </row>
    <row r="19" spans="1:2" ht="15.75" thickBot="1" x14ac:dyDescent="0.3">
      <c r="B19" s="1"/>
    </row>
    <row r="20" spans="1:2" ht="19.5" thickBot="1" x14ac:dyDescent="0.35">
      <c r="A20" s="48" t="s">
        <v>13</v>
      </c>
      <c r="B20" s="49"/>
    </row>
    <row r="21" spans="1:2" x14ac:dyDescent="0.25">
      <c r="A21" t="s">
        <v>12</v>
      </c>
    </row>
    <row r="23" spans="1:2" x14ac:dyDescent="0.25">
      <c r="A23" s="2" t="s">
        <v>6</v>
      </c>
      <c r="B23" s="4">
        <v>60</v>
      </c>
    </row>
    <row r="24" spans="1:2" x14ac:dyDescent="0.25">
      <c r="A24" s="2" t="s">
        <v>7</v>
      </c>
      <c r="B24" s="4">
        <f>B17*B23</f>
        <v>177.25258493353027</v>
      </c>
    </row>
  </sheetData>
  <mergeCells count="5">
    <mergeCell ref="A12:B12"/>
    <mergeCell ref="A20:B20"/>
    <mergeCell ref="A15:B15"/>
    <mergeCell ref="A2:B2"/>
    <mergeCell ref="A3:B3"/>
  </mergeCells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Mark up </vt:lpstr>
      <vt:lpstr>Markup-sobre revenda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Computador</dc:creator>
  <cp:lastModifiedBy>JOSE VICENTE</cp:lastModifiedBy>
  <dcterms:created xsi:type="dcterms:W3CDTF">2017-04-02T18:34:13Z</dcterms:created>
  <dcterms:modified xsi:type="dcterms:W3CDTF">2018-06-27T00:30:45Z</dcterms:modified>
</cp:coreProperties>
</file>