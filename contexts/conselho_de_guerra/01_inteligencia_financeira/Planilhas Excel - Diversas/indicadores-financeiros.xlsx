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85" windowWidth="20400" windowHeight="8070"/>
  </bookViews>
  <sheets>
    <sheet name="Início" sheetId="16" r:id="rId1"/>
    <sheet name="Indicadores" sheetId="1" r:id="rId2"/>
    <sheet name="Gráficos" sheetId="15" r:id="rId3"/>
  </sheets>
  <calcPr calcId="145621"/>
</workbook>
</file>

<file path=xl/calcChain.xml><?xml version="1.0" encoding="utf-8"?>
<calcChain xmlns="http://schemas.openxmlformats.org/spreadsheetml/2006/main">
  <c r="B4" i="1" l="1"/>
  <c r="C4" i="1"/>
  <c r="N5" i="1" l="1"/>
  <c r="N6" i="1"/>
  <c r="N7" i="1"/>
  <c r="N9" i="1"/>
  <c r="N10" i="1"/>
  <c r="N11" i="1"/>
  <c r="N12" i="1"/>
  <c r="N13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C15" i="1"/>
  <c r="D15" i="1"/>
  <c r="E15" i="1"/>
  <c r="F15" i="1"/>
  <c r="G15" i="1"/>
  <c r="H15" i="1"/>
  <c r="I15" i="1"/>
  <c r="J15" i="1"/>
  <c r="K15" i="1"/>
  <c r="L15" i="1"/>
  <c r="M15" i="1"/>
  <c r="B15" i="1"/>
  <c r="C8" i="1"/>
  <c r="D8" i="1"/>
  <c r="D31" i="1" s="1"/>
  <c r="E8" i="1"/>
  <c r="E31" i="1" s="1"/>
  <c r="F8" i="1"/>
  <c r="F31" i="1" s="1"/>
  <c r="G8" i="1"/>
  <c r="H8" i="1"/>
  <c r="H31" i="1" s="1"/>
  <c r="I8" i="1"/>
  <c r="I31" i="1" s="1"/>
  <c r="J8" i="1"/>
  <c r="K8" i="1"/>
  <c r="L8" i="1"/>
  <c r="L31" i="1" s="1"/>
  <c r="M8" i="1"/>
  <c r="M31" i="1" s="1"/>
  <c r="B8" i="1"/>
  <c r="D4" i="1"/>
  <c r="D33" i="1" s="1"/>
  <c r="E4" i="1"/>
  <c r="E33" i="1" s="1"/>
  <c r="F4" i="1"/>
  <c r="F33" i="1" s="1"/>
  <c r="G4" i="1"/>
  <c r="G33" i="1" s="1"/>
  <c r="H4" i="1"/>
  <c r="H33" i="1" s="1"/>
  <c r="I4" i="1"/>
  <c r="I33" i="1" s="1"/>
  <c r="J4" i="1"/>
  <c r="J33" i="1" s="1"/>
  <c r="K4" i="1"/>
  <c r="K33" i="1" s="1"/>
  <c r="L4" i="1"/>
  <c r="L33" i="1" s="1"/>
  <c r="M4" i="1"/>
  <c r="M33" i="1" s="1"/>
  <c r="C31" i="1" l="1"/>
  <c r="B31" i="1"/>
  <c r="N8" i="1"/>
  <c r="J14" i="1"/>
  <c r="J29" i="1" s="1"/>
  <c r="J32" i="1" s="1"/>
  <c r="G14" i="1"/>
  <c r="D14" i="1"/>
  <c r="J31" i="1"/>
  <c r="F14" i="1"/>
  <c r="F29" i="1" s="1"/>
  <c r="F32" i="1" s="1"/>
  <c r="K14" i="1"/>
  <c r="C14" i="1"/>
  <c r="C29" i="1" s="1"/>
  <c r="C32" i="1" s="1"/>
  <c r="C33" i="1" s="1"/>
  <c r="L14" i="1"/>
  <c r="L29" i="1" s="1"/>
  <c r="L32" i="1" s="1"/>
  <c r="H14" i="1"/>
  <c r="H29" i="1" s="1"/>
  <c r="H32" i="1" s="1"/>
  <c r="M14" i="1"/>
  <c r="M29" i="1" s="1"/>
  <c r="M32" i="1" s="1"/>
  <c r="I14" i="1"/>
  <c r="I29" i="1" s="1"/>
  <c r="I32" i="1" s="1"/>
  <c r="E14" i="1"/>
  <c r="E29" i="1" s="1"/>
  <c r="E32" i="1" s="1"/>
  <c r="K31" i="1"/>
  <c r="G31" i="1"/>
  <c r="N15" i="1"/>
  <c r="B14" i="1"/>
  <c r="N4" i="1"/>
  <c r="G29" i="1"/>
  <c r="G32" i="1" s="1"/>
  <c r="D29" i="1"/>
  <c r="D32" i="1" s="1"/>
  <c r="K29" i="1"/>
  <c r="K32" i="1" s="1"/>
  <c r="N31" i="1" l="1"/>
  <c r="N14" i="1"/>
  <c r="B29" i="1"/>
  <c r="B32" i="1" l="1"/>
  <c r="N29" i="1"/>
  <c r="N32" i="1" l="1"/>
  <c r="B33" i="1"/>
  <c r="N33" i="1" s="1"/>
</calcChain>
</file>

<file path=xl/sharedStrings.xml><?xml version="1.0" encoding="utf-8"?>
<sst xmlns="http://schemas.openxmlformats.org/spreadsheetml/2006/main" count="47" uniqueCount="47">
  <si>
    <t>Finanças</t>
  </si>
  <si>
    <t>Receita Bruta</t>
  </si>
  <si>
    <t>Receitas de Serviços</t>
  </si>
  <si>
    <t>Receitas de Produtos</t>
  </si>
  <si>
    <t>Outras Receitas</t>
  </si>
  <si>
    <t>Custos Diretos</t>
  </si>
  <si>
    <t>Margem de Contribuição</t>
  </si>
  <si>
    <t>Custos Fixos</t>
  </si>
  <si>
    <t>Custos com RH</t>
  </si>
  <si>
    <t>Custos com Marketing</t>
  </si>
  <si>
    <t>Custos Operacionais</t>
  </si>
  <si>
    <t>Custos Não Operacionais</t>
  </si>
  <si>
    <t>Resultado Bruto</t>
  </si>
  <si>
    <t>Impostos</t>
  </si>
  <si>
    <t>Resultado Líquido</t>
  </si>
  <si>
    <t>Lucratividade</t>
  </si>
  <si>
    <t>Mão de obra direta</t>
  </si>
  <si>
    <t>Matéria Prima</t>
  </si>
  <si>
    <t>Comissões</t>
  </si>
  <si>
    <t>Embalagens</t>
  </si>
  <si>
    <t>outros</t>
  </si>
  <si>
    <t>Salários</t>
  </si>
  <si>
    <t>Aluguel</t>
  </si>
  <si>
    <t>Energia Elétrica</t>
  </si>
  <si>
    <t>Telefone / Internet</t>
  </si>
  <si>
    <t>Depreciação</t>
  </si>
  <si>
    <t>Pró-labore</t>
  </si>
  <si>
    <t>Taxas</t>
  </si>
  <si>
    <t>Marketing</t>
  </si>
  <si>
    <t>Outros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</si>
  <si>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</si>
  <si>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</si>
  <si>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</si>
  <si>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</si>
  <si>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</si>
  <si>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</si>
  <si>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</si>
  <si>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</si>
  <si>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</si>
  <si>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</si>
  <si>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</si>
  <si>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</si>
  <si>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Despesas</t>
  </si>
  <si>
    <t>Total</t>
  </si>
  <si>
    <r>
      <rPr>
        <b/>
        <i/>
        <sz val="18"/>
        <color theme="0"/>
        <rFont val="Calibri"/>
        <family val="2"/>
        <scheme val="minor"/>
      </rPr>
      <t xml:space="preserve">INDICADORES FINANCEIROS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</si>
  <si>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INDICADORES FINANCEIROS </t>
    </r>
    <r>
      <rPr>
        <i/>
        <sz val="16"/>
        <color theme="0"/>
        <rFont val="Calibri"/>
        <family val="2"/>
        <scheme val="minor"/>
      </rPr>
      <t>- INDICADORES</t>
    </r>
  </si>
  <si>
    <r>
      <rPr>
        <b/>
        <i/>
        <sz val="18"/>
        <color theme="0"/>
        <rFont val="Calibri"/>
        <family val="2"/>
        <scheme val="minor"/>
      </rPr>
      <t xml:space="preserve">INDICADORES FINANCEIROS </t>
    </r>
    <r>
      <rPr>
        <i/>
        <sz val="16"/>
        <color theme="0"/>
        <rFont val="Calibri"/>
        <family val="2"/>
        <scheme val="minor"/>
      </rPr>
      <t>- GRÁFICOS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</si>
</sst>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R_$_-;\-* #,##0.00\ _R_$_-;_-* &quot;-&quot;??\ _R_$_-;_-@_-"/>
    <numFmt numFmtId="165" formatCode="&quot;R$&quot;\ #,##0.00"/>
  </numFmts>
  <fonts count="1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99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 applyProtection="1">
      <alignment horizontal="left" vertical="center" indent="4"/>
      <protection locked="0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9" fontId="4" fillId="3" borderId="5" xfId="6" applyFont="1" applyFill="1" applyBorder="1" applyAlignment="1" applyProtection="1">
      <alignment horizontal="left" vertical="center" indent="1"/>
      <protection locked="0"/>
    </xf>
    <xf numFmtId="9" fontId="5" fillId="3" borderId="2" xfId="6" applyFont="1" applyFill="1" applyBorder="1" applyAlignment="1">
      <alignment horizontal="center" vertical="center"/>
    </xf>
    <xf numFmtId="9" fontId="5" fillId="3" borderId="1" xfId="6" applyFont="1" applyFill="1" applyBorder="1" applyAlignment="1">
      <alignment horizontal="center" vertical="center"/>
    </xf>
    <xf numFmtId="9" fontId="5" fillId="3" borderId="0" xfId="6" applyFont="1" applyFill="1"/>
    <xf numFmtId="164" fontId="5" fillId="2" borderId="1" xfId="5" applyFont="1" applyFill="1" applyBorder="1" applyAlignment="1">
      <alignment horizontal="center" vertical="center"/>
    </xf>
    <xf numFmtId="164" fontId="5" fillId="3" borderId="0" xfId="5" applyFont="1" applyFill="1"/>
    <xf numFmtId="0" fontId="1" fillId="0" borderId="0" xfId="0" applyFont="1"/>
    <xf numFmtId="0" fontId="0" fillId="0" borderId="0" xfId="0" applyBorder="1"/>
    <xf numFmtId="0" fontId="11" fillId="4" borderId="12" xfId="0" applyFont="1" applyFill="1" applyBorder="1" applyAlignment="1">
      <alignment vertical="center"/>
    </xf>
    <xf numFmtId="0" fontId="7" fillId="4" borderId="13" xfId="0" applyFont="1" applyFill="1" applyBorder="1"/>
    <xf numFmtId="0" fontId="8" fillId="4" borderId="12" xfId="0" applyFont="1" applyFill="1" applyBorder="1" applyAlignment="1">
      <alignment vertical="center"/>
    </xf>
    <xf numFmtId="165" fontId="12" fillId="4" borderId="3" xfId="1" applyNumberFormat="1" applyFont="1" applyFill="1" applyBorder="1" applyAlignment="1" applyProtection="1">
      <alignment horizontal="center" vertical="center"/>
      <protection locked="0"/>
    </xf>
    <xf numFmtId="165" fontId="12" fillId="4" borderId="14" xfId="1" applyNumberFormat="1" applyFont="1" applyFill="1" applyBorder="1" applyAlignment="1" applyProtection="1">
      <alignment horizontal="center" vertical="center"/>
      <protection locked="0"/>
    </xf>
    <xf numFmtId="165" fontId="12" fillId="4" borderId="9" xfId="1" applyNumberFormat="1" applyFont="1" applyFill="1" applyBorder="1" applyAlignment="1" applyProtection="1">
      <alignment horizontal="center" vertical="center"/>
      <protection locked="0"/>
    </xf>
    <xf numFmtId="165" fontId="12" fillId="4" borderId="10" xfId="1" applyNumberFormat="1" applyFont="1" applyFill="1" applyBorder="1" applyAlignment="1" applyProtection="1">
      <alignment horizontal="center" vertical="center"/>
      <protection locked="0"/>
    </xf>
    <xf numFmtId="165" fontId="12" fillId="5" borderId="4" xfId="1" applyNumberFormat="1" applyFont="1" applyFill="1" applyBorder="1" applyAlignment="1" applyProtection="1">
      <alignment horizontal="left" vertical="center" indent="1"/>
      <protection locked="0"/>
    </xf>
    <xf numFmtId="165" fontId="12" fillId="4" borderId="5" xfId="1" applyNumberFormat="1" applyFont="1" applyFill="1" applyBorder="1" applyAlignment="1" applyProtection="1">
      <alignment horizontal="left" vertical="center" indent="1"/>
      <protection locked="0"/>
    </xf>
    <xf numFmtId="164" fontId="12" fillId="4" borderId="6" xfId="5" applyFont="1" applyFill="1" applyBorder="1" applyAlignment="1" applyProtection="1">
      <alignment horizontal="left" vertical="center" indent="1"/>
      <protection locked="0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</cellXfs>
  <cellStyles count="7">
    <cellStyle name="Normal" xfId="0" builtinId="0"/>
    <cellStyle name="Normal 2" xfId="1"/>
    <cellStyle name="Normal 2 2" xfId="4"/>
    <cellStyle name="Porcentagem" xfId="6" builtinId="5"/>
    <cellStyle name="Porcentagem 2" xfId="2"/>
    <cellStyle name="Porcentagem 2 2" xfId="3"/>
    <cellStyle name="Vírgula" xfId="5" builtinId="3"/>
  </cellStyles>
  <dxfs count="0"/>
  <tableStyles count="0" defaultTableStyle="TableStyleMedium9" defaultPivotStyle="PivotStyleMedium4"/>
  <colors>
    <mruColors>
      <color rgb="FF009999"/>
      <color rgb="FF00808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Indicadores!$A$4</c:f>
              <c:strCache>
                <c:ptCount val="1"/>
                <c:pt idx="0">
                  <c:v>Receita Bruta</c:v>
                </c:pt>
              </c:strCache>
            </c:strRef>
          </c:tx>
          <c:cat>
            <c:strRef>
              <c:f>Indicadores!$A$5:$A$7</c:f>
              <c:strCache>
                <c:ptCount val="3"/>
                <c:pt idx="0">
                  <c:v>Receitas de Produtos</c:v>
                </c:pt>
                <c:pt idx="1">
                  <c:v>Receitas de Serviços</c:v>
                </c:pt>
                <c:pt idx="2">
                  <c:v>Outras Receitas</c:v>
                </c:pt>
              </c:strCache>
            </c:strRef>
          </c:cat>
          <c:val>
            <c:numRef>
              <c:f>Indicadores!$N$5:$N$7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Indicadores!$A$8</c:f>
              <c:strCache>
                <c:ptCount val="1"/>
                <c:pt idx="0">
                  <c:v>Custos Diretos</c:v>
                </c:pt>
              </c:strCache>
            </c:strRef>
          </c:tx>
          <c:cat>
            <c:strRef>
              <c:f>Indicadores!$A$9:$A$13</c:f>
              <c:strCache>
                <c:ptCount val="5"/>
                <c:pt idx="0">
                  <c:v>Mão de obra direta</c:v>
                </c:pt>
                <c:pt idx="1">
                  <c:v>Matéria Prima</c:v>
                </c:pt>
                <c:pt idx="2">
                  <c:v>Comissões</c:v>
                </c:pt>
                <c:pt idx="3">
                  <c:v>Embalagens</c:v>
                </c:pt>
                <c:pt idx="4">
                  <c:v>outros</c:v>
                </c:pt>
              </c:strCache>
            </c:strRef>
          </c:cat>
          <c:val>
            <c:numRef>
              <c:f>Indicadores!$N$9:$N$13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Indicadores!$A$31</c:f>
              <c:strCache>
                <c:ptCount val="1"/>
                <c:pt idx="0">
                  <c:v>Despesas</c:v>
                </c:pt>
              </c:strCache>
            </c:strRef>
          </c:tx>
          <c:cat>
            <c:strRef>
              <c:f>(Indicadores!$A$8,Indicadores!$A$15,Indicadores!$A$30)</c:f>
              <c:strCache>
                <c:ptCount val="3"/>
                <c:pt idx="0">
                  <c:v>Custos Diretos</c:v>
                </c:pt>
                <c:pt idx="1">
                  <c:v>Custos Fixos</c:v>
                </c:pt>
                <c:pt idx="2">
                  <c:v>Impostos</c:v>
                </c:pt>
              </c:strCache>
            </c:strRef>
          </c:cat>
          <c:val>
            <c:numRef>
              <c:f>(Indicadores!$N$8,Indicadores!$N$15,Indicadores!$N$30)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 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2600"/>
              <a:t>Desempenho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Indicadores!$A$4</c:f>
              <c:strCache>
                <c:ptCount val="1"/>
                <c:pt idx="0">
                  <c:v>Receita Bruta</c:v>
                </c:pt>
              </c:strCache>
            </c:strRef>
          </c:tx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Indicadores!$B$4:$M$4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Indicadores!$A$31</c:f>
              <c:strCache>
                <c:ptCount val="1"/>
                <c:pt idx="0">
                  <c:v>Despesas</c:v>
                </c:pt>
              </c:strCache>
            </c:strRef>
          </c:tx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Indicadores!$B$31:$M$31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343296"/>
        <c:axId val="152344832"/>
      </c:barChart>
      <c:lineChart>
        <c:grouping val="standard"/>
        <c:varyColors val="0"/>
        <c:ser>
          <c:idx val="2"/>
          <c:order val="2"/>
          <c:tx>
            <c:strRef>
              <c:f>Indicadores!$A$33</c:f>
              <c:strCache>
                <c:ptCount val="1"/>
                <c:pt idx="0">
                  <c:v>Lucratividade</c:v>
                </c:pt>
              </c:strCache>
            </c:strRef>
          </c:tx>
          <c:marker>
            <c:symbol val="none"/>
          </c:marker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Indicadores!$B$33:$M$33</c:f>
              <c:numCache>
                <c:formatCode>_-* #,##0.00\ _R_$_-;\-* #,##0.00\ _R_$_-;_-* "-"??\ _R_$_-;_-@_-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48928"/>
        <c:axId val="152347008"/>
      </c:lineChart>
      <c:catAx>
        <c:axId val="152343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52344832"/>
        <c:crosses val="autoZero"/>
        <c:auto val="1"/>
        <c:lblAlgn val="ctr"/>
        <c:lblOffset val="100"/>
        <c:noMultiLvlLbl val="0"/>
      </c:catAx>
      <c:valAx>
        <c:axId val="1523448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pt-BR" sz="1200"/>
                  <a:t>Receita Bruta e Despesas</a:t>
                </a:r>
              </a:p>
            </c:rich>
          </c:tx>
          <c:layout/>
          <c:overlay val="0"/>
        </c:title>
        <c:numFmt formatCode="&quot;R$&quot;\ #,##0.00" sourceLinked="1"/>
        <c:majorTickMark val="out"/>
        <c:minorTickMark val="none"/>
        <c:tickLblPos val="nextTo"/>
        <c:crossAx val="152343296"/>
        <c:crosses val="autoZero"/>
        <c:crossBetween val="between"/>
      </c:valAx>
      <c:valAx>
        <c:axId val="15234700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pt-BR" sz="1200"/>
                  <a:t>Lucratividade</a:t>
                </a:r>
              </a:p>
            </c:rich>
          </c:tx>
          <c:layout/>
          <c:overlay val="0"/>
        </c:title>
        <c:numFmt formatCode="_-* #,##0.00\ _R_$_-;\-* #,##0.00\ _R_$_-;_-* &quot;-&quot;??\ _R_$_-;_-@_-" sourceLinked="1"/>
        <c:majorTickMark val="out"/>
        <c:minorTickMark val="none"/>
        <c:tickLblPos val="nextTo"/>
        <c:crossAx val="152348928"/>
        <c:crosses val="max"/>
        <c:crossBetween val="between"/>
      </c:valAx>
      <c:catAx>
        <c:axId val="1523489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2347008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Indicadores!$A$4</c:f>
              <c:strCache>
                <c:ptCount val="1"/>
                <c:pt idx="0">
                  <c:v>Receita Bruta</c:v>
                </c:pt>
              </c:strCache>
            </c:strRef>
          </c:tx>
          <c:cat>
            <c:strRef>
              <c:f>Indicadores!$A$5:$A$7</c:f>
              <c:strCache>
                <c:ptCount val="3"/>
                <c:pt idx="0">
                  <c:v>Receitas de Produtos</c:v>
                </c:pt>
                <c:pt idx="1">
                  <c:v>Receitas de Serviços</c:v>
                </c:pt>
                <c:pt idx="2">
                  <c:v>Outras Receitas</c:v>
                </c:pt>
              </c:strCache>
            </c:strRef>
          </c:cat>
          <c:val>
            <c:numRef>
              <c:f>Indicadores!$N$5:$N$7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Indicadores!$A$8</c:f>
              <c:strCache>
                <c:ptCount val="1"/>
                <c:pt idx="0">
                  <c:v>Custos Diretos</c:v>
                </c:pt>
              </c:strCache>
            </c:strRef>
          </c:tx>
          <c:cat>
            <c:strRef>
              <c:f>Indicadores!$A$9:$A$13</c:f>
              <c:strCache>
                <c:ptCount val="5"/>
                <c:pt idx="0">
                  <c:v>Mão de obra direta</c:v>
                </c:pt>
                <c:pt idx="1">
                  <c:v>Matéria Prima</c:v>
                </c:pt>
                <c:pt idx="2">
                  <c:v>Comissões</c:v>
                </c:pt>
                <c:pt idx="3">
                  <c:v>Embalagens</c:v>
                </c:pt>
                <c:pt idx="4">
                  <c:v>outros</c:v>
                </c:pt>
              </c:strCache>
            </c:strRef>
          </c:cat>
          <c:val>
            <c:numRef>
              <c:f>Indicadores!$N$9:$N$13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Indicadores!$A$31</c:f>
              <c:strCache>
                <c:ptCount val="1"/>
                <c:pt idx="0">
                  <c:v>Despesas</c:v>
                </c:pt>
              </c:strCache>
            </c:strRef>
          </c:tx>
          <c:cat>
            <c:strRef>
              <c:f>(Indicadores!$A$8,Indicadores!$A$15,Indicadores!$A$30)</c:f>
              <c:strCache>
                <c:ptCount val="3"/>
                <c:pt idx="0">
                  <c:v>Custos Diretos</c:v>
                </c:pt>
                <c:pt idx="1">
                  <c:v>Custos Fixos</c:v>
                </c:pt>
                <c:pt idx="2">
                  <c:v>Impostos</c:v>
                </c:pt>
              </c:strCache>
            </c:strRef>
          </c:cat>
          <c:val>
            <c:numRef>
              <c:f>(Indicadores!$N$8,Indicadores!$N$15,Indicadores!$N$30)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 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dicadores!A1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n&#225;lise!A1"/><Relationship Id="rId5" Type="http://schemas.openxmlformats.org/officeDocument/2006/relationships/image" Target="../media/image1.png"/><Relationship Id="rId10" Type="http://schemas.openxmlformats.org/officeDocument/2006/relationships/hyperlink" Target="#Gr&#225;ficos!A1"/><Relationship Id="rId4" Type="http://schemas.openxmlformats.org/officeDocument/2006/relationships/hyperlink" Target="http://www.acelere.vc" TargetMode="External"/><Relationship Id="rId9" Type="http://schemas.openxmlformats.org/officeDocument/2006/relationships/hyperlink" Target="#'Fatores Interno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6.xml"/><Relationship Id="rId7" Type="http://schemas.openxmlformats.org/officeDocument/2006/relationships/hyperlink" Target="#In&#237;cio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581026</xdr:colOff>
      <xdr:row>11</xdr:row>
      <xdr:rowOff>121026</xdr:rowOff>
    </xdr:from>
    <xdr:to>
      <xdr:col>10</xdr:col>
      <xdr:colOff>676276</xdr:colOff>
      <xdr:row>21</xdr:row>
      <xdr:rowOff>130551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11</xdr:row>
      <xdr:rowOff>130551</xdr:rowOff>
    </xdr:from>
    <xdr:to>
      <xdr:col>15</xdr:col>
      <xdr:colOff>333375</xdr:colOff>
      <xdr:row>21</xdr:row>
      <xdr:rowOff>159126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104775</xdr:colOff>
      <xdr:row>22</xdr:row>
      <xdr:rowOff>121026</xdr:rowOff>
    </xdr:from>
    <xdr:to>
      <xdr:col>13</xdr:col>
      <xdr:colOff>190500</xdr:colOff>
      <xdr:row>32</xdr:row>
      <xdr:rowOff>140075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201707</xdr:colOff>
      <xdr:row>9</xdr:row>
      <xdr:rowOff>134469</xdr:rowOff>
    </xdr:from>
    <xdr:to>
      <xdr:col>16</xdr:col>
      <xdr:colOff>33619</xdr:colOff>
      <xdr:row>33</xdr:row>
      <xdr:rowOff>179293</xdr:rowOff>
    </xdr:to>
    <xdr:sp macro="" textlink="">
      <xdr:nvSpPr>
        <xdr:cNvPr id="4" name="Retângulo de cantos arredondados 3"/>
        <xdr:cNvSpPr/>
      </xdr:nvSpPr>
      <xdr:spPr>
        <a:xfrm>
          <a:off x="4303060" y="2039469"/>
          <a:ext cx="6667500" cy="4359089"/>
        </a:xfrm>
        <a:prstGeom prst="roundRect">
          <a:avLst/>
        </a:prstGeom>
        <a:noFill/>
        <a:ln w="6350">
          <a:solidFill>
            <a:srgbClr val="00B05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228600</xdr:colOff>
      <xdr:row>0</xdr:row>
      <xdr:rowOff>0</xdr:rowOff>
    </xdr:from>
    <xdr:to>
      <xdr:col>18</xdr:col>
      <xdr:colOff>209550</xdr:colOff>
      <xdr:row>1</xdr:row>
      <xdr:rowOff>22779</xdr:rowOff>
    </xdr:to>
    <xdr:pic>
      <xdr:nvPicPr>
        <xdr:cNvPr id="14" name="Imagem 1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400" y="0"/>
          <a:ext cx="1352550" cy="479979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6</xdr:row>
      <xdr:rowOff>9525</xdr:rowOff>
    </xdr:from>
    <xdr:to>
      <xdr:col>5</xdr:col>
      <xdr:colOff>304800</xdr:colOff>
      <xdr:row>9</xdr:row>
      <xdr:rowOff>5638</xdr:rowOff>
    </xdr:to>
    <xdr:grpSp>
      <xdr:nvGrpSpPr>
        <xdr:cNvPr id="15" name="Grupo 14">
          <a:hlinkClick xmlns:r="http://schemas.openxmlformats.org/officeDocument/2006/relationships" r:id="rId6"/>
        </xdr:cNvPr>
        <xdr:cNvGrpSpPr/>
      </xdr:nvGrpSpPr>
      <xdr:grpSpPr>
        <a:xfrm>
          <a:off x="1838325" y="1371600"/>
          <a:ext cx="1895475" cy="539038"/>
          <a:chOff x="285750" y="2400300"/>
          <a:chExt cx="1895475" cy="539038"/>
        </a:xfrm>
      </xdr:grpSpPr>
      <xdr:pic>
        <xdr:nvPicPr>
          <xdr:cNvPr id="16" name="Imagem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CaixaDeTexto 16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763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INSERIR RESULTADOS</a:t>
            </a:r>
          </a:p>
        </xdr:txBody>
      </xdr:sp>
    </xdr:grpSp>
    <xdr:clientData/>
  </xdr:twoCellAnchor>
  <xdr:twoCellAnchor>
    <xdr:from>
      <xdr:col>9</xdr:col>
      <xdr:colOff>352425</xdr:colOff>
      <xdr:row>6</xdr:row>
      <xdr:rowOff>9525</xdr:rowOff>
    </xdr:from>
    <xdr:to>
      <xdr:col>12</xdr:col>
      <xdr:colOff>190500</xdr:colOff>
      <xdr:row>9</xdr:row>
      <xdr:rowOff>5638</xdr:rowOff>
    </xdr:to>
    <xdr:grpSp>
      <xdr:nvGrpSpPr>
        <xdr:cNvPr id="18" name="Grupo 17">
          <a:hlinkClick xmlns:r="http://schemas.openxmlformats.org/officeDocument/2006/relationships" r:id="rId9"/>
        </xdr:cNvPr>
        <xdr:cNvGrpSpPr/>
      </xdr:nvGrpSpPr>
      <xdr:grpSpPr>
        <a:xfrm>
          <a:off x="6524625" y="1371600"/>
          <a:ext cx="1895475" cy="539038"/>
          <a:chOff x="285750" y="2400300"/>
          <a:chExt cx="1895475" cy="539038"/>
        </a:xfrm>
      </xdr:grpSpPr>
      <xdr:pic>
        <xdr:nvPicPr>
          <xdr:cNvPr id="19" name="Imagem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CaixaDeTexto 19">
            <a:hlinkClick xmlns:r="http://schemas.openxmlformats.org/officeDocument/2006/relationships" r:id="rId10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  <a:p>
            <a:pPr algn="ctr"/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600075</xdr:colOff>
      <xdr:row>0</xdr:row>
      <xdr:rowOff>0</xdr:rowOff>
    </xdr:from>
    <xdr:to>
      <xdr:col>10</xdr:col>
      <xdr:colOff>704850</xdr:colOff>
      <xdr:row>1</xdr:row>
      <xdr:rowOff>22779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0" y="0"/>
          <a:ext cx="114300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47625</xdr:rowOff>
    </xdr:from>
    <xdr:to>
      <xdr:col>0</xdr:col>
      <xdr:colOff>619125</xdr:colOff>
      <xdr:row>0</xdr:row>
      <xdr:rowOff>377674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377084</xdr:colOff>
      <xdr:row>1</xdr:row>
      <xdr:rowOff>171450</xdr:rowOff>
    </xdr:from>
    <xdr:to>
      <xdr:col>17</xdr:col>
      <xdr:colOff>577109</xdr:colOff>
      <xdr:row>24</xdr:row>
      <xdr:rowOff>123825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138959</xdr:colOff>
      <xdr:row>25</xdr:row>
      <xdr:rowOff>161925</xdr:rowOff>
    </xdr:from>
    <xdr:to>
      <xdr:col>7</xdr:col>
      <xdr:colOff>596159</xdr:colOff>
      <xdr:row>41</xdr:row>
      <xdr:rowOff>9525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289118</xdr:colOff>
      <xdr:row>25</xdr:row>
      <xdr:rowOff>161925</xdr:rowOff>
    </xdr:from>
    <xdr:to>
      <xdr:col>17</xdr:col>
      <xdr:colOff>62760</xdr:colOff>
      <xdr:row>41</xdr:row>
      <xdr:rowOff>9525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443759</xdr:colOff>
      <xdr:row>43</xdr:row>
      <xdr:rowOff>57150</xdr:rowOff>
    </xdr:from>
    <xdr:to>
      <xdr:col>12</xdr:col>
      <xdr:colOff>215159</xdr:colOff>
      <xdr:row>58</xdr:row>
      <xdr:rowOff>85725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476250</xdr:colOff>
      <xdr:row>0</xdr:row>
      <xdr:rowOff>9525</xdr:rowOff>
    </xdr:from>
    <xdr:to>
      <xdr:col>18</xdr:col>
      <xdr:colOff>247650</xdr:colOff>
      <xdr:row>1</xdr:row>
      <xdr:rowOff>32304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9525"/>
          <a:ext cx="114300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57150</xdr:rowOff>
    </xdr:from>
    <xdr:to>
      <xdr:col>0</xdr:col>
      <xdr:colOff>638175</xdr:colOff>
      <xdr:row>0</xdr:row>
      <xdr:rowOff>387199</xdr:rowOff>
    </xdr:to>
    <xdr:pic>
      <xdr:nvPicPr>
        <xdr:cNvPr id="12" name="Imagem 11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showGridLines="0" tabSelected="1" zoomScaleNormal="100" workbookViewId="0">
      <selection sqref="A1:S1"/>
    </sheetView>
  </sheetViews>
  <sheetFormatPr defaultRowHeight="14.25" x14ac:dyDescent="0.2"/>
  <sheetData>
    <row r="1" spans="1:25" s="19" customFormat="1" ht="36" customHeight="1" x14ac:dyDescent="0.25">
      <c r="A1" s="28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0"/>
      <c r="U1" s="18"/>
      <c r="V1" s="18"/>
      <c r="W1" s="18"/>
      <c r="X1" s="18"/>
      <c r="Y1" s="18"/>
    </row>
    <row r="4" spans="1:25" s="17" customFormat="1" x14ac:dyDescent="0.2"/>
    <row r="17" spans="12:12" ht="15" x14ac:dyDescent="0.25">
      <c r="L17" s="16"/>
    </row>
  </sheetData>
  <mergeCells count="1">
    <mergeCell ref="A1:S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showGridLines="0" zoomScaleNormal="100" workbookViewId="0">
      <selection activeCell="B30" sqref="B30:C30"/>
    </sheetView>
  </sheetViews>
  <sheetFormatPr defaultColWidth="0" defaultRowHeight="14.25" zeroHeight="1" x14ac:dyDescent="0.2"/>
  <cols>
    <col min="1" max="1" width="33.125" style="1" customWidth="1"/>
    <col min="2" max="14" width="13.625" style="2" customWidth="1"/>
    <col min="15" max="18" width="9" style="1" customWidth="1"/>
    <col min="19" max="16384" width="9" style="1" hidden="1"/>
  </cols>
  <sheetData>
    <row r="1" spans="1:25" s="19" customFormat="1" ht="36" customHeight="1" x14ac:dyDescent="0.25">
      <c r="A1" s="28" t="s">
        <v>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0"/>
      <c r="M1" s="20"/>
      <c r="N1" s="20"/>
      <c r="O1" s="20"/>
      <c r="P1" s="20"/>
      <c r="Q1" s="20"/>
      <c r="R1" s="20"/>
      <c r="S1" s="20"/>
      <c r="T1" s="20"/>
      <c r="U1" s="18"/>
      <c r="V1" s="18"/>
      <c r="W1" s="18"/>
      <c r="X1" s="18"/>
      <c r="Y1" s="18"/>
    </row>
    <row r="2" spans="1:25" ht="15" thickBot="1" x14ac:dyDescent="0.25"/>
    <row r="3" spans="1:25" ht="27.75" customHeight="1" thickBot="1" x14ac:dyDescent="0.25">
      <c r="A3" s="21" t="s">
        <v>0</v>
      </c>
      <c r="B3" s="22" t="s">
        <v>30</v>
      </c>
      <c r="C3" s="23" t="s">
        <v>31</v>
      </c>
      <c r="D3" s="23" t="s">
        <v>32</v>
      </c>
      <c r="E3" s="23" t="s">
        <v>33</v>
      </c>
      <c r="F3" s="23" t="s">
        <v>34</v>
      </c>
      <c r="G3" s="23" t="s">
        <v>35</v>
      </c>
      <c r="H3" s="23" t="s">
        <v>36</v>
      </c>
      <c r="I3" s="23" t="s">
        <v>37</v>
      </c>
      <c r="J3" s="23" t="s">
        <v>38</v>
      </c>
      <c r="K3" s="23" t="s">
        <v>39</v>
      </c>
      <c r="L3" s="23" t="s">
        <v>40</v>
      </c>
      <c r="M3" s="24" t="s">
        <v>41</v>
      </c>
      <c r="N3" s="24" t="s">
        <v>43</v>
      </c>
    </row>
    <row r="4" spans="1:25" ht="22.5" customHeight="1" x14ac:dyDescent="0.2">
      <c r="A4" s="25" t="s">
        <v>1</v>
      </c>
      <c r="B4" s="3">
        <f t="shared" ref="B4:M4" si="0">SUM(B5:B7)</f>
        <v>0</v>
      </c>
      <c r="C4" s="4">
        <f t="shared" si="0"/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>SUM(B4:M4)</f>
        <v>0</v>
      </c>
    </row>
    <row r="5" spans="1:25" ht="22.5" customHeight="1" x14ac:dyDescent="0.2">
      <c r="A5" s="5" t="s">
        <v>3</v>
      </c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>
        <f t="shared" ref="N5:N33" si="1">SUM(B5:M5)</f>
        <v>0</v>
      </c>
    </row>
    <row r="6" spans="1:25" ht="22.5" customHeight="1" x14ac:dyDescent="0.2">
      <c r="A6" s="5" t="s">
        <v>2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f t="shared" si="1"/>
        <v>0</v>
      </c>
    </row>
    <row r="7" spans="1:25" ht="22.5" customHeight="1" x14ac:dyDescent="0.2">
      <c r="A7" s="5" t="s">
        <v>4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f t="shared" si="1"/>
        <v>0</v>
      </c>
    </row>
    <row r="8" spans="1:25" ht="22.5" customHeight="1" x14ac:dyDescent="0.2">
      <c r="A8" s="26" t="s">
        <v>5</v>
      </c>
      <c r="B8" s="8">
        <f t="shared" ref="B8:M8" si="2">SUM(B9:B13)</f>
        <v>0</v>
      </c>
      <c r="C8" s="9">
        <f t="shared" si="2"/>
        <v>0</v>
      </c>
      <c r="D8" s="9">
        <f t="shared" si="2"/>
        <v>0</v>
      </c>
      <c r="E8" s="9">
        <f t="shared" si="2"/>
        <v>0</v>
      </c>
      <c r="F8" s="9">
        <f t="shared" si="2"/>
        <v>0</v>
      </c>
      <c r="G8" s="9">
        <f t="shared" si="2"/>
        <v>0</v>
      </c>
      <c r="H8" s="9">
        <f t="shared" si="2"/>
        <v>0</v>
      </c>
      <c r="I8" s="9">
        <f t="shared" si="2"/>
        <v>0</v>
      </c>
      <c r="J8" s="9">
        <f t="shared" si="2"/>
        <v>0</v>
      </c>
      <c r="K8" s="9">
        <f t="shared" si="2"/>
        <v>0</v>
      </c>
      <c r="L8" s="9">
        <f t="shared" si="2"/>
        <v>0</v>
      </c>
      <c r="M8" s="9">
        <f t="shared" si="2"/>
        <v>0</v>
      </c>
      <c r="N8" s="9">
        <f t="shared" si="1"/>
        <v>0</v>
      </c>
    </row>
    <row r="9" spans="1:25" ht="22.5" customHeight="1" x14ac:dyDescent="0.2">
      <c r="A9" s="5" t="s">
        <v>16</v>
      </c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>
        <f t="shared" si="1"/>
        <v>0</v>
      </c>
    </row>
    <row r="10" spans="1:25" ht="22.5" customHeight="1" x14ac:dyDescent="0.2">
      <c r="A10" s="5" t="s">
        <v>17</v>
      </c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f t="shared" si="1"/>
        <v>0</v>
      </c>
    </row>
    <row r="11" spans="1:25" ht="22.5" customHeight="1" x14ac:dyDescent="0.2">
      <c r="A11" s="5" t="s">
        <v>18</v>
      </c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 t="shared" si="1"/>
        <v>0</v>
      </c>
    </row>
    <row r="12" spans="1:25" ht="22.5" customHeight="1" x14ac:dyDescent="0.2">
      <c r="A12" s="5" t="s">
        <v>19</v>
      </c>
      <c r="B12" s="6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>
        <f t="shared" si="1"/>
        <v>0</v>
      </c>
    </row>
    <row r="13" spans="1:25" ht="22.5" customHeight="1" x14ac:dyDescent="0.2">
      <c r="A13" s="5" t="s">
        <v>20</v>
      </c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f t="shared" si="1"/>
        <v>0</v>
      </c>
    </row>
    <row r="14" spans="1:25" ht="22.5" customHeight="1" x14ac:dyDescent="0.2">
      <c r="A14" s="26" t="s">
        <v>6</v>
      </c>
      <c r="B14" s="8">
        <f t="shared" ref="B14:M14" si="3">B4-B8</f>
        <v>0</v>
      </c>
      <c r="C14" s="9">
        <f t="shared" si="3"/>
        <v>0</v>
      </c>
      <c r="D14" s="9">
        <f t="shared" si="3"/>
        <v>0</v>
      </c>
      <c r="E14" s="9">
        <f t="shared" si="3"/>
        <v>0</v>
      </c>
      <c r="F14" s="9">
        <f t="shared" si="3"/>
        <v>0</v>
      </c>
      <c r="G14" s="9">
        <f t="shared" si="3"/>
        <v>0</v>
      </c>
      <c r="H14" s="9">
        <f t="shared" si="3"/>
        <v>0</v>
      </c>
      <c r="I14" s="9">
        <f t="shared" si="3"/>
        <v>0</v>
      </c>
      <c r="J14" s="9">
        <f t="shared" si="3"/>
        <v>0</v>
      </c>
      <c r="K14" s="9">
        <f t="shared" si="3"/>
        <v>0</v>
      </c>
      <c r="L14" s="9">
        <f t="shared" si="3"/>
        <v>0</v>
      </c>
      <c r="M14" s="9">
        <f t="shared" si="3"/>
        <v>0</v>
      </c>
      <c r="N14" s="9">
        <f t="shared" si="1"/>
        <v>0</v>
      </c>
    </row>
    <row r="15" spans="1:25" ht="22.5" customHeight="1" x14ac:dyDescent="0.2">
      <c r="A15" s="26" t="s">
        <v>7</v>
      </c>
      <c r="B15" s="8">
        <f>SUM(B16:B28)</f>
        <v>0</v>
      </c>
      <c r="C15" s="9">
        <f t="shared" ref="C15:M15" si="4">SUM(C16:C28)</f>
        <v>0</v>
      </c>
      <c r="D15" s="9">
        <f t="shared" si="4"/>
        <v>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>
        <f t="shared" si="4"/>
        <v>0</v>
      </c>
      <c r="N15" s="9">
        <f t="shared" si="1"/>
        <v>0</v>
      </c>
    </row>
    <row r="16" spans="1:25" ht="22.5" customHeight="1" x14ac:dyDescent="0.2">
      <c r="A16" s="5" t="s">
        <v>21</v>
      </c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f t="shared" si="1"/>
        <v>0</v>
      </c>
    </row>
    <row r="17" spans="1:14" ht="22.5" customHeight="1" x14ac:dyDescent="0.2">
      <c r="A17" s="5" t="s">
        <v>22</v>
      </c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f t="shared" si="1"/>
        <v>0</v>
      </c>
    </row>
    <row r="18" spans="1:14" ht="22.5" customHeight="1" x14ac:dyDescent="0.2">
      <c r="A18" s="5" t="s">
        <v>23</v>
      </c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f t="shared" si="1"/>
        <v>0</v>
      </c>
    </row>
    <row r="19" spans="1:14" ht="22.5" customHeight="1" x14ac:dyDescent="0.2">
      <c r="A19" s="5" t="s">
        <v>24</v>
      </c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f t="shared" si="1"/>
        <v>0</v>
      </c>
    </row>
    <row r="20" spans="1:14" ht="22.5" customHeight="1" x14ac:dyDescent="0.2">
      <c r="A20" s="5" t="s">
        <v>25</v>
      </c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f t="shared" si="1"/>
        <v>0</v>
      </c>
    </row>
    <row r="21" spans="1:14" ht="22.5" customHeight="1" x14ac:dyDescent="0.2">
      <c r="A21" s="5" t="s">
        <v>26</v>
      </c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 t="shared" si="1"/>
        <v>0</v>
      </c>
    </row>
    <row r="22" spans="1:14" ht="22.5" customHeight="1" x14ac:dyDescent="0.2">
      <c r="A22" s="5" t="s">
        <v>27</v>
      </c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f t="shared" si="1"/>
        <v>0</v>
      </c>
    </row>
    <row r="23" spans="1:14" ht="22.5" customHeight="1" x14ac:dyDescent="0.2">
      <c r="A23" s="5" t="s">
        <v>28</v>
      </c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f t="shared" si="1"/>
        <v>0</v>
      </c>
    </row>
    <row r="24" spans="1:14" ht="22.5" customHeight="1" x14ac:dyDescent="0.2">
      <c r="A24" s="5" t="s">
        <v>29</v>
      </c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f t="shared" si="1"/>
        <v>0</v>
      </c>
    </row>
    <row r="25" spans="1:14" ht="22.5" customHeight="1" x14ac:dyDescent="0.2">
      <c r="A25" s="5" t="s">
        <v>8</v>
      </c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 t="shared" si="1"/>
        <v>0</v>
      </c>
    </row>
    <row r="26" spans="1:14" ht="22.5" customHeight="1" x14ac:dyDescent="0.2">
      <c r="A26" s="5" t="s">
        <v>9</v>
      </c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f t="shared" si="1"/>
        <v>0</v>
      </c>
    </row>
    <row r="27" spans="1:14" ht="22.5" customHeight="1" x14ac:dyDescent="0.2">
      <c r="A27" s="5" t="s">
        <v>10</v>
      </c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f t="shared" si="1"/>
        <v>0</v>
      </c>
    </row>
    <row r="28" spans="1:14" ht="22.5" customHeight="1" x14ac:dyDescent="0.2">
      <c r="A28" s="5" t="s">
        <v>11</v>
      </c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f t="shared" si="1"/>
        <v>0</v>
      </c>
    </row>
    <row r="29" spans="1:14" ht="22.5" customHeight="1" x14ac:dyDescent="0.2">
      <c r="A29" s="26" t="s">
        <v>12</v>
      </c>
      <c r="B29" s="8">
        <f>B14-B15</f>
        <v>0</v>
      </c>
      <c r="C29" s="9">
        <f t="shared" ref="C29:M29" si="5">C14-C15</f>
        <v>0</v>
      </c>
      <c r="D29" s="9">
        <f t="shared" si="5"/>
        <v>0</v>
      </c>
      <c r="E29" s="9">
        <f t="shared" si="5"/>
        <v>0</v>
      </c>
      <c r="F29" s="9">
        <f t="shared" si="5"/>
        <v>0</v>
      </c>
      <c r="G29" s="9">
        <f t="shared" si="5"/>
        <v>0</v>
      </c>
      <c r="H29" s="9">
        <f t="shared" si="5"/>
        <v>0</v>
      </c>
      <c r="I29" s="9">
        <f t="shared" si="5"/>
        <v>0</v>
      </c>
      <c r="J29" s="9">
        <f t="shared" si="5"/>
        <v>0</v>
      </c>
      <c r="K29" s="9">
        <f t="shared" si="5"/>
        <v>0</v>
      </c>
      <c r="L29" s="9">
        <f t="shared" si="5"/>
        <v>0</v>
      </c>
      <c r="M29" s="9">
        <f t="shared" si="5"/>
        <v>0</v>
      </c>
      <c r="N29" s="9">
        <f t="shared" si="1"/>
        <v>0</v>
      </c>
    </row>
    <row r="30" spans="1:14" s="13" customFormat="1" ht="22.5" customHeight="1" x14ac:dyDescent="0.2">
      <c r="A30" s="10" t="s">
        <v>13</v>
      </c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1"/>
        <v>0</v>
      </c>
    </row>
    <row r="31" spans="1:14" ht="22.5" customHeight="1" x14ac:dyDescent="0.2">
      <c r="A31" s="26" t="s">
        <v>42</v>
      </c>
      <c r="B31" s="8">
        <f t="shared" ref="B31:M31" si="6">B8+B15+B30</f>
        <v>0</v>
      </c>
      <c r="C31" s="8">
        <f t="shared" si="6"/>
        <v>0</v>
      </c>
      <c r="D31" s="8">
        <f t="shared" si="6"/>
        <v>0</v>
      </c>
      <c r="E31" s="8">
        <f t="shared" si="6"/>
        <v>0</v>
      </c>
      <c r="F31" s="8">
        <f t="shared" si="6"/>
        <v>0</v>
      </c>
      <c r="G31" s="8">
        <f t="shared" si="6"/>
        <v>0</v>
      </c>
      <c r="H31" s="8">
        <f t="shared" si="6"/>
        <v>0</v>
      </c>
      <c r="I31" s="8">
        <f t="shared" si="6"/>
        <v>0</v>
      </c>
      <c r="J31" s="8">
        <f t="shared" si="6"/>
        <v>0</v>
      </c>
      <c r="K31" s="8">
        <f t="shared" si="6"/>
        <v>0</v>
      </c>
      <c r="L31" s="8">
        <f t="shared" si="6"/>
        <v>0</v>
      </c>
      <c r="M31" s="8">
        <f t="shared" si="6"/>
        <v>0</v>
      </c>
      <c r="N31" s="8">
        <f t="shared" si="1"/>
        <v>0</v>
      </c>
    </row>
    <row r="32" spans="1:14" ht="22.5" customHeight="1" x14ac:dyDescent="0.2">
      <c r="A32" s="26" t="s">
        <v>14</v>
      </c>
      <c r="B32" s="9">
        <f t="shared" ref="B32" si="7">B29-B30</f>
        <v>0</v>
      </c>
      <c r="C32" s="9">
        <f t="shared" ref="C32" si="8">C29-C30</f>
        <v>0</v>
      </c>
      <c r="D32" s="9">
        <f t="shared" ref="D32:M32" si="9">D29-D30</f>
        <v>0</v>
      </c>
      <c r="E32" s="9">
        <f t="shared" si="9"/>
        <v>0</v>
      </c>
      <c r="F32" s="9">
        <f t="shared" si="9"/>
        <v>0</v>
      </c>
      <c r="G32" s="9">
        <f t="shared" si="9"/>
        <v>0</v>
      </c>
      <c r="H32" s="9">
        <f t="shared" si="9"/>
        <v>0</v>
      </c>
      <c r="I32" s="9">
        <f t="shared" si="9"/>
        <v>0</v>
      </c>
      <c r="J32" s="9">
        <f t="shared" si="9"/>
        <v>0</v>
      </c>
      <c r="K32" s="9">
        <f t="shared" si="9"/>
        <v>0</v>
      </c>
      <c r="L32" s="9">
        <f t="shared" si="9"/>
        <v>0</v>
      </c>
      <c r="M32" s="9">
        <f t="shared" si="9"/>
        <v>0</v>
      </c>
      <c r="N32" s="9">
        <f t="shared" si="1"/>
        <v>0</v>
      </c>
    </row>
    <row r="33" spans="1:14" s="15" customFormat="1" ht="22.5" customHeight="1" thickBot="1" x14ac:dyDescent="0.25">
      <c r="A33" s="27" t="s">
        <v>15</v>
      </c>
      <c r="B33" s="14">
        <f t="shared" ref="B33:M33" si="10">IF(B4=0,0,B32/B4)</f>
        <v>0</v>
      </c>
      <c r="C33" s="14">
        <f t="shared" si="10"/>
        <v>0</v>
      </c>
      <c r="D33" s="14">
        <f t="shared" si="10"/>
        <v>0</v>
      </c>
      <c r="E33" s="14">
        <f t="shared" si="10"/>
        <v>0</v>
      </c>
      <c r="F33" s="14">
        <f t="shared" si="10"/>
        <v>0</v>
      </c>
      <c r="G33" s="14">
        <f t="shared" si="10"/>
        <v>0</v>
      </c>
      <c r="H33" s="14">
        <f t="shared" si="10"/>
        <v>0</v>
      </c>
      <c r="I33" s="14">
        <f t="shared" si="10"/>
        <v>0</v>
      </c>
      <c r="J33" s="14">
        <f t="shared" si="10"/>
        <v>0</v>
      </c>
      <c r="K33" s="14">
        <f t="shared" si="10"/>
        <v>0</v>
      </c>
      <c r="L33" s="14">
        <f t="shared" si="10"/>
        <v>0</v>
      </c>
      <c r="M33" s="14">
        <f t="shared" si="10"/>
        <v>0</v>
      </c>
      <c r="N33" s="14">
        <f t="shared" si="1"/>
        <v>0</v>
      </c>
    </row>
    <row r="34" spans="1:14" ht="22.5" customHeight="1" x14ac:dyDescent="0.2"/>
    <row r="35" spans="1:14" x14ac:dyDescent="0.2"/>
    <row r="36" spans="1:14" x14ac:dyDescent="0.2"/>
    <row r="37" spans="1:14" x14ac:dyDescent="0.2"/>
    <row r="38" spans="1:14" x14ac:dyDescent="0.2"/>
  </sheetData>
  <mergeCells count="1">
    <mergeCell ref="A1:K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showGridLines="0" zoomScaleNormal="100" workbookViewId="0">
      <selection sqref="A1:S1"/>
    </sheetView>
  </sheetViews>
  <sheetFormatPr defaultColWidth="0" defaultRowHeight="14.25" zeroHeight="1" x14ac:dyDescent="0.2"/>
  <cols>
    <col min="1" max="19" width="9" customWidth="1"/>
    <col min="20" max="16384" width="9" hidden="1"/>
  </cols>
  <sheetData>
    <row r="1" spans="1:25" s="19" customFormat="1" ht="36" customHeight="1" x14ac:dyDescent="0.25">
      <c r="A1" s="28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0"/>
      <c r="U1" s="18"/>
      <c r="V1" s="18"/>
      <c r="W1" s="18"/>
      <c r="X1" s="18"/>
      <c r="Y1" s="18"/>
    </row>
    <row r="2" spans="1:25" x14ac:dyDescent="0.2"/>
    <row r="3" spans="1:25" x14ac:dyDescent="0.2"/>
    <row r="4" spans="1:25" x14ac:dyDescent="0.2"/>
    <row r="5" spans="1:25" x14ac:dyDescent="0.2"/>
    <row r="6" spans="1:25" x14ac:dyDescent="0.2"/>
    <row r="7" spans="1:25" x14ac:dyDescent="0.2"/>
    <row r="8" spans="1:25" x14ac:dyDescent="0.2"/>
    <row r="9" spans="1:25" x14ac:dyDescent="0.2"/>
    <row r="10" spans="1:25" x14ac:dyDescent="0.2"/>
    <row r="11" spans="1:25" x14ac:dyDescent="0.2"/>
    <row r="12" spans="1:25" x14ac:dyDescent="0.2"/>
    <row r="13" spans="1:25" x14ac:dyDescent="0.2"/>
    <row r="14" spans="1:25" x14ac:dyDescent="0.2"/>
    <row r="15" spans="1:25" x14ac:dyDescent="0.2"/>
    <row r="16" spans="1:2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</sheetData>
  <mergeCells count="1">
    <mergeCell ref="A1:S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Indicadores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2013-11-30T03:30:12Z</dcterms:created>
  <dcterms:modified xsi:type="dcterms:W3CDTF">2014-06-23T16:39:10Z</dcterms:modified>
</cp:coreProperties>
</file>