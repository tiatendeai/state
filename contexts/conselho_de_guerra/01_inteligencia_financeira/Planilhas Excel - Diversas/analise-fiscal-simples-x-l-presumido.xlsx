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765" yWindow="60" windowWidth="14340" windowHeight="10005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L12" i="1"/>
  <c r="L10"/>
  <c r="L9"/>
  <c r="L8"/>
  <c r="L19"/>
  <c r="L26" s="1"/>
  <c r="L7"/>
  <c r="F19"/>
  <c r="F26" s="1"/>
  <c r="F7"/>
  <c r="F15" s="1"/>
  <c r="F13" l="1"/>
  <c r="L13"/>
  <c r="L15" s="1"/>
  <c r="L28" s="1"/>
  <c r="F28"/>
</calcChain>
</file>

<file path=xl/sharedStrings.xml><?xml version="1.0" encoding="utf-8"?>
<sst xmlns="http://schemas.openxmlformats.org/spreadsheetml/2006/main" count="40" uniqueCount="26">
  <si>
    <t>FATURAMENTO BRUTO</t>
  </si>
  <si>
    <t>R$</t>
  </si>
  <si>
    <t>TRIBUTAÇÃO</t>
  </si>
  <si>
    <t>SIMPLES NACIONAL</t>
  </si>
  <si>
    <t>RECEITA LÍQUIDA</t>
  </si>
  <si>
    <t>DESPESAS OPERACIONAIS</t>
  </si>
  <si>
    <t>PRÓ-LABORE</t>
  </si>
  <si>
    <t>ENCARGOS</t>
  </si>
  <si>
    <t>HONORÁRIOS CONTÁBEIS</t>
  </si>
  <si>
    <t>MATERIAIS DE ESCRITÓRIO</t>
  </si>
  <si>
    <t>MATERIAL DE LIMPEZA</t>
  </si>
  <si>
    <t>DESPESAS DE VIAGENS</t>
  </si>
  <si>
    <t>COMBUSTIVEL</t>
  </si>
  <si>
    <t>OUTRAS DESPESAS ADMINISTRATIVAS</t>
  </si>
  <si>
    <t>SUB TOTAL</t>
  </si>
  <si>
    <t>LUCRO LÍQUIDO</t>
  </si>
  <si>
    <t>LUCRO PRESUMIDO</t>
  </si>
  <si>
    <t>SIMPLES</t>
  </si>
  <si>
    <t>COFINS</t>
  </si>
  <si>
    <t>PIS</t>
  </si>
  <si>
    <t>CSSL</t>
  </si>
  <si>
    <t>IRPJ</t>
  </si>
  <si>
    <t>ISS</t>
  </si>
  <si>
    <t>SUB TOTAL IMPOSTOS</t>
  </si>
  <si>
    <t>IRPJ - Adic</t>
  </si>
  <si>
    <t>Observar Adicional do IR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</si>
</sst>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4" fillId="3" borderId="2" xfId="0" applyFont="1" applyFill="1" applyBorder="1" applyAlignment="1">
      <alignment horizontal="right"/>
    </xf>
    <xf numFmtId="10" fontId="0" fillId="0" borderId="1" xfId="0" applyNumberFormat="1" applyBorder="1"/>
    <xf numFmtId="0" fontId="0" fillId="0" borderId="1" xfId="0" applyBorder="1"/>
    <xf numFmtId="43" fontId="0" fillId="0" borderId="4" xfId="0" applyNumberFormat="1" applyBorder="1"/>
    <xf numFmtId="0" fontId="0" fillId="4" borderId="2" xfId="0" applyFill="1" applyBorder="1"/>
    <xf numFmtId="0" fontId="0" fillId="4" borderId="3" xfId="0" applyFill="1" applyBorder="1"/>
    <xf numFmtId="43" fontId="0" fillId="4" borderId="4" xfId="0" applyNumberFormat="1" applyFill="1" applyBorder="1"/>
    <xf numFmtId="0" fontId="0" fillId="0" borderId="5" xfId="0" applyBorder="1"/>
    <xf numFmtId="0" fontId="0" fillId="0" borderId="6" xfId="0" applyBorder="1"/>
    <xf numFmtId="43" fontId="0" fillId="0" borderId="7" xfId="1" applyFont="1" applyBorder="1"/>
    <xf numFmtId="0" fontId="0" fillId="0" borderId="8" xfId="0" applyBorder="1"/>
    <xf numFmtId="0" fontId="0" fillId="0" borderId="0" xfId="0" applyBorder="1"/>
    <xf numFmtId="9" fontId="0" fillId="0" borderId="0" xfId="0" applyNumberFormat="1" applyBorder="1"/>
    <xf numFmtId="43" fontId="0" fillId="0" borderId="9" xfId="0" applyNumberFormat="1" applyBorder="1"/>
    <xf numFmtId="43" fontId="0" fillId="0" borderId="9" xfId="1" applyFont="1" applyBorder="1"/>
    <xf numFmtId="0" fontId="0" fillId="0" borderId="10" xfId="0" applyBorder="1"/>
    <xf numFmtId="0" fontId="0" fillId="0" borderId="11" xfId="0" applyBorder="1"/>
    <xf numFmtId="43" fontId="0" fillId="0" borderId="12" xfId="1" applyFont="1" applyBorder="1"/>
    <xf numFmtId="10" fontId="0" fillId="0" borderId="0" xfId="0" applyNumberFormat="1" applyBorder="1"/>
    <xf numFmtId="0" fontId="2" fillId="5" borderId="2" xfId="0" applyFont="1" applyFill="1" applyBorder="1"/>
    <xf numFmtId="0" fontId="2" fillId="5" borderId="3" xfId="0" applyFont="1" applyFill="1" applyBorder="1"/>
    <xf numFmtId="43" fontId="2" fillId="5" borderId="4" xfId="0" applyNumberFormat="1" applyFont="1" applyFill="1" applyBorder="1"/>
    <xf numFmtId="43" fontId="4" fillId="3" borderId="3" xfId="1" applyFont="1" applyFill="1" applyBorder="1" applyAlignment="1">
      <alignment horizontal="center"/>
    </xf>
    <xf numFmtId="43" fontId="4" fillId="3" borderId="4" xfId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43" fontId="0" fillId="6" borderId="4" xfId="1" applyFont="1" applyFill="1" applyBorder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8"/>
  <sheetViews>
    <sheetView showGridLines="0" tabSelected="1" workbookViewId="0">
      <selection activeCell="L19" sqref="L19"/>
    </sheetView>
  </sheetViews>
  <sheetFormatPr defaultRowHeight="15"/>
  <cols>
    <col min="5" max="5" width="10.5703125" bestFit="1" customWidth="1"/>
    <col min="6" max="6" width="17.140625" bestFit="1" customWidth="1"/>
    <col min="12" max="12" width="10.5703125" bestFit="1" customWidth="1"/>
  </cols>
  <sheetData>
    <row r="2" spans="2:13" ht="21">
      <c r="B2" s="31" t="s">
        <v>0</v>
      </c>
      <c r="C2" s="32"/>
      <c r="D2" s="32"/>
      <c r="E2" s="32"/>
      <c r="F2" s="33"/>
      <c r="G2" s="7" t="s">
        <v>1</v>
      </c>
      <c r="H2" s="29">
        <v>30000</v>
      </c>
      <c r="I2" s="30"/>
      <c r="J2" s="4"/>
      <c r="K2" s="5"/>
      <c r="L2" s="6"/>
    </row>
    <row r="4" spans="2:13" ht="21">
      <c r="B4" s="38" t="s">
        <v>2</v>
      </c>
      <c r="C4" s="39"/>
      <c r="D4" s="39"/>
      <c r="E4" s="39"/>
      <c r="F4" s="39"/>
      <c r="G4" s="39"/>
      <c r="H4" s="39"/>
      <c r="I4" s="39"/>
      <c r="J4" s="39"/>
      <c r="K4" s="39"/>
      <c r="L4" s="40"/>
    </row>
    <row r="5" spans="2:13">
      <c r="B5" s="41" t="s">
        <v>3</v>
      </c>
      <c r="C5" s="42"/>
      <c r="D5" s="42"/>
      <c r="E5" s="42"/>
      <c r="F5" s="43"/>
      <c r="H5" s="41" t="s">
        <v>16</v>
      </c>
      <c r="I5" s="42"/>
      <c r="J5" s="42"/>
      <c r="K5" s="42"/>
      <c r="L5" s="43"/>
    </row>
    <row r="7" spans="2:13">
      <c r="B7" s="34" t="s">
        <v>17</v>
      </c>
      <c r="C7" s="34"/>
      <c r="D7" s="35">
        <v>0.1893</v>
      </c>
      <c r="E7" s="36" t="s">
        <v>1</v>
      </c>
      <c r="F7" s="37">
        <f>$H$2*D7</f>
        <v>5679</v>
      </c>
      <c r="H7" s="1" t="s">
        <v>18</v>
      </c>
      <c r="I7" s="3"/>
      <c r="J7" s="8">
        <v>0.03</v>
      </c>
      <c r="K7" s="1"/>
      <c r="L7" s="10">
        <f>$H$2*J7</f>
        <v>900</v>
      </c>
    </row>
    <row r="8" spans="2:13">
      <c r="B8" s="34"/>
      <c r="C8" s="34"/>
      <c r="D8" s="35"/>
      <c r="E8" s="36"/>
      <c r="F8" s="37"/>
      <c r="H8" s="1" t="s">
        <v>19</v>
      </c>
      <c r="I8" s="3"/>
      <c r="J8" s="8">
        <v>6.4999999999999997E-3</v>
      </c>
      <c r="K8" s="1"/>
      <c r="L8" s="10">
        <f>$H$2*J8</f>
        <v>195</v>
      </c>
    </row>
    <row r="9" spans="2:13">
      <c r="B9" s="34"/>
      <c r="C9" s="34"/>
      <c r="D9" s="35"/>
      <c r="E9" s="36"/>
      <c r="F9" s="37"/>
      <c r="H9" s="1" t="s">
        <v>20</v>
      </c>
      <c r="I9" s="3"/>
      <c r="J9" s="8">
        <v>2.8799999999999999E-2</v>
      </c>
      <c r="K9" s="1"/>
      <c r="L9" s="10">
        <f>$H$2*J9</f>
        <v>864</v>
      </c>
    </row>
    <row r="10" spans="2:13">
      <c r="B10" s="34"/>
      <c r="C10" s="34"/>
      <c r="D10" s="35"/>
      <c r="E10" s="36"/>
      <c r="F10" s="37"/>
      <c r="H10" s="1" t="s">
        <v>21</v>
      </c>
      <c r="I10" s="3"/>
      <c r="J10" s="8">
        <v>4.8000000000000001E-2</v>
      </c>
      <c r="K10" s="1"/>
      <c r="L10" s="10">
        <f>$H$2*J10</f>
        <v>1440</v>
      </c>
    </row>
    <row r="11" spans="2:13">
      <c r="B11" s="34"/>
      <c r="C11" s="34"/>
      <c r="D11" s="35"/>
      <c r="E11" s="36"/>
      <c r="F11" s="37"/>
      <c r="H11" s="1" t="s">
        <v>24</v>
      </c>
      <c r="I11" s="3"/>
      <c r="J11" s="9"/>
      <c r="K11" s="1"/>
      <c r="L11" s="44">
        <v>0</v>
      </c>
      <c r="M11" t="s">
        <v>25</v>
      </c>
    </row>
    <row r="12" spans="2:13">
      <c r="B12" s="34"/>
      <c r="C12" s="34"/>
      <c r="D12" s="35"/>
      <c r="E12" s="36"/>
      <c r="F12" s="37"/>
      <c r="H12" s="1" t="s">
        <v>22</v>
      </c>
      <c r="I12" s="3"/>
      <c r="J12" s="8">
        <v>0.03</v>
      </c>
      <c r="K12" s="1"/>
      <c r="L12" s="10">
        <f>$H$2*J12</f>
        <v>900</v>
      </c>
    </row>
    <row r="13" spans="2:13">
      <c r="B13" s="1" t="s">
        <v>23</v>
      </c>
      <c r="C13" s="2"/>
      <c r="D13" s="2"/>
      <c r="E13" s="2"/>
      <c r="F13" s="10">
        <f>SUM(F7:F11)</f>
        <v>5679</v>
      </c>
      <c r="H13" s="1" t="s">
        <v>23</v>
      </c>
      <c r="I13" s="2"/>
      <c r="J13" s="2"/>
      <c r="K13" s="2"/>
      <c r="L13" s="10">
        <f>SUM(L7:L12)</f>
        <v>4299</v>
      </c>
    </row>
    <row r="15" spans="2:13">
      <c r="B15" s="11" t="s">
        <v>4</v>
      </c>
      <c r="C15" s="12"/>
      <c r="D15" s="12"/>
      <c r="E15" s="12"/>
      <c r="F15" s="13">
        <f>$H$2-F7</f>
        <v>24321</v>
      </c>
      <c r="H15" s="11" t="s">
        <v>4</v>
      </c>
      <c r="I15" s="12"/>
      <c r="J15" s="12"/>
      <c r="K15" s="12"/>
      <c r="L15" s="13">
        <f>$H$2-L13</f>
        <v>25701</v>
      </c>
    </row>
    <row r="17" spans="2:12">
      <c r="B17" s="4" t="s">
        <v>5</v>
      </c>
      <c r="C17" s="5"/>
      <c r="D17" s="5"/>
      <c r="E17" s="5"/>
      <c r="F17" s="6"/>
      <c r="H17" s="4" t="s">
        <v>5</v>
      </c>
      <c r="I17" s="5"/>
      <c r="J17" s="5"/>
      <c r="K17" s="5"/>
      <c r="L17" s="6"/>
    </row>
    <row r="18" spans="2:12">
      <c r="B18" s="14" t="s">
        <v>6</v>
      </c>
      <c r="C18" s="15"/>
      <c r="D18" s="15"/>
      <c r="E18" s="15"/>
      <c r="F18" s="16">
        <v>4390.24</v>
      </c>
      <c r="H18" s="14" t="s">
        <v>6</v>
      </c>
      <c r="I18" s="15"/>
      <c r="J18" s="15"/>
      <c r="K18" s="15"/>
      <c r="L18" s="16">
        <v>4390.24</v>
      </c>
    </row>
    <row r="19" spans="2:12">
      <c r="B19" s="17" t="s">
        <v>7</v>
      </c>
      <c r="C19" s="18"/>
      <c r="D19" s="18"/>
      <c r="E19" s="19">
        <v>0.11</v>
      </c>
      <c r="F19" s="20">
        <f>F18*E19</f>
        <v>482.9264</v>
      </c>
      <c r="H19" s="17" t="s">
        <v>7</v>
      </c>
      <c r="I19" s="18"/>
      <c r="J19" s="18"/>
      <c r="K19" s="25">
        <v>0.31</v>
      </c>
      <c r="L19" s="20">
        <f>L18*K19</f>
        <v>1360.9743999999998</v>
      </c>
    </row>
    <row r="20" spans="2:12">
      <c r="B20" s="17" t="s">
        <v>8</v>
      </c>
      <c r="C20" s="18"/>
      <c r="D20" s="18"/>
      <c r="E20" s="18"/>
      <c r="F20" s="21">
        <v>362</v>
      </c>
      <c r="H20" s="17" t="s">
        <v>8</v>
      </c>
      <c r="I20" s="18"/>
      <c r="J20" s="18"/>
      <c r="K20" s="18"/>
      <c r="L20" s="21">
        <v>362</v>
      </c>
    </row>
    <row r="21" spans="2:12">
      <c r="B21" s="17" t="s">
        <v>9</v>
      </c>
      <c r="C21" s="18"/>
      <c r="D21" s="18"/>
      <c r="E21" s="18"/>
      <c r="F21" s="21">
        <v>0</v>
      </c>
      <c r="H21" s="17" t="s">
        <v>9</v>
      </c>
      <c r="I21" s="18"/>
      <c r="J21" s="18"/>
      <c r="K21" s="18"/>
      <c r="L21" s="21">
        <v>0</v>
      </c>
    </row>
    <row r="22" spans="2:12">
      <c r="B22" s="17" t="s">
        <v>10</v>
      </c>
      <c r="C22" s="18"/>
      <c r="D22" s="18"/>
      <c r="E22" s="18"/>
      <c r="F22" s="21">
        <v>0</v>
      </c>
      <c r="H22" s="17" t="s">
        <v>10</v>
      </c>
      <c r="I22" s="18"/>
      <c r="J22" s="18"/>
      <c r="K22" s="18"/>
      <c r="L22" s="21">
        <v>0</v>
      </c>
    </row>
    <row r="23" spans="2:12">
      <c r="B23" s="17" t="s">
        <v>11</v>
      </c>
      <c r="C23" s="18"/>
      <c r="D23" s="18"/>
      <c r="E23" s="18"/>
      <c r="F23" s="21">
        <v>0</v>
      </c>
      <c r="H23" s="17" t="s">
        <v>11</v>
      </c>
      <c r="I23" s="18"/>
      <c r="J23" s="18"/>
      <c r="K23" s="18"/>
      <c r="L23" s="21">
        <v>0</v>
      </c>
    </row>
    <row r="24" spans="2:12">
      <c r="B24" s="17" t="s">
        <v>12</v>
      </c>
      <c r="C24" s="18"/>
      <c r="D24" s="18"/>
      <c r="E24" s="18"/>
      <c r="F24" s="21">
        <v>0</v>
      </c>
      <c r="H24" s="17" t="s">
        <v>12</v>
      </c>
      <c r="I24" s="18"/>
      <c r="J24" s="18"/>
      <c r="K24" s="18"/>
      <c r="L24" s="21">
        <v>0</v>
      </c>
    </row>
    <row r="25" spans="2:12">
      <c r="B25" s="22" t="s">
        <v>13</v>
      </c>
      <c r="C25" s="23"/>
      <c r="D25" s="23"/>
      <c r="E25" s="23"/>
      <c r="F25" s="24">
        <v>0</v>
      </c>
      <c r="H25" s="22" t="s">
        <v>13</v>
      </c>
      <c r="I25" s="23"/>
      <c r="J25" s="23"/>
      <c r="K25" s="23"/>
      <c r="L25" s="24">
        <v>0</v>
      </c>
    </row>
    <row r="26" spans="2:12">
      <c r="B26" s="11" t="s">
        <v>14</v>
      </c>
      <c r="C26" s="12"/>
      <c r="D26" s="12"/>
      <c r="E26" s="12"/>
      <c r="F26" s="13">
        <f>SUM(F18:F25)</f>
        <v>5235.1664000000001</v>
      </c>
      <c r="H26" s="11" t="s">
        <v>14</v>
      </c>
      <c r="I26" s="12"/>
      <c r="J26" s="12"/>
      <c r="K26" s="12"/>
      <c r="L26" s="13">
        <f>SUM(L18:L25)</f>
        <v>6113.2143999999998</v>
      </c>
    </row>
    <row r="28" spans="2:12">
      <c r="B28" s="26" t="s">
        <v>15</v>
      </c>
      <c r="C28" s="27"/>
      <c r="D28" s="27"/>
      <c r="E28" s="27"/>
      <c r="F28" s="28">
        <f>F15-F26</f>
        <v>19085.833599999998</v>
      </c>
      <c r="H28" s="26" t="s">
        <v>15</v>
      </c>
      <c r="I28" s="27"/>
      <c r="J28" s="27"/>
      <c r="K28" s="27"/>
      <c r="L28" s="28">
        <f>L15-L26</f>
        <v>19587.785599999999</v>
      </c>
    </row>
  </sheetData>
  <mergeCells count="9">
    <mergeCell ref="H2:I2"/>
    <mergeCell ref="B2:F2"/>
    <mergeCell ref="B7:C12"/>
    <mergeCell ref="D7:D12"/>
    <mergeCell ref="E7:E12"/>
    <mergeCell ref="F7:F12"/>
    <mergeCell ref="B4:L4"/>
    <mergeCell ref="B5:F5"/>
    <mergeCell ref="H5:L5"/>
  </mergeCells>
  <pageMargins left="0.51181102362204722" right="0.51181102362204722" top="0.78740157480314965" bottom="0.78740157480314965" header="0.31496062992125984" footer="0.31496062992125984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alessandro.craveiro</dc:creator>
  <cp:lastModifiedBy>alessandro.craveiro</cp:lastModifiedBy>
  <cp:lastPrinted>2014-10-21T17:43:44Z</cp:lastPrinted>
  <dcterms:created xsi:type="dcterms:W3CDTF">2013-04-17T14:21:25Z</dcterms:created>
  <dcterms:modified xsi:type="dcterms:W3CDTF">2014-10-24T11:35:44Z</dcterms:modified>
</cp:coreProperties>
</file>