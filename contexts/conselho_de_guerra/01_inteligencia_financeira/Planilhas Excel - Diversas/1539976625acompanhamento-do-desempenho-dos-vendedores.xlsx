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xr:revisionPtr revIDLastSave="0" documentId="13_ncr:1000001_{7D131BE9-6B82-E744-A1A1-0E80482BB27F}" xr6:coauthVersionLast="38" xr6:coauthVersionMax="38" xr10:uidLastSave="{00000000-0000-0000-0000-000000000000}"/>
  <bookViews>
    <workbookView xWindow="120" yWindow="75" windowWidth="19020" windowHeight="8580" tabRatio="248" xr2:uid="{00000000-000D-0000-FFFF-FFFF00000000}"/>
  </bookViews>
  <sheets>
    <sheet name="Introdução" sheetId="4" r:id="rId1"/>
    <sheet name="Principal" sheetId="1" r:id="rId2"/>
    <sheet name="Gráficos" sheetId="3" r:id="rId3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E12" i="1"/>
  <c r="F12" i="1"/>
  <c r="E13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E11" i="1"/>
  <c r="F11" i="1"/>
  <c r="O34" i="1"/>
  <c r="O35" i="1"/>
  <c r="O36" i="1"/>
  <c r="O37" i="1"/>
  <c r="O38" i="1"/>
  <c r="O39" i="1"/>
  <c r="O40" i="1"/>
  <c r="O4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11" i="1"/>
  <c r="G5" i="1"/>
  <c r="G4" i="1"/>
  <c r="N42" i="1"/>
  <c r="M4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11" i="1"/>
  <c r="Q13" i="1"/>
  <c r="I11" i="1"/>
  <c r="J11" i="1"/>
  <c r="K11" i="1"/>
  <c r="D42" i="1"/>
  <c r="I12" i="1"/>
  <c r="J12" i="1"/>
  <c r="K12" i="1"/>
  <c r="B18" i="3"/>
  <c r="E40" i="1"/>
  <c r="E41" i="1"/>
  <c r="E39" i="1"/>
  <c r="E15" i="1"/>
  <c r="E17" i="1"/>
  <c r="E19" i="1"/>
  <c r="E21" i="1"/>
  <c r="E23" i="1"/>
  <c r="E25" i="1"/>
  <c r="E27" i="1"/>
  <c r="E29" i="1"/>
  <c r="E31" i="1"/>
  <c r="E33" i="1"/>
  <c r="E35" i="1"/>
  <c r="E37" i="1"/>
  <c r="E14" i="1"/>
  <c r="E16" i="1"/>
  <c r="E18" i="1"/>
  <c r="E20" i="1"/>
  <c r="E22" i="1"/>
  <c r="E24" i="1"/>
  <c r="E26" i="1"/>
  <c r="E28" i="1"/>
  <c r="E30" i="1"/>
  <c r="E32" i="1"/>
  <c r="E34" i="1"/>
  <c r="E36" i="1"/>
  <c r="E38" i="1"/>
  <c r="I13" i="1"/>
  <c r="J13" i="1"/>
  <c r="K13" i="1"/>
  <c r="E42" i="1"/>
  <c r="I14" i="1"/>
  <c r="J14" i="1"/>
  <c r="K14" i="1"/>
  <c r="G42" i="1"/>
  <c r="Q19" i="1"/>
  <c r="B19" i="3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B20" i="3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Suporte</author>
    <author>Ferraz</author>
  </authors>
  <commentList>
    <comment ref="D4" authorId="0" shapeId="0" xr:uid="{00000000-0006-0000-0100-000001000000}">
      <text>
        <r>
          <rPr>
            <b/>
            <sz val="12"/>
            <color indexed="81"/>
            <rFont val="Arial Rounded MT Bold"/>
            <family val="2"/>
          </rPr>
          <t>Suporte:</t>
        </r>
        <r>
          <rPr>
            <sz val="8"/>
            <color indexed="81"/>
            <rFont val="Arial Rounded MT Bold"/>
            <family val="2"/>
          </rPr>
          <t xml:space="preserve">
</t>
        </r>
        <r>
          <rPr>
            <sz val="10"/>
            <color indexed="81"/>
            <rFont val="Arial Rounded MT"/>
          </rPr>
          <t>Defina mês e ano</t>
        </r>
      </text>
    </comment>
    <comment ref="D6" authorId="0" shapeId="0" xr:uid="{00000000-0006-0000-0100-000002000000}">
      <text>
        <r>
          <rPr>
            <b/>
            <sz val="12"/>
            <color indexed="81"/>
            <rFont val="Arial Rounded MT"/>
          </rPr>
          <t>Suporte:</t>
        </r>
        <r>
          <rPr>
            <sz val="8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Informe o Nome do seu vendedor</t>
        </r>
      </text>
    </comment>
    <comment ref="D7" authorId="0" shapeId="0" xr:uid="{00000000-0006-0000-0100-000003000000}">
      <text>
        <r>
          <rPr>
            <b/>
            <sz val="12"/>
            <color indexed="81"/>
            <rFont val="Arial Rounded MT"/>
          </rPr>
          <t>Suporte:</t>
        </r>
        <r>
          <rPr>
            <sz val="8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Informe a meta desejada para o período.</t>
        </r>
      </text>
    </comment>
    <comment ref="M9" authorId="1" shapeId="0" xr:uid="{00000000-0006-0000-0100-000004000000}">
      <text>
        <r>
          <rPr>
            <b/>
            <sz val="12"/>
            <color indexed="81"/>
            <rFont val="Arial Rounded MT"/>
          </rPr>
          <t>Suporte:</t>
        </r>
        <r>
          <rPr>
            <b/>
            <sz val="9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Nesta coluna informe quantos clientes seu vendedor visitou no dia</t>
        </r>
      </text>
    </comment>
    <comment ref="N9" authorId="1" shapeId="0" xr:uid="{00000000-0006-0000-0100-000005000000}">
      <text>
        <r>
          <rPr>
            <b/>
            <sz val="12"/>
            <color indexed="81"/>
            <rFont val="Arial Rounded MT"/>
          </rPr>
          <t>Suporte:</t>
        </r>
        <r>
          <rPr>
            <b/>
            <sz val="9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Nesta coluna informe quantos clientes foram convertidos no dia</t>
        </r>
      </text>
    </comment>
    <comment ref="O9" authorId="0" shapeId="0" xr:uid="{00000000-0006-0000-0100-000006000000}">
      <text>
        <r>
          <rPr>
            <b/>
            <sz val="12"/>
            <color indexed="81"/>
            <rFont val="Arial Rounded MT"/>
          </rPr>
          <t>Suporte:</t>
        </r>
        <r>
          <rPr>
            <sz val="8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 xml:space="preserve">Um dos aspectos mais importantes no varejo é a taxa de conversão, ou seja, o aproveitamento dos clientes que entram na loja ou recebem uma ligação. Por exemplo: se em uma loja, entrarem dez clientes e apenas dois comprarem, a taxa de conversão é 20%. Conhecendo esta taxa, o lojista pode melhorar seu desempenho.
</t>
        </r>
      </text>
    </comment>
    <comment ref="Q9" authorId="0" shapeId="0" xr:uid="{00000000-0006-0000-0100-000007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tabela você informa um percentual de vendas por abordagem, para acompanhar a produtividade.</t>
        </r>
      </text>
    </comment>
    <comment ref="D10" authorId="0" shapeId="0" xr:uid="{00000000-0006-0000-0100-000008000000}">
      <text>
        <r>
          <rPr>
            <b/>
            <sz val="12"/>
            <color indexed="81"/>
            <rFont val="Arial Rounded MT"/>
          </rPr>
          <t>Suporte:</t>
        </r>
        <r>
          <rPr>
            <sz val="12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Nesta coluna informe o quanto seu vendedor conseguiu vender no dia</t>
        </r>
      </text>
    </comment>
    <comment ref="E10" authorId="0" shapeId="0" xr:uid="{00000000-0006-0000-0100-000009000000}">
      <text>
        <r>
          <rPr>
            <b/>
            <sz val="12"/>
            <color indexed="81"/>
            <rFont val="Arial Rounded MT"/>
          </rPr>
          <t>Suporte:</t>
        </r>
        <r>
          <rPr>
            <sz val="12"/>
            <color indexed="81"/>
            <rFont val="Arial Rounded MT"/>
          </rPr>
          <t xml:space="preserve">
M</t>
        </r>
        <r>
          <rPr>
            <sz val="10"/>
            <color indexed="81"/>
            <rFont val="Arial Rounded MT"/>
          </rPr>
          <t>eta diária estabelecida, baseada na meta mensal.</t>
        </r>
      </text>
    </comment>
    <comment ref="F10" authorId="0" shapeId="0" xr:uid="{00000000-0006-0000-0100-00000A000000}">
      <text>
        <r>
          <rPr>
            <b/>
            <sz val="12"/>
            <color indexed="81"/>
            <rFont val="Arial Rounded MT"/>
          </rPr>
          <t>Suporte:</t>
        </r>
        <r>
          <rPr>
            <sz val="12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Diferença entre o que foi projetado, e o que realmente foi vendido.</t>
        </r>
      </text>
    </comment>
    <comment ref="G10" authorId="0" shapeId="0" xr:uid="{00000000-0006-0000-0100-00000B000000}">
      <text>
        <r>
          <rPr>
            <b/>
            <sz val="12"/>
            <color indexed="81"/>
            <rFont val="Arial Rounded MT"/>
          </rPr>
          <t>Suporte:</t>
        </r>
        <r>
          <rPr>
            <sz val="12"/>
            <color indexed="81"/>
            <rFont val="Arial Rounded MT"/>
          </rPr>
          <t xml:space="preserve">
c</t>
        </r>
        <r>
          <rPr>
            <sz val="10"/>
            <color indexed="81"/>
            <rFont val="Arial Rounded MT"/>
          </rPr>
          <t>omissão do vendedor, baseado no percentual estabelecido</t>
        </r>
      </text>
    </comment>
    <comment ref="I10" authorId="0" shapeId="0" xr:uid="{00000000-0006-0000-0100-00000C000000}">
      <text>
        <r>
          <rPr>
            <b/>
            <sz val="12"/>
            <color indexed="81"/>
            <rFont val="Arial Rounded MT"/>
          </rPr>
          <t>Suporte:</t>
        </r>
        <r>
          <rPr>
            <sz val="10"/>
            <color indexed="81"/>
            <rFont val="Arial Rounded MT"/>
          </rPr>
          <t xml:space="preserve">
Acumulado do saldo Real das vendas dia a dia.</t>
        </r>
      </text>
    </comment>
    <comment ref="J10" authorId="0" shapeId="0" xr:uid="{00000000-0006-0000-0100-00000D000000}">
      <text>
        <r>
          <rPr>
            <b/>
            <sz val="12"/>
            <color indexed="81"/>
            <rFont val="Arial Rounded MT"/>
          </rPr>
          <t>Suporte:</t>
        </r>
        <r>
          <rPr>
            <sz val="12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Acumulo do saldo projetado dia a dia.</t>
        </r>
      </text>
    </comment>
    <comment ref="K10" authorId="1" shapeId="0" xr:uid="{00000000-0006-0000-0100-00000E000000}">
      <text>
        <r>
          <rPr>
            <b/>
            <sz val="12"/>
            <color indexed="81"/>
            <rFont val="Arial Rounded MT"/>
          </rPr>
          <t>Suporte:</t>
        </r>
        <r>
          <rPr>
            <sz val="9"/>
            <color indexed="81"/>
            <rFont val="Arial Rounded MT"/>
          </rPr>
          <t xml:space="preserve">
</t>
        </r>
        <r>
          <rPr>
            <sz val="10"/>
            <color indexed="81"/>
            <rFont val="Arial Rounded MT"/>
          </rPr>
          <t>Diferença do acumulado entre o que foi projetado, e o que realmente foi vendido.</t>
        </r>
      </text>
    </comment>
    <comment ref="Q12" authorId="0" shapeId="0" xr:uid="{00000000-0006-0000-0100-00000F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tabela fica calculado a media mensal de taxa de conversão, com indicador de cor se ele atingiu ou não a meta.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5" authorId="0" shapeId="0" xr:uid="{00000000-0006-0000-0100-000010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Informe nesta tabela o percentual para calcular a comissão sobre o valor das vendas.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18" authorId="0" shapeId="0" xr:uid="{00000000-0006-0000-0100-000011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tabela fica o valor a pagar de comissão, se o vendedor ultrapassar a meta mensal.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<sst xmlns="http://schemas.openxmlformats.org/spreadsheetml/2006/main" count="33" uniqueCount="31">
  <si>
    <t>Data</t>
  </si>
  <si>
    <t>Venda</t>
  </si>
  <si>
    <t>ACOMPANHAMENTO DIÁRIO DE VENDAS</t>
  </si>
  <si>
    <t>Projetado</t>
  </si>
  <si>
    <t>Total</t>
  </si>
  <si>
    <t>Acumulado</t>
  </si>
  <si>
    <t>Diferença</t>
  </si>
  <si>
    <t>Mês / Ano</t>
  </si>
  <si>
    <t>Tendência</t>
  </si>
  <si>
    <t>Vendedor</t>
  </si>
  <si>
    <t>Real</t>
  </si>
  <si>
    <t>Projetada</t>
  </si>
  <si>
    <t>Meta Mensal</t>
  </si>
  <si>
    <t>Venda Real</t>
  </si>
  <si>
    <t>Venda Projetada</t>
  </si>
  <si>
    <t>Clientes Abordados</t>
  </si>
  <si>
    <t>Taxa de Conversão</t>
  </si>
  <si>
    <t>Vendas Fechadas</t>
  </si>
  <si>
    <t>Não atingiu a meta.</t>
  </si>
  <si>
    <t>Meta de conversão</t>
  </si>
  <si>
    <t>Comissão em R$</t>
  </si>
  <si>
    <t>Media mensal de conversão</t>
  </si>
  <si>
    <t>% de comissão</t>
  </si>
  <si>
    <t>Total a pagar de comissão</t>
  </si>
  <si>
    <t>Tel: (11) 3522-9234</t>
  </si>
  <si>
    <t>O seu propósito é auxiliar você empresário a alcançar seus objetivos, e alavancar sua empresa, através de ferramentas auxiliares de gestão.</t>
  </si>
  <si>
    <t>Bem vindo a este material totalmente GRATUITO.</t>
  </si>
  <si>
    <t xml:space="preserve">Antes, uma pequena dica! </t>
  </si>
  <si>
    <t>Depois de ler as instruções, clique aqui para acessar a planilha na íntegra</t>
  </si>
  <si>
    <t xml:space="preserve">Algumas colunas possuem dicas ou informações que auxiliam no seu entendimento. Basta parar o cursor do mouse sobre as células que possuem setinha vermelha no canto superior direito. Como esta: </t>
  </si>
  <si>
    <t>Vendedor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</si>
</sst>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&quot;\ * #,##0.00_-;\-&quot;R$&quot;\ * #,##0.00_-;_-&quot;R$&quot;\ * &quot;-&quot;??_-;_-@_-"/>
    <numFmt numFmtId="165" formatCode="dd\ \-\ [$-416]ddd"/>
    <numFmt numFmtId="166" formatCode="mmmm/yy"/>
    <numFmt numFmtId="167" formatCode="0.00_ ;[Red]\-0.00\ "/>
    <numFmt numFmtId="168" formatCode="#,##0.00;\(#,##0.00\)"/>
    <numFmt numFmtId="169" formatCode="&quot;R$ &quot;#,##0.0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8"/>
      <color indexed="81"/>
      <name val="Arial Rounded MT Bold"/>
      <family val="2"/>
    </font>
    <font>
      <sz val="8"/>
      <color indexed="81"/>
      <name val="Arial Rounded MT"/>
    </font>
    <font>
      <sz val="12"/>
      <color indexed="81"/>
      <name val="Arial Rounded MT"/>
    </font>
    <font>
      <b/>
      <sz val="12"/>
      <color indexed="81"/>
      <name val="Arial Rounded MT"/>
    </font>
    <font>
      <sz val="10"/>
      <color indexed="81"/>
      <name val="Arial Rounded MT"/>
    </font>
    <font>
      <b/>
      <sz val="12"/>
      <color indexed="81"/>
      <name val="Arial Rounded MT Bold"/>
      <family val="2"/>
    </font>
    <font>
      <b/>
      <sz val="9"/>
      <color indexed="81"/>
      <name val="Arial Rounded MT"/>
    </font>
    <font>
      <sz val="9"/>
      <color indexed="81"/>
      <name val="Arial Rounded MT"/>
    </font>
    <font>
      <sz val="11"/>
      <color theme="0"/>
      <name val="Calibri"/>
      <family val="2"/>
      <scheme val="minor"/>
    </font>
    <font>
      <sz val="11"/>
      <color theme="1"/>
      <name val="Verdana"/>
      <family val="2"/>
    </font>
    <font>
      <b/>
      <sz val="24"/>
      <color theme="0"/>
      <name val="Verdana"/>
      <family val="2"/>
    </font>
    <font>
      <b/>
      <sz val="14"/>
      <color theme="0"/>
      <name val="Verdana"/>
      <family val="2"/>
    </font>
    <font>
      <b/>
      <u/>
      <sz val="14"/>
      <color theme="0"/>
      <name val="Verdana"/>
      <family val="2"/>
    </font>
    <font>
      <b/>
      <sz val="12"/>
      <color theme="0"/>
      <name val="Verdana"/>
      <family val="2"/>
    </font>
    <font>
      <b/>
      <sz val="20"/>
      <color rgb="FF3B8BAF"/>
      <name val="Verdana"/>
      <family val="2"/>
    </font>
    <font>
      <b/>
      <sz val="28"/>
      <color rgb="FF3B8BAF"/>
      <name val="Verdana"/>
      <family val="2"/>
    </font>
    <font>
      <u/>
      <sz val="11"/>
      <color theme="10"/>
      <name val="Verdana"/>
      <family val="2"/>
    </font>
    <font>
      <u/>
      <sz val="11"/>
      <color theme="1"/>
      <name val="Verdana"/>
      <family val="2"/>
    </font>
    <font>
      <b/>
      <sz val="13"/>
      <color theme="0"/>
      <name val="Verdana"/>
      <family val="2"/>
    </font>
    <font>
      <b/>
      <sz val="12"/>
      <name val="Verdana"/>
      <family val="2"/>
    </font>
    <font>
      <b/>
      <sz val="12"/>
      <color theme="1" tint="0.34998626667073579"/>
      <name val="Verdana"/>
      <family val="2"/>
    </font>
    <font>
      <b/>
      <sz val="11"/>
      <color rgb="FF000000"/>
      <name val="Verdana"/>
      <family val="2"/>
    </font>
    <font>
      <b/>
      <sz val="20"/>
      <color theme="0"/>
      <name val="Verdana"/>
      <family val="2"/>
    </font>
    <font>
      <b/>
      <sz val="12"/>
      <color rgb="FF3B8BAF"/>
      <name val="Verdana"/>
      <family val="2"/>
    </font>
    <font>
      <b/>
      <sz val="12"/>
      <color rgb="FFEA6739"/>
      <name val="Verdana"/>
      <family val="2"/>
    </font>
    <font>
      <sz val="12"/>
      <color theme="1"/>
      <name val="Verdana"/>
      <family val="2"/>
    </font>
    <font>
      <sz val="12"/>
      <color theme="0"/>
      <name val="Verdana"/>
      <family val="2"/>
    </font>
    <font>
      <b/>
      <sz val="14"/>
      <color rgb="FFEA6739"/>
      <name val="Verdana"/>
      <family val="2"/>
    </font>
    <font>
      <sz val="14"/>
      <color theme="1"/>
      <name val="Verdana"/>
      <family val="2"/>
    </font>
    <font>
      <b/>
      <sz val="16"/>
      <color rgb="FFEA6739"/>
      <name val="Verdana"/>
      <family val="2"/>
    </font>
    <font>
      <sz val="11"/>
      <color theme="0"/>
      <name val="Verdana"/>
      <family val="2"/>
    </font>
    <font>
      <u/>
      <sz val="11"/>
      <color rgb="FF0000FF"/>
      <name val="Verdana"/>
      <family val="2"/>
    </font>
    <font>
      <b/>
      <sz val="48"/>
      <color rgb="FF3B8BAF"/>
      <name val="Verdana"/>
      <family val="2"/>
    </font>
    <font>
      <sz val="12"/>
      <color theme="1" tint="0.249977111117893"/>
      <name val="Verdana"/>
      <family val="2"/>
    </font>
    <font>
      <b/>
      <sz val="16"/>
      <color rgb="FFFF4F4F"/>
      <name val="Verdana"/>
      <family val="2"/>
    </font>
    <font>
      <sz val="12"/>
      <color theme="1" tint="0.14999847407452621"/>
      <name val="Verdana"/>
      <family val="2"/>
    </font>
    <font>
      <sz val="11"/>
      <color rgb="FF000000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EA6739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dotted">
        <color rgb="FF3B8BAF"/>
      </left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/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/>
      <right style="dotted">
        <color rgb="FF3B8BAF"/>
      </right>
      <top/>
      <bottom/>
      <diagonal/>
    </border>
    <border>
      <left style="dotted">
        <color rgb="FF3B8BAF"/>
      </left>
      <right style="dotted">
        <color rgb="FF3B8BAF"/>
      </right>
      <top/>
      <bottom style="dotted">
        <color rgb="FF3B8BAF"/>
      </bottom>
      <diagonal/>
    </border>
    <border>
      <left/>
      <right style="dotted">
        <color rgb="FF3B8BAF"/>
      </right>
      <top/>
      <bottom style="dotted">
        <color rgb="FF3B8BAF"/>
      </bottom>
      <diagonal/>
    </border>
    <border>
      <left style="dotted">
        <color rgb="FF3B8BAF"/>
      </left>
      <right style="dotted">
        <color rgb="FF3B8BAF"/>
      </right>
      <top/>
      <bottom/>
      <diagonal/>
    </border>
    <border>
      <left style="dotted">
        <color rgb="FF3B8BAF"/>
      </left>
      <right/>
      <top/>
      <bottom style="dotted">
        <color rgb="FF3B8BAF"/>
      </bottom>
      <diagonal/>
    </border>
    <border>
      <left style="dotted">
        <color rgb="FF3B8BAF"/>
      </left>
      <right/>
      <top style="dotted">
        <color rgb="FF3B8BAF"/>
      </top>
      <bottom style="dotted">
        <color rgb="FF3B8BAF"/>
      </bottom>
      <diagonal/>
    </border>
    <border>
      <left/>
      <right style="dotted">
        <color rgb="FF3B8BAF"/>
      </right>
      <top style="dotted">
        <color rgb="FF3B8BAF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  <border>
      <left/>
      <right style="dotted">
        <color rgb="FF2C6983"/>
      </right>
      <top style="dotted">
        <color rgb="FF3B8BAF"/>
      </top>
      <bottom style="dotted">
        <color rgb="FF3B8BAF"/>
      </bottom>
      <diagonal/>
    </border>
    <border>
      <left/>
      <right style="dotted">
        <color rgb="FF2C6983"/>
      </right>
      <top/>
      <bottom/>
      <diagonal/>
    </border>
    <border>
      <left style="dotted">
        <color rgb="FF2C6983"/>
      </left>
      <right style="dotted">
        <color rgb="FF2C6983"/>
      </right>
      <top style="dotted">
        <color rgb="FF3B8BAF"/>
      </top>
      <bottom style="dotted">
        <color rgb="FF3B8BAF"/>
      </bottom>
      <diagonal/>
    </border>
    <border>
      <left style="dotted">
        <color rgb="FF2C6983"/>
      </left>
      <right style="dotted">
        <color rgb="FF2C6983"/>
      </right>
      <top/>
      <bottom/>
      <diagonal/>
    </border>
    <border>
      <left style="dotted">
        <color rgb="FF2C6983"/>
      </left>
      <right style="dotted">
        <color rgb="FF2C6983"/>
      </right>
      <top style="dotted">
        <color rgb="FF2C6983"/>
      </top>
      <bottom style="dotted">
        <color rgb="FF2C6983"/>
      </bottom>
      <diagonal/>
    </border>
    <border>
      <left/>
      <right/>
      <top style="dotted">
        <color rgb="FF3B8BAF"/>
      </top>
      <bottom/>
      <diagonal/>
    </border>
    <border>
      <left/>
      <right/>
      <top style="dotted">
        <color rgb="FF3B8BAF"/>
      </top>
      <bottom style="dotted">
        <color rgb="FF3B8BAF"/>
      </bottom>
      <diagonal/>
    </border>
    <border>
      <left/>
      <right/>
      <top/>
      <bottom style="dotted">
        <color rgb="FF3B8BAF"/>
      </bottom>
      <diagonal/>
    </border>
    <border>
      <left style="dotted">
        <color rgb="FF2C6983"/>
      </left>
      <right style="dotted">
        <color rgb="FF2C6983"/>
      </right>
      <top style="dotted">
        <color rgb="FF2C6983"/>
      </top>
      <bottom/>
      <diagonal/>
    </border>
    <border>
      <left style="dotted">
        <color rgb="FF2C6983"/>
      </left>
      <right style="dotted">
        <color rgb="FF2C6983"/>
      </right>
      <top/>
      <bottom style="dotted">
        <color rgb="FF2C698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54">
    <xf numFmtId="0" fontId="0" fillId="0" borderId="0" xfId="0"/>
    <xf numFmtId="0" fontId="0" fillId="3" borderId="0" xfId="0" applyFill="1"/>
    <xf numFmtId="0" fontId="12" fillId="3" borderId="0" xfId="0" applyFont="1" applyFill="1"/>
    <xf numFmtId="2" fontId="12" fillId="3" borderId="0" xfId="0" applyNumberFormat="1" applyFont="1" applyFill="1"/>
    <xf numFmtId="0" fontId="13" fillId="3" borderId="0" xfId="0" applyFont="1" applyFill="1"/>
    <xf numFmtId="0" fontId="13" fillId="0" borderId="0" xfId="0" applyFont="1"/>
    <xf numFmtId="0" fontId="13" fillId="0" borderId="2" xfId="0" applyFont="1" applyBorder="1"/>
    <xf numFmtId="0" fontId="15" fillId="3" borderId="0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3" fillId="3" borderId="8" xfId="0" applyFont="1" applyFill="1" applyBorder="1"/>
    <xf numFmtId="0" fontId="13" fillId="3" borderId="7" xfId="0" applyFont="1" applyFill="1" applyBorder="1"/>
    <xf numFmtId="0" fontId="13" fillId="0" borderId="9" xfId="0" applyFont="1" applyBorder="1"/>
    <xf numFmtId="0" fontId="13" fillId="0" borderId="9" xfId="0" applyFont="1" applyFill="1" applyBorder="1"/>
    <xf numFmtId="0" fontId="13" fillId="0" borderId="2" xfId="0" applyFont="1" applyFill="1" applyBorder="1"/>
    <xf numFmtId="0" fontId="15" fillId="3" borderId="0" xfId="0" applyFont="1" applyFill="1" applyBorder="1" applyAlignment="1">
      <alignment horizontal="center" vertical="center" wrapText="1"/>
    </xf>
    <xf numFmtId="0" fontId="13" fillId="3" borderId="17" xfId="0" applyFont="1" applyFill="1" applyBorder="1"/>
    <xf numFmtId="0" fontId="13" fillId="3" borderId="1" xfId="0" applyFont="1" applyFill="1" applyBorder="1"/>
    <xf numFmtId="0" fontId="17" fillId="5" borderId="0" xfId="0" applyFont="1" applyFill="1" applyBorder="1" applyAlignment="1">
      <alignment horizontal="center" vertical="center"/>
    </xf>
    <xf numFmtId="166" fontId="19" fillId="3" borderId="0" xfId="0" applyNumberFormat="1" applyFont="1" applyFill="1" applyBorder="1" applyAlignment="1" applyProtection="1">
      <alignment vertical="center"/>
      <protection locked="0"/>
    </xf>
    <xf numFmtId="168" fontId="20" fillId="3" borderId="0" xfId="3" applyNumberFormat="1" applyFont="1" applyFill="1" applyAlignment="1" applyProtection="1">
      <alignment horizontal="center" vertical="center"/>
    </xf>
    <xf numFmtId="168" fontId="20" fillId="3" borderId="0" xfId="3" applyNumberFormat="1" applyFont="1" applyFill="1" applyAlignment="1" applyProtection="1">
      <alignment horizontal="center"/>
    </xf>
    <xf numFmtId="0" fontId="13" fillId="3" borderId="11" xfId="0" applyFont="1" applyFill="1" applyBorder="1"/>
    <xf numFmtId="0" fontId="21" fillId="3" borderId="11" xfId="0" applyFont="1" applyFill="1" applyBorder="1"/>
    <xf numFmtId="0" fontId="21" fillId="3" borderId="0" xfId="0" applyFont="1" applyFill="1"/>
    <xf numFmtId="0" fontId="13" fillId="3" borderId="0" xfId="0" applyFont="1" applyFill="1" applyBorder="1"/>
    <xf numFmtId="0" fontId="21" fillId="3" borderId="0" xfId="0" applyFont="1" applyFill="1" applyBorder="1"/>
    <xf numFmtId="0" fontId="22" fillId="3" borderId="0" xfId="0" applyFont="1" applyFill="1" applyBorder="1" applyAlignment="1">
      <alignment horizontal="center" vertical="center"/>
    </xf>
    <xf numFmtId="166" fontId="23" fillId="3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3" xfId="0" applyFont="1" applyBorder="1"/>
    <xf numFmtId="0" fontId="13" fillId="0" borderId="4" xfId="0" applyFont="1" applyBorder="1"/>
    <xf numFmtId="0" fontId="17" fillId="3" borderId="0" xfId="0" applyFont="1" applyFill="1" applyBorder="1" applyAlignment="1">
      <alignment vertical="center"/>
    </xf>
    <xf numFmtId="168" fontId="25" fillId="3" borderId="0" xfId="0" applyNumberFormat="1" applyFont="1" applyFill="1" applyAlignment="1">
      <alignment vertical="center"/>
    </xf>
    <xf numFmtId="0" fontId="13" fillId="0" borderId="4" xfId="0" applyFont="1" applyFill="1" applyBorder="1"/>
    <xf numFmtId="0" fontId="13" fillId="3" borderId="3" xfId="0" applyFont="1" applyFill="1" applyBorder="1"/>
    <xf numFmtId="0" fontId="13" fillId="3" borderId="9" xfId="0" applyFont="1" applyFill="1" applyBorder="1"/>
    <xf numFmtId="0" fontId="13" fillId="3" borderId="4" xfId="0" applyFont="1" applyFill="1" applyBorder="1"/>
    <xf numFmtId="0" fontId="13" fillId="0" borderId="1" xfId="0" applyFont="1" applyBorder="1"/>
    <xf numFmtId="0" fontId="13" fillId="0" borderId="18" xfId="0" applyFont="1" applyBorder="1"/>
    <xf numFmtId="168" fontId="20" fillId="3" borderId="0" xfId="3" applyNumberFormat="1" applyFont="1" applyFill="1" applyAlignment="1" applyProtection="1"/>
    <xf numFmtId="0" fontId="13" fillId="3" borderId="10" xfId="0" applyFont="1" applyFill="1" applyBorder="1"/>
    <xf numFmtId="0" fontId="13" fillId="0" borderId="6" xfId="0" applyFont="1" applyBorder="1"/>
    <xf numFmtId="0" fontId="17" fillId="8" borderId="0" xfId="0" applyFont="1" applyFill="1" applyBorder="1" applyAlignment="1">
      <alignment horizontal="center" vertical="center"/>
    </xf>
    <xf numFmtId="2" fontId="27" fillId="6" borderId="0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/>
    </xf>
    <xf numFmtId="0" fontId="27" fillId="6" borderId="0" xfId="0" applyFont="1" applyFill="1" applyBorder="1" applyAlignment="1">
      <alignment horizontal="center" vertical="center"/>
    </xf>
    <xf numFmtId="0" fontId="13" fillId="3" borderId="5" xfId="0" applyFont="1" applyFill="1" applyBorder="1"/>
    <xf numFmtId="9" fontId="28" fillId="9" borderId="0" xfId="2" applyFont="1" applyFill="1" applyBorder="1" applyAlignment="1" applyProtection="1">
      <alignment horizontal="center"/>
      <protection locked="0"/>
    </xf>
    <xf numFmtId="165" fontId="27" fillId="6" borderId="0" xfId="0" applyNumberFormat="1" applyFont="1" applyFill="1" applyBorder="1" applyAlignment="1" applyProtection="1">
      <alignment horizontal="left"/>
      <protection hidden="1"/>
    </xf>
    <xf numFmtId="167" fontId="29" fillId="4" borderId="0" xfId="1" applyNumberFormat="1" applyFont="1" applyFill="1" applyBorder="1" applyProtection="1">
      <protection hidden="1"/>
    </xf>
    <xf numFmtId="167" fontId="29" fillId="4" borderId="0" xfId="1" applyNumberFormat="1" applyFont="1" applyFill="1" applyBorder="1"/>
    <xf numFmtId="164" fontId="13" fillId="3" borderId="0" xfId="1" applyFont="1" applyFill="1" applyBorder="1"/>
    <xf numFmtId="164" fontId="29" fillId="4" borderId="23" xfId="1" applyFont="1" applyFill="1" applyBorder="1" applyProtection="1">
      <protection hidden="1"/>
    </xf>
    <xf numFmtId="164" fontId="29" fillId="4" borderId="22" xfId="1" applyFont="1" applyFill="1" applyBorder="1" applyProtection="1">
      <protection hidden="1"/>
    </xf>
    <xf numFmtId="164" fontId="29" fillId="4" borderId="25" xfId="1" applyFont="1" applyFill="1" applyBorder="1" applyProtection="1">
      <protection hidden="1"/>
    </xf>
    <xf numFmtId="0" fontId="13" fillId="3" borderId="2" xfId="0" applyFont="1" applyFill="1" applyBorder="1"/>
    <xf numFmtId="10" fontId="29" fillId="0" borderId="0" xfId="0" applyNumberFormat="1" applyFont="1" applyBorder="1" applyProtection="1">
      <protection hidden="1"/>
    </xf>
    <xf numFmtId="165" fontId="27" fillId="2" borderId="0" xfId="0" applyNumberFormat="1" applyFont="1" applyFill="1" applyBorder="1" applyAlignment="1" applyProtection="1">
      <alignment horizontal="left"/>
      <protection hidden="1"/>
    </xf>
    <xf numFmtId="167" fontId="29" fillId="3" borderId="51" xfId="1" applyNumberFormat="1" applyFont="1" applyFill="1" applyBorder="1" applyProtection="1">
      <protection hidden="1"/>
    </xf>
    <xf numFmtId="167" fontId="29" fillId="3" borderId="52" xfId="1" applyNumberFormat="1" applyFont="1" applyFill="1" applyBorder="1"/>
    <xf numFmtId="164" fontId="29" fillId="3" borderId="20" xfId="1" applyFont="1" applyFill="1" applyBorder="1" applyProtection="1">
      <protection hidden="1"/>
    </xf>
    <xf numFmtId="164" fontId="29" fillId="3" borderId="19" xfId="1" applyFont="1" applyFill="1" applyBorder="1" applyProtection="1">
      <protection hidden="1"/>
    </xf>
    <xf numFmtId="164" fontId="29" fillId="3" borderId="25" xfId="1" applyFont="1" applyFill="1" applyBorder="1" applyProtection="1">
      <protection hidden="1"/>
    </xf>
    <xf numFmtId="0" fontId="17" fillId="8" borderId="0" xfId="0" applyFont="1" applyFill="1" applyBorder="1" applyAlignment="1">
      <alignment horizontal="center"/>
    </xf>
    <xf numFmtId="167" fontId="29" fillId="4" borderId="52" xfId="1" applyNumberFormat="1" applyFont="1" applyFill="1" applyBorder="1" applyProtection="1">
      <protection hidden="1"/>
    </xf>
    <xf numFmtId="167" fontId="29" fillId="4" borderId="52" xfId="1" applyNumberFormat="1" applyFont="1" applyFill="1" applyBorder="1"/>
    <xf numFmtId="164" fontId="29" fillId="4" borderId="20" xfId="1" applyFont="1" applyFill="1" applyBorder="1" applyProtection="1">
      <protection hidden="1"/>
    </xf>
    <xf numFmtId="164" fontId="29" fillId="4" borderId="19" xfId="1" applyFont="1" applyFill="1" applyBorder="1" applyProtection="1">
      <protection hidden="1"/>
    </xf>
    <xf numFmtId="10" fontId="30" fillId="6" borderId="0" xfId="0" applyNumberFormat="1" applyFont="1" applyFill="1" applyBorder="1" applyAlignment="1">
      <alignment horizontal="center"/>
    </xf>
    <xf numFmtId="167" fontId="29" fillId="3" borderId="53" xfId="1" applyNumberFormat="1" applyFont="1" applyFill="1" applyBorder="1" applyProtection="1">
      <protection hidden="1"/>
    </xf>
    <xf numFmtId="167" fontId="29" fillId="4" borderId="53" xfId="1" applyNumberFormat="1" applyFont="1" applyFill="1" applyBorder="1" applyProtection="1">
      <protection hidden="1"/>
    </xf>
    <xf numFmtId="167" fontId="29" fillId="3" borderId="52" xfId="1" applyNumberFormat="1" applyFont="1" applyFill="1" applyBorder="1" applyProtection="1">
      <protection hidden="1"/>
    </xf>
    <xf numFmtId="10" fontId="28" fillId="9" borderId="0" xfId="2" applyNumberFormat="1" applyFont="1" applyFill="1" applyBorder="1" applyAlignment="1" applyProtection="1">
      <alignment horizontal="center"/>
      <protection locked="0"/>
    </xf>
    <xf numFmtId="167" fontId="29" fillId="4" borderId="53" xfId="1" applyNumberFormat="1" applyFont="1" applyFill="1" applyBorder="1"/>
    <xf numFmtId="164" fontId="28" fillId="3" borderId="0" xfId="1" applyFont="1" applyFill="1" applyBorder="1" applyAlignment="1">
      <alignment horizontal="center"/>
    </xf>
    <xf numFmtId="0" fontId="13" fillId="0" borderId="7" xfId="0" applyFont="1" applyBorder="1"/>
    <xf numFmtId="167" fontId="29" fillId="3" borderId="51" xfId="1" applyNumberFormat="1" applyFont="1" applyFill="1" applyBorder="1"/>
    <xf numFmtId="0" fontId="21" fillId="0" borderId="9" xfId="0" applyFont="1" applyBorder="1"/>
    <xf numFmtId="167" fontId="29" fillId="3" borderId="0" xfId="1" applyNumberFormat="1" applyFont="1" applyFill="1" applyBorder="1"/>
    <xf numFmtId="167" fontId="29" fillId="3" borderId="0" xfId="1" applyNumberFormat="1" applyFont="1" applyFill="1" applyBorder="1" applyProtection="1">
      <protection hidden="1"/>
    </xf>
    <xf numFmtId="167" fontId="29" fillId="3" borderId="53" xfId="1" applyNumberFormat="1" applyFont="1" applyFill="1" applyBorder="1"/>
    <xf numFmtId="167" fontId="29" fillId="4" borderId="20" xfId="1" applyNumberFormat="1" applyFont="1" applyFill="1" applyBorder="1" applyProtection="1">
      <protection hidden="1"/>
    </xf>
    <xf numFmtId="167" fontId="29" fillId="4" borderId="26" xfId="1" applyNumberFormat="1" applyFont="1" applyFill="1" applyBorder="1"/>
    <xf numFmtId="165" fontId="31" fillId="3" borderId="0" xfId="0" applyNumberFormat="1" applyFont="1" applyFill="1" applyBorder="1" applyAlignment="1">
      <alignment horizontal="left" vertical="center"/>
    </xf>
    <xf numFmtId="0" fontId="32" fillId="0" borderId="6" xfId="0" applyFont="1" applyBorder="1"/>
    <xf numFmtId="164" fontId="31" fillId="3" borderId="27" xfId="1" applyFont="1" applyFill="1" applyBorder="1" applyProtection="1">
      <protection hidden="1"/>
    </xf>
    <xf numFmtId="164" fontId="31" fillId="3" borderId="21" xfId="1" applyFont="1" applyFill="1" applyBorder="1" applyProtection="1">
      <protection hidden="1"/>
    </xf>
    <xf numFmtId="2" fontId="32" fillId="3" borderId="27" xfId="1" applyNumberFormat="1" applyFont="1" applyFill="1" applyBorder="1"/>
    <xf numFmtId="164" fontId="31" fillId="3" borderId="0" xfId="0" applyNumberFormat="1" applyFont="1" applyFill="1" applyBorder="1" applyAlignment="1">
      <alignment horizontal="center"/>
    </xf>
    <xf numFmtId="0" fontId="13" fillId="3" borderId="15" xfId="0" applyFont="1" applyFill="1" applyBorder="1"/>
    <xf numFmtId="0" fontId="13" fillId="0" borderId="13" xfId="0" applyFont="1" applyBorder="1"/>
    <xf numFmtId="0" fontId="13" fillId="0" borderId="28" xfId="0" applyFont="1" applyBorder="1"/>
    <xf numFmtId="0" fontId="33" fillId="3" borderId="47" xfId="0" applyFont="1" applyFill="1" applyBorder="1" applyAlignment="1" applyProtection="1">
      <alignment horizontal="center"/>
      <protection hidden="1"/>
    </xf>
    <xf numFmtId="0" fontId="33" fillId="3" borderId="49" xfId="0" applyFont="1" applyFill="1" applyBorder="1" applyAlignment="1" applyProtection="1">
      <alignment horizontal="center"/>
      <protection hidden="1"/>
    </xf>
    <xf numFmtId="10" fontId="13" fillId="3" borderId="15" xfId="0" applyNumberFormat="1" applyFont="1" applyFill="1" applyBorder="1"/>
    <xf numFmtId="0" fontId="13" fillId="3" borderId="14" xfId="0" applyFont="1" applyFill="1" applyBorder="1"/>
    <xf numFmtId="165" fontId="13" fillId="0" borderId="7" xfId="0" applyNumberFormat="1" applyFont="1" applyBorder="1" applyAlignment="1">
      <alignment horizontal="left"/>
    </xf>
    <xf numFmtId="0" fontId="13" fillId="0" borderId="12" xfId="0" applyFont="1" applyBorder="1"/>
    <xf numFmtId="0" fontId="13" fillId="3" borderId="16" xfId="0" applyFont="1" applyFill="1" applyBorder="1"/>
    <xf numFmtId="0" fontId="21" fillId="3" borderId="7" xfId="0" applyFont="1" applyFill="1" applyBorder="1"/>
    <xf numFmtId="0" fontId="13" fillId="0" borderId="9" xfId="0" applyNumberFormat="1" applyFont="1" applyBorder="1"/>
    <xf numFmtId="0" fontId="21" fillId="3" borderId="9" xfId="0" applyFont="1" applyFill="1" applyBorder="1"/>
    <xf numFmtId="0" fontId="13" fillId="3" borderId="11" xfId="0" applyNumberFormat="1" applyFont="1" applyFill="1" applyBorder="1"/>
    <xf numFmtId="0" fontId="34" fillId="3" borderId="11" xfId="0" applyFont="1" applyFill="1" applyBorder="1" applyAlignment="1">
      <alignment horizontal="center"/>
    </xf>
    <xf numFmtId="0" fontId="13" fillId="3" borderId="0" xfId="0" applyNumberFormat="1" applyFont="1" applyFill="1"/>
    <xf numFmtId="0" fontId="36" fillId="3" borderId="0" xfId="0" applyFont="1" applyFill="1" applyAlignment="1">
      <alignment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top" wrapText="1"/>
    </xf>
    <xf numFmtId="0" fontId="1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 wrapText="1"/>
    </xf>
    <xf numFmtId="0" fontId="13" fillId="0" borderId="0" xfId="0" applyFont="1" applyBorder="1"/>
    <xf numFmtId="0" fontId="13" fillId="3" borderId="0" xfId="0" applyFont="1" applyFill="1" applyBorder="1" applyAlignment="1">
      <alignment vertical="center" wrapText="1"/>
    </xf>
    <xf numFmtId="168" fontId="40" fillId="3" borderId="0" xfId="0" applyNumberFormat="1" applyFont="1" applyFill="1" applyAlignment="1">
      <alignment horizontal="center" vertical="center"/>
    </xf>
    <xf numFmtId="164" fontId="29" fillId="4" borderId="23" xfId="1" applyFont="1" applyFill="1" applyBorder="1" applyProtection="1">
      <protection locked="0"/>
    </xf>
    <xf numFmtId="167" fontId="29" fillId="4" borderId="54" xfId="1" applyNumberFormat="1" applyFont="1" applyFill="1" applyBorder="1" applyProtection="1">
      <protection hidden="1"/>
    </xf>
    <xf numFmtId="164" fontId="29" fillId="3" borderId="20" xfId="1" applyFont="1" applyFill="1" applyBorder="1" applyProtection="1">
      <protection locked="0"/>
    </xf>
    <xf numFmtId="167" fontId="29" fillId="3" borderId="50" xfId="1" applyNumberFormat="1" applyFont="1" applyFill="1" applyBorder="1" applyProtection="1">
      <protection hidden="1"/>
    </xf>
    <xf numFmtId="164" fontId="29" fillId="4" borderId="20" xfId="1" applyFont="1" applyFill="1" applyBorder="1" applyProtection="1">
      <protection locked="0"/>
    </xf>
    <xf numFmtId="167" fontId="29" fillId="4" borderId="50" xfId="1" applyNumberFormat="1" applyFont="1" applyFill="1" applyBorder="1" applyProtection="1">
      <protection hidden="1"/>
    </xf>
    <xf numFmtId="167" fontId="29" fillId="3" borderId="55" xfId="1" applyNumberFormat="1" applyFont="1" applyFill="1" applyBorder="1" applyProtection="1">
      <protection hidden="1"/>
    </xf>
    <xf numFmtId="167" fontId="29" fillId="4" borderId="24" xfId="1" applyNumberFormat="1" applyFont="1" applyFill="1" applyBorder="1" applyProtection="1">
      <protection hidden="1"/>
    </xf>
    <xf numFmtId="0" fontId="29" fillId="4" borderId="20" xfId="0" applyFont="1" applyFill="1" applyBorder="1" applyAlignment="1" applyProtection="1">
      <alignment horizontal="center" vertical="center"/>
      <protection locked="0"/>
    </xf>
    <xf numFmtId="0" fontId="29" fillId="4" borderId="26" xfId="0" applyFont="1" applyFill="1" applyBorder="1" applyAlignment="1" applyProtection="1">
      <alignment horizontal="center" vertical="center"/>
      <protection locked="0"/>
    </xf>
    <xf numFmtId="0" fontId="29" fillId="3" borderId="20" xfId="0" applyFont="1" applyFill="1" applyBorder="1" applyAlignment="1" applyProtection="1">
      <alignment horizontal="center" vertical="center"/>
      <protection locked="0"/>
    </xf>
    <xf numFmtId="0" fontId="29" fillId="0" borderId="26" xfId="0" applyFont="1" applyBorder="1" applyAlignment="1" applyProtection="1">
      <alignment horizontal="center" vertical="center"/>
      <protection locked="0"/>
    </xf>
    <xf numFmtId="0" fontId="29" fillId="4" borderId="46" xfId="0" applyFont="1" applyFill="1" applyBorder="1" applyAlignment="1" applyProtection="1">
      <alignment horizontal="center" vertical="center"/>
      <protection locked="0"/>
    </xf>
    <xf numFmtId="0" fontId="29" fillId="4" borderId="48" xfId="0" applyFont="1" applyFill="1" applyBorder="1" applyAlignment="1" applyProtection="1">
      <alignment horizontal="center" vertical="center"/>
      <protection locked="0"/>
    </xf>
    <xf numFmtId="0" fontId="37" fillId="3" borderId="29" xfId="0" applyFont="1" applyFill="1" applyBorder="1" applyAlignment="1">
      <alignment horizontal="center" vertical="center" wrapText="1"/>
    </xf>
    <xf numFmtId="0" fontId="37" fillId="3" borderId="30" xfId="0" applyFont="1" applyFill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33" xfId="0" applyFont="1" applyFill="1" applyBorder="1" applyAlignment="1">
      <alignment horizontal="center" vertical="center" wrapText="1"/>
    </xf>
    <xf numFmtId="0" fontId="37" fillId="3" borderId="34" xfId="0" applyFont="1" applyFill="1" applyBorder="1" applyAlignment="1">
      <alignment horizontal="center" vertical="center" wrapText="1"/>
    </xf>
    <xf numFmtId="0" fontId="39" fillId="3" borderId="35" xfId="0" applyFont="1" applyFill="1" applyBorder="1" applyAlignment="1">
      <alignment horizontal="center" vertical="center" wrapText="1"/>
    </xf>
    <xf numFmtId="0" fontId="39" fillId="3" borderId="36" xfId="0" applyFont="1" applyFill="1" applyBorder="1" applyAlignment="1">
      <alignment horizontal="center" vertical="center" wrapText="1"/>
    </xf>
    <xf numFmtId="0" fontId="39" fillId="3" borderId="37" xfId="0" applyFont="1" applyFill="1" applyBorder="1" applyAlignment="1">
      <alignment horizontal="center" vertical="center" wrapText="1"/>
    </xf>
    <xf numFmtId="0" fontId="39" fillId="3" borderId="38" xfId="0" applyFont="1" applyFill="1" applyBorder="1" applyAlignment="1">
      <alignment horizontal="center" vertical="center" wrapText="1"/>
    </xf>
    <xf numFmtId="0" fontId="39" fillId="3" borderId="0" xfId="0" applyFont="1" applyFill="1" applyBorder="1" applyAlignment="1">
      <alignment horizontal="center" vertical="center" wrapText="1"/>
    </xf>
    <xf numFmtId="0" fontId="39" fillId="3" borderId="39" xfId="0" applyFont="1" applyFill="1" applyBorder="1" applyAlignment="1">
      <alignment horizontal="center" vertical="center" wrapText="1"/>
    </xf>
    <xf numFmtId="0" fontId="39" fillId="3" borderId="40" xfId="0" applyFont="1" applyFill="1" applyBorder="1" applyAlignment="1">
      <alignment horizontal="center" vertical="center" wrapText="1"/>
    </xf>
    <xf numFmtId="0" fontId="39" fillId="3" borderId="41" xfId="0" applyFont="1" applyFill="1" applyBorder="1" applyAlignment="1">
      <alignment horizontal="center" vertical="center" wrapText="1"/>
    </xf>
    <xf numFmtId="0" fontId="39" fillId="3" borderId="42" xfId="0" applyFont="1" applyFill="1" applyBorder="1" applyAlignment="1">
      <alignment horizontal="center" vertical="center" wrapText="1"/>
    </xf>
    <xf numFmtId="0" fontId="38" fillId="3" borderId="0" xfId="0" applyFont="1" applyFill="1" applyBorder="1" applyAlignment="1">
      <alignment horizontal="center" vertical="center" wrapText="1"/>
    </xf>
    <xf numFmtId="0" fontId="29" fillId="3" borderId="43" xfId="0" applyFont="1" applyFill="1" applyBorder="1" applyAlignment="1">
      <alignment horizontal="center" vertical="center" wrapText="1"/>
    </xf>
    <xf numFmtId="0" fontId="29" fillId="3" borderId="44" xfId="0" applyFont="1" applyFill="1" applyBorder="1" applyAlignment="1">
      <alignment horizontal="center" vertical="center" wrapText="1"/>
    </xf>
    <xf numFmtId="0" fontId="29" fillId="3" borderId="45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66" fontId="18" fillId="3" borderId="0" xfId="0" applyNumberFormat="1" applyFont="1" applyFill="1" applyBorder="1" applyAlignment="1" applyProtection="1">
      <alignment horizontal="center" vertical="center"/>
      <protection locked="0"/>
    </xf>
    <xf numFmtId="0" fontId="14" fillId="7" borderId="0" xfId="0" applyFont="1" applyFill="1" applyBorder="1" applyAlignment="1">
      <alignment horizontal="center" vertical="center" wrapText="1"/>
    </xf>
    <xf numFmtId="168" fontId="20" fillId="3" borderId="0" xfId="3" applyNumberFormat="1" applyFont="1" applyFill="1" applyAlignment="1" applyProtection="1">
      <alignment horizontal="center"/>
    </xf>
    <xf numFmtId="168" fontId="35" fillId="3" borderId="0" xfId="0" applyNumberFormat="1" applyFont="1" applyFill="1" applyAlignment="1">
      <alignment horizontal="center"/>
    </xf>
    <xf numFmtId="169" fontId="24" fillId="3" borderId="0" xfId="1" applyNumberFormat="1" applyFont="1" applyFill="1" applyBorder="1" applyAlignment="1" applyProtection="1">
      <alignment horizontal="left"/>
      <protection locked="0"/>
    </xf>
    <xf numFmtId="0" fontId="24" fillId="3" borderId="0" xfId="0" applyFont="1" applyFill="1" applyBorder="1" applyAlignment="1" applyProtection="1">
      <alignment horizontal="left" vertical="center"/>
      <protection locked="0"/>
    </xf>
    <xf numFmtId="0" fontId="26" fillId="5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 wrapText="1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5">
    <dxf>
      <font>
        <color theme="0"/>
      </font>
      <fill>
        <patternFill>
          <bgColor rgb="FF85A24E"/>
        </patternFill>
      </fill>
    </dxf>
    <dxf>
      <font>
        <color theme="0"/>
      </font>
      <fill>
        <patternFill patternType="solid">
          <fgColor theme="0"/>
          <bgColor rgb="FFC73F44"/>
        </patternFill>
      </fill>
    </dxf>
    <dxf>
      <font>
        <b val="0"/>
        <i val="0"/>
        <color theme="0"/>
      </font>
      <fill>
        <patternFill>
          <bgColor rgb="FF85A24E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C73F44"/>
        </patternFill>
      </fill>
      <border>
        <vertical/>
        <horizontal/>
      </border>
    </dxf>
    <dxf>
      <font>
        <color theme="0"/>
      </font>
      <fill>
        <patternFill>
          <bgColor rgb="FF85A24E"/>
        </patternFill>
      </fill>
    </dxf>
  </dxfs>
  <tableStyles count="0" defaultTableStyle="TableStyleMedium9" defaultPivotStyle="PivotStyleLight16"/>
  <colors>
    <mruColors>
      <color rgb="FF2C6983"/>
      <color rgb="FFFF4F4F"/>
      <color rgb="FF3B8BAF"/>
      <color rgb="FFEA6739"/>
      <color rgb="FFAFD1E0"/>
      <color rgb="FF85A24E"/>
      <color rgb="FFC73F44"/>
      <color rgb="FF00A8EC"/>
      <color rgb="FF0089C0"/>
      <color rgb="FFF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600" b="0">
                <a:solidFill>
                  <a:srgbClr val="2C6983"/>
                </a:solidFill>
                <a:latin typeface="Arial" pitchFamily="34" charset="0"/>
                <a:cs typeface="Arial" pitchFamily="34" charset="0"/>
              </a:defRPr>
            </a:pPr>
            <a:r>
              <a:rPr lang="pt-BR" sz="1600" b="0">
                <a:solidFill>
                  <a:srgbClr val="2C6983"/>
                </a:solidFill>
                <a:latin typeface="Arial" pitchFamily="34" charset="0"/>
                <a:cs typeface="Arial" pitchFamily="34" charset="0"/>
              </a:rPr>
              <a:t>Acompanhamento Diário</a:t>
            </a:r>
          </a:p>
        </c:rich>
      </c:tx>
      <c:layout>
        <c:manualLayout>
          <c:xMode val="edge"/>
          <c:yMode val="edge"/>
          <c:x val="0.38986111111111132"/>
          <c:y val="9.259259259259354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84426946632207E-2"/>
          <c:y val="0.10839129483814523"/>
          <c:w val="0.81930446194225293"/>
          <c:h val="0.77562882764655172"/>
        </c:manualLayout>
      </c:layout>
      <c:lineChart>
        <c:grouping val="standard"/>
        <c:varyColors val="0"/>
        <c:ser>
          <c:idx val="0"/>
          <c:order val="0"/>
          <c:tx>
            <c:strRef>
              <c:f>Principal!$D$10</c:f>
              <c:strCache>
                <c:ptCount val="1"/>
                <c:pt idx="0">
                  <c:v>Real</c:v>
                </c:pt>
              </c:strCache>
            </c:strRef>
          </c:tx>
          <c:val>
            <c:numRef>
              <c:f>Principal!$D$11:$D$41</c:f>
              <c:numCache>
                <c:formatCode>_-"R$"\ * #,##0.00_-;\-"R$"\ * #,##0.00_-;_-"R$"\ * "-"??_-;_-@_-</c:formatCode>
                <c:ptCount val="31"/>
                <c:pt idx="0">
                  <c:v>100</c:v>
                </c:pt>
                <c:pt idx="1">
                  <c:v>160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5-5547-BFC1-88E2AE06D8B8}"/>
            </c:ext>
          </c:extLst>
        </c:ser>
        <c:ser>
          <c:idx val="1"/>
          <c:order val="1"/>
          <c:tx>
            <c:strRef>
              <c:f>Principal!$E$10</c:f>
              <c:strCache>
                <c:ptCount val="1"/>
                <c:pt idx="0">
                  <c:v>Projetada</c:v>
                </c:pt>
              </c:strCache>
            </c:strRef>
          </c:tx>
          <c:val>
            <c:numRef>
              <c:f>Principal!$E$11:$E$41</c:f>
              <c:numCache>
                <c:formatCode>0.00_ ;[Red]\-0.00\ </c:formatCode>
                <c:ptCount val="31"/>
                <c:pt idx="0">
                  <c:v>161.29032258064515</c:v>
                </c:pt>
                <c:pt idx="1">
                  <c:v>161.29032258064515</c:v>
                </c:pt>
                <c:pt idx="2">
                  <c:v>161.29032258064515</c:v>
                </c:pt>
                <c:pt idx="3">
                  <c:v>161.29032258064515</c:v>
                </c:pt>
                <c:pt idx="4">
                  <c:v>161.29032258064515</c:v>
                </c:pt>
                <c:pt idx="5">
                  <c:v>161.29032258064515</c:v>
                </c:pt>
                <c:pt idx="6">
                  <c:v>161.29032258064515</c:v>
                </c:pt>
                <c:pt idx="7">
                  <c:v>161.29032258064515</c:v>
                </c:pt>
                <c:pt idx="8">
                  <c:v>161.29032258064515</c:v>
                </c:pt>
                <c:pt idx="9">
                  <c:v>161.29032258064515</c:v>
                </c:pt>
                <c:pt idx="10">
                  <c:v>161.29032258064515</c:v>
                </c:pt>
                <c:pt idx="11">
                  <c:v>161.29032258064515</c:v>
                </c:pt>
                <c:pt idx="12">
                  <c:v>161.29032258064515</c:v>
                </c:pt>
                <c:pt idx="13">
                  <c:v>161.29032258064515</c:v>
                </c:pt>
                <c:pt idx="14">
                  <c:v>161.29032258064515</c:v>
                </c:pt>
                <c:pt idx="15">
                  <c:v>161.29032258064515</c:v>
                </c:pt>
                <c:pt idx="16">
                  <c:v>161.29032258064515</c:v>
                </c:pt>
                <c:pt idx="17">
                  <c:v>161.29032258064515</c:v>
                </c:pt>
                <c:pt idx="18">
                  <c:v>161.29032258064515</c:v>
                </c:pt>
                <c:pt idx="19">
                  <c:v>161.29032258064515</c:v>
                </c:pt>
                <c:pt idx="20">
                  <c:v>161.29032258064515</c:v>
                </c:pt>
                <c:pt idx="21">
                  <c:v>161.29032258064515</c:v>
                </c:pt>
                <c:pt idx="22">
                  <c:v>161.29032258064515</c:v>
                </c:pt>
                <c:pt idx="23">
                  <c:v>161.29032258064515</c:v>
                </c:pt>
                <c:pt idx="24">
                  <c:v>161.29032258064515</c:v>
                </c:pt>
                <c:pt idx="25">
                  <c:v>161.29032258064515</c:v>
                </c:pt>
                <c:pt idx="26">
                  <c:v>161.29032258064515</c:v>
                </c:pt>
                <c:pt idx="27">
                  <c:v>161.29032258064515</c:v>
                </c:pt>
                <c:pt idx="28">
                  <c:v>161.29032258064515</c:v>
                </c:pt>
                <c:pt idx="29">
                  <c:v>161.29032258064515</c:v>
                </c:pt>
                <c:pt idx="30">
                  <c:v>161.29032258064515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5-5547-BFC1-88E2AE06D8B8}"/>
            </c:ext>
          </c:extLst>
        </c:ser>
        <c:ser>
          <c:idx val="2"/>
          <c:order val="2"/>
          <c:tx>
            <c:strRef>
              <c:f>Principal!$B$9</c:f>
              <c:strCache>
                <c:ptCount val="1"/>
                <c:pt idx="0">
                  <c:v>Data</c:v>
                </c:pt>
              </c:strCache>
            </c:strRef>
          </c:tx>
          <c:val>
            <c:numRef>
              <c:f>Principal!$B$10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5-5547-BFC1-88E2AE06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56608"/>
        <c:axId val="63158144"/>
      </c:lineChart>
      <c:catAx>
        <c:axId val="631566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63158144"/>
        <c:crosses val="autoZero"/>
        <c:auto val="1"/>
        <c:lblAlgn val="ctr"/>
        <c:lblOffset val="100"/>
        <c:noMultiLvlLbl val="0"/>
      </c:catAx>
      <c:valAx>
        <c:axId val="63158144"/>
        <c:scaling>
          <c:orientation val="minMax"/>
        </c:scaling>
        <c:delete val="0"/>
        <c:axPos val="l"/>
        <c:majorGridlines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6315660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en-US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500" b="0">
                <a:solidFill>
                  <a:srgbClr val="2C6983"/>
                </a:solidFill>
                <a:latin typeface="Arial" pitchFamily="34" charset="0"/>
                <a:cs typeface="Arial" pitchFamily="34" charset="0"/>
              </a:defRPr>
            </a:pPr>
            <a:r>
              <a:rPr lang="pt-BR" sz="1500" b="0">
                <a:solidFill>
                  <a:srgbClr val="2C6983"/>
                </a:solidFill>
                <a:latin typeface="Arial" pitchFamily="34" charset="0"/>
                <a:cs typeface="Arial" pitchFamily="34" charset="0"/>
              </a:rPr>
              <a:t>Venda - Meta - Tendência</a:t>
            </a:r>
          </a:p>
        </c:rich>
      </c:tx>
      <c:layout>
        <c:manualLayout>
          <c:xMode val="edge"/>
          <c:yMode val="edge"/>
          <c:x val="0.26899774540616606"/>
          <c:y val="5.228758169934655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266319921019046"/>
          <c:y val="9.6897004253778618E-2"/>
          <c:w val="0.83696981627296585"/>
          <c:h val="0.798776975794692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</c:spPr>
          </c:dPt>
          <c:cat>
            <c:strRef>
              <c:f>Gráficos!$A$18:$A$19</c:f>
              <c:strCache>
                <c:ptCount val="2"/>
                <c:pt idx="0">
                  <c:v>Venda Real</c:v>
                </c:pt>
                <c:pt idx="1">
                  <c:v>Venda Projetada</c:v>
                </c:pt>
              </c:strCache>
            </c:strRef>
          </c:cat>
          <c:val>
            <c:numRef>
              <c:f>Gráficos!$B$18:$B$19</c:f>
              <c:numCache>
                <c:formatCode>0.00</c:formatCode>
                <c:ptCount val="2"/>
                <c:pt idx="0">
                  <c:v>460</c:v>
                </c:pt>
                <c:pt idx="1">
                  <c:v>5000.0000000000009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F-0F4E-8338-B5D3534B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03584"/>
        <c:axId val="63213568"/>
      </c:barChart>
      <c:catAx>
        <c:axId val="63203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63213568"/>
        <c:crosses val="autoZero"/>
        <c:auto val="1"/>
        <c:lblAlgn val="ctr"/>
        <c:lblOffset val="100"/>
        <c:noMultiLvlLbl val="0"/>
      </c:catAx>
      <c:valAx>
        <c:axId val="6321356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63203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187323</xdr:colOff>
      <xdr:row>17</xdr:row>
      <xdr:rowOff>783166</xdr:rowOff>
    </xdr:from>
    <xdr:to>
      <xdr:col>4</xdr:col>
      <xdr:colOff>11640</xdr:colOff>
      <xdr:row>20</xdr:row>
      <xdr:rowOff>30691</xdr:rowOff>
    </xdr:to>
    <xdr:sp macro="" textlink="">
      <xdr:nvSpPr>
        <xdr:cNvPr id="3" name="Seta para baix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84323" y="5185833"/>
          <a:ext cx="395817" cy="655108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1054972</xdr:colOff>
      <xdr:row>13</xdr:row>
      <xdr:rowOff>50502</xdr:rowOff>
    </xdr:from>
    <xdr:to>
      <xdr:col>8</xdr:col>
      <xdr:colOff>1171897</xdr:colOff>
      <xdr:row>13</xdr:row>
      <xdr:rowOff>161926</xdr:rowOff>
    </xdr:to>
    <xdr:sp macro="" textlink="">
      <xdr:nvSpPr>
        <xdr:cNvPr id="4" name="Triângulo 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 flipV="1">
          <a:off x="5481556" y="3646084"/>
          <a:ext cx="111424" cy="116925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1238528</xdr:colOff>
      <xdr:row>6</xdr:row>
      <xdr:rowOff>159871</xdr:rowOff>
    </xdr:from>
    <xdr:to>
      <xdr:col>16384</xdr:col>
      <xdr:colOff>211667</xdr:colOff>
      <xdr:row>20</xdr:row>
      <xdr:rowOff>106403</xdr:rowOff>
    </xdr:to>
    <xdr:pic>
      <xdr:nvPicPr>
        <xdr:cNvPr id="5" name="Imagem 4" descr="ORSFZJ0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662361" y="2149538"/>
          <a:ext cx="3164139" cy="3830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1064435</xdr:colOff>
      <xdr:row>1</xdr:row>
      <xdr:rowOff>13608</xdr:rowOff>
    </xdr:from>
    <xdr:to>
      <xdr:col>7</xdr:col>
      <xdr:colOff>199546</xdr:colOff>
      <xdr:row>2</xdr:row>
      <xdr:rowOff>149678</xdr:rowOff>
    </xdr:to>
    <xdr:pic>
      <xdr:nvPicPr>
        <xdr:cNvPr id="4" name="Imagem 3" descr="SOFTEN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5935" y="190501"/>
          <a:ext cx="2423957" cy="993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</xdr:row>
      <xdr:rowOff>9524</xdr:rowOff>
    </xdr:from>
    <xdr:to>
      <xdr:col>16</xdr:col>
      <xdr:colOff>390524</xdr:colOff>
      <xdr:row>14</xdr:row>
      <xdr:rowOff>123826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209551</xdr:colOff>
      <xdr:row>15</xdr:row>
      <xdr:rowOff>104774</xdr:rowOff>
    </xdr:from>
    <xdr:to>
      <xdr:col>8</xdr:col>
      <xdr:colOff>416719</xdr:colOff>
      <xdr:row>30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"/>
  <sheetViews>
    <sheetView tabSelected="1" topLeftCell="D1" zoomScale="90" zoomScaleNormal="90" workbookViewId="0" xr3:uid="{AEA406A1-0E4B-5B11-9CD5-51D6E497D94C}">
      <selection activeCell="A22" sqref="A22:XFD1048576"/>
    </sheetView>
  </sheetViews>
  <sheetFormatPr defaultColWidth="0" defaultRowHeight="14.25" zeroHeight="1"/>
  <cols>
    <col min="1" max="1" width="2.5546875" style="5" customWidth="1"/>
    <col min="2" max="3" width="9.14453125" style="5" customWidth="1"/>
    <col min="4" max="4" width="8.609375" style="5" customWidth="1"/>
    <col min="5" max="8" width="9.14453125" style="5" customWidth="1"/>
    <col min="9" max="9" width="20.3125" style="5" customWidth="1"/>
    <col min="10" max="10" width="7.53125" style="5" customWidth="1"/>
    <col min="11" max="11" width="9.14453125" style="5" customWidth="1"/>
    <col min="12" max="12" width="6.3203125" style="5" customWidth="1"/>
    <col min="13" max="13" width="19.234375" style="5" customWidth="1"/>
    <col min="14" max="16" width="9.14453125" style="5" hidden="1" customWidth="1"/>
    <col min="17" max="17" width="31.07421875" style="5" hidden="1" customWidth="1"/>
    <col min="18" max="22" width="0" style="5" hidden="1" customWidth="1"/>
    <col min="23" max="25" width="0" style="4" hidden="1" customWidth="1"/>
    <col min="26" max="16384" width="9.14453125" style="5" hidden="1"/>
  </cols>
  <sheetData>
    <row r="1" spans="1:22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>
      <c r="B2" s="145" t="s">
        <v>26</v>
      </c>
      <c r="C2" s="145"/>
      <c r="D2" s="145"/>
      <c r="E2" s="145"/>
      <c r="F2" s="145"/>
      <c r="G2" s="145"/>
      <c r="H2" s="145"/>
      <c r="I2" s="14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" customHeight="1">
      <c r="A3" s="104"/>
      <c r="B3" s="145"/>
      <c r="C3" s="145"/>
      <c r="D3" s="145"/>
      <c r="E3" s="145"/>
      <c r="F3" s="145"/>
      <c r="G3" s="145"/>
      <c r="H3" s="145"/>
      <c r="I3" s="14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70.5" customHeight="1">
      <c r="A4" s="104"/>
      <c r="B4" s="145"/>
      <c r="C4" s="145"/>
      <c r="D4" s="145"/>
      <c r="E4" s="145"/>
      <c r="F4" s="145"/>
      <c r="G4" s="145"/>
      <c r="H4" s="145"/>
      <c r="I4" s="14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21.75" customHeight="1" thickBot="1">
      <c r="A5" s="104"/>
      <c r="B5" s="104"/>
      <c r="C5" s="104"/>
      <c r="D5" s="104"/>
      <c r="E5" s="104"/>
      <c r="F5" s="104"/>
      <c r="G5" s="104"/>
      <c r="H5" s="104"/>
      <c r="I5" s="10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21" customHeight="1">
      <c r="A6" s="4"/>
      <c r="B6" s="126" t="s">
        <v>25</v>
      </c>
      <c r="C6" s="127"/>
      <c r="D6" s="127"/>
      <c r="E6" s="127"/>
      <c r="F6" s="127"/>
      <c r="G6" s="127"/>
      <c r="H6" s="127"/>
      <c r="I6" s="128"/>
      <c r="J6" s="105"/>
      <c r="K6" s="105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42.75" customHeight="1" thickBot="1">
      <c r="A7" s="4"/>
      <c r="B7" s="129"/>
      <c r="C7" s="130"/>
      <c r="D7" s="130"/>
      <c r="E7" s="130"/>
      <c r="F7" s="130"/>
      <c r="G7" s="130"/>
      <c r="H7" s="130"/>
      <c r="I7" s="131"/>
      <c r="J7" s="105"/>
      <c r="K7" s="105"/>
      <c r="L7" s="4"/>
      <c r="M7" s="4"/>
      <c r="N7" s="4"/>
      <c r="O7" s="4"/>
      <c r="P7" s="4"/>
      <c r="Q7" s="4"/>
      <c r="R7" s="106"/>
      <c r="S7" s="106"/>
      <c r="T7" s="4"/>
      <c r="U7" s="4"/>
      <c r="V7" s="4"/>
    </row>
    <row r="8" spans="1:22" ht="12" customHeight="1">
      <c r="A8" s="4"/>
      <c r="B8" s="107"/>
      <c r="C8" s="107"/>
      <c r="D8" s="107"/>
      <c r="E8" s="107"/>
      <c r="F8" s="107"/>
      <c r="G8" s="107"/>
      <c r="H8" s="107"/>
      <c r="I8" s="107"/>
      <c r="J8" s="105"/>
      <c r="K8" s="105"/>
      <c r="L8" s="4"/>
      <c r="M8" s="4"/>
      <c r="N8" s="4"/>
      <c r="O8" s="4"/>
      <c r="P8" s="4"/>
      <c r="Q8" s="4"/>
      <c r="R8" s="106"/>
      <c r="S8" s="106"/>
      <c r="T8" s="4"/>
      <c r="U8" s="4"/>
      <c r="V8" s="4"/>
    </row>
    <row r="9" spans="1:22" ht="22.5" customHeight="1">
      <c r="A9" s="4"/>
      <c r="B9" s="141" t="s">
        <v>27</v>
      </c>
      <c r="C9" s="141"/>
      <c r="D9" s="141"/>
      <c r="E9" s="141"/>
      <c r="F9" s="141"/>
      <c r="G9" s="141"/>
      <c r="H9" s="141"/>
      <c r="I9" s="141"/>
      <c r="J9" s="105"/>
      <c r="K9" s="105"/>
      <c r="L9" s="4"/>
      <c r="M9" s="4"/>
      <c r="N9" s="4"/>
      <c r="O9" s="4"/>
      <c r="P9" s="4"/>
      <c r="Q9" s="4"/>
      <c r="R9" s="106"/>
      <c r="S9" s="106"/>
      <c r="T9" s="4"/>
      <c r="U9" s="4"/>
      <c r="V9" s="4"/>
    </row>
    <row r="10" spans="1:22" ht="7.5" customHeight="1" thickBot="1">
      <c r="A10" s="4"/>
      <c r="B10" s="106"/>
      <c r="C10" s="106"/>
      <c r="D10" s="106"/>
      <c r="E10" s="106"/>
      <c r="F10" s="106"/>
      <c r="G10" s="106"/>
      <c r="H10" s="106"/>
      <c r="I10" s="106"/>
      <c r="J10" s="105"/>
      <c r="K10" s="10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4"/>
      <c r="B11" s="132" t="s">
        <v>29</v>
      </c>
      <c r="C11" s="133"/>
      <c r="D11" s="133"/>
      <c r="E11" s="133"/>
      <c r="F11" s="133"/>
      <c r="G11" s="133"/>
      <c r="H11" s="133"/>
      <c r="I11" s="134"/>
      <c r="J11" s="105"/>
      <c r="K11" s="10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4"/>
      <c r="B12" s="135"/>
      <c r="C12" s="136"/>
      <c r="D12" s="136"/>
      <c r="E12" s="136"/>
      <c r="F12" s="136"/>
      <c r="G12" s="136"/>
      <c r="H12" s="136"/>
      <c r="I12" s="137"/>
      <c r="J12" s="10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4"/>
      <c r="B13" s="135"/>
      <c r="C13" s="136"/>
      <c r="D13" s="136"/>
      <c r="E13" s="136"/>
      <c r="F13" s="136"/>
      <c r="G13" s="136"/>
      <c r="H13" s="136"/>
      <c r="I13" s="137"/>
      <c r="J13" s="10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29.25" customHeight="1" thickBot="1">
      <c r="A14" s="4"/>
      <c r="B14" s="138"/>
      <c r="C14" s="139"/>
      <c r="D14" s="139"/>
      <c r="E14" s="139"/>
      <c r="F14" s="139"/>
      <c r="G14" s="139"/>
      <c r="H14" s="139"/>
      <c r="I14" s="140"/>
      <c r="J14" s="10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4"/>
      <c r="B15" s="105"/>
      <c r="C15" s="105"/>
      <c r="D15" s="105"/>
      <c r="E15" s="105"/>
      <c r="F15" s="105"/>
      <c r="G15" s="105"/>
      <c r="H15" s="105"/>
      <c r="I15" s="105"/>
      <c r="J15" s="10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3.5" customHeight="1">
      <c r="A16" s="4"/>
      <c r="B16" s="105"/>
      <c r="C16" s="105"/>
      <c r="D16" s="105"/>
      <c r="E16" s="105"/>
      <c r="F16" s="105"/>
      <c r="G16" s="105"/>
      <c r="H16" s="105"/>
      <c r="I16" s="105"/>
      <c r="J16" s="10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" customHeight="1" thickBot="1">
      <c r="A17" s="4"/>
      <c r="B17" s="105"/>
      <c r="C17" s="105"/>
      <c r="D17" s="105"/>
      <c r="E17" s="105"/>
      <c r="F17" s="105"/>
      <c r="G17" s="105"/>
      <c r="H17" s="105"/>
      <c r="I17" s="105"/>
      <c r="J17" s="10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74.25" customHeight="1" thickBot="1">
      <c r="A18" s="4"/>
      <c r="B18" s="142" t="s">
        <v>28</v>
      </c>
      <c r="C18" s="143"/>
      <c r="D18" s="144"/>
      <c r="E18" s="4"/>
      <c r="F18" s="4"/>
      <c r="G18" s="4"/>
      <c r="H18" s="4"/>
      <c r="I18" s="4"/>
      <c r="J18" s="4"/>
      <c r="K18" s="4"/>
      <c r="L18" s="4"/>
      <c r="M18" s="23"/>
      <c r="N18" s="4"/>
      <c r="O18" s="23"/>
      <c r="P18" s="4"/>
      <c r="Q18" s="4"/>
      <c r="R18" s="4"/>
      <c r="S18" s="4"/>
      <c r="T18" s="4"/>
      <c r="U18" s="4"/>
      <c r="V18" s="4"/>
    </row>
    <row r="19" spans="1:22" ht="15" customHeight="1">
      <c r="A19" s="4"/>
      <c r="B19" s="109"/>
      <c r="C19" s="110"/>
      <c r="D19" s="1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21.75" customHeight="1">
      <c r="A20" s="4"/>
      <c r="B20" s="110"/>
      <c r="C20" s="110"/>
      <c r="D20" s="110"/>
      <c r="E20" s="4"/>
      <c r="F20" s="2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4"/>
      <c r="B21" s="110"/>
      <c r="C21" s="110"/>
      <c r="D21" s="1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23"/>
      <c r="Q21" s="4"/>
      <c r="R21" s="4"/>
      <c r="S21" s="4"/>
      <c r="T21" s="4"/>
      <c r="U21" s="4"/>
      <c r="V21" s="4"/>
    </row>
    <row r="22" spans="1:22" hidden="1">
      <c r="A22" s="4"/>
      <c r="B22" s="110"/>
      <c r="C22" s="110"/>
      <c r="D22" s="1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idden="1">
      <c r="A23" s="4"/>
      <c r="B23" s="24"/>
      <c r="C23" s="24"/>
      <c r="D23" s="2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idden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idden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idden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idden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idden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idden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idden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idden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idden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idden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idden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idden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idden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idden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idden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idden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idden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idden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idden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idden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idden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idden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idden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idden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idden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idden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idden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idden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idden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idden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idden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idden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idden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idden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idden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idden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idden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idden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idden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idden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idden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</sheetData>
  <sheetProtection password="CB9A" sheet="1" objects="1" scenarios="1"/>
  <mergeCells count="5">
    <mergeCell ref="B6:I7"/>
    <mergeCell ref="B11:I14"/>
    <mergeCell ref="B9:I9"/>
    <mergeCell ref="B18:D18"/>
    <mergeCell ref="B2:I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8"/>
  <sheetViews>
    <sheetView topLeftCell="A7" zoomScale="70" zoomScaleNormal="70" workbookViewId="0" xr3:uid="{958C4451-9541-5A59-BF78-D2F731DF1C81}">
      <selection activeCell="Q23" sqref="Q23"/>
    </sheetView>
  </sheetViews>
  <sheetFormatPr defaultColWidth="0" defaultRowHeight="14.25" zeroHeight="1"/>
  <cols>
    <col min="1" max="1" width="3.8984375" style="5" customWidth="1"/>
    <col min="2" max="2" width="20.984375" style="5" customWidth="1"/>
    <col min="3" max="3" width="3.09375" style="5" customWidth="1"/>
    <col min="4" max="4" width="20.84765625" style="5" bestFit="1" customWidth="1"/>
    <col min="5" max="5" width="23.9453125" style="5" bestFit="1" customWidth="1"/>
    <col min="6" max="6" width="14.390625" style="5" bestFit="1" customWidth="1"/>
    <col min="7" max="7" width="33.2265625" style="5" customWidth="1"/>
    <col min="8" max="8" width="3.765625" style="5" customWidth="1"/>
    <col min="9" max="11" width="20.17578125" style="5" customWidth="1"/>
    <col min="12" max="12" width="3.2265625" style="5" customWidth="1"/>
    <col min="13" max="13" width="15.46875" style="5" customWidth="1"/>
    <col min="14" max="14" width="16.6796875" style="5" customWidth="1"/>
    <col min="15" max="15" width="17.75390625" style="5" bestFit="1" customWidth="1"/>
    <col min="16" max="16" width="4.03515625" style="5" bestFit="1" customWidth="1"/>
    <col min="17" max="17" width="39.68359375" style="5" bestFit="1" customWidth="1"/>
    <col min="18" max="18" width="11.56640625" style="5" customWidth="1"/>
    <col min="19" max="19" width="4.03515625" style="5" hidden="1" customWidth="1"/>
    <col min="20" max="20" width="30.1328125" style="5" hidden="1" customWidth="1"/>
    <col min="21" max="22" width="0" style="5" hidden="1" customWidth="1"/>
    <col min="23" max="16384" width="9.14453125" style="5" hidden="1"/>
  </cols>
  <sheetData>
    <row r="1" spans="1:2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2" ht="67.5" customHeight="1">
      <c r="A2" s="6"/>
      <c r="B2" s="147" t="s">
        <v>2</v>
      </c>
      <c r="C2" s="147"/>
      <c r="D2" s="147"/>
      <c r="E2" s="147"/>
      <c r="F2" s="7"/>
      <c r="G2" s="7"/>
      <c r="H2" s="7"/>
      <c r="I2" s="7"/>
      <c r="J2" s="8"/>
      <c r="K2" s="7"/>
      <c r="L2" s="7"/>
      <c r="M2" s="7"/>
      <c r="N2" s="7"/>
      <c r="O2" s="7"/>
      <c r="P2" s="9"/>
      <c r="Q2" s="10"/>
      <c r="R2" s="11"/>
      <c r="S2" s="11"/>
      <c r="T2" s="11"/>
      <c r="U2" s="12"/>
      <c r="V2" s="13"/>
    </row>
    <row r="3" spans="1:22" ht="23.25" customHeight="1">
      <c r="A3" s="6"/>
      <c r="B3" s="14"/>
      <c r="C3" s="14"/>
      <c r="D3" s="14"/>
      <c r="E3" s="7"/>
      <c r="F3" s="4"/>
      <c r="G3" s="7"/>
      <c r="H3" s="7"/>
      <c r="I3" s="7"/>
      <c r="J3" s="7"/>
      <c r="K3" s="7"/>
      <c r="L3" s="7"/>
      <c r="M3" s="7"/>
      <c r="N3" s="7"/>
      <c r="O3" s="7"/>
      <c r="P3" s="15"/>
      <c r="Q3" s="16"/>
      <c r="R3" s="11"/>
      <c r="S3" s="11"/>
      <c r="T3" s="11"/>
      <c r="U3" s="12"/>
      <c r="V3" s="13"/>
    </row>
    <row r="4" spans="1:22" ht="22.5" customHeight="1">
      <c r="A4" s="6"/>
      <c r="B4" s="17" t="s">
        <v>7</v>
      </c>
      <c r="D4" s="146">
        <v>43101</v>
      </c>
      <c r="E4" s="146"/>
      <c r="F4" s="18"/>
      <c r="G4" s="19" t="str">
        <f t="shared" ref="G4" si="0">HYPERLINK("http://www.softensistemas.com.br/","www.softensistemas.com.br")</f>
        <v>www.softensistemas.com.br</v>
      </c>
      <c r="H4" s="20"/>
      <c r="I4" s="21"/>
      <c r="J4" s="22"/>
      <c r="K4" s="4"/>
      <c r="L4" s="23"/>
      <c r="M4" s="23"/>
      <c r="N4" s="4"/>
      <c r="O4" s="4"/>
      <c r="P4" s="15"/>
      <c r="Q4" s="16"/>
      <c r="R4" s="11"/>
      <c r="S4" s="11"/>
      <c r="T4" s="11"/>
      <c r="U4" s="12"/>
      <c r="V4" s="13"/>
    </row>
    <row r="5" spans="1:22" ht="16.5">
      <c r="A5" s="6"/>
      <c r="B5" s="4"/>
      <c r="C5" s="4"/>
      <c r="D5" s="4"/>
      <c r="E5" s="4"/>
      <c r="F5" s="23"/>
      <c r="G5" s="19" t="str">
        <f>HYPERLINK("mailto:contato@softensistemas.com.br","contato@softensistemas.com.br")</f>
        <v>contato@softensistemas.com.br</v>
      </c>
      <c r="H5" s="20"/>
      <c r="I5" s="4"/>
      <c r="J5" s="4"/>
      <c r="K5" s="24"/>
      <c r="L5" s="25"/>
      <c r="M5" s="26"/>
      <c r="N5" s="27"/>
      <c r="O5" s="27"/>
      <c r="P5" s="24"/>
      <c r="Q5" s="24"/>
      <c r="R5" s="28"/>
      <c r="S5" s="11"/>
      <c r="T5" s="11"/>
      <c r="U5" s="12"/>
      <c r="V5" s="13"/>
    </row>
    <row r="6" spans="1:22" ht="15">
      <c r="A6" s="29"/>
      <c r="B6" s="17" t="s">
        <v>9</v>
      </c>
      <c r="C6" s="30"/>
      <c r="D6" s="151" t="s">
        <v>30</v>
      </c>
      <c r="E6" s="151"/>
      <c r="F6" s="24"/>
      <c r="G6" s="111" t="s">
        <v>24</v>
      </c>
      <c r="H6" s="31"/>
      <c r="I6" s="4"/>
      <c r="J6" s="4"/>
      <c r="K6" s="24"/>
      <c r="L6" s="24"/>
      <c r="M6" s="24"/>
      <c r="N6" s="25"/>
      <c r="O6" s="25"/>
      <c r="P6" s="24"/>
      <c r="Q6" s="24"/>
      <c r="R6" s="28"/>
      <c r="S6" s="11"/>
      <c r="T6" s="11"/>
      <c r="U6" s="12"/>
      <c r="V6" s="32"/>
    </row>
    <row r="7" spans="1:22" ht="15">
      <c r="A7" s="29"/>
      <c r="B7" s="17" t="s">
        <v>12</v>
      </c>
      <c r="C7" s="30"/>
      <c r="D7" s="150">
        <v>5000</v>
      </c>
      <c r="E7" s="150"/>
      <c r="F7" s="4"/>
      <c r="G7" s="23"/>
      <c r="I7" s="4"/>
      <c r="J7" s="4"/>
      <c r="K7" s="24"/>
      <c r="L7" s="24"/>
      <c r="M7" s="24"/>
      <c r="N7" s="24"/>
      <c r="O7" s="24"/>
      <c r="P7" s="24"/>
      <c r="Q7" s="24"/>
      <c r="R7" s="33"/>
      <c r="S7" s="34"/>
      <c r="T7" s="34"/>
      <c r="U7" s="34"/>
      <c r="V7" s="35"/>
    </row>
    <row r="8" spans="1:22" ht="15" thickBot="1">
      <c r="A8" s="28"/>
      <c r="B8" s="36"/>
      <c r="C8" s="37"/>
      <c r="D8" s="36"/>
      <c r="E8" s="36"/>
      <c r="F8" s="36"/>
      <c r="G8" s="38"/>
      <c r="H8" s="4"/>
      <c r="I8" s="4"/>
      <c r="J8" s="4"/>
      <c r="K8" s="16"/>
      <c r="L8" s="10"/>
      <c r="M8" s="16"/>
      <c r="N8" s="36"/>
      <c r="O8" s="36"/>
      <c r="P8" s="36"/>
      <c r="Q8" s="36"/>
      <c r="R8" s="16"/>
      <c r="S8" s="39"/>
      <c r="T8" s="34"/>
      <c r="U8" s="34"/>
      <c r="V8" s="35"/>
    </row>
    <row r="9" spans="1:22" ht="26.25" thickBot="1">
      <c r="A9" s="29"/>
      <c r="B9" s="152" t="s">
        <v>0</v>
      </c>
      <c r="C9" s="40"/>
      <c r="D9" s="152" t="s">
        <v>1</v>
      </c>
      <c r="E9" s="152"/>
      <c r="F9" s="152"/>
      <c r="G9" s="152"/>
      <c r="H9" s="24"/>
      <c r="I9" s="152" t="s">
        <v>5</v>
      </c>
      <c r="J9" s="152"/>
      <c r="K9" s="152"/>
      <c r="L9" s="35"/>
      <c r="M9" s="153" t="s">
        <v>15</v>
      </c>
      <c r="N9" s="153" t="s">
        <v>17</v>
      </c>
      <c r="O9" s="153" t="s">
        <v>16</v>
      </c>
      <c r="P9" s="29"/>
      <c r="Q9" s="41" t="s">
        <v>19</v>
      </c>
      <c r="R9" s="33"/>
      <c r="S9" s="35"/>
      <c r="T9" s="4"/>
      <c r="U9" s="4"/>
      <c r="V9" s="4"/>
    </row>
    <row r="10" spans="1:22" ht="15.75" thickBot="1">
      <c r="A10" s="29"/>
      <c r="B10" s="152"/>
      <c r="C10" s="40"/>
      <c r="D10" s="42" t="s">
        <v>10</v>
      </c>
      <c r="E10" s="42" t="s">
        <v>11</v>
      </c>
      <c r="F10" s="42" t="s">
        <v>6</v>
      </c>
      <c r="G10" s="42" t="s">
        <v>20</v>
      </c>
      <c r="H10" s="43"/>
      <c r="I10" s="44" t="s">
        <v>10</v>
      </c>
      <c r="J10" s="44" t="s">
        <v>3</v>
      </c>
      <c r="K10" s="44" t="s">
        <v>6</v>
      </c>
      <c r="L10" s="45"/>
      <c r="M10" s="153"/>
      <c r="N10" s="153"/>
      <c r="O10" s="153"/>
      <c r="P10" s="29"/>
      <c r="Q10" s="46">
        <v>0.2</v>
      </c>
      <c r="R10" s="33"/>
      <c r="S10" s="35"/>
      <c r="T10" s="4"/>
      <c r="U10" s="4"/>
      <c r="V10" s="4"/>
    </row>
    <row r="11" spans="1:22" ht="15.75" thickBot="1">
      <c r="A11" s="29"/>
      <c r="B11" s="47">
        <f>D4</f>
        <v>43101</v>
      </c>
      <c r="C11" s="40"/>
      <c r="D11" s="112">
        <v>100</v>
      </c>
      <c r="E11" s="48">
        <f t="shared" ref="E11:E38" si="1">D$7/(COUNT(B$11:B$41))</f>
        <v>161.29032258064515</v>
      </c>
      <c r="F11" s="113">
        <f>IF(D11,D11-E11,"")</f>
        <v>-61.290322580645153</v>
      </c>
      <c r="G11" s="49">
        <f t="shared" ref="G11:G41" si="2">$Q$16*D11</f>
        <v>12</v>
      </c>
      <c r="H11" s="50"/>
      <c r="I11" s="51">
        <f>D11</f>
        <v>100</v>
      </c>
      <c r="J11" s="52">
        <f>E11</f>
        <v>161.29032258064515</v>
      </c>
      <c r="K11" s="53">
        <f>IF(I11,I11-J11,"")</f>
        <v>-61.290322580645153</v>
      </c>
      <c r="L11" s="54"/>
      <c r="M11" s="120">
        <v>12</v>
      </c>
      <c r="N11" s="121">
        <v>8</v>
      </c>
      <c r="O11" s="55">
        <f>IFERROR((N11/M11),0)</f>
        <v>0.66666666666666663</v>
      </c>
      <c r="P11" s="29"/>
      <c r="Q11" s="36"/>
      <c r="R11" s="34"/>
      <c r="S11" s="35"/>
      <c r="T11" s="4"/>
      <c r="U11" s="4"/>
      <c r="V11" s="4"/>
    </row>
    <row r="12" spans="1:22" ht="15.75" thickBot="1">
      <c r="A12" s="29"/>
      <c r="B12" s="56">
        <f>D4+1</f>
        <v>43102</v>
      </c>
      <c r="C12" s="40"/>
      <c r="D12" s="114">
        <v>160</v>
      </c>
      <c r="E12" s="57">
        <f t="shared" si="1"/>
        <v>161.29032258064515</v>
      </c>
      <c r="F12" s="115">
        <f t="shared" ref="F12:F41" si="3">IF(D12,D12-E12,"")</f>
        <v>-1.290322580645153</v>
      </c>
      <c r="G12" s="58">
        <f t="shared" si="2"/>
        <v>19.2</v>
      </c>
      <c r="H12" s="50"/>
      <c r="I12" s="59">
        <f t="shared" ref="I12:I38" si="4">D12+I11</f>
        <v>260</v>
      </c>
      <c r="J12" s="60">
        <f t="shared" ref="J12:J38" si="5">E12+J11</f>
        <v>322.58064516129031</v>
      </c>
      <c r="K12" s="61">
        <f t="shared" ref="K12:K41" si="6">IF(I12,I12-J12,"")</f>
        <v>-62.580645161290306</v>
      </c>
      <c r="L12" s="35"/>
      <c r="M12" s="122">
        <v>10</v>
      </c>
      <c r="N12" s="123">
        <v>5</v>
      </c>
      <c r="O12" s="55">
        <f t="shared" ref="O12:O41" si="7">IFERROR((N12/M12),0)</f>
        <v>0.5</v>
      </c>
      <c r="P12" s="29"/>
      <c r="Q12" s="62" t="s">
        <v>21</v>
      </c>
      <c r="R12" s="33"/>
      <c r="S12" s="35"/>
      <c r="T12" s="4"/>
      <c r="U12" s="4"/>
      <c r="V12" s="4"/>
    </row>
    <row r="13" spans="1:22" ht="15.75" thickBot="1">
      <c r="A13" s="29"/>
      <c r="B13" s="47">
        <f>D4+2</f>
        <v>43103</v>
      </c>
      <c r="C13" s="40"/>
      <c r="D13" s="116">
        <v>200</v>
      </c>
      <c r="E13" s="63">
        <f t="shared" si="1"/>
        <v>161.29032258064515</v>
      </c>
      <c r="F13" s="117">
        <f t="shared" si="3"/>
        <v>38.709677419354847</v>
      </c>
      <c r="G13" s="64">
        <f t="shared" si="2"/>
        <v>24</v>
      </c>
      <c r="H13" s="50"/>
      <c r="I13" s="65">
        <f t="shared" si="4"/>
        <v>460</v>
      </c>
      <c r="J13" s="66">
        <f t="shared" si="5"/>
        <v>483.87096774193549</v>
      </c>
      <c r="K13" s="53">
        <f t="shared" si="6"/>
        <v>-23.870967741935488</v>
      </c>
      <c r="L13" s="35"/>
      <c r="M13" s="120">
        <v>8</v>
      </c>
      <c r="N13" s="121">
        <v>6</v>
      </c>
      <c r="O13" s="55">
        <f t="shared" si="7"/>
        <v>0.75</v>
      </c>
      <c r="P13" s="29"/>
      <c r="Q13" s="67">
        <f>MEDIAN(O11:O41)</f>
        <v>0</v>
      </c>
      <c r="R13" s="33"/>
      <c r="S13" s="35"/>
      <c r="T13" s="4"/>
      <c r="U13" s="4"/>
      <c r="V13" s="4"/>
    </row>
    <row r="14" spans="1:22" ht="15.75" thickBot="1">
      <c r="A14" s="29"/>
      <c r="B14" s="56">
        <f>D4+3</f>
        <v>43104</v>
      </c>
      <c r="C14" s="40"/>
      <c r="D14" s="114"/>
      <c r="E14" s="68">
        <f t="shared" si="1"/>
        <v>161.29032258064515</v>
      </c>
      <c r="F14" s="115" t="str">
        <f t="shared" si="3"/>
        <v/>
      </c>
      <c r="G14" s="58">
        <f t="shared" si="2"/>
        <v>0</v>
      </c>
      <c r="H14" s="50"/>
      <c r="I14" s="59">
        <f t="shared" si="4"/>
        <v>460</v>
      </c>
      <c r="J14" s="60">
        <f t="shared" si="5"/>
        <v>645.16129032258061</v>
      </c>
      <c r="K14" s="61">
        <f t="shared" si="6"/>
        <v>-185.16129032258061</v>
      </c>
      <c r="L14" s="35"/>
      <c r="M14" s="122">
        <v>6</v>
      </c>
      <c r="N14" s="123">
        <v>10</v>
      </c>
      <c r="O14" s="55">
        <f t="shared" si="7"/>
        <v>1.6666666666666667</v>
      </c>
      <c r="P14" s="29"/>
      <c r="Q14" s="36"/>
      <c r="R14" s="34"/>
      <c r="S14" s="35"/>
      <c r="T14" s="23"/>
      <c r="U14" s="4"/>
      <c r="V14" s="4"/>
    </row>
    <row r="15" spans="1:22" ht="15.75" thickBot="1">
      <c r="A15" s="29"/>
      <c r="B15" s="47">
        <f>D4+4</f>
        <v>43105</v>
      </c>
      <c r="C15" s="40"/>
      <c r="D15" s="116"/>
      <c r="E15" s="69">
        <f t="shared" si="1"/>
        <v>161.29032258064515</v>
      </c>
      <c r="F15" s="117" t="str">
        <f t="shared" si="3"/>
        <v/>
      </c>
      <c r="G15" s="49">
        <f t="shared" si="2"/>
        <v>0</v>
      </c>
      <c r="H15" s="50"/>
      <c r="I15" s="65">
        <f t="shared" si="4"/>
        <v>460</v>
      </c>
      <c r="J15" s="66">
        <f t="shared" si="5"/>
        <v>806.45161290322574</v>
      </c>
      <c r="K15" s="53">
        <f t="shared" si="6"/>
        <v>-346.45161290322574</v>
      </c>
      <c r="L15" s="35"/>
      <c r="M15" s="120"/>
      <c r="N15" s="121"/>
      <c r="O15" s="55">
        <f t="shared" si="7"/>
        <v>0</v>
      </c>
      <c r="P15" s="29"/>
      <c r="Q15" s="62" t="s">
        <v>22</v>
      </c>
      <c r="R15" s="33"/>
      <c r="S15" s="35"/>
      <c r="T15" s="4"/>
      <c r="U15" s="4"/>
      <c r="V15" s="4"/>
    </row>
    <row r="16" spans="1:22" ht="15.75" thickBot="1">
      <c r="A16" s="29"/>
      <c r="B16" s="56">
        <f>D4+5</f>
        <v>43106</v>
      </c>
      <c r="C16" s="40"/>
      <c r="D16" s="114"/>
      <c r="E16" s="70">
        <f t="shared" si="1"/>
        <v>161.29032258064515</v>
      </c>
      <c r="F16" s="115" t="str">
        <f t="shared" si="3"/>
        <v/>
      </c>
      <c r="G16" s="58">
        <f t="shared" si="2"/>
        <v>0</v>
      </c>
      <c r="H16" s="50"/>
      <c r="I16" s="59">
        <f t="shared" si="4"/>
        <v>460</v>
      </c>
      <c r="J16" s="60">
        <f t="shared" si="5"/>
        <v>967.74193548387086</v>
      </c>
      <c r="K16" s="61">
        <f t="shared" si="6"/>
        <v>-507.74193548387086</v>
      </c>
      <c r="L16" s="35"/>
      <c r="M16" s="122"/>
      <c r="N16" s="123"/>
      <c r="O16" s="55">
        <f t="shared" si="7"/>
        <v>0</v>
      </c>
      <c r="P16" s="29"/>
      <c r="Q16" s="71">
        <v>0.12</v>
      </c>
      <c r="R16" s="33"/>
      <c r="S16" s="35"/>
      <c r="T16" s="4"/>
      <c r="U16" s="4"/>
      <c r="V16" s="4"/>
    </row>
    <row r="17" spans="1:22" ht="15.75" thickBot="1">
      <c r="A17" s="29"/>
      <c r="B17" s="47">
        <f>D4+6</f>
        <v>43107</v>
      </c>
      <c r="C17" s="40"/>
      <c r="D17" s="116"/>
      <c r="E17" s="63">
        <f t="shared" si="1"/>
        <v>161.29032258064515</v>
      </c>
      <c r="F17" s="117" t="str">
        <f t="shared" si="3"/>
        <v/>
      </c>
      <c r="G17" s="64">
        <f t="shared" si="2"/>
        <v>0</v>
      </c>
      <c r="H17" s="50"/>
      <c r="I17" s="65">
        <f t="shared" si="4"/>
        <v>460</v>
      </c>
      <c r="J17" s="66">
        <f t="shared" si="5"/>
        <v>1129.0322580645161</v>
      </c>
      <c r="K17" s="53">
        <f t="shared" si="6"/>
        <v>-669.0322580645161</v>
      </c>
      <c r="L17" s="35"/>
      <c r="M17" s="120"/>
      <c r="N17" s="121"/>
      <c r="O17" s="55">
        <f t="shared" si="7"/>
        <v>0</v>
      </c>
      <c r="P17" s="29"/>
      <c r="Q17" s="36"/>
      <c r="R17" s="34"/>
      <c r="S17" s="35"/>
      <c r="T17" s="4"/>
      <c r="U17" s="4"/>
      <c r="V17" s="4"/>
    </row>
    <row r="18" spans="1:22" ht="15.75" thickBot="1">
      <c r="A18" s="29"/>
      <c r="B18" s="56">
        <f>D4+7</f>
        <v>43108</v>
      </c>
      <c r="C18" s="40"/>
      <c r="D18" s="114"/>
      <c r="E18" s="70">
        <f t="shared" si="1"/>
        <v>161.29032258064515</v>
      </c>
      <c r="F18" s="115" t="str">
        <f t="shared" si="3"/>
        <v/>
      </c>
      <c r="G18" s="58">
        <f t="shared" si="2"/>
        <v>0</v>
      </c>
      <c r="H18" s="50"/>
      <c r="I18" s="59">
        <f t="shared" si="4"/>
        <v>460</v>
      </c>
      <c r="J18" s="60">
        <f t="shared" si="5"/>
        <v>1290.3225806451612</v>
      </c>
      <c r="K18" s="61">
        <f t="shared" si="6"/>
        <v>-830.32258064516122</v>
      </c>
      <c r="L18" s="35"/>
      <c r="M18" s="122"/>
      <c r="N18" s="123"/>
      <c r="O18" s="55">
        <f t="shared" si="7"/>
        <v>0</v>
      </c>
      <c r="P18" s="29"/>
      <c r="Q18" s="62" t="s">
        <v>23</v>
      </c>
      <c r="R18" s="33"/>
      <c r="S18" s="35"/>
      <c r="T18" s="4"/>
      <c r="U18" s="4"/>
      <c r="V18" s="4"/>
    </row>
    <row r="19" spans="1:22" ht="15.75" thickBot="1">
      <c r="A19" s="29"/>
      <c r="B19" s="47">
        <f>D4+8</f>
        <v>43109</v>
      </c>
      <c r="C19" s="40"/>
      <c r="D19" s="116"/>
      <c r="E19" s="69">
        <f t="shared" si="1"/>
        <v>161.29032258064515</v>
      </c>
      <c r="F19" s="117" t="str">
        <f t="shared" si="3"/>
        <v/>
      </c>
      <c r="G19" s="72">
        <f t="shared" si="2"/>
        <v>0</v>
      </c>
      <c r="H19" s="50"/>
      <c r="I19" s="65">
        <f t="shared" si="4"/>
        <v>460</v>
      </c>
      <c r="J19" s="66">
        <f t="shared" si="5"/>
        <v>1451.6129032258063</v>
      </c>
      <c r="K19" s="53">
        <f t="shared" si="6"/>
        <v>-991.61290322580635</v>
      </c>
      <c r="L19" s="35"/>
      <c r="M19" s="120"/>
      <c r="N19" s="121"/>
      <c r="O19" s="55">
        <f t="shared" si="7"/>
        <v>0</v>
      </c>
      <c r="P19" s="29"/>
      <c r="Q19" s="73" t="str">
        <f>G42</f>
        <v>Não atingiu a meta.</v>
      </c>
      <c r="R19" s="33"/>
      <c r="S19" s="35"/>
      <c r="T19" s="4"/>
      <c r="U19" s="4"/>
      <c r="V19" s="4"/>
    </row>
    <row r="20" spans="1:22" ht="15.75" thickBot="1">
      <c r="A20" s="29"/>
      <c r="B20" s="56">
        <f>D4+9</f>
        <v>43110</v>
      </c>
      <c r="C20" s="40"/>
      <c r="D20" s="114"/>
      <c r="E20" s="68">
        <f t="shared" si="1"/>
        <v>161.29032258064515</v>
      </c>
      <c r="F20" s="115" t="str">
        <f t="shared" si="3"/>
        <v/>
      </c>
      <c r="G20" s="58">
        <f t="shared" si="2"/>
        <v>0</v>
      </c>
      <c r="H20" s="50"/>
      <c r="I20" s="59">
        <f t="shared" si="4"/>
        <v>460</v>
      </c>
      <c r="J20" s="60">
        <f t="shared" si="5"/>
        <v>1612.9032258064515</v>
      </c>
      <c r="K20" s="61">
        <f t="shared" si="6"/>
        <v>-1152.9032258064515</v>
      </c>
      <c r="L20" s="35"/>
      <c r="M20" s="122"/>
      <c r="N20" s="123"/>
      <c r="O20" s="55">
        <f t="shared" si="7"/>
        <v>0</v>
      </c>
      <c r="P20" s="29"/>
      <c r="Q20" s="74"/>
      <c r="R20" s="34"/>
      <c r="S20" s="35"/>
      <c r="T20" s="4"/>
      <c r="U20" s="4"/>
      <c r="V20" s="4"/>
    </row>
    <row r="21" spans="1:22" ht="15.75" thickBot="1">
      <c r="A21" s="29"/>
      <c r="B21" s="47">
        <f>D4+10</f>
        <v>43111</v>
      </c>
      <c r="C21" s="40"/>
      <c r="D21" s="116"/>
      <c r="E21" s="69">
        <f t="shared" si="1"/>
        <v>161.29032258064515</v>
      </c>
      <c r="F21" s="117" t="str">
        <f t="shared" si="3"/>
        <v/>
      </c>
      <c r="G21" s="49">
        <f t="shared" si="2"/>
        <v>0</v>
      </c>
      <c r="H21" s="50"/>
      <c r="I21" s="65">
        <f t="shared" si="4"/>
        <v>460</v>
      </c>
      <c r="J21" s="66">
        <f t="shared" si="5"/>
        <v>1774.1935483870966</v>
      </c>
      <c r="K21" s="53">
        <f t="shared" si="6"/>
        <v>-1314.1935483870966</v>
      </c>
      <c r="L21" s="35"/>
      <c r="M21" s="120"/>
      <c r="N21" s="121"/>
      <c r="O21" s="55">
        <f t="shared" si="7"/>
        <v>0</v>
      </c>
      <c r="P21" s="29"/>
      <c r="Q21" s="11"/>
      <c r="R21" s="34"/>
      <c r="S21" s="35"/>
      <c r="T21" s="4"/>
      <c r="U21" s="4"/>
      <c r="V21" s="4"/>
    </row>
    <row r="22" spans="1:22" ht="15.75" thickBot="1">
      <c r="A22" s="29"/>
      <c r="B22" s="56">
        <f>D4+11</f>
        <v>43112</v>
      </c>
      <c r="C22" s="40"/>
      <c r="D22" s="114"/>
      <c r="E22" s="68">
        <f t="shared" si="1"/>
        <v>161.29032258064515</v>
      </c>
      <c r="F22" s="115" t="str">
        <f t="shared" si="3"/>
        <v/>
      </c>
      <c r="G22" s="75">
        <f t="shared" si="2"/>
        <v>0</v>
      </c>
      <c r="H22" s="50"/>
      <c r="I22" s="59">
        <f t="shared" si="4"/>
        <v>460</v>
      </c>
      <c r="J22" s="60">
        <f t="shared" si="5"/>
        <v>1935.4838709677417</v>
      </c>
      <c r="K22" s="61">
        <f t="shared" si="6"/>
        <v>-1475.4838709677417</v>
      </c>
      <c r="L22" s="35"/>
      <c r="M22" s="122"/>
      <c r="N22" s="123"/>
      <c r="O22" s="55">
        <f t="shared" si="7"/>
        <v>0</v>
      </c>
      <c r="P22" s="29"/>
      <c r="Q22" s="11"/>
      <c r="R22" s="34"/>
      <c r="S22" s="35"/>
      <c r="T22" s="4"/>
      <c r="U22" s="4"/>
      <c r="V22" s="4"/>
    </row>
    <row r="23" spans="1:22" ht="15.75" thickBot="1">
      <c r="A23" s="29"/>
      <c r="B23" s="47">
        <f>D4+12</f>
        <v>43113</v>
      </c>
      <c r="C23" s="40"/>
      <c r="D23" s="116"/>
      <c r="E23" s="69">
        <f t="shared" si="1"/>
        <v>161.29032258064515</v>
      </c>
      <c r="F23" s="117" t="str">
        <f t="shared" si="3"/>
        <v/>
      </c>
      <c r="G23" s="72">
        <f t="shared" si="2"/>
        <v>0</v>
      </c>
      <c r="H23" s="50"/>
      <c r="I23" s="65">
        <f t="shared" si="4"/>
        <v>460</v>
      </c>
      <c r="J23" s="66">
        <f t="shared" si="5"/>
        <v>2096.7741935483868</v>
      </c>
      <c r="K23" s="53">
        <f t="shared" si="6"/>
        <v>-1636.7741935483868</v>
      </c>
      <c r="L23" s="35"/>
      <c r="M23" s="120"/>
      <c r="N23" s="121"/>
      <c r="O23" s="55">
        <f t="shared" si="7"/>
        <v>0</v>
      </c>
      <c r="P23" s="29"/>
      <c r="Q23" s="11"/>
      <c r="R23" s="34"/>
      <c r="S23" s="35"/>
      <c r="T23" s="4"/>
      <c r="U23" s="4"/>
      <c r="V23" s="4"/>
    </row>
    <row r="24" spans="1:22" ht="15.75" thickBot="1">
      <c r="A24" s="29"/>
      <c r="B24" s="56">
        <f>D4+13</f>
        <v>43114</v>
      </c>
      <c r="C24" s="40"/>
      <c r="D24" s="114"/>
      <c r="E24" s="68">
        <f t="shared" si="1"/>
        <v>161.29032258064515</v>
      </c>
      <c r="F24" s="115" t="str">
        <f t="shared" si="3"/>
        <v/>
      </c>
      <c r="G24" s="58">
        <f t="shared" si="2"/>
        <v>0</v>
      </c>
      <c r="H24" s="50"/>
      <c r="I24" s="59">
        <f t="shared" si="4"/>
        <v>460</v>
      </c>
      <c r="J24" s="60">
        <f t="shared" si="5"/>
        <v>2258.0645161290322</v>
      </c>
      <c r="K24" s="61">
        <f t="shared" si="6"/>
        <v>-1798.0645161290322</v>
      </c>
      <c r="L24" s="35"/>
      <c r="M24" s="122"/>
      <c r="N24" s="123"/>
      <c r="O24" s="55">
        <f t="shared" si="7"/>
        <v>0</v>
      </c>
      <c r="P24" s="29"/>
      <c r="Q24" s="76"/>
      <c r="R24" s="34"/>
      <c r="S24" s="35"/>
      <c r="T24" s="4"/>
      <c r="U24" s="4"/>
      <c r="V24" s="4"/>
    </row>
    <row r="25" spans="1:22" ht="15.75" thickBot="1">
      <c r="A25" s="29"/>
      <c r="B25" s="47">
        <f>D4+14</f>
        <v>43115</v>
      </c>
      <c r="C25" s="40"/>
      <c r="D25" s="116"/>
      <c r="E25" s="63">
        <f t="shared" si="1"/>
        <v>161.29032258064515</v>
      </c>
      <c r="F25" s="117" t="str">
        <f t="shared" si="3"/>
        <v/>
      </c>
      <c r="G25" s="64">
        <f t="shared" si="2"/>
        <v>0</v>
      </c>
      <c r="H25" s="50"/>
      <c r="I25" s="65">
        <f t="shared" si="4"/>
        <v>460</v>
      </c>
      <c r="J25" s="66">
        <f t="shared" si="5"/>
        <v>2419.3548387096776</v>
      </c>
      <c r="K25" s="53">
        <f t="shared" si="6"/>
        <v>-1959.3548387096776</v>
      </c>
      <c r="L25" s="35"/>
      <c r="M25" s="120"/>
      <c r="N25" s="121"/>
      <c r="O25" s="55">
        <f t="shared" si="7"/>
        <v>0</v>
      </c>
      <c r="P25" s="29"/>
      <c r="Q25" s="76"/>
      <c r="R25" s="34"/>
      <c r="S25" s="35"/>
      <c r="T25" s="4"/>
      <c r="U25" s="4"/>
      <c r="V25" s="4"/>
    </row>
    <row r="26" spans="1:22" ht="15.75" thickBot="1">
      <c r="A26" s="29"/>
      <c r="B26" s="56">
        <f>D4+15</f>
        <v>43116</v>
      </c>
      <c r="C26" s="40"/>
      <c r="D26" s="114"/>
      <c r="E26" s="70">
        <f t="shared" si="1"/>
        <v>161.29032258064515</v>
      </c>
      <c r="F26" s="115" t="str">
        <f t="shared" si="3"/>
        <v/>
      </c>
      <c r="G26" s="77">
        <f t="shared" si="2"/>
        <v>0</v>
      </c>
      <c r="H26" s="50"/>
      <c r="I26" s="59">
        <f t="shared" si="4"/>
        <v>460</v>
      </c>
      <c r="J26" s="60">
        <f t="shared" si="5"/>
        <v>2580.6451612903229</v>
      </c>
      <c r="K26" s="61">
        <f t="shared" si="6"/>
        <v>-2120.6451612903229</v>
      </c>
      <c r="L26" s="35"/>
      <c r="M26" s="122"/>
      <c r="N26" s="123"/>
      <c r="O26" s="55">
        <f t="shared" si="7"/>
        <v>0</v>
      </c>
      <c r="P26" s="29"/>
      <c r="Q26" s="11"/>
      <c r="R26" s="34"/>
      <c r="S26" s="35"/>
      <c r="T26" s="4"/>
      <c r="U26" s="4"/>
      <c r="V26" s="4"/>
    </row>
    <row r="27" spans="1:22" ht="15.75" thickBot="1">
      <c r="A27" s="29"/>
      <c r="B27" s="47">
        <f>D4+16</f>
        <v>43117</v>
      </c>
      <c r="C27" s="40"/>
      <c r="D27" s="116"/>
      <c r="E27" s="63">
        <f t="shared" si="1"/>
        <v>161.29032258064515</v>
      </c>
      <c r="F27" s="117" t="str">
        <f t="shared" si="3"/>
        <v/>
      </c>
      <c r="G27" s="64">
        <f t="shared" si="2"/>
        <v>0</v>
      </c>
      <c r="H27" s="50"/>
      <c r="I27" s="65">
        <f t="shared" si="4"/>
        <v>460</v>
      </c>
      <c r="J27" s="66">
        <f t="shared" si="5"/>
        <v>2741.9354838709683</v>
      </c>
      <c r="K27" s="53">
        <f t="shared" si="6"/>
        <v>-2281.9354838709683</v>
      </c>
      <c r="L27" s="35"/>
      <c r="M27" s="120"/>
      <c r="N27" s="121"/>
      <c r="O27" s="55">
        <f t="shared" si="7"/>
        <v>0</v>
      </c>
      <c r="P27" s="29"/>
      <c r="Q27" s="76"/>
      <c r="R27" s="34"/>
      <c r="S27" s="35"/>
      <c r="T27" s="4"/>
      <c r="U27" s="4"/>
      <c r="V27" s="4"/>
    </row>
    <row r="28" spans="1:22" ht="15.75" thickBot="1">
      <c r="A28" s="29"/>
      <c r="B28" s="56">
        <f>D4+17</f>
        <v>43118</v>
      </c>
      <c r="C28" s="40"/>
      <c r="D28" s="114"/>
      <c r="E28" s="78">
        <f t="shared" si="1"/>
        <v>161.29032258064515</v>
      </c>
      <c r="F28" s="115" t="str">
        <f t="shared" si="3"/>
        <v/>
      </c>
      <c r="G28" s="79">
        <f t="shared" si="2"/>
        <v>0</v>
      </c>
      <c r="H28" s="50"/>
      <c r="I28" s="59">
        <f t="shared" si="4"/>
        <v>460</v>
      </c>
      <c r="J28" s="60">
        <f t="shared" si="5"/>
        <v>2903.2258064516136</v>
      </c>
      <c r="K28" s="61">
        <f t="shared" si="6"/>
        <v>-2443.2258064516136</v>
      </c>
      <c r="L28" s="35"/>
      <c r="M28" s="122"/>
      <c r="N28" s="123"/>
      <c r="O28" s="55">
        <f t="shared" si="7"/>
        <v>0</v>
      </c>
      <c r="P28" s="29"/>
      <c r="Q28" s="11"/>
      <c r="R28" s="34"/>
      <c r="S28" s="35"/>
      <c r="T28" s="4"/>
      <c r="U28" s="4"/>
      <c r="V28" s="4"/>
    </row>
    <row r="29" spans="1:22" ht="15.75" thickBot="1">
      <c r="A29" s="29"/>
      <c r="B29" s="47">
        <f>D4+18</f>
        <v>43119</v>
      </c>
      <c r="C29" s="40"/>
      <c r="D29" s="116"/>
      <c r="E29" s="63">
        <f t="shared" si="1"/>
        <v>161.29032258064515</v>
      </c>
      <c r="F29" s="117" t="str">
        <f t="shared" si="3"/>
        <v/>
      </c>
      <c r="G29" s="64">
        <f t="shared" si="2"/>
        <v>0</v>
      </c>
      <c r="H29" s="50"/>
      <c r="I29" s="65">
        <f t="shared" si="4"/>
        <v>460</v>
      </c>
      <c r="J29" s="66">
        <f t="shared" si="5"/>
        <v>3064.516129032259</v>
      </c>
      <c r="K29" s="53">
        <f t="shared" si="6"/>
        <v>-2604.516129032259</v>
      </c>
      <c r="L29" s="35"/>
      <c r="M29" s="120"/>
      <c r="N29" s="121"/>
      <c r="O29" s="55">
        <f t="shared" si="7"/>
        <v>0</v>
      </c>
      <c r="P29" s="29"/>
      <c r="Q29" s="11"/>
      <c r="R29" s="34"/>
      <c r="S29" s="35"/>
      <c r="T29" s="4"/>
      <c r="U29" s="4"/>
      <c r="V29" s="4"/>
    </row>
    <row r="30" spans="1:22" ht="15.75" thickBot="1">
      <c r="A30" s="29"/>
      <c r="B30" s="56">
        <f>D4+19</f>
        <v>43120</v>
      </c>
      <c r="C30" s="40"/>
      <c r="D30" s="114"/>
      <c r="E30" s="70">
        <f t="shared" si="1"/>
        <v>161.29032258064515</v>
      </c>
      <c r="F30" s="115" t="str">
        <f t="shared" si="3"/>
        <v/>
      </c>
      <c r="G30" s="58">
        <f t="shared" si="2"/>
        <v>0</v>
      </c>
      <c r="H30" s="50"/>
      <c r="I30" s="59">
        <f t="shared" si="4"/>
        <v>460</v>
      </c>
      <c r="J30" s="60">
        <f t="shared" si="5"/>
        <v>3225.8064516129043</v>
      </c>
      <c r="K30" s="61">
        <f t="shared" si="6"/>
        <v>-2765.8064516129043</v>
      </c>
      <c r="L30" s="35"/>
      <c r="M30" s="122"/>
      <c r="N30" s="123"/>
      <c r="O30" s="55">
        <f t="shared" si="7"/>
        <v>0</v>
      </c>
      <c r="P30" s="29"/>
      <c r="Q30" s="11"/>
      <c r="R30" s="34"/>
      <c r="S30" s="35"/>
      <c r="T30" s="4"/>
      <c r="U30" s="4"/>
      <c r="V30" s="4"/>
    </row>
    <row r="31" spans="1:22" ht="15.75" thickBot="1">
      <c r="A31" s="29"/>
      <c r="B31" s="47">
        <f>D4+20</f>
        <v>43121</v>
      </c>
      <c r="C31" s="40"/>
      <c r="D31" s="116"/>
      <c r="E31" s="69">
        <f t="shared" si="1"/>
        <v>161.29032258064515</v>
      </c>
      <c r="F31" s="117" t="str">
        <f t="shared" si="3"/>
        <v/>
      </c>
      <c r="G31" s="64">
        <f t="shared" si="2"/>
        <v>0</v>
      </c>
      <c r="H31" s="50"/>
      <c r="I31" s="65">
        <f t="shared" si="4"/>
        <v>460</v>
      </c>
      <c r="J31" s="66">
        <f t="shared" si="5"/>
        <v>3387.0967741935497</v>
      </c>
      <c r="K31" s="53">
        <f t="shared" si="6"/>
        <v>-2927.0967741935497</v>
      </c>
      <c r="L31" s="35"/>
      <c r="M31" s="120"/>
      <c r="N31" s="121"/>
      <c r="O31" s="55">
        <f t="shared" si="7"/>
        <v>0</v>
      </c>
      <c r="P31" s="29"/>
      <c r="Q31" s="11"/>
      <c r="R31" s="34"/>
      <c r="S31" s="35"/>
      <c r="T31" s="4"/>
      <c r="U31" s="4"/>
      <c r="V31" s="4"/>
    </row>
    <row r="32" spans="1:22" ht="15.75" thickBot="1">
      <c r="A32" s="29"/>
      <c r="B32" s="56">
        <f>D4+21</f>
        <v>43122</v>
      </c>
      <c r="C32" s="40"/>
      <c r="D32" s="114"/>
      <c r="E32" s="68">
        <f t="shared" si="1"/>
        <v>161.29032258064515</v>
      </c>
      <c r="F32" s="115" t="str">
        <f t="shared" si="3"/>
        <v/>
      </c>
      <c r="G32" s="79">
        <f t="shared" si="2"/>
        <v>0</v>
      </c>
      <c r="H32" s="50"/>
      <c r="I32" s="59">
        <f t="shared" si="4"/>
        <v>460</v>
      </c>
      <c r="J32" s="60">
        <f t="shared" si="5"/>
        <v>3548.387096774195</v>
      </c>
      <c r="K32" s="61">
        <f t="shared" si="6"/>
        <v>-3088.387096774195</v>
      </c>
      <c r="L32" s="35"/>
      <c r="M32" s="122"/>
      <c r="N32" s="123"/>
      <c r="O32" s="55">
        <f t="shared" si="7"/>
        <v>0</v>
      </c>
      <c r="P32" s="29"/>
      <c r="Q32" s="76"/>
      <c r="R32" s="34"/>
      <c r="S32" s="35"/>
      <c r="T32" s="4"/>
      <c r="U32" s="4"/>
      <c r="V32" s="4"/>
    </row>
    <row r="33" spans="1:22" ht="15.75" thickBot="1">
      <c r="A33" s="29"/>
      <c r="B33" s="47">
        <f>D4+22</f>
        <v>43123</v>
      </c>
      <c r="C33" s="40"/>
      <c r="D33" s="116"/>
      <c r="E33" s="69">
        <f t="shared" si="1"/>
        <v>161.29032258064515</v>
      </c>
      <c r="F33" s="117" t="str">
        <f t="shared" si="3"/>
        <v/>
      </c>
      <c r="G33" s="72">
        <f t="shared" si="2"/>
        <v>0</v>
      </c>
      <c r="H33" s="50"/>
      <c r="I33" s="65">
        <f t="shared" si="4"/>
        <v>460</v>
      </c>
      <c r="J33" s="66">
        <f t="shared" si="5"/>
        <v>3709.6774193548404</v>
      </c>
      <c r="K33" s="53">
        <f t="shared" si="6"/>
        <v>-3249.6774193548404</v>
      </c>
      <c r="L33" s="35"/>
      <c r="M33" s="120"/>
      <c r="N33" s="121"/>
      <c r="O33" s="55">
        <f t="shared" si="7"/>
        <v>0</v>
      </c>
      <c r="P33" s="29"/>
      <c r="Q33" s="11"/>
      <c r="R33" s="34"/>
      <c r="S33" s="35"/>
      <c r="T33" s="4"/>
      <c r="U33" s="4"/>
      <c r="V33" s="4"/>
    </row>
    <row r="34" spans="1:22" ht="15.75" thickBot="1">
      <c r="A34" s="29"/>
      <c r="B34" s="56">
        <f>D4+23</f>
        <v>43124</v>
      </c>
      <c r="C34" s="40"/>
      <c r="D34" s="114"/>
      <c r="E34" s="68">
        <f t="shared" si="1"/>
        <v>161.29032258064515</v>
      </c>
      <c r="F34" s="115" t="str">
        <f t="shared" si="3"/>
        <v/>
      </c>
      <c r="G34" s="58">
        <f t="shared" si="2"/>
        <v>0</v>
      </c>
      <c r="H34" s="50"/>
      <c r="I34" s="59">
        <f t="shared" si="4"/>
        <v>460</v>
      </c>
      <c r="J34" s="60">
        <f t="shared" si="5"/>
        <v>3870.9677419354857</v>
      </c>
      <c r="K34" s="61">
        <f t="shared" si="6"/>
        <v>-3410.9677419354857</v>
      </c>
      <c r="L34" s="35"/>
      <c r="M34" s="122"/>
      <c r="N34" s="123"/>
      <c r="O34" s="55">
        <f>IFERROR((N34/M34),0)</f>
        <v>0</v>
      </c>
      <c r="P34" s="29"/>
      <c r="Q34" s="11"/>
      <c r="R34" s="34"/>
      <c r="S34" s="35"/>
      <c r="T34" s="4"/>
      <c r="U34" s="4"/>
      <c r="V34" s="4"/>
    </row>
    <row r="35" spans="1:22" ht="15.75" thickBot="1">
      <c r="A35" s="29"/>
      <c r="B35" s="47">
        <f>D4+24</f>
        <v>43125</v>
      </c>
      <c r="C35" s="40"/>
      <c r="D35" s="116"/>
      <c r="E35" s="48">
        <f t="shared" si="1"/>
        <v>161.29032258064515</v>
      </c>
      <c r="F35" s="117" t="str">
        <f t="shared" si="3"/>
        <v/>
      </c>
      <c r="G35" s="64">
        <f t="shared" si="2"/>
        <v>0</v>
      </c>
      <c r="H35" s="50"/>
      <c r="I35" s="65">
        <f t="shared" si="4"/>
        <v>460</v>
      </c>
      <c r="J35" s="66">
        <f t="shared" si="5"/>
        <v>4032.2580645161311</v>
      </c>
      <c r="K35" s="53">
        <f t="shared" si="6"/>
        <v>-3572.2580645161311</v>
      </c>
      <c r="L35" s="35"/>
      <c r="M35" s="120"/>
      <c r="N35" s="121"/>
      <c r="O35" s="55">
        <f t="shared" si="7"/>
        <v>0</v>
      </c>
      <c r="P35" s="29"/>
      <c r="Q35" s="11"/>
      <c r="R35" s="34"/>
      <c r="S35" s="35"/>
      <c r="T35" s="4"/>
      <c r="U35" s="4"/>
      <c r="V35" s="4"/>
    </row>
    <row r="36" spans="1:22" ht="15.75" thickBot="1">
      <c r="A36" s="29"/>
      <c r="B36" s="56">
        <f>D4+25</f>
        <v>43126</v>
      </c>
      <c r="C36" s="40"/>
      <c r="D36" s="114"/>
      <c r="E36" s="70">
        <f t="shared" si="1"/>
        <v>161.29032258064515</v>
      </c>
      <c r="F36" s="115" t="str">
        <f t="shared" si="3"/>
        <v/>
      </c>
      <c r="G36" s="58">
        <f t="shared" si="2"/>
        <v>0</v>
      </c>
      <c r="H36" s="50"/>
      <c r="I36" s="59">
        <f t="shared" si="4"/>
        <v>460</v>
      </c>
      <c r="J36" s="60">
        <f t="shared" si="5"/>
        <v>4193.5483870967764</v>
      </c>
      <c r="K36" s="61">
        <f t="shared" si="6"/>
        <v>-3733.5483870967764</v>
      </c>
      <c r="L36" s="35"/>
      <c r="M36" s="122"/>
      <c r="N36" s="123"/>
      <c r="O36" s="55">
        <f t="shared" si="7"/>
        <v>0</v>
      </c>
      <c r="P36" s="29"/>
      <c r="Q36" s="11"/>
      <c r="R36" s="34"/>
      <c r="S36" s="35"/>
      <c r="T36" s="4"/>
      <c r="U36" s="4"/>
      <c r="V36" s="4"/>
    </row>
    <row r="37" spans="1:22" ht="15.75" thickBot="1">
      <c r="A37" s="29"/>
      <c r="B37" s="47">
        <f>D4+26</f>
        <v>43127</v>
      </c>
      <c r="C37" s="40"/>
      <c r="D37" s="116"/>
      <c r="E37" s="63">
        <f t="shared" si="1"/>
        <v>161.29032258064515</v>
      </c>
      <c r="F37" s="117" t="str">
        <f t="shared" si="3"/>
        <v/>
      </c>
      <c r="G37" s="64">
        <f t="shared" si="2"/>
        <v>0</v>
      </c>
      <c r="H37" s="50"/>
      <c r="I37" s="65">
        <f t="shared" si="4"/>
        <v>460</v>
      </c>
      <c r="J37" s="66">
        <f t="shared" si="5"/>
        <v>4354.8387096774213</v>
      </c>
      <c r="K37" s="53">
        <f t="shared" si="6"/>
        <v>-3894.8387096774213</v>
      </c>
      <c r="L37" s="35"/>
      <c r="M37" s="120"/>
      <c r="N37" s="121"/>
      <c r="O37" s="55">
        <f t="shared" si="7"/>
        <v>0</v>
      </c>
      <c r="P37" s="29"/>
      <c r="Q37" s="11"/>
      <c r="R37" s="34"/>
      <c r="S37" s="35"/>
      <c r="T37" s="4"/>
      <c r="U37" s="4"/>
      <c r="V37" s="4"/>
    </row>
    <row r="38" spans="1:22" ht="15.75" thickBot="1">
      <c r="A38" s="29"/>
      <c r="B38" s="56">
        <f>D4+27</f>
        <v>43128</v>
      </c>
      <c r="C38" s="40"/>
      <c r="D38" s="114"/>
      <c r="E38" s="68">
        <f t="shared" si="1"/>
        <v>161.29032258064515</v>
      </c>
      <c r="F38" s="115" t="str">
        <f t="shared" si="3"/>
        <v/>
      </c>
      <c r="G38" s="58">
        <f t="shared" si="2"/>
        <v>0</v>
      </c>
      <c r="H38" s="50"/>
      <c r="I38" s="59">
        <f t="shared" si="4"/>
        <v>460</v>
      </c>
      <c r="J38" s="60">
        <f t="shared" si="5"/>
        <v>4516.1290322580662</v>
      </c>
      <c r="K38" s="61">
        <f t="shared" si="6"/>
        <v>-4056.1290322580662</v>
      </c>
      <c r="L38" s="35"/>
      <c r="M38" s="122"/>
      <c r="N38" s="123"/>
      <c r="O38" s="55">
        <f t="shared" si="7"/>
        <v>0</v>
      </c>
      <c r="P38" s="29"/>
      <c r="Q38" s="11"/>
      <c r="R38" s="34"/>
      <c r="S38" s="35"/>
      <c r="T38" s="4"/>
      <c r="U38" s="4"/>
      <c r="V38" s="4"/>
    </row>
    <row r="39" spans="1:22" ht="15.75" thickBot="1">
      <c r="A39" s="29"/>
      <c r="B39" s="47">
        <f>IF((DAY(D4+28) &gt; 10),D4+28,"")</f>
        <v>43129</v>
      </c>
      <c r="C39" s="40"/>
      <c r="D39" s="116"/>
      <c r="E39" s="69">
        <f>IF((DAY(D4+28) &gt; 10),D$7/(COUNT(B$11:B$41)),"")</f>
        <v>161.29032258064515</v>
      </c>
      <c r="F39" s="117" t="str">
        <f t="shared" si="3"/>
        <v/>
      </c>
      <c r="G39" s="64">
        <f t="shared" si="2"/>
        <v>0</v>
      </c>
      <c r="H39" s="50"/>
      <c r="I39" s="65">
        <f>IF((DAY(D4+28) &gt; 10),D39+I38,"")</f>
        <v>460</v>
      </c>
      <c r="J39" s="66">
        <f>IF((DAY(D4+28) &gt; 10),E39+J38,"")</f>
        <v>4677.4193548387111</v>
      </c>
      <c r="K39" s="53">
        <f t="shared" si="6"/>
        <v>-4217.4193548387111</v>
      </c>
      <c r="L39" s="35"/>
      <c r="M39" s="120"/>
      <c r="N39" s="121"/>
      <c r="O39" s="55">
        <f t="shared" si="7"/>
        <v>0</v>
      </c>
      <c r="P39" s="29"/>
      <c r="Q39" s="11"/>
      <c r="R39" s="34"/>
      <c r="S39" s="35"/>
      <c r="T39" s="4"/>
      <c r="U39" s="4"/>
      <c r="V39" s="4"/>
    </row>
    <row r="40" spans="1:22" ht="15.75" thickBot="1">
      <c r="A40" s="29"/>
      <c r="B40" s="56">
        <f>IF((DAY(D4+29) &gt; 10),D4+29,"")</f>
        <v>43130</v>
      </c>
      <c r="C40" s="40"/>
      <c r="D40" s="114"/>
      <c r="E40" s="78">
        <f>IF((DAY(D4+29) &gt; 10),D$7/(COUNT(B$11:B$41)),"")</f>
        <v>161.29032258064515</v>
      </c>
      <c r="F40" s="118" t="str">
        <f t="shared" si="3"/>
        <v/>
      </c>
      <c r="G40" s="58">
        <f t="shared" si="2"/>
        <v>0</v>
      </c>
      <c r="H40" s="50"/>
      <c r="I40" s="59">
        <f>IF((DAY(D4+29) &gt; 10),D40+I39,"")</f>
        <v>460</v>
      </c>
      <c r="J40" s="60">
        <f>IF((DAY(D4+29) &gt; 10),E40+J39,"")</f>
        <v>4838.709677419356</v>
      </c>
      <c r="K40" s="61">
        <f t="shared" si="6"/>
        <v>-4378.709677419356</v>
      </c>
      <c r="L40" s="35"/>
      <c r="M40" s="122"/>
      <c r="N40" s="123"/>
      <c r="O40" s="55">
        <f t="shared" si="7"/>
        <v>0</v>
      </c>
      <c r="P40" s="29"/>
      <c r="Q40" s="11"/>
      <c r="R40" s="34"/>
      <c r="S40" s="35"/>
      <c r="T40" s="4"/>
      <c r="U40" s="4"/>
      <c r="V40" s="4"/>
    </row>
    <row r="41" spans="1:22" ht="15.75" thickBot="1">
      <c r="A41" s="29"/>
      <c r="B41" s="47">
        <f>IF((DAY(D4+30) &gt; 10),D4+30,"")</f>
        <v>43131</v>
      </c>
      <c r="C41" s="40"/>
      <c r="D41" s="116"/>
      <c r="E41" s="80">
        <f>IF((DAY(D4+30) &gt; 10),D$7/(COUNT(B$11:B$41)),"")</f>
        <v>161.29032258064515</v>
      </c>
      <c r="F41" s="119" t="str">
        <f t="shared" si="3"/>
        <v/>
      </c>
      <c r="G41" s="81">
        <f t="shared" si="2"/>
        <v>0</v>
      </c>
      <c r="H41" s="50"/>
      <c r="I41" s="65">
        <f>IF((DAY(D4+30) &gt; 10),D41+I40,"")</f>
        <v>460</v>
      </c>
      <c r="J41" s="66">
        <f>IF((DAY(D4+30) &gt; 10),E41+J40,"")</f>
        <v>5000.0000000000009</v>
      </c>
      <c r="K41" s="53">
        <f t="shared" si="6"/>
        <v>-4540.0000000000009</v>
      </c>
      <c r="L41" s="35"/>
      <c r="M41" s="124"/>
      <c r="N41" s="125"/>
      <c r="O41" s="55">
        <f t="shared" si="7"/>
        <v>0</v>
      </c>
      <c r="P41" s="29"/>
      <c r="Q41" s="11"/>
      <c r="R41" s="34"/>
      <c r="S41" s="35"/>
      <c r="T41" s="4"/>
      <c r="U41" s="4"/>
      <c r="V41" s="4"/>
    </row>
    <row r="42" spans="1:22" ht="21" thickBot="1">
      <c r="A42" s="29"/>
      <c r="B42" s="82" t="s">
        <v>4</v>
      </c>
      <c r="C42" s="83"/>
      <c r="D42" s="84">
        <f>SUM(D11:D41)</f>
        <v>460</v>
      </c>
      <c r="E42" s="85">
        <f>SUM(E11:E41)</f>
        <v>5000.0000000000009</v>
      </c>
      <c r="F42" s="86"/>
      <c r="G42" s="87" t="str">
        <f>IF(D42&gt;E42,SUM(G11:G41),G46)</f>
        <v>Não atingiu a meta.</v>
      </c>
      <c r="H42" s="88"/>
      <c r="I42" s="89"/>
      <c r="J42" s="89"/>
      <c r="K42" s="89"/>
      <c r="L42" s="90"/>
      <c r="M42" s="91">
        <f>SUM(M11:M41)</f>
        <v>36</v>
      </c>
      <c r="N42" s="92">
        <f>SUM(N11:N41)</f>
        <v>29</v>
      </c>
      <c r="O42" s="24"/>
      <c r="P42" s="4"/>
      <c r="Q42" s="4"/>
      <c r="R42" s="93"/>
      <c r="S42" s="94"/>
      <c r="T42" s="34"/>
      <c r="U42" s="34"/>
      <c r="V42" s="35"/>
    </row>
    <row r="43" spans="1:22">
      <c r="A43" s="28"/>
      <c r="B43" s="95"/>
      <c r="C43" s="96"/>
      <c r="D43" s="74"/>
      <c r="E43" s="97"/>
      <c r="F43" s="24"/>
      <c r="G43" s="9"/>
      <c r="H43" s="10"/>
      <c r="I43" s="10"/>
      <c r="J43" s="74"/>
      <c r="K43" s="74"/>
      <c r="L43" s="74"/>
      <c r="M43" s="74"/>
      <c r="N43" s="74"/>
      <c r="O43" s="10"/>
      <c r="P43" s="98"/>
      <c r="Q43" s="10"/>
      <c r="R43" s="10"/>
      <c r="S43" s="34"/>
      <c r="T43" s="34"/>
      <c r="U43" s="34"/>
      <c r="V43" s="35"/>
    </row>
    <row r="44" spans="1:22" hidden="1">
      <c r="A44" s="28"/>
      <c r="B44" s="99"/>
      <c r="C44" s="11"/>
      <c r="D44" s="11"/>
      <c r="E44" s="100"/>
      <c r="F44" s="10"/>
      <c r="G44" s="21"/>
      <c r="H44" s="34"/>
      <c r="I44" s="34"/>
      <c r="J44" s="11"/>
      <c r="K44" s="11"/>
      <c r="L44" s="11"/>
      <c r="M44" s="11"/>
      <c r="N44" s="11"/>
      <c r="O44" s="34"/>
      <c r="P44" s="34"/>
      <c r="Q44" s="34"/>
      <c r="R44" s="34"/>
      <c r="S44" s="34"/>
      <c r="T44" s="34"/>
      <c r="U44" s="34"/>
      <c r="V44" s="35"/>
    </row>
    <row r="45" spans="1:22" hidden="1">
      <c r="A45" s="28"/>
      <c r="B45" s="99"/>
      <c r="C45" s="11"/>
      <c r="D45" s="11"/>
      <c r="E45" s="34"/>
      <c r="F45" s="100"/>
      <c r="G45" s="10"/>
      <c r="H45" s="34"/>
      <c r="I45" s="34"/>
      <c r="J45" s="34"/>
      <c r="K45" s="34"/>
      <c r="L45" s="34"/>
      <c r="M45" s="34"/>
      <c r="N45" s="11"/>
      <c r="O45" s="34"/>
      <c r="P45" s="34"/>
      <c r="Q45" s="34"/>
      <c r="R45" s="11"/>
      <c r="S45" s="11"/>
      <c r="T45" s="11"/>
      <c r="U45" s="11"/>
      <c r="V45" s="29"/>
    </row>
    <row r="46" spans="1:22" hidden="1">
      <c r="A46" s="33"/>
      <c r="B46" s="101"/>
      <c r="C46" s="21"/>
      <c r="D46" s="21"/>
      <c r="E46" s="21"/>
      <c r="F46" s="21"/>
      <c r="G46" s="102" t="s">
        <v>18</v>
      </c>
      <c r="H46" s="21"/>
      <c r="I46" s="4"/>
      <c r="J46" s="4"/>
      <c r="K46" s="4"/>
      <c r="L46" s="4"/>
      <c r="M46" s="21"/>
      <c r="N46" s="21"/>
      <c r="O46" s="21"/>
      <c r="P46" s="21"/>
      <c r="Q46" s="21"/>
      <c r="R46" s="21"/>
      <c r="S46" s="21"/>
      <c r="T46" s="21"/>
      <c r="U46" s="21"/>
      <c r="V46" s="45"/>
    </row>
    <row r="47" spans="1:22" hidden="1">
      <c r="A47" s="45"/>
      <c r="B47" s="10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idden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idden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idden="1">
      <c r="A50" s="4"/>
      <c r="B50" s="4"/>
      <c r="C50" s="4"/>
      <c r="D50" s="4"/>
      <c r="E50" s="4"/>
      <c r="F50" s="4"/>
      <c r="G50" s="4"/>
      <c r="H50" s="3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idden="1">
      <c r="A51" s="4"/>
      <c r="B51" s="4"/>
      <c r="C51" s="4"/>
      <c r="D51" s="4"/>
      <c r="E51" s="4"/>
      <c r="F51" s="4"/>
      <c r="G51" s="4"/>
      <c r="H51" s="4"/>
      <c r="I51" s="148"/>
      <c r="J51" s="14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idden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idden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idden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2" hidden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2" hidden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2" hidden="1">
      <c r="B57" s="4"/>
      <c r="C57" s="4"/>
      <c r="D57" s="4"/>
      <c r="E57" s="4"/>
      <c r="F57" s="4"/>
      <c r="G57" s="4"/>
      <c r="H57" s="4"/>
      <c r="I57" s="4"/>
      <c r="J57" s="148"/>
      <c r="K57" s="148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2" hidden="1">
      <c r="B58" s="4"/>
      <c r="C58" s="4"/>
      <c r="D58" s="4"/>
      <c r="E58" s="4"/>
      <c r="F58" s="4"/>
      <c r="G58" s="4"/>
      <c r="H58" s="4"/>
      <c r="I58" s="4"/>
      <c r="J58" s="148"/>
      <c r="K58" s="148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2" hidden="1">
      <c r="B59" s="4"/>
      <c r="C59" s="4"/>
      <c r="D59" s="4"/>
      <c r="E59" s="4"/>
      <c r="F59" s="4"/>
      <c r="G59" s="4"/>
      <c r="H59" s="4"/>
      <c r="I59" s="4"/>
      <c r="J59" s="3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2" hidden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2" hidden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2" hidden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2" hidden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2" hidden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2:21" hidden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2:21" hidden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2:21" hidden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2:21" hidden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2:21" hidden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2:21" hidden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2:21" hidden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2:21" hidden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2:21" hidden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2:21" hidden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2:21" hidden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2:21" hidden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2:21" hidden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2:21" hidden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2:21" hidden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2:21" hidden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2:21" hidden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2:21" hidden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2:21" hidden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2:21" hidden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2:21" hidden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2:21" hidden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2:21" hidden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2:21" hidden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2:21" hidden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2:21" hidden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2:21" hidden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2:21" hidden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2:21" hidden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2:21" hidden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2:21" hidden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2:21" hidden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2:21" hidden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2:21" hidden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2:21" hidden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2:21" hidden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2:21" hidden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2:21" hidden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2:21" hidden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2:21" hidden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2:21" hidden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2:21" hidden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2:21" hidden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2:21" hidden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2:21" hidden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2:21" hidden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2:21" hidden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2:21" hidden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2:21" hidden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2:21" hidden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2:21" hidden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2:21" hidden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2:21" hidden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2:21" hidden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2:21" hidden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2:21" hidden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2:21" hidden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2:21" hidden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2:21" hidden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2:21" hidden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2:21" hidden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2:21" hidden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2:21" hidden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2:21" hidden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2:21" hidden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2:21" hidden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2:21" hidden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2:21" hidden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2:21" hidden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2:21" hidden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2:21" hidden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2:21" hidden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2:21" hidden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2:21" hidden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2:21" hidden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2:21" hidden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2:21" hidden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2:21" hidden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2:21" hidden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2:21" hidden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2:21" hidden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2:21" hidden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2:21" hidden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2:21" hidden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2:21" hidden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2:21" hidden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2:21" hidden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2:21" hidden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2:21" hidden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2:21" hidden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2:21" hidden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2:21" hidden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2:21" hidden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2:21" hidden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2:21" hidden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2:21" hidden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2:21" hidden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2:21" hidden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2:21" hidden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2:21" hidden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2:21" hidden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2:21" hidden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2:21" hidden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2:21" hidden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2:21" hidden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2:21" hidden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2:21" hidden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2:21" hidden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2:21" hidden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2:21" hidden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2:21" hidden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2:21" hidden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2:21" hidden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2:21" hidden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2:21" hidden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2:21" hidden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2:21" hidden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2:21" hidden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2:21" hidden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2:21" hidden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2:21" hidden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2:21" hidden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2:21" hidden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2:21" hidden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2:21" hidden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2:21" hidden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2:21" hidden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2:21" hidden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2:21" hidden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2:21" hidden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2:21" hidden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2:21" hidden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2:21" hidden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2:21" hidden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2:21" hidden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2:21" hidden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2:21" hidden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2:21" hidden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2:21" hidden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2:21" hidden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2:21" hidden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2:21" hidden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2:21" hidden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2:21" hidden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2:21" hidden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2:21" hidden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2:21" hidden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2:21" hidden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2:21" hidden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2:21" hidden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2:21" hidden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2:21" hidden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2:21" hidden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2:21" hidden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2:21" hidden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2:21" hidden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2:21" hidden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2:21" hidden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2:21" hidden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2:21" hidden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2:21" hidden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2:21" hidden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2:21" hidden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2:21" hidden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2:21" hidden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2:21" hidden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2:21" hidden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2:21" hidden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2:21" hidden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2:21" hidden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2:21" hidden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2:21" hidden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2:21" hidden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2:21" hidden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2:21" hidden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2:21" hidden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2:21" hidden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2:21" hidden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2:21" hidden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2:21" hidden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2:21" hidden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2:21" hidden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2:21" hidden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2:21" hidden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2:21" hidden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2:21" hidden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2:21" hidden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2:21" hidden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2:21" hidden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2:21" hidden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2:21" hidden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2:21" hidden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2:21" hidden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2:21" hidden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2:21" hidden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2:21" hidden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2:21" hidden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2:21" hidden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2:21" hidden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2:21" hidden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2:21" hidden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2:21" hidden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2:21" hidden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2:21" hidden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2:21" hidden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2:21" hidden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2:21" hidden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2:21" hidden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2:21" hidden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2:21" hidden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2:21" hidden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2:21" hidden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2:21" hidden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2:21" hidden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2:21" hidden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2:21" hidden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2:21" hidden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2:21" hidden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2:21" hidden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2:21" hidden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2:21" hidden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2:21" hidden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2:21" hidden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2:21" hidden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2:21" hidden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2:21" hidden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2:21" hidden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2:21" hidden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2:21" hidden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2:21" hidden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2:21" hidden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2:21" hidden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2:21" hidden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2:21" hidden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2:21" hidden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2:21" hidden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2:21" hidden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2:21" hidden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2:21" hidden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2:21" hidden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2:21" hidden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2:21" hidden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2:21" hidden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2:21" hidden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2:21" hidden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2:21" hidden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2:21" hidden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2:21" hidden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2:21" hidden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2:21" hidden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2:21" hidden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2:21" hidden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2:21" hidden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2:21" hidden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2:21" hidden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2:21" hidden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2:21" hidden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2:21" hidden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2:21" hidden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2:21" hidden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2:21" hidden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2:21" hidden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2:21" hidden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2:21" hidden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2:21" hidden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2:21" hidden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2:21" hidden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2:21" hidden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2:21" hidden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2:21" hidden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2:21" hidden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2:21" hidden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2:21" hidden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2:21" hidden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2:21" hidden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2:21" hidden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2:21" hidden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2:21" hidden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2:21" hidden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2:21" hidden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2:21" hidden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2:21" hidden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2:21" hidden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2:21" hidden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2:21" hidden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2:21" hidden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2:21" hidden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2:21" hidden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2:21" hidden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2:21" hidden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2:21" hidden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2:21" hidden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2:21" hidden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2:21" hidden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2:21" hidden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2:21" hidden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2:21" hidden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2:21" hidden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2:21" hidden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2:21" hidden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2:21" hidden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2:21" hidden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2:21" hidden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2:21" hidden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2:21" hidden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2:21" hidden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2:21" hidden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2:21" hidden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2:21" hidden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2:21" hidden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2:21" hidden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2:21" hidden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2:21" hidden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2:21" hidden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2:21" hidden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2:21" hidden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2:21" hidden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2:21" hidden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2:21" hidden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2:21" hidden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2:21" hidden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2:21" hidden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2:21" hidden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2:21" hidden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2:21" hidden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2:21" hidden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2:21" hidden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2:21" hidden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2:21" hidden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2:21" hidden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2:21" hidden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2:21" hidden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2:21" hidden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2:21" hidden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2:21" hidden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2:21" hidden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2:21" hidden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2:21" hidden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2:21" hidden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2:21" hidden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2:21" hidden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2:21" hidden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2:21" hidden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2:21" hidden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2:21" hidden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2:21" hidden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2:21" hidden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2:21" hidden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2:21" hidden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2:21" hidden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2:21" hidden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2:21" hidden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2:21" hidden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2:21" hidden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2:21" hidden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2:21" hidden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2:21" hidden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2:21" hidden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2:21" hidden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2:21" hidden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2:21" hidden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2:21" hidden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2:21" hidden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2:21" hidden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2:21" hidden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2:21" hidden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2:21" hidden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2:21" hidden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2:21" hidden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2:21" hidden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2:21" hidden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2:21" hidden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2:21" hidden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2:21" hidden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2:21" hidden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2:21" hidden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2:21" hidden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2:21" hidden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2:21" hidden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2:21" hidden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2:21" hidden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2:21" hidden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2:21" hidden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2:21" hidden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</sheetData>
  <sheetProtection password="CB9A" sheet="1" objects="1" scenarios="1" formatColumns="0" formatRows="0"/>
  <mergeCells count="13">
    <mergeCell ref="M9:M10"/>
    <mergeCell ref="N9:N10"/>
    <mergeCell ref="O9:O10"/>
    <mergeCell ref="I9:K9"/>
    <mergeCell ref="D9:G9"/>
    <mergeCell ref="D4:E4"/>
    <mergeCell ref="B2:E2"/>
    <mergeCell ref="J58:K58"/>
    <mergeCell ref="J57:K57"/>
    <mergeCell ref="I51:J51"/>
    <mergeCell ref="D7:E7"/>
    <mergeCell ref="D6:E6"/>
    <mergeCell ref="B9:B10"/>
  </mergeCells>
  <conditionalFormatting sqref="O11:O41">
    <cfRule type="cellIs" dxfId="4" priority="5" operator="equal">
      <formula>$Q$10</formula>
    </cfRule>
    <cfRule type="cellIs" dxfId="3" priority="6" operator="lessThan">
      <formula>$Q$10</formula>
    </cfRule>
    <cfRule type="cellIs" dxfId="2" priority="7" operator="greaterThan">
      <formula>$Q$10</formula>
    </cfRule>
  </conditionalFormatting>
  <conditionalFormatting sqref="Q13">
    <cfRule type="cellIs" dxfId="1" priority="3" operator="lessThan">
      <formula>$Q$10</formula>
    </cfRule>
    <cfRule type="cellIs" dxfId="0" priority="4" operator="greaterThanOrEqual">
      <formula>$Q$10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"/>
  <sheetViews>
    <sheetView zoomScale="80" zoomScaleNormal="80" workbookViewId="0" xr3:uid="{842E5F09-E766-5B8D-85AF-A39847EA96FD}">
      <selection activeCell="A33" sqref="A33:XFD1048576"/>
    </sheetView>
  </sheetViews>
  <sheetFormatPr defaultColWidth="0" defaultRowHeight="15" zeroHeight="1"/>
  <cols>
    <col min="1" max="1" width="3.2265625" style="1" customWidth="1"/>
    <col min="2" max="16" width="9.14453125" style="1" customWidth="1"/>
    <col min="17" max="17" width="6.859375" style="1" customWidth="1"/>
    <col min="18" max="18" width="3.2265625" style="1" customWidth="1"/>
    <col min="19" max="16384" width="9.14453125" style="1" hidden="1"/>
  </cols>
  <sheetData>
    <row r="1" spans="1:4"/>
    <row r="2" spans="1:4"/>
    <row r="3" spans="1:4"/>
    <row r="4" spans="1:4"/>
    <row r="5" spans="1:4"/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3">
        <f>Principal!D42</f>
        <v>460</v>
      </c>
      <c r="C18" s="2"/>
      <c r="D18" s="2"/>
    </row>
    <row r="19" spans="1:4">
      <c r="A19" s="2" t="s">
        <v>14</v>
      </c>
      <c r="B19" s="3">
        <f>Principal!E42</f>
        <v>5000.0000000000009</v>
      </c>
      <c r="C19" s="2"/>
      <c r="D19" s="2"/>
    </row>
    <row r="20" spans="1:4">
      <c r="A20" s="2" t="s">
        <v>8</v>
      </c>
      <c r="B20" s="3" t="e">
        <f>Principal!#REF!</f>
        <v>#REF!</v>
      </c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/>
    <row r="26" spans="1:4"/>
    <row r="27" spans="1:4"/>
    <row r="28" spans="1:4"/>
    <row r="29" spans="1:4"/>
    <row r="30" spans="1:4"/>
    <row r="31" spans="1:4"/>
    <row r="32" spans="1:4"/>
  </sheetData>
  <sheetProtection password="CB9A" sheet="1" objects="1" scenarios="1" formatColumns="0" formatRow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Introdução</vt:lpstr>
      <vt:lpstr>Principal</vt:lpstr>
      <vt:lpstr>Gráficos</vt:lpstr>
    </vt:vector>
  </TitlesOfParts>
  <Company>Sony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Soften Sistemas</dc:creator>
  <cp:lastModifiedBy>ALEX</cp:lastModifiedBy>
  <dcterms:created xsi:type="dcterms:W3CDTF">2012-10-08T01:54:34Z</dcterms:created>
  <dcterms:modified xsi:type="dcterms:W3CDTF">2018-04-19T14:33:14Z</dcterms:modified>
</cp:coreProperties>
</file>