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4\Desktop\"/>
    </mc:Choice>
  </mc:AlternateContent>
  <bookViews>
    <workbookView xWindow="0" yWindow="0" windowWidth="20490" windowHeight="790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D10" i="1"/>
  <c r="D14" i="1" s="1"/>
  <c r="D5" i="1"/>
  <c r="D13" i="1" s="1"/>
  <c r="D23" i="1"/>
  <c r="H4" i="1" l="1"/>
  <c r="D15" i="1"/>
  <c r="H3" i="1" s="1"/>
  <c r="H5" i="1" l="1"/>
  <c r="H6" i="1" s="1"/>
  <c r="H8" i="1" s="1"/>
  <c r="H14" i="1" l="1"/>
  <c r="H12" i="1"/>
  <c r="H15" i="1"/>
  <c r="H13" i="1"/>
  <c r="H17" i="1" l="1"/>
</calcChain>
</file>

<file path=xl/sharedStrings.xml><?xml version="1.0" encoding="utf-8"?>
<sst xmlns="http://schemas.openxmlformats.org/spreadsheetml/2006/main" count="30" uniqueCount="24">
  <si>
    <t>Despesas Fixas</t>
  </si>
  <si>
    <t>Custo da Matéria-Prima</t>
  </si>
  <si>
    <t>Despesa da Mão de obra Indireta</t>
  </si>
  <si>
    <t>Custo da Mão de obra Direta</t>
  </si>
  <si>
    <t>Total</t>
  </si>
  <si>
    <t>Comercialização</t>
  </si>
  <si>
    <t>Lucro</t>
  </si>
  <si>
    <t>Impostos</t>
  </si>
  <si>
    <t>Comissão</t>
  </si>
  <si>
    <t>Frete</t>
  </si>
  <si>
    <t>Outros</t>
  </si>
  <si>
    <t>Preço de Venda</t>
  </si>
  <si>
    <t>Custo Industrial</t>
  </si>
  <si>
    <t>Custo Variavel Unitário</t>
  </si>
  <si>
    <t>Despesa Fixa Unitário</t>
  </si>
  <si>
    <t>Despesas Variáveis</t>
  </si>
  <si>
    <t>Custo Variável Unitário</t>
  </si>
  <si>
    <t>Margem de Contribuição</t>
  </si>
  <si>
    <t>Faturamento</t>
  </si>
  <si>
    <t>Custo Variável</t>
  </si>
  <si>
    <t>Despesas Fixa</t>
  </si>
  <si>
    <t>Quant. de Unidades</t>
  </si>
  <si>
    <t>Mensal (Despesa Fixa)</t>
  </si>
  <si>
    <t>PONTO DE EQUILIBRIO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</si>
</sst>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R$ &quot;* #,##0.00_);_(&quot;R$ &quot;* \(#,##0.00\);_(&quot;R$ &quot;* &quot;-&quot;??_);_(@_)"/>
    <numFmt numFmtId="165" formatCode="&quot;R$ 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right" vertical="center"/>
    </xf>
    <xf numFmtId="165" fontId="0" fillId="0" borderId="6" xfId="1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165" fontId="0" fillId="0" borderId="7" xfId="1" applyNumberFormat="1" applyFont="1" applyBorder="1" applyAlignment="1">
      <alignment horizontal="left" vertical="center"/>
    </xf>
    <xf numFmtId="0" fontId="0" fillId="0" borderId="8" xfId="0" applyBorder="1"/>
    <xf numFmtId="0" fontId="0" fillId="0" borderId="7" xfId="0" applyBorder="1"/>
    <xf numFmtId="10" fontId="0" fillId="0" borderId="7" xfId="2" applyNumberFormat="1" applyFont="1" applyBorder="1" applyAlignment="1">
      <alignment horizontal="left" vertical="center"/>
    </xf>
    <xf numFmtId="10" fontId="0" fillId="0" borderId="6" xfId="2" applyNumberFormat="1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left" vertical="center"/>
    </xf>
    <xf numFmtId="165" fontId="0" fillId="0" borderId="0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0" fontId="0" fillId="0" borderId="0" xfId="2" applyNumberFormat="1" applyFont="1"/>
    <xf numFmtId="0" fontId="3" fillId="0" borderId="2" xfId="0" applyFont="1" applyBorder="1" applyAlignment="1">
      <alignment horizontal="right" vertical="center"/>
    </xf>
    <xf numFmtId="165" fontId="6" fillId="0" borderId="4" xfId="0" applyNumberFormat="1" applyFont="1" applyBorder="1"/>
    <xf numFmtId="0" fontId="3" fillId="0" borderId="5" xfId="0" applyFont="1" applyBorder="1" applyAlignment="1">
      <alignment horizontal="right" vertical="center"/>
    </xf>
    <xf numFmtId="165" fontId="0" fillId="0" borderId="7" xfId="0" applyNumberFormat="1" applyBorder="1"/>
    <xf numFmtId="0" fontId="3" fillId="2" borderId="8" xfId="0" applyFont="1" applyFill="1" applyBorder="1" applyAlignment="1">
      <alignment horizontal="right" vertical="center"/>
    </xf>
    <xf numFmtId="3" fontId="0" fillId="2" borderId="10" xfId="0" applyNumberFormat="1" applyFill="1" applyBorder="1"/>
    <xf numFmtId="165" fontId="0" fillId="0" borderId="4" xfId="0" applyNumberFormat="1" applyBorder="1"/>
    <xf numFmtId="165" fontId="0" fillId="0" borderId="10" xfId="0" applyNumberFormat="1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10" fontId="2" fillId="0" borderId="10" xfId="0" applyNumberFormat="1" applyFont="1" applyBorder="1" applyAlignment="1">
      <alignment horizontal="left" vertical="center"/>
    </xf>
    <xf numFmtId="165" fontId="2" fillId="0" borderId="10" xfId="0" applyNumberFormat="1" applyFon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165" fontId="2" fillId="0" borderId="9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165" fontId="0" fillId="0" borderId="12" xfId="1" applyNumberFormat="1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165" fontId="0" fillId="0" borderId="6" xfId="0" applyNumberFormat="1" applyBorder="1" applyAlignment="1">
      <alignment horizontal="left" vertical="center"/>
    </xf>
    <xf numFmtId="165" fontId="4" fillId="0" borderId="12" xfId="1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5"/>
  <sheetViews>
    <sheetView showGridLines="0" tabSelected="1" workbookViewId="0">
      <selection activeCell="E5" sqref="E5"/>
    </sheetView>
  </sheetViews>
  <sheetFormatPr defaultRowHeight="15" x14ac:dyDescent="0.25"/>
  <cols>
    <col min="1" max="1" width="15.42578125" bestFit="1" customWidth="1"/>
    <col min="2" max="2" width="7.140625" bestFit="1" customWidth="1"/>
    <col min="3" max="3" width="30.5703125" bestFit="1" customWidth="1"/>
    <col min="4" max="4" width="16.28515625" bestFit="1" customWidth="1"/>
    <col min="5" max="5" width="29.140625" bestFit="1" customWidth="1"/>
    <col min="6" max="6" width="9.5703125" customWidth="1"/>
    <col min="7" max="7" width="21.85546875" bestFit="1" customWidth="1"/>
    <col min="8" max="8" width="14.42578125" bestFit="1" customWidth="1"/>
  </cols>
  <sheetData>
    <row r="2" spans="2:8" x14ac:dyDescent="0.25">
      <c r="C2" s="1"/>
      <c r="D2" s="24" t="s">
        <v>16</v>
      </c>
    </row>
    <row r="3" spans="2:8" x14ac:dyDescent="0.25">
      <c r="C3" s="25" t="s">
        <v>1</v>
      </c>
      <c r="D3" s="7">
        <v>17.93</v>
      </c>
      <c r="G3" s="16" t="s">
        <v>11</v>
      </c>
      <c r="H3" s="17">
        <f>D15/(1-D23)</f>
        <v>59.917577495072557</v>
      </c>
    </row>
    <row r="4" spans="2:8" x14ac:dyDescent="0.25">
      <c r="C4" s="25" t="s">
        <v>3</v>
      </c>
      <c r="D4" s="5">
        <v>7.67</v>
      </c>
      <c r="G4" s="18" t="s">
        <v>16</v>
      </c>
      <c r="H4" s="19">
        <f>D5</f>
        <v>25.6</v>
      </c>
    </row>
    <row r="5" spans="2:8" x14ac:dyDescent="0.25">
      <c r="C5" s="26" t="s">
        <v>4</v>
      </c>
      <c r="D5" s="28">
        <f>SUM(D3:D4)</f>
        <v>25.6</v>
      </c>
      <c r="G5" s="18" t="s">
        <v>15</v>
      </c>
      <c r="H5" s="19">
        <f>H3-D15</f>
        <v>26.477577495072559</v>
      </c>
    </row>
    <row r="6" spans="2:8" x14ac:dyDescent="0.25">
      <c r="C6" s="4"/>
      <c r="D6" s="4"/>
      <c r="G6" s="18" t="s">
        <v>17</v>
      </c>
      <c r="H6" s="19">
        <f>H3-H4-H5</f>
        <v>7.8399999999999963</v>
      </c>
    </row>
    <row r="7" spans="2:8" x14ac:dyDescent="0.25">
      <c r="C7" s="29"/>
      <c r="D7" s="30" t="s">
        <v>14</v>
      </c>
      <c r="E7" s="32" t="s">
        <v>22</v>
      </c>
      <c r="G7" s="2"/>
      <c r="H7" s="9"/>
    </row>
    <row r="8" spans="2:8" x14ac:dyDescent="0.25">
      <c r="C8" s="25" t="s">
        <v>2</v>
      </c>
      <c r="D8" s="13">
        <v>4.07</v>
      </c>
      <c r="E8" s="34">
        <v>200000</v>
      </c>
      <c r="G8" s="20" t="s">
        <v>21</v>
      </c>
      <c r="H8" s="21">
        <f>E10/H6</f>
        <v>52933.673469387781</v>
      </c>
    </row>
    <row r="9" spans="2:8" x14ac:dyDescent="0.25">
      <c r="C9" s="25" t="s">
        <v>0</v>
      </c>
      <c r="D9" s="14">
        <v>3.77</v>
      </c>
      <c r="E9" s="39">
        <v>215000</v>
      </c>
    </row>
    <row r="10" spans="2:8" x14ac:dyDescent="0.25">
      <c r="B10" s="3"/>
      <c r="C10" s="26" t="s">
        <v>4</v>
      </c>
      <c r="D10" s="31">
        <f>SUM(D8:D9)</f>
        <v>7.84</v>
      </c>
      <c r="E10" s="35">
        <f>SUM(E8:E9)</f>
        <v>415000</v>
      </c>
    </row>
    <row r="11" spans="2:8" x14ac:dyDescent="0.25">
      <c r="B11" s="3"/>
      <c r="C11" s="6"/>
      <c r="D11" s="12"/>
    </row>
    <row r="12" spans="2:8" x14ac:dyDescent="0.25">
      <c r="B12" s="3"/>
      <c r="C12" s="33"/>
      <c r="D12" s="36" t="s">
        <v>12</v>
      </c>
      <c r="G12" s="16" t="s">
        <v>18</v>
      </c>
      <c r="H12" s="22">
        <f>H8*H3</f>
        <v>3171657.4822009085</v>
      </c>
    </row>
    <row r="13" spans="2:8" x14ac:dyDescent="0.25">
      <c r="B13" s="3"/>
      <c r="C13" s="18" t="s">
        <v>13</v>
      </c>
      <c r="D13" s="37">
        <f>D5</f>
        <v>25.6</v>
      </c>
      <c r="G13" s="18" t="s">
        <v>19</v>
      </c>
      <c r="H13" s="19">
        <f>H8*D5</f>
        <v>1355102.0408163273</v>
      </c>
    </row>
    <row r="14" spans="2:8" x14ac:dyDescent="0.25">
      <c r="B14" s="3"/>
      <c r="C14" s="18" t="s">
        <v>14</v>
      </c>
      <c r="D14" s="38">
        <f>D10</f>
        <v>7.84</v>
      </c>
      <c r="G14" s="18" t="s">
        <v>20</v>
      </c>
      <c r="H14" s="19">
        <f>H8*H6</f>
        <v>415000</v>
      </c>
    </row>
    <row r="15" spans="2:8" x14ac:dyDescent="0.25">
      <c r="B15" s="3"/>
      <c r="C15" s="26" t="s">
        <v>4</v>
      </c>
      <c r="D15" s="28">
        <f>SUM(D13:D14)</f>
        <v>33.44</v>
      </c>
      <c r="G15" s="18" t="s">
        <v>15</v>
      </c>
      <c r="H15" s="19">
        <f>H8*H5</f>
        <v>1401555.4413845814</v>
      </c>
    </row>
    <row r="16" spans="2:8" x14ac:dyDescent="0.25">
      <c r="B16" s="3"/>
      <c r="C16" s="3"/>
      <c r="D16" s="3"/>
      <c r="G16" s="18"/>
      <c r="H16" s="9"/>
    </row>
    <row r="17" spans="2:11" x14ac:dyDescent="0.25">
      <c r="B17" s="3"/>
      <c r="C17" s="1"/>
      <c r="D17" s="24" t="s">
        <v>5</v>
      </c>
      <c r="G17" s="8"/>
      <c r="H17" s="23">
        <f>SUM(H13:H15,-H12)</f>
        <v>0</v>
      </c>
      <c r="K17" s="15"/>
    </row>
    <row r="18" spans="2:11" x14ac:dyDescent="0.25">
      <c r="B18" s="3"/>
      <c r="C18" s="25" t="s">
        <v>6</v>
      </c>
      <c r="D18" s="10">
        <v>7.0000000000000007E-2</v>
      </c>
      <c r="K18" s="15"/>
    </row>
    <row r="19" spans="2:11" x14ac:dyDescent="0.25">
      <c r="B19" s="3"/>
      <c r="C19" s="25" t="s">
        <v>7</v>
      </c>
      <c r="D19" s="10">
        <v>0.16439999999999999</v>
      </c>
      <c r="K19" s="15"/>
    </row>
    <row r="20" spans="2:11" x14ac:dyDescent="0.25">
      <c r="B20" s="3"/>
      <c r="C20" s="25" t="s">
        <v>8</v>
      </c>
      <c r="D20" s="10">
        <v>0.04</v>
      </c>
      <c r="K20" s="15"/>
    </row>
    <row r="21" spans="2:11" x14ac:dyDescent="0.25">
      <c r="B21" s="3"/>
      <c r="C21" s="25" t="s">
        <v>9</v>
      </c>
      <c r="D21" s="10">
        <v>0.05</v>
      </c>
      <c r="F21" s="40" t="s">
        <v>23</v>
      </c>
      <c r="G21" s="40"/>
      <c r="K21" s="15"/>
    </row>
    <row r="22" spans="2:11" x14ac:dyDescent="0.25">
      <c r="B22" s="3"/>
      <c r="C22" s="25" t="s">
        <v>10</v>
      </c>
      <c r="D22" s="11">
        <v>0.11749999999999999</v>
      </c>
      <c r="F22" s="40"/>
      <c r="G22" s="40"/>
    </row>
    <row r="23" spans="2:11" x14ac:dyDescent="0.25">
      <c r="B23" s="3"/>
      <c r="C23" s="26" t="s">
        <v>4</v>
      </c>
      <c r="D23" s="27">
        <f>SUM(D18:D22)</f>
        <v>0.44189999999999996</v>
      </c>
    </row>
    <row r="24" spans="2:11" x14ac:dyDescent="0.25">
      <c r="B24" s="3"/>
      <c r="C24" s="3"/>
      <c r="D24" s="3"/>
    </row>
    <row r="25" spans="2:11" x14ac:dyDescent="0.25">
      <c r="B25" s="3"/>
      <c r="C25" s="3"/>
      <c r="D25" s="3"/>
    </row>
  </sheetData>
  <mergeCells count="1">
    <mergeCell ref="F21:G2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Pereira</dc:creator>
  <cp:lastModifiedBy>Adriano Pereira</cp:lastModifiedBy>
  <dcterms:created xsi:type="dcterms:W3CDTF">2019-10-29T16:20:28Z</dcterms:created>
  <dcterms:modified xsi:type="dcterms:W3CDTF">2019-10-29T17:07:01Z</dcterms:modified>
</cp:coreProperties>
</file>