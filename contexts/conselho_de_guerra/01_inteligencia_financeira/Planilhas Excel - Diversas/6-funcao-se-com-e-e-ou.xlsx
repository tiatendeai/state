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filterPrivacy="1" defaultThemeVersion="124226"/>
  <xr:revisionPtr revIDLastSave="0" documentId="10_ncr:8100000_{5BE9ACFA-E01C-4A4A-90DA-41AD1ED05D5D}" xr6:coauthVersionLast="33" xr6:coauthVersionMax="33" xr10:uidLastSave="{00000000-0000-0000-0000-000000000000}"/>
  <bookViews>
    <workbookView xWindow="0" yWindow="0" windowWidth="19200" windowHeight="11085" activeTab="2" xr2:uid="{00000000-000D-0000-FFFF-FFFF00000000}"/>
  </bookViews>
  <sheets>
    <sheet name="Função SE(E)" sheetId="1" r:id="rId1"/>
    <sheet name="EX1" sheetId="2" r:id="rId2"/>
    <sheet name="EX2" sheetId="3" r:id="rId3"/>
    <sheet name="EX3" sheetId="4" r:id="rId4"/>
    <sheet name="EX4" sheetId="5" r:id="rId5"/>
    <sheet name="Função SE(OU)" sheetId="7" r:id="rId6"/>
    <sheet name="EX6" sheetId="8" r:id="rId7"/>
    <sheet name="EX7" sheetId="13" r:id="rId8"/>
    <sheet name="Desafio I" sheetId="9" r:id="rId9"/>
    <sheet name="Desafio II" sheetId="12" r:id="rId10"/>
  </sheets>
  <definedNames>
    <definedName name="_xlnm._FilterDatabase" localSheetId="1" hidden="1">'EX1'!$A$5:$E$22</definedName>
  </definedNames>
  <calcPr calcId="162913"/>
</workbook>
</file>

<file path=xl/calcChain.xml><?xml version="1.0" encoding="utf-8"?>
<calcChain xmlns="http://schemas.openxmlformats.org/spreadsheetml/2006/main">
  <c r="E5" i="3" l="1"/>
  <c r="E6" i="3"/>
  <c r="E7" i="3"/>
  <c r="E4" i="3"/>
  <c r="D5" i="3"/>
  <c r="D6" i="3"/>
  <c r="D7" i="3"/>
  <c r="D4" i="3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6" i="2"/>
  <c r="D11" i="1"/>
  <c r="D12" i="1"/>
  <c r="D10" i="1"/>
  <c r="C5" i="1"/>
  <c r="B2" i="13" l="1"/>
  <c r="E4" i="13" s="1"/>
  <c r="E8" i="13" l="1"/>
  <c r="E12" i="13"/>
  <c r="E11" i="13"/>
  <c r="E10" i="13"/>
  <c r="E9" i="13"/>
  <c r="E7" i="13"/>
  <c r="E6" i="13"/>
  <c r="E5" i="13"/>
  <c r="D8" i="7"/>
  <c r="D7" i="7"/>
  <c r="D6" i="7"/>
  <c r="D5" i="7"/>
  <c r="D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Rafael:</t>
        </r>
        <r>
          <rPr>
            <sz val="9"/>
            <color indexed="81"/>
            <rFont val="Tahoma"/>
            <family val="2"/>
          </rPr>
          <t xml:space="preserve">
A função </t>
        </r>
        <r>
          <rPr>
            <b/>
            <sz val="9"/>
            <color indexed="81"/>
            <rFont val="Tahoma"/>
            <family val="2"/>
          </rPr>
          <t>OU</t>
        </r>
        <r>
          <rPr>
            <sz val="9"/>
            <color indexed="81"/>
            <rFont val="Tahoma"/>
            <family val="2"/>
          </rPr>
          <t xml:space="preserve">, agora passa a ser o teste lógico da função </t>
        </r>
        <r>
          <rPr>
            <b/>
            <sz val="9"/>
            <color indexed="81"/>
            <rFont val="Tahoma"/>
            <family val="2"/>
          </rPr>
          <t>SE</t>
        </r>
        <r>
          <rPr>
            <sz val="9"/>
            <color indexed="81"/>
            <rFont val="Tahoma"/>
            <family val="2"/>
          </rPr>
          <t xml:space="preserve">, ou seja, a função </t>
        </r>
        <r>
          <rPr>
            <b/>
            <sz val="9"/>
            <color indexed="81"/>
            <rFont val="Tahoma"/>
            <family val="2"/>
          </rPr>
          <t>E</t>
        </r>
        <r>
          <rPr>
            <sz val="9"/>
            <color indexed="81"/>
            <rFont val="Tahoma"/>
            <family val="2"/>
          </rPr>
          <t xml:space="preserve"> quem irá verificar se as afirmações são </t>
        </r>
        <r>
          <rPr>
            <b/>
            <sz val="9"/>
            <color indexed="81"/>
            <rFont val="Tahoma"/>
            <family val="2"/>
          </rPr>
          <t>verdadeiras</t>
        </r>
        <r>
          <rPr>
            <sz val="9"/>
            <color indexed="81"/>
            <rFont val="Tahoma"/>
            <family val="2"/>
          </rPr>
          <t xml:space="preserve"> ou </t>
        </r>
        <r>
          <rPr>
            <b/>
            <sz val="9"/>
            <color indexed="81"/>
            <rFont val="Tahoma"/>
            <family val="2"/>
          </rPr>
          <t>falsas</t>
        </r>
        <r>
          <rPr>
            <sz val="9"/>
            <color indexed="81"/>
            <rFont val="Tahoma"/>
            <family val="2"/>
          </rPr>
          <t>!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<sst xmlns="http://schemas.openxmlformats.org/spreadsheetml/2006/main" count="266" uniqueCount="176">
  <si>
    <t>Para entrar no trem...</t>
  </si>
  <si>
    <t>Estado da porta</t>
  </si>
  <si>
    <t>Estado do trem</t>
  </si>
  <si>
    <t>Minha ação</t>
  </si>
  <si>
    <t>Cliente</t>
  </si>
  <si>
    <t xml:space="preserve">Tipo de Cartão </t>
  </si>
  <si>
    <t>Limite do Cartão</t>
  </si>
  <si>
    <t>Avaliação</t>
  </si>
  <si>
    <t>Alana</t>
  </si>
  <si>
    <t>Internacional</t>
  </si>
  <si>
    <t>Jhon</t>
  </si>
  <si>
    <t>Rafael</t>
  </si>
  <si>
    <t>Nacional</t>
  </si>
  <si>
    <t>=E(lógico1;lógico2...)</t>
  </si>
  <si>
    <t>Aumento de Salário</t>
  </si>
  <si>
    <t>Nome</t>
  </si>
  <si>
    <t>Cargo</t>
  </si>
  <si>
    <t>Tempo</t>
  </si>
  <si>
    <t>Salário Atual</t>
  </si>
  <si>
    <t>Aumento</t>
  </si>
  <si>
    <t>Antonio da Silva</t>
  </si>
  <si>
    <t>Programador JAVA</t>
  </si>
  <si>
    <t xml:space="preserve">Ana Teresa </t>
  </si>
  <si>
    <t>Aux. Contabil</t>
  </si>
  <si>
    <t>Mariana</t>
  </si>
  <si>
    <t xml:space="preserve">Lucas </t>
  </si>
  <si>
    <t xml:space="preserve">Karina </t>
  </si>
  <si>
    <t>Analista de Custos</t>
  </si>
  <si>
    <t xml:space="preserve">Fernanda </t>
  </si>
  <si>
    <t>Programadora .NET</t>
  </si>
  <si>
    <t xml:space="preserve">Renato </t>
  </si>
  <si>
    <t>Gerente Comercial</t>
  </si>
  <si>
    <t xml:space="preserve">Luciana </t>
  </si>
  <si>
    <t>Assistente Comercial</t>
  </si>
  <si>
    <t xml:space="preserve">Fabiola </t>
  </si>
  <si>
    <t>Aux. RH</t>
  </si>
  <si>
    <t>Waldir</t>
  </si>
  <si>
    <t>Contador</t>
  </si>
  <si>
    <t>Flávio</t>
  </si>
  <si>
    <t>Assistente RH</t>
  </si>
  <si>
    <t xml:space="preserve">Andre Pereira </t>
  </si>
  <si>
    <t>Gerente de TI</t>
  </si>
  <si>
    <t>Gerente de RH</t>
  </si>
  <si>
    <t xml:space="preserve">Ricardo </t>
  </si>
  <si>
    <t>Gerente de Contas</t>
  </si>
  <si>
    <t>Hélio</t>
  </si>
  <si>
    <t>Administrador DBA</t>
  </si>
  <si>
    <t>Rosangela</t>
  </si>
  <si>
    <t>Advogada</t>
  </si>
  <si>
    <t xml:space="preserve">Andre Castro </t>
  </si>
  <si>
    <t>Diretor de Publicidade</t>
  </si>
  <si>
    <t>Cálculo de Fretes</t>
  </si>
  <si>
    <t>Produto</t>
  </si>
  <si>
    <t>Valor</t>
  </si>
  <si>
    <t>Destino</t>
  </si>
  <si>
    <t>Frete</t>
  </si>
  <si>
    <t>Total</t>
  </si>
  <si>
    <t>Mouse</t>
  </si>
  <si>
    <t>SP</t>
  </si>
  <si>
    <t>Impressora</t>
  </si>
  <si>
    <t>RJ</t>
  </si>
  <si>
    <t>Teclado</t>
  </si>
  <si>
    <t>HD</t>
  </si>
  <si>
    <t>MG</t>
  </si>
  <si>
    <t>Recrutamento</t>
  </si>
  <si>
    <t>Candidato</t>
  </si>
  <si>
    <t>Excel</t>
  </si>
  <si>
    <t>Access</t>
  </si>
  <si>
    <t>Experiência</t>
  </si>
  <si>
    <t>Situação</t>
  </si>
  <si>
    <t>Ana</t>
  </si>
  <si>
    <t>Sim</t>
  </si>
  <si>
    <t>Carlos</t>
  </si>
  <si>
    <t>Não</t>
  </si>
  <si>
    <t>Eduardo</t>
  </si>
  <si>
    <t>Fernanda</t>
  </si>
  <si>
    <t>Procura por carros:</t>
  </si>
  <si>
    <t>Ano</t>
  </si>
  <si>
    <t>Marca</t>
  </si>
  <si>
    <t>Tipo</t>
  </si>
  <si>
    <t>Modelo</t>
  </si>
  <si>
    <t>Preço</t>
  </si>
  <si>
    <t>KIA</t>
  </si>
  <si>
    <t>Cross-Over</t>
  </si>
  <si>
    <t>Sportage</t>
  </si>
  <si>
    <t>Nissan</t>
  </si>
  <si>
    <t>SUV</t>
  </si>
  <si>
    <t>PathFinder</t>
  </si>
  <si>
    <t>Honda</t>
  </si>
  <si>
    <t>Sedan</t>
  </si>
  <si>
    <t>Civic</t>
  </si>
  <si>
    <t>Jeep</t>
  </si>
  <si>
    <t>Renegade</t>
  </si>
  <si>
    <t>Renault</t>
  </si>
  <si>
    <t>Compacto</t>
  </si>
  <si>
    <t>Sandero Stepway</t>
  </si>
  <si>
    <t>Cherokee</t>
  </si>
  <si>
    <t>Comprar?</t>
  </si>
  <si>
    <t>Qtde</t>
  </si>
  <si>
    <t>Preço Unitário</t>
  </si>
  <si>
    <t>Desconto</t>
  </si>
  <si>
    <t>Camisa</t>
  </si>
  <si>
    <t>Calça</t>
  </si>
  <si>
    <t>Gravata</t>
  </si>
  <si>
    <t>Sapato</t>
  </si>
  <si>
    <t>Meia</t>
  </si>
  <si>
    <t>Hatch</t>
  </si>
  <si>
    <t>Mitsubishi</t>
  </si>
  <si>
    <t>Outlander</t>
  </si>
  <si>
    <t>Pajero Full</t>
  </si>
  <si>
    <t>Peugeot</t>
  </si>
  <si>
    <t>Renegade Sport</t>
  </si>
  <si>
    <t>Suzuki</t>
  </si>
  <si>
    <t>Jimmy</t>
  </si>
  <si>
    <t>Quantidade</t>
  </si>
  <si>
    <t>Valor Unitário</t>
  </si>
  <si>
    <t>Comissão R$</t>
  </si>
  <si>
    <t>CPU Core i7 6th Gen</t>
  </si>
  <si>
    <t>Scanner HP Scanit</t>
  </si>
  <si>
    <t>Monitor Dell 29"</t>
  </si>
  <si>
    <t>Teclado Razer LED</t>
  </si>
  <si>
    <t>Placa de Vídeo GT480Ti</t>
  </si>
  <si>
    <t>Disco Rígido WD 1TB</t>
  </si>
  <si>
    <t>Gabinete WiseCase Titanium</t>
  </si>
  <si>
    <t>Cálculo para Comissão</t>
  </si>
  <si>
    <t>Vendedor Dedicado</t>
  </si>
  <si>
    <t>Anna Goldban</t>
  </si>
  <si>
    <t>Márcio Caga</t>
  </si>
  <si>
    <t>Monair Comunna</t>
  </si>
  <si>
    <t>Brussolo Sharlatan</t>
  </si>
  <si>
    <t>Elifas Bollini</t>
  </si>
  <si>
    <t>Rosa Correccioni</t>
  </si>
  <si>
    <t>Maria Antonieta</t>
  </si>
  <si>
    <t>Padrão do 
Imóvel</t>
  </si>
  <si>
    <t>Número de 
Suítes</t>
  </si>
  <si>
    <t>Vagas</t>
  </si>
  <si>
    <t>Apartamento</t>
  </si>
  <si>
    <t>Cobertura</t>
  </si>
  <si>
    <t>Piscina 
Privada?</t>
  </si>
  <si>
    <t>Churrasqueira
Privada?</t>
  </si>
  <si>
    <t>Local</t>
  </si>
  <si>
    <t>Osasco - Centro</t>
  </si>
  <si>
    <t>Itapevi - Centro</t>
  </si>
  <si>
    <t>Barueri - Centro</t>
  </si>
  <si>
    <t>São Paulo - Itaim</t>
  </si>
  <si>
    <t>São Paulo - Brás</t>
  </si>
  <si>
    <t>São Paulo - Anália</t>
  </si>
  <si>
    <t>Carapicuíba - Centro</t>
  </si>
  <si>
    <t>Resultado</t>
  </si>
  <si>
    <t>Pensionista</t>
  </si>
  <si>
    <t>Dívida Atual</t>
  </si>
  <si>
    <t>Data de Hoje:</t>
  </si>
  <si>
    <t>Desconto Concedido</t>
  </si>
  <si>
    <t>Desconto em pagamento de dívidas</t>
  </si>
  <si>
    <t>Procura por Imóveis</t>
  </si>
  <si>
    <t>Procura por Carros:</t>
  </si>
  <si>
    <r>
      <t>=SE(</t>
    </r>
    <r>
      <rPr>
        <b/>
        <sz val="12"/>
        <color rgb="FFFFFF00"/>
        <rFont val="Calibri"/>
        <family val="2"/>
        <scheme val="minor"/>
      </rPr>
      <t>E(lógico1;lógico2...)</t>
    </r>
    <r>
      <rPr>
        <sz val="12"/>
        <color theme="0"/>
        <rFont val="Calibri"/>
        <family val="2"/>
        <scheme val="minor"/>
      </rPr>
      <t>;valor_se_verdadeiro;valor_se_falso)</t>
    </r>
  </si>
  <si>
    <r>
      <t>=SE(</t>
    </r>
    <r>
      <rPr>
        <b/>
        <sz val="11"/>
        <color rgb="FFFFFF00"/>
        <rFont val="Calibri"/>
        <family val="2"/>
        <scheme val="minor"/>
      </rPr>
      <t>OU(lógico1;lógico2...)</t>
    </r>
    <r>
      <rPr>
        <b/>
        <sz val="11"/>
        <color theme="0"/>
        <rFont val="Calibri"/>
        <family val="2"/>
        <scheme val="minor"/>
      </rPr>
      <t>;valor_se_verdadeiro;valor_se_falso)</t>
    </r>
  </si>
  <si>
    <r>
      <rPr>
        <sz val="12"/>
        <color theme="0"/>
        <rFont val="Calibri"/>
        <family val="2"/>
        <scheme val="minor"/>
      </rPr>
      <t>Pedidos com mais de 4 itens</t>
    </r>
    <r>
      <rPr>
        <b/>
        <sz val="12"/>
        <color theme="0"/>
        <rFont val="Calibri"/>
        <family val="2"/>
        <scheme val="minor"/>
      </rPr>
      <t xml:space="preserve"> OU</t>
    </r>
    <r>
      <rPr>
        <sz val="12"/>
        <color theme="0"/>
        <rFont val="Calibri"/>
        <family val="2"/>
        <scheme val="minor"/>
      </rPr>
      <t xml:space="preserve"> valor maior que R$100,00, desconto de 15% caso contrário, não haverá desconto.</t>
    </r>
  </si>
  <si>
    <r>
      <t xml:space="preserve">Para a compra, um carro que atenda os seguintes critérios: Pode ser um carro da Jeep tipo SUV com ano máximo de 2006, </t>
    </r>
    <r>
      <rPr>
        <b/>
        <sz val="14"/>
        <color rgb="FFFF0000"/>
        <rFont val="Calibri"/>
        <family val="2"/>
        <scheme val="minor"/>
      </rPr>
      <t>OU</t>
    </r>
    <r>
      <rPr>
        <b/>
        <sz val="14"/>
        <color theme="0"/>
        <rFont val="Calibri"/>
        <family val="2"/>
        <scheme val="minor"/>
      </rPr>
      <t xml:space="preserve"> um carro da Kia modelo Sportage de até R$70.000.</t>
    </r>
  </si>
  <si>
    <t>PF</t>
  </si>
  <si>
    <r>
      <t xml:space="preserve">Engel pretende comprar um imóvel. Para tal, está disposto a pagar até R$155.000 em um apartamento com pelo menos duas suítes e duas vagas de garagem, </t>
    </r>
    <r>
      <rPr>
        <b/>
        <sz val="14"/>
        <color rgb="FFFF0000"/>
        <rFont val="Calibri"/>
        <family val="2"/>
        <scheme val="minor"/>
      </rPr>
      <t>OU</t>
    </r>
    <r>
      <rPr>
        <b/>
        <sz val="14"/>
        <color theme="0"/>
        <rFont val="Calibri"/>
        <family val="2"/>
        <scheme val="minor"/>
      </rPr>
      <t xml:space="preserve"> pagar até R$345.000 em uma cobertura, desde que esta tenha todos os requisitos desejados do apartamento (suítes e vagas) e tenha também uma churrasqueira privada.</t>
    </r>
  </si>
  <si>
    <t>Posso comprar no exterior com meu cartão, um iPhone? Preço: U$3500,00</t>
  </si>
  <si>
    <r>
      <t xml:space="preserve">Para comprar o tão sonhado iPhone muitos brasileiros vão aos EUA. Porém a compra apenas será aprovada caso o cliente possua um </t>
    </r>
    <r>
      <rPr>
        <sz val="14"/>
        <color rgb="FFFF0000"/>
        <rFont val="Calibri"/>
        <family val="2"/>
        <scheme val="minor"/>
      </rPr>
      <t>cartão internacional</t>
    </r>
    <r>
      <rPr>
        <sz val="14"/>
        <color theme="0"/>
        <rFont val="Calibri"/>
        <family val="2"/>
        <scheme val="minor"/>
      </rPr>
      <t xml:space="preserve"> </t>
    </r>
    <r>
      <rPr>
        <sz val="14"/>
        <color rgb="FFFFFF00"/>
        <rFont val="Calibri"/>
        <family val="2"/>
        <scheme val="minor"/>
      </rPr>
      <t>E</t>
    </r>
    <r>
      <rPr>
        <sz val="14"/>
        <color theme="0"/>
        <rFont val="Calibri"/>
        <family val="2"/>
        <scheme val="minor"/>
      </rPr>
      <t xml:space="preserve"> um </t>
    </r>
    <r>
      <rPr>
        <sz val="14"/>
        <color rgb="FFFF0000"/>
        <rFont val="Calibri"/>
        <family val="2"/>
        <scheme val="minor"/>
      </rPr>
      <t>limite</t>
    </r>
    <r>
      <rPr>
        <sz val="14"/>
        <color theme="0"/>
        <rFont val="Calibri"/>
        <family val="2"/>
        <scheme val="minor"/>
      </rPr>
      <t xml:space="preserve"> compatível...</t>
    </r>
  </si>
  <si>
    <t>Para receber aumento salarial de 30%, o funcionário deve ter no mínimo 3 anos de trabalho e um salário menor que R$1.500,00.</t>
  </si>
  <si>
    <t>Qualquer pedido com destino diferente de São Paulo e valor menor que R$ 300,00 o frete será R$ 15,00, caso contrário será grátis.</t>
  </si>
  <si>
    <t>Candidatos com conhecimentos em Excel, Access e Experiência mínima de 2 anos, serão Convocados para a entrevista, caso contrário, serão Eliminados.</t>
  </si>
  <si>
    <t>Procura-se por carros que custem até R$75.000,00, mas que não sejam mais antigos que 2006.</t>
  </si>
  <si>
    <t>Para calcular a comissão, se o vendedor  vender mais que 200 produtos OU atingir um total maior que R$100.000 terá comissão de 10%, senão terá apenas 5% de comissão. Não se esqueça de calcular o total antes, pois a comissão será calculada com base nele!</t>
  </si>
  <si>
    <t>Dias em Atraso</t>
  </si>
  <si>
    <t>Valor Final com Desconto</t>
  </si>
  <si>
    <t>Data Inicial do Boleto</t>
  </si>
  <si>
    <t>Tipo do Cliente</t>
  </si>
  <si>
    <t>Pessoa Física ou boleto com mais de 600 dias de atraso ganham desconto de 35%.</t>
  </si>
  <si>
    <t>Parado</t>
  </si>
  <si>
    <t>Fechada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</si>
</sst>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&quot;R$&quot;\ #,##0.00"/>
    <numFmt numFmtId="166" formatCode="##\-##\-##\-##\-##"/>
  </numFmts>
  <fonts count="21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name val="Arial Greek"/>
      <family val="2"/>
      <charset val="161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3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theme="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0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0" borderId="0"/>
    <xf numFmtId="164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quotePrefix="1"/>
    <xf numFmtId="0" fontId="0" fillId="0" borderId="1" xfId="0" applyBorder="1"/>
    <xf numFmtId="44" fontId="0" fillId="0" borderId="1" xfId="0" applyNumberFormat="1" applyBorder="1"/>
    <xf numFmtId="0" fontId="0" fillId="0" borderId="2" xfId="0" applyBorder="1" applyAlignment="1"/>
    <xf numFmtId="0" fontId="2" fillId="5" borderId="1" xfId="0" applyFont="1" applyFill="1" applyBorder="1"/>
    <xf numFmtId="0" fontId="0" fillId="0" borderId="1" xfId="0" applyFont="1" applyBorder="1"/>
    <xf numFmtId="44" fontId="0" fillId="0" borderId="1" xfId="0" applyNumberFormat="1" applyFont="1" applyBorder="1"/>
    <xf numFmtId="0" fontId="5" fillId="0" borderId="0" xfId="4"/>
    <xf numFmtId="0" fontId="5" fillId="0" borderId="1" xfId="4" applyBorder="1"/>
    <xf numFmtId="164" fontId="6" fillId="0" borderId="1" xfId="5" applyBorder="1"/>
    <xf numFmtId="164" fontId="5" fillId="0" borderId="1" xfId="4" applyNumberFormat="1" applyBorder="1"/>
    <xf numFmtId="0" fontId="2" fillId="5" borderId="5" xfId="0" applyFont="1" applyFill="1" applyBorder="1"/>
    <xf numFmtId="0" fontId="0" fillId="0" borderId="0" xfId="0"/>
    <xf numFmtId="0" fontId="2" fillId="5" borderId="6" xfId="0" applyFont="1" applyFill="1" applyBorder="1"/>
    <xf numFmtId="0" fontId="0" fillId="0" borderId="0" xfId="0" applyAlignment="1"/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44" fontId="0" fillId="0" borderId="1" xfId="8" applyFont="1" applyBorder="1" applyAlignment="1">
      <alignment horizontal="left" vertical="center"/>
    </xf>
    <xf numFmtId="0" fontId="7" fillId="3" borderId="1" xfId="2" applyFont="1" applyBorder="1" applyAlignment="1">
      <alignment horizontal="left" vertical="center"/>
    </xf>
    <xf numFmtId="44" fontId="0" fillId="0" borderId="1" xfId="0" applyNumberFormat="1" applyBorder="1" applyAlignment="1">
      <alignment horizontal="left" vertical="center"/>
    </xf>
    <xf numFmtId="0" fontId="2" fillId="5" borderId="7" xfId="0" applyFont="1" applyFill="1" applyBorder="1"/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165" fontId="0" fillId="0" borderId="7" xfId="0" applyNumberFormat="1" applyFont="1" applyBorder="1" applyAlignment="1">
      <alignment horizontal="left" vertical="center"/>
    </xf>
    <xf numFmtId="0" fontId="0" fillId="0" borderId="6" xfId="0" quotePrefix="1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left" vertical="center"/>
    </xf>
    <xf numFmtId="0" fontId="0" fillId="0" borderId="0" xfId="0" applyBorder="1"/>
    <xf numFmtId="165" fontId="0" fillId="0" borderId="0" xfId="0" applyNumberFormat="1" applyBorder="1"/>
    <xf numFmtId="0" fontId="0" fillId="0" borderId="0" xfId="0" applyNumberFormat="1" applyBorder="1"/>
    <xf numFmtId="0" fontId="0" fillId="0" borderId="0" xfId="0" applyAlignment="1">
      <alignment wrapText="1"/>
    </xf>
    <xf numFmtId="0" fontId="10" fillId="2" borderId="1" xfId="1" applyBorder="1" applyAlignment="1">
      <alignment horizontal="left" vertical="center" wrapText="1"/>
    </xf>
    <xf numFmtId="0" fontId="10" fillId="2" borderId="1" xfId="1" applyBorder="1" applyAlignment="1">
      <alignment horizontal="left" vertical="center"/>
    </xf>
    <xf numFmtId="0" fontId="11" fillId="0" borderId="0" xfId="0" applyFont="1"/>
    <xf numFmtId="0" fontId="11" fillId="0" borderId="1" xfId="0" applyFont="1" applyBorder="1"/>
    <xf numFmtId="0" fontId="12" fillId="0" borderId="1" xfId="6" applyFont="1" applyFill="1" applyBorder="1" applyAlignment="1">
      <alignment horizontal="right"/>
    </xf>
    <xf numFmtId="44" fontId="13" fillId="0" borderId="1" xfId="7" applyNumberFormat="1" applyFont="1" applyFill="1" applyBorder="1"/>
    <xf numFmtId="44" fontId="12" fillId="0" borderId="1" xfId="9" applyNumberFormat="1" applyFont="1" applyFill="1" applyBorder="1"/>
    <xf numFmtId="0" fontId="12" fillId="0" borderId="1" xfId="6" applyFont="1" applyFill="1" applyBorder="1"/>
    <xf numFmtId="44" fontId="13" fillId="0" borderId="1" xfId="9" applyNumberFormat="1" applyFont="1" applyFill="1" applyBorder="1"/>
    <xf numFmtId="44" fontId="12" fillId="0" borderId="1" xfId="6" applyNumberFormat="1" applyFont="1" applyFill="1" applyBorder="1"/>
    <xf numFmtId="0" fontId="11" fillId="0" borderId="1" xfId="0" applyFont="1" applyFill="1" applyBorder="1" applyAlignment="1"/>
    <xf numFmtId="44" fontId="11" fillId="0" borderId="1" xfId="0" applyNumberFormat="1" applyFont="1" applyBorder="1" applyAlignment="1"/>
    <xf numFmtId="0" fontId="11" fillId="0" borderId="0" xfId="0" applyFont="1" applyAlignment="1"/>
    <xf numFmtId="14" fontId="0" fillId="0" borderId="1" xfId="0" applyNumberFormat="1" applyBorder="1"/>
    <xf numFmtId="14" fontId="0" fillId="0" borderId="0" xfId="0" applyNumberFormat="1" applyBorder="1"/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ont="1" applyBorder="1" applyAlignment="1" applyProtection="1">
      <alignment horizontal="left" vertical="center"/>
      <protection locked="0"/>
    </xf>
    <xf numFmtId="0" fontId="0" fillId="0" borderId="1" xfId="0" applyFont="1" applyFill="1" applyBorder="1" applyAlignment="1" applyProtection="1">
      <alignment horizontal="left" vertic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165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10" fillId="2" borderId="1" xfId="1" applyBorder="1" applyAlignment="1">
      <alignment vertical="center"/>
    </xf>
    <xf numFmtId="0" fontId="0" fillId="0" borderId="1" xfId="0" quotePrefix="1" applyBorder="1"/>
    <xf numFmtId="166" fontId="0" fillId="0" borderId="0" xfId="0" applyNumberFormat="1"/>
    <xf numFmtId="0" fontId="0" fillId="6" borderId="6" xfId="0" quotePrefix="1" applyFont="1" applyFill="1" applyBorder="1" applyAlignment="1">
      <alignment horizontal="left" vertical="center"/>
    </xf>
    <xf numFmtId="0" fontId="0" fillId="6" borderId="1" xfId="0" quotePrefix="1" applyFont="1" applyFill="1" applyBorder="1" applyAlignment="1">
      <alignment horizontal="left" vertical="center"/>
    </xf>
    <xf numFmtId="0" fontId="0" fillId="6" borderId="1" xfId="0" quotePrefix="1" applyFill="1" applyBorder="1"/>
    <xf numFmtId="0" fontId="3" fillId="4" borderId="1" xfId="3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5" fillId="0" borderId="5" xfId="4" applyBorder="1" applyAlignment="1">
      <alignment horizontal="center" vertical="center"/>
    </xf>
    <xf numFmtId="0" fontId="2" fillId="8" borderId="1" xfId="0" applyFont="1" applyFill="1" applyBorder="1"/>
    <xf numFmtId="0" fontId="10" fillId="9" borderId="1" xfId="3" applyFont="1" applyFill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44" fontId="0" fillId="0" borderId="0" xfId="0" applyNumberFormat="1"/>
    <xf numFmtId="0" fontId="7" fillId="2" borderId="3" xfId="1" quotePrefix="1" applyFont="1" applyBorder="1" applyAlignment="1">
      <alignment horizontal="left"/>
    </xf>
    <xf numFmtId="0" fontId="7" fillId="2" borderId="4" xfId="1" quotePrefix="1" applyFont="1" applyBorder="1" applyAlignment="1">
      <alignment horizontal="left"/>
    </xf>
    <xf numFmtId="0" fontId="7" fillId="2" borderId="5" xfId="1" quotePrefix="1" applyFont="1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3" applyFont="1" applyBorder="1" applyAlignment="1">
      <alignment horizontal="center"/>
    </xf>
    <xf numFmtId="0" fontId="2" fillId="4" borderId="3" xfId="3" applyFont="1" applyBorder="1" applyAlignment="1">
      <alignment horizontal="center"/>
    </xf>
    <xf numFmtId="0" fontId="2" fillId="4" borderId="4" xfId="3" applyFont="1" applyBorder="1" applyAlignment="1">
      <alignment horizontal="center"/>
    </xf>
    <xf numFmtId="0" fontId="2" fillId="4" borderId="5" xfId="3" applyFont="1" applyBorder="1" applyAlignment="1">
      <alignment horizontal="center"/>
    </xf>
    <xf numFmtId="0" fontId="17" fillId="7" borderId="0" xfId="0" applyFont="1" applyFill="1" applyAlignment="1">
      <alignment horizontal="center" wrapText="1"/>
    </xf>
    <xf numFmtId="0" fontId="10" fillId="2" borderId="1" xfId="1" quotePrefix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4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5" fillId="0" borderId="0" xfId="4" applyAlignment="1">
      <alignment horizontal="center" vertical="center" wrapText="1"/>
    </xf>
    <xf numFmtId="0" fontId="5" fillId="0" borderId="3" xfId="4" applyBorder="1" applyAlignment="1">
      <alignment horizontal="center"/>
    </xf>
    <xf numFmtId="0" fontId="5" fillId="0" borderId="4" xfId="4" applyBorder="1" applyAlignment="1">
      <alignment horizontal="center"/>
    </xf>
    <xf numFmtId="0" fontId="5" fillId="0" borderId="5" xfId="4" applyBorder="1" applyAlignment="1">
      <alignment horizontal="center"/>
    </xf>
    <xf numFmtId="0" fontId="5" fillId="0" borderId="1" xfId="4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7" fillId="7" borderId="14" xfId="2" applyFont="1" applyFill="1" applyBorder="1" applyAlignment="1">
      <alignment horizontal="center"/>
    </xf>
    <xf numFmtId="0" fontId="7" fillId="7" borderId="15" xfId="2" applyFont="1" applyFill="1" applyBorder="1" applyAlignment="1">
      <alignment horizontal="center"/>
    </xf>
    <xf numFmtId="0" fontId="10" fillId="2" borderId="3" xfId="1" quotePrefix="1" applyFont="1" applyBorder="1" applyAlignment="1"/>
    <xf numFmtId="0" fontId="10" fillId="2" borderId="4" xfId="1" quotePrefix="1" applyFont="1" applyBorder="1" applyAlignment="1"/>
    <xf numFmtId="0" fontId="10" fillId="2" borderId="5" xfId="1" quotePrefix="1" applyFont="1" applyBorder="1" applyAlignment="1"/>
    <xf numFmtId="0" fontId="7" fillId="4" borderId="3" xfId="3" applyFont="1" applyBorder="1" applyAlignment="1">
      <alignment horizontal="left" vertical="center" wrapText="1"/>
    </xf>
    <xf numFmtId="0" fontId="7" fillId="4" borderId="4" xfId="3" applyFont="1" applyBorder="1" applyAlignment="1">
      <alignment horizontal="left" vertical="center" wrapText="1"/>
    </xf>
    <xf numFmtId="0" fontId="7" fillId="4" borderId="5" xfId="3" applyFont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2" borderId="14" xfId="1" applyBorder="1" applyAlignment="1">
      <alignment horizontal="center"/>
    </xf>
    <xf numFmtId="0" fontId="10" fillId="2" borderId="15" xfId="1" applyBorder="1" applyAlignment="1">
      <alignment horizontal="center"/>
    </xf>
    <xf numFmtId="0" fontId="0" fillId="0" borderId="8" xfId="0" applyBorder="1" applyAlignment="1">
      <alignment horizontal="center"/>
    </xf>
    <xf numFmtId="0" fontId="10" fillId="2" borderId="13" xfId="1" applyBorder="1" applyAlignment="1">
      <alignment horizontal="center"/>
    </xf>
    <xf numFmtId="0" fontId="10" fillId="2" borderId="0" xfId="1" applyBorder="1" applyAlignment="1">
      <alignment horizontal="center"/>
    </xf>
    <xf numFmtId="0" fontId="17" fillId="10" borderId="1" xfId="0" applyFont="1" applyFill="1" applyBorder="1" applyAlignment="1">
      <alignment horizontal="center" vertical="center" wrapText="1"/>
    </xf>
    <xf numFmtId="0" fontId="7" fillId="3" borderId="1" xfId="2" applyFont="1" applyBorder="1" applyAlignment="1">
      <alignment horizontal="center"/>
    </xf>
    <xf numFmtId="0" fontId="10" fillId="2" borderId="7" xfId="1" applyFont="1" applyBorder="1" applyAlignment="1">
      <alignment vertical="center" wrapText="1"/>
    </xf>
    <xf numFmtId="0" fontId="10" fillId="2" borderId="2" xfId="1" applyFont="1" applyBorder="1" applyAlignment="1">
      <alignment vertical="center" wrapText="1"/>
    </xf>
    <xf numFmtId="0" fontId="10" fillId="2" borderId="13" xfId="1" applyFont="1" applyBorder="1" applyAlignment="1">
      <alignment vertical="center" wrapText="1"/>
    </xf>
    <xf numFmtId="0" fontId="10" fillId="2" borderId="0" xfId="1" applyFont="1" applyBorder="1" applyAlignment="1">
      <alignment vertical="center" wrapText="1"/>
    </xf>
    <xf numFmtId="0" fontId="10" fillId="2" borderId="14" xfId="1" applyFont="1" applyBorder="1" applyAlignment="1">
      <alignment vertical="center" wrapText="1"/>
    </xf>
    <xf numFmtId="0" fontId="10" fillId="2" borderId="15" xfId="1" applyFont="1" applyBorder="1" applyAlignment="1">
      <alignment vertical="center" wrapText="1"/>
    </xf>
    <xf numFmtId="0" fontId="0" fillId="0" borderId="7" xfId="0" applyBorder="1"/>
    <xf numFmtId="0" fontId="0" fillId="0" borderId="2" xfId="0" applyBorder="1"/>
    <xf numFmtId="0" fontId="0" fillId="0" borderId="12" xfId="0" applyBorder="1"/>
    <xf numFmtId="0" fontId="10" fillId="2" borderId="9" xfId="1" applyBorder="1"/>
    <xf numFmtId="0" fontId="10" fillId="2" borderId="10" xfId="1" applyBorder="1"/>
    <xf numFmtId="0" fontId="10" fillId="2" borderId="11" xfId="1" applyBorder="1"/>
    <xf numFmtId="0" fontId="10" fillId="2" borderId="0" xfId="1" applyAlignment="1">
      <alignment horizontal="justify" vertical="center" wrapText="1"/>
    </xf>
  </cellXfs>
  <cellStyles count="10">
    <cellStyle name="Ênfase1" xfId="1" builtinId="29" customBuiltin="1"/>
    <cellStyle name="Ênfase4" xfId="2" builtinId="41"/>
    <cellStyle name="Ênfase5" xfId="3" builtinId="45"/>
    <cellStyle name="Moeda" xfId="8" builtinId="4"/>
    <cellStyle name="Moeda 2" xfId="5" xr:uid="{00000000-0005-0000-0000-000004000000}"/>
    <cellStyle name="Normal" xfId="0" builtinId="0" customBuiltin="1"/>
    <cellStyle name="Normal 2" xfId="6" xr:uid="{00000000-0005-0000-0000-000006000000}"/>
    <cellStyle name="Normal 3" xfId="4" xr:uid="{00000000-0005-0000-0000-000007000000}"/>
    <cellStyle name="Porcentagem" xfId="9" builtinId="5"/>
    <cellStyle name="Vírgula 2" xfId="7" xr:uid="{00000000-0005-0000-0000-000009000000}"/>
  </cellStyles>
  <dxfs count="2">
    <dxf>
      <font>
        <b/>
        <i/>
        <condense val="0"/>
        <extend val="0"/>
        <u val="double"/>
        <color indexed="10"/>
      </font>
    </dxf>
    <dxf>
      <font>
        <b/>
        <i/>
        <condense val="0"/>
        <extend val="0"/>
        <u val="none"/>
        <color indexed="1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zoomScaleNormal="100" workbookViewId="0">
      <selection activeCell="D14" sqref="D14"/>
    </sheetView>
  </sheetViews>
  <sheetFormatPr defaultColWidth="0" defaultRowHeight="18.75" zeroHeight="1" x14ac:dyDescent="0.3"/>
  <cols>
    <col min="1" max="1" width="17.3984375" customWidth="1"/>
    <col min="2" max="2" width="20.796875" customWidth="1"/>
    <col min="3" max="3" width="15.59765625" customWidth="1"/>
    <col min="4" max="4" width="24.09765625" customWidth="1"/>
    <col min="5" max="9" width="8.796875" customWidth="1"/>
    <col min="10" max="16384" width="6.3984375" hidden="1"/>
  </cols>
  <sheetData>
    <row r="1" spans="1:8" x14ac:dyDescent="0.3">
      <c r="A1" s="73" t="s">
        <v>156</v>
      </c>
      <c r="B1" s="74"/>
      <c r="C1" s="75"/>
      <c r="D1" s="1"/>
    </row>
    <row r="2" spans="1:8" x14ac:dyDescent="0.3">
      <c r="A2" s="76"/>
      <c r="B2" s="77"/>
      <c r="C2" s="77"/>
    </row>
    <row r="3" spans="1:8" x14ac:dyDescent="0.3">
      <c r="A3" s="78" t="s">
        <v>0</v>
      </c>
      <c r="B3" s="78"/>
      <c r="C3" s="78"/>
    </row>
    <row r="4" spans="1:8" x14ac:dyDescent="0.3">
      <c r="A4" s="2" t="s">
        <v>1</v>
      </c>
      <c r="B4" s="2" t="s">
        <v>2</v>
      </c>
      <c r="C4" s="2" t="s">
        <v>3</v>
      </c>
    </row>
    <row r="5" spans="1:8" x14ac:dyDescent="0.3">
      <c r="A5" s="2" t="s">
        <v>175</v>
      </c>
      <c r="B5" s="2" t="s">
        <v>174</v>
      </c>
      <c r="C5" s="2" t="str">
        <f>IF(AND(A5="aberta",B5="parado"),"entrar","não entrar")</f>
        <v>não entrar</v>
      </c>
    </row>
    <row r="6" spans="1:8" x14ac:dyDescent="0.3"/>
    <row r="7" spans="1:8" x14ac:dyDescent="0.3"/>
    <row r="8" spans="1:8" x14ac:dyDescent="0.3">
      <c r="A8" s="79" t="s">
        <v>162</v>
      </c>
      <c r="B8" s="80"/>
      <c r="C8" s="80"/>
      <c r="D8" s="81"/>
      <c r="F8" s="82" t="s">
        <v>163</v>
      </c>
      <c r="G8" s="82"/>
      <c r="H8" s="82"/>
    </row>
    <row r="9" spans="1:8" x14ac:dyDescent="0.3">
      <c r="A9" s="63" t="s">
        <v>4</v>
      </c>
      <c r="B9" s="63" t="s">
        <v>5</v>
      </c>
      <c r="C9" s="63" t="s">
        <v>6</v>
      </c>
      <c r="D9" s="63" t="s">
        <v>7</v>
      </c>
      <c r="F9" s="82"/>
      <c r="G9" s="82"/>
      <c r="H9" s="82"/>
    </row>
    <row r="10" spans="1:8" x14ac:dyDescent="0.3">
      <c r="A10" s="2" t="s">
        <v>8</v>
      </c>
      <c r="B10" s="2" t="s">
        <v>9</v>
      </c>
      <c r="C10" s="71">
        <v>5000</v>
      </c>
      <c r="D10" s="2" t="str">
        <f>IF(AND(B10="internacional",C10&gt;=3500),"sim","não")</f>
        <v>sim</v>
      </c>
      <c r="F10" s="82"/>
      <c r="G10" s="82"/>
      <c r="H10" s="82"/>
    </row>
    <row r="11" spans="1:8" x14ac:dyDescent="0.3">
      <c r="A11" s="2" t="s">
        <v>10</v>
      </c>
      <c r="B11" s="2" t="s">
        <v>9</v>
      </c>
      <c r="C11" s="71">
        <v>1950</v>
      </c>
      <c r="D11" s="2" t="str">
        <f t="shared" ref="D11:D12" si="0">IF(AND(B11="internacional",C11&gt;=3500),"sim","não")</f>
        <v>não</v>
      </c>
      <c r="F11" s="82"/>
      <c r="G11" s="82"/>
      <c r="H11" s="82"/>
    </row>
    <row r="12" spans="1:8" x14ac:dyDescent="0.3">
      <c r="A12" s="2" t="s">
        <v>11</v>
      </c>
      <c r="B12" s="2" t="s">
        <v>12</v>
      </c>
      <c r="C12" s="71">
        <v>2800</v>
      </c>
      <c r="D12" s="2" t="str">
        <f t="shared" si="0"/>
        <v>não</v>
      </c>
      <c r="F12" s="82"/>
      <c r="G12" s="82"/>
      <c r="H12" s="82"/>
    </row>
    <row r="13" spans="1:8" x14ac:dyDescent="0.3">
      <c r="B13" s="59"/>
      <c r="F13" s="82"/>
      <c r="G13" s="82"/>
      <c r="H13" s="82"/>
    </row>
    <row r="14" spans="1:8" x14ac:dyDescent="0.3">
      <c r="B14" s="59"/>
      <c r="F14" s="82"/>
      <c r="G14" s="82"/>
      <c r="H14" s="82"/>
    </row>
    <row r="15" spans="1:8" x14ac:dyDescent="0.3"/>
  </sheetData>
  <mergeCells count="5">
    <mergeCell ref="A1:C1"/>
    <mergeCell ref="A2:C2"/>
    <mergeCell ref="A3:C3"/>
    <mergeCell ref="A8:D8"/>
    <mergeCell ref="F8:H14"/>
  </mergeCells>
  <dataValidations count="3">
    <dataValidation type="list" allowBlank="1" showErrorMessage="1" sqref="B10:B12" xr:uid="{00000000-0002-0000-0000-000000000000}">
      <formula1>"Nacional,Internacional"</formula1>
    </dataValidation>
    <dataValidation type="list" allowBlank="1" showInputMessage="1" showErrorMessage="1" sqref="B5" xr:uid="{00000000-0002-0000-0000-000001000000}">
      <formula1>"Parado,Em movimento"</formula1>
    </dataValidation>
    <dataValidation type="list" allowBlank="1" showInputMessage="1" showErrorMessage="1" errorTitle="Atenção:" error="Seja lógico!" promptTitle="Atenção:" prompt="Logicamente, uma porta pode estar aberta ou fechada!" sqref="A5" xr:uid="{00000000-0002-0000-0000-000002000000}">
      <formula1>"Aberta,Fechada"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zoomScaleNormal="100" workbookViewId="0">
      <selection activeCell="E14" sqref="E14"/>
    </sheetView>
  </sheetViews>
  <sheetFormatPr defaultColWidth="0" defaultRowHeight="18.75" zeroHeight="1" x14ac:dyDescent="0.3"/>
  <cols>
    <col min="1" max="1" width="32.796875" customWidth="1"/>
    <col min="2" max="2" width="19.3984375" customWidth="1"/>
    <col min="3" max="3" width="8.796875" customWidth="1"/>
    <col min="4" max="4" width="12.796875" customWidth="1"/>
    <col min="5" max="5" width="16" customWidth="1"/>
    <col min="6" max="6" width="10" bestFit="1" customWidth="1"/>
    <col min="7" max="9" width="8.796875" customWidth="1"/>
    <col min="10" max="16384" width="6.3984375" hidden="1"/>
  </cols>
  <sheetData>
    <row r="1" spans="1:8" x14ac:dyDescent="0.3">
      <c r="A1" s="83" t="s">
        <v>13</v>
      </c>
      <c r="B1" s="83"/>
      <c r="C1" s="83"/>
    </row>
    <row r="2" spans="1:8" x14ac:dyDescent="0.3">
      <c r="A2" s="4"/>
      <c r="B2" s="4"/>
      <c r="C2" s="4"/>
    </row>
    <row r="3" spans="1:8" x14ac:dyDescent="0.3">
      <c r="A3" s="84" t="s">
        <v>14</v>
      </c>
      <c r="B3" s="85"/>
      <c r="C3" s="85"/>
      <c r="D3" s="85"/>
      <c r="E3" s="86"/>
    </row>
    <row r="4" spans="1:8" x14ac:dyDescent="0.3">
      <c r="A4" s="77"/>
      <c r="B4" s="77"/>
      <c r="C4" s="77"/>
      <c r="D4" s="77"/>
      <c r="E4" s="77"/>
    </row>
    <row r="5" spans="1:8" x14ac:dyDescent="0.3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</row>
    <row r="6" spans="1:8" x14ac:dyDescent="0.3">
      <c r="A6" s="6" t="s">
        <v>20</v>
      </c>
      <c r="B6" s="6" t="s">
        <v>21</v>
      </c>
      <c r="C6" s="6">
        <v>7</v>
      </c>
      <c r="D6" s="7">
        <v>1850</v>
      </c>
      <c r="E6" s="7">
        <f>IF(AND(C6&gt;=3,D6&lt;1500),D6*30%,0)</f>
        <v>0</v>
      </c>
    </row>
    <row r="7" spans="1:8" x14ac:dyDescent="0.3">
      <c r="A7" s="6" t="s">
        <v>22</v>
      </c>
      <c r="B7" s="6" t="s">
        <v>23</v>
      </c>
      <c r="C7" s="6">
        <v>5</v>
      </c>
      <c r="D7" s="7">
        <v>1230</v>
      </c>
      <c r="E7" s="7">
        <f t="shared" ref="E7:E22" si="0">IF(AND(C7&gt;=3,D7&lt;1500),D7*30%,0)</f>
        <v>369</v>
      </c>
      <c r="F7" s="72"/>
    </row>
    <row r="8" spans="1:8" x14ac:dyDescent="0.3">
      <c r="A8" s="6" t="s">
        <v>24</v>
      </c>
      <c r="B8" s="6" t="s">
        <v>23</v>
      </c>
      <c r="C8" s="6">
        <v>3</v>
      </c>
      <c r="D8" s="7">
        <v>850</v>
      </c>
      <c r="E8" s="7">
        <f t="shared" si="0"/>
        <v>255</v>
      </c>
      <c r="G8" s="87" t="s">
        <v>164</v>
      </c>
      <c r="H8" s="87"/>
    </row>
    <row r="9" spans="1:8" x14ac:dyDescent="0.3">
      <c r="A9" s="6" t="s">
        <v>25</v>
      </c>
      <c r="B9" s="6" t="s">
        <v>21</v>
      </c>
      <c r="C9" s="6">
        <v>2</v>
      </c>
      <c r="D9" s="7">
        <v>1420</v>
      </c>
      <c r="E9" s="7">
        <f t="shared" si="0"/>
        <v>0</v>
      </c>
      <c r="G9" s="87"/>
      <c r="H9" s="87"/>
    </row>
    <row r="10" spans="1:8" x14ac:dyDescent="0.3">
      <c r="A10" s="6" t="s">
        <v>26</v>
      </c>
      <c r="B10" s="6" t="s">
        <v>27</v>
      </c>
      <c r="C10" s="6">
        <v>6</v>
      </c>
      <c r="D10" s="7">
        <v>1530</v>
      </c>
      <c r="E10" s="7">
        <f t="shared" si="0"/>
        <v>0</v>
      </c>
      <c r="G10" s="87"/>
      <c r="H10" s="87"/>
    </row>
    <row r="11" spans="1:8" x14ac:dyDescent="0.3">
      <c r="A11" s="6" t="s">
        <v>28</v>
      </c>
      <c r="B11" s="6" t="s">
        <v>29</v>
      </c>
      <c r="C11" s="6">
        <v>1</v>
      </c>
      <c r="D11" s="7">
        <v>3200</v>
      </c>
      <c r="E11" s="7">
        <f t="shared" si="0"/>
        <v>0</v>
      </c>
      <c r="G11" s="87"/>
      <c r="H11" s="87"/>
    </row>
    <row r="12" spans="1:8" x14ac:dyDescent="0.3">
      <c r="A12" s="6" t="s">
        <v>30</v>
      </c>
      <c r="B12" s="6" t="s">
        <v>31</v>
      </c>
      <c r="C12" s="6">
        <v>3</v>
      </c>
      <c r="D12" s="7">
        <v>2400</v>
      </c>
      <c r="E12" s="7">
        <f t="shared" si="0"/>
        <v>0</v>
      </c>
      <c r="G12" s="87"/>
      <c r="H12" s="87"/>
    </row>
    <row r="13" spans="1:8" x14ac:dyDescent="0.3">
      <c r="A13" s="6" t="s">
        <v>32</v>
      </c>
      <c r="B13" s="6" t="s">
        <v>33</v>
      </c>
      <c r="C13" s="6">
        <v>2</v>
      </c>
      <c r="D13" s="7">
        <v>1615</v>
      </c>
      <c r="E13" s="7">
        <f t="shared" si="0"/>
        <v>0</v>
      </c>
      <c r="G13" s="87"/>
      <c r="H13" s="87"/>
    </row>
    <row r="14" spans="1:8" x14ac:dyDescent="0.3">
      <c r="A14" s="6" t="s">
        <v>34</v>
      </c>
      <c r="B14" s="6" t="s">
        <v>35</v>
      </c>
      <c r="C14" s="6">
        <v>4</v>
      </c>
      <c r="D14" s="7">
        <v>920</v>
      </c>
      <c r="E14" s="7">
        <f t="shared" si="0"/>
        <v>276</v>
      </c>
      <c r="G14" s="87"/>
      <c r="H14" s="87"/>
    </row>
    <row r="15" spans="1:8" x14ac:dyDescent="0.3">
      <c r="A15" s="6" t="s">
        <v>36</v>
      </c>
      <c r="B15" s="6" t="s">
        <v>37</v>
      </c>
      <c r="C15" s="6">
        <v>1</v>
      </c>
      <c r="D15" s="7">
        <v>2300</v>
      </c>
      <c r="E15" s="7">
        <f t="shared" si="0"/>
        <v>0</v>
      </c>
      <c r="G15" s="87"/>
      <c r="H15" s="87"/>
    </row>
    <row r="16" spans="1:8" x14ac:dyDescent="0.3">
      <c r="A16" s="6" t="s">
        <v>38</v>
      </c>
      <c r="B16" s="6" t="s">
        <v>39</v>
      </c>
      <c r="C16" s="6">
        <v>8</v>
      </c>
      <c r="D16" s="7">
        <v>1200</v>
      </c>
      <c r="E16" s="7">
        <f t="shared" si="0"/>
        <v>360</v>
      </c>
    </row>
    <row r="17" spans="1:5" x14ac:dyDescent="0.3">
      <c r="A17" s="6" t="s">
        <v>40</v>
      </c>
      <c r="B17" s="6" t="s">
        <v>41</v>
      </c>
      <c r="C17" s="6">
        <v>6</v>
      </c>
      <c r="D17" s="7">
        <v>2100</v>
      </c>
      <c r="E17" s="7">
        <f t="shared" si="0"/>
        <v>0</v>
      </c>
    </row>
    <row r="18" spans="1:5" x14ac:dyDescent="0.3">
      <c r="A18" s="6" t="s">
        <v>22</v>
      </c>
      <c r="B18" s="6" t="s">
        <v>42</v>
      </c>
      <c r="C18" s="6">
        <v>5</v>
      </c>
      <c r="D18" s="7">
        <v>2200</v>
      </c>
      <c r="E18" s="7">
        <f t="shared" si="0"/>
        <v>0</v>
      </c>
    </row>
    <row r="19" spans="1:5" x14ac:dyDescent="0.3">
      <c r="A19" s="6" t="s">
        <v>43</v>
      </c>
      <c r="B19" s="6" t="s">
        <v>44</v>
      </c>
      <c r="C19" s="6">
        <v>3</v>
      </c>
      <c r="D19" s="7">
        <v>2000</v>
      </c>
      <c r="E19" s="7">
        <f t="shared" si="0"/>
        <v>0</v>
      </c>
    </row>
    <row r="20" spans="1:5" x14ac:dyDescent="0.3">
      <c r="A20" s="6" t="s">
        <v>45</v>
      </c>
      <c r="B20" s="6" t="s">
        <v>46</v>
      </c>
      <c r="C20" s="6">
        <v>8</v>
      </c>
      <c r="D20" s="7">
        <v>5000</v>
      </c>
      <c r="E20" s="7">
        <f t="shared" si="0"/>
        <v>0</v>
      </c>
    </row>
    <row r="21" spans="1:5" x14ac:dyDescent="0.3">
      <c r="A21" s="6" t="s">
        <v>47</v>
      </c>
      <c r="B21" s="6" t="s">
        <v>48</v>
      </c>
      <c r="C21" s="6">
        <v>6</v>
      </c>
      <c r="D21" s="7">
        <v>3000</v>
      </c>
      <c r="E21" s="7">
        <f t="shared" si="0"/>
        <v>0</v>
      </c>
    </row>
    <row r="22" spans="1:5" x14ac:dyDescent="0.3">
      <c r="A22" s="6" t="s">
        <v>49</v>
      </c>
      <c r="B22" s="6" t="s">
        <v>50</v>
      </c>
      <c r="C22" s="6">
        <v>4</v>
      </c>
      <c r="D22" s="7">
        <v>6500</v>
      </c>
      <c r="E22" s="7">
        <f t="shared" si="0"/>
        <v>0</v>
      </c>
    </row>
    <row r="23" spans="1:5" x14ac:dyDescent="0.3"/>
  </sheetData>
  <mergeCells count="4">
    <mergeCell ref="A1:C1"/>
    <mergeCell ref="A3:E3"/>
    <mergeCell ref="A4:E4"/>
    <mergeCell ref="G8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tabSelected="1" zoomScale="115" zoomScaleNormal="115" workbookViewId="0">
      <selection activeCell="F6" sqref="F6"/>
    </sheetView>
  </sheetViews>
  <sheetFormatPr defaultColWidth="0" defaultRowHeight="12.75" zeroHeight="1" x14ac:dyDescent="0.2"/>
  <cols>
    <col min="1" max="1" width="10.59765625" style="8" customWidth="1"/>
    <col min="2" max="2" width="13" style="8" customWidth="1"/>
    <col min="3" max="3" width="13.59765625" style="8" customWidth="1"/>
    <col min="4" max="4" width="13.3984375" style="8" customWidth="1"/>
    <col min="5" max="5" width="12.69921875" style="8" customWidth="1"/>
    <col min="6" max="9" width="8.796875" style="8" customWidth="1"/>
    <col min="10" max="16384" width="6.3984375" style="8" hidden="1"/>
  </cols>
  <sheetData>
    <row r="1" spans="1:9" ht="15" x14ac:dyDescent="0.25">
      <c r="A1" s="89" t="s">
        <v>51</v>
      </c>
      <c r="B1" s="90"/>
      <c r="C1" s="90"/>
      <c r="D1" s="90"/>
      <c r="E1" s="90"/>
    </row>
    <row r="2" spans="1:9" x14ac:dyDescent="0.2">
      <c r="A2" s="88"/>
      <c r="B2" s="88"/>
      <c r="C2" s="88"/>
    </row>
    <row r="3" spans="1:9" ht="15" x14ac:dyDescent="0.25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G3" s="91" t="s">
        <v>165</v>
      </c>
      <c r="H3" s="91"/>
      <c r="I3" s="91"/>
    </row>
    <row r="4" spans="1:9" x14ac:dyDescent="0.2">
      <c r="A4" s="9" t="s">
        <v>57</v>
      </c>
      <c r="B4" s="10">
        <v>147</v>
      </c>
      <c r="C4" s="9" t="s">
        <v>58</v>
      </c>
      <c r="D4" s="10">
        <f>IF(AND(C4&lt;&gt;"sp",B4&lt;300),15,0)</f>
        <v>0</v>
      </c>
      <c r="E4" s="11">
        <f>SUM(D4+B4)</f>
        <v>147</v>
      </c>
      <c r="G4" s="91"/>
      <c r="H4" s="91"/>
      <c r="I4" s="91"/>
    </row>
    <row r="5" spans="1:9" x14ac:dyDescent="0.2">
      <c r="A5" s="9" t="s">
        <v>59</v>
      </c>
      <c r="B5" s="10">
        <v>399</v>
      </c>
      <c r="C5" s="9" t="s">
        <v>60</v>
      </c>
      <c r="D5" s="10">
        <f t="shared" ref="D5:D7" si="0">IF(AND(C5&lt;&gt;"sp",B5&lt;300),15,0)</f>
        <v>0</v>
      </c>
      <c r="E5" s="11">
        <f t="shared" ref="E5:E7" si="1">SUM(D5+B5)</f>
        <v>399</v>
      </c>
      <c r="G5" s="91"/>
      <c r="H5" s="91"/>
      <c r="I5" s="91"/>
    </row>
    <row r="6" spans="1:9" x14ac:dyDescent="0.2">
      <c r="A6" s="9" t="s">
        <v>61</v>
      </c>
      <c r="B6" s="10">
        <v>112</v>
      </c>
      <c r="C6" s="9" t="s">
        <v>58</v>
      </c>
      <c r="D6" s="10">
        <f t="shared" si="0"/>
        <v>0</v>
      </c>
      <c r="E6" s="11">
        <f t="shared" si="1"/>
        <v>112</v>
      </c>
      <c r="G6" s="91"/>
      <c r="H6" s="91"/>
      <c r="I6" s="91"/>
    </row>
    <row r="7" spans="1:9" x14ac:dyDescent="0.2">
      <c r="A7" s="9" t="s">
        <v>62</v>
      </c>
      <c r="B7" s="10">
        <v>168</v>
      </c>
      <c r="C7" s="9" t="s">
        <v>63</v>
      </c>
      <c r="D7" s="10">
        <f t="shared" si="0"/>
        <v>15</v>
      </c>
      <c r="E7" s="11">
        <f t="shared" si="1"/>
        <v>183</v>
      </c>
      <c r="G7" s="91"/>
      <c r="H7" s="91"/>
      <c r="I7" s="91"/>
    </row>
    <row r="8" spans="1:9" x14ac:dyDescent="0.2">
      <c r="G8" s="91"/>
      <c r="H8" s="91"/>
      <c r="I8" s="91"/>
    </row>
    <row r="9" spans="1:9" hidden="1" x14ac:dyDescent="0.2"/>
    <row r="10" spans="1:9" hidden="1" x14ac:dyDescent="0.2"/>
    <row r="11" spans="1:9" hidden="1" x14ac:dyDescent="0.2"/>
  </sheetData>
  <mergeCells count="3">
    <mergeCell ref="A2:C2"/>
    <mergeCell ref="A1:E1"/>
    <mergeCell ref="G3:I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zoomScale="130" zoomScaleNormal="130" workbookViewId="0">
      <selection sqref="A1:E1"/>
    </sheetView>
  </sheetViews>
  <sheetFormatPr defaultColWidth="0" defaultRowHeight="12.75" zeroHeight="1" x14ac:dyDescent="0.2"/>
  <cols>
    <col min="1" max="1" width="15.3984375" style="8" customWidth="1"/>
    <col min="2" max="2" width="6" style="8" customWidth="1"/>
    <col min="3" max="3" width="7.09765625" style="8" customWidth="1"/>
    <col min="4" max="4" width="11.796875" style="8" customWidth="1"/>
    <col min="5" max="5" width="13.09765625" style="8" customWidth="1"/>
    <col min="6" max="9" width="8.796875" style="8" customWidth="1"/>
    <col min="10" max="16384" width="6.3984375" style="8" hidden="1"/>
  </cols>
  <sheetData>
    <row r="1" spans="1:8" ht="15" x14ac:dyDescent="0.25">
      <c r="A1" s="89" t="s">
        <v>64</v>
      </c>
      <c r="B1" s="90"/>
      <c r="C1" s="90"/>
      <c r="D1" s="90"/>
      <c r="E1" s="90"/>
    </row>
    <row r="2" spans="1:8" x14ac:dyDescent="0.2">
      <c r="A2" s="92"/>
      <c r="B2" s="93"/>
      <c r="C2" s="94"/>
    </row>
    <row r="3" spans="1:8" ht="15" x14ac:dyDescent="0.25">
      <c r="A3" s="5" t="s">
        <v>65</v>
      </c>
      <c r="B3" s="5" t="s">
        <v>66</v>
      </c>
      <c r="C3" s="5" t="s">
        <v>67</v>
      </c>
      <c r="D3" s="12" t="s">
        <v>68</v>
      </c>
      <c r="E3" s="5" t="s">
        <v>69</v>
      </c>
      <c r="G3" s="95" t="s">
        <v>166</v>
      </c>
      <c r="H3" s="95"/>
    </row>
    <row r="4" spans="1:8" x14ac:dyDescent="0.2">
      <c r="A4" s="64" t="s">
        <v>70</v>
      </c>
      <c r="B4" s="64" t="s">
        <v>71</v>
      </c>
      <c r="C4" s="64" t="s">
        <v>71</v>
      </c>
      <c r="D4" s="65">
        <v>1</v>
      </c>
      <c r="E4" s="64"/>
      <c r="G4" s="95"/>
      <c r="H4" s="95"/>
    </row>
    <row r="5" spans="1:8" x14ac:dyDescent="0.2">
      <c r="A5" s="64" t="s">
        <v>72</v>
      </c>
      <c r="B5" s="64" t="s">
        <v>73</v>
      </c>
      <c r="C5" s="64" t="s">
        <v>71</v>
      </c>
      <c r="D5" s="65">
        <v>2</v>
      </c>
      <c r="E5" s="64"/>
      <c r="G5" s="95"/>
      <c r="H5" s="95"/>
    </row>
    <row r="6" spans="1:8" x14ac:dyDescent="0.2">
      <c r="A6" s="64" t="s">
        <v>74</v>
      </c>
      <c r="B6" s="64" t="s">
        <v>73</v>
      </c>
      <c r="C6" s="64" t="s">
        <v>73</v>
      </c>
      <c r="D6" s="65">
        <v>0</v>
      </c>
      <c r="E6" s="64"/>
      <c r="G6" s="95"/>
      <c r="H6" s="95"/>
    </row>
    <row r="7" spans="1:8" x14ac:dyDescent="0.2">
      <c r="A7" s="64" t="s">
        <v>75</v>
      </c>
      <c r="B7" s="64" t="s">
        <v>71</v>
      </c>
      <c r="C7" s="64" t="s">
        <v>71</v>
      </c>
      <c r="D7" s="65">
        <v>3</v>
      </c>
      <c r="E7" s="64"/>
      <c r="G7" s="95"/>
      <c r="H7" s="95"/>
    </row>
    <row r="8" spans="1:8" x14ac:dyDescent="0.2">
      <c r="G8" s="95"/>
      <c r="H8" s="95"/>
    </row>
    <row r="9" spans="1:8" x14ac:dyDescent="0.2">
      <c r="G9" s="95"/>
      <c r="H9" s="95"/>
    </row>
    <row r="10" spans="1:8" x14ac:dyDescent="0.2">
      <c r="G10" s="95"/>
      <c r="H10" s="95"/>
    </row>
    <row r="11" spans="1:8" x14ac:dyDescent="0.2">
      <c r="G11" s="95"/>
      <c r="H11" s="95"/>
    </row>
    <row r="12" spans="1:8" x14ac:dyDescent="0.2"/>
    <row r="13" spans="1:8" x14ac:dyDescent="0.2"/>
  </sheetData>
  <mergeCells count="3">
    <mergeCell ref="A2:C2"/>
    <mergeCell ref="G3:H11"/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showGridLines="0" zoomScale="145" zoomScaleNormal="145" workbookViewId="0">
      <selection sqref="A1:F1"/>
    </sheetView>
  </sheetViews>
  <sheetFormatPr defaultColWidth="0" defaultRowHeight="18.75" zeroHeight="1" x14ac:dyDescent="0.3"/>
  <cols>
    <col min="1" max="1" width="8.796875" customWidth="1"/>
    <col min="2" max="2" width="10.296875" customWidth="1"/>
    <col min="3" max="3" width="10.69921875" customWidth="1"/>
    <col min="4" max="4" width="16.3984375" customWidth="1"/>
    <col min="5" max="5" width="13" customWidth="1"/>
    <col min="6" max="8" width="8.796875" customWidth="1"/>
    <col min="9" max="9" width="8.796875" style="13" customWidth="1"/>
    <col min="10" max="10" width="8.796875" customWidth="1"/>
    <col min="11" max="16384" width="6.3984375" hidden="1"/>
  </cols>
  <sheetData>
    <row r="1" spans="1:9" x14ac:dyDescent="0.3">
      <c r="A1" s="102" t="s">
        <v>76</v>
      </c>
      <c r="B1" s="103"/>
      <c r="C1" s="103"/>
      <c r="D1" s="103"/>
      <c r="E1" s="103"/>
      <c r="F1" s="103"/>
    </row>
    <row r="2" spans="1:9" x14ac:dyDescent="0.3">
      <c r="A2" s="66" t="s">
        <v>77</v>
      </c>
      <c r="B2" s="66" t="s">
        <v>78</v>
      </c>
      <c r="C2" s="66" t="s">
        <v>79</v>
      </c>
      <c r="D2" s="66" t="s">
        <v>80</v>
      </c>
      <c r="E2" s="66" t="s">
        <v>81</v>
      </c>
      <c r="F2" s="66" t="s">
        <v>97</v>
      </c>
    </row>
    <row r="3" spans="1:9" x14ac:dyDescent="0.3">
      <c r="A3" s="48">
        <v>2010</v>
      </c>
      <c r="B3" s="49" t="s">
        <v>82</v>
      </c>
      <c r="C3" s="49" t="s">
        <v>83</v>
      </c>
      <c r="D3" s="49" t="s">
        <v>84</v>
      </c>
      <c r="E3" s="50">
        <v>69599</v>
      </c>
      <c r="F3" s="55"/>
    </row>
    <row r="4" spans="1:9" ht="18.75" customHeight="1" x14ac:dyDescent="0.3">
      <c r="A4" s="48">
        <v>2007</v>
      </c>
      <c r="B4" s="49" t="s">
        <v>85</v>
      </c>
      <c r="C4" s="49" t="s">
        <v>86</v>
      </c>
      <c r="D4" s="49" t="s">
        <v>87</v>
      </c>
      <c r="E4" s="50">
        <v>145000</v>
      </c>
      <c r="F4" s="55"/>
      <c r="H4" s="96" t="s">
        <v>167</v>
      </c>
      <c r="I4" s="97"/>
    </row>
    <row r="5" spans="1:9" x14ac:dyDescent="0.3">
      <c r="A5" s="48">
        <v>2016</v>
      </c>
      <c r="B5" s="49" t="s">
        <v>88</v>
      </c>
      <c r="C5" s="49" t="s">
        <v>89</v>
      </c>
      <c r="D5" s="49" t="s">
        <v>90</v>
      </c>
      <c r="E5" s="50">
        <v>82000</v>
      </c>
      <c r="F5" s="55"/>
      <c r="H5" s="98"/>
      <c r="I5" s="99"/>
    </row>
    <row r="6" spans="1:9" x14ac:dyDescent="0.3">
      <c r="A6" s="48">
        <v>2016</v>
      </c>
      <c r="B6" s="49" t="s">
        <v>91</v>
      </c>
      <c r="C6" s="49" t="s">
        <v>83</v>
      </c>
      <c r="D6" s="49" t="s">
        <v>111</v>
      </c>
      <c r="E6" s="50">
        <v>89000</v>
      </c>
      <c r="F6" s="55"/>
      <c r="H6" s="98"/>
      <c r="I6" s="99"/>
    </row>
    <row r="7" spans="1:9" x14ac:dyDescent="0.3">
      <c r="A7" s="48">
        <v>2006</v>
      </c>
      <c r="B7" s="49" t="s">
        <v>93</v>
      </c>
      <c r="C7" s="49" t="s">
        <v>106</v>
      </c>
      <c r="D7" s="49" t="s">
        <v>95</v>
      </c>
      <c r="E7" s="50">
        <v>39000</v>
      </c>
      <c r="F7" s="55"/>
      <c r="H7" s="98"/>
      <c r="I7" s="99"/>
    </row>
    <row r="8" spans="1:9" x14ac:dyDescent="0.3">
      <c r="A8" s="48">
        <v>2005</v>
      </c>
      <c r="B8" s="49" t="s">
        <v>91</v>
      </c>
      <c r="C8" s="49" t="s">
        <v>86</v>
      </c>
      <c r="D8" s="49" t="s">
        <v>96</v>
      </c>
      <c r="E8" s="50">
        <v>72000</v>
      </c>
      <c r="F8" s="55"/>
      <c r="H8" s="98"/>
      <c r="I8" s="99"/>
    </row>
    <row r="9" spans="1:9" x14ac:dyDescent="0.3">
      <c r="A9" s="51">
        <v>2012</v>
      </c>
      <c r="B9" s="52" t="s">
        <v>107</v>
      </c>
      <c r="C9" s="52" t="s">
        <v>86</v>
      </c>
      <c r="D9" s="52" t="s">
        <v>108</v>
      </c>
      <c r="E9" s="53">
        <v>59984</v>
      </c>
      <c r="F9" s="56"/>
      <c r="H9" s="98"/>
      <c r="I9" s="99"/>
    </row>
    <row r="10" spans="1:9" x14ac:dyDescent="0.3">
      <c r="A10" s="51">
        <v>2005</v>
      </c>
      <c r="B10" s="52" t="s">
        <v>107</v>
      </c>
      <c r="C10" s="52" t="s">
        <v>91</v>
      </c>
      <c r="D10" s="52" t="s">
        <v>109</v>
      </c>
      <c r="E10" s="53">
        <v>47000</v>
      </c>
      <c r="F10" s="56"/>
      <c r="H10" s="98"/>
      <c r="I10" s="99"/>
    </row>
    <row r="11" spans="1:9" x14ac:dyDescent="0.3">
      <c r="A11" s="51">
        <v>2016</v>
      </c>
      <c r="B11" s="52" t="s">
        <v>110</v>
      </c>
      <c r="C11" s="52" t="s">
        <v>86</v>
      </c>
      <c r="D11" s="54">
        <v>2008</v>
      </c>
      <c r="E11" s="53">
        <v>69000</v>
      </c>
      <c r="F11" s="56"/>
      <c r="H11" s="100"/>
      <c r="I11" s="101"/>
    </row>
    <row r="12" spans="1:9" x14ac:dyDescent="0.3">
      <c r="A12" s="51">
        <v>2005</v>
      </c>
      <c r="B12" s="52" t="s">
        <v>112</v>
      </c>
      <c r="C12" s="52" t="s">
        <v>91</v>
      </c>
      <c r="D12" s="52" t="s">
        <v>113</v>
      </c>
      <c r="E12" s="53">
        <v>36456</v>
      </c>
      <c r="F12" s="56"/>
    </row>
    <row r="13" spans="1:9" x14ac:dyDescent="0.3"/>
  </sheetData>
  <mergeCells count="2">
    <mergeCell ref="H4:I11"/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showGridLines="0" zoomScale="145" zoomScaleNormal="145" workbookViewId="0">
      <selection activeCell="G6" sqref="G6"/>
    </sheetView>
  </sheetViews>
  <sheetFormatPr defaultColWidth="0" defaultRowHeight="18.75" zeroHeight="1" x14ac:dyDescent="0.3"/>
  <cols>
    <col min="1" max="1" width="11.59765625" style="13" customWidth="1"/>
    <col min="2" max="2" width="7.09765625" style="13" customWidth="1"/>
    <col min="3" max="3" width="15.09765625" style="13" customWidth="1"/>
    <col min="4" max="4" width="10.796875" style="13" customWidth="1"/>
    <col min="5" max="5" width="11.59765625" style="13" customWidth="1"/>
    <col min="6" max="8" width="8.796875" style="13" customWidth="1"/>
    <col min="9" max="16384" width="8.796875" style="13" hidden="1"/>
  </cols>
  <sheetData>
    <row r="1" spans="1:7" x14ac:dyDescent="0.3">
      <c r="A1" s="104" t="s">
        <v>157</v>
      </c>
      <c r="B1" s="105"/>
      <c r="C1" s="105"/>
      <c r="D1" s="105"/>
      <c r="E1" s="105"/>
      <c r="F1" s="105"/>
      <c r="G1" s="106"/>
    </row>
    <row r="2" spans="1:7" ht="48.75" customHeight="1" x14ac:dyDescent="0.3">
      <c r="A2" s="107" t="s">
        <v>158</v>
      </c>
      <c r="B2" s="108"/>
      <c r="C2" s="108"/>
      <c r="D2" s="108"/>
      <c r="E2" s="109"/>
    </row>
    <row r="3" spans="1:7" s="15" customFormat="1" x14ac:dyDescent="0.3">
      <c r="A3" s="19" t="s">
        <v>52</v>
      </c>
      <c r="B3" s="19" t="s">
        <v>98</v>
      </c>
      <c r="C3" s="19" t="s">
        <v>99</v>
      </c>
      <c r="D3" s="19" t="s">
        <v>56</v>
      </c>
      <c r="E3" s="19" t="s">
        <v>100</v>
      </c>
    </row>
    <row r="4" spans="1:7" x14ac:dyDescent="0.3">
      <c r="A4" s="16" t="s">
        <v>101</v>
      </c>
      <c r="B4" s="16">
        <v>5</v>
      </c>
      <c r="C4" s="17">
        <v>15</v>
      </c>
      <c r="D4" s="20">
        <f>B4*C4</f>
        <v>75</v>
      </c>
      <c r="E4" s="18"/>
    </row>
    <row r="5" spans="1:7" x14ac:dyDescent="0.3">
      <c r="A5" s="16" t="s">
        <v>102</v>
      </c>
      <c r="B5" s="16">
        <v>5</v>
      </c>
      <c r="C5" s="17">
        <v>33</v>
      </c>
      <c r="D5" s="20">
        <f t="shared" ref="D5:D8" si="0">B5*C5</f>
        <v>165</v>
      </c>
      <c r="E5" s="18"/>
    </row>
    <row r="6" spans="1:7" x14ac:dyDescent="0.3">
      <c r="A6" s="16" t="s">
        <v>103</v>
      </c>
      <c r="B6" s="16">
        <v>3</v>
      </c>
      <c r="C6" s="17">
        <v>17</v>
      </c>
      <c r="D6" s="20">
        <f t="shared" si="0"/>
        <v>51</v>
      </c>
      <c r="E6" s="18"/>
    </row>
    <row r="7" spans="1:7" x14ac:dyDescent="0.3">
      <c r="A7" s="16" t="s">
        <v>104</v>
      </c>
      <c r="B7" s="16">
        <v>2</v>
      </c>
      <c r="C7" s="17">
        <v>94</v>
      </c>
      <c r="D7" s="20">
        <f t="shared" si="0"/>
        <v>188</v>
      </c>
      <c r="E7" s="18"/>
    </row>
    <row r="8" spans="1:7" x14ac:dyDescent="0.3">
      <c r="A8" s="16" t="s">
        <v>105</v>
      </c>
      <c r="B8" s="16">
        <v>4</v>
      </c>
      <c r="C8" s="17">
        <v>13</v>
      </c>
      <c r="D8" s="20">
        <f t="shared" si="0"/>
        <v>52</v>
      </c>
      <c r="E8" s="18"/>
    </row>
    <row r="9" spans="1:7" x14ac:dyDescent="0.3"/>
  </sheetData>
  <mergeCells count="2">
    <mergeCell ref="A1:G1"/>
    <mergeCell ref="A2:E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"/>
  <sheetViews>
    <sheetView showGridLines="0" zoomScale="130" zoomScaleNormal="130" workbookViewId="0">
      <selection sqref="A1:F1"/>
    </sheetView>
  </sheetViews>
  <sheetFormatPr defaultColWidth="6.3984375" defaultRowHeight="18.75" zeroHeight="1" x14ac:dyDescent="0.3"/>
  <cols>
    <col min="1" max="1" width="18.59765625" style="35" bestFit="1" customWidth="1"/>
    <col min="2" max="2" width="23" style="35" bestFit="1" customWidth="1"/>
    <col min="3" max="3" width="9.3984375" style="35" customWidth="1"/>
    <col min="4" max="4" width="15.69921875" style="35" customWidth="1"/>
    <col min="5" max="5" width="15.3984375" style="35" customWidth="1"/>
    <col min="6" max="6" width="13.59765625" style="35" customWidth="1"/>
    <col min="7" max="11" width="8.796875" style="35" customWidth="1"/>
    <col min="12" max="16384" width="6.3984375" style="35"/>
  </cols>
  <sheetData>
    <row r="1" spans="1:12" x14ac:dyDescent="0.3">
      <c r="A1" s="111" t="s">
        <v>124</v>
      </c>
      <c r="B1" s="112"/>
      <c r="C1" s="112"/>
      <c r="D1" s="112"/>
      <c r="E1" s="112"/>
      <c r="F1" s="112"/>
    </row>
    <row r="2" spans="1:12" ht="18.75" customHeight="1" x14ac:dyDescent="0.3">
      <c r="A2" s="67" t="s">
        <v>125</v>
      </c>
      <c r="B2" s="67" t="s">
        <v>52</v>
      </c>
      <c r="C2" s="67" t="s">
        <v>114</v>
      </c>
      <c r="D2" s="67" t="s">
        <v>115</v>
      </c>
      <c r="E2" s="67" t="s">
        <v>56</v>
      </c>
      <c r="F2" s="67" t="s">
        <v>116</v>
      </c>
      <c r="H2" s="110" t="s">
        <v>168</v>
      </c>
      <c r="I2" s="110"/>
      <c r="J2" s="110"/>
      <c r="K2" s="110"/>
      <c r="L2" s="110"/>
    </row>
    <row r="3" spans="1:12" ht="18.75" customHeight="1" x14ac:dyDescent="0.3">
      <c r="A3" s="36" t="s">
        <v>126</v>
      </c>
      <c r="B3" s="36" t="s">
        <v>121</v>
      </c>
      <c r="C3" s="37">
        <v>458</v>
      </c>
      <c r="D3" s="38">
        <v>450</v>
      </c>
      <c r="E3" s="39"/>
      <c r="F3" s="39"/>
      <c r="H3" s="110"/>
      <c r="I3" s="110"/>
      <c r="J3" s="110"/>
      <c r="K3" s="110"/>
      <c r="L3" s="110"/>
    </row>
    <row r="4" spans="1:12" x14ac:dyDescent="0.3">
      <c r="A4" s="36" t="s">
        <v>127</v>
      </c>
      <c r="B4" s="36" t="s">
        <v>117</v>
      </c>
      <c r="C4" s="37">
        <v>45</v>
      </c>
      <c r="D4" s="38">
        <v>1500</v>
      </c>
      <c r="E4" s="39"/>
      <c r="F4" s="39"/>
      <c r="H4" s="110"/>
      <c r="I4" s="110"/>
      <c r="J4" s="110"/>
      <c r="K4" s="110"/>
      <c r="L4" s="110"/>
    </row>
    <row r="5" spans="1:12" x14ac:dyDescent="0.3">
      <c r="A5" s="36" t="s">
        <v>128</v>
      </c>
      <c r="B5" s="36" t="s">
        <v>118</v>
      </c>
      <c r="C5" s="37">
        <v>220</v>
      </c>
      <c r="D5" s="38">
        <v>225</v>
      </c>
      <c r="E5" s="39"/>
      <c r="F5" s="39"/>
      <c r="H5" s="110"/>
      <c r="I5" s="110"/>
      <c r="J5" s="110"/>
      <c r="K5" s="110"/>
      <c r="L5" s="110"/>
    </row>
    <row r="6" spans="1:12" x14ac:dyDescent="0.3">
      <c r="A6" s="36" t="s">
        <v>129</v>
      </c>
      <c r="B6" s="36" t="s">
        <v>119</v>
      </c>
      <c r="C6" s="37">
        <v>50</v>
      </c>
      <c r="D6" s="38">
        <v>1459</v>
      </c>
      <c r="E6" s="39"/>
      <c r="F6" s="39"/>
      <c r="H6" s="110"/>
      <c r="I6" s="110"/>
      <c r="J6" s="110"/>
      <c r="K6" s="110"/>
      <c r="L6" s="110"/>
    </row>
    <row r="7" spans="1:12" x14ac:dyDescent="0.3">
      <c r="A7" s="36" t="s">
        <v>130</v>
      </c>
      <c r="B7" s="36" t="s">
        <v>120</v>
      </c>
      <c r="C7" s="37">
        <v>280</v>
      </c>
      <c r="D7" s="38">
        <v>25</v>
      </c>
      <c r="E7" s="39"/>
      <c r="F7" s="39"/>
      <c r="H7" s="110"/>
      <c r="I7" s="110"/>
      <c r="J7" s="110"/>
      <c r="K7" s="110"/>
      <c r="L7" s="110"/>
    </row>
    <row r="8" spans="1:12" x14ac:dyDescent="0.3">
      <c r="A8" s="36" t="s">
        <v>131</v>
      </c>
      <c r="B8" s="40" t="s">
        <v>122</v>
      </c>
      <c r="C8" s="37">
        <v>99</v>
      </c>
      <c r="D8" s="41">
        <v>293</v>
      </c>
      <c r="E8" s="42"/>
      <c r="F8" s="39"/>
      <c r="H8" s="110"/>
      <c r="I8" s="110"/>
      <c r="J8" s="110"/>
      <c r="K8" s="110"/>
      <c r="L8" s="110"/>
    </row>
    <row r="9" spans="1:12" x14ac:dyDescent="0.3">
      <c r="A9" s="36" t="s">
        <v>132</v>
      </c>
      <c r="B9" s="43" t="s">
        <v>123</v>
      </c>
      <c r="C9" s="37">
        <v>165</v>
      </c>
      <c r="D9" s="44">
        <v>798</v>
      </c>
      <c r="E9" s="44"/>
      <c r="F9" s="39"/>
      <c r="G9" s="45"/>
      <c r="H9" s="110"/>
      <c r="I9" s="110"/>
      <c r="J9" s="110"/>
      <c r="K9" s="110"/>
      <c r="L9" s="110"/>
    </row>
    <row r="10" spans="1:12" x14ac:dyDescent="0.3">
      <c r="A10" s="45"/>
      <c r="B10" s="45"/>
      <c r="C10" s="45"/>
      <c r="D10" s="45"/>
      <c r="E10" s="45"/>
      <c r="F10" s="45"/>
    </row>
    <row r="11" spans="1:12" hidden="1" x14ac:dyDescent="0.3"/>
    <row r="12" spans="1:12" hidden="1" x14ac:dyDescent="0.3"/>
    <row r="13" spans="1:12" hidden="1" x14ac:dyDescent="0.3"/>
  </sheetData>
  <mergeCells count="2">
    <mergeCell ref="H2:L9"/>
    <mergeCell ref="A1:F1"/>
  </mergeCells>
  <conditionalFormatting sqref="C3:C9">
    <cfRule type="cellIs" dxfId="1" priority="1" stopIfTrue="1" operator="equal">
      <formula>"aprovado"</formula>
    </cfRule>
    <cfRule type="cellIs" dxfId="0" priority="2" stopIfTrue="1" operator="equal">
      <formula>"reprovado"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"/>
  <sheetViews>
    <sheetView showGridLines="0" zoomScale="115" zoomScaleNormal="115" workbookViewId="0">
      <selection sqref="A1:G1"/>
    </sheetView>
  </sheetViews>
  <sheetFormatPr defaultColWidth="0" defaultRowHeight="18.75" zeroHeight="1" x14ac:dyDescent="0.3"/>
  <cols>
    <col min="1" max="1" width="11.8984375" style="13" bestFit="1" customWidth="1"/>
    <col min="2" max="2" width="12.796875" style="13" bestFit="1" customWidth="1"/>
    <col min="3" max="3" width="12.5" style="13" bestFit="1" customWidth="1"/>
    <col min="4" max="4" width="18" bestFit="1" customWidth="1"/>
    <col min="5" max="5" width="13" bestFit="1" customWidth="1"/>
    <col min="6" max="6" width="21.19921875" bestFit="1" customWidth="1"/>
    <col min="7" max="7" width="17.296875" bestFit="1" customWidth="1"/>
    <col min="8" max="8" width="8.796875" customWidth="1"/>
    <col min="9" max="9" width="21.796875" customWidth="1"/>
    <col min="10" max="10" width="23.796875" customWidth="1"/>
    <col min="11" max="11" width="0" hidden="1" customWidth="1"/>
    <col min="12" max="16384" width="8.796875" hidden="1"/>
  </cols>
  <sheetData>
    <row r="1" spans="1:9" s="13" customFormat="1" x14ac:dyDescent="0.3">
      <c r="A1" s="114" t="s">
        <v>153</v>
      </c>
      <c r="B1" s="115"/>
      <c r="C1" s="115"/>
      <c r="D1" s="115"/>
      <c r="E1" s="115"/>
      <c r="F1" s="115"/>
      <c r="G1" s="115"/>
    </row>
    <row r="2" spans="1:9" s="13" customFormat="1" x14ac:dyDescent="0.3">
      <c r="A2" s="29" t="s">
        <v>151</v>
      </c>
      <c r="B2" s="47">
        <f ca="1">TODAY()</f>
        <v>43265</v>
      </c>
      <c r="C2" s="113"/>
      <c r="D2" s="113"/>
      <c r="E2" s="113"/>
      <c r="F2" s="113"/>
    </row>
    <row r="3" spans="1:9" s="13" customFormat="1" x14ac:dyDescent="0.3">
      <c r="A3" s="57" t="s">
        <v>4</v>
      </c>
      <c r="B3" s="33" t="s">
        <v>172</v>
      </c>
      <c r="C3" s="33" t="s">
        <v>150</v>
      </c>
      <c r="D3" s="33" t="s">
        <v>171</v>
      </c>
      <c r="E3" s="33" t="s">
        <v>169</v>
      </c>
      <c r="F3" s="33" t="s">
        <v>170</v>
      </c>
      <c r="G3" s="33" t="s">
        <v>152</v>
      </c>
    </row>
    <row r="4" spans="1:9" x14ac:dyDescent="0.3">
      <c r="A4" s="6" t="s">
        <v>32</v>
      </c>
      <c r="B4" s="2" t="s">
        <v>160</v>
      </c>
      <c r="C4" s="3">
        <v>14293</v>
      </c>
      <c r="D4" s="46">
        <v>42563</v>
      </c>
      <c r="E4" s="69">
        <f ca="1">$B$2-D4</f>
        <v>702</v>
      </c>
      <c r="F4" s="68"/>
      <c r="G4" s="68"/>
      <c r="I4" s="116" t="s">
        <v>173</v>
      </c>
    </row>
    <row r="5" spans="1:9" x14ac:dyDescent="0.3">
      <c r="A5" s="6" t="s">
        <v>34</v>
      </c>
      <c r="B5" s="2" t="s">
        <v>149</v>
      </c>
      <c r="C5" s="3">
        <v>8569</v>
      </c>
      <c r="D5" s="46">
        <v>42629</v>
      </c>
      <c r="E5" s="69">
        <f t="shared" ref="E5:E12" ca="1" si="0">$B$2-D5</f>
        <v>636</v>
      </c>
      <c r="F5" s="68"/>
      <c r="G5" s="68"/>
      <c r="I5" s="116"/>
    </row>
    <row r="6" spans="1:9" x14ac:dyDescent="0.3">
      <c r="A6" s="6" t="s">
        <v>36</v>
      </c>
      <c r="B6" s="2" t="s">
        <v>160</v>
      </c>
      <c r="C6" s="3">
        <v>12124</v>
      </c>
      <c r="D6" s="46">
        <v>42740</v>
      </c>
      <c r="E6" s="69">
        <f t="shared" ca="1" si="0"/>
        <v>525</v>
      </c>
      <c r="F6" s="68"/>
      <c r="G6" s="68"/>
      <c r="I6" s="116"/>
    </row>
    <row r="7" spans="1:9" x14ac:dyDescent="0.3">
      <c r="A7" s="6" t="s">
        <v>38</v>
      </c>
      <c r="B7" s="2" t="s">
        <v>149</v>
      </c>
      <c r="C7" s="3">
        <v>10067</v>
      </c>
      <c r="D7" s="46">
        <v>42787</v>
      </c>
      <c r="E7" s="69">
        <f t="shared" ca="1" si="0"/>
        <v>478</v>
      </c>
      <c r="F7" s="68"/>
      <c r="G7" s="68"/>
      <c r="I7" s="116"/>
    </row>
    <row r="8" spans="1:9" x14ac:dyDescent="0.3">
      <c r="A8" s="6" t="s">
        <v>40</v>
      </c>
      <c r="B8" s="2" t="s">
        <v>160</v>
      </c>
      <c r="C8" s="3">
        <v>6258</v>
      </c>
      <c r="D8" s="46">
        <v>42865</v>
      </c>
      <c r="E8" s="69">
        <f t="shared" ca="1" si="0"/>
        <v>400</v>
      </c>
      <c r="F8" s="68"/>
      <c r="G8" s="68"/>
      <c r="I8" s="116"/>
    </row>
    <row r="9" spans="1:9" x14ac:dyDescent="0.3">
      <c r="A9" s="6" t="s">
        <v>22</v>
      </c>
      <c r="B9" s="2" t="s">
        <v>160</v>
      </c>
      <c r="C9" s="3">
        <v>4210</v>
      </c>
      <c r="D9" s="46">
        <v>42743</v>
      </c>
      <c r="E9" s="69">
        <f t="shared" ca="1" si="0"/>
        <v>522</v>
      </c>
      <c r="F9" s="68"/>
      <c r="G9" s="68"/>
      <c r="I9" s="116"/>
    </row>
    <row r="10" spans="1:9" x14ac:dyDescent="0.3">
      <c r="A10" s="6" t="s">
        <v>43</v>
      </c>
      <c r="B10" s="2" t="s">
        <v>149</v>
      </c>
      <c r="C10" s="3">
        <v>7374</v>
      </c>
      <c r="D10" s="46">
        <v>42518</v>
      </c>
      <c r="E10" s="69">
        <f t="shared" ca="1" si="0"/>
        <v>747</v>
      </c>
      <c r="F10" s="68"/>
      <c r="G10" s="68"/>
      <c r="I10" s="116"/>
    </row>
    <row r="11" spans="1:9" x14ac:dyDescent="0.3">
      <c r="A11" s="6" t="s">
        <v>45</v>
      </c>
      <c r="B11" s="2" t="s">
        <v>160</v>
      </c>
      <c r="C11" s="3">
        <v>11610</v>
      </c>
      <c r="D11" s="46">
        <v>42807</v>
      </c>
      <c r="E11" s="69">
        <f t="shared" ca="1" si="0"/>
        <v>458</v>
      </c>
      <c r="F11" s="68"/>
      <c r="G11" s="68"/>
      <c r="I11" s="116"/>
    </row>
    <row r="12" spans="1:9" x14ac:dyDescent="0.3">
      <c r="A12" s="6" t="s">
        <v>47</v>
      </c>
      <c r="B12" s="2" t="s">
        <v>149</v>
      </c>
      <c r="C12" s="3">
        <v>12709</v>
      </c>
      <c r="D12" s="46">
        <v>42737</v>
      </c>
      <c r="E12" s="69">
        <f t="shared" ca="1" si="0"/>
        <v>528</v>
      </c>
      <c r="F12" s="68"/>
      <c r="G12" s="68"/>
      <c r="I12" s="116"/>
    </row>
    <row r="13" spans="1:9" x14ac:dyDescent="0.3"/>
  </sheetData>
  <mergeCells count="3">
    <mergeCell ref="C2:F2"/>
    <mergeCell ref="A1:G1"/>
    <mergeCell ref="I4:I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showGridLines="0" zoomScale="130" zoomScaleNormal="130" workbookViewId="0">
      <selection activeCell="A11" sqref="A11:F13"/>
    </sheetView>
  </sheetViews>
  <sheetFormatPr defaultColWidth="0" defaultRowHeight="18.75" zeroHeight="1" x14ac:dyDescent="0.3"/>
  <cols>
    <col min="1" max="1" width="12.09765625" style="13" customWidth="1"/>
    <col min="2" max="2" width="8.796875" style="13" customWidth="1"/>
    <col min="3" max="3" width="15.296875" style="13" customWidth="1"/>
    <col min="4" max="4" width="16.3984375" style="13" customWidth="1"/>
    <col min="5" max="5" width="13.09765625" style="13" customWidth="1"/>
    <col min="6" max="6" width="31.59765625" style="13" customWidth="1"/>
    <col min="7" max="7" width="8.796875" style="13" customWidth="1"/>
    <col min="8" max="10" width="8.796875" style="13" hidden="1" customWidth="1"/>
    <col min="11" max="16384" width="6.3984375" style="13" hidden="1"/>
  </cols>
  <sheetData>
    <row r="1" spans="1:6" x14ac:dyDescent="0.3">
      <c r="A1" s="117" t="s">
        <v>155</v>
      </c>
      <c r="B1" s="117"/>
    </row>
    <row r="2" spans="1:6" x14ac:dyDescent="0.3">
      <c r="A2" s="21" t="s">
        <v>77</v>
      </c>
      <c r="B2" s="21" t="s">
        <v>78</v>
      </c>
      <c r="C2" s="21" t="s">
        <v>79</v>
      </c>
      <c r="D2" s="21" t="s">
        <v>80</v>
      </c>
      <c r="E2" s="21" t="s">
        <v>81</v>
      </c>
      <c r="F2" s="14" t="s">
        <v>7</v>
      </c>
    </row>
    <row r="3" spans="1:6" x14ac:dyDescent="0.3">
      <c r="A3" s="22">
        <v>2008</v>
      </c>
      <c r="B3" s="23" t="s">
        <v>82</v>
      </c>
      <c r="C3" s="23" t="s">
        <v>83</v>
      </c>
      <c r="D3" s="23" t="s">
        <v>84</v>
      </c>
      <c r="E3" s="24">
        <v>69599</v>
      </c>
      <c r="F3" s="60"/>
    </row>
    <row r="4" spans="1:6" x14ac:dyDescent="0.3">
      <c r="A4" s="22">
        <v>2005</v>
      </c>
      <c r="B4" s="23" t="s">
        <v>85</v>
      </c>
      <c r="C4" s="23" t="s">
        <v>86</v>
      </c>
      <c r="D4" s="23" t="s">
        <v>87</v>
      </c>
      <c r="E4" s="24">
        <v>145000</v>
      </c>
      <c r="F4" s="25"/>
    </row>
    <row r="5" spans="1:6" x14ac:dyDescent="0.3">
      <c r="A5" s="22">
        <v>2010</v>
      </c>
      <c r="B5" s="23" t="s">
        <v>88</v>
      </c>
      <c r="C5" s="23" t="s">
        <v>89</v>
      </c>
      <c r="D5" s="23" t="s">
        <v>90</v>
      </c>
      <c r="E5" s="24">
        <v>82000</v>
      </c>
      <c r="F5" s="25"/>
    </row>
    <row r="6" spans="1:6" x14ac:dyDescent="0.3">
      <c r="A6" s="22">
        <v>2016</v>
      </c>
      <c r="B6" s="23" t="s">
        <v>91</v>
      </c>
      <c r="C6" s="23" t="s">
        <v>83</v>
      </c>
      <c r="D6" s="23" t="s">
        <v>92</v>
      </c>
      <c r="E6" s="24">
        <v>89000</v>
      </c>
      <c r="F6" s="25"/>
    </row>
    <row r="7" spans="1:6" x14ac:dyDescent="0.3">
      <c r="A7" s="22">
        <v>2006</v>
      </c>
      <c r="B7" s="23" t="s">
        <v>93</v>
      </c>
      <c r="C7" s="23" t="s">
        <v>94</v>
      </c>
      <c r="D7" s="23" t="s">
        <v>95</v>
      </c>
      <c r="E7" s="24">
        <v>39000</v>
      </c>
      <c r="F7" s="25"/>
    </row>
    <row r="8" spans="1:6" x14ac:dyDescent="0.3">
      <c r="A8" s="26">
        <v>2005</v>
      </c>
      <c r="B8" s="27" t="s">
        <v>91</v>
      </c>
      <c r="C8" s="27" t="s">
        <v>86</v>
      </c>
      <c r="D8" s="27" t="s">
        <v>96</v>
      </c>
      <c r="E8" s="28">
        <v>72000</v>
      </c>
      <c r="F8" s="61"/>
    </row>
    <row r="9" spans="1:6" x14ac:dyDescent="0.3">
      <c r="A9" s="29"/>
      <c r="B9" s="29"/>
      <c r="C9" s="29"/>
      <c r="D9" s="29"/>
      <c r="E9" s="30"/>
      <c r="F9" s="31"/>
    </row>
    <row r="10" spans="1:6" x14ac:dyDescent="0.3">
      <c r="A10" s="29"/>
      <c r="B10" s="29"/>
      <c r="C10" s="29"/>
      <c r="D10" s="29"/>
      <c r="E10" s="30"/>
      <c r="F10" s="31"/>
    </row>
    <row r="11" spans="1:6" ht="15" customHeight="1" x14ac:dyDescent="0.3">
      <c r="A11" s="118" t="s">
        <v>159</v>
      </c>
      <c r="B11" s="119"/>
      <c r="C11" s="119"/>
      <c r="D11" s="119"/>
      <c r="E11" s="119"/>
      <c r="F11" s="119"/>
    </row>
    <row r="12" spans="1:6" ht="15" customHeight="1" x14ac:dyDescent="0.3">
      <c r="A12" s="120"/>
      <c r="B12" s="121"/>
      <c r="C12" s="121"/>
      <c r="D12" s="121"/>
      <c r="E12" s="121"/>
      <c r="F12" s="121"/>
    </row>
    <row r="13" spans="1:6" x14ac:dyDescent="0.3">
      <c r="A13" s="122"/>
      <c r="B13" s="123"/>
      <c r="C13" s="123"/>
      <c r="D13" s="123"/>
      <c r="E13" s="123"/>
      <c r="F13" s="123"/>
    </row>
    <row r="14" spans="1:6" x14ac:dyDescent="0.3"/>
  </sheetData>
  <mergeCells count="2">
    <mergeCell ref="A1:B1"/>
    <mergeCell ref="A11:F1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2"/>
  <sheetViews>
    <sheetView showGridLines="0" zoomScale="130" zoomScaleNormal="130" workbookViewId="0">
      <selection activeCell="C4" sqref="C4:D12"/>
    </sheetView>
  </sheetViews>
  <sheetFormatPr defaultColWidth="0" defaultRowHeight="18.75" zeroHeight="1" x14ac:dyDescent="0.3"/>
  <cols>
    <col min="1" max="1" width="16.59765625" style="13" bestFit="1" customWidth="1"/>
    <col min="2" max="2" width="11.09765625" style="13" bestFit="1" customWidth="1"/>
    <col min="3" max="3" width="9.8984375" style="13" customWidth="1"/>
    <col min="4" max="5" width="12.296875" style="13" customWidth="1"/>
    <col min="6" max="6" width="13.59765625" style="13" bestFit="1" customWidth="1"/>
    <col min="7" max="7" width="12.796875" style="13" customWidth="1"/>
    <col min="8" max="8" width="14.5" style="13" customWidth="1"/>
    <col min="9" max="9" width="8.796875" style="13" customWidth="1"/>
    <col min="10" max="12" width="0" style="13" hidden="1" customWidth="1"/>
    <col min="13" max="16384" width="8.796875" style="13" hidden="1"/>
  </cols>
  <sheetData>
    <row r="1" spans="1:8" customFormat="1" x14ac:dyDescent="0.3">
      <c r="A1" s="127" t="s">
        <v>154</v>
      </c>
      <c r="B1" s="128"/>
      <c r="C1" s="128"/>
      <c r="D1" s="128"/>
      <c r="E1" s="129"/>
    </row>
    <row r="2" spans="1:8" customFormat="1" x14ac:dyDescent="0.3">
      <c r="A2" s="124"/>
      <c r="B2" s="125"/>
      <c r="C2" s="125"/>
      <c r="D2" s="125"/>
      <c r="E2" s="126"/>
    </row>
    <row r="3" spans="1:8" customFormat="1" ht="54.75" customHeight="1" x14ac:dyDescent="0.3">
      <c r="A3" s="33" t="s">
        <v>140</v>
      </c>
      <c r="B3" s="33" t="s">
        <v>133</v>
      </c>
      <c r="C3" s="33" t="s">
        <v>134</v>
      </c>
      <c r="D3" s="34" t="s">
        <v>135</v>
      </c>
      <c r="E3" s="33" t="s">
        <v>139</v>
      </c>
      <c r="F3" s="33" t="s">
        <v>138</v>
      </c>
      <c r="G3" s="33" t="s">
        <v>81</v>
      </c>
      <c r="H3" s="33" t="s">
        <v>148</v>
      </c>
    </row>
    <row r="4" spans="1:8" customFormat="1" x14ac:dyDescent="0.3">
      <c r="A4" s="2" t="s">
        <v>142</v>
      </c>
      <c r="B4" s="2" t="s">
        <v>136</v>
      </c>
      <c r="C4" s="70">
        <v>1</v>
      </c>
      <c r="D4" s="70">
        <v>2</v>
      </c>
      <c r="E4" s="2" t="s">
        <v>73</v>
      </c>
      <c r="F4" s="2" t="s">
        <v>73</v>
      </c>
      <c r="G4" s="3">
        <v>131000</v>
      </c>
      <c r="H4" s="58"/>
    </row>
    <row r="5" spans="1:8" customFormat="1" x14ac:dyDescent="0.3">
      <c r="A5" s="2" t="s">
        <v>141</v>
      </c>
      <c r="B5" s="2" t="s">
        <v>136</v>
      </c>
      <c r="C5" s="70">
        <v>2</v>
      </c>
      <c r="D5" s="70">
        <v>1</v>
      </c>
      <c r="E5" s="2" t="s">
        <v>71</v>
      </c>
      <c r="F5" s="2" t="s">
        <v>73</v>
      </c>
      <c r="G5" s="3">
        <v>147000</v>
      </c>
      <c r="H5" s="58"/>
    </row>
    <row r="6" spans="1:8" customFormat="1" x14ac:dyDescent="0.3">
      <c r="A6" s="2" t="s">
        <v>143</v>
      </c>
      <c r="B6" s="2" t="s">
        <v>136</v>
      </c>
      <c r="C6" s="70">
        <v>2</v>
      </c>
      <c r="D6" s="70">
        <v>2</v>
      </c>
      <c r="E6" s="2" t="s">
        <v>73</v>
      </c>
      <c r="F6" s="2" t="s">
        <v>73</v>
      </c>
      <c r="G6" s="3">
        <v>152000</v>
      </c>
      <c r="H6" s="62"/>
    </row>
    <row r="7" spans="1:8" customFormat="1" x14ac:dyDescent="0.3">
      <c r="A7" s="2" t="s">
        <v>144</v>
      </c>
      <c r="B7" s="2" t="s">
        <v>137</v>
      </c>
      <c r="C7" s="70">
        <v>3</v>
      </c>
      <c r="D7" s="70">
        <v>2</v>
      </c>
      <c r="E7" s="2" t="s">
        <v>71</v>
      </c>
      <c r="F7" s="2" t="s">
        <v>71</v>
      </c>
      <c r="G7" s="3">
        <v>485000</v>
      </c>
      <c r="H7" s="58"/>
    </row>
    <row r="8" spans="1:8" customFormat="1" x14ac:dyDescent="0.3">
      <c r="A8" s="2" t="s">
        <v>143</v>
      </c>
      <c r="B8" s="2" t="s">
        <v>136</v>
      </c>
      <c r="C8" s="70">
        <v>1</v>
      </c>
      <c r="D8" s="70">
        <v>1</v>
      </c>
      <c r="E8" s="6" t="s">
        <v>73</v>
      </c>
      <c r="F8" s="2" t="s">
        <v>73</v>
      </c>
      <c r="G8" s="3">
        <v>128000</v>
      </c>
      <c r="H8" s="58"/>
    </row>
    <row r="9" spans="1:8" customFormat="1" x14ac:dyDescent="0.3">
      <c r="A9" s="2" t="s">
        <v>145</v>
      </c>
      <c r="B9" s="2" t="s">
        <v>136</v>
      </c>
      <c r="C9" s="70">
        <v>3</v>
      </c>
      <c r="D9" s="70">
        <v>2</v>
      </c>
      <c r="E9" s="6" t="s">
        <v>71</v>
      </c>
      <c r="F9" s="2" t="s">
        <v>73</v>
      </c>
      <c r="G9" s="3">
        <v>189000</v>
      </c>
      <c r="H9" s="58"/>
    </row>
    <row r="10" spans="1:8" customFormat="1" x14ac:dyDescent="0.3">
      <c r="A10" s="2" t="s">
        <v>146</v>
      </c>
      <c r="B10" s="2" t="s">
        <v>137</v>
      </c>
      <c r="C10" s="70">
        <v>2</v>
      </c>
      <c r="D10" s="70">
        <v>2</v>
      </c>
      <c r="E10" s="2" t="s">
        <v>71</v>
      </c>
      <c r="F10" s="2" t="s">
        <v>73</v>
      </c>
      <c r="G10" s="3">
        <v>340000</v>
      </c>
      <c r="H10" s="62"/>
    </row>
    <row r="11" spans="1:8" customFormat="1" ht="18.75" customHeight="1" x14ac:dyDescent="0.3">
      <c r="A11" s="2" t="s">
        <v>144</v>
      </c>
      <c r="B11" s="2" t="s">
        <v>137</v>
      </c>
      <c r="C11" s="70">
        <v>2</v>
      </c>
      <c r="D11" s="70">
        <v>1</v>
      </c>
      <c r="E11" s="2" t="s">
        <v>73</v>
      </c>
      <c r="F11" s="2" t="s">
        <v>73</v>
      </c>
      <c r="G11" s="3">
        <v>310000</v>
      </c>
      <c r="H11" s="58"/>
    </row>
    <row r="12" spans="1:8" customFormat="1" x14ac:dyDescent="0.3">
      <c r="A12" s="2" t="s">
        <v>147</v>
      </c>
      <c r="B12" s="2" t="s">
        <v>136</v>
      </c>
      <c r="C12" s="70">
        <v>2</v>
      </c>
      <c r="D12" s="70">
        <v>3</v>
      </c>
      <c r="E12" s="2" t="s">
        <v>73</v>
      </c>
      <c r="F12" s="2" t="s">
        <v>73</v>
      </c>
      <c r="G12" s="3">
        <v>161000</v>
      </c>
      <c r="H12" s="58"/>
    </row>
    <row r="13" spans="1:8" ht="18.75" customHeight="1" x14ac:dyDescent="0.3"/>
    <row r="14" spans="1:8" ht="18.75" customHeight="1" x14ac:dyDescent="0.3">
      <c r="A14" s="130" t="s">
        <v>161</v>
      </c>
      <c r="B14" s="130"/>
      <c r="C14" s="130"/>
      <c r="D14" s="130"/>
      <c r="E14" s="130"/>
      <c r="F14" s="130"/>
      <c r="G14" s="130"/>
      <c r="H14" s="130"/>
    </row>
    <row r="15" spans="1:8" x14ac:dyDescent="0.3">
      <c r="A15" s="130"/>
      <c r="B15" s="130"/>
      <c r="C15" s="130"/>
      <c r="D15" s="130"/>
      <c r="E15" s="130"/>
      <c r="F15" s="130"/>
      <c r="G15" s="130"/>
      <c r="H15" s="130"/>
    </row>
    <row r="16" spans="1:8" x14ac:dyDescent="0.3">
      <c r="A16" s="130"/>
      <c r="B16" s="130"/>
      <c r="C16" s="130"/>
      <c r="D16" s="130"/>
      <c r="E16" s="130"/>
      <c r="F16" s="130"/>
      <c r="G16" s="130"/>
      <c r="H16" s="130"/>
    </row>
    <row r="17" spans="1:8" x14ac:dyDescent="0.3">
      <c r="A17" s="130"/>
      <c r="B17" s="130"/>
      <c r="C17" s="130"/>
      <c r="D17" s="130"/>
      <c r="E17" s="130"/>
      <c r="F17" s="130"/>
      <c r="G17" s="130"/>
      <c r="H17" s="130"/>
    </row>
    <row r="18" spans="1:8" x14ac:dyDescent="0.3">
      <c r="A18" s="32"/>
      <c r="B18" s="32"/>
      <c r="C18" s="32"/>
      <c r="D18" s="32"/>
      <c r="E18" s="32"/>
      <c r="F18" s="32"/>
      <c r="G18" s="32"/>
      <c r="H18" s="32"/>
    </row>
    <row r="19" spans="1:8" hidden="1" x14ac:dyDescent="0.3">
      <c r="A19" s="32"/>
      <c r="B19" s="32"/>
      <c r="C19" s="32"/>
      <c r="D19" s="32"/>
      <c r="E19" s="32"/>
      <c r="F19" s="32"/>
      <c r="G19" s="32"/>
      <c r="H19" s="32"/>
    </row>
    <row r="20" spans="1:8" hidden="1" x14ac:dyDescent="0.3">
      <c r="A20" s="32"/>
      <c r="B20" s="32"/>
      <c r="C20" s="32"/>
      <c r="D20" s="32"/>
      <c r="E20" s="32"/>
      <c r="F20" s="32"/>
      <c r="G20" s="32"/>
      <c r="H20" s="32"/>
    </row>
    <row r="21" spans="1:8" hidden="1" x14ac:dyDescent="0.3"/>
    <row r="22" spans="1:8" hidden="1" x14ac:dyDescent="0.3"/>
  </sheetData>
  <mergeCells count="3">
    <mergeCell ref="A2:E2"/>
    <mergeCell ref="A1:E1"/>
    <mergeCell ref="A14:H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Função SE(E)</vt:lpstr>
      <vt:lpstr>EX1</vt:lpstr>
      <vt:lpstr>EX2</vt:lpstr>
      <vt:lpstr>EX3</vt:lpstr>
      <vt:lpstr>EX4</vt:lpstr>
      <vt:lpstr>Função SE(OU)</vt:lpstr>
      <vt:lpstr>EX6</vt:lpstr>
      <vt:lpstr>EX7</vt:lpstr>
      <vt:lpstr>Desafio I</vt:lpstr>
      <vt:lpstr>Desafio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2018-06-15T01:48:17Z</dcterms:modified>
</cp:coreProperties>
</file>