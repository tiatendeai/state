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EstaPasta_de_trabalho" defaultThemeVersion="124226"/>
  <bookViews>
    <workbookView xWindow="240" yWindow="90" windowWidth="19440" windowHeight="9270"/>
  </bookViews>
  <sheets>
    <sheet name="TABELA" sheetId="2" r:id="rId1"/>
    <sheet name="GRAFICO" sheetId="3" r:id="rId2"/>
  </sheets>
  <definedNames>
    <definedName name="_xlnm.Print_Area" localSheetId="1">GRAFICO!$B$1:$B$40</definedName>
    <definedName name="_xlnm.Print_Area" localSheetId="0">TABELA!$B$2:$O$34</definedName>
    <definedName name="_xlnm.Print_Titles" localSheetId="0">TABELA!$B:$B,TABELA!$5:$11</definedName>
  </definedNames>
  <calcPr calcId="152511"/>
  <pivotCaches>
    <pivotCache cacheId="6" r:id="rId3"/>
  </pivotCaches>
</workbook>
</file>

<file path=xl/calcChain.xml><?xml version="1.0" encoding="utf-8"?>
<calcChain xmlns="http://schemas.openxmlformats.org/spreadsheetml/2006/main">
  <c r="E2" i="2" l="1"/>
  <c r="E3" i="2" l="1"/>
  <c r="B2" i="3" s="1"/>
</calcChain>
</file>

<file path=xl/sharedStrings.xml><?xml version="1.0" encoding="utf-8"?>
<sst xmlns="http://schemas.openxmlformats.org/spreadsheetml/2006/main" count="40" uniqueCount="38">
  <si>
    <t>ENTRADAS</t>
  </si>
  <si>
    <t>(Tudo)</t>
  </si>
  <si>
    <t>FILTROS</t>
  </si>
  <si>
    <t>VER GRÁFICO</t>
  </si>
  <si>
    <t>VER TABELA</t>
  </si>
  <si>
    <t>TIPO</t>
  </si>
  <si>
    <t>Anos</t>
  </si>
  <si>
    <t>Trimestres</t>
  </si>
  <si>
    <t>Meses</t>
  </si>
  <si>
    <t>Total Realizado</t>
  </si>
  <si>
    <t>Total</t>
  </si>
  <si>
    <t>GRUPO</t>
  </si>
  <si>
    <t>R1</t>
  </si>
  <si>
    <t>R2</t>
  </si>
  <si>
    <t>REC1</t>
  </si>
  <si>
    <t>REC2</t>
  </si>
  <si>
    <t>TRANSF</t>
  </si>
  <si>
    <t>DISTRIBUIÇÃO DO FLUXO DE CAIXA REALIZADO POR TIPO E GRUPO</t>
  </si>
  <si>
    <t>PGCRED</t>
  </si>
  <si>
    <t>DSPVAR3</t>
  </si>
  <si>
    <t>DSPVAR4</t>
  </si>
  <si>
    <t>R3</t>
  </si>
  <si>
    <t>DSPVAR5</t>
  </si>
  <si>
    <t>R4</t>
  </si>
  <si>
    <t>DSPVAR6</t>
  </si>
  <si>
    <t>R5</t>
  </si>
  <si>
    <t>DSPVAR7</t>
  </si>
  <si>
    <t>R6</t>
  </si>
  <si>
    <t>DSPVAR8</t>
  </si>
  <si>
    <t>R7</t>
  </si>
  <si>
    <t>DSPVAR9</t>
  </si>
  <si>
    <t>R8</t>
  </si>
  <si>
    <t>DSPVAR10</t>
  </si>
  <si>
    <t>R9</t>
  </si>
  <si>
    <t>DSPVAR11</t>
  </si>
  <si>
    <t>R10</t>
  </si>
  <si>
    <t>DSPVAR12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</si>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</sst>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12"/>
      <color theme="1" tint="0.34998626667073579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7.7"/>
      <color theme="10"/>
      <name val="Calibri"/>
      <family val="2"/>
    </font>
    <font>
      <u/>
      <sz val="11"/>
      <color theme="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0" fillId="0" borderId="0" xfId="0" pivotButton="1"/>
    <xf numFmtId="0" fontId="1" fillId="0" borderId="0" xfId="0" applyFont="1"/>
    <xf numFmtId="0" fontId="2" fillId="3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1" applyFont="1" applyAlignment="1" applyProtection="1">
      <alignment horizontal="right"/>
    </xf>
    <xf numFmtId="0" fontId="0" fillId="0" borderId="0" xfId="0" pivotButton="1" applyAlignment="1">
      <alignment vertical="center"/>
    </xf>
    <xf numFmtId="4" fontId="0" fillId="0" borderId="0" xfId="0" applyNumberFormat="1"/>
    <xf numFmtId="0" fontId="1" fillId="0" borderId="0" xfId="0" applyFont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6" fillId="0" borderId="0" xfId="1" applyFont="1" applyAlignment="1" applyProtection="1">
      <alignment horizontal="right" vertical="center"/>
    </xf>
  </cellXfs>
  <cellStyles count="2">
    <cellStyle name="Hiperlink" xfId="1" builtinId="8"/>
    <cellStyle name="Normal" xfId="0" builtinId="0"/>
  </cellStyles>
  <dxfs count="3">
    <dxf>
      <numFmt numFmtId="4" formatCode="#,##0.00"/>
    </dxf>
    <dxf>
      <alignment vertical="center" readingOrder="0"/>
    </dxf>
    <dxf>
      <alignment vertical="center" readingOrder="0"/>
    </dxf>
  </dxfs>
  <tableStyles count="0" defaultTableStyle="TableStyleMedium2" defaultPivotStyle="PivotStyleLight16"/>
  <colors>
    <mruColors>
      <color rgb="FF37FF91"/>
      <color rgb="FF09FF78"/>
      <color rgb="FFFF9393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pivotSource>
    <c:name>[R005b-Distribuicao-do-Fluxo-de-Caixa-Realizado-por-Tipo-e-Grupo.xlsx]TABELA!Tabela dinâmica1</c:name>
    <c:fmtId val="18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</c:pivotFmt>
      <c:pivotFmt>
        <c:idx val="95"/>
      </c:pivotFmt>
      <c:pivotFmt>
        <c:idx val="96"/>
      </c:pivotFmt>
      <c:pivotFmt>
        <c:idx val="97"/>
      </c:pivotFmt>
      <c:pivotFmt>
        <c:idx val="98"/>
      </c:pivotFmt>
      <c:pivotFmt>
        <c:idx val="99"/>
      </c:pivotFmt>
      <c:pivotFmt>
        <c:idx val="100"/>
      </c:pivotFmt>
      <c:pivotFmt>
        <c:idx val="101"/>
      </c:pivotFmt>
      <c:pivotFmt>
        <c:idx val="102"/>
      </c:pivotFmt>
      <c:pivotFmt>
        <c:idx val="103"/>
      </c:pivotFmt>
      <c:pivotFmt>
        <c:idx val="104"/>
      </c:pivotFmt>
      <c:pivotFmt>
        <c:idx val="105"/>
      </c:pivotFmt>
      <c:pivotFmt>
        <c:idx val="106"/>
      </c:pivotFmt>
      <c:pivotFmt>
        <c:idx val="107"/>
      </c:pivotFmt>
      <c:pivotFmt>
        <c:idx val="108"/>
      </c:pivotFmt>
      <c:pivotFmt>
        <c:idx val="109"/>
      </c:pivotFmt>
      <c:pivotFmt>
        <c:idx val="110"/>
      </c:pivotFmt>
      <c:pivotFmt>
        <c:idx val="111"/>
      </c:pivotFmt>
      <c:pivotFmt>
        <c:idx val="112"/>
      </c:pivotFmt>
      <c:pivotFmt>
        <c:idx val="113"/>
      </c:pivotFmt>
      <c:pivotFmt>
        <c:idx val="114"/>
      </c:pivotFmt>
      <c:pivotFmt>
        <c:idx val="115"/>
      </c:pivotFmt>
      <c:pivotFmt>
        <c:idx val="116"/>
      </c:pivotFmt>
      <c:pivotFmt>
        <c:idx val="117"/>
      </c:pivotFmt>
      <c:pivotFmt>
        <c:idx val="118"/>
      </c:pivotFmt>
      <c:pivotFmt>
        <c:idx val="119"/>
      </c:pivotFmt>
      <c:pivotFmt>
        <c:idx val="120"/>
      </c:pivotFmt>
      <c:pivotFmt>
        <c:idx val="121"/>
      </c:pivotFmt>
      <c:pivotFmt>
        <c:idx val="122"/>
      </c:pivotFmt>
      <c:pivotFmt>
        <c:idx val="123"/>
      </c:pivotFmt>
      <c:pivotFmt>
        <c:idx val="124"/>
      </c:pivotFmt>
      <c:pivotFmt>
        <c:idx val="125"/>
      </c:pivotFmt>
      <c:pivotFmt>
        <c:idx val="126"/>
      </c:pivotFmt>
      <c:pivotFmt>
        <c:idx val="127"/>
      </c:pivotFmt>
      <c:pivotFmt>
        <c:idx val="128"/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</c:pivotFmt>
      <c:pivotFmt>
        <c:idx val="134"/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</c:pivotFmt>
      <c:pivotFmt>
        <c:idx val="151"/>
      </c:pivotFmt>
      <c:pivotFmt>
        <c:idx val="152"/>
      </c:pivotFmt>
      <c:pivotFmt>
        <c:idx val="153"/>
      </c:pivotFmt>
      <c:pivotFmt>
        <c:idx val="154"/>
      </c:pivotFmt>
      <c:pivotFmt>
        <c:idx val="155"/>
      </c:pivotFmt>
      <c:pivotFmt>
        <c:idx val="156"/>
      </c:pivotFmt>
      <c:pivotFmt>
        <c:idx val="157"/>
      </c:pivotFmt>
      <c:pivotFmt>
        <c:idx val="158"/>
      </c:pivotFmt>
      <c:pivotFmt>
        <c:idx val="159"/>
      </c:pivotFmt>
      <c:pivotFmt>
        <c:idx val="160"/>
      </c:pivotFmt>
      <c:pivotFmt>
        <c:idx val="161"/>
      </c:pivotFmt>
      <c:pivotFmt>
        <c:idx val="162"/>
      </c:pivotFmt>
      <c:pivotFmt>
        <c:idx val="163"/>
      </c:pivotFmt>
      <c:pivotFmt>
        <c:idx val="164"/>
      </c:pivotFmt>
      <c:pivotFmt>
        <c:idx val="165"/>
      </c:pivotFmt>
      <c:pivotFmt>
        <c:idx val="166"/>
      </c:pivotFmt>
      <c:pivotFmt>
        <c:idx val="167"/>
      </c:pivotFmt>
      <c:pivotFmt>
        <c:idx val="168"/>
      </c:pivotFmt>
      <c:pivotFmt>
        <c:idx val="169"/>
      </c:pivotFmt>
      <c:pivotFmt>
        <c:idx val="170"/>
      </c:pivotFmt>
      <c:pivotFmt>
        <c:idx val="171"/>
      </c:pivotFmt>
      <c:pivotFmt>
        <c:idx val="172"/>
      </c:pivotFmt>
      <c:pivotFmt>
        <c:idx val="173"/>
      </c:pivotFmt>
      <c:pivotFmt>
        <c:idx val="174"/>
      </c:pivotFmt>
      <c:pivotFmt>
        <c:idx val="175"/>
      </c:pivotFmt>
      <c:pivotFmt>
        <c:idx val="176"/>
      </c:pivotFmt>
      <c:pivotFmt>
        <c:idx val="177"/>
      </c:pivotFmt>
      <c:pivotFmt>
        <c:idx val="178"/>
      </c:pivotFmt>
      <c:pivotFmt>
        <c:idx val="179"/>
      </c:pivotFmt>
      <c:pivotFmt>
        <c:idx val="180"/>
      </c:pivotFmt>
      <c:pivotFmt>
        <c:idx val="181"/>
      </c:pivotFmt>
      <c:pivotFmt>
        <c:idx val="182"/>
      </c:pivotFmt>
      <c:pivotFmt>
        <c:idx val="183"/>
      </c:pivotFmt>
      <c:pivotFmt>
        <c:idx val="184"/>
      </c:pivotFmt>
      <c:pivotFmt>
        <c:idx val="185"/>
      </c:pivotFmt>
      <c:pivotFmt>
        <c:idx val="186"/>
      </c:pivotFmt>
      <c:pivotFmt>
        <c:idx val="187"/>
      </c:pivotFmt>
      <c:pivotFmt>
        <c:idx val="188"/>
      </c:pivotFmt>
      <c:pivotFmt>
        <c:idx val="189"/>
      </c:pivotFmt>
      <c:pivotFmt>
        <c:idx val="190"/>
      </c:pivotFmt>
      <c:pivotFmt>
        <c:idx val="191"/>
      </c:pivotFmt>
      <c:pivotFmt>
        <c:idx val="192"/>
      </c:pivotFmt>
      <c:pivotFmt>
        <c:idx val="193"/>
      </c:pivotFmt>
      <c:pivotFmt>
        <c:idx val="194"/>
      </c:pivotFmt>
      <c:pivotFmt>
        <c:idx val="195"/>
      </c:pivotFmt>
      <c:pivotFmt>
        <c:idx val="196"/>
      </c:pivotFmt>
      <c:pivotFmt>
        <c:idx val="197"/>
      </c:pivotFmt>
      <c:pivotFmt>
        <c:idx val="198"/>
      </c:pivotFmt>
      <c:pivotFmt>
        <c:idx val="199"/>
      </c:pivotFmt>
      <c:pivotFmt>
        <c:idx val="200"/>
      </c:pivotFmt>
      <c:pivotFmt>
        <c:idx val="201"/>
      </c:pivotFmt>
      <c:pivotFmt>
        <c:idx val="202"/>
      </c:pivotFmt>
      <c:pivotFmt>
        <c:idx val="203"/>
      </c:pivotFmt>
      <c:pivotFmt>
        <c:idx val="204"/>
      </c:pivotFmt>
      <c:pivotFmt>
        <c:idx val="205"/>
      </c:pivotFmt>
      <c:pivotFmt>
        <c:idx val="206"/>
      </c:pivotFmt>
      <c:pivotFmt>
        <c:idx val="207"/>
        <c:marker>
          <c:symbol val="none"/>
        </c:marker>
      </c:pivotFmt>
      <c:pivotFmt>
        <c:idx val="208"/>
        <c:marker>
          <c:symbol val="none"/>
        </c:marker>
      </c:pivotFmt>
      <c:pivotFmt>
        <c:idx val="209"/>
        <c:marker>
          <c:symbol val="none"/>
        </c:marker>
      </c:pivotFmt>
      <c:pivotFmt>
        <c:idx val="210"/>
        <c:marker>
          <c:symbol val="none"/>
        </c:marker>
      </c:pivotFmt>
      <c:pivotFmt>
        <c:idx val="211"/>
        <c:marker>
          <c:symbol val="none"/>
        </c:marker>
      </c:pivotFmt>
      <c:pivotFmt>
        <c:idx val="21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1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3"/>
        <c:marker>
          <c:symbol val="none"/>
        </c:marker>
      </c:pivotFmt>
      <c:pivotFmt>
        <c:idx val="21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4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440823412698414E-2"/>
          <c:y val="7.8025509394824957E-2"/>
          <c:w val="0.89832470238095241"/>
          <c:h val="0.83567792397660823"/>
        </c:manualLayout>
      </c:layout>
      <c:pie3DChart>
        <c:varyColors val="1"/>
        <c:ser>
          <c:idx val="0"/>
          <c:order val="0"/>
          <c:tx>
            <c:strRef>
              <c:f>TABELA!$C$10:$C$11</c:f>
              <c:strCache>
                <c:ptCount val="1"/>
                <c:pt idx="0">
                  <c:v>Total</c:v>
                </c:pt>
              </c:strCache>
            </c:strRef>
          </c:tx>
          <c:explosion val="25"/>
          <c:dLbls>
            <c:spPr/>
            <c:txPr>
              <a:bodyPr/>
              <a:lstStyle/>
              <a:p>
                <a:pPr>
                  <a:defRPr/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TABELA!$B$12:$B$36</c:f>
              <c:strCache>
                <c:ptCount val="24"/>
                <c:pt idx="0">
                  <c:v>R1</c:v>
                </c:pt>
                <c:pt idx="1">
                  <c:v>R2</c:v>
                </c:pt>
                <c:pt idx="2">
                  <c:v>REC1</c:v>
                </c:pt>
                <c:pt idx="3">
                  <c:v>REC2</c:v>
                </c:pt>
                <c:pt idx="4">
                  <c:v>TRANSF</c:v>
                </c:pt>
                <c:pt idx="5">
                  <c:v>PGCRED</c:v>
                </c:pt>
                <c:pt idx="6">
                  <c:v>DSPVAR3</c:v>
                </c:pt>
                <c:pt idx="7">
                  <c:v>DSPVAR4</c:v>
                </c:pt>
                <c:pt idx="8">
                  <c:v>R3</c:v>
                </c:pt>
                <c:pt idx="9">
                  <c:v>DSPVAR5</c:v>
                </c:pt>
                <c:pt idx="10">
                  <c:v>R4</c:v>
                </c:pt>
                <c:pt idx="11">
                  <c:v>DSPVAR6</c:v>
                </c:pt>
                <c:pt idx="12">
                  <c:v>R5</c:v>
                </c:pt>
                <c:pt idx="13">
                  <c:v>DSPVAR7</c:v>
                </c:pt>
                <c:pt idx="14">
                  <c:v>R6</c:v>
                </c:pt>
                <c:pt idx="15">
                  <c:v>DSPVAR8</c:v>
                </c:pt>
                <c:pt idx="16">
                  <c:v>R7</c:v>
                </c:pt>
                <c:pt idx="17">
                  <c:v>DSPVAR9</c:v>
                </c:pt>
                <c:pt idx="18">
                  <c:v>R8</c:v>
                </c:pt>
                <c:pt idx="19">
                  <c:v>DSPVAR10</c:v>
                </c:pt>
                <c:pt idx="20">
                  <c:v>R9</c:v>
                </c:pt>
                <c:pt idx="21">
                  <c:v>DSPVAR11</c:v>
                </c:pt>
                <c:pt idx="22">
                  <c:v>R10</c:v>
                </c:pt>
                <c:pt idx="23">
                  <c:v>DSPVAR12</c:v>
                </c:pt>
              </c:strCache>
            </c:strRef>
          </c:cat>
          <c:val>
            <c:numRef>
              <c:f>TABELA!$C$12:$C$36</c:f>
              <c:numCache>
                <c:formatCode>#,##0.00</c:formatCode>
                <c:ptCount val="24"/>
                <c:pt idx="0">
                  <c:v>2583.36</c:v>
                </c:pt>
                <c:pt idx="1">
                  <c:v>2296.3200000000002</c:v>
                </c:pt>
                <c:pt idx="2">
                  <c:v>331374.92000000004</c:v>
                </c:pt>
                <c:pt idx="3">
                  <c:v>9473.0000000000018</c:v>
                </c:pt>
                <c:pt idx="4">
                  <c:v>68000</c:v>
                </c:pt>
                <c:pt idx="5">
                  <c:v>132500</c:v>
                </c:pt>
                <c:pt idx="6">
                  <c:v>2180</c:v>
                </c:pt>
                <c:pt idx="7">
                  <c:v>4180</c:v>
                </c:pt>
                <c:pt idx="8">
                  <c:v>2296.3200000000002</c:v>
                </c:pt>
                <c:pt idx="9">
                  <c:v>6180</c:v>
                </c:pt>
                <c:pt idx="10">
                  <c:v>2296.3200000000002</c:v>
                </c:pt>
                <c:pt idx="11">
                  <c:v>8180</c:v>
                </c:pt>
                <c:pt idx="12">
                  <c:v>2296.3200000000002</c:v>
                </c:pt>
                <c:pt idx="13">
                  <c:v>10180</c:v>
                </c:pt>
                <c:pt idx="14">
                  <c:v>2296.3200000000002</c:v>
                </c:pt>
                <c:pt idx="15">
                  <c:v>12180</c:v>
                </c:pt>
                <c:pt idx="16">
                  <c:v>2296.3200000000002</c:v>
                </c:pt>
                <c:pt idx="17">
                  <c:v>14180</c:v>
                </c:pt>
                <c:pt idx="18">
                  <c:v>2296.3200000000002</c:v>
                </c:pt>
                <c:pt idx="19">
                  <c:v>16180</c:v>
                </c:pt>
                <c:pt idx="20">
                  <c:v>2296.3200000000002</c:v>
                </c:pt>
                <c:pt idx="21">
                  <c:v>18180</c:v>
                </c:pt>
                <c:pt idx="22">
                  <c:v>2296.3200000000002</c:v>
                </c:pt>
                <c:pt idx="23">
                  <c:v>10090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dTable>
        <c:showHorzBorder val="1"/>
        <c:showVertBorder val="1"/>
        <c:showOutline val="0"/>
        <c:showKeys val="1"/>
      </c:dTable>
    </c:plotArea>
    <c:plotVisOnly val="1"/>
    <c:dispBlanksAs val="zero"/>
    <c:showDLblsOverMax val="0"/>
  </c:chart>
  <c:spPr>
    <a:ln>
      <a:noFill/>
    </a:ln>
  </c:spPr>
  <c:txPr>
    <a:bodyPr/>
    <a:lstStyle/>
    <a:p>
      <a:pPr>
        <a:defRPr sz="1800"/>
      </a:pPr>
      <a:endParaRPr lang="pt-BR"/>
    </a:p>
  </c:txPr>
  <c:printSettings>
    <c:headerFooter/>
    <c:pageMargins b="0.78740157499999996" l="0.511811024" r="0.511811024" t="0.78740157499999996" header="0.31496062000000152" footer="0.31496062000000152"/>
    <c:pageSetup orientation="portrait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3</xdr:row>
      <xdr:rowOff>152400</xdr:rowOff>
    </xdr:from>
    <xdr:to>
      <xdr:col>3</xdr:col>
      <xdr:colOff>416610</xdr:colOff>
      <xdr:row>5</xdr:row>
      <xdr:rowOff>42986</xdr:rowOff>
    </xdr:to>
    <xdr:sp macro="" textlink="">
      <xdr:nvSpPr>
        <xdr:cNvPr id="22" name="Seta para a direita 21"/>
        <xdr:cNvSpPr/>
      </xdr:nvSpPr>
      <xdr:spPr>
        <a:xfrm rot="10800000">
          <a:off x="2463800" y="2260600"/>
          <a:ext cx="365810" cy="271586"/>
        </a:xfrm>
        <a:prstGeom prst="rightArrow">
          <a:avLst>
            <a:gd name="adj1" fmla="val 36466"/>
            <a:gd name="adj2" fmla="val 77223"/>
          </a:avLst>
        </a:prstGeom>
        <a:solidFill>
          <a:schemeClr val="accent6">
            <a:lumMod val="75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71438</xdr:rowOff>
    </xdr:from>
    <xdr:to>
      <xdr:col>2</xdr:col>
      <xdr:colOff>31125</xdr:colOff>
      <xdr:row>39</xdr:row>
      <xdr:rowOff>53438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gusto\Desktop\rei%20das%20planilhas\reidasplanilhas-base-dados-lancamentos.xlsx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utor" refreshedDate="41936.441349884262" createdVersion="4" refreshedVersion="5" minRefreshableVersion="3" recordCount="1048575">
  <cacheSource type="worksheet">
    <worksheetSource ref="A1:H1048576" sheet="LANÇAMENTOS" r:id="rId1"/>
  </cacheSource>
  <cacheFields count="13">
    <cacheField name="DSEM" numFmtId="0">
      <sharedItems containsBlank="1"/>
    </cacheField>
    <cacheField name="DMES" numFmtId="0">
      <sharedItems containsBlank="1"/>
    </cacheField>
    <cacheField name="TIPO" numFmtId="0">
      <sharedItems containsBlank="1" count="4">
        <s v="E"/>
        <s v="S"/>
        <s v=""/>
        <m/>
      </sharedItems>
    </cacheField>
    <cacheField name="DATA" numFmtId="0">
      <sharedItems containsNonDate="0" containsDate="1" containsString="0" containsBlank="1" minDate="2012-01-02T00:00:00" maxDate="2012-12-21T00:00:00" count="355"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m/>
      </sharedItems>
      <fieldGroup par="10" base="3">
        <rangePr groupBy="days" startDate="2012-01-02T00:00:00" endDate="2012-12-21T00:00:00"/>
        <groupItems count="368">
          <s v="(vazio)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1/12/2012"/>
        </groupItems>
      </fieldGroup>
    </cacheField>
    <cacheField name="CONTA" numFmtId="0">
      <sharedItems containsBlank="1" count="7">
        <s v="BCO A"/>
        <s v="BCO B"/>
        <s v="DINH"/>
        <s v="CCRED"/>
        <m/>
        <s v="A" u="1"/>
        <s v="B" u="1"/>
      </sharedItems>
    </cacheField>
    <cacheField name="GRUPO" numFmtId="0">
      <sharedItems containsBlank="1" count="34">
        <s v="REC1"/>
        <s v="DSPVAR2"/>
        <s v="REC2"/>
        <s v="TRANSF"/>
        <s v="DSPVAR1"/>
        <s v="R1"/>
        <s v="PGCRED"/>
        <s v="DSPVAR3"/>
        <s v="R2"/>
        <s v="DSPVAR4"/>
        <s v="R3"/>
        <s v="DSPVAR5"/>
        <s v="R4"/>
        <s v="DSPVAR6"/>
        <s v="R5"/>
        <s v="DSPVAR7"/>
        <s v="R6"/>
        <s v="DSPVAR8"/>
        <s v="R7"/>
        <s v="DSPVAR9"/>
        <s v="R8"/>
        <s v="DSPVAR10"/>
        <s v="R9"/>
        <s v="DSPVAR11"/>
        <s v="R10"/>
        <s v="DSPVAR12"/>
        <m/>
        <s v="DV1" u="1"/>
        <s v="DV2" u="1"/>
        <s v="DV3" u="1"/>
        <s v="DV4" u="1"/>
        <s v="DV5" u="1"/>
        <s v="DF1" u="1"/>
        <s v="DF2" u="1"/>
      </sharedItems>
    </cacheField>
    <cacheField name="PREVISTO" numFmtId="0">
      <sharedItems containsString="0" containsBlank="1" containsNumber="1" minValue="-4390" maxValue="4000"/>
    </cacheField>
    <cacheField name="REALIZADO" numFmtId="0">
      <sharedItems containsString="0" containsBlank="1" containsNumber="1" minValue="-4000" maxValue="4000"/>
    </cacheField>
    <cacheField name="Meses" numFmtId="0" databaseField="0">
      <fieldGroup base="3">
        <rangePr groupBy="months" startDate="2012-01-02T00:00:00" endDate="2012-12-21T00:00:00"/>
        <groupItems count="14">
          <s v="&lt;02/01/2012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1/12/2012"/>
        </groupItems>
      </fieldGroup>
    </cacheField>
    <cacheField name="Trimestres" numFmtId="0" databaseField="0">
      <fieldGroup base="3">
        <rangePr groupBy="quarters" startDate="2012-01-02T00:00:00" endDate="2012-12-21T00:00:00"/>
        <groupItems count="6">
          <s v="&lt;02/01/2012"/>
          <s v="Trim1"/>
          <s v="Trim2"/>
          <s v="Trim3"/>
          <s v="Trim4"/>
          <s v="&gt;21/12/2012"/>
        </groupItems>
      </fieldGroup>
    </cacheField>
    <cacheField name="Anos" numFmtId="0" databaseField="0">
      <fieldGroup base="3">
        <rangePr groupBy="years" startDate="2012-01-02T00:00:00" endDate="2012-12-21T00:00:00"/>
        <groupItems count="3">
          <s v="&lt;02/01/2012"/>
          <s v="2012"/>
          <s v="&gt;21/12/2012"/>
        </groupItems>
      </fieldGroup>
    </cacheField>
    <cacheField name="ABS_PREVISTO" numFmtId="0" formula=" ABS(PREVISTO)" databaseField="0"/>
    <cacheField name="ABS_REALIZADO" numFmtId="0" formula=" ABS(#NAME?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6" applyNumberFormats="0" applyBorderFormats="0" applyFontFormats="0" applyPatternFormats="0" applyAlignmentFormats="0" applyWidthHeightFormats="1" dataCaption="Valores" updatedVersion="5" minRefreshableVersion="3" fieldPrintTitles="1" itemPrintTitles="1" createdVersion="4" indent="0" compact="0" compactData="0" gridDropZones="1" multipleFieldFilters="0" chartFormat="19" fieldListSortAscending="1">
  <location ref="B10:C36" firstHeaderRow="2" firstDataRow="2" firstDataCol="1" rowPageCount="4" colPageCount="1"/>
  <pivotFields count="13">
    <pivotField compact="0" outline="0" showAll="0" defaultSubtotal="0"/>
    <pivotField compact="0" outline="0" showAll="0" defaultSubtotal="0"/>
    <pivotField axis="axisPage" compact="0" outline="0" multipleItemSelectionAllowed="1" showAll="0" insertBlankRow="1" sortType="ascending">
      <items count="5">
        <item h="1" x="2"/>
        <item n="ENTRADAS" x="0"/>
        <item n="SAÍDAS" h="1" x="1"/>
        <item h="1" x="3"/>
        <item t="default"/>
      </items>
    </pivotField>
    <pivotField compact="0" outline="0" showAll="0" insertBlankRow="1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 insertBlankRow="1">
      <items count="8">
        <item x="4"/>
        <item m="1" x="5"/>
        <item m="1" x="6"/>
        <item x="0"/>
        <item x="1"/>
        <item x="2"/>
        <item x="3"/>
        <item t="default"/>
      </items>
    </pivotField>
    <pivotField axis="axisRow" compact="0" outline="0" showAll="0" insertBlankRow="1">
      <items count="35">
        <item x="26"/>
        <item m="1" x="27"/>
        <item m="1" x="32"/>
        <item m="1" x="28"/>
        <item m="1" x="29"/>
        <item x="5"/>
        <item m="1" x="33"/>
        <item m="1" x="30"/>
        <item m="1" x="31"/>
        <item x="8"/>
        <item x="0"/>
        <item x="1"/>
        <item x="2"/>
        <item x="3"/>
        <item x="4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outline="0" showAll="0" defaultSubtotal="0"/>
    <pivotField dataField="1" compact="0" outline="0" showAll="0" defaultSubtotal="0"/>
    <pivotField axis="axisPage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Page" compact="0" outline="0" showAll="0" defaultSubtotal="0">
      <items count="6">
        <item x="1"/>
        <item x="2"/>
        <item x="3"/>
        <item x="4"/>
        <item x="0"/>
        <item x="5"/>
      </items>
    </pivotField>
    <pivotField axis="axisPage" compact="0" outline="0" showAll="0" defaultSubtotal="0">
      <items count="3">
        <item x="0"/>
        <item x="1"/>
        <item x="2"/>
      </items>
    </pivotField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5"/>
  </rowFields>
  <rowItems count="25">
    <i>
      <x v="5"/>
    </i>
    <i>
      <x v="9"/>
    </i>
    <i>
      <x v="10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pageFields count="4">
    <pageField fld="2" hier="-1"/>
    <pageField fld="10" hier="-1"/>
    <pageField fld="9" hier="-1"/>
    <pageField fld="8" hier="-1"/>
  </pageFields>
  <dataFields count="1">
    <dataField name="Total Realizado" fld="7" baseField="5" baseItem="1" numFmtId="4"/>
  </dataFields>
  <formats count="3">
    <format dxfId="2">
      <pivotArea field="4" type="button" dataOnly="0" labelOnly="1" outline="0"/>
    </format>
    <format dxfId="1">
      <pivotArea field="5" type="button" dataOnly="0" labelOnly="1" outline="0" axis="axisRow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8" format="213" series="1">
      <pivotArea type="data" outline="0" fieldPosition="0"/>
    </chartFormat>
    <chartFormat chart="18" format="2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BX36"/>
  <sheetViews>
    <sheetView showGridLines="0" tabSelected="1" zoomScale="75" zoomScaleNormal="75" zoomScaleSheetLayoutView="80" workbookViewId="0">
      <selection sqref="A1:XFD1"/>
    </sheetView>
  </sheetViews>
  <sheetFormatPr defaultColWidth="0" defaultRowHeight="15" x14ac:dyDescent="0.25"/>
  <cols>
    <col min="1" max="1" width="2.7109375" customWidth="1"/>
    <col min="2" max="15" width="16.7109375" customWidth="1"/>
    <col min="16" max="16" width="2.7109375" customWidth="1"/>
    <col min="17" max="22" width="10.5703125" hidden="1" customWidth="1"/>
    <col min="23" max="23" width="12.28515625" hidden="1" customWidth="1"/>
    <col min="24" max="24" width="11.5703125" hidden="1" customWidth="1"/>
    <col min="25" max="26" width="10.5703125" hidden="1" customWidth="1"/>
    <col min="27" max="27" width="13.5703125" hidden="1" customWidth="1"/>
    <col min="28" max="29" width="10.85546875" hidden="1" customWidth="1"/>
    <col min="30" max="30" width="14" hidden="1" customWidth="1"/>
    <col min="31" max="32" width="10.42578125" hidden="1" customWidth="1"/>
    <col min="33" max="33" width="13.140625" hidden="1" customWidth="1"/>
    <col min="34" max="35" width="12.5703125" hidden="1" customWidth="1"/>
    <col min="36" max="36" width="13.28515625" hidden="1" customWidth="1"/>
    <col min="37" max="38" width="10.5703125" hidden="1" customWidth="1"/>
    <col min="39" max="39" width="13.140625" hidden="1" customWidth="1"/>
    <col min="40" max="41" width="10.85546875" hidden="1" customWidth="1"/>
    <col min="42" max="42" width="14" hidden="1" customWidth="1"/>
    <col min="43" max="44" width="10.5703125" hidden="1" customWidth="1"/>
    <col min="45" max="45" width="13.42578125" hidden="1" customWidth="1"/>
    <col min="46" max="47" width="11.5703125" hidden="1" customWidth="1"/>
    <col min="48" max="48" width="13.42578125" hidden="1" customWidth="1"/>
    <col min="49" max="50" width="11.5703125" hidden="1" customWidth="1"/>
    <col min="51" max="51" width="13.28515625" hidden="1" customWidth="1"/>
    <col min="52" max="53" width="11.5703125" hidden="1" customWidth="1"/>
    <col min="54" max="54" width="12.5703125" hidden="1" customWidth="1"/>
    <col min="55" max="56" width="11.5703125" hidden="1" customWidth="1"/>
    <col min="57" max="57" width="13.85546875" hidden="1" customWidth="1"/>
    <col min="58" max="59" width="11.5703125" hidden="1" customWidth="1"/>
    <col min="60" max="60" width="12.7109375" hidden="1" customWidth="1"/>
    <col min="61" max="62" width="11.5703125" hidden="1" customWidth="1"/>
    <col min="63" max="63" width="13.5703125" hidden="1" customWidth="1"/>
    <col min="64" max="65" width="11.5703125" hidden="1" customWidth="1"/>
    <col min="66" max="66" width="14" hidden="1" customWidth="1"/>
    <col min="67" max="68" width="11.5703125" hidden="1" customWidth="1"/>
    <col min="69" max="69" width="13.140625" hidden="1" customWidth="1"/>
    <col min="70" max="70" width="13.28515625" hidden="1" customWidth="1"/>
    <col min="71" max="71" width="17.7109375" hidden="1" customWidth="1"/>
    <col min="72" max="72" width="13.28515625" hidden="1" customWidth="1"/>
    <col min="73" max="74" width="17.7109375" hidden="1" customWidth="1"/>
    <col min="75" max="75" width="13.28515625" hidden="1" customWidth="1"/>
    <col min="76" max="76" width="17.7109375" hidden="1" customWidth="1"/>
    <col min="77" max="16384" width="9.140625" hidden="1"/>
  </cols>
  <sheetData>
    <row r="1" spans="2:14" ht="8.1" customHeight="1" x14ac:dyDescent="0.25"/>
    <row r="2" spans="2:14" s="4" customFormat="1" ht="48" customHeight="1" x14ac:dyDescent="0.4">
      <c r="B2" s="12" t="s">
        <v>2</v>
      </c>
      <c r="C2" s="12"/>
      <c r="E2" s="13" t="str">
        <f>GRAFICO!B1</f>
        <v>DISTRIBUIÇÃO DO FLUXO DE CAIXA REALIZADO POR TIPO E GRUPO</v>
      </c>
      <c r="F2" s="13"/>
      <c r="G2" s="13"/>
      <c r="H2" s="13"/>
      <c r="I2" s="13"/>
      <c r="J2" s="13"/>
      <c r="K2" s="13"/>
      <c r="L2" s="13"/>
      <c r="M2" s="13"/>
      <c r="N2" s="13"/>
    </row>
    <row r="3" spans="2:14" s="5" customFormat="1" ht="20.100000000000001" customHeight="1" x14ac:dyDescent="0.25">
      <c r="B3" s="3"/>
      <c r="C3" s="3"/>
      <c r="E3" s="14" t="str">
        <f>SUBSTITUTE("PARÂMETROS DE CONSULTA: "&amp;IF(C4&lt;&gt;"",", "&amp;B4&amp;"="&amp;C4,"")&amp;IF(C5&lt;&gt;"",", "&amp;B5&amp;"="&amp;C5,"")&amp;IF(C6&lt;&gt;"",", "&amp;B6&amp;"="&amp;C6,"")&amp;IF(C7&lt;&gt;"",", "&amp;B7&amp;"="&amp;C7,"")&amp;IF(C8&lt;&gt;"",", "&amp;B8&amp;"="&amp;C8,"")&amp;IF(C9&lt;&gt;"",", "&amp;B9&amp;"="&amp;C9,""),": , ",": ")</f>
        <v>PARÂMETROS DE CONSULTA: TIPO=ENTRADAS, Anos=(Tudo), Trimestres=(Tudo), Meses=(Tudo)</v>
      </c>
      <c r="F3" s="14"/>
      <c r="G3" s="14"/>
      <c r="H3" s="14"/>
      <c r="I3" s="14"/>
      <c r="J3" s="14"/>
      <c r="K3" s="14"/>
      <c r="L3" s="14"/>
      <c r="M3" s="14"/>
      <c r="N3" s="14"/>
    </row>
    <row r="4" spans="2:14" s="5" customFormat="1" ht="15" customHeight="1" x14ac:dyDescent="0.25">
      <c r="B4"/>
      <c r="C4"/>
      <c r="E4" s="15" t="s">
        <v>3</v>
      </c>
      <c r="F4" s="15"/>
      <c r="G4" s="15"/>
      <c r="H4" s="15"/>
      <c r="I4" s="15"/>
      <c r="J4" s="15"/>
      <c r="K4" s="15"/>
      <c r="L4" s="15"/>
      <c r="M4" s="15"/>
      <c r="N4" s="15"/>
    </row>
    <row r="5" spans="2:14" s="7" customFormat="1" ht="15" customHeight="1" x14ac:dyDescent="0.25">
      <c r="B5" s="1" t="s">
        <v>5</v>
      </c>
      <c r="C5" t="s">
        <v>0</v>
      </c>
    </row>
    <row r="6" spans="2:14" s="7" customFormat="1" ht="15" customHeight="1" x14ac:dyDescent="0.25">
      <c r="B6" s="1" t="s">
        <v>6</v>
      </c>
      <c r="C6" t="s">
        <v>1</v>
      </c>
    </row>
    <row r="7" spans="2:14" s="7" customFormat="1" ht="15" customHeight="1" x14ac:dyDescent="0.25">
      <c r="B7" s="1" t="s">
        <v>7</v>
      </c>
      <c r="C7" t="s">
        <v>1</v>
      </c>
    </row>
    <row r="8" spans="2:14" s="7" customFormat="1" ht="15" customHeight="1" x14ac:dyDescent="0.25">
      <c r="B8" s="1" t="s">
        <v>8</v>
      </c>
      <c r="C8" t="s">
        <v>1</v>
      </c>
    </row>
    <row r="9" spans="2:14" s="7" customFormat="1" x14ac:dyDescent="0.25"/>
    <row r="10" spans="2:14" x14ac:dyDescent="0.25">
      <c r="B10" s="1" t="s">
        <v>9</v>
      </c>
    </row>
    <row r="11" spans="2:14" x14ac:dyDescent="0.25">
      <c r="B11" s="9" t="s">
        <v>11</v>
      </c>
      <c r="C11" t="s">
        <v>10</v>
      </c>
    </row>
    <row r="12" spans="2:14" x14ac:dyDescent="0.25">
      <c r="B12" t="s">
        <v>12</v>
      </c>
      <c r="C12" s="10">
        <v>2583.36</v>
      </c>
    </row>
    <row r="13" spans="2:14" x14ac:dyDescent="0.25">
      <c r="B13" t="s">
        <v>13</v>
      </c>
      <c r="C13" s="10">
        <v>2296.3200000000002</v>
      </c>
    </row>
    <row r="14" spans="2:14" x14ac:dyDescent="0.25">
      <c r="B14" t="s">
        <v>14</v>
      </c>
      <c r="C14" s="10">
        <v>331374.92000000004</v>
      </c>
    </row>
    <row r="15" spans="2:14" x14ac:dyDescent="0.25">
      <c r="B15" t="s">
        <v>15</v>
      </c>
      <c r="C15" s="10">
        <v>9473.0000000000018</v>
      </c>
    </row>
    <row r="16" spans="2:14" x14ac:dyDescent="0.25">
      <c r="B16" t="s">
        <v>16</v>
      </c>
      <c r="C16" s="10">
        <v>68000</v>
      </c>
    </row>
    <row r="17" spans="2:3" x14ac:dyDescent="0.25">
      <c r="B17" t="s">
        <v>18</v>
      </c>
      <c r="C17" s="10">
        <v>132500</v>
      </c>
    </row>
    <row r="18" spans="2:3" x14ac:dyDescent="0.25">
      <c r="B18" t="s">
        <v>19</v>
      </c>
      <c r="C18" s="10">
        <v>2180</v>
      </c>
    </row>
    <row r="19" spans="2:3" x14ac:dyDescent="0.25">
      <c r="B19" t="s">
        <v>20</v>
      </c>
      <c r="C19" s="10">
        <v>4180</v>
      </c>
    </row>
    <row r="20" spans="2:3" x14ac:dyDescent="0.25">
      <c r="B20" t="s">
        <v>21</v>
      </c>
      <c r="C20" s="10">
        <v>2296.3200000000002</v>
      </c>
    </row>
    <row r="21" spans="2:3" x14ac:dyDescent="0.25">
      <c r="B21" t="s">
        <v>22</v>
      </c>
      <c r="C21" s="10">
        <v>6180</v>
      </c>
    </row>
    <row r="22" spans="2:3" x14ac:dyDescent="0.25">
      <c r="B22" t="s">
        <v>23</v>
      </c>
      <c r="C22" s="10">
        <v>2296.3200000000002</v>
      </c>
    </row>
    <row r="23" spans="2:3" x14ac:dyDescent="0.25">
      <c r="B23" t="s">
        <v>24</v>
      </c>
      <c r="C23" s="10">
        <v>8180</v>
      </c>
    </row>
    <row r="24" spans="2:3" x14ac:dyDescent="0.25">
      <c r="B24" t="s">
        <v>25</v>
      </c>
      <c r="C24" s="10">
        <v>2296.3200000000002</v>
      </c>
    </row>
    <row r="25" spans="2:3" x14ac:dyDescent="0.25">
      <c r="B25" t="s">
        <v>26</v>
      </c>
      <c r="C25" s="10">
        <v>10180</v>
      </c>
    </row>
    <row r="26" spans="2:3" x14ac:dyDescent="0.25">
      <c r="B26" t="s">
        <v>27</v>
      </c>
      <c r="C26" s="10">
        <v>2296.3200000000002</v>
      </c>
    </row>
    <row r="27" spans="2:3" x14ac:dyDescent="0.25">
      <c r="B27" t="s">
        <v>28</v>
      </c>
      <c r="C27" s="10">
        <v>12180</v>
      </c>
    </row>
    <row r="28" spans="2:3" x14ac:dyDescent="0.25">
      <c r="B28" t="s">
        <v>29</v>
      </c>
      <c r="C28" s="10">
        <v>2296.3200000000002</v>
      </c>
    </row>
    <row r="29" spans="2:3" x14ac:dyDescent="0.25">
      <c r="B29" t="s">
        <v>30</v>
      </c>
      <c r="C29" s="10">
        <v>14180</v>
      </c>
    </row>
    <row r="30" spans="2:3" x14ac:dyDescent="0.25">
      <c r="B30" t="s">
        <v>31</v>
      </c>
      <c r="C30" s="10">
        <v>2296.3200000000002</v>
      </c>
    </row>
    <row r="31" spans="2:3" x14ac:dyDescent="0.25">
      <c r="B31" t="s">
        <v>32</v>
      </c>
      <c r="C31" s="10">
        <v>16180</v>
      </c>
    </row>
    <row r="32" spans="2:3" x14ac:dyDescent="0.25">
      <c r="B32" t="s">
        <v>33</v>
      </c>
      <c r="C32" s="10">
        <v>2296.3200000000002</v>
      </c>
    </row>
    <row r="33" spans="2:3" x14ac:dyDescent="0.25">
      <c r="B33" t="s">
        <v>34</v>
      </c>
      <c r="C33" s="10">
        <v>18180</v>
      </c>
    </row>
    <row r="34" spans="2:3" x14ac:dyDescent="0.25">
      <c r="B34" t="s">
        <v>35</v>
      </c>
      <c r="C34" s="10">
        <v>2296.3200000000002</v>
      </c>
    </row>
    <row r="35" spans="2:3" x14ac:dyDescent="0.25">
      <c r="B35" t="s">
        <v>36</v>
      </c>
      <c r="C35" s="10">
        <v>10090</v>
      </c>
    </row>
    <row r="36" spans="2:3" x14ac:dyDescent="0.25">
      <c r="B36" t="s">
        <v>37</v>
      </c>
      <c r="C36" s="10">
        <v>666308.15999999968</v>
      </c>
    </row>
  </sheetData>
  <mergeCells count="4">
    <mergeCell ref="B2:C2"/>
    <mergeCell ref="E2:N2"/>
    <mergeCell ref="E3:N3"/>
    <mergeCell ref="E4:N4"/>
  </mergeCells>
  <hyperlinks>
    <hyperlink ref="E4:N4" location="GRAFICO!A1" display="VER GRÁFICO"/>
  </hyperlinks>
  <pageMargins left="0.51181102362204722" right="0.51181102362204722" top="0.78740157480314965" bottom="0.78740157480314965" header="0.31496062992125984" footer="0.31496062992125984"/>
  <pageSetup paperSize="9" scale="55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showGridLines="0" showRowColHeaders="0" zoomScale="70" zoomScaleNormal="70" workbookViewId="0">
      <selection activeCell="B2" sqref="B2"/>
    </sheetView>
  </sheetViews>
  <sheetFormatPr defaultColWidth="0" defaultRowHeight="15" zeroHeight="1" x14ac:dyDescent="0.25"/>
  <cols>
    <col min="1" max="1" width="2.7109375" customWidth="1"/>
    <col min="2" max="2" width="150.7109375" customWidth="1"/>
    <col min="3" max="3" width="2.7109375" customWidth="1"/>
    <col min="4" max="16384" width="9.140625" hidden="1"/>
  </cols>
  <sheetData>
    <row r="1" spans="1:3" ht="48" customHeight="1" x14ac:dyDescent="0.4">
      <c r="A1" s="2"/>
      <c r="B1" s="11" t="s">
        <v>17</v>
      </c>
      <c r="C1" s="4"/>
    </row>
    <row r="2" spans="1:3" s="7" customFormat="1" ht="20.100000000000001" customHeight="1" x14ac:dyDescent="0.25">
      <c r="A2" s="5"/>
      <c r="B2" s="6" t="str">
        <f>TRIM(TABELA!E3)</f>
        <v>PARÂMETROS DE CONSULTA: TIPO=ENTRADAS, Anos=(Tudo), Trimestres=(Tudo), Meses=(Tudo)</v>
      </c>
      <c r="C2" s="5"/>
    </row>
    <row r="3" spans="1:3" x14ac:dyDescent="0.25">
      <c r="B3" s="8" t="s">
        <v>4</v>
      </c>
    </row>
    <row r="4" spans="1:3" x14ac:dyDescent="0.25"/>
    <row r="5" spans="1:3" x14ac:dyDescent="0.25"/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</sheetData>
  <hyperlinks>
    <hyperlink ref="B3" location="TABELA!A1" display="VER TABELA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TABELA</vt:lpstr>
      <vt:lpstr>GRAFICO</vt:lpstr>
      <vt:lpstr>GRAFICO!Area_de_impressao</vt:lpstr>
      <vt:lpstr>TABELA!Area_de_impressao</vt:lpstr>
      <vt:lpstr>TABELA!Titulos_de_impressao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2011-12-31T12:10:05Z</dcterms:created>
  <dcterms:modified xsi:type="dcterms:W3CDTF">2014-10-24T12:35:47Z</dcterms:modified>
</cp:coreProperties>
</file>