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45" windowWidth="19815" windowHeight="7665"/>
  </bookViews>
  <sheets>
    <sheet name="Apresentação" sheetId="3" r:id="rId1"/>
    <sheet name="Horas Trabalhadas" sheetId="2" r:id="rId2"/>
  </sheets>
  <externalReferences>
    <externalReference r:id="rId3"/>
    <externalReference r:id="rId4"/>
    <externalReference r:id="rId5"/>
    <externalReference r:id="rId6"/>
  </externalReferences>
  <definedNames>
    <definedName name="_xlnm.Print_Area" localSheetId="1">'Horas Trabalhadas'!$A$1:$H$39</definedName>
    <definedName name="Categoria">[1]Cadastros!$A$3:$A$8</definedName>
    <definedName name="Departamento">[1]Cadastros!$F$2:$F$11</definedName>
    <definedName name="Depósito">'[2]Prestação de Serviço'!$G$24</definedName>
    <definedName name="horas">#REF!</definedName>
    <definedName name="ListaCategoriaPresentes">'[3]INFO DA LISTA'!$D$5:$D$11</definedName>
    <definedName name="ListaPessoas">'[3]INFO DA LISTA'!$B$5:$B$11</definedName>
    <definedName name="NomeCobrança">'[2]Prestação de Serviço'!$B$10</definedName>
    <definedName name="PesquisaCliente">[2]!ListadeClientes[Nome da Empresa]</definedName>
    <definedName name="prioridades">[4]formulas!$A$3:$A$7</definedName>
    <definedName name="Segmentação_de_dados_Categoria_do_presente">#N/A</definedName>
    <definedName name="Segmentação_de_dados_Comprado">#N/A</definedName>
    <definedName name="Segmentação_de_dados_Para">#N/A</definedName>
    <definedName name="Segmentação_de_dados_Status_de_embrulho">#N/A</definedName>
    <definedName name="Segmentação_de_dados_Status_de_entreda">#N/A</definedName>
    <definedName name="SubtotalNotaFiscal">'[2]Prestação de Serviço'!$G$23</definedName>
  </definedNames>
  <calcPr calcId="124519"/>
</workbook>
</file>

<file path=xl/calcChain.xml><?xml version="1.0" encoding="utf-8"?>
<calcChain xmlns="http://schemas.openxmlformats.org/spreadsheetml/2006/main">
  <c r="E9" i="2"/>
  <c r="G9" s="1"/>
  <c r="H9" s="1"/>
  <c r="E10"/>
  <c r="G10" s="1"/>
  <c r="H10" s="1"/>
  <c r="E11"/>
  <c r="G11"/>
  <c r="E12"/>
  <c r="G12" s="1"/>
  <c r="E13"/>
  <c r="G13" s="1"/>
  <c r="H13" s="1"/>
  <c r="E14"/>
  <c r="E15"/>
  <c r="E16"/>
  <c r="G16" s="1"/>
  <c r="E17"/>
  <c r="G17" s="1"/>
  <c r="H17" s="1"/>
  <c r="E18"/>
  <c r="E19"/>
  <c r="G19" s="1"/>
  <c r="E20"/>
  <c r="G20" s="1"/>
  <c r="E21"/>
  <c r="G21" s="1"/>
  <c r="H21" s="1"/>
  <c r="E22"/>
  <c r="G22" s="1"/>
  <c r="H22" s="1"/>
  <c r="E23"/>
  <c r="G23" s="1"/>
  <c r="E24"/>
  <c r="G24" s="1"/>
  <c r="E25"/>
  <c r="G25" s="1"/>
  <c r="H25" s="1"/>
  <c r="E26"/>
  <c r="G26" s="1"/>
  <c r="H26" s="1"/>
  <c r="E27"/>
  <c r="E28"/>
  <c r="G28" s="1"/>
  <c r="E29"/>
  <c r="E30"/>
  <c r="G30" s="1"/>
  <c r="H30" s="1"/>
  <c r="E31"/>
  <c r="E32"/>
  <c r="G32" s="1"/>
  <c r="E33"/>
  <c r="G33" s="1"/>
  <c r="H33" s="1"/>
  <c r="E34"/>
  <c r="E35"/>
  <c r="G35" s="1"/>
  <c r="E36"/>
  <c r="G36" s="1"/>
  <c r="E37"/>
  <c r="G37" s="1"/>
  <c r="H37" s="1"/>
  <c r="E38"/>
  <c r="E39"/>
  <c r="G39" l="1"/>
  <c r="H39" s="1"/>
  <c r="H35"/>
  <c r="G31"/>
  <c r="H31" s="1"/>
  <c r="G29"/>
  <c r="H29" s="1"/>
  <c r="G27"/>
  <c r="H27" s="1"/>
  <c r="H23"/>
  <c r="H19"/>
  <c r="G15"/>
  <c r="H15" s="1"/>
  <c r="H11"/>
  <c r="H24"/>
  <c r="H16"/>
  <c r="H12"/>
  <c r="H36"/>
  <c r="H32"/>
  <c r="H28"/>
  <c r="H20"/>
  <c r="G38"/>
  <c r="H38" s="1"/>
  <c r="G34"/>
  <c r="H34" s="1"/>
  <c r="G18"/>
  <c r="H18" s="1"/>
  <c r="G14"/>
  <c r="H14" s="1"/>
  <c r="G6" l="1"/>
</calcChain>
</file>

<file path=xl/sharedStrings.xml><?xml version="1.0" encoding="utf-8"?>
<sst xmlns="http://schemas.openxmlformats.org/spreadsheetml/2006/main" count="23" uniqueCount="22">
  <si>
    <t>INTERVALO (em horas)</t>
  </si>
  <si>
    <t>SAÍDA</t>
  </si>
  <si>
    <t>ENTRADA</t>
  </si>
  <si>
    <t>VALOR DIÁRIO C/ HORAS EXTRAS</t>
  </si>
  <si>
    <t>HORA EXTRA</t>
  </si>
  <si>
    <t>CARGA HORÁRIA DIÁRIA</t>
  </si>
  <si>
    <t>HORAS TRABALHADAS</t>
  </si>
  <si>
    <t>HORÁRIO TRABALHADO</t>
  </si>
  <si>
    <t>DIA</t>
  </si>
  <si>
    <t>Salário Mensal:</t>
  </si>
  <si>
    <t>Salário/Hora:</t>
  </si>
  <si>
    <t>Período trabalhado:</t>
  </si>
  <si>
    <t>Cargo/função:</t>
  </si>
  <si>
    <t>Departamento:</t>
  </si>
  <si>
    <t>Nome do funcionário:</t>
  </si>
  <si>
    <t>Planilha Grátis</t>
  </si>
  <si>
    <t>SIGE Cloud - O ERP online mais completo do Brasil</t>
  </si>
  <si>
    <t>Faça um teste gratuito durante 15 dias: sigecloud.com.br/ativacao</t>
  </si>
  <si>
    <t>Controle de Horas Trabalhadas</t>
  </si>
  <si>
    <t>Planilha para verificar a jornada de trabalho</t>
  </si>
  <si>
    <t>Na próxima planilha você deve modificar apenas os campos brancos, sem modificar os campos azuis, pois eles possuem fórmulas que farão cálculos automáticos. No início da planilha você terá um cabeçalho, para identificar o controle realizado. Utilize dois pontos : para diferenciar horas e minutos.</t>
  </si>
  <si>
    <t>Planilha produzida exclusivamente para o Blog SIGE Cloud</t>
  </si>
</sst>
</file>

<file path=xl/styles.xml><?xml version="1.0" encoding="utf-8"?>
<styleSheet xmlns="http://schemas.openxmlformats.org/spreadsheetml/2006/main">
  <numFmts count="4">
    <numFmt numFmtId="164" formatCode="_(* #,##0.00_);_(* \(#,##0.00\);_(* &quot;-&quot;??_);_(@_)"/>
    <numFmt numFmtId="165" formatCode="_(&quot;R$ &quot;* #,##0.00_);_(&quot;R$ &quot;* \(#,##0.00\);_(&quot;R$ &quot;* &quot;-&quot;??_);_(@_)"/>
    <numFmt numFmtId="166" formatCode="h:mm"/>
    <numFmt numFmtId="167" formatCode="h:mm;@"/>
  </numFmts>
  <fonts count="21">
    <font>
      <sz val="11"/>
      <color theme="1"/>
      <name val="Calibri"/>
      <family val="2"/>
      <scheme val="minor"/>
    </font>
    <font>
      <sz val="11"/>
      <color theme="0"/>
      <name val="Calibri"/>
      <family val="2"/>
      <scheme val="minor"/>
    </font>
    <font>
      <sz val="10"/>
      <color theme="1"/>
      <name val="Arial"/>
      <family val="2"/>
    </font>
    <font>
      <u/>
      <sz val="10"/>
      <color theme="10"/>
      <name val="Arial"/>
      <family val="2"/>
    </font>
    <font>
      <sz val="10"/>
      <name val="Arial"/>
      <family val="2"/>
    </font>
    <font>
      <b/>
      <sz val="24"/>
      <color theme="1"/>
      <name val="Calibri"/>
      <family val="2"/>
      <scheme val="minor"/>
    </font>
    <font>
      <sz val="8"/>
      <name val="Arial"/>
      <family val="2"/>
    </font>
    <font>
      <sz val="11"/>
      <name val="Calibri"/>
      <family val="2"/>
      <scheme val="minor"/>
    </font>
    <font>
      <b/>
      <sz val="11"/>
      <name val="Calibri"/>
      <family val="2"/>
      <scheme val="minor"/>
    </font>
    <font>
      <b/>
      <sz val="8"/>
      <name val="Arial"/>
      <family val="2"/>
    </font>
    <font>
      <b/>
      <sz val="13"/>
      <color theme="0"/>
      <name val="Calibri"/>
      <family val="2"/>
      <scheme val="minor"/>
    </font>
    <font>
      <b/>
      <sz val="22"/>
      <color theme="1"/>
      <name val="Trebuchet MS"/>
      <family val="2"/>
    </font>
    <font>
      <b/>
      <sz val="26"/>
      <color theme="1"/>
      <name val="Trebuchet MS"/>
      <family val="2"/>
    </font>
    <font>
      <sz val="10"/>
      <name val="Trebuchet MS"/>
      <family val="2"/>
    </font>
    <font>
      <sz val="11"/>
      <color theme="1"/>
      <name val="Trebuchet MS"/>
      <family val="2"/>
    </font>
    <font>
      <b/>
      <sz val="14"/>
      <color theme="1"/>
      <name val="Trebuchet MS"/>
      <family val="2"/>
    </font>
    <font>
      <sz val="12"/>
      <color theme="1"/>
      <name val="Trebuchet MS"/>
      <family val="2"/>
    </font>
    <font>
      <sz val="14"/>
      <color theme="1"/>
      <name val="Trebuchet MS"/>
      <family val="2"/>
    </font>
    <font>
      <sz val="10"/>
      <color theme="3"/>
      <name val="Calibri"/>
      <family val="2"/>
      <scheme val="minor"/>
    </font>
    <font>
      <u/>
      <sz val="10"/>
      <color rgb="FF00B0F0"/>
      <name val="Trebuchet MS"/>
      <family val="2"/>
    </font>
    <font>
      <b/>
      <sz val="16"/>
      <color theme="1"/>
      <name val="Trebuchet MS"/>
      <family val="2"/>
    </font>
  </fonts>
  <fills count="7">
    <fill>
      <patternFill patternType="none"/>
    </fill>
    <fill>
      <patternFill patternType="gray125"/>
    </fill>
    <fill>
      <patternFill patternType="solid">
        <fgColor rgb="FF00B0F0"/>
        <bgColor indexed="64"/>
      </patternFill>
    </fill>
    <fill>
      <patternFill patternType="solid">
        <fgColor theme="5" tint="0.749992370372631"/>
        <bgColor indexed="65"/>
      </patternFill>
    </fill>
    <fill>
      <patternFill patternType="solid">
        <fgColor theme="5"/>
        <bgColor auto="1"/>
      </patternFill>
    </fill>
    <fill>
      <patternFill patternType="solid">
        <fgColor indexed="9"/>
        <bgColor indexed="64"/>
      </patternFill>
    </fill>
    <fill>
      <patternFill patternType="solid">
        <fgColor theme="4" tint="0.79998168889431442"/>
        <bgColor indexed="64"/>
      </patternFill>
    </fill>
  </fills>
  <borders count="16">
    <border>
      <left/>
      <right/>
      <top/>
      <bottom/>
      <diagonal/>
    </border>
    <border>
      <left style="thin">
        <color auto="1"/>
      </left>
      <right/>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style="thin">
        <color auto="1"/>
      </top>
      <bottom/>
      <diagonal/>
    </border>
    <border>
      <left style="thin">
        <color auto="1"/>
      </left>
      <right/>
      <top style="thin">
        <color auto="1"/>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2">
    <xf numFmtId="0" fontId="0" fillId="0" borderId="0"/>
    <xf numFmtId="0" fontId="2" fillId="0" borderId="0"/>
    <xf numFmtId="0" fontId="3" fillId="0" borderId="0" applyNumberFormat="0" applyFill="0" applyBorder="0" applyAlignment="0" applyProtection="0">
      <alignment vertical="top"/>
      <protection locked="0"/>
    </xf>
    <xf numFmtId="0" fontId="5" fillId="3" borderId="0"/>
    <xf numFmtId="0" fontId="1" fillId="4" borderId="0"/>
    <xf numFmtId="0" fontId="4" fillId="0" borderId="0"/>
    <xf numFmtId="0" fontId="4" fillId="0" borderId="0" applyFont="0" applyFill="0" applyBorder="0" applyAlignment="0" applyProtection="0"/>
    <xf numFmtId="0" fontId="4" fillId="0" borderId="0" applyFont="0" applyFill="0" applyBorder="0" applyAlignment="0" applyProtection="0"/>
    <xf numFmtId="0" fontId="4" fillId="0" borderId="0"/>
    <xf numFmtId="0" fontId="18" fillId="0" borderId="0" applyNumberFormat="0" applyBorder="0" applyAlignment="0" applyProtection="0"/>
    <xf numFmtId="0" fontId="3" fillId="0" borderId="0" applyNumberFormat="0" applyFill="0" applyBorder="0" applyAlignment="0" applyProtection="0">
      <alignment vertical="top"/>
      <protection locked="0"/>
    </xf>
    <xf numFmtId="9" fontId="4" fillId="0" borderId="0" applyFont="0" applyFill="0" applyBorder="0" applyAlignment="0" applyProtection="0"/>
  </cellStyleXfs>
  <cellXfs count="73">
    <xf numFmtId="0" fontId="0" fillId="0" borderId="0" xfId="0"/>
    <xf numFmtId="0" fontId="4" fillId="5" borderId="0" xfId="5" applyFill="1" applyProtection="1">
      <protection hidden="1"/>
    </xf>
    <xf numFmtId="164" fontId="4" fillId="5" borderId="0" xfId="6" applyNumberFormat="1" applyFill="1" applyProtection="1">
      <protection hidden="1"/>
    </xf>
    <xf numFmtId="46" fontId="4" fillId="5" borderId="0" xfId="6" applyNumberFormat="1" applyFill="1" applyProtection="1">
      <protection hidden="1"/>
    </xf>
    <xf numFmtId="0" fontId="6" fillId="0" borderId="0" xfId="5" applyFont="1" applyFill="1" applyAlignment="1" applyProtection="1">
      <alignment vertical="center"/>
      <protection hidden="1"/>
    </xf>
    <xf numFmtId="165" fontId="7" fillId="6" borderId="9" xfId="7" applyNumberFormat="1" applyFont="1" applyFill="1" applyBorder="1" applyAlignment="1" applyProtection="1">
      <alignment horizontal="center" vertical="center"/>
      <protection hidden="1"/>
    </xf>
    <xf numFmtId="166" fontId="7" fillId="6" borderId="9" xfId="5" applyNumberFormat="1" applyFont="1" applyFill="1" applyBorder="1" applyAlignment="1" applyProtection="1">
      <alignment horizontal="center"/>
    </xf>
    <xf numFmtId="167" fontId="7" fillId="5" borderId="10" xfId="5" applyNumberFormat="1" applyFont="1" applyFill="1" applyBorder="1" applyAlignment="1" applyProtection="1">
      <alignment horizontal="center"/>
      <protection hidden="1"/>
    </xf>
    <xf numFmtId="20" fontId="7" fillId="6" borderId="9" xfId="5" applyNumberFormat="1" applyFont="1" applyFill="1" applyBorder="1" applyAlignment="1">
      <alignment horizontal="center"/>
    </xf>
    <xf numFmtId="167" fontId="7" fillId="0" borderId="9" xfId="6" applyNumberFormat="1" applyFont="1" applyFill="1" applyBorder="1" applyAlignment="1" applyProtection="1">
      <alignment horizontal="center"/>
      <protection hidden="1"/>
    </xf>
    <xf numFmtId="0" fontId="8" fillId="6" borderId="9" xfId="5" applyFont="1" applyFill="1" applyBorder="1" applyAlignment="1" applyProtection="1">
      <alignment horizontal="center"/>
      <protection hidden="1"/>
    </xf>
    <xf numFmtId="165" fontId="7" fillId="6" borderId="11" xfId="7" applyNumberFormat="1" applyFont="1" applyFill="1" applyBorder="1" applyAlignment="1" applyProtection="1">
      <alignment horizontal="center" vertical="center"/>
      <protection hidden="1"/>
    </xf>
    <xf numFmtId="167" fontId="7" fillId="5" borderId="2" xfId="5" applyNumberFormat="1" applyFont="1" applyFill="1" applyBorder="1" applyAlignment="1" applyProtection="1">
      <alignment horizontal="center"/>
      <protection hidden="1"/>
    </xf>
    <xf numFmtId="167" fontId="7" fillId="0" borderId="11" xfId="6" applyNumberFormat="1" applyFont="1" applyFill="1" applyBorder="1" applyAlignment="1" applyProtection="1">
      <alignment horizontal="center"/>
      <protection hidden="1"/>
    </xf>
    <xf numFmtId="0" fontId="8" fillId="6" borderId="11" xfId="5" applyFont="1" applyFill="1" applyBorder="1" applyAlignment="1" applyProtection="1">
      <alignment horizontal="center"/>
      <protection hidden="1"/>
    </xf>
    <xf numFmtId="0" fontId="6" fillId="5" borderId="0" xfId="5" applyFont="1" applyFill="1" applyAlignment="1" applyProtection="1">
      <alignment vertical="center"/>
      <protection hidden="1"/>
    </xf>
    <xf numFmtId="0" fontId="9" fillId="5" borderId="0" xfId="5" applyFont="1" applyFill="1" applyAlignment="1" applyProtection="1">
      <alignment horizontal="center"/>
      <protection hidden="1"/>
    </xf>
    <xf numFmtId="167" fontId="9" fillId="5" borderId="0" xfId="5" applyNumberFormat="1" applyFont="1" applyFill="1" applyAlignment="1" applyProtection="1">
      <alignment horizontal="center"/>
      <protection hidden="1"/>
    </xf>
    <xf numFmtId="46" fontId="8" fillId="6" borderId="9" xfId="6" applyNumberFormat="1" applyFont="1" applyFill="1" applyBorder="1" applyAlignment="1" applyProtection="1">
      <alignment horizontal="center" vertical="center" wrapText="1"/>
      <protection hidden="1"/>
    </xf>
    <xf numFmtId="0" fontId="9" fillId="5" borderId="0" xfId="5" applyFont="1" applyFill="1" applyAlignment="1" applyProtection="1">
      <alignment horizontal="center" wrapText="1"/>
      <protection hidden="1"/>
    </xf>
    <xf numFmtId="0" fontId="9" fillId="5" borderId="0" xfId="5" applyFont="1" applyFill="1" applyAlignment="1" applyProtection="1">
      <alignment vertical="top"/>
      <protection hidden="1"/>
    </xf>
    <xf numFmtId="0" fontId="8" fillId="5" borderId="2" xfId="5" applyFont="1" applyFill="1" applyBorder="1" applyAlignment="1" applyProtection="1">
      <alignment vertical="top"/>
      <protection hidden="1"/>
    </xf>
    <xf numFmtId="0" fontId="8" fillId="5" borderId="4" xfId="5" applyFont="1" applyFill="1" applyBorder="1" applyAlignment="1" applyProtection="1">
      <alignment vertical="top"/>
      <protection hidden="1"/>
    </xf>
    <xf numFmtId="0" fontId="8" fillId="5" borderId="3" xfId="5" applyFont="1" applyFill="1" applyBorder="1" applyAlignment="1" applyProtection="1">
      <alignment vertical="top"/>
      <protection hidden="1"/>
    </xf>
    <xf numFmtId="0" fontId="8" fillId="5" borderId="5" xfId="5" applyFont="1" applyFill="1" applyBorder="1" applyAlignment="1" applyProtection="1">
      <protection hidden="1"/>
    </xf>
    <xf numFmtId="0" fontId="8" fillId="5" borderId="0" xfId="5" applyFont="1" applyFill="1" applyBorder="1" applyAlignment="1" applyProtection="1">
      <protection hidden="1"/>
    </xf>
    <xf numFmtId="0" fontId="7" fillId="5" borderId="1" xfId="5" applyFont="1" applyFill="1" applyBorder="1" applyAlignment="1" applyProtection="1">
      <alignment vertical="top"/>
      <protection hidden="1"/>
    </xf>
    <xf numFmtId="0" fontId="4" fillId="0" borderId="0" xfId="8"/>
    <xf numFmtId="0" fontId="4" fillId="2" borderId="0" xfId="8" applyFill="1"/>
    <xf numFmtId="0" fontId="12" fillId="0" borderId="0" xfId="8" applyFont="1"/>
    <xf numFmtId="0" fontId="13" fillId="0" borderId="0" xfId="8" applyFont="1"/>
    <xf numFmtId="0" fontId="16" fillId="0" borderId="0" xfId="8" applyFont="1"/>
    <xf numFmtId="0" fontId="19" fillId="0" borderId="0" xfId="9" applyFont="1" applyAlignment="1">
      <alignment horizontal="left" vertical="center"/>
    </xf>
    <xf numFmtId="0" fontId="11" fillId="0" borderId="0" xfId="8" applyFont="1" applyAlignment="1">
      <alignment horizontal="center"/>
    </xf>
    <xf numFmtId="0" fontId="14" fillId="0" borderId="0" xfId="8" applyFont="1" applyAlignment="1">
      <alignment horizontal="center"/>
    </xf>
    <xf numFmtId="0" fontId="15" fillId="0" borderId="0" xfId="8" applyFont="1" applyAlignment="1">
      <alignment horizontal="left"/>
    </xf>
    <xf numFmtId="0" fontId="16" fillId="0" borderId="0" xfId="8" applyFont="1" applyAlignment="1">
      <alignment horizontal="left" vertical="center" wrapText="1"/>
    </xf>
    <xf numFmtId="0" fontId="17" fillId="0" borderId="0" xfId="8" applyFont="1" applyAlignment="1">
      <alignment horizontal="left"/>
    </xf>
    <xf numFmtId="0" fontId="8" fillId="6" borderId="12" xfId="5" applyFont="1" applyFill="1" applyBorder="1" applyAlignment="1" applyProtection="1">
      <alignment horizontal="center" vertical="center" wrapText="1"/>
      <protection hidden="1"/>
    </xf>
    <xf numFmtId="0" fontId="8" fillId="6" borderId="11" xfId="5" applyFont="1" applyFill="1" applyBorder="1" applyAlignment="1" applyProtection="1">
      <alignment horizontal="center" vertical="center" wrapText="1"/>
      <protection hidden="1"/>
    </xf>
    <xf numFmtId="46" fontId="8" fillId="6" borderId="14" xfId="6" applyNumberFormat="1" applyFont="1" applyFill="1" applyBorder="1" applyAlignment="1" applyProtection="1">
      <alignment horizontal="center" vertical="center" wrapText="1"/>
      <protection hidden="1"/>
    </xf>
    <xf numFmtId="46" fontId="8" fillId="6" borderId="13" xfId="6" applyNumberFormat="1" applyFont="1" applyFill="1" applyBorder="1" applyAlignment="1" applyProtection="1">
      <alignment horizontal="center" vertical="center" wrapText="1"/>
      <protection hidden="1"/>
    </xf>
    <xf numFmtId="46" fontId="8" fillId="6" borderId="10" xfId="6" applyNumberFormat="1" applyFont="1" applyFill="1" applyBorder="1" applyAlignment="1" applyProtection="1">
      <alignment horizontal="center" vertical="center" wrapText="1"/>
      <protection hidden="1"/>
    </xf>
    <xf numFmtId="0" fontId="10" fillId="2" borderId="14" xfId="5" applyFont="1" applyFill="1" applyBorder="1" applyAlignment="1" applyProtection="1">
      <alignment horizontal="center"/>
      <protection hidden="1"/>
    </xf>
    <xf numFmtId="0" fontId="10" fillId="2" borderId="13" xfId="5" applyFont="1" applyFill="1" applyBorder="1" applyAlignment="1" applyProtection="1">
      <alignment horizontal="center"/>
      <protection hidden="1"/>
    </xf>
    <xf numFmtId="0" fontId="10" fillId="2" borderId="10" xfId="5" applyFont="1" applyFill="1" applyBorder="1" applyAlignment="1" applyProtection="1">
      <alignment horizontal="center"/>
      <protection hidden="1"/>
    </xf>
    <xf numFmtId="0" fontId="8" fillId="6" borderId="7" xfId="5" applyFont="1" applyFill="1" applyBorder="1" applyAlignment="1" applyProtection="1">
      <alignment vertical="center"/>
      <protection hidden="1"/>
    </xf>
    <xf numFmtId="0" fontId="8" fillId="6" borderId="8" xfId="5" applyFont="1" applyFill="1" applyBorder="1" applyAlignment="1" applyProtection="1">
      <alignment vertical="center"/>
      <protection hidden="1"/>
    </xf>
    <xf numFmtId="0" fontId="8" fillId="6" borderId="6" xfId="5" applyFont="1" applyFill="1" applyBorder="1" applyAlignment="1" applyProtection="1">
      <alignment vertical="center"/>
      <protection hidden="1"/>
    </xf>
    <xf numFmtId="164" fontId="8" fillId="6" borderId="7" xfId="6" applyNumberFormat="1" applyFont="1" applyFill="1" applyBorder="1" applyAlignment="1" applyProtection="1">
      <alignment horizontal="left" vertical="center"/>
      <protection hidden="1"/>
    </xf>
    <xf numFmtId="164" fontId="8" fillId="6" borderId="8" xfId="6" applyNumberFormat="1" applyFont="1" applyFill="1" applyBorder="1" applyAlignment="1" applyProtection="1">
      <alignment horizontal="left" vertical="center"/>
      <protection hidden="1"/>
    </xf>
    <xf numFmtId="164" fontId="8" fillId="6" borderId="6" xfId="6" applyNumberFormat="1" applyFont="1" applyFill="1" applyBorder="1" applyAlignment="1" applyProtection="1">
      <alignment horizontal="left" vertical="center"/>
      <protection hidden="1"/>
    </xf>
    <xf numFmtId="0" fontId="8" fillId="6" borderId="7" xfId="5" applyFont="1" applyFill="1" applyBorder="1" applyAlignment="1" applyProtection="1">
      <alignment horizontal="left" vertical="center"/>
      <protection hidden="1"/>
    </xf>
    <xf numFmtId="0" fontId="8" fillId="6" borderId="8" xfId="5" applyFont="1" applyFill="1" applyBorder="1" applyAlignment="1" applyProtection="1">
      <alignment horizontal="left" vertical="center"/>
      <protection hidden="1"/>
    </xf>
    <xf numFmtId="0" fontId="8" fillId="6" borderId="6" xfId="5" applyFont="1" applyFill="1" applyBorder="1" applyAlignment="1" applyProtection="1">
      <alignment horizontal="left" vertical="center"/>
      <protection hidden="1"/>
    </xf>
    <xf numFmtId="0" fontId="7" fillId="5" borderId="3" xfId="5" applyFont="1" applyFill="1" applyBorder="1" applyAlignment="1" applyProtection="1">
      <alignment horizontal="left" vertical="center"/>
      <protection hidden="1"/>
    </xf>
    <xf numFmtId="0" fontId="7" fillId="5" borderId="4" xfId="5" applyFont="1" applyFill="1" applyBorder="1" applyAlignment="1" applyProtection="1">
      <alignment horizontal="left" vertical="center"/>
      <protection hidden="1"/>
    </xf>
    <xf numFmtId="0" fontId="7" fillId="5" borderId="2" xfId="5" applyFont="1" applyFill="1" applyBorder="1" applyAlignment="1" applyProtection="1">
      <alignment horizontal="left" vertical="center"/>
      <protection hidden="1"/>
    </xf>
    <xf numFmtId="0" fontId="8" fillId="5" borderId="3" xfId="5" applyFont="1" applyFill="1" applyBorder="1" applyAlignment="1" applyProtection="1">
      <alignment horizontal="left" vertical="center"/>
      <protection hidden="1"/>
    </xf>
    <xf numFmtId="0" fontId="8" fillId="5" borderId="4" xfId="5" applyFont="1" applyFill="1" applyBorder="1" applyAlignment="1" applyProtection="1">
      <alignment horizontal="left" vertical="center"/>
      <protection hidden="1"/>
    </xf>
    <xf numFmtId="0" fontId="8" fillId="5" borderId="2" xfId="5" applyFont="1" applyFill="1" applyBorder="1" applyAlignment="1" applyProtection="1">
      <alignment horizontal="left" vertical="center"/>
      <protection hidden="1"/>
    </xf>
    <xf numFmtId="0" fontId="8" fillId="6" borderId="14" xfId="5" applyFont="1" applyFill="1" applyBorder="1" applyAlignment="1" applyProtection="1">
      <alignment horizontal="left" vertical="center"/>
      <protection hidden="1"/>
    </xf>
    <xf numFmtId="0" fontId="8" fillId="6" borderId="13" xfId="5" applyFont="1" applyFill="1" applyBorder="1" applyAlignment="1" applyProtection="1">
      <alignment horizontal="left" vertical="center"/>
      <protection hidden="1"/>
    </xf>
    <xf numFmtId="165" fontId="8" fillId="5" borderId="13" xfId="7" applyNumberFormat="1" applyFont="1" applyFill="1" applyBorder="1" applyAlignment="1" applyProtection="1">
      <alignment horizontal="center" vertical="center"/>
      <protection hidden="1"/>
    </xf>
    <xf numFmtId="165" fontId="8" fillId="5" borderId="10" xfId="7" applyNumberFormat="1" applyFont="1" applyFill="1" applyBorder="1" applyAlignment="1" applyProtection="1">
      <alignment horizontal="center" vertical="center"/>
      <protection hidden="1"/>
    </xf>
    <xf numFmtId="0" fontId="8" fillId="6" borderId="14" xfId="5" applyFont="1" applyFill="1" applyBorder="1" applyAlignment="1" applyProtection="1">
      <alignment horizontal="left" vertical="top"/>
      <protection hidden="1"/>
    </xf>
    <xf numFmtId="0" fontId="8" fillId="6" borderId="13" xfId="5" applyFont="1" applyFill="1" applyBorder="1" applyAlignment="1" applyProtection="1">
      <alignment horizontal="left" vertical="top"/>
      <protection hidden="1"/>
    </xf>
    <xf numFmtId="165" fontId="8" fillId="6" borderId="13" xfId="7" applyNumberFormat="1" applyFont="1" applyFill="1" applyBorder="1" applyAlignment="1" applyProtection="1">
      <alignment horizontal="center" vertical="top"/>
      <protection hidden="1"/>
    </xf>
    <xf numFmtId="165" fontId="8" fillId="6" borderId="10" xfId="7" applyNumberFormat="1" applyFont="1" applyFill="1" applyBorder="1" applyAlignment="1" applyProtection="1">
      <alignment horizontal="center" vertical="top"/>
      <protection hidden="1"/>
    </xf>
    <xf numFmtId="46" fontId="8" fillId="6" borderId="12" xfId="6" applyNumberFormat="1" applyFont="1" applyFill="1" applyBorder="1" applyAlignment="1" applyProtection="1">
      <alignment horizontal="center" vertical="center" wrapText="1"/>
      <protection hidden="1"/>
    </xf>
    <xf numFmtId="0" fontId="8" fillId="6" borderId="15" xfId="5" applyFont="1" applyFill="1" applyBorder="1" applyAlignment="1" applyProtection="1">
      <alignment horizontal="center" vertical="center"/>
      <protection hidden="1"/>
    </xf>
    <xf numFmtId="0" fontId="8" fillId="6" borderId="11" xfId="5" applyFont="1" applyFill="1" applyBorder="1" applyAlignment="1" applyProtection="1">
      <alignment horizontal="center" vertical="center"/>
      <protection hidden="1"/>
    </xf>
    <xf numFmtId="0" fontId="20" fillId="0" borderId="0" xfId="8" applyFont="1" applyAlignment="1">
      <alignment horizontal="center"/>
    </xf>
  </cellXfs>
  <cellStyles count="12">
    <cellStyle name="Custom Style  1" xfId="3"/>
    <cellStyle name="Custom Style 2" xfId="4"/>
    <cellStyle name="Hyperlink" xfId="9" builtinId="8"/>
    <cellStyle name="Hyperlink 2" xfId="2"/>
    <cellStyle name="Hyperlink 2 2" xfId="10"/>
    <cellStyle name="Moeda 2" xfId="7"/>
    <cellStyle name="Normal" xfId="0" builtinId="0"/>
    <cellStyle name="Normal 2" xfId="1"/>
    <cellStyle name="Normal 2 2" xfId="8"/>
    <cellStyle name="Normal 3" xfId="5"/>
    <cellStyle name="Porcentagem 2" xfId="11"/>
    <cellStyle name="Separador de milhares 2" xfId="6"/>
  </cellStyles>
  <dxfs count="1">
    <dxf>
      <font>
        <b/>
        <i val="0"/>
        <condense val="0"/>
        <extend val="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igecloud.com.br"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134472</xdr:colOff>
      <xdr:row>2</xdr:row>
      <xdr:rowOff>134469</xdr:rowOff>
    </xdr:from>
    <xdr:to>
      <xdr:col>9</xdr:col>
      <xdr:colOff>530227</xdr:colOff>
      <xdr:row>7</xdr:row>
      <xdr:rowOff>22507</xdr:rowOff>
    </xdr:to>
    <xdr:pic>
      <xdr:nvPicPr>
        <xdr:cNvPr id="2" name="Imagem 1" descr="MARCA SIGE CloudL.png">
          <a:hlinkClick xmlns:r="http://schemas.openxmlformats.org/officeDocument/2006/relationships" r:id="rId1"/>
        </xdr:cNvPr>
        <xdr:cNvPicPr>
          <a:picLocks noChangeAspect="1"/>
        </xdr:cNvPicPr>
      </xdr:nvPicPr>
      <xdr:blipFill>
        <a:blip xmlns:r="http://schemas.openxmlformats.org/officeDocument/2006/relationships" r:embed="rId2" cstate="print"/>
        <a:stretch>
          <a:fillRect/>
        </a:stretch>
      </xdr:blipFill>
      <xdr:spPr>
        <a:xfrm>
          <a:off x="3172947" y="458319"/>
          <a:ext cx="1614955" cy="6976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lanilha_ativo_imobilizad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X2\Documents\SIGE%20CLOUD\MARKETING\%23PASTAS%20ANTIGAS\BLOG\2016\Planilha_Orcamento_Servic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X2\Documents\SIGE%20CLOUD\MARKETING\BLOG\2015\Planilha_Or&#231;amento_Compras_Nat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X2\Documents\SIGE%20CLOUD\MARKETING\BLOG\2015\Planilha_Controle_Projeto.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presentação"/>
      <sheetName val="Cadastros"/>
      <sheetName val="Ativo Imobilizado"/>
    </sheetNames>
    <sheetDataSet>
      <sheetData sheetId="0" refreshError="1"/>
      <sheetData sheetId="1">
        <row r="2">
          <cell r="F2" t="str">
            <v>Compras</v>
          </cell>
        </row>
        <row r="3">
          <cell r="A3" t="str">
            <v>Computadores e Periféricos</v>
          </cell>
          <cell r="F3" t="str">
            <v>Contabilidade</v>
          </cell>
        </row>
        <row r="4">
          <cell r="A4" t="str">
            <v>Edifícios</v>
          </cell>
          <cell r="F4" t="str">
            <v>Financeiro</v>
          </cell>
        </row>
        <row r="5">
          <cell r="A5" t="str">
            <v>Instalações</v>
          </cell>
          <cell r="F5" t="str">
            <v>Fiscal</v>
          </cell>
        </row>
        <row r="6">
          <cell r="A6" t="str">
            <v>Máquinas e Equipamentos</v>
          </cell>
          <cell r="F6" t="str">
            <v>Geral</v>
          </cell>
        </row>
        <row r="7">
          <cell r="A7" t="str">
            <v>Móveis e Utensílios</v>
          </cell>
          <cell r="F7" t="str">
            <v>Jurídico</v>
          </cell>
        </row>
        <row r="8">
          <cell r="A8" t="str">
            <v>Veículos</v>
          </cell>
          <cell r="F8" t="str">
            <v>Logística</v>
          </cell>
        </row>
        <row r="9">
          <cell r="F9" t="str">
            <v>RH</v>
          </cell>
        </row>
        <row r="10">
          <cell r="F10" t="str">
            <v>T.I.</v>
          </cell>
        </row>
        <row r="11">
          <cell r="F11" t="str">
            <v>Vendas</v>
          </cell>
        </row>
      </sheetData>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restação de Serviço"/>
      <sheetName val="Clientes"/>
      <sheetName val="Planilha_Orcamento_Servicos"/>
      <sheetName val="Apresentação"/>
    </sheetNames>
    <sheetDataSet>
      <sheetData sheetId="0">
        <row r="10">
          <cell r="B10" t="str">
            <v>Trey Research</v>
          </cell>
        </row>
        <row r="23">
          <cell r="G23">
            <v>2050</v>
          </cell>
        </row>
        <row r="24">
          <cell r="G24">
            <v>400</v>
          </cell>
        </row>
      </sheetData>
      <sheetData sheetId="1">
        <row r="10">
          <cell r="B10" t="str">
            <v>Trey Research</v>
          </cell>
        </row>
      </sheetData>
      <sheetData sheetId="2" refreshError="1"/>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GUIA"/>
      <sheetName val="INFO DA LISTA"/>
      <sheetName val="ENTRADA DAS COMPRAS"/>
      <sheetName val="ORÇAMENTO"/>
    </sheetNames>
    <sheetDataSet>
      <sheetData sheetId="0" refreshError="1"/>
      <sheetData sheetId="1">
        <row r="5">
          <cell r="B5" t="str">
            <v>Aline</v>
          </cell>
          <cell r="D5" t="str">
            <v>Meia de Natal</v>
          </cell>
        </row>
        <row r="6">
          <cell r="B6" t="str">
            <v>Tatiane</v>
          </cell>
          <cell r="D6" t="str">
            <v>Presentes para amigos</v>
          </cell>
        </row>
        <row r="7">
          <cell r="B7" t="str">
            <v>Emanuel</v>
          </cell>
          <cell r="D7" t="str">
            <v>Presente para o cônjuge</v>
          </cell>
        </row>
        <row r="8">
          <cell r="B8" t="str">
            <v>Andressa</v>
          </cell>
          <cell r="D8" t="str">
            <v>Presente para a família</v>
          </cell>
        </row>
        <row r="9">
          <cell r="B9" t="str">
            <v>Henrique</v>
          </cell>
          <cell r="D9" t="str">
            <v>Presenta para filhos</v>
          </cell>
        </row>
        <row r="10">
          <cell r="B10" t="str">
            <v>Géssica</v>
          </cell>
          <cell r="D10" t="str">
            <v>Amigo Secreto</v>
          </cell>
        </row>
        <row r="11">
          <cell r="B11" t="str">
            <v>Carol</v>
          </cell>
          <cell r="D11" t="str">
            <v>Outros</v>
          </cell>
        </row>
      </sheetData>
      <sheetData sheetId="2" refreshError="1"/>
      <sheetData sheetId="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ormulas"/>
      <sheetName val="GUIA"/>
      <sheetName val="Tarefas dos Projetos"/>
      <sheetName val="Gráfico"/>
    </sheetNames>
    <sheetDataSet>
      <sheetData sheetId="0">
        <row r="3">
          <cell r="A3">
            <v>1</v>
          </cell>
        </row>
        <row r="4">
          <cell r="A4">
            <v>2</v>
          </cell>
        </row>
        <row r="5">
          <cell r="A5">
            <v>3</v>
          </cell>
        </row>
        <row r="6">
          <cell r="A6">
            <v>4</v>
          </cell>
        </row>
        <row r="7">
          <cell r="A7">
            <v>5</v>
          </cell>
        </row>
      </sheetData>
      <sheetData sheetId="1" refreshError="1"/>
      <sheetData sheetId="2" refreshError="1"/>
      <sheetData sheetId="3" refreshError="1"/>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igecloud.com.br/ativaca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R112"/>
  <sheetViews>
    <sheetView showGridLines="0" showRowColHeaders="0" tabSelected="1" zoomScale="85" zoomScaleNormal="85" workbookViewId="0">
      <selection activeCell="D10" sqref="D10:N10"/>
    </sheetView>
  </sheetViews>
  <sheetFormatPr defaultColWidth="0" defaultRowHeight="0" customHeight="1" zeroHeight="1"/>
  <cols>
    <col min="1" max="1" width="2.42578125" style="27" customWidth="1"/>
    <col min="2" max="2" width="2.140625" style="27" customWidth="1"/>
    <col min="3" max="3" width="4.42578125" style="27" customWidth="1"/>
    <col min="4" max="14" width="9.140625" style="27" customWidth="1"/>
    <col min="15" max="15" width="7" style="27" customWidth="1"/>
    <col min="16" max="16" width="2.28515625" style="27" customWidth="1"/>
    <col min="17" max="17" width="2.5703125" style="27" customWidth="1"/>
    <col min="18" max="18" width="0" style="27" hidden="1" customWidth="1"/>
    <col min="19" max="16384" width="9.140625" style="27" hidden="1"/>
  </cols>
  <sheetData>
    <row r="1" spans="2:16" ht="12.75"/>
    <row r="2" spans="2:16" ht="12.75">
      <c r="B2" s="28"/>
      <c r="C2" s="28"/>
      <c r="D2" s="28"/>
      <c r="E2" s="28"/>
      <c r="F2" s="28"/>
      <c r="G2" s="28"/>
      <c r="H2" s="28"/>
      <c r="I2" s="28"/>
      <c r="J2" s="28"/>
      <c r="K2" s="28"/>
      <c r="L2" s="28"/>
      <c r="M2" s="28"/>
      <c r="N2" s="28"/>
      <c r="O2" s="28"/>
      <c r="P2" s="28"/>
    </row>
    <row r="3" spans="2:16" ht="12.75">
      <c r="B3" s="28"/>
      <c r="P3" s="28"/>
    </row>
    <row r="4" spans="2:16" ht="12.75">
      <c r="B4" s="28"/>
      <c r="P4" s="28"/>
    </row>
    <row r="5" spans="2:16" ht="12.75">
      <c r="B5" s="28"/>
      <c r="P5" s="28"/>
    </row>
    <row r="6" spans="2:16" ht="12.75">
      <c r="B6" s="28"/>
      <c r="P6" s="28"/>
    </row>
    <row r="7" spans="2:16" ht="12.75">
      <c r="B7" s="28"/>
      <c r="P7" s="28"/>
    </row>
    <row r="8" spans="2:16" ht="12.75">
      <c r="B8" s="28"/>
      <c r="P8" s="28"/>
    </row>
    <row r="9" spans="2:16" ht="21">
      <c r="B9" s="28"/>
      <c r="D9" s="72" t="s">
        <v>15</v>
      </c>
      <c r="E9" s="72"/>
      <c r="F9" s="72"/>
      <c r="G9" s="72"/>
      <c r="H9" s="72"/>
      <c r="I9" s="72"/>
      <c r="J9" s="72"/>
      <c r="K9" s="72"/>
      <c r="L9" s="72"/>
      <c r="M9" s="72"/>
      <c r="N9" s="72"/>
      <c r="P9" s="28"/>
    </row>
    <row r="10" spans="2:16" ht="28.5">
      <c r="B10" s="28"/>
      <c r="D10" s="33" t="s">
        <v>18</v>
      </c>
      <c r="E10" s="33"/>
      <c r="F10" s="33"/>
      <c r="G10" s="33"/>
      <c r="H10" s="33"/>
      <c r="I10" s="33"/>
      <c r="J10" s="33"/>
      <c r="K10" s="33"/>
      <c r="L10" s="33"/>
      <c r="M10" s="33"/>
      <c r="N10" s="33"/>
      <c r="P10" s="28"/>
    </row>
    <row r="11" spans="2:16" ht="33.75">
      <c r="B11" s="28"/>
      <c r="D11" s="29"/>
      <c r="E11" s="30"/>
      <c r="F11" s="30"/>
      <c r="G11" s="30"/>
      <c r="H11" s="30"/>
      <c r="I11" s="30"/>
      <c r="J11" s="30"/>
      <c r="K11" s="30"/>
      <c r="L11" s="30"/>
      <c r="M11" s="30"/>
      <c r="N11" s="30"/>
      <c r="P11" s="28"/>
    </row>
    <row r="12" spans="2:16" ht="16.5">
      <c r="B12" s="28"/>
      <c r="D12" s="34" t="s">
        <v>21</v>
      </c>
      <c r="E12" s="34"/>
      <c r="F12" s="34"/>
      <c r="G12" s="34"/>
      <c r="H12" s="34"/>
      <c r="I12" s="34"/>
      <c r="J12" s="34"/>
      <c r="K12" s="34"/>
      <c r="L12" s="34"/>
      <c r="M12" s="34"/>
      <c r="N12" s="34"/>
      <c r="P12" s="28"/>
    </row>
    <row r="13" spans="2:16" ht="15">
      <c r="B13" s="28"/>
      <c r="D13" s="30"/>
      <c r="E13" s="30"/>
      <c r="F13" s="30"/>
      <c r="G13" s="30"/>
      <c r="H13" s="30"/>
      <c r="I13" s="30"/>
      <c r="J13" s="30"/>
      <c r="K13" s="30"/>
      <c r="L13" s="30"/>
      <c r="M13" s="30"/>
      <c r="N13" s="30"/>
      <c r="P13" s="28"/>
    </row>
    <row r="14" spans="2:16" ht="18.75">
      <c r="B14" s="28"/>
      <c r="D14" s="35" t="s">
        <v>19</v>
      </c>
      <c r="E14" s="35"/>
      <c r="F14" s="35"/>
      <c r="G14" s="35"/>
      <c r="H14" s="35"/>
      <c r="I14" s="35"/>
      <c r="J14" s="35"/>
      <c r="K14" s="35"/>
      <c r="L14" s="35"/>
      <c r="M14" s="35"/>
      <c r="N14" s="35"/>
      <c r="P14" s="28"/>
    </row>
    <row r="15" spans="2:16" ht="18">
      <c r="B15" s="28"/>
      <c r="D15" s="31"/>
      <c r="E15" s="30"/>
      <c r="F15" s="30"/>
      <c r="G15" s="30"/>
      <c r="H15" s="30"/>
      <c r="I15" s="30"/>
      <c r="J15" s="30"/>
      <c r="K15" s="30"/>
      <c r="L15" s="30"/>
      <c r="M15" s="30"/>
      <c r="N15" s="30"/>
      <c r="P15" s="28"/>
    </row>
    <row r="16" spans="2:16" ht="15" customHeight="1">
      <c r="B16" s="28"/>
      <c r="D16" s="36" t="s">
        <v>20</v>
      </c>
      <c r="E16" s="36"/>
      <c r="F16" s="36"/>
      <c r="G16" s="36"/>
      <c r="H16" s="36"/>
      <c r="I16" s="36"/>
      <c r="J16" s="36"/>
      <c r="K16" s="36"/>
      <c r="L16" s="36"/>
      <c r="M16" s="36"/>
      <c r="N16" s="36"/>
      <c r="P16" s="28"/>
    </row>
    <row r="17" spans="2:16" ht="17.25" customHeight="1">
      <c r="B17" s="28"/>
      <c r="D17" s="36"/>
      <c r="E17" s="36"/>
      <c r="F17" s="36"/>
      <c r="G17" s="36"/>
      <c r="H17" s="36"/>
      <c r="I17" s="36"/>
      <c r="J17" s="36"/>
      <c r="K17" s="36"/>
      <c r="L17" s="36"/>
      <c r="M17" s="36"/>
      <c r="N17" s="36"/>
      <c r="P17" s="28"/>
    </row>
    <row r="18" spans="2:16" ht="17.25" customHeight="1">
      <c r="B18" s="28"/>
      <c r="D18" s="36"/>
      <c r="E18" s="36"/>
      <c r="F18" s="36"/>
      <c r="G18" s="36"/>
      <c r="H18" s="36"/>
      <c r="I18" s="36"/>
      <c r="J18" s="36"/>
      <c r="K18" s="36"/>
      <c r="L18" s="36"/>
      <c r="M18" s="36"/>
      <c r="N18" s="36"/>
      <c r="P18" s="28"/>
    </row>
    <row r="19" spans="2:16" ht="12.75" customHeight="1">
      <c r="B19" s="28"/>
      <c r="D19" s="36"/>
      <c r="E19" s="36"/>
      <c r="F19" s="36"/>
      <c r="G19" s="36"/>
      <c r="H19" s="36"/>
      <c r="I19" s="36"/>
      <c r="J19" s="36"/>
      <c r="K19" s="36"/>
      <c r="L19" s="36"/>
      <c r="M19" s="36"/>
      <c r="N19" s="36"/>
      <c r="P19" s="28"/>
    </row>
    <row r="20" spans="2:16" ht="18" customHeight="1">
      <c r="B20" s="28"/>
      <c r="D20" s="36"/>
      <c r="E20" s="36"/>
      <c r="F20" s="36"/>
      <c r="G20" s="36"/>
      <c r="H20" s="36"/>
      <c r="I20" s="36"/>
      <c r="J20" s="36"/>
      <c r="K20" s="36"/>
      <c r="L20" s="36"/>
      <c r="M20" s="36"/>
      <c r="N20" s="36"/>
      <c r="P20" s="28"/>
    </row>
    <row r="21" spans="2:16" ht="15">
      <c r="B21" s="28"/>
      <c r="D21" s="30"/>
      <c r="E21" s="30"/>
      <c r="F21" s="30"/>
      <c r="G21" s="30"/>
      <c r="H21" s="30"/>
      <c r="I21" s="30"/>
      <c r="J21" s="30"/>
      <c r="K21" s="30"/>
      <c r="L21" s="30"/>
      <c r="M21" s="30"/>
      <c r="N21" s="30"/>
      <c r="P21" s="28"/>
    </row>
    <row r="22" spans="2:16" ht="18.75">
      <c r="B22" s="28"/>
      <c r="D22" s="37" t="s">
        <v>16</v>
      </c>
      <c r="E22" s="37"/>
      <c r="F22" s="37"/>
      <c r="G22" s="37"/>
      <c r="H22" s="37"/>
      <c r="I22" s="37"/>
      <c r="J22" s="37"/>
      <c r="K22" s="37"/>
      <c r="L22" s="37"/>
      <c r="M22" s="37"/>
      <c r="N22" s="37"/>
      <c r="P22" s="28"/>
    </row>
    <row r="23" spans="2:16" ht="15">
      <c r="B23" s="28"/>
      <c r="D23" s="30"/>
      <c r="E23" s="30"/>
      <c r="F23" s="30"/>
      <c r="G23" s="30"/>
      <c r="H23" s="30"/>
      <c r="I23" s="30"/>
      <c r="J23" s="30"/>
      <c r="K23" s="30"/>
      <c r="L23" s="30"/>
      <c r="M23" s="30"/>
      <c r="N23" s="30"/>
      <c r="P23" s="28"/>
    </row>
    <row r="24" spans="2:16" ht="15">
      <c r="B24" s="28"/>
      <c r="D24" s="32" t="s">
        <v>17</v>
      </c>
      <c r="E24" s="32"/>
      <c r="F24" s="32"/>
      <c r="G24" s="32"/>
      <c r="H24" s="32"/>
      <c r="I24" s="32"/>
      <c r="J24" s="32"/>
      <c r="K24" s="32"/>
      <c r="L24" s="32"/>
      <c r="M24" s="32"/>
      <c r="N24" s="32"/>
      <c r="P24" s="28"/>
    </row>
    <row r="25" spans="2:16" ht="15">
      <c r="B25" s="28"/>
      <c r="D25" s="30"/>
      <c r="E25" s="30"/>
      <c r="F25" s="30"/>
      <c r="G25" s="30"/>
      <c r="H25" s="30"/>
      <c r="I25" s="30"/>
      <c r="J25" s="30"/>
      <c r="K25" s="30"/>
      <c r="L25" s="30"/>
      <c r="M25" s="30"/>
      <c r="N25" s="30"/>
      <c r="P25" s="28"/>
    </row>
    <row r="26" spans="2:16" ht="12.75">
      <c r="B26" s="28"/>
      <c r="C26" s="28"/>
      <c r="D26" s="28"/>
      <c r="E26" s="28"/>
      <c r="F26" s="28"/>
      <c r="G26" s="28"/>
      <c r="H26" s="28"/>
      <c r="I26" s="28"/>
      <c r="J26" s="28"/>
      <c r="K26" s="28"/>
      <c r="L26" s="28"/>
      <c r="M26" s="28"/>
      <c r="N26" s="28"/>
      <c r="O26" s="28"/>
      <c r="P26" s="28"/>
    </row>
    <row r="27" spans="2:16" ht="12.75"/>
    <row r="28" spans="2:16" ht="12.75" hidden="1"/>
    <row r="29" spans="2:16" ht="12.75" hidden="1"/>
    <row r="30" spans="2:16" ht="12.75" hidden="1"/>
    <row r="31" spans="2:16" ht="12.75" hidden="1"/>
    <row r="32" spans="2:16" ht="12.75" hidden="1"/>
    <row r="33" ht="12.75" hidden="1"/>
    <row r="34" ht="12.75" hidden="1"/>
    <row r="35" ht="12.75" hidden="1"/>
    <row r="36" ht="12.75" hidden="1"/>
    <row r="37" ht="12.75" hidden="1"/>
    <row r="38" ht="12.75" hidden="1"/>
    <row r="39" ht="12.75" hidden="1"/>
    <row r="40" ht="12.75" hidden="1"/>
    <row r="41" ht="12.75" hidden="1"/>
    <row r="42" ht="12.75" hidden="1"/>
    <row r="43" ht="12.75" hidden="1"/>
    <row r="44" ht="12.75" hidden="1"/>
    <row r="45" ht="12.75" hidden="1"/>
    <row r="46" ht="12.75" hidden="1"/>
    <row r="47" ht="12.75" hidden="1"/>
    <row r="48" ht="12.75" hidden="1"/>
    <row r="49" ht="12.75" hidden="1"/>
    <row r="50" ht="12.75" hidden="1"/>
    <row r="51" ht="12.75" hidden="1"/>
    <row r="52" ht="12.75" hidden="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row r="61" ht="12.75" hidden="1" customHeight="1"/>
    <row r="62" ht="12.75" hidden="1" customHeight="1"/>
    <row r="63" ht="12.75" hidden="1" customHeight="1"/>
    <row r="64" ht="12.75" hidden="1" customHeight="1"/>
    <row r="65" ht="12.75" hidden="1" customHeight="1"/>
    <row r="66" ht="12.75" hidden="1" customHeight="1"/>
    <row r="67" ht="12.75" hidden="1" customHeight="1"/>
    <row r="68" ht="12.75" hidden="1" customHeight="1"/>
    <row r="69" ht="12.75" hidden="1" customHeight="1"/>
    <row r="70" ht="12.75" hidden="1" customHeight="1"/>
    <row r="71" ht="12.75" hidden="1" customHeight="1"/>
    <row r="72" ht="12.75" hidden="1" customHeight="1"/>
    <row r="73" ht="12.75" hidden="1" customHeight="1"/>
    <row r="74" ht="12.75" hidden="1" customHeight="1"/>
    <row r="75" ht="12.75" hidden="1" customHeight="1"/>
    <row r="76" ht="12.75" hidden="1" customHeight="1"/>
    <row r="77" ht="12.75" hidden="1" customHeight="1"/>
    <row r="78" ht="12.75" hidden="1" customHeight="1"/>
    <row r="79" ht="12.75" hidden="1" customHeight="1"/>
    <row r="80" ht="12.75" hidden="1" customHeight="1"/>
    <row r="81" ht="12.75" hidden="1" customHeight="1"/>
    <row r="82" ht="12.75" hidden="1" customHeight="1"/>
    <row r="83" ht="12.75" hidden="1" customHeight="1"/>
    <row r="84" ht="12.75" hidden="1" customHeight="1"/>
    <row r="85" ht="12.75" hidden="1" customHeight="1"/>
    <row r="86" ht="12.75" hidden="1" customHeight="1"/>
    <row r="87" ht="12.75" hidden="1" customHeight="1"/>
    <row r="88" ht="12.75" hidden="1" customHeight="1"/>
    <row r="89" ht="12.75" hidden="1" customHeight="1"/>
    <row r="90" ht="12.75" hidden="1" customHeight="1"/>
    <row r="91" ht="12.75" hidden="1" customHeight="1"/>
    <row r="92" ht="12.75" hidden="1" customHeight="1"/>
    <row r="93" ht="12.75" hidden="1" customHeight="1"/>
    <row r="94" ht="12.75" hidden="1" customHeight="1"/>
    <row r="95" ht="12.75" hidden="1" customHeight="1"/>
    <row r="96" ht="12.75" hidden="1" customHeight="1"/>
    <row r="97" ht="12.75" hidden="1" customHeight="1"/>
    <row r="98" ht="12.75" hidden="1" customHeight="1"/>
    <row r="99" ht="12.75" hidden="1" customHeight="1"/>
    <row r="100" ht="12.75" hidden="1" customHeight="1"/>
    <row r="101" ht="12.75" hidden="1" customHeight="1"/>
    <row r="102" ht="12.75" hidden="1" customHeight="1"/>
    <row r="103" ht="12.75" hidden="1" customHeight="1"/>
    <row r="104" ht="12.75" hidden="1" customHeight="1"/>
    <row r="105" ht="12.75" hidden="1" customHeight="1"/>
    <row r="106" ht="12.75" hidden="1" customHeight="1"/>
    <row r="107" ht="12.75" hidden="1" customHeight="1"/>
    <row r="108" ht="12.75" hidden="1" customHeight="1"/>
    <row r="109" ht="26.25" hidden="1" customHeight="1"/>
    <row r="110" ht="12.75" hidden="1" customHeight="1"/>
    <row r="111" ht="12.75" hidden="1" customHeight="1"/>
    <row r="112" ht="12.75" hidden="1" customHeight="1"/>
  </sheetData>
  <sheetProtection formatCells="0" formatColumns="0" formatRows="0" insertColumns="0" insertRows="0" insertHyperlinks="0" deleteColumns="0" deleteRows="0" sort="0" autoFilter="0" pivotTables="0"/>
  <mergeCells count="7">
    <mergeCell ref="D24:N24"/>
    <mergeCell ref="D9:N9"/>
    <mergeCell ref="D10:N10"/>
    <mergeCell ref="D12:N12"/>
    <mergeCell ref="D14:N14"/>
    <mergeCell ref="D16:N20"/>
    <mergeCell ref="D22:N22"/>
  </mergeCells>
  <hyperlinks>
    <hyperlink ref="D24" r:id="rId1"/>
  </hyperlinks>
  <pageMargins left="0.511811024" right="0.511811024" top="0.78740157499999996" bottom="0.78740157499999996" header="0.31496062000000002" footer="0.31496062000000002"/>
  <pageSetup paperSize="9" orientation="portrait" r:id="rId2"/>
  <drawing r:id="rId3"/>
</worksheet>
</file>

<file path=xl/worksheets/sheet2.xml><?xml version="1.0" encoding="utf-8"?>
<worksheet xmlns="http://schemas.openxmlformats.org/spreadsheetml/2006/main" xmlns:r="http://schemas.openxmlformats.org/officeDocument/2006/relationships">
  <sheetPr>
    <pageSetUpPr fitToPage="1"/>
  </sheetPr>
  <dimension ref="A1:K39"/>
  <sheetViews>
    <sheetView showGridLines="0" workbookViewId="0">
      <selection activeCell="K8" sqref="K8"/>
    </sheetView>
  </sheetViews>
  <sheetFormatPr defaultColWidth="11.42578125" defaultRowHeight="12.75"/>
  <cols>
    <col min="1" max="1" width="7.28515625" style="1" customWidth="1"/>
    <col min="2" max="2" width="10.85546875" style="3" customWidth="1"/>
    <col min="3" max="3" width="12.140625" style="3" customWidth="1"/>
    <col min="4" max="4" width="15.140625" style="3" customWidth="1"/>
    <col min="5" max="5" width="13.85546875" style="3" customWidth="1"/>
    <col min="6" max="6" width="10.5703125" style="1" customWidth="1"/>
    <col min="7" max="7" width="9.7109375" style="1" customWidth="1"/>
    <col min="8" max="8" width="16.28515625" style="2" customWidth="1"/>
    <col min="9" max="16384" width="11.42578125" style="1"/>
  </cols>
  <sheetData>
    <row r="1" spans="1:11" ht="15" customHeight="1">
      <c r="A1" s="43" t="s">
        <v>6</v>
      </c>
      <c r="B1" s="44"/>
      <c r="C1" s="44"/>
      <c r="D1" s="44"/>
      <c r="E1" s="44"/>
      <c r="F1" s="44"/>
      <c r="G1" s="44"/>
      <c r="H1" s="45"/>
    </row>
    <row r="2" spans="1:11" s="20" customFormat="1" ht="15" customHeight="1">
      <c r="A2" s="52" t="s">
        <v>14</v>
      </c>
      <c r="B2" s="53"/>
      <c r="C2" s="53"/>
      <c r="D2" s="54"/>
      <c r="E2" s="46" t="s">
        <v>13</v>
      </c>
      <c r="F2" s="47"/>
      <c r="G2" s="47"/>
      <c r="H2" s="48"/>
    </row>
    <row r="3" spans="1:11" s="20" customFormat="1" ht="15" customHeight="1">
      <c r="A3" s="55"/>
      <c r="B3" s="56"/>
      <c r="C3" s="56"/>
      <c r="D3" s="57"/>
      <c r="E3" s="26"/>
      <c r="F3" s="25"/>
      <c r="G3" s="25"/>
      <c r="H3" s="24"/>
    </row>
    <row r="4" spans="1:11" s="20" customFormat="1" ht="15" customHeight="1">
      <c r="A4" s="52" t="s">
        <v>12</v>
      </c>
      <c r="B4" s="53"/>
      <c r="C4" s="53"/>
      <c r="D4" s="54"/>
      <c r="E4" s="49" t="s">
        <v>11</v>
      </c>
      <c r="F4" s="50"/>
      <c r="G4" s="50"/>
      <c r="H4" s="51"/>
    </row>
    <row r="5" spans="1:11" s="20" customFormat="1" ht="15" customHeight="1">
      <c r="A5" s="58"/>
      <c r="B5" s="59"/>
      <c r="C5" s="59"/>
      <c r="D5" s="60"/>
      <c r="E5" s="23"/>
      <c r="F5" s="22"/>
      <c r="G5" s="22"/>
      <c r="H5" s="21"/>
    </row>
    <row r="6" spans="1:11" s="20" customFormat="1" ht="15" customHeight="1">
      <c r="A6" s="61" t="s">
        <v>10</v>
      </c>
      <c r="B6" s="62"/>
      <c r="C6" s="63">
        <v>5</v>
      </c>
      <c r="D6" s="64"/>
      <c r="E6" s="65" t="s">
        <v>9</v>
      </c>
      <c r="F6" s="66"/>
      <c r="G6" s="67">
        <f>SUM(H9:H39)</f>
        <v>1240</v>
      </c>
      <c r="H6" s="68"/>
    </row>
    <row r="7" spans="1:11" s="19" customFormat="1" ht="15" customHeight="1">
      <c r="A7" s="70" t="s">
        <v>8</v>
      </c>
      <c r="B7" s="40" t="s">
        <v>7</v>
      </c>
      <c r="C7" s="41"/>
      <c r="D7" s="42"/>
      <c r="E7" s="69" t="s">
        <v>6</v>
      </c>
      <c r="F7" s="38" t="s">
        <v>5</v>
      </c>
      <c r="G7" s="38" t="s">
        <v>4</v>
      </c>
      <c r="H7" s="38" t="s">
        <v>3</v>
      </c>
    </row>
    <row r="8" spans="1:11" s="16" customFormat="1" ht="31.5" customHeight="1">
      <c r="A8" s="71"/>
      <c r="B8" s="18" t="s">
        <v>2</v>
      </c>
      <c r="C8" s="18" t="s">
        <v>1</v>
      </c>
      <c r="D8" s="18" t="s">
        <v>0</v>
      </c>
      <c r="E8" s="69"/>
      <c r="F8" s="39"/>
      <c r="G8" s="39"/>
      <c r="H8" s="39"/>
    </row>
    <row r="9" spans="1:11" s="16" customFormat="1" ht="15" customHeight="1">
      <c r="A9" s="14">
        <v>1</v>
      </c>
      <c r="B9" s="13">
        <v>0.375</v>
      </c>
      <c r="C9" s="13">
        <v>0.70833333333333337</v>
      </c>
      <c r="D9" s="13">
        <v>0</v>
      </c>
      <c r="E9" s="8">
        <f t="shared" ref="E9:E39" si="0">(C9-B9)-D9</f>
        <v>0.33333333333333337</v>
      </c>
      <c r="F9" s="12">
        <v>0.33333333333333331</v>
      </c>
      <c r="G9" s="6">
        <f t="shared" ref="G9:G39" si="1">IF(E9&gt;F9,E9-F9,0)</f>
        <v>0</v>
      </c>
      <c r="H9" s="11">
        <f>((E9*24)*C6)+G9*24*1.5*C6</f>
        <v>40</v>
      </c>
      <c r="J9" s="17"/>
      <c r="K9" s="17"/>
    </row>
    <row r="10" spans="1:11" s="16" customFormat="1" ht="15" customHeight="1">
      <c r="A10" s="14">
        <v>2</v>
      </c>
      <c r="B10" s="13">
        <v>0.375</v>
      </c>
      <c r="C10" s="13">
        <v>0.70833333333333337</v>
      </c>
      <c r="D10" s="13">
        <v>0</v>
      </c>
      <c r="E10" s="8">
        <f t="shared" si="0"/>
        <v>0.33333333333333337</v>
      </c>
      <c r="F10" s="12">
        <v>0.33333333333333331</v>
      </c>
      <c r="G10" s="6">
        <f t="shared" si="1"/>
        <v>0</v>
      </c>
      <c r="H10" s="11">
        <f>((E10*24)*C6)+G10*24*1.5*C6</f>
        <v>40</v>
      </c>
      <c r="K10" s="17"/>
    </row>
    <row r="11" spans="1:11" s="16" customFormat="1" ht="15" customHeight="1">
      <c r="A11" s="14">
        <v>3</v>
      </c>
      <c r="B11" s="13">
        <v>0.375</v>
      </c>
      <c r="C11" s="13">
        <v>0.70833333333333337</v>
      </c>
      <c r="D11" s="13">
        <v>0</v>
      </c>
      <c r="E11" s="8">
        <f t="shared" si="0"/>
        <v>0.33333333333333337</v>
      </c>
      <c r="F11" s="12">
        <v>0.33333333333333331</v>
      </c>
      <c r="G11" s="6">
        <f t="shared" si="1"/>
        <v>0</v>
      </c>
      <c r="H11" s="11">
        <f>((E11*24)*C6)+G11*24*1.5*C6</f>
        <v>40</v>
      </c>
    </row>
    <row r="12" spans="1:11" s="16" customFormat="1" ht="15" customHeight="1">
      <c r="A12" s="14">
        <v>4</v>
      </c>
      <c r="B12" s="13">
        <v>0.375</v>
      </c>
      <c r="C12" s="13">
        <v>0.70833333333333337</v>
      </c>
      <c r="D12" s="13">
        <v>0</v>
      </c>
      <c r="E12" s="8">
        <f t="shared" si="0"/>
        <v>0.33333333333333337</v>
      </c>
      <c r="F12" s="12">
        <v>0.33333333333333331</v>
      </c>
      <c r="G12" s="6">
        <f t="shared" si="1"/>
        <v>0</v>
      </c>
      <c r="H12" s="11">
        <f>((E12*24)*C6)+G12*24*1.5*C6</f>
        <v>40</v>
      </c>
    </row>
    <row r="13" spans="1:11" s="16" customFormat="1" ht="15" customHeight="1">
      <c r="A13" s="14">
        <v>5</v>
      </c>
      <c r="B13" s="13">
        <v>0.375</v>
      </c>
      <c r="C13" s="13">
        <v>0.70833333333333337</v>
      </c>
      <c r="D13" s="13">
        <v>0</v>
      </c>
      <c r="E13" s="8">
        <f t="shared" si="0"/>
        <v>0.33333333333333337</v>
      </c>
      <c r="F13" s="12">
        <v>0.33333333333333331</v>
      </c>
      <c r="G13" s="6">
        <f t="shared" si="1"/>
        <v>0</v>
      </c>
      <c r="H13" s="11">
        <f>((E13*24)*C6)+G13*24*1.5*C6</f>
        <v>40</v>
      </c>
    </row>
    <row r="14" spans="1:11" s="16" customFormat="1" ht="15" customHeight="1">
      <c r="A14" s="14">
        <v>6</v>
      </c>
      <c r="B14" s="13">
        <v>0.375</v>
      </c>
      <c r="C14" s="13">
        <v>0.70833333333333337</v>
      </c>
      <c r="D14" s="13">
        <v>0</v>
      </c>
      <c r="E14" s="8">
        <f t="shared" si="0"/>
        <v>0.33333333333333337</v>
      </c>
      <c r="F14" s="12">
        <v>0.33333333333333331</v>
      </c>
      <c r="G14" s="6">
        <f t="shared" si="1"/>
        <v>0</v>
      </c>
      <c r="H14" s="11">
        <f>((E14*24)*C6)+G14*24*1.5*C6</f>
        <v>40</v>
      </c>
    </row>
    <row r="15" spans="1:11" s="16" customFormat="1" ht="15" customHeight="1">
      <c r="A15" s="14">
        <v>7</v>
      </c>
      <c r="B15" s="13">
        <v>0.375</v>
      </c>
      <c r="C15" s="13">
        <v>0.70833333333333337</v>
      </c>
      <c r="D15" s="13">
        <v>0</v>
      </c>
      <c r="E15" s="8">
        <f t="shared" si="0"/>
        <v>0.33333333333333337</v>
      </c>
      <c r="F15" s="12">
        <v>0.33333333333333331</v>
      </c>
      <c r="G15" s="6">
        <f t="shared" si="1"/>
        <v>0</v>
      </c>
      <c r="H15" s="11">
        <f>((E15*24)*C6)+G15*24*1.5*C6</f>
        <v>40</v>
      </c>
    </row>
    <row r="16" spans="1:11" s="16" customFormat="1" ht="15" customHeight="1">
      <c r="A16" s="14">
        <v>8</v>
      </c>
      <c r="B16" s="13">
        <v>0.375</v>
      </c>
      <c r="C16" s="13">
        <v>0.70833333333333337</v>
      </c>
      <c r="D16" s="13">
        <v>0</v>
      </c>
      <c r="E16" s="8">
        <f t="shared" si="0"/>
        <v>0.33333333333333337</v>
      </c>
      <c r="F16" s="12">
        <v>0.33333333333333331</v>
      </c>
      <c r="G16" s="6">
        <f t="shared" si="1"/>
        <v>0</v>
      </c>
      <c r="H16" s="11">
        <f>((E16*24)*C6)+G16*24*1.5*C6</f>
        <v>40</v>
      </c>
    </row>
    <row r="17" spans="1:8" s="16" customFormat="1" ht="15" customHeight="1">
      <c r="A17" s="14">
        <v>9</v>
      </c>
      <c r="B17" s="13">
        <v>0.375</v>
      </c>
      <c r="C17" s="13">
        <v>0.70833333333333337</v>
      </c>
      <c r="D17" s="13">
        <v>0</v>
      </c>
      <c r="E17" s="8">
        <f t="shared" si="0"/>
        <v>0.33333333333333337</v>
      </c>
      <c r="F17" s="12">
        <v>0.33333333333333331</v>
      </c>
      <c r="G17" s="6">
        <f t="shared" si="1"/>
        <v>0</v>
      </c>
      <c r="H17" s="11">
        <f>((E17*24)*C6)+G17*24*1.5*C6</f>
        <v>40</v>
      </c>
    </row>
    <row r="18" spans="1:8" s="16" customFormat="1" ht="15" customHeight="1">
      <c r="A18" s="14">
        <v>10</v>
      </c>
      <c r="B18" s="13">
        <v>0.375</v>
      </c>
      <c r="C18" s="13">
        <v>0.70833333333333337</v>
      </c>
      <c r="D18" s="13">
        <v>0</v>
      </c>
      <c r="E18" s="8">
        <f t="shared" si="0"/>
        <v>0.33333333333333337</v>
      </c>
      <c r="F18" s="12">
        <v>0.33333333333333331</v>
      </c>
      <c r="G18" s="6">
        <f t="shared" si="1"/>
        <v>0</v>
      </c>
      <c r="H18" s="11">
        <f>((E18*24)*C6)+G18*24*1.5*C6</f>
        <v>40</v>
      </c>
    </row>
    <row r="19" spans="1:8" s="16" customFormat="1" ht="15" customHeight="1">
      <c r="A19" s="14">
        <v>11</v>
      </c>
      <c r="B19" s="13">
        <v>0.375</v>
      </c>
      <c r="C19" s="13">
        <v>0.70833333333333337</v>
      </c>
      <c r="D19" s="13">
        <v>0</v>
      </c>
      <c r="E19" s="8">
        <f t="shared" si="0"/>
        <v>0.33333333333333337</v>
      </c>
      <c r="F19" s="12">
        <v>0.33333333333333331</v>
      </c>
      <c r="G19" s="6">
        <f t="shared" si="1"/>
        <v>0</v>
      </c>
      <c r="H19" s="11">
        <f>((E19*24)*C6)+G19*24*1.5*C6</f>
        <v>40</v>
      </c>
    </row>
    <row r="20" spans="1:8" s="16" customFormat="1" ht="15" customHeight="1">
      <c r="A20" s="14">
        <v>12</v>
      </c>
      <c r="B20" s="13">
        <v>0.375</v>
      </c>
      <c r="C20" s="13">
        <v>0.70833333333333337</v>
      </c>
      <c r="D20" s="13">
        <v>0</v>
      </c>
      <c r="E20" s="8">
        <f t="shared" si="0"/>
        <v>0.33333333333333337</v>
      </c>
      <c r="F20" s="12">
        <v>0.33333333333333331</v>
      </c>
      <c r="G20" s="6">
        <f t="shared" si="1"/>
        <v>0</v>
      </c>
      <c r="H20" s="11">
        <f>((E20*24)*C6)+G20*24*1.5*C6</f>
        <v>40</v>
      </c>
    </row>
    <row r="21" spans="1:8" s="16" customFormat="1" ht="15" customHeight="1">
      <c r="A21" s="14">
        <v>13</v>
      </c>
      <c r="B21" s="13">
        <v>0.375</v>
      </c>
      <c r="C21" s="13">
        <v>0.70833333333333337</v>
      </c>
      <c r="D21" s="13">
        <v>0</v>
      </c>
      <c r="E21" s="8">
        <f t="shared" si="0"/>
        <v>0.33333333333333337</v>
      </c>
      <c r="F21" s="12">
        <v>0.33333333333333331</v>
      </c>
      <c r="G21" s="6">
        <f t="shared" si="1"/>
        <v>0</v>
      </c>
      <c r="H21" s="11">
        <f>((E21*24)*C6)+G21*24*1.5*C6</f>
        <v>40</v>
      </c>
    </row>
    <row r="22" spans="1:8" s="16" customFormat="1" ht="15" customHeight="1">
      <c r="A22" s="14">
        <v>14</v>
      </c>
      <c r="B22" s="13">
        <v>0.375</v>
      </c>
      <c r="C22" s="13">
        <v>0.70833333333333337</v>
      </c>
      <c r="D22" s="13">
        <v>0</v>
      </c>
      <c r="E22" s="8">
        <f t="shared" si="0"/>
        <v>0.33333333333333337</v>
      </c>
      <c r="F22" s="12">
        <v>0.33333333333333331</v>
      </c>
      <c r="G22" s="6">
        <f t="shared" si="1"/>
        <v>0</v>
      </c>
      <c r="H22" s="11">
        <f>((E22*24)*C6)+G22*24*1.5*C6</f>
        <v>40</v>
      </c>
    </row>
    <row r="23" spans="1:8" s="16" customFormat="1" ht="15" customHeight="1">
      <c r="A23" s="14">
        <v>15</v>
      </c>
      <c r="B23" s="13">
        <v>0.375</v>
      </c>
      <c r="C23" s="13">
        <v>0.70833333333333337</v>
      </c>
      <c r="D23" s="13">
        <v>0</v>
      </c>
      <c r="E23" s="8">
        <f t="shared" si="0"/>
        <v>0.33333333333333337</v>
      </c>
      <c r="F23" s="12">
        <v>0.33333333333333331</v>
      </c>
      <c r="G23" s="6">
        <f t="shared" si="1"/>
        <v>0</v>
      </c>
      <c r="H23" s="11">
        <f>((E23*24)*C6)+G23*24*1.5*C6</f>
        <v>40</v>
      </c>
    </row>
    <row r="24" spans="1:8" s="15" customFormat="1" ht="15" customHeight="1">
      <c r="A24" s="14">
        <v>16</v>
      </c>
      <c r="B24" s="13">
        <v>0.375</v>
      </c>
      <c r="C24" s="13">
        <v>0.70833333333333337</v>
      </c>
      <c r="D24" s="13">
        <v>0</v>
      </c>
      <c r="E24" s="8">
        <f t="shared" si="0"/>
        <v>0.33333333333333337</v>
      </c>
      <c r="F24" s="12">
        <v>0.33333333333333331</v>
      </c>
      <c r="G24" s="6">
        <f t="shared" si="1"/>
        <v>0</v>
      </c>
      <c r="H24" s="11">
        <f>((E24*24)*C6)+G24*24*1.5*C6</f>
        <v>40</v>
      </c>
    </row>
    <row r="25" spans="1:8" s="15" customFormat="1" ht="15" customHeight="1">
      <c r="A25" s="14">
        <v>17</v>
      </c>
      <c r="B25" s="13">
        <v>0.375</v>
      </c>
      <c r="C25" s="13">
        <v>0.70833333333333337</v>
      </c>
      <c r="D25" s="13">
        <v>0</v>
      </c>
      <c r="E25" s="8">
        <f t="shared" si="0"/>
        <v>0.33333333333333337</v>
      </c>
      <c r="F25" s="12">
        <v>0.33333333333333331</v>
      </c>
      <c r="G25" s="6">
        <f t="shared" si="1"/>
        <v>0</v>
      </c>
      <c r="H25" s="11">
        <f>((E25*24)*C6)+G25*24*1.5*C6</f>
        <v>40</v>
      </c>
    </row>
    <row r="26" spans="1:8" s="15" customFormat="1" ht="15" customHeight="1">
      <c r="A26" s="14">
        <v>18</v>
      </c>
      <c r="B26" s="13">
        <v>0.375</v>
      </c>
      <c r="C26" s="13">
        <v>0.70833333333333337</v>
      </c>
      <c r="D26" s="13">
        <v>0</v>
      </c>
      <c r="E26" s="8">
        <f t="shared" si="0"/>
        <v>0.33333333333333337</v>
      </c>
      <c r="F26" s="12">
        <v>0.33333333333333331</v>
      </c>
      <c r="G26" s="6">
        <f t="shared" si="1"/>
        <v>0</v>
      </c>
      <c r="H26" s="11">
        <f>((E26*24)*C6)+G26*24*1.5*C6</f>
        <v>40</v>
      </c>
    </row>
    <row r="27" spans="1:8" s="4" customFormat="1" ht="15" customHeight="1">
      <c r="A27" s="14">
        <v>19</v>
      </c>
      <c r="B27" s="13">
        <v>0.375</v>
      </c>
      <c r="C27" s="13">
        <v>0.70833333333333337</v>
      </c>
      <c r="D27" s="13">
        <v>0</v>
      </c>
      <c r="E27" s="8">
        <f t="shared" si="0"/>
        <v>0.33333333333333337</v>
      </c>
      <c r="F27" s="12">
        <v>0.33333333333333331</v>
      </c>
      <c r="G27" s="6">
        <f t="shared" si="1"/>
        <v>0</v>
      </c>
      <c r="H27" s="11">
        <f>((E27*24)*C6)+G27*24*1.5*C6</f>
        <v>40</v>
      </c>
    </row>
    <row r="28" spans="1:8" s="4" customFormat="1" ht="15" customHeight="1">
      <c r="A28" s="14">
        <v>20</v>
      </c>
      <c r="B28" s="13">
        <v>0.375</v>
      </c>
      <c r="C28" s="13">
        <v>0.70833333333333337</v>
      </c>
      <c r="D28" s="13">
        <v>0</v>
      </c>
      <c r="E28" s="8">
        <f t="shared" si="0"/>
        <v>0.33333333333333337</v>
      </c>
      <c r="F28" s="12">
        <v>0.33333333333333331</v>
      </c>
      <c r="G28" s="6">
        <f t="shared" si="1"/>
        <v>0</v>
      </c>
      <c r="H28" s="11">
        <f>((E28*24)*C6)+G28*24*1.5*C6</f>
        <v>40</v>
      </c>
    </row>
    <row r="29" spans="1:8" s="4" customFormat="1" ht="15" customHeight="1">
      <c r="A29" s="14">
        <v>21</v>
      </c>
      <c r="B29" s="13">
        <v>0.375</v>
      </c>
      <c r="C29" s="13">
        <v>0.70833333333333337</v>
      </c>
      <c r="D29" s="13">
        <v>0</v>
      </c>
      <c r="E29" s="8">
        <f t="shared" si="0"/>
        <v>0.33333333333333337</v>
      </c>
      <c r="F29" s="12">
        <v>0.33333333333333331</v>
      </c>
      <c r="G29" s="6">
        <f t="shared" si="1"/>
        <v>0</v>
      </c>
      <c r="H29" s="11">
        <f>((E29*24)*C6)+G29*24*1.5*C6</f>
        <v>40</v>
      </c>
    </row>
    <row r="30" spans="1:8" s="4" customFormat="1" ht="15" customHeight="1">
      <c r="A30" s="14">
        <v>22</v>
      </c>
      <c r="B30" s="13">
        <v>0.375</v>
      </c>
      <c r="C30" s="13">
        <v>0.70833333333333337</v>
      </c>
      <c r="D30" s="13">
        <v>0</v>
      </c>
      <c r="E30" s="8">
        <f t="shared" si="0"/>
        <v>0.33333333333333337</v>
      </c>
      <c r="F30" s="12">
        <v>0.33333333333333331</v>
      </c>
      <c r="G30" s="6">
        <f t="shared" si="1"/>
        <v>0</v>
      </c>
      <c r="H30" s="11">
        <f>((E30*24)*C6)+G30*24*1.5*C6</f>
        <v>40</v>
      </c>
    </row>
    <row r="31" spans="1:8" s="4" customFormat="1" ht="15" customHeight="1">
      <c r="A31" s="14">
        <v>23</v>
      </c>
      <c r="B31" s="13">
        <v>0.375</v>
      </c>
      <c r="C31" s="13">
        <v>0.70833333333333337</v>
      </c>
      <c r="D31" s="13">
        <v>0</v>
      </c>
      <c r="E31" s="8">
        <f t="shared" si="0"/>
        <v>0.33333333333333337</v>
      </c>
      <c r="F31" s="12">
        <v>0.33333333333333331</v>
      </c>
      <c r="G31" s="6">
        <f t="shared" si="1"/>
        <v>0</v>
      </c>
      <c r="H31" s="11">
        <f>((E31*24)*C6)+G31*24*1.5*C6</f>
        <v>40</v>
      </c>
    </row>
    <row r="32" spans="1:8" s="4" customFormat="1" ht="15" customHeight="1">
      <c r="A32" s="14">
        <v>24</v>
      </c>
      <c r="B32" s="13">
        <v>0.375</v>
      </c>
      <c r="C32" s="13">
        <v>0.70833333333333337</v>
      </c>
      <c r="D32" s="13">
        <v>0</v>
      </c>
      <c r="E32" s="8">
        <f t="shared" si="0"/>
        <v>0.33333333333333337</v>
      </c>
      <c r="F32" s="12">
        <v>0.33333333333333331</v>
      </c>
      <c r="G32" s="6">
        <f t="shared" si="1"/>
        <v>0</v>
      </c>
      <c r="H32" s="11">
        <f>((E32*24)*C6)+G32*24*1.5*C6</f>
        <v>40</v>
      </c>
    </row>
    <row r="33" spans="1:8" s="4" customFormat="1" ht="15" customHeight="1">
      <c r="A33" s="14">
        <v>25</v>
      </c>
      <c r="B33" s="13">
        <v>0.375</v>
      </c>
      <c r="C33" s="13">
        <v>0.70833333333333337</v>
      </c>
      <c r="D33" s="13">
        <v>0</v>
      </c>
      <c r="E33" s="8">
        <f t="shared" si="0"/>
        <v>0.33333333333333337</v>
      </c>
      <c r="F33" s="12">
        <v>0.33333333333333331</v>
      </c>
      <c r="G33" s="6">
        <f t="shared" si="1"/>
        <v>0</v>
      </c>
      <c r="H33" s="11">
        <f>((E33*24)*C6)+G33*24*1.5*C6</f>
        <v>40</v>
      </c>
    </row>
    <row r="34" spans="1:8" s="4" customFormat="1" ht="15" customHeight="1">
      <c r="A34" s="14">
        <v>26</v>
      </c>
      <c r="B34" s="13">
        <v>0.375</v>
      </c>
      <c r="C34" s="13">
        <v>0.70833333333333337</v>
      </c>
      <c r="D34" s="13">
        <v>0</v>
      </c>
      <c r="E34" s="8">
        <f t="shared" si="0"/>
        <v>0.33333333333333337</v>
      </c>
      <c r="F34" s="12">
        <v>0.33333333333333331</v>
      </c>
      <c r="G34" s="6">
        <f t="shared" si="1"/>
        <v>0</v>
      </c>
      <c r="H34" s="11">
        <f>((E34*24)*C6)+G34*24*1.5*C6</f>
        <v>40</v>
      </c>
    </row>
    <row r="35" spans="1:8" s="4" customFormat="1" ht="15" customHeight="1">
      <c r="A35" s="14">
        <v>27</v>
      </c>
      <c r="B35" s="13">
        <v>0.375</v>
      </c>
      <c r="C35" s="13">
        <v>0.70833333333333337</v>
      </c>
      <c r="D35" s="13">
        <v>0</v>
      </c>
      <c r="E35" s="8">
        <f t="shared" si="0"/>
        <v>0.33333333333333337</v>
      </c>
      <c r="F35" s="12">
        <v>0.33333333333333331</v>
      </c>
      <c r="G35" s="6">
        <f t="shared" si="1"/>
        <v>0</v>
      </c>
      <c r="H35" s="11">
        <f>((E35*24)*C6)+G35*24*1.5*C6</f>
        <v>40</v>
      </c>
    </row>
    <row r="36" spans="1:8" s="4" customFormat="1" ht="15" customHeight="1">
      <c r="A36" s="14">
        <v>28</v>
      </c>
      <c r="B36" s="13">
        <v>0.375</v>
      </c>
      <c r="C36" s="13">
        <v>0.70833333333333337</v>
      </c>
      <c r="D36" s="13">
        <v>0</v>
      </c>
      <c r="E36" s="8">
        <f t="shared" si="0"/>
        <v>0.33333333333333337</v>
      </c>
      <c r="F36" s="12">
        <v>0.33333333333333331</v>
      </c>
      <c r="G36" s="6">
        <f t="shared" si="1"/>
        <v>0</v>
      </c>
      <c r="H36" s="11">
        <f>((E36*24)*C6)+G36*24*1.5*C6</f>
        <v>40</v>
      </c>
    </row>
    <row r="37" spans="1:8" s="4" customFormat="1" ht="15" customHeight="1">
      <c r="A37" s="14">
        <v>29</v>
      </c>
      <c r="B37" s="13">
        <v>0.375</v>
      </c>
      <c r="C37" s="13">
        <v>0.70833333333333337</v>
      </c>
      <c r="D37" s="13">
        <v>0</v>
      </c>
      <c r="E37" s="8">
        <f t="shared" si="0"/>
        <v>0.33333333333333337</v>
      </c>
      <c r="F37" s="12">
        <v>0.33333333333333331</v>
      </c>
      <c r="G37" s="6">
        <f t="shared" si="1"/>
        <v>0</v>
      </c>
      <c r="H37" s="11">
        <f>((E37*24)*C6)+G37*24*1.5*C6</f>
        <v>40</v>
      </c>
    </row>
    <row r="38" spans="1:8" s="4" customFormat="1" ht="15" customHeight="1">
      <c r="A38" s="14">
        <v>30</v>
      </c>
      <c r="B38" s="13">
        <v>0.375</v>
      </c>
      <c r="C38" s="13">
        <v>0.70833333333333337</v>
      </c>
      <c r="D38" s="13">
        <v>0</v>
      </c>
      <c r="E38" s="8">
        <f t="shared" si="0"/>
        <v>0.33333333333333337</v>
      </c>
      <c r="F38" s="12">
        <v>0.33333333333333331</v>
      </c>
      <c r="G38" s="6">
        <f t="shared" si="1"/>
        <v>0</v>
      </c>
      <c r="H38" s="11">
        <f>((E38*24)*C6)+G38*24*1.5*C6</f>
        <v>40</v>
      </c>
    </row>
    <row r="39" spans="1:8" s="4" customFormat="1" ht="15" customHeight="1">
      <c r="A39" s="10">
        <v>31</v>
      </c>
      <c r="B39" s="13">
        <v>0.375</v>
      </c>
      <c r="C39" s="13">
        <v>0.70833333333333337</v>
      </c>
      <c r="D39" s="9">
        <v>0</v>
      </c>
      <c r="E39" s="8">
        <f t="shared" si="0"/>
        <v>0.33333333333333337</v>
      </c>
      <c r="F39" s="7">
        <v>0.33333333333333331</v>
      </c>
      <c r="G39" s="6">
        <f t="shared" si="1"/>
        <v>0</v>
      </c>
      <c r="H39" s="5">
        <f>((E39*24)*C6)+G39*24*1.5*C6</f>
        <v>40</v>
      </c>
    </row>
  </sheetData>
  <sheetProtection selectLockedCells="1" selectUnlockedCells="1"/>
  <mergeCells count="17">
    <mergeCell ref="A7:A8"/>
    <mergeCell ref="F7:F8"/>
    <mergeCell ref="G7:G8"/>
    <mergeCell ref="B7:D7"/>
    <mergeCell ref="A1:H1"/>
    <mergeCell ref="H7:H8"/>
    <mergeCell ref="E2:H2"/>
    <mergeCell ref="E4:H4"/>
    <mergeCell ref="A2:D2"/>
    <mergeCell ref="A4:D4"/>
    <mergeCell ref="A3:D3"/>
    <mergeCell ref="A5:D5"/>
    <mergeCell ref="A6:B6"/>
    <mergeCell ref="C6:D6"/>
    <mergeCell ref="E6:F6"/>
    <mergeCell ref="G6:H6"/>
    <mergeCell ref="E7:E8"/>
  </mergeCells>
  <conditionalFormatting sqref="G9:G39">
    <cfRule type="cellIs" dxfId="0" priority="1" stopIfTrue="1" operator="greaterThan">
      <formula>0</formula>
    </cfRule>
  </conditionalFormatting>
  <printOptions horizontalCentered="1"/>
  <pageMargins left="0.39370078740157483" right="0.39370078740157483" top="0.39370078740157483" bottom="0.39370078740157483" header="0" footer="0"/>
  <pageSetup paperSize="9" scale="96" orientation="portrait" r:id="rId1"/>
  <headerFooter alignWithMargins="0">
    <oddFooter>&amp;L&amp;D   &amp;T     Página &amp;P de &amp;N&amp;R( &amp;A )   &amp;F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Apresentação</vt:lpstr>
      <vt:lpstr>Horas Trabalhadas</vt:lpstr>
      <vt:lpstr>'Horas Trabalhadas'!Area_de_impressao</vt:lpstr>
    </vt:vector>
  </TitlesOfParts>
  <Company>Hewlett-Packard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Suportenote</dc:creator>
  <cp:lastModifiedBy>Suportenote</cp:lastModifiedBy>
  <dcterms:created xsi:type="dcterms:W3CDTF">2015-08-04T14:43:00Z</dcterms:created>
  <dcterms:modified xsi:type="dcterms:W3CDTF">2017-01-26T11:35:27Z</dcterms:modified>
</cp:coreProperties>
</file>