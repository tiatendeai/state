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bookViews>
    <workbookView xWindow="720" yWindow="510" windowWidth="12120" windowHeight="8445"/>
  </bookViews>
  <sheets>
    <sheet name="Cálculo" sheetId="1" r:id="rId1"/>
    <sheet name="ANEXOS" sheetId="2" state="hidden" r:id="rId2"/>
  </sheets>
  <definedNames>
    <definedName name="anexo1">ANEXOS!$D$12:$D$17</definedName>
    <definedName name="anexo2">ANEXOS!$D$21:$D$26</definedName>
    <definedName name="anexo3">ANEXOS!$D$30:$D$35</definedName>
    <definedName name="anexo4">ANEXOS!$D$39:$D$44</definedName>
    <definedName name="anexo5">ANEXOS!$D$48:$D$53</definedName>
  </definedNames>
  <calcPr calcId="162913"/>
</workbook>
</file>

<file path=xl/calcChain.xml><?xml version="1.0" encoding="utf-8"?>
<calcChain xmlns="http://schemas.openxmlformats.org/spreadsheetml/2006/main">
  <c r="E17" i="1" l="1"/>
  <c r="E8" i="2" l="1"/>
  <c r="F51" i="2" l="1"/>
  <c r="G51" i="2" s="1"/>
  <c r="F17" i="2"/>
  <c r="F31" i="2"/>
  <c r="G31" i="2" s="1"/>
  <c r="F43" i="2"/>
  <c r="G43" i="2" s="1"/>
  <c r="F53" i="2"/>
  <c r="F16" i="2"/>
  <c r="F23" i="2"/>
  <c r="F21" i="2"/>
  <c r="F32" i="2"/>
  <c r="G32" i="2" s="1"/>
  <c r="F40" i="2"/>
  <c r="G40" i="2" s="1"/>
  <c r="F44" i="2"/>
  <c r="F50" i="2"/>
  <c r="G50" i="2" s="1"/>
  <c r="F13" i="2"/>
  <c r="F26" i="2"/>
  <c r="F35" i="2"/>
  <c r="F49" i="2"/>
  <c r="G49" i="2" s="1"/>
  <c r="F15" i="2"/>
  <c r="F24" i="2"/>
  <c r="F22" i="2"/>
  <c r="F33" i="2"/>
  <c r="G33" i="2" s="1"/>
  <c r="F41" i="2"/>
  <c r="G41" i="2" s="1"/>
  <c r="F39" i="2"/>
  <c r="G39" i="2" s="1"/>
  <c r="F12" i="2"/>
  <c r="F14" i="2"/>
  <c r="F25" i="2"/>
  <c r="F30" i="2"/>
  <c r="G30" i="2" s="1"/>
  <c r="F34" i="2"/>
  <c r="G34" i="2" s="1"/>
  <c r="F42" i="2"/>
  <c r="G42" i="2" s="1"/>
  <c r="F48" i="2"/>
  <c r="G48" i="2" s="1"/>
  <c r="F52" i="2"/>
  <c r="G52" i="2" s="1"/>
  <c r="F24" i="1" s="1"/>
  <c r="C25" i="1"/>
  <c r="F22" i="1" l="1"/>
  <c r="F23" i="1"/>
  <c r="D23" i="1"/>
  <c r="E23" i="1" s="1"/>
  <c r="D24" i="1"/>
  <c r="E24" i="1" s="1"/>
  <c r="D22" i="1"/>
  <c r="E22" i="1" s="1"/>
  <c r="D20" i="1"/>
  <c r="E20" i="1" s="1"/>
  <c r="D21" i="1"/>
  <c r="E21" i="1" s="1"/>
  <c r="E25" i="1" l="1"/>
</calcChain>
</file>

<file path=xl/sharedStrings.xml><?xml version="1.0" encoding="utf-8"?>
<sst xmlns="http://schemas.openxmlformats.org/spreadsheetml/2006/main" count="117" uniqueCount="47">
  <si>
    <t>www.umarizaloffice.com.br</t>
  </si>
  <si>
    <t>UMARIZAL CONSULTING</t>
  </si>
  <si>
    <t>Trav. Manoel Evaristo, 449 - Umarizal</t>
  </si>
  <si>
    <t>Cep 66.050-290 - Belém - Pará - Brasil</t>
  </si>
  <si>
    <t>Tel: +55 (091) 3277-7050 / (91) 98128-7982</t>
  </si>
  <si>
    <t xml:space="preserve">Dúvidas e/ou Desbloqueio da planilha??? </t>
  </si>
  <si>
    <t>Clique aqui e contrate nossa consultoria online</t>
  </si>
  <si>
    <t>Faturamento dos últimos 12 meses</t>
  </si>
  <si>
    <t>Receita Bruta em 12 Meses (em R$)</t>
  </si>
  <si>
    <t>Alíquota</t>
  </si>
  <si>
    <t>Valor a Deduzir (em R$)</t>
  </si>
  <si>
    <t>Até 180.000,00</t>
  </si>
  <si>
    <t>De 180.000,01 a 360.000,00</t>
  </si>
  <si>
    <t>De 360.000,01 a 720.000,00</t>
  </si>
  <si>
    <t>De 720.000,01 a 1.800.000,00</t>
  </si>
  <si>
    <t>De 1.800.000,01 a 3.600.000,00</t>
  </si>
  <si>
    <t>De 3.600.000,01 a 4.800.000,00</t>
  </si>
  <si>
    <t>Anexo 1</t>
  </si>
  <si>
    <t>Anexo 2</t>
  </si>
  <si>
    <t>Anexo 3</t>
  </si>
  <si>
    <t>Anexo 4</t>
  </si>
  <si>
    <t>Anexo 5</t>
  </si>
  <si>
    <t>Atividade</t>
  </si>
  <si>
    <t>Anexo 1 (Comércio)</t>
  </si>
  <si>
    <t>Anexo 2 (Indústria)</t>
  </si>
  <si>
    <t>Anexo 3 (Serviço)</t>
  </si>
  <si>
    <t>Anexo 4 (Serviço)</t>
  </si>
  <si>
    <t>Anexo 5 (Serviço)</t>
  </si>
  <si>
    <t>1a Faixa</t>
  </si>
  <si>
    <t>2a Faixa</t>
  </si>
  <si>
    <t>3a Faixa</t>
  </si>
  <si>
    <t>4a Faixa</t>
  </si>
  <si>
    <t>5a Faixa</t>
  </si>
  <si>
    <t>6a Faixa</t>
  </si>
  <si>
    <t>Faturamento do mês</t>
  </si>
  <si>
    <t>Alíquota efetiva</t>
  </si>
  <si>
    <t>Valor do DAS</t>
  </si>
  <si>
    <t>Total do Faturamento</t>
  </si>
  <si>
    <t>PLANILHA PARA CÁLCULO DO SIMPLES NACIONAL 2018</t>
  </si>
  <si>
    <t>ANEXOS DO SIMPLES NACIONAL</t>
  </si>
  <si>
    <t>Obs: Preencha apenas as células em cinza</t>
  </si>
  <si>
    <t>Alíquota nominal</t>
  </si>
  <si>
    <t>Faixa</t>
  </si>
  <si>
    <t>Faturamento dos últimos 12 meses:</t>
  </si>
  <si>
    <t>Faturamento dos últimos 12 meses (Cálculo):</t>
  </si>
  <si>
    <t>Percentual do ISS</t>
  </si>
  <si>
    <t>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</si>
</sst>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R$&quot;* #,##0.00_-;\-&quot;R$&quot;* #,##0.00_-;_-&quot;R$&quot;* &quot;-&quot;??_-;_-@_-"/>
    <numFmt numFmtId="43" formatCode="_-* #,##0.00_-;\-* #,##0.00_-;_-* &quot;-&quot;??_-;_-@_-"/>
    <numFmt numFmtId="164" formatCode="_(&quot;R$&quot;* #,##0.00_);_(&quot;R$&quot;* \(#,##0.00\);_(&quot;R$&quot;* &quot;-&quot;??_);_(@_)"/>
  </numFmts>
  <fonts count="9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rgb="FFFF0000"/>
      <name val="Arial"/>
      <family val="2"/>
    </font>
    <font>
      <b/>
      <sz val="10"/>
      <color rgb="FFC00000"/>
      <name val="Arial"/>
      <family val="2"/>
    </font>
    <font>
      <b/>
      <sz val="11"/>
      <color rgb="FFC00000"/>
      <name val="Arial"/>
      <family val="2"/>
    </font>
    <font>
      <b/>
      <sz val="12.5"/>
      <color theme="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0" applyFont="1" applyFill="1" applyAlignment="1">
      <alignment horizontal="left"/>
    </xf>
    <xf numFmtId="0" fontId="2" fillId="0" borderId="0" xfId="1" applyFill="1" applyAlignment="1" applyProtection="1">
      <alignment horizontal="left" vertical="top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2" fillId="0" borderId="0" xfId="1" applyAlignment="1" applyProtection="1">
      <alignment horizontal="left"/>
    </xf>
    <xf numFmtId="0" fontId="3" fillId="0" borderId="0" xfId="0" applyFont="1" applyFill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0" fontId="2" fillId="0" borderId="0" xfId="1" applyAlignment="1" applyProtection="1"/>
    <xf numFmtId="0" fontId="7" fillId="0" borderId="1" xfId="0" applyFont="1" applyBorder="1"/>
    <xf numFmtId="10" fontId="7" fillId="0" borderId="1" xfId="3" applyNumberFormat="1" applyFont="1" applyBorder="1"/>
    <xf numFmtId="44" fontId="7" fillId="0" borderId="1" xfId="0" applyNumberFormat="1" applyFont="1" applyBorder="1"/>
    <xf numFmtId="0" fontId="8" fillId="0" borderId="1" xfId="0" applyFont="1" applyBorder="1"/>
    <xf numFmtId="164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/>
    </xf>
    <xf numFmtId="10" fontId="7" fillId="0" borderId="1" xfId="0" applyNumberFormat="1" applyFont="1" applyBorder="1"/>
    <xf numFmtId="43" fontId="7" fillId="0" borderId="1" xfId="4" applyFont="1" applyBorder="1" applyAlignment="1">
      <alignment horizontal="right" vertical="center"/>
    </xf>
    <xf numFmtId="164" fontId="7" fillId="4" borderId="1" xfId="2" applyFont="1" applyFill="1" applyBorder="1" applyProtection="1">
      <protection locked="0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left" wrapText="1"/>
    </xf>
    <xf numFmtId="164" fontId="7" fillId="4" borderId="0" xfId="2" applyFont="1" applyFill="1" applyAlignment="1" applyProtection="1">
      <alignment vertical="center"/>
      <protection locked="0"/>
    </xf>
    <xf numFmtId="164" fontId="7" fillId="0" borderId="0" xfId="2" applyFont="1" applyFill="1" applyAlignment="1" applyProtection="1">
      <alignment vertical="center"/>
      <protection locked="0"/>
    </xf>
    <xf numFmtId="43" fontId="7" fillId="0" borderId="0" xfId="0" applyNumberFormat="1" applyFont="1"/>
    <xf numFmtId="10" fontId="7" fillId="0" borderId="0" xfId="3" applyNumberFormat="1" applyFont="1"/>
    <xf numFmtId="0" fontId="6" fillId="0" borderId="0" xfId="0" applyFont="1" applyFill="1" applyAlignment="1">
      <alignment horizontal="center" wrapText="1"/>
    </xf>
    <xf numFmtId="0" fontId="7" fillId="0" borderId="0" xfId="0" applyFont="1" applyFill="1"/>
    <xf numFmtId="164" fontId="7" fillId="0" borderId="0" xfId="2" applyFont="1" applyAlignment="1"/>
    <xf numFmtId="10" fontId="7" fillId="0" borderId="1" xfId="3" applyNumberFormat="1" applyFont="1" applyBorder="1" applyProtection="1"/>
    <xf numFmtId="0" fontId="3" fillId="0" borderId="0" xfId="0" applyFont="1" applyFill="1" applyAlignment="1">
      <alignment horizontal="center"/>
    </xf>
    <xf numFmtId="164" fontId="7" fillId="4" borderId="0" xfId="2" applyFont="1" applyFill="1" applyAlignment="1" applyProtection="1">
      <alignment vertical="center"/>
    </xf>
    <xf numFmtId="0" fontId="7" fillId="0" borderId="1" xfId="0" applyFont="1" applyBorder="1" applyAlignment="1">
      <alignment horizontal="center"/>
    </xf>
    <xf numFmtId="0" fontId="7" fillId="0" borderId="0" xfId="0" applyFont="1" applyBorder="1"/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left"/>
    </xf>
    <xf numFmtId="44" fontId="8" fillId="0" borderId="4" xfId="0" applyNumberFormat="1" applyFont="1" applyBorder="1"/>
    <xf numFmtId="0" fontId="6" fillId="3" borderId="0" xfId="0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 applyProtection="1">
      <alignment horizontal="center"/>
    </xf>
    <xf numFmtId="0" fontId="2" fillId="0" borderId="0" xfId="1" applyAlignment="1" applyProtection="1">
      <alignment horizontal="center"/>
    </xf>
    <xf numFmtId="0" fontId="5" fillId="2" borderId="0" xfId="0" applyFont="1" applyFill="1" applyAlignment="1">
      <alignment horizontal="center"/>
    </xf>
    <xf numFmtId="0" fontId="2" fillId="2" borderId="0" xfId="1" applyFill="1" applyAlignment="1" applyProtection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Border="1" applyAlignment="1">
      <alignment horizontal="center"/>
    </xf>
  </cellXfs>
  <cellStyles count="5">
    <cellStyle name="Hiperlink" xfId="1" builtinId="8"/>
    <cellStyle name="Moeda" xfId="2" builtinId="4"/>
    <cellStyle name="Normal" xfId="0" builtinId="0"/>
    <cellStyle name="Porcentagem" xfId="3" builtinId="5"/>
    <cellStyle name="Vírgula" xfId="4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206375</xdr:colOff>
      <xdr:row>1</xdr:row>
      <xdr:rowOff>82550</xdr:rowOff>
    </xdr:from>
    <xdr:to>
      <xdr:col>1</xdr:col>
      <xdr:colOff>1158875</xdr:colOff>
      <xdr:row>5</xdr:row>
      <xdr:rowOff>130175</xdr:rowOff>
    </xdr:to>
    <xdr:pic>
      <xdr:nvPicPr>
        <xdr:cNvPr id="3" name="Imagem 3" descr="UMARIZAL CONSUTING LOGO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" y="247650"/>
          <a:ext cx="156210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387594</xdr:colOff>
      <xdr:row>0</xdr:row>
      <xdr:rowOff>14655</xdr:rowOff>
    </xdr:from>
    <xdr:to>
      <xdr:col>5</xdr:col>
      <xdr:colOff>571502</xdr:colOff>
      <xdr:row>4</xdr:row>
      <xdr:rowOff>110867</xdr:rowOff>
    </xdr:to>
    <xdr:pic>
      <xdr:nvPicPr>
        <xdr:cNvPr id="2" name="Imagem 3" descr="UMARIZAL CONSUTING LOGO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9863" y="14655"/>
          <a:ext cx="1451466" cy="8582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marizaloffice.com.br/" TargetMode="External"/><Relationship Id="rId1" Type="http://schemas.openxmlformats.org/officeDocument/2006/relationships/hyperlink" Target="http://www.umarizaloffice.com.br/servicos/consultoria-online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umarizaloffice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zoomScale="150" zoomScaleNormal="150" workbookViewId="0">
      <selection activeCell="E17" sqref="E17"/>
    </sheetView>
  </sheetViews>
  <sheetFormatPr defaultRowHeight="12.75" x14ac:dyDescent="0.2"/>
  <cols>
    <col min="1" max="1" width="9.140625" style="7" customWidth="1"/>
    <col min="2" max="2" width="18.28515625" style="7" customWidth="1"/>
    <col min="3" max="3" width="17.5703125" style="7" customWidth="1"/>
    <col min="4" max="4" width="7.5703125" style="7" customWidth="1"/>
    <col min="5" max="5" width="15.5703125" style="7" customWidth="1"/>
    <col min="6" max="16384" width="9.140625" style="7"/>
  </cols>
  <sheetData>
    <row r="1" spans="1:7" customFormat="1" x14ac:dyDescent="0.2"/>
    <row r="2" spans="1:7" customFormat="1" ht="15" x14ac:dyDescent="0.25">
      <c r="B2" s="6"/>
      <c r="C2" s="43" t="s">
        <v>1</v>
      </c>
      <c r="D2" s="43"/>
      <c r="E2" s="43"/>
    </row>
    <row r="3" spans="1:7" customFormat="1" ht="15" x14ac:dyDescent="0.25">
      <c r="B3" s="6"/>
      <c r="C3" s="43" t="s">
        <v>2</v>
      </c>
      <c r="D3" s="43"/>
      <c r="E3" s="43"/>
    </row>
    <row r="4" spans="1:7" customFormat="1" ht="15" x14ac:dyDescent="0.25">
      <c r="B4" s="6"/>
      <c r="C4" s="43" t="s">
        <v>3</v>
      </c>
      <c r="D4" s="43"/>
      <c r="E4" s="43"/>
    </row>
    <row r="5" spans="1:7" customFormat="1" ht="15" x14ac:dyDescent="0.25">
      <c r="C5" s="43" t="s">
        <v>4</v>
      </c>
      <c r="D5" s="43"/>
      <c r="E5" s="43"/>
    </row>
    <row r="6" spans="1:7" customFormat="1" ht="14.25" customHeight="1" x14ac:dyDescent="0.2">
      <c r="C6" s="44" t="s">
        <v>0</v>
      </c>
      <c r="D6" s="44"/>
      <c r="E6" s="44"/>
    </row>
    <row r="7" spans="1:7" customFormat="1" ht="14.25" customHeight="1" x14ac:dyDescent="0.2">
      <c r="C7" s="10"/>
      <c r="D7" s="5"/>
      <c r="E7" s="5"/>
    </row>
    <row r="8" spans="1:7" customFormat="1" ht="14.25" customHeight="1" x14ac:dyDescent="0.25">
      <c r="A8" s="45" t="s">
        <v>5</v>
      </c>
      <c r="B8" s="45"/>
      <c r="C8" s="45"/>
      <c r="D8" s="45"/>
      <c r="E8" s="45"/>
      <c r="F8" s="45"/>
      <c r="G8" s="45"/>
    </row>
    <row r="9" spans="1:7" customFormat="1" ht="14.25" customHeight="1" x14ac:dyDescent="0.2">
      <c r="A9" s="46" t="s">
        <v>6</v>
      </c>
      <c r="B9" s="46"/>
      <c r="C9" s="46"/>
      <c r="D9" s="46"/>
      <c r="E9" s="46"/>
      <c r="F9" s="46"/>
      <c r="G9" s="46"/>
    </row>
    <row r="10" spans="1:7" customFormat="1" ht="14.25" customHeight="1" x14ac:dyDescent="0.2">
      <c r="C10" s="10"/>
      <c r="D10" s="5"/>
      <c r="E10" s="5"/>
    </row>
    <row r="11" spans="1:7" ht="16.5" customHeight="1" x14ac:dyDescent="0.25">
      <c r="A11" s="40" t="s">
        <v>38</v>
      </c>
      <c r="B11" s="40"/>
      <c r="C11" s="40"/>
      <c r="D11" s="40"/>
      <c r="E11" s="40"/>
      <c r="F11" s="40"/>
      <c r="G11" s="40"/>
    </row>
    <row r="13" spans="1:7" x14ac:dyDescent="0.2">
      <c r="B13" s="41" t="s">
        <v>40</v>
      </c>
      <c r="C13" s="41"/>
      <c r="D13" s="41"/>
      <c r="E13" s="41"/>
    </row>
    <row r="14" spans="1:7" x14ac:dyDescent="0.2">
      <c r="B14" s="33"/>
      <c r="C14" s="33"/>
      <c r="D14" s="33"/>
      <c r="E14" s="33"/>
    </row>
    <row r="15" spans="1:7" x14ac:dyDescent="0.2">
      <c r="B15" s="42" t="s">
        <v>43</v>
      </c>
      <c r="C15" s="42"/>
      <c r="D15" s="42"/>
      <c r="E15" s="25">
        <v>350000</v>
      </c>
    </row>
    <row r="16" spans="1:7" x14ac:dyDescent="0.2">
      <c r="B16" s="6"/>
      <c r="C16" s="6"/>
    </row>
    <row r="17" spans="2:6" hidden="1" x14ac:dyDescent="0.2">
      <c r="B17" s="42" t="s">
        <v>44</v>
      </c>
      <c r="C17" s="42"/>
      <c r="D17" s="42"/>
      <c r="E17" s="34">
        <f>IF(E15&lt;480001,E15,0)</f>
        <v>350000</v>
      </c>
    </row>
    <row r="18" spans="2:6" hidden="1" x14ac:dyDescent="0.2">
      <c r="B18" s="8"/>
    </row>
    <row r="19" spans="2:6" ht="34.5" customHeight="1" x14ac:dyDescent="0.2">
      <c r="B19" s="17" t="s">
        <v>22</v>
      </c>
      <c r="C19" s="17" t="s">
        <v>34</v>
      </c>
      <c r="D19" s="18" t="s">
        <v>35</v>
      </c>
      <c r="E19" s="17" t="s">
        <v>36</v>
      </c>
      <c r="F19" s="18" t="s">
        <v>45</v>
      </c>
    </row>
    <row r="20" spans="2:6" x14ac:dyDescent="0.2">
      <c r="B20" s="11" t="s">
        <v>23</v>
      </c>
      <c r="C20" s="22"/>
      <c r="D20" s="32">
        <f>IF(E17&gt;3600000,ANEXOS!F17,IF(ANEXOS!E8&gt;1800000,ANEXOS!F16,IF(ANEXOS!E8&gt;720000,ANEXOS!F15,IF(ANEXOS!E8&gt;360000,ANEXOS!F14,IF(ANEXOS!E8&gt;180000,ANEXOS!F13,IF(ANEXOS!E8&lt;180000,ANEXOS!F12))))))</f>
        <v>5.6028571428571428E-2</v>
      </c>
      <c r="E20" s="13">
        <f>C20*D20</f>
        <v>0</v>
      </c>
      <c r="F20" s="12"/>
    </row>
    <row r="21" spans="2:6" x14ac:dyDescent="0.2">
      <c r="B21" s="11" t="s">
        <v>24</v>
      </c>
      <c r="C21" s="22"/>
      <c r="D21" s="32">
        <f>IF(Cálculo!E17&gt;3600000,ANEXOS!F26,IF(E17&gt;1800000,ANEXOS!F25,IF(Cálculo!E17&gt;720000,ANEXOS!F24,IF(Cálculo!E17&gt;360000,ANEXOS!F23,IF(Cálculo!E17&gt;180000,ANEXOS!F22,IF(Cálculo!E17&lt;180000,ANEXOS!F21))))))</f>
        <v>6.1028571428571432E-2</v>
      </c>
      <c r="E21" s="13">
        <f>C21*D21</f>
        <v>0</v>
      </c>
      <c r="F21" s="12"/>
    </row>
    <row r="22" spans="2:6" x14ac:dyDescent="0.2">
      <c r="B22" s="11" t="s">
        <v>25</v>
      </c>
      <c r="C22" s="22"/>
      <c r="D22" s="32">
        <f>IF(E17&gt;3600000,ANEXOS!F35,IF(ANEXOS!E8&gt;1800000,ANEXOS!F34,IF(ANEXOS!E8&gt;720000,ANEXOS!F33,IF(ANEXOS!E8&gt;360000,ANEXOS!F32,IF(ANEXOS!E8&gt;180000,ANEXOS!F31,IF(ANEXOS!E8&lt;180000,ANEXOS!F30))))))</f>
        <v>8.5257142857142851E-2</v>
      </c>
      <c r="E22" s="13">
        <f>C22*D22</f>
        <v>0</v>
      </c>
      <c r="F22" s="32">
        <f>IF(E17&gt;3600000,ANEXOS!G35,IF(ANEXOS!E8&gt;1800000,ANEXOS!G34,IF(ANEXOS!E8&gt;720000,ANEXOS!G33,IF(ANEXOS!E8&gt;360000,ANEXOS!G32,IF(ANEXOS!E8&gt;180000,ANEXOS!G31,IF(ANEXOS!E8&lt;180000,ANEXOS!G30))))))</f>
        <v>2.7282285714285714E-2</v>
      </c>
    </row>
    <row r="23" spans="2:6" x14ac:dyDescent="0.2">
      <c r="B23" s="11" t="s">
        <v>26</v>
      </c>
      <c r="C23" s="22"/>
      <c r="D23" s="32">
        <f>IF(E17&gt;3600000,ANEXOS!F44,IF(ANEXOS!E8&gt;1800000,ANEXOS!F43,IF(ANEXOS!E8&gt;720000,ANEXOS!F42,IF(ANEXOS!E8&gt;360000,ANEXOS!F41,IF(ANEXOS!E8&gt;180000,ANEXOS!F40,IF(ANEXOS!E8&lt;180000,ANEXOS!F39))))))</f>
        <v>6.6857142857142851E-2</v>
      </c>
      <c r="E23" s="13">
        <f>C23*D23</f>
        <v>0</v>
      </c>
      <c r="F23" s="12">
        <f>IF(E17&gt;3600000,ANEXOS!G44,IF(ANEXOS!E8&gt;1800000,ANEXOS!G43,IF(ANEXOS!E8&gt;720000,ANEXOS!G42,IF(ANEXOS!E8&gt;360000,ANEXOS!G41,IF(ANEXOS!E8&gt;180000,ANEXOS!G40,IF(ANEXOS!E8&lt;180000,ANEXOS!G39))))))</f>
        <v>2.6742857142857141E-2</v>
      </c>
    </row>
    <row r="24" spans="2:6" x14ac:dyDescent="0.2">
      <c r="B24" s="11" t="s">
        <v>27</v>
      </c>
      <c r="C24" s="22"/>
      <c r="D24" s="32">
        <f>IF(E17&gt;3600000,ANEXOS!F53,IF(ANEXOS!E8&gt;1800000,ANEXOS!F52,IF(ANEXOS!E8&gt;720000,ANEXOS!F51,IF(ANEXOS!E8&gt;360000,ANEXOS!F50,IF(ANEXOS!E8&gt;180000,ANEXOS!F49,IF(ANEXOS!E8&lt;180000,ANEXOS!F48))))))</f>
        <v>0.16714285714285715</v>
      </c>
      <c r="E24" s="13">
        <f>C24*D24</f>
        <v>0</v>
      </c>
      <c r="F24" s="12">
        <f>IF(E17&gt;3600000,ANEXOS!G53,IF(ANEXOS!E8&gt;1800000,ANEXOS!G52,IF(ANEXOS!E8&gt;720000,ANEXOS!G51,IF(ANEXOS!E8&gt;360000,ANEXOS!G50,IF(ANEXOS!E8&gt;180000,ANEXOS!G49,IF(ANEXOS!E8&lt;180000,ANEXOS!G48))))))</f>
        <v>2.8414285714285718E-2</v>
      </c>
    </row>
    <row r="25" spans="2:6" x14ac:dyDescent="0.2">
      <c r="B25" s="14" t="s">
        <v>37</v>
      </c>
      <c r="C25" s="15">
        <f>SUM(C20:C24)</f>
        <v>0</v>
      </c>
      <c r="D25" s="16"/>
      <c r="E25" s="39">
        <f>SUM(E20:E24)</f>
        <v>0</v>
      </c>
      <c r="F25" s="36"/>
    </row>
  </sheetData>
  <sheetProtection algorithmName="SHA-512" hashValue="SzpVCN0v+F1bU0LVkEfwCBuRu4rRwLgD7Df58ruN2b0yv0qXjWc1bLja+iFnCT1zKpYMe/z29DEkANh7z2jleQ==" saltValue="8eCAOtGB5rnH0hsyfsv3QQ==" spinCount="100000" sheet="1" objects="1" scenarios="1"/>
  <mergeCells count="11">
    <mergeCell ref="A11:G11"/>
    <mergeCell ref="B13:E13"/>
    <mergeCell ref="B17:D17"/>
    <mergeCell ref="C2:E2"/>
    <mergeCell ref="C3:E3"/>
    <mergeCell ref="C4:E4"/>
    <mergeCell ref="C5:E5"/>
    <mergeCell ref="C6:E6"/>
    <mergeCell ref="A8:G8"/>
    <mergeCell ref="A9:G9"/>
    <mergeCell ref="B15:D15"/>
  </mergeCells>
  <phoneticPr fontId="0" type="noConversion"/>
  <dataValidations count="1">
    <dataValidation type="custom" errorStyle="warning" showInputMessage="1" showErrorMessage="1" errorTitle="Erro - Versão Gratuita" error="Na versão gratuita desta planilha o faturamento bruto é limitado. Para valores acima de até R$ 480.000,00, contrate a versão completa através do site: http://www.umarizaloffice.com.br/servicos/consultoria-online/" sqref="E15">
      <formula1>E15&lt;480001</formula1>
    </dataValidation>
  </dataValidations>
  <hyperlinks>
    <hyperlink ref="A9:C9" r:id="rId1" display="Clique aqui e contrate nossa consultoria online"/>
    <hyperlink ref="C6" r:id="rId2"/>
  </hyperlinks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zoomScale="130" zoomScaleNormal="130" workbookViewId="0">
      <selection activeCell="E8" sqref="E8"/>
    </sheetView>
  </sheetViews>
  <sheetFormatPr defaultRowHeight="12.75" x14ac:dyDescent="0.2"/>
  <cols>
    <col min="1" max="1" width="9.140625" style="7" customWidth="1"/>
    <col min="2" max="2" width="9.5703125" style="7" customWidth="1"/>
    <col min="3" max="3" width="26.140625" style="7" bestFit="1" customWidth="1"/>
    <col min="4" max="4" width="7.7109375" style="7" bestFit="1" customWidth="1"/>
    <col min="5" max="5" width="19" style="9" bestFit="1" customWidth="1"/>
    <col min="6" max="7" width="13.7109375" style="7" bestFit="1" customWidth="1"/>
    <col min="8" max="8" width="9.140625" style="7"/>
    <col min="9" max="9" width="10.140625" style="7" bestFit="1" customWidth="1"/>
    <col min="10" max="16384" width="9.140625" style="7"/>
  </cols>
  <sheetData>
    <row r="1" spans="1:9" ht="15" x14ac:dyDescent="0.25">
      <c r="B1" s="4" t="s">
        <v>1</v>
      </c>
      <c r="C1" s="4"/>
      <c r="D1" s="4"/>
      <c r="E1" s="4"/>
    </row>
    <row r="2" spans="1:9" ht="15" x14ac:dyDescent="0.25">
      <c r="B2" s="4" t="s">
        <v>2</v>
      </c>
      <c r="C2" s="4"/>
      <c r="D2" s="4"/>
      <c r="E2" s="1"/>
    </row>
    <row r="3" spans="1:9" ht="15" x14ac:dyDescent="0.25">
      <c r="B3" s="4" t="s">
        <v>3</v>
      </c>
      <c r="C3" s="4"/>
      <c r="D3" s="4"/>
      <c r="E3" s="2"/>
    </row>
    <row r="4" spans="1:9" ht="15" x14ac:dyDescent="0.25">
      <c r="B4" s="4" t="s">
        <v>4</v>
      </c>
      <c r="C4" s="4"/>
      <c r="D4" s="4"/>
      <c r="E4" s="3"/>
    </row>
    <row r="5" spans="1:9" x14ac:dyDescent="0.2">
      <c r="B5" s="5" t="s">
        <v>0</v>
      </c>
      <c r="C5" s="5"/>
      <c r="D5" s="5"/>
      <c r="E5" s="5"/>
    </row>
    <row r="7" spans="1:9" ht="16.5" x14ac:dyDescent="0.25">
      <c r="A7" s="40" t="s">
        <v>39</v>
      </c>
      <c r="B7" s="40"/>
      <c r="C7" s="40"/>
      <c r="D7" s="40"/>
      <c r="E7" s="40"/>
      <c r="F7" s="40"/>
      <c r="G7" s="40"/>
    </row>
    <row r="8" spans="1:9" s="30" customFormat="1" ht="16.5" x14ac:dyDescent="0.25">
      <c r="A8" s="29"/>
      <c r="B8" s="29"/>
      <c r="C8" s="42" t="s">
        <v>7</v>
      </c>
      <c r="D8" s="42"/>
      <c r="E8" s="31">
        <f>Cálculo!E17</f>
        <v>350000</v>
      </c>
      <c r="F8" s="26"/>
      <c r="G8" s="29"/>
    </row>
    <row r="9" spans="1:9" s="30" customFormat="1" ht="16.5" x14ac:dyDescent="0.25">
      <c r="A9" s="29"/>
      <c r="B9" s="29"/>
      <c r="C9" s="29"/>
      <c r="D9" s="29"/>
      <c r="E9" s="29"/>
      <c r="F9" s="29"/>
      <c r="G9" s="29"/>
    </row>
    <row r="10" spans="1:9" x14ac:dyDescent="0.2">
      <c r="B10" s="48" t="s">
        <v>17</v>
      </c>
      <c r="C10" s="48"/>
      <c r="D10" s="48"/>
      <c r="E10" s="48"/>
      <c r="F10" s="48"/>
    </row>
    <row r="11" spans="1:9" ht="25.5" x14ac:dyDescent="0.2">
      <c r="B11" s="11" t="s">
        <v>42</v>
      </c>
      <c r="C11" s="24" t="s">
        <v>7</v>
      </c>
      <c r="D11" s="23" t="s">
        <v>41</v>
      </c>
      <c r="E11" s="19" t="s">
        <v>10</v>
      </c>
      <c r="F11" s="23" t="s">
        <v>35</v>
      </c>
    </row>
    <row r="12" spans="1:9" x14ac:dyDescent="0.2">
      <c r="B12" s="11" t="s">
        <v>28</v>
      </c>
      <c r="C12" s="11" t="s">
        <v>11</v>
      </c>
      <c r="D12" s="20">
        <v>0.04</v>
      </c>
      <c r="E12" s="21">
        <v>0</v>
      </c>
      <c r="F12" s="12">
        <f>(($E$8*D12)-E12)/$E$8</f>
        <v>0.04</v>
      </c>
    </row>
    <row r="13" spans="1:9" x14ac:dyDescent="0.2">
      <c r="B13" s="11" t="s">
        <v>29</v>
      </c>
      <c r="C13" s="11" t="s">
        <v>12</v>
      </c>
      <c r="D13" s="20">
        <v>7.2999999999999995E-2</v>
      </c>
      <c r="E13" s="21">
        <v>5940</v>
      </c>
      <c r="F13" s="12">
        <f t="shared" ref="F13:F17" si="0">(($E$8*D13)-E13)/$E$8</f>
        <v>5.6028571428571428E-2</v>
      </c>
      <c r="I13" s="27"/>
    </row>
    <row r="14" spans="1:9" x14ac:dyDescent="0.2">
      <c r="B14" s="11" t="s">
        <v>30</v>
      </c>
      <c r="C14" s="11" t="s">
        <v>13</v>
      </c>
      <c r="D14" s="20">
        <v>9.5000000000000001E-2</v>
      </c>
      <c r="E14" s="21">
        <v>13860</v>
      </c>
      <c r="F14" s="12">
        <f t="shared" si="0"/>
        <v>5.5399999999999998E-2</v>
      </c>
      <c r="I14" s="28"/>
    </row>
    <row r="15" spans="1:9" x14ac:dyDescent="0.2">
      <c r="B15" s="11" t="s">
        <v>31</v>
      </c>
      <c r="C15" s="11" t="s">
        <v>14</v>
      </c>
      <c r="D15" s="20">
        <v>0.107</v>
      </c>
      <c r="E15" s="21">
        <v>22500</v>
      </c>
      <c r="F15" s="12">
        <f t="shared" si="0"/>
        <v>4.2714285714285712E-2</v>
      </c>
    </row>
    <row r="16" spans="1:9" x14ac:dyDescent="0.2">
      <c r="B16" s="11" t="s">
        <v>32</v>
      </c>
      <c r="C16" s="11" t="s">
        <v>15</v>
      </c>
      <c r="D16" s="20">
        <v>0.14299999999999999</v>
      </c>
      <c r="E16" s="21">
        <v>87300</v>
      </c>
      <c r="F16" s="12">
        <f t="shared" si="0"/>
        <v>-0.10642857142857146</v>
      </c>
    </row>
    <row r="17" spans="2:7" x14ac:dyDescent="0.2">
      <c r="B17" s="11" t="s">
        <v>33</v>
      </c>
      <c r="C17" s="11" t="s">
        <v>16</v>
      </c>
      <c r="D17" s="20">
        <v>0.19</v>
      </c>
      <c r="E17" s="21">
        <v>378000</v>
      </c>
      <c r="F17" s="12">
        <f t="shared" si="0"/>
        <v>-0.89</v>
      </c>
    </row>
    <row r="19" spans="2:7" x14ac:dyDescent="0.2">
      <c r="B19" s="47" t="s">
        <v>18</v>
      </c>
      <c r="C19" s="48"/>
      <c r="D19" s="48"/>
      <c r="E19" s="48"/>
      <c r="F19" s="48"/>
    </row>
    <row r="20" spans="2:7" x14ac:dyDescent="0.2">
      <c r="B20" s="11"/>
      <c r="C20" s="11"/>
      <c r="D20" s="11" t="s">
        <v>9</v>
      </c>
      <c r="E20" s="19" t="s">
        <v>10</v>
      </c>
      <c r="F20" s="23" t="s">
        <v>35</v>
      </c>
    </row>
    <row r="21" spans="2:7" x14ac:dyDescent="0.2">
      <c r="B21" s="11" t="s">
        <v>28</v>
      </c>
      <c r="C21" s="11" t="s">
        <v>11</v>
      </c>
      <c r="D21" s="20">
        <v>4.4999999999999998E-2</v>
      </c>
      <c r="E21" s="21">
        <v>0</v>
      </c>
      <c r="F21" s="12">
        <f>(($E$8*D21)-E21)/$E$8</f>
        <v>4.4999999999999998E-2</v>
      </c>
    </row>
    <row r="22" spans="2:7" x14ac:dyDescent="0.2">
      <c r="B22" s="11" t="s">
        <v>29</v>
      </c>
      <c r="C22" s="11" t="s">
        <v>12</v>
      </c>
      <c r="D22" s="20">
        <v>7.8E-2</v>
      </c>
      <c r="E22" s="21">
        <v>5940</v>
      </c>
      <c r="F22" s="12">
        <f>(($E$8*D22)-E22)/$E$8</f>
        <v>6.1028571428571432E-2</v>
      </c>
    </row>
    <row r="23" spans="2:7" x14ac:dyDescent="0.2">
      <c r="B23" s="11" t="s">
        <v>30</v>
      </c>
      <c r="C23" s="11" t="s">
        <v>13</v>
      </c>
      <c r="D23" s="20">
        <v>0.1</v>
      </c>
      <c r="E23" s="21">
        <v>13860</v>
      </c>
      <c r="F23" s="12">
        <f t="shared" ref="F23:F26" si="1">(($E$8*D23)-E23)/$E$8</f>
        <v>6.0400000000000002E-2</v>
      </c>
    </row>
    <row r="24" spans="2:7" x14ac:dyDescent="0.2">
      <c r="B24" s="11" t="s">
        <v>31</v>
      </c>
      <c r="C24" s="11" t="s">
        <v>14</v>
      </c>
      <c r="D24" s="20">
        <v>0.112</v>
      </c>
      <c r="E24" s="21">
        <v>22500</v>
      </c>
      <c r="F24" s="12">
        <f t="shared" si="1"/>
        <v>4.7714285714285716E-2</v>
      </c>
    </row>
    <row r="25" spans="2:7" x14ac:dyDescent="0.2">
      <c r="B25" s="11" t="s">
        <v>32</v>
      </c>
      <c r="C25" s="11" t="s">
        <v>15</v>
      </c>
      <c r="D25" s="20">
        <v>0.14699999999999999</v>
      </c>
      <c r="E25" s="21">
        <v>85500</v>
      </c>
      <c r="F25" s="12">
        <f t="shared" si="1"/>
        <v>-9.7285714285714281E-2</v>
      </c>
    </row>
    <row r="26" spans="2:7" x14ac:dyDescent="0.2">
      <c r="B26" s="11" t="s">
        <v>33</v>
      </c>
      <c r="C26" s="11" t="s">
        <v>16</v>
      </c>
      <c r="D26" s="20">
        <v>0.3</v>
      </c>
      <c r="E26" s="21">
        <v>720000</v>
      </c>
      <c r="F26" s="12">
        <f t="shared" si="1"/>
        <v>-1.7571428571428571</v>
      </c>
    </row>
    <row r="28" spans="2:7" x14ac:dyDescent="0.2">
      <c r="B28" s="47" t="s">
        <v>19</v>
      </c>
      <c r="C28" s="48"/>
      <c r="D28" s="48"/>
      <c r="E28" s="48"/>
      <c r="F28" s="49"/>
    </row>
    <row r="29" spans="2:7" x14ac:dyDescent="0.2">
      <c r="B29" s="38" t="s">
        <v>8</v>
      </c>
      <c r="C29" s="35"/>
      <c r="D29" s="35" t="s">
        <v>9</v>
      </c>
      <c r="E29" s="35" t="s">
        <v>10</v>
      </c>
      <c r="F29" s="37" t="s">
        <v>35</v>
      </c>
      <c r="G29" s="35" t="s">
        <v>46</v>
      </c>
    </row>
    <row r="30" spans="2:7" x14ac:dyDescent="0.2">
      <c r="B30" s="11" t="s">
        <v>28</v>
      </c>
      <c r="C30" s="11" t="s">
        <v>11</v>
      </c>
      <c r="D30" s="20">
        <v>0.06</v>
      </c>
      <c r="E30" s="21">
        <v>0</v>
      </c>
      <c r="F30" s="12">
        <f>(($E$8*D30)-E30)/$E$8</f>
        <v>0.06</v>
      </c>
      <c r="G30" s="20">
        <f>(33.5%*F30)</f>
        <v>2.01E-2</v>
      </c>
    </row>
    <row r="31" spans="2:7" x14ac:dyDescent="0.2">
      <c r="B31" s="11" t="s">
        <v>29</v>
      </c>
      <c r="C31" s="11" t="s">
        <v>12</v>
      </c>
      <c r="D31" s="20">
        <v>0.112</v>
      </c>
      <c r="E31" s="21">
        <v>9360</v>
      </c>
      <c r="F31" s="12">
        <f>(($E$8*D31)-E31)/$E$8</f>
        <v>8.5257142857142851E-2</v>
      </c>
      <c r="G31" s="20">
        <f>(32%*F31)</f>
        <v>2.7282285714285714E-2</v>
      </c>
    </row>
    <row r="32" spans="2:7" x14ac:dyDescent="0.2">
      <c r="B32" s="11" t="s">
        <v>30</v>
      </c>
      <c r="C32" s="11" t="s">
        <v>13</v>
      </c>
      <c r="D32" s="20">
        <v>0.13500000000000001</v>
      </c>
      <c r="E32" s="21">
        <v>17640</v>
      </c>
      <c r="F32" s="12">
        <f t="shared" ref="F32:F35" si="2">(($E$8*D32)-E32)/$E$8</f>
        <v>8.4599999999999995E-2</v>
      </c>
      <c r="G32" s="20">
        <f>(32.5%*F32)</f>
        <v>2.7494999999999999E-2</v>
      </c>
    </row>
    <row r="33" spans="2:7" x14ac:dyDescent="0.2">
      <c r="B33" s="11" t="s">
        <v>31</v>
      </c>
      <c r="C33" s="11" t="s">
        <v>14</v>
      </c>
      <c r="D33" s="20">
        <v>0.16</v>
      </c>
      <c r="E33" s="21">
        <v>35640</v>
      </c>
      <c r="F33" s="12">
        <f t="shared" si="2"/>
        <v>5.8171428571428568E-2</v>
      </c>
      <c r="G33" s="20">
        <f>(32.5%*F33)</f>
        <v>1.8905714285714286E-2</v>
      </c>
    </row>
    <row r="34" spans="2:7" x14ac:dyDescent="0.2">
      <c r="B34" s="11" t="s">
        <v>32</v>
      </c>
      <c r="C34" s="11" t="s">
        <v>15</v>
      </c>
      <c r="D34" s="20">
        <v>0.21</v>
      </c>
      <c r="E34" s="21">
        <v>125640</v>
      </c>
      <c r="F34" s="12">
        <f t="shared" si="2"/>
        <v>-0.14897142857142856</v>
      </c>
      <c r="G34" s="20">
        <f>IF((F34*33.5%)&gt;5%,5%,F34*33.5%)</f>
        <v>-4.9905428571428573E-2</v>
      </c>
    </row>
    <row r="35" spans="2:7" x14ac:dyDescent="0.2">
      <c r="B35" s="11" t="s">
        <v>33</v>
      </c>
      <c r="C35" s="11" t="s">
        <v>16</v>
      </c>
      <c r="D35" s="20">
        <v>0.33</v>
      </c>
      <c r="E35" s="21">
        <v>648000</v>
      </c>
      <c r="F35" s="12">
        <f t="shared" si="2"/>
        <v>-1.5214285714285714</v>
      </c>
      <c r="G35" s="20">
        <v>0.05</v>
      </c>
    </row>
    <row r="37" spans="2:7" x14ac:dyDescent="0.2">
      <c r="B37" s="47" t="s">
        <v>20</v>
      </c>
      <c r="C37" s="48"/>
      <c r="D37" s="48"/>
      <c r="E37" s="48"/>
      <c r="F37" s="48"/>
    </row>
    <row r="38" spans="2:7" x14ac:dyDescent="0.2">
      <c r="B38" s="11" t="s">
        <v>8</v>
      </c>
      <c r="C38" s="11"/>
      <c r="D38" s="11" t="s">
        <v>9</v>
      </c>
      <c r="E38" s="19" t="s">
        <v>10</v>
      </c>
      <c r="F38" s="23" t="s">
        <v>35</v>
      </c>
      <c r="G38" s="35" t="s">
        <v>46</v>
      </c>
    </row>
    <row r="39" spans="2:7" x14ac:dyDescent="0.2">
      <c r="B39" s="11" t="s">
        <v>28</v>
      </c>
      <c r="C39" s="11" t="s">
        <v>11</v>
      </c>
      <c r="D39" s="20">
        <v>4.4999999999999998E-2</v>
      </c>
      <c r="E39" s="21">
        <v>0</v>
      </c>
      <c r="F39" s="12">
        <f>(($E$8*D39)-E39)/$E$8</f>
        <v>4.4999999999999998E-2</v>
      </c>
      <c r="G39" s="12">
        <f>(44.5%*F39)</f>
        <v>2.0025000000000001E-2</v>
      </c>
    </row>
    <row r="40" spans="2:7" x14ac:dyDescent="0.2">
      <c r="B40" s="11" t="s">
        <v>29</v>
      </c>
      <c r="C40" s="11" t="s">
        <v>12</v>
      </c>
      <c r="D40" s="20">
        <v>0.09</v>
      </c>
      <c r="E40" s="21">
        <v>8100</v>
      </c>
      <c r="F40" s="12">
        <f>(($E$8*D40)-E40)/$E$8</f>
        <v>6.6857142857142851E-2</v>
      </c>
      <c r="G40" s="20">
        <f>(40%*F40)</f>
        <v>2.6742857142857141E-2</v>
      </c>
    </row>
    <row r="41" spans="2:7" x14ac:dyDescent="0.2">
      <c r="B41" s="11" t="s">
        <v>30</v>
      </c>
      <c r="C41" s="11" t="s">
        <v>13</v>
      </c>
      <c r="D41" s="20">
        <v>0.10199999999999999</v>
      </c>
      <c r="E41" s="21">
        <v>12420</v>
      </c>
      <c r="F41" s="12">
        <f t="shared" ref="F41:F44" si="3">(($E$8*D41)-E41)/$E$8</f>
        <v>6.651428571428572E-2</v>
      </c>
      <c r="G41" s="20">
        <f>(40%*F41)</f>
        <v>2.6605714285714288E-2</v>
      </c>
    </row>
    <row r="42" spans="2:7" x14ac:dyDescent="0.2">
      <c r="B42" s="11" t="s">
        <v>31</v>
      </c>
      <c r="C42" s="11" t="s">
        <v>14</v>
      </c>
      <c r="D42" s="20">
        <v>0.14000000000000001</v>
      </c>
      <c r="E42" s="21">
        <v>39780</v>
      </c>
      <c r="F42" s="12">
        <f t="shared" si="3"/>
        <v>2.6342857142857164E-2</v>
      </c>
      <c r="G42" s="20">
        <f>(40%*F42)</f>
        <v>1.0537142857142866E-2</v>
      </c>
    </row>
    <row r="43" spans="2:7" x14ac:dyDescent="0.2">
      <c r="B43" s="11" t="s">
        <v>32</v>
      </c>
      <c r="C43" s="11" t="s">
        <v>15</v>
      </c>
      <c r="D43" s="20">
        <v>0.22</v>
      </c>
      <c r="E43" s="21">
        <v>183780</v>
      </c>
      <c r="F43" s="12">
        <f t="shared" si="3"/>
        <v>-0.30508571428571429</v>
      </c>
      <c r="G43" s="20">
        <f>IF((F43*40%)&gt;5%,5%,F43*40%)</f>
        <v>-0.12203428571428572</v>
      </c>
    </row>
    <row r="44" spans="2:7" x14ac:dyDescent="0.2">
      <c r="B44" s="11" t="s">
        <v>33</v>
      </c>
      <c r="C44" s="11" t="s">
        <v>16</v>
      </c>
      <c r="D44" s="20">
        <v>0.33</v>
      </c>
      <c r="E44" s="21">
        <v>828000</v>
      </c>
      <c r="F44" s="12">
        <f t="shared" si="3"/>
        <v>-2.0357142857142856</v>
      </c>
      <c r="G44" s="20">
        <v>0.05</v>
      </c>
    </row>
    <row r="46" spans="2:7" x14ac:dyDescent="0.2">
      <c r="B46" s="47" t="s">
        <v>21</v>
      </c>
      <c r="C46" s="48"/>
      <c r="D46" s="48"/>
      <c r="E46" s="48"/>
      <c r="F46" s="48"/>
    </row>
    <row r="47" spans="2:7" x14ac:dyDescent="0.2">
      <c r="B47" s="11" t="s">
        <v>8</v>
      </c>
      <c r="C47" s="11"/>
      <c r="D47" s="11" t="s">
        <v>9</v>
      </c>
      <c r="E47" s="19" t="s">
        <v>10</v>
      </c>
      <c r="F47" s="23" t="s">
        <v>35</v>
      </c>
      <c r="G47" s="35" t="s">
        <v>46</v>
      </c>
    </row>
    <row r="48" spans="2:7" x14ac:dyDescent="0.2">
      <c r="B48" s="11" t="s">
        <v>28</v>
      </c>
      <c r="C48" s="11" t="s">
        <v>11</v>
      </c>
      <c r="D48" s="20">
        <v>0.155</v>
      </c>
      <c r="E48" s="21">
        <v>0</v>
      </c>
      <c r="F48" s="12">
        <f>(($E$8*D48)-E48)/$E$8</f>
        <v>0.155</v>
      </c>
      <c r="G48" s="12">
        <f>(14%*F48)</f>
        <v>2.1700000000000001E-2</v>
      </c>
    </row>
    <row r="49" spans="2:7" x14ac:dyDescent="0.2">
      <c r="B49" s="11" t="s">
        <v>29</v>
      </c>
      <c r="C49" s="11" t="s">
        <v>12</v>
      </c>
      <c r="D49" s="20">
        <v>0.18</v>
      </c>
      <c r="E49" s="21">
        <v>4500</v>
      </c>
      <c r="F49" s="12">
        <f>(($E$8*D49)-E49)/$E$8</f>
        <v>0.16714285714285715</v>
      </c>
      <c r="G49" s="20">
        <f>(17%*F49)</f>
        <v>2.8414285714285718E-2</v>
      </c>
    </row>
    <row r="50" spans="2:7" x14ac:dyDescent="0.2">
      <c r="B50" s="11" t="s">
        <v>30</v>
      </c>
      <c r="C50" s="11" t="s">
        <v>13</v>
      </c>
      <c r="D50" s="20">
        <v>0.19500000000000001</v>
      </c>
      <c r="E50" s="21">
        <v>9900</v>
      </c>
      <c r="F50" s="12">
        <f t="shared" ref="F50:F53" si="4">(($E$8*D50)-E50)/$E$8</f>
        <v>0.1667142857142857</v>
      </c>
      <c r="G50" s="20">
        <f>(19%*F50)</f>
        <v>3.1675714285714286E-2</v>
      </c>
    </row>
    <row r="51" spans="2:7" x14ac:dyDescent="0.2">
      <c r="B51" s="11" t="s">
        <v>31</v>
      </c>
      <c r="C51" s="11" t="s">
        <v>14</v>
      </c>
      <c r="D51" s="20">
        <v>0.20499999999999999</v>
      </c>
      <c r="E51" s="21">
        <v>17100</v>
      </c>
      <c r="F51" s="12">
        <f t="shared" si="4"/>
        <v>0.15614285714285714</v>
      </c>
      <c r="G51" s="20">
        <f>(21%*F51)</f>
        <v>3.279E-2</v>
      </c>
    </row>
    <row r="52" spans="2:7" x14ac:dyDescent="0.2">
      <c r="B52" s="11" t="s">
        <v>32</v>
      </c>
      <c r="C52" s="11" t="s">
        <v>15</v>
      </c>
      <c r="D52" s="20">
        <v>0.23</v>
      </c>
      <c r="E52" s="21">
        <v>62100</v>
      </c>
      <c r="F52" s="12">
        <f t="shared" si="4"/>
        <v>5.2571428571428575E-2</v>
      </c>
      <c r="G52" s="20">
        <f>IF((F52*23.5%)&gt;5%,5%,F52*23.5%)</f>
        <v>1.2354285714285713E-2</v>
      </c>
    </row>
    <row r="53" spans="2:7" x14ac:dyDescent="0.2">
      <c r="B53" s="11" t="s">
        <v>33</v>
      </c>
      <c r="C53" s="11" t="s">
        <v>16</v>
      </c>
      <c r="D53" s="20">
        <v>0.30499999999999999</v>
      </c>
      <c r="E53" s="21">
        <v>540000</v>
      </c>
      <c r="F53" s="12">
        <f t="shared" si="4"/>
        <v>-1.2378571428571428</v>
      </c>
      <c r="G53" s="20">
        <v>0.05</v>
      </c>
    </row>
  </sheetData>
  <sheetProtection algorithmName="SHA-512" hashValue="ZElk6UY1AFdqTRwdj/gSfhOFXV6dj+65IadcWQ3FbndJhGv6Zkd4cUISus738UnoADYaLG73yxovyjnDwtEdMQ==" saltValue="k/ZR2F6or8VS3d1gxUn7jQ==" spinCount="100000" sheet="1" objects="1" scenarios="1"/>
  <mergeCells count="7">
    <mergeCell ref="B46:F46"/>
    <mergeCell ref="C8:D8"/>
    <mergeCell ref="A7:G7"/>
    <mergeCell ref="B19:F19"/>
    <mergeCell ref="B10:F10"/>
    <mergeCell ref="B28:F28"/>
    <mergeCell ref="B37:F37"/>
  </mergeCells>
  <phoneticPr fontId="0" type="noConversion"/>
  <hyperlinks>
    <hyperlink ref="B5" r:id="rId1"/>
  </hyperlinks>
  <pageMargins left="0.78740157499999996" right="0.78740157499999996" top="0.984251969" bottom="0.984251969" header="0.49212598499999999" footer="0.49212598499999999"/>
  <pageSetup orientation="portrait" horizontalDpi="300" verticalDpi="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Cálculo</vt:lpstr>
      <vt:lpstr>ANEXOS</vt:lpstr>
      <vt:lpstr>anexo1</vt:lpstr>
      <vt:lpstr>anexo2</vt:lpstr>
      <vt:lpstr>anexo3</vt:lpstr>
      <vt:lpstr>anexo4</vt:lpstr>
      <vt:lpstr>anexo5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Usuário do Windows</cp:lastModifiedBy>
  <cp:lastPrinted>2017-12-02T01:14:21Z</cp:lastPrinted>
  <dcterms:created xsi:type="dcterms:W3CDTF">1997-01-10T22:22:50Z</dcterms:created>
  <dcterms:modified xsi:type="dcterms:W3CDTF">2018-02-06T17:12:47Z</dcterms:modified>
</cp:coreProperties>
</file>