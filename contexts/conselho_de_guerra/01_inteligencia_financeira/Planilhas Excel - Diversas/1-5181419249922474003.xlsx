
<file path=[Content_Types].xml><?xml version="1.0" encoding="utf-8"?>
<Types xmlns="http://schemas.openxmlformats.org/package/2006/content-types">
  <Default Extension="xml" ContentType="application/xml"/>
  <Default Extension="jpeg" ContentType="image/jpeg"/>
  <Default Extension="png" ContentType="image/png"/>
  <Default Extension="vml" ContentType="application/vnd.openxmlformats-officedocument.vmlDrawi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comments3.xml" ContentType="application/vnd.openxmlformats-officedocument.spreadsheetml.comments+xml"/>
  <Override PartName="/xl/drawings/drawing16.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6207"/>
  <workbookPr showInkAnnotation="0" codeName="EstaPasta_de_trabalho"/>
  <mc:AlternateContent xmlns:mc="http://schemas.openxmlformats.org/markup-compatibility/2006">
    <mc:Choice Requires="x15">
      <x15ac:absPath xmlns:x15ac="http://schemas.microsoft.com/office/spreadsheetml/2010/11/ac" url="/Users/viniciuscaldasbarbosa/Dropbox (LUZ.vc)/Planilhas/Planilhas Prontas/4 - Planilhas de Recursos Humanos/Planilha de Cálculo de Horas Extras 3.0.1/Horas Extras/1. Horas Extras 3.0/"/>
    </mc:Choice>
  </mc:AlternateContent>
  <bookViews>
    <workbookView xWindow="0" yWindow="0" windowWidth="28800" windowHeight="18000" tabRatio="0"/>
  </bookViews>
  <sheets>
    <sheet name="Ini" sheetId="2" r:id="rId1"/>
    <sheet name="P Gerais" sheetId="3" r:id="rId2"/>
    <sheet name="Lanc" sheetId="4" r:id="rId3"/>
    <sheet name="Fev" sheetId="15" r:id="rId4"/>
    <sheet name="Mar" sheetId="16" r:id="rId5"/>
    <sheet name="Abr" sheetId="17" r:id="rId6"/>
    <sheet name="Mai" sheetId="18" r:id="rId7"/>
    <sheet name="Jun" sheetId="19" r:id="rId8"/>
    <sheet name="Jul" sheetId="20" r:id="rId9"/>
    <sheet name="Ago" sheetId="21" r:id="rId10"/>
    <sheet name="Set" sheetId="22" r:id="rId11"/>
    <sheet name="Out" sheetId="23" r:id="rId12"/>
    <sheet name="Nov" sheetId="24" r:id="rId13"/>
    <sheet name="Dez" sheetId="25" r:id="rId14"/>
    <sheet name="Resul" sheetId="5" r:id="rId15"/>
    <sheet name="Gra" sheetId="6" r:id="rId16"/>
    <sheet name="Ale" sheetId="7" r:id="rId17"/>
    <sheet name="Rel" sheetId="8" r:id="rId18"/>
    <sheet name="Fol" sheetId="9" r:id="rId19"/>
    <sheet name="Dúvidas" sheetId="10" r:id="rId20"/>
    <sheet name="Sugestões" sheetId="11" r:id="rId21"/>
    <sheet name="Sobre a LUZ" sheetId="12" r:id="rId22"/>
  </sheets>
  <definedNames>
    <definedName name="_xlnm.Print_Area" localSheetId="18">Fol!$C$5:$U$55</definedName>
    <definedName name="_xlnm.Print_Area" localSheetId="17">Rel!$C$5:$L$218</definedName>
  </definedNames>
  <calcPr calcId="150001" concurrentCalc="0"/>
  <extLst>
    <ext xmlns:mx="http://schemas.microsoft.com/office/mac/excel/2008/main" uri="{7523E5D3-25F3-A5E0-1632-64F254C22452}">
      <mx:ArchID Flags="2"/>
    </ext>
  </extLst>
</workbook>
</file>

<file path=xl/calcChain.xml><?xml version="1.0" encoding="utf-8"?>
<calcChain xmlns="http://schemas.openxmlformats.org/spreadsheetml/2006/main">
  <c r="AL38" i="25" l="1"/>
  <c r="AK38" i="25"/>
  <c r="AD38" i="23"/>
  <c r="N28" i="3"/>
  <c r="AE38" i="23"/>
  <c r="AF38" i="23"/>
  <c r="AG38" i="23"/>
  <c r="AH38" i="23"/>
  <c r="AI38" i="23"/>
  <c r="AJ38" i="23"/>
  <c r="AL38" i="23"/>
  <c r="AK38" i="23"/>
  <c r="AL38" i="21"/>
  <c r="AK38" i="21"/>
  <c r="AL38" i="20"/>
  <c r="AK38" i="20"/>
  <c r="AL37" i="19"/>
  <c r="AK37" i="19"/>
  <c r="W38" i="18"/>
  <c r="X38" i="18"/>
  <c r="D38" i="18"/>
  <c r="AL38" i="18"/>
  <c r="AK38" i="18"/>
  <c r="AL38" i="16"/>
  <c r="AK38" i="16"/>
  <c r="AL39" i="16"/>
  <c r="AK39" i="16"/>
  <c r="AL38" i="4"/>
  <c r="AK38" i="4"/>
  <c r="AL37" i="25"/>
  <c r="AK37" i="25"/>
  <c r="AL36" i="25"/>
  <c r="AK36" i="25"/>
  <c r="AL35" i="25"/>
  <c r="AK35" i="25"/>
  <c r="AL34" i="25"/>
  <c r="AK34" i="25"/>
  <c r="AL33" i="25"/>
  <c r="AK33" i="25"/>
  <c r="AL32" i="25"/>
  <c r="AK32" i="25"/>
  <c r="AL31" i="25"/>
  <c r="AK31" i="25"/>
  <c r="AL30" i="25"/>
  <c r="AK30" i="25"/>
  <c r="AL29" i="25"/>
  <c r="AK29" i="25"/>
  <c r="AL28" i="25"/>
  <c r="AK28" i="25"/>
  <c r="AL27" i="25"/>
  <c r="AK27" i="25"/>
  <c r="AL26" i="25"/>
  <c r="AK26" i="25"/>
  <c r="AL25" i="25"/>
  <c r="AK25" i="25"/>
  <c r="AL24" i="25"/>
  <c r="AK24" i="25"/>
  <c r="AL23" i="25"/>
  <c r="AK23" i="25"/>
  <c r="AL22" i="25"/>
  <c r="AK22" i="25"/>
  <c r="AL21" i="25"/>
  <c r="AK21" i="25"/>
  <c r="AL20" i="25"/>
  <c r="AK20" i="25"/>
  <c r="AL19" i="25"/>
  <c r="AK19" i="25"/>
  <c r="AL18" i="25"/>
  <c r="AK18" i="25"/>
  <c r="AL17" i="25"/>
  <c r="AK17" i="25"/>
  <c r="AL16" i="25"/>
  <c r="AK16" i="25"/>
  <c r="AL15" i="25"/>
  <c r="AK15" i="25"/>
  <c r="AL14" i="25"/>
  <c r="AK14" i="25"/>
  <c r="AL13" i="25"/>
  <c r="AK13" i="25"/>
  <c r="AL12" i="25"/>
  <c r="AK12" i="25"/>
  <c r="AL11" i="25"/>
  <c r="AK11" i="25"/>
  <c r="AL10" i="25"/>
  <c r="AK10" i="25"/>
  <c r="AL9" i="25"/>
  <c r="AK9" i="25"/>
  <c r="AL8" i="25"/>
  <c r="AK8" i="25"/>
  <c r="AL37" i="24"/>
  <c r="AK37" i="24"/>
  <c r="AL36" i="24"/>
  <c r="AK36" i="24"/>
  <c r="AL35" i="24"/>
  <c r="AK35" i="24"/>
  <c r="AL34" i="24"/>
  <c r="AK34" i="24"/>
  <c r="AL33" i="24"/>
  <c r="AK33" i="24"/>
  <c r="AL32" i="24"/>
  <c r="AK32" i="24"/>
  <c r="AL31" i="24"/>
  <c r="AK31" i="24"/>
  <c r="AL30" i="24"/>
  <c r="AK30" i="24"/>
  <c r="AL29" i="24"/>
  <c r="AK29" i="24"/>
  <c r="AL28" i="24"/>
  <c r="AK28" i="24"/>
  <c r="AL27" i="24"/>
  <c r="AK27" i="24"/>
  <c r="AL26" i="24"/>
  <c r="AK26" i="24"/>
  <c r="AL25" i="24"/>
  <c r="AK25" i="24"/>
  <c r="AL24" i="24"/>
  <c r="AK24" i="24"/>
  <c r="AL23" i="24"/>
  <c r="AK23" i="24"/>
  <c r="AL22" i="24"/>
  <c r="AK22" i="24"/>
  <c r="AL21" i="24"/>
  <c r="AK21" i="24"/>
  <c r="AL20" i="24"/>
  <c r="AK20" i="24"/>
  <c r="AL19" i="24"/>
  <c r="AK19" i="24"/>
  <c r="AL18" i="24"/>
  <c r="AK18" i="24"/>
  <c r="AL17" i="24"/>
  <c r="AK17" i="24"/>
  <c r="AL16" i="24"/>
  <c r="AK16" i="24"/>
  <c r="AL15" i="24"/>
  <c r="AK15" i="24"/>
  <c r="AL14" i="24"/>
  <c r="AK14" i="24"/>
  <c r="AL13" i="24"/>
  <c r="AK13" i="24"/>
  <c r="AL12" i="24"/>
  <c r="AK12" i="24"/>
  <c r="AL11" i="24"/>
  <c r="AK11" i="24"/>
  <c r="AL10" i="24"/>
  <c r="AK10" i="24"/>
  <c r="AL9" i="24"/>
  <c r="AK9" i="24"/>
  <c r="AL8" i="24"/>
  <c r="AK8" i="24"/>
  <c r="AL37" i="22"/>
  <c r="AK37" i="22"/>
  <c r="AL36" i="22"/>
  <c r="AK36" i="22"/>
  <c r="AL35" i="22"/>
  <c r="AK35" i="22"/>
  <c r="AL34" i="22"/>
  <c r="AK34" i="22"/>
  <c r="AL33" i="22"/>
  <c r="AK33" i="22"/>
  <c r="AL32" i="22"/>
  <c r="AK32" i="22"/>
  <c r="AL31" i="22"/>
  <c r="AK31" i="22"/>
  <c r="AL30" i="22"/>
  <c r="AK30" i="22"/>
  <c r="AL29" i="22"/>
  <c r="AK29" i="22"/>
  <c r="AL28" i="22"/>
  <c r="AK28" i="22"/>
  <c r="AL27" i="22"/>
  <c r="AK27" i="22"/>
  <c r="AL26" i="22"/>
  <c r="AK26" i="22"/>
  <c r="AL25" i="22"/>
  <c r="AK25" i="22"/>
  <c r="AL24" i="22"/>
  <c r="AK24" i="22"/>
  <c r="AL23" i="22"/>
  <c r="AK23" i="22"/>
  <c r="AL22" i="22"/>
  <c r="AK22" i="22"/>
  <c r="AL21" i="22"/>
  <c r="AK21" i="22"/>
  <c r="AL20" i="22"/>
  <c r="AK20" i="22"/>
  <c r="AL19" i="22"/>
  <c r="AK19" i="22"/>
  <c r="AL18" i="22"/>
  <c r="AK18" i="22"/>
  <c r="AL17" i="22"/>
  <c r="AK17" i="22"/>
  <c r="AL16" i="22"/>
  <c r="AK16" i="22"/>
  <c r="AL15" i="22"/>
  <c r="AK15" i="22"/>
  <c r="AL14" i="22"/>
  <c r="AK14" i="22"/>
  <c r="AL13" i="22"/>
  <c r="AK13" i="22"/>
  <c r="AL12" i="22"/>
  <c r="AK12" i="22"/>
  <c r="AL11" i="22"/>
  <c r="AK11" i="22"/>
  <c r="AL10" i="22"/>
  <c r="AK10" i="22"/>
  <c r="AL9" i="22"/>
  <c r="AK9" i="22"/>
  <c r="AL8" i="22"/>
  <c r="AK8" i="22"/>
  <c r="AL37" i="21"/>
  <c r="AK37" i="21"/>
  <c r="AL36" i="21"/>
  <c r="AK36" i="21"/>
  <c r="AL35" i="21"/>
  <c r="AK35" i="21"/>
  <c r="AL34" i="21"/>
  <c r="AK34" i="21"/>
  <c r="AL33" i="21"/>
  <c r="AK33" i="21"/>
  <c r="AL32" i="21"/>
  <c r="AK32" i="21"/>
  <c r="AL31" i="21"/>
  <c r="AK31" i="21"/>
  <c r="AL30" i="21"/>
  <c r="AK30" i="21"/>
  <c r="AL29" i="21"/>
  <c r="AK29" i="21"/>
  <c r="AL28" i="21"/>
  <c r="AK28" i="21"/>
  <c r="AL27" i="21"/>
  <c r="AK27" i="21"/>
  <c r="AL26" i="21"/>
  <c r="AK26" i="21"/>
  <c r="AL25" i="21"/>
  <c r="AK25" i="21"/>
  <c r="AL24" i="21"/>
  <c r="AK24" i="21"/>
  <c r="AL23" i="21"/>
  <c r="AK23" i="21"/>
  <c r="AL22" i="21"/>
  <c r="AK22" i="21"/>
  <c r="AL21" i="21"/>
  <c r="AK21" i="21"/>
  <c r="AL20" i="21"/>
  <c r="AK20" i="21"/>
  <c r="AL19" i="21"/>
  <c r="AK19" i="21"/>
  <c r="AL18" i="21"/>
  <c r="AK18" i="21"/>
  <c r="AL17" i="21"/>
  <c r="AK17" i="21"/>
  <c r="AL16" i="21"/>
  <c r="AK16" i="21"/>
  <c r="AL15" i="21"/>
  <c r="AK15" i="21"/>
  <c r="AL14" i="21"/>
  <c r="AK14" i="21"/>
  <c r="AL13" i="21"/>
  <c r="AK13" i="21"/>
  <c r="AL12" i="21"/>
  <c r="AK12" i="21"/>
  <c r="AL11" i="21"/>
  <c r="AK11" i="21"/>
  <c r="AL10" i="21"/>
  <c r="AK10" i="21"/>
  <c r="AL9" i="21"/>
  <c r="AK9" i="21"/>
  <c r="AL8" i="21"/>
  <c r="AK8" i="21"/>
  <c r="AL37" i="20"/>
  <c r="AK37" i="20"/>
  <c r="AL36" i="20"/>
  <c r="AK36" i="20"/>
  <c r="AL35" i="20"/>
  <c r="AK35" i="20"/>
  <c r="AL34" i="20"/>
  <c r="AK34" i="20"/>
  <c r="AL33" i="20"/>
  <c r="AK33" i="20"/>
  <c r="AL32" i="20"/>
  <c r="AK32" i="20"/>
  <c r="AL31" i="20"/>
  <c r="AK31" i="20"/>
  <c r="AL30" i="20"/>
  <c r="AK30" i="20"/>
  <c r="AL29" i="20"/>
  <c r="AK29" i="20"/>
  <c r="AL28" i="20"/>
  <c r="AK28" i="20"/>
  <c r="AL27" i="20"/>
  <c r="AK27" i="20"/>
  <c r="AL26" i="20"/>
  <c r="AK26" i="20"/>
  <c r="AL25" i="20"/>
  <c r="AK25" i="20"/>
  <c r="AL24" i="20"/>
  <c r="AK24" i="20"/>
  <c r="AL23" i="20"/>
  <c r="AK23" i="20"/>
  <c r="AL22" i="20"/>
  <c r="AK22" i="20"/>
  <c r="AL21" i="20"/>
  <c r="AK21" i="20"/>
  <c r="AL20" i="20"/>
  <c r="AK20" i="20"/>
  <c r="AL19" i="20"/>
  <c r="AK19" i="20"/>
  <c r="AL18" i="20"/>
  <c r="AK18" i="20"/>
  <c r="AL17" i="20"/>
  <c r="AK17" i="20"/>
  <c r="AL16" i="20"/>
  <c r="AK16" i="20"/>
  <c r="AL15" i="20"/>
  <c r="AK15" i="20"/>
  <c r="AL14" i="20"/>
  <c r="AK14" i="20"/>
  <c r="AL13" i="20"/>
  <c r="AK13" i="20"/>
  <c r="AL12" i="20"/>
  <c r="AK12" i="20"/>
  <c r="AL11" i="20"/>
  <c r="AK11" i="20"/>
  <c r="AL10" i="20"/>
  <c r="AK10" i="20"/>
  <c r="AL9" i="20"/>
  <c r="AK9" i="20"/>
  <c r="AL8" i="20"/>
  <c r="AK8" i="20"/>
  <c r="AL36" i="19"/>
  <c r="AK36" i="19"/>
  <c r="AL35" i="19"/>
  <c r="AK35" i="19"/>
  <c r="AL34" i="19"/>
  <c r="AK34" i="19"/>
  <c r="AL33" i="19"/>
  <c r="AK33" i="19"/>
  <c r="AL32" i="19"/>
  <c r="AK32" i="19"/>
  <c r="AL31" i="19"/>
  <c r="AK31" i="19"/>
  <c r="AL30" i="19"/>
  <c r="AK30" i="19"/>
  <c r="AL29" i="19"/>
  <c r="AK29" i="19"/>
  <c r="AL28" i="19"/>
  <c r="AK28" i="19"/>
  <c r="AL27" i="19"/>
  <c r="AK27" i="19"/>
  <c r="AL26" i="19"/>
  <c r="AK26" i="19"/>
  <c r="AL25" i="19"/>
  <c r="AK25" i="19"/>
  <c r="AL24" i="19"/>
  <c r="AK24" i="19"/>
  <c r="AL23" i="19"/>
  <c r="AK23" i="19"/>
  <c r="AL22" i="19"/>
  <c r="AK22" i="19"/>
  <c r="AL21" i="19"/>
  <c r="AK21" i="19"/>
  <c r="AL20" i="19"/>
  <c r="AK20" i="19"/>
  <c r="AL19" i="19"/>
  <c r="AK19" i="19"/>
  <c r="AL18" i="19"/>
  <c r="AK18" i="19"/>
  <c r="AL17" i="19"/>
  <c r="AK17" i="19"/>
  <c r="AL16" i="19"/>
  <c r="AK16" i="19"/>
  <c r="AL15" i="19"/>
  <c r="AK15" i="19"/>
  <c r="AL14" i="19"/>
  <c r="AK14" i="19"/>
  <c r="AL13" i="19"/>
  <c r="AK13" i="19"/>
  <c r="AL12" i="19"/>
  <c r="AK12" i="19"/>
  <c r="AL11" i="19"/>
  <c r="AK11" i="19"/>
  <c r="AL10" i="19"/>
  <c r="AK10" i="19"/>
  <c r="AL9" i="19"/>
  <c r="AK9" i="19"/>
  <c r="AL8" i="19"/>
  <c r="AK8" i="19"/>
  <c r="W37" i="18"/>
  <c r="X37" i="18"/>
  <c r="D37" i="18"/>
  <c r="AL37" i="18"/>
  <c r="AK37" i="18"/>
  <c r="W36" i="18"/>
  <c r="X36" i="18"/>
  <c r="D36" i="18"/>
  <c r="AL36" i="18"/>
  <c r="AK36" i="18"/>
  <c r="W35" i="18"/>
  <c r="X35" i="18"/>
  <c r="D35" i="18"/>
  <c r="AL35" i="18"/>
  <c r="AK35" i="18"/>
  <c r="W34" i="18"/>
  <c r="X34" i="18"/>
  <c r="D34" i="18"/>
  <c r="AL34" i="18"/>
  <c r="AK34" i="18"/>
  <c r="W33" i="18"/>
  <c r="X33" i="18"/>
  <c r="D33" i="18"/>
  <c r="AL33" i="18"/>
  <c r="AK33" i="18"/>
  <c r="W32" i="18"/>
  <c r="X32" i="18"/>
  <c r="D32" i="18"/>
  <c r="AL32" i="18"/>
  <c r="AK32" i="18"/>
  <c r="W31" i="18"/>
  <c r="X31" i="18"/>
  <c r="D31" i="18"/>
  <c r="AL31" i="18"/>
  <c r="AK31" i="18"/>
  <c r="W30" i="18"/>
  <c r="X30" i="18"/>
  <c r="D30" i="18"/>
  <c r="AL30" i="18"/>
  <c r="AK30" i="18"/>
  <c r="W29" i="18"/>
  <c r="X29" i="18"/>
  <c r="D29" i="18"/>
  <c r="AL29" i="18"/>
  <c r="AK29" i="18"/>
  <c r="W28" i="18"/>
  <c r="X28" i="18"/>
  <c r="D28" i="18"/>
  <c r="AL28" i="18"/>
  <c r="AK28" i="18"/>
  <c r="W27" i="18"/>
  <c r="X27" i="18"/>
  <c r="D27" i="18"/>
  <c r="AL27" i="18"/>
  <c r="AK27" i="18"/>
  <c r="W26" i="18"/>
  <c r="X26" i="18"/>
  <c r="D26" i="18"/>
  <c r="AL26" i="18"/>
  <c r="AK26" i="18"/>
  <c r="W25" i="18"/>
  <c r="X25" i="18"/>
  <c r="D25" i="18"/>
  <c r="AL25" i="18"/>
  <c r="AK25" i="18"/>
  <c r="W24" i="18"/>
  <c r="X24" i="18"/>
  <c r="D24" i="18"/>
  <c r="AL24" i="18"/>
  <c r="AK24" i="18"/>
  <c r="W23" i="18"/>
  <c r="X23" i="18"/>
  <c r="D23" i="18"/>
  <c r="AL23" i="18"/>
  <c r="AK23" i="18"/>
  <c r="W22" i="18"/>
  <c r="X22" i="18"/>
  <c r="D22" i="18"/>
  <c r="AL22" i="18"/>
  <c r="AK22" i="18"/>
  <c r="W21" i="18"/>
  <c r="X21" i="18"/>
  <c r="D21" i="18"/>
  <c r="AL21" i="18"/>
  <c r="AK21" i="18"/>
  <c r="W20" i="18"/>
  <c r="X20" i="18"/>
  <c r="D20" i="18"/>
  <c r="AL20" i="18"/>
  <c r="AK20" i="18"/>
  <c r="W19" i="18"/>
  <c r="X19" i="18"/>
  <c r="D19" i="18"/>
  <c r="AL19" i="18"/>
  <c r="AK19" i="18"/>
  <c r="W18" i="18"/>
  <c r="X18" i="18"/>
  <c r="D18" i="18"/>
  <c r="AL18" i="18"/>
  <c r="AK18" i="18"/>
  <c r="W17" i="18"/>
  <c r="X17" i="18"/>
  <c r="D17" i="18"/>
  <c r="AL17" i="18"/>
  <c r="AK17" i="18"/>
  <c r="W16" i="18"/>
  <c r="X16" i="18"/>
  <c r="D16" i="18"/>
  <c r="AL16" i="18"/>
  <c r="AK16" i="18"/>
  <c r="W15" i="18"/>
  <c r="X15" i="18"/>
  <c r="D15" i="18"/>
  <c r="AL15" i="18"/>
  <c r="AK15" i="18"/>
  <c r="W14" i="18"/>
  <c r="X14" i="18"/>
  <c r="D14" i="18"/>
  <c r="AL14" i="18"/>
  <c r="AK14" i="18"/>
  <c r="W13" i="18"/>
  <c r="X13" i="18"/>
  <c r="D13" i="18"/>
  <c r="AL13" i="18"/>
  <c r="AK13" i="18"/>
  <c r="W12" i="18"/>
  <c r="X12" i="18"/>
  <c r="D12" i="18"/>
  <c r="AL12" i="18"/>
  <c r="AK12" i="18"/>
  <c r="W11" i="18"/>
  <c r="X11" i="18"/>
  <c r="D11" i="18"/>
  <c r="AL11" i="18"/>
  <c r="AK11" i="18"/>
  <c r="W10" i="18"/>
  <c r="X10" i="18"/>
  <c r="D10" i="18"/>
  <c r="AL10" i="18"/>
  <c r="AK10" i="18"/>
  <c r="W9" i="18"/>
  <c r="X9" i="18"/>
  <c r="D9" i="18"/>
  <c r="AL9" i="18"/>
  <c r="AK9" i="18"/>
  <c r="W8" i="18"/>
  <c r="X8" i="18"/>
  <c r="D8" i="18"/>
  <c r="AL8" i="18"/>
  <c r="AK8" i="18"/>
  <c r="AL37" i="17"/>
  <c r="AK37" i="17"/>
  <c r="AL36" i="17"/>
  <c r="AK36" i="17"/>
  <c r="AL35" i="17"/>
  <c r="AK35" i="17"/>
  <c r="AL34" i="17"/>
  <c r="AK34" i="17"/>
  <c r="AL33" i="17"/>
  <c r="AK33" i="17"/>
  <c r="AL32" i="17"/>
  <c r="AK32" i="17"/>
  <c r="AL31" i="17"/>
  <c r="AK31" i="17"/>
  <c r="AL30" i="17"/>
  <c r="AK30" i="17"/>
  <c r="AL29" i="17"/>
  <c r="AK29" i="17"/>
  <c r="AL28" i="17"/>
  <c r="AK28" i="17"/>
  <c r="AL27" i="17"/>
  <c r="AK27" i="17"/>
  <c r="AL26" i="17"/>
  <c r="AK26" i="17"/>
  <c r="AL25" i="17"/>
  <c r="AK25" i="17"/>
  <c r="AL24" i="17"/>
  <c r="AK24" i="17"/>
  <c r="AL23" i="17"/>
  <c r="AK23" i="17"/>
  <c r="AL22" i="17"/>
  <c r="AK22" i="17"/>
  <c r="AL21" i="17"/>
  <c r="AK21" i="17"/>
  <c r="AL20" i="17"/>
  <c r="AK20" i="17"/>
  <c r="AL19" i="17"/>
  <c r="AK19" i="17"/>
  <c r="AL18" i="17"/>
  <c r="AK18" i="17"/>
  <c r="AL17" i="17"/>
  <c r="AK17" i="17"/>
  <c r="AL16" i="17"/>
  <c r="AK16" i="17"/>
  <c r="AL15" i="17"/>
  <c r="AK15" i="17"/>
  <c r="AL14" i="17"/>
  <c r="AK14" i="17"/>
  <c r="AL13" i="17"/>
  <c r="AK13" i="17"/>
  <c r="AL12" i="17"/>
  <c r="AK12" i="17"/>
  <c r="AL11" i="17"/>
  <c r="AK11" i="17"/>
  <c r="AL10" i="17"/>
  <c r="AK10" i="17"/>
  <c r="AL9" i="17"/>
  <c r="AK9" i="17"/>
  <c r="AL8" i="17"/>
  <c r="AK8" i="17"/>
  <c r="AL37" i="16"/>
  <c r="AK37" i="16"/>
  <c r="AL36" i="16"/>
  <c r="AK36" i="16"/>
  <c r="AL35" i="16"/>
  <c r="AK35" i="16"/>
  <c r="AL34" i="16"/>
  <c r="AK34" i="16"/>
  <c r="AL33" i="16"/>
  <c r="AK33" i="16"/>
  <c r="AL32" i="16"/>
  <c r="AK32" i="16"/>
  <c r="AL31" i="16"/>
  <c r="AK31" i="16"/>
  <c r="AL30" i="16"/>
  <c r="AK30" i="16"/>
  <c r="AL29" i="16"/>
  <c r="AK29" i="16"/>
  <c r="AL28" i="16"/>
  <c r="AK28" i="16"/>
  <c r="AL27" i="16"/>
  <c r="AK27" i="16"/>
  <c r="AL26" i="16"/>
  <c r="AK26" i="16"/>
  <c r="AL25" i="16"/>
  <c r="AK25" i="16"/>
  <c r="AL24" i="16"/>
  <c r="AK24" i="16"/>
  <c r="AL23" i="16"/>
  <c r="AK23" i="16"/>
  <c r="AL22" i="16"/>
  <c r="AK22" i="16"/>
  <c r="AL21" i="16"/>
  <c r="AK21" i="16"/>
  <c r="AL20" i="16"/>
  <c r="AK20" i="16"/>
  <c r="AL19" i="16"/>
  <c r="AK19" i="16"/>
  <c r="AL18" i="16"/>
  <c r="AK18" i="16"/>
  <c r="AL17" i="16"/>
  <c r="AK17" i="16"/>
  <c r="AL16" i="16"/>
  <c r="AK16" i="16"/>
  <c r="AL15" i="16"/>
  <c r="AK15" i="16"/>
  <c r="AL14" i="16"/>
  <c r="AK14" i="16"/>
  <c r="AL13" i="16"/>
  <c r="AK13" i="16"/>
  <c r="AL12" i="16"/>
  <c r="AK12" i="16"/>
  <c r="AL11" i="16"/>
  <c r="AK11" i="16"/>
  <c r="AL10" i="16"/>
  <c r="AK10" i="16"/>
  <c r="AL9" i="16"/>
  <c r="AK9" i="16"/>
  <c r="AL8" i="16"/>
  <c r="AK8" i="16"/>
  <c r="AL37" i="15"/>
  <c r="AK37" i="15"/>
  <c r="AL36" i="15"/>
  <c r="AK36" i="15"/>
  <c r="AL35" i="15"/>
  <c r="AK35" i="15"/>
  <c r="AL34" i="15"/>
  <c r="AK34" i="15"/>
  <c r="AL33" i="15"/>
  <c r="AK33" i="15"/>
  <c r="AL32" i="15"/>
  <c r="AK32" i="15"/>
  <c r="AL31" i="15"/>
  <c r="AK31" i="15"/>
  <c r="AL30" i="15"/>
  <c r="AK30" i="15"/>
  <c r="AL29" i="15"/>
  <c r="AK29" i="15"/>
  <c r="AL28" i="15"/>
  <c r="AK28" i="15"/>
  <c r="AL27" i="15"/>
  <c r="AK27" i="15"/>
  <c r="AL26" i="15"/>
  <c r="AK26" i="15"/>
  <c r="AL25" i="15"/>
  <c r="AK25" i="15"/>
  <c r="AL24" i="15"/>
  <c r="AK24" i="15"/>
  <c r="AL23" i="15"/>
  <c r="AK23" i="15"/>
  <c r="AL22" i="15"/>
  <c r="AK22" i="15"/>
  <c r="AL21" i="15"/>
  <c r="AK21" i="15"/>
  <c r="AL20" i="15"/>
  <c r="AK20" i="15"/>
  <c r="AL19" i="15"/>
  <c r="AK19" i="15"/>
  <c r="AL18" i="15"/>
  <c r="AK18" i="15"/>
  <c r="AL17" i="15"/>
  <c r="AK17" i="15"/>
  <c r="AL16" i="15"/>
  <c r="AK16" i="15"/>
  <c r="AL15" i="15"/>
  <c r="AK15" i="15"/>
  <c r="AL14" i="15"/>
  <c r="AK14" i="15"/>
  <c r="AL13" i="15"/>
  <c r="AK13" i="15"/>
  <c r="AL12" i="15"/>
  <c r="AK12" i="15"/>
  <c r="AL11" i="15"/>
  <c r="AK11" i="15"/>
  <c r="AL10" i="15"/>
  <c r="AK10" i="15"/>
  <c r="AL9" i="15"/>
  <c r="AK9" i="15"/>
  <c r="AL8" i="15"/>
  <c r="AK8" i="15"/>
  <c r="AL37" i="4"/>
  <c r="AK37" i="4"/>
  <c r="AL36" i="4"/>
  <c r="AK36" i="4"/>
  <c r="AL35" i="4"/>
  <c r="AK35" i="4"/>
  <c r="AL34" i="4"/>
  <c r="AK34" i="4"/>
  <c r="AL33" i="4"/>
  <c r="AK33" i="4"/>
  <c r="AL32" i="4"/>
  <c r="AK32" i="4"/>
  <c r="AL31" i="4"/>
  <c r="AK31" i="4"/>
  <c r="AL30" i="4"/>
  <c r="AK30" i="4"/>
  <c r="AL29" i="4"/>
  <c r="AK29" i="4"/>
  <c r="AL28" i="4"/>
  <c r="AK28" i="4"/>
  <c r="AL27" i="4"/>
  <c r="AK27" i="4"/>
  <c r="AL26" i="4"/>
  <c r="AK26" i="4"/>
  <c r="AL25" i="4"/>
  <c r="AK25" i="4"/>
  <c r="AL24" i="4"/>
  <c r="AK24" i="4"/>
  <c r="AL23" i="4"/>
  <c r="AK23" i="4"/>
  <c r="AL22" i="4"/>
  <c r="AK22" i="4"/>
  <c r="AL21" i="4"/>
  <c r="AK21" i="4"/>
  <c r="AL20" i="4"/>
  <c r="AK20" i="4"/>
  <c r="AL19" i="4"/>
  <c r="AK19" i="4"/>
  <c r="AL18" i="4"/>
  <c r="AK18" i="4"/>
  <c r="AL17" i="4"/>
  <c r="AK17" i="4"/>
  <c r="AL16" i="4"/>
  <c r="AK16" i="4"/>
  <c r="AL15" i="4"/>
  <c r="AK15" i="4"/>
  <c r="AL14" i="4"/>
  <c r="AK14" i="4"/>
  <c r="AL13" i="4"/>
  <c r="AK13" i="4"/>
  <c r="AL12" i="4"/>
  <c r="AK12" i="4"/>
  <c r="AL11" i="4"/>
  <c r="AK11" i="4"/>
  <c r="AL10" i="4"/>
  <c r="AK10" i="4"/>
  <c r="AL9" i="4"/>
  <c r="AK9" i="4"/>
  <c r="AL8" i="4"/>
  <c r="AK8" i="4"/>
  <c r="K9" i="25"/>
  <c r="K10" i="25"/>
  <c r="K11" i="25"/>
  <c r="K12" i="25"/>
  <c r="K13" i="25"/>
  <c r="K14" i="25"/>
  <c r="K15" i="25"/>
  <c r="K16" i="25"/>
  <c r="K17" i="25"/>
  <c r="K18" i="25"/>
  <c r="K19" i="25"/>
  <c r="K20" i="25"/>
  <c r="K21" i="25"/>
  <c r="K22" i="25"/>
  <c r="K23" i="25"/>
  <c r="K24" i="25"/>
  <c r="K25" i="25"/>
  <c r="K26" i="25"/>
  <c r="K27" i="25"/>
  <c r="K28" i="25"/>
  <c r="K29" i="25"/>
  <c r="K30" i="25"/>
  <c r="K31" i="25"/>
  <c r="K32" i="25"/>
  <c r="K33" i="25"/>
  <c r="K34" i="25"/>
  <c r="K35" i="25"/>
  <c r="K36" i="25"/>
  <c r="K37" i="25"/>
  <c r="K38" i="25"/>
  <c r="K8" i="25"/>
  <c r="K9" i="24"/>
  <c r="K10" i="24"/>
  <c r="K11" i="24"/>
  <c r="K12" i="24"/>
  <c r="K13" i="24"/>
  <c r="K14" i="24"/>
  <c r="K15" i="24"/>
  <c r="K16" i="24"/>
  <c r="K17" i="24"/>
  <c r="K18" i="24"/>
  <c r="K19" i="24"/>
  <c r="K20" i="24"/>
  <c r="K21" i="24"/>
  <c r="K22" i="24"/>
  <c r="K23" i="24"/>
  <c r="K24" i="24"/>
  <c r="K25" i="24"/>
  <c r="K26" i="24"/>
  <c r="K27" i="24"/>
  <c r="K28" i="24"/>
  <c r="K29" i="24"/>
  <c r="K30" i="24"/>
  <c r="K31" i="24"/>
  <c r="K32" i="24"/>
  <c r="K33" i="24"/>
  <c r="K34" i="24"/>
  <c r="K35" i="24"/>
  <c r="K36" i="24"/>
  <c r="K37" i="24"/>
  <c r="K8" i="24"/>
  <c r="K9" i="22"/>
  <c r="K10" i="22"/>
  <c r="K11" i="22"/>
  <c r="K12" i="22"/>
  <c r="K13" i="22"/>
  <c r="K14" i="22"/>
  <c r="K15" i="22"/>
  <c r="K16" i="22"/>
  <c r="K17" i="22"/>
  <c r="K18" i="22"/>
  <c r="K19" i="22"/>
  <c r="K20" i="22"/>
  <c r="K21" i="22"/>
  <c r="K22" i="22"/>
  <c r="K23" i="22"/>
  <c r="K24" i="22"/>
  <c r="K25" i="22"/>
  <c r="K26" i="22"/>
  <c r="K27" i="22"/>
  <c r="K28" i="22"/>
  <c r="K29" i="22"/>
  <c r="K30" i="22"/>
  <c r="K31" i="22"/>
  <c r="K32" i="22"/>
  <c r="K33" i="22"/>
  <c r="K34" i="22"/>
  <c r="K35" i="22"/>
  <c r="K36" i="22"/>
  <c r="K37" i="22"/>
  <c r="K8" i="22"/>
  <c r="K9" i="21"/>
  <c r="K10" i="21"/>
  <c r="K11" i="21"/>
  <c r="K12" i="21"/>
  <c r="K13" i="21"/>
  <c r="K14" i="21"/>
  <c r="K15" i="21"/>
  <c r="K16" i="21"/>
  <c r="K17" i="21"/>
  <c r="K18" i="21"/>
  <c r="K19" i="21"/>
  <c r="K20" i="21"/>
  <c r="K21" i="21"/>
  <c r="K22" i="21"/>
  <c r="K23" i="21"/>
  <c r="K24" i="21"/>
  <c r="K25" i="21"/>
  <c r="K26" i="21"/>
  <c r="K27" i="21"/>
  <c r="K28" i="21"/>
  <c r="K29" i="21"/>
  <c r="K30" i="21"/>
  <c r="K31" i="21"/>
  <c r="K32" i="21"/>
  <c r="K33" i="21"/>
  <c r="K34" i="21"/>
  <c r="K35" i="21"/>
  <c r="K36" i="21"/>
  <c r="K37" i="21"/>
  <c r="K38" i="21"/>
  <c r="K8" i="21"/>
  <c r="K9" i="20"/>
  <c r="K10" i="20"/>
  <c r="K11" i="20"/>
  <c r="K12" i="20"/>
  <c r="K13" i="20"/>
  <c r="K14" i="20"/>
  <c r="K15" i="20"/>
  <c r="K16" i="20"/>
  <c r="K17" i="20"/>
  <c r="K18" i="20"/>
  <c r="K19" i="20"/>
  <c r="K20" i="20"/>
  <c r="K21" i="20"/>
  <c r="K22" i="20"/>
  <c r="K23" i="20"/>
  <c r="K24" i="20"/>
  <c r="K25" i="20"/>
  <c r="K26" i="20"/>
  <c r="K27" i="20"/>
  <c r="K28" i="20"/>
  <c r="K29" i="20"/>
  <c r="K30" i="20"/>
  <c r="K31" i="20"/>
  <c r="K32" i="20"/>
  <c r="K33" i="20"/>
  <c r="K34" i="20"/>
  <c r="K35" i="20"/>
  <c r="K36" i="20"/>
  <c r="K37" i="20"/>
  <c r="K38" i="20"/>
  <c r="K8" i="20"/>
  <c r="K9" i="19"/>
  <c r="K10" i="19"/>
  <c r="K11" i="19"/>
  <c r="K12" i="19"/>
  <c r="K13" i="19"/>
  <c r="K14" i="19"/>
  <c r="K15" i="19"/>
  <c r="K16" i="19"/>
  <c r="K17" i="19"/>
  <c r="K18" i="19"/>
  <c r="K19" i="19"/>
  <c r="K20" i="19"/>
  <c r="K21" i="19"/>
  <c r="K22" i="19"/>
  <c r="K23" i="19"/>
  <c r="K24" i="19"/>
  <c r="K25" i="19"/>
  <c r="K26" i="19"/>
  <c r="K27" i="19"/>
  <c r="K28" i="19"/>
  <c r="K29" i="19"/>
  <c r="K30" i="19"/>
  <c r="K31" i="19"/>
  <c r="K32" i="19"/>
  <c r="K33" i="19"/>
  <c r="K34" i="19"/>
  <c r="K35" i="19"/>
  <c r="K36" i="19"/>
  <c r="K37" i="19"/>
  <c r="K8" i="19"/>
  <c r="K9" i="18"/>
  <c r="K10" i="18"/>
  <c r="K11" i="18"/>
  <c r="K12" i="18"/>
  <c r="K13" i="18"/>
  <c r="K14" i="18"/>
  <c r="K15" i="18"/>
  <c r="K16" i="18"/>
  <c r="K17" i="18"/>
  <c r="K18" i="18"/>
  <c r="K19" i="18"/>
  <c r="K20" i="18"/>
  <c r="K21" i="18"/>
  <c r="K22" i="18"/>
  <c r="K23" i="18"/>
  <c r="K24" i="18"/>
  <c r="K25" i="18"/>
  <c r="K26" i="18"/>
  <c r="K27" i="18"/>
  <c r="K28" i="18"/>
  <c r="K29" i="18"/>
  <c r="K30" i="18"/>
  <c r="K31" i="18"/>
  <c r="K32" i="18"/>
  <c r="K33" i="18"/>
  <c r="K34" i="18"/>
  <c r="K35" i="18"/>
  <c r="K36" i="18"/>
  <c r="K37" i="18"/>
  <c r="K38" i="18"/>
  <c r="K8" i="18"/>
  <c r="K9" i="17"/>
  <c r="K10" i="17"/>
  <c r="K11" i="17"/>
  <c r="K12" i="17"/>
  <c r="K13" i="17"/>
  <c r="K14" i="17"/>
  <c r="K15" i="17"/>
  <c r="K16" i="17"/>
  <c r="K17" i="17"/>
  <c r="K18" i="17"/>
  <c r="K19" i="17"/>
  <c r="K20" i="17"/>
  <c r="K21" i="17"/>
  <c r="K22" i="17"/>
  <c r="K23" i="17"/>
  <c r="K24" i="17"/>
  <c r="K25" i="17"/>
  <c r="K26" i="17"/>
  <c r="K27" i="17"/>
  <c r="K28" i="17"/>
  <c r="K29" i="17"/>
  <c r="K30" i="17"/>
  <c r="K31" i="17"/>
  <c r="K32" i="17"/>
  <c r="K33" i="17"/>
  <c r="K34" i="17"/>
  <c r="K35" i="17"/>
  <c r="K36" i="17"/>
  <c r="K37" i="17"/>
  <c r="K8" i="17"/>
  <c r="K9" i="16"/>
  <c r="K10" i="16"/>
  <c r="K11" i="16"/>
  <c r="K12" i="16"/>
  <c r="K13" i="16"/>
  <c r="K14" i="16"/>
  <c r="K15" i="16"/>
  <c r="K16" i="16"/>
  <c r="K17" i="16"/>
  <c r="K18" i="16"/>
  <c r="K19" i="16"/>
  <c r="K20" i="16"/>
  <c r="K21" i="16"/>
  <c r="K22" i="16"/>
  <c r="K23" i="16"/>
  <c r="K24" i="16"/>
  <c r="K25" i="16"/>
  <c r="K26" i="16"/>
  <c r="K27" i="16"/>
  <c r="K28" i="16"/>
  <c r="K29" i="16"/>
  <c r="K30" i="16"/>
  <c r="K31" i="16"/>
  <c r="K32" i="16"/>
  <c r="K33" i="16"/>
  <c r="K34" i="16"/>
  <c r="K35" i="16"/>
  <c r="K36" i="16"/>
  <c r="K37" i="16"/>
  <c r="K38" i="16"/>
  <c r="K8" i="16"/>
  <c r="K9" i="15"/>
  <c r="K10" i="15"/>
  <c r="K11" i="15"/>
  <c r="K12" i="15"/>
  <c r="K13" i="15"/>
  <c r="K14" i="15"/>
  <c r="K15" i="15"/>
  <c r="K16" i="15"/>
  <c r="K17" i="15"/>
  <c r="K18" i="15"/>
  <c r="K19" i="15"/>
  <c r="K20" i="15"/>
  <c r="K21" i="15"/>
  <c r="K22" i="15"/>
  <c r="K23" i="15"/>
  <c r="K24" i="15"/>
  <c r="K25" i="15"/>
  <c r="K26" i="15"/>
  <c r="K27" i="15"/>
  <c r="K28" i="15"/>
  <c r="K29" i="15"/>
  <c r="K30" i="15"/>
  <c r="K31" i="15"/>
  <c r="K32" i="15"/>
  <c r="K33" i="15"/>
  <c r="K34" i="15"/>
  <c r="K35" i="15"/>
  <c r="K8" i="15"/>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8" i="4"/>
  <c r="K12" i="23"/>
  <c r="K13" i="23"/>
  <c r="K14" i="23"/>
  <c r="K15" i="23"/>
  <c r="K16" i="23"/>
  <c r="K17" i="23"/>
  <c r="K18" i="23"/>
  <c r="K19" i="23"/>
  <c r="K20" i="23"/>
  <c r="K21" i="23"/>
  <c r="K22" i="23"/>
  <c r="K23" i="23"/>
  <c r="K24" i="23"/>
  <c r="K25" i="23"/>
  <c r="K26" i="23"/>
  <c r="K27" i="23"/>
  <c r="K28" i="23"/>
  <c r="K29" i="23"/>
  <c r="K30" i="23"/>
  <c r="K31" i="23"/>
  <c r="K32" i="23"/>
  <c r="K33" i="23"/>
  <c r="K34" i="23"/>
  <c r="K35" i="23"/>
  <c r="K36" i="23"/>
  <c r="K37" i="23"/>
  <c r="K38" i="23"/>
  <c r="K9" i="23"/>
  <c r="K10" i="23"/>
  <c r="K11" i="23"/>
  <c r="K8" i="23"/>
  <c r="AL8" i="23"/>
  <c r="AK8" i="23"/>
  <c r="M26" i="3"/>
  <c r="O8" i="23"/>
  <c r="AJ8" i="23"/>
  <c r="AI8" i="23"/>
  <c r="AL11" i="23"/>
  <c r="AK11" i="23"/>
  <c r="AL12" i="23"/>
  <c r="AK12" i="23"/>
  <c r="AL13" i="23"/>
  <c r="AK13" i="23"/>
  <c r="AL14" i="23"/>
  <c r="AK14" i="23"/>
  <c r="AL15" i="23"/>
  <c r="AK15" i="23"/>
  <c r="AL16" i="23"/>
  <c r="AK16" i="23"/>
  <c r="AL17" i="23"/>
  <c r="AK17" i="23"/>
  <c r="AL18" i="23"/>
  <c r="AK18" i="23"/>
  <c r="AL19" i="23"/>
  <c r="AK19" i="23"/>
  <c r="AL20" i="23"/>
  <c r="AK20" i="23"/>
  <c r="AL21" i="23"/>
  <c r="AK21" i="23"/>
  <c r="AL22" i="23"/>
  <c r="AK22" i="23"/>
  <c r="AL23" i="23"/>
  <c r="AK23" i="23"/>
  <c r="AL24" i="23"/>
  <c r="AK24" i="23"/>
  <c r="AL25" i="23"/>
  <c r="AK25" i="23"/>
  <c r="AL26" i="23"/>
  <c r="AK26" i="23"/>
  <c r="AL27" i="23"/>
  <c r="AK27" i="23"/>
  <c r="AL28" i="23"/>
  <c r="AK28" i="23"/>
  <c r="AL29" i="23"/>
  <c r="AK29" i="23"/>
  <c r="AL30" i="23"/>
  <c r="AK30" i="23"/>
  <c r="AL31" i="23"/>
  <c r="AK31" i="23"/>
  <c r="AL32" i="23"/>
  <c r="AK32" i="23"/>
  <c r="AL33" i="23"/>
  <c r="AK33" i="23"/>
  <c r="AL34" i="23"/>
  <c r="AK34" i="23"/>
  <c r="AL35" i="23"/>
  <c r="AK35" i="23"/>
  <c r="AL36" i="23"/>
  <c r="AK36" i="23"/>
  <c r="AL37" i="23"/>
  <c r="AK37" i="23"/>
  <c r="AL9" i="23"/>
  <c r="AK9" i="23"/>
  <c r="AL10" i="23"/>
  <c r="AK10" i="23"/>
  <c r="D8" i="23"/>
  <c r="D9" i="23"/>
  <c r="D10" i="23"/>
  <c r="D11" i="23"/>
  <c r="D12" i="23"/>
  <c r="D13" i="23"/>
  <c r="D14" i="23"/>
  <c r="D15" i="23"/>
  <c r="D16" i="23"/>
  <c r="D17" i="23"/>
  <c r="D18" i="23"/>
  <c r="D19" i="23"/>
  <c r="D20" i="23"/>
  <c r="D21" i="23"/>
  <c r="D22" i="23"/>
  <c r="D23" i="23"/>
  <c r="D24" i="23"/>
  <c r="D25" i="23"/>
  <c r="D26" i="23"/>
  <c r="D27" i="23"/>
  <c r="D28" i="23"/>
  <c r="D29" i="23"/>
  <c r="D30" i="23"/>
  <c r="D31" i="23"/>
  <c r="D32" i="23"/>
  <c r="D33" i="23"/>
  <c r="D34" i="23"/>
  <c r="D35" i="23"/>
  <c r="D36" i="23"/>
  <c r="D37" i="23"/>
  <c r="AE10" i="23"/>
  <c r="K16" i="5"/>
  <c r="K17" i="5"/>
  <c r="K18" i="5"/>
  <c r="K15" i="5"/>
  <c r="K12" i="5"/>
  <c r="K13" i="5"/>
  <c r="K14" i="5"/>
  <c r="K11" i="5"/>
  <c r="K7" i="5"/>
  <c r="K8" i="5"/>
  <c r="K9" i="5"/>
  <c r="K10" i="5"/>
  <c r="O12" i="4"/>
  <c r="O19" i="4"/>
  <c r="O26" i="4"/>
  <c r="O33" i="4"/>
  <c r="W8" i="4"/>
  <c r="X8" i="4"/>
  <c r="D8" i="4"/>
  <c r="W9" i="4"/>
  <c r="X9" i="4"/>
  <c r="D9" i="4"/>
  <c r="W10" i="4"/>
  <c r="X10" i="4"/>
  <c r="D10" i="4"/>
  <c r="W11" i="4"/>
  <c r="X11" i="4"/>
  <c r="D11" i="4"/>
  <c r="W12" i="4"/>
  <c r="X12" i="4"/>
  <c r="D12" i="4"/>
  <c r="W13" i="4"/>
  <c r="X13" i="4"/>
  <c r="D13" i="4"/>
  <c r="W14" i="4"/>
  <c r="X14" i="4"/>
  <c r="D14" i="4"/>
  <c r="W15" i="4"/>
  <c r="X15" i="4"/>
  <c r="D15" i="4"/>
  <c r="W16" i="4"/>
  <c r="X16" i="4"/>
  <c r="D16" i="4"/>
  <c r="W17" i="4"/>
  <c r="X17" i="4"/>
  <c r="D17" i="4"/>
  <c r="W18" i="4"/>
  <c r="X18" i="4"/>
  <c r="D18" i="4"/>
  <c r="W19" i="4"/>
  <c r="X19" i="4"/>
  <c r="D19" i="4"/>
  <c r="W20" i="4"/>
  <c r="X20" i="4"/>
  <c r="D20" i="4"/>
  <c r="W21" i="4"/>
  <c r="X21" i="4"/>
  <c r="D21" i="4"/>
  <c r="W22" i="4"/>
  <c r="X22" i="4"/>
  <c r="D22" i="4"/>
  <c r="W23" i="4"/>
  <c r="X23" i="4"/>
  <c r="D23" i="4"/>
  <c r="W24" i="4"/>
  <c r="X24" i="4"/>
  <c r="D24" i="4"/>
  <c r="W25" i="4"/>
  <c r="X25" i="4"/>
  <c r="D25" i="4"/>
  <c r="W26" i="4"/>
  <c r="X26" i="4"/>
  <c r="D26" i="4"/>
  <c r="W27" i="4"/>
  <c r="X27" i="4"/>
  <c r="D27" i="4"/>
  <c r="W28" i="4"/>
  <c r="X28" i="4"/>
  <c r="D28" i="4"/>
  <c r="W29" i="4"/>
  <c r="X29" i="4"/>
  <c r="D29" i="4"/>
  <c r="W30" i="4"/>
  <c r="X30" i="4"/>
  <c r="D30" i="4"/>
  <c r="W31" i="4"/>
  <c r="X31" i="4"/>
  <c r="D31" i="4"/>
  <c r="W32" i="4"/>
  <c r="X32" i="4"/>
  <c r="D32" i="4"/>
  <c r="W33" i="4"/>
  <c r="X33" i="4"/>
  <c r="D33" i="4"/>
  <c r="W34" i="4"/>
  <c r="X34" i="4"/>
  <c r="D34" i="4"/>
  <c r="W35" i="4"/>
  <c r="X35" i="4"/>
  <c r="D35" i="4"/>
  <c r="W36" i="4"/>
  <c r="X36" i="4"/>
  <c r="D36" i="4"/>
  <c r="W37" i="4"/>
  <c r="X37" i="4"/>
  <c r="D37" i="4"/>
  <c r="W38" i="4"/>
  <c r="X38" i="4"/>
  <c r="D38" i="4"/>
  <c r="F41" i="4"/>
  <c r="H40" i="4"/>
  <c r="I40" i="4"/>
  <c r="K40" i="4"/>
  <c r="G41" i="4"/>
  <c r="H41" i="4"/>
  <c r="O13" i="4"/>
  <c r="O20" i="4"/>
  <c r="O27" i="4"/>
  <c r="O34" i="4"/>
  <c r="F42" i="4"/>
  <c r="G42" i="4"/>
  <c r="H42" i="4"/>
  <c r="O14" i="4"/>
  <c r="O21" i="4"/>
  <c r="O28" i="4"/>
  <c r="O35" i="4"/>
  <c r="F43" i="4"/>
  <c r="G43" i="4"/>
  <c r="H43" i="4"/>
  <c r="O8" i="4"/>
  <c r="O15" i="4"/>
  <c r="O22" i="4"/>
  <c r="O29" i="4"/>
  <c r="O36" i="4"/>
  <c r="F44" i="4"/>
  <c r="G44" i="4"/>
  <c r="H44" i="4"/>
  <c r="O9" i="4"/>
  <c r="O16" i="4"/>
  <c r="O23" i="4"/>
  <c r="O30" i="4"/>
  <c r="O37" i="4"/>
  <c r="F45" i="4"/>
  <c r="G45" i="4"/>
  <c r="H45" i="4"/>
  <c r="O10" i="4"/>
  <c r="O17" i="4"/>
  <c r="O24" i="4"/>
  <c r="O31" i="4"/>
  <c r="O38" i="4"/>
  <c r="F46" i="4"/>
  <c r="G46" i="4"/>
  <c r="H46" i="4"/>
  <c r="O11" i="4"/>
  <c r="O18" i="4"/>
  <c r="O25" i="4"/>
  <c r="O32" i="4"/>
  <c r="F47" i="4"/>
  <c r="G47" i="4"/>
  <c r="H47" i="4"/>
  <c r="F48" i="4"/>
  <c r="G48" i="4"/>
  <c r="H48" i="4"/>
  <c r="F49" i="4"/>
  <c r="G49" i="4"/>
  <c r="H49" i="4"/>
  <c r="AD8" i="4"/>
  <c r="N26" i="3"/>
  <c r="AE8" i="4"/>
  <c r="AF8" i="4"/>
  <c r="AD9" i="4"/>
  <c r="N27" i="3"/>
  <c r="AE9" i="4"/>
  <c r="AF9" i="4"/>
  <c r="AD10" i="4"/>
  <c r="AE10" i="4"/>
  <c r="AF10" i="4"/>
  <c r="AD11" i="4"/>
  <c r="N29" i="3"/>
  <c r="AE11" i="4"/>
  <c r="AF11" i="4"/>
  <c r="AD12" i="4"/>
  <c r="N23" i="3"/>
  <c r="AE12" i="4"/>
  <c r="AF12" i="4"/>
  <c r="AD13" i="4"/>
  <c r="N24" i="3"/>
  <c r="AE13" i="4"/>
  <c r="AF13" i="4"/>
  <c r="AD14" i="4"/>
  <c r="N25" i="3"/>
  <c r="AE14" i="4"/>
  <c r="AF14" i="4"/>
  <c r="AD15" i="4"/>
  <c r="AE15" i="4"/>
  <c r="AF15" i="4"/>
  <c r="AE16" i="4"/>
  <c r="AD16" i="4"/>
  <c r="AF16" i="4"/>
  <c r="AE17" i="4"/>
  <c r="AD17" i="4"/>
  <c r="AF17" i="4"/>
  <c r="AE18" i="4"/>
  <c r="AD18" i="4"/>
  <c r="AF18" i="4"/>
  <c r="AE19" i="4"/>
  <c r="AD19" i="4"/>
  <c r="AF19" i="4"/>
  <c r="AE20" i="4"/>
  <c r="AD20" i="4"/>
  <c r="AF20" i="4"/>
  <c r="AE21" i="4"/>
  <c r="AD21" i="4"/>
  <c r="AF21" i="4"/>
  <c r="AE22" i="4"/>
  <c r="AD22" i="4"/>
  <c r="AF22" i="4"/>
  <c r="AE23" i="4"/>
  <c r="AD23" i="4"/>
  <c r="AF23" i="4"/>
  <c r="AE24" i="4"/>
  <c r="AD24" i="4"/>
  <c r="AF24" i="4"/>
  <c r="AE25" i="4"/>
  <c r="AD25" i="4"/>
  <c r="AF25" i="4"/>
  <c r="AE26" i="4"/>
  <c r="AD26" i="4"/>
  <c r="AF26" i="4"/>
  <c r="AE27" i="4"/>
  <c r="AD27" i="4"/>
  <c r="AF27" i="4"/>
  <c r="AE28" i="4"/>
  <c r="AD28" i="4"/>
  <c r="AF28" i="4"/>
  <c r="AE29" i="4"/>
  <c r="AD29" i="4"/>
  <c r="AF29" i="4"/>
  <c r="AE30" i="4"/>
  <c r="AD30" i="4"/>
  <c r="AF30" i="4"/>
  <c r="AE31" i="4"/>
  <c r="AD31" i="4"/>
  <c r="AF31" i="4"/>
  <c r="AE32" i="4"/>
  <c r="AD32" i="4"/>
  <c r="AF32" i="4"/>
  <c r="AE33" i="4"/>
  <c r="AD33" i="4"/>
  <c r="AF33" i="4"/>
  <c r="AE34" i="4"/>
  <c r="AD34" i="4"/>
  <c r="AF34" i="4"/>
  <c r="AE35" i="4"/>
  <c r="AD35" i="4"/>
  <c r="AF35" i="4"/>
  <c r="AE36" i="4"/>
  <c r="AD36" i="4"/>
  <c r="AF36" i="4"/>
  <c r="AE37" i="4"/>
  <c r="AD37" i="4"/>
  <c r="AF37" i="4"/>
  <c r="AF38" i="4"/>
  <c r="F50" i="4"/>
  <c r="G50" i="4"/>
  <c r="H50" i="4"/>
  <c r="AG8" i="4"/>
  <c r="AH8" i="4"/>
  <c r="AG9" i="4"/>
  <c r="AH9" i="4"/>
  <c r="AG10" i="4"/>
  <c r="AH10" i="4"/>
  <c r="AG11" i="4"/>
  <c r="AH11" i="4"/>
  <c r="AG12" i="4"/>
  <c r="AH12" i="4"/>
  <c r="AG13" i="4"/>
  <c r="AH13" i="4"/>
  <c r="AG14" i="4"/>
  <c r="AH14" i="4"/>
  <c r="AG15" i="4"/>
  <c r="AH15" i="4"/>
  <c r="AG16" i="4"/>
  <c r="AH16" i="4"/>
  <c r="AG17" i="4"/>
  <c r="AH17" i="4"/>
  <c r="AG18" i="4"/>
  <c r="AH18" i="4"/>
  <c r="AG19" i="4"/>
  <c r="AH19" i="4"/>
  <c r="AG20" i="4"/>
  <c r="AH20" i="4"/>
  <c r="AG21" i="4"/>
  <c r="AH21" i="4"/>
  <c r="AG22" i="4"/>
  <c r="AH22" i="4"/>
  <c r="AG23" i="4"/>
  <c r="AH23" i="4"/>
  <c r="AG24" i="4"/>
  <c r="AH24" i="4"/>
  <c r="AG25" i="4"/>
  <c r="AH25" i="4"/>
  <c r="AG26" i="4"/>
  <c r="AH26" i="4"/>
  <c r="AG27" i="4"/>
  <c r="AH27" i="4"/>
  <c r="AG28" i="4"/>
  <c r="AH28" i="4"/>
  <c r="AG29" i="4"/>
  <c r="AH29" i="4"/>
  <c r="AG30" i="4"/>
  <c r="AH30" i="4"/>
  <c r="AG31" i="4"/>
  <c r="AH31" i="4"/>
  <c r="AG32" i="4"/>
  <c r="AH32" i="4"/>
  <c r="AG33" i="4"/>
  <c r="AH33" i="4"/>
  <c r="AG34" i="4"/>
  <c r="AH34" i="4"/>
  <c r="AG35" i="4"/>
  <c r="AH35" i="4"/>
  <c r="AG36" i="4"/>
  <c r="AH36" i="4"/>
  <c r="AG37" i="4"/>
  <c r="AH37" i="4"/>
  <c r="F51" i="4"/>
  <c r="G51" i="4"/>
  <c r="H51" i="4"/>
  <c r="AI8" i="4"/>
  <c r="AJ8" i="4"/>
  <c r="AI9" i="4"/>
  <c r="AJ9" i="4"/>
  <c r="AI10" i="4"/>
  <c r="AJ10" i="4"/>
  <c r="AI11" i="4"/>
  <c r="AJ11" i="4"/>
  <c r="AI12" i="4"/>
  <c r="AJ12" i="4"/>
  <c r="AI13" i="4"/>
  <c r="AJ13" i="4"/>
  <c r="AI14" i="4"/>
  <c r="AJ14" i="4"/>
  <c r="AI15" i="4"/>
  <c r="AJ15" i="4"/>
  <c r="AJ16" i="4"/>
  <c r="AJ17" i="4"/>
  <c r="AJ18" i="4"/>
  <c r="AJ19" i="4"/>
  <c r="AJ20" i="4"/>
  <c r="AJ21" i="4"/>
  <c r="AJ22" i="4"/>
  <c r="AJ23" i="4"/>
  <c r="AJ24" i="4"/>
  <c r="AJ25" i="4"/>
  <c r="AJ26" i="4"/>
  <c r="AJ27" i="4"/>
  <c r="AJ28" i="4"/>
  <c r="AJ29" i="4"/>
  <c r="AJ30" i="4"/>
  <c r="AJ31" i="4"/>
  <c r="AJ32" i="4"/>
  <c r="AJ33" i="4"/>
  <c r="AJ34" i="4"/>
  <c r="AJ35" i="4"/>
  <c r="AJ36" i="4"/>
  <c r="AJ37" i="4"/>
  <c r="AI16" i="4"/>
  <c r="AI17" i="4"/>
  <c r="AI18" i="4"/>
  <c r="AI19" i="4"/>
  <c r="AI20" i="4"/>
  <c r="AI21" i="4"/>
  <c r="AI22" i="4"/>
  <c r="AI23" i="4"/>
  <c r="AI24" i="4"/>
  <c r="AI25" i="4"/>
  <c r="AI26" i="4"/>
  <c r="AI27" i="4"/>
  <c r="AI28" i="4"/>
  <c r="AI29" i="4"/>
  <c r="AI30" i="4"/>
  <c r="AI31" i="4"/>
  <c r="AI32" i="4"/>
  <c r="AI33" i="4"/>
  <c r="AI34" i="4"/>
  <c r="AI35" i="4"/>
  <c r="AI36" i="4"/>
  <c r="AI37" i="4"/>
  <c r="AI38" i="4"/>
  <c r="F52" i="4"/>
  <c r="G52" i="4"/>
  <c r="H52" i="4"/>
  <c r="F54" i="4"/>
  <c r="F55" i="4"/>
  <c r="J68" i="5"/>
  <c r="L7" i="5"/>
  <c r="E7" i="5"/>
  <c r="D7" i="5"/>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S15" i="4"/>
  <c r="F56" i="4"/>
  <c r="J69" i="5"/>
  <c r="H7" i="5"/>
  <c r="M7" i="5"/>
  <c r="N7" i="5"/>
  <c r="H40" i="15"/>
  <c r="I40" i="15"/>
  <c r="K40" i="15"/>
  <c r="G41" i="15"/>
  <c r="O9" i="15"/>
  <c r="O16" i="15"/>
  <c r="O23" i="15"/>
  <c r="O30" i="15"/>
  <c r="W8" i="15"/>
  <c r="X8" i="15"/>
  <c r="D8" i="15"/>
  <c r="W9" i="15"/>
  <c r="X9" i="15"/>
  <c r="D9" i="15"/>
  <c r="W10" i="15"/>
  <c r="X10" i="15"/>
  <c r="D10" i="15"/>
  <c r="W11" i="15"/>
  <c r="X11" i="15"/>
  <c r="D11" i="15"/>
  <c r="W12" i="15"/>
  <c r="X12" i="15"/>
  <c r="D12" i="15"/>
  <c r="W13" i="15"/>
  <c r="X13" i="15"/>
  <c r="D13" i="15"/>
  <c r="W14" i="15"/>
  <c r="X14" i="15"/>
  <c r="D14" i="15"/>
  <c r="W15" i="15"/>
  <c r="X15" i="15"/>
  <c r="D15" i="15"/>
  <c r="W16" i="15"/>
  <c r="X16" i="15"/>
  <c r="D16" i="15"/>
  <c r="W17" i="15"/>
  <c r="X17" i="15"/>
  <c r="D17" i="15"/>
  <c r="W18" i="15"/>
  <c r="X18" i="15"/>
  <c r="D18" i="15"/>
  <c r="W19" i="15"/>
  <c r="X19" i="15"/>
  <c r="D19" i="15"/>
  <c r="W20" i="15"/>
  <c r="X20" i="15"/>
  <c r="D20" i="15"/>
  <c r="W21" i="15"/>
  <c r="X21" i="15"/>
  <c r="D21" i="15"/>
  <c r="W22" i="15"/>
  <c r="X22" i="15"/>
  <c r="D22" i="15"/>
  <c r="W23" i="15"/>
  <c r="X23" i="15"/>
  <c r="D23" i="15"/>
  <c r="W24" i="15"/>
  <c r="X24" i="15"/>
  <c r="D24" i="15"/>
  <c r="W25" i="15"/>
  <c r="X25" i="15"/>
  <c r="D25" i="15"/>
  <c r="W26" i="15"/>
  <c r="X26" i="15"/>
  <c r="D26" i="15"/>
  <c r="W27" i="15"/>
  <c r="X27" i="15"/>
  <c r="D27" i="15"/>
  <c r="W28" i="15"/>
  <c r="X28" i="15"/>
  <c r="D28" i="15"/>
  <c r="W29" i="15"/>
  <c r="X29" i="15"/>
  <c r="D29" i="15"/>
  <c r="W30" i="15"/>
  <c r="X30" i="15"/>
  <c r="D30" i="15"/>
  <c r="W31" i="15"/>
  <c r="X31" i="15"/>
  <c r="D31" i="15"/>
  <c r="W32" i="15"/>
  <c r="X32" i="15"/>
  <c r="D32" i="15"/>
  <c r="W33" i="15"/>
  <c r="X33" i="15"/>
  <c r="D33" i="15"/>
  <c r="W34" i="15"/>
  <c r="X34" i="15"/>
  <c r="D34" i="15"/>
  <c r="W35" i="15"/>
  <c r="X35" i="15"/>
  <c r="D35" i="15"/>
  <c r="W36" i="15"/>
  <c r="X36" i="15"/>
  <c r="D36" i="15"/>
  <c r="W37" i="15"/>
  <c r="X37" i="15"/>
  <c r="D37" i="15"/>
  <c r="F41" i="15"/>
  <c r="H41" i="15"/>
  <c r="G42" i="15"/>
  <c r="O10" i="15"/>
  <c r="O17" i="15"/>
  <c r="O24" i="15"/>
  <c r="O31" i="15"/>
  <c r="F42" i="15"/>
  <c r="H42" i="15"/>
  <c r="G43" i="15"/>
  <c r="O11" i="15"/>
  <c r="O18" i="15"/>
  <c r="O25" i="15"/>
  <c r="O32" i="15"/>
  <c r="F43" i="15"/>
  <c r="H43" i="15"/>
  <c r="G44" i="15"/>
  <c r="O12" i="15"/>
  <c r="O19" i="15"/>
  <c r="O26" i="15"/>
  <c r="O33" i="15"/>
  <c r="F44" i="15"/>
  <c r="H44" i="15"/>
  <c r="G45" i="15"/>
  <c r="O13" i="15"/>
  <c r="O20" i="15"/>
  <c r="O27" i="15"/>
  <c r="O34" i="15"/>
  <c r="F45" i="15"/>
  <c r="H45" i="15"/>
  <c r="G46" i="15"/>
  <c r="O14" i="15"/>
  <c r="O21" i="15"/>
  <c r="O28" i="15"/>
  <c r="O35" i="15"/>
  <c r="F46" i="15"/>
  <c r="H46" i="15"/>
  <c r="G47" i="15"/>
  <c r="O8" i="15"/>
  <c r="O15" i="15"/>
  <c r="O22" i="15"/>
  <c r="O29" i="15"/>
  <c r="M29" i="3"/>
  <c r="K36" i="15"/>
  <c r="O36" i="15"/>
  <c r="F47" i="15"/>
  <c r="H47" i="15"/>
  <c r="G48" i="15"/>
  <c r="F48" i="15"/>
  <c r="H48" i="15"/>
  <c r="G49" i="15"/>
  <c r="F49" i="15"/>
  <c r="H49" i="15"/>
  <c r="G50" i="15"/>
  <c r="AE8" i="15"/>
  <c r="AD8" i="15"/>
  <c r="AF8" i="15"/>
  <c r="AE9" i="15"/>
  <c r="AD9" i="15"/>
  <c r="AF9" i="15"/>
  <c r="AE10" i="15"/>
  <c r="AD10" i="15"/>
  <c r="AF10" i="15"/>
  <c r="AE11" i="15"/>
  <c r="AD11" i="15"/>
  <c r="AF11" i="15"/>
  <c r="AE12" i="15"/>
  <c r="AD12" i="15"/>
  <c r="AF12" i="15"/>
  <c r="AE13" i="15"/>
  <c r="AD13" i="15"/>
  <c r="AF13" i="15"/>
  <c r="AE14" i="15"/>
  <c r="AD14" i="15"/>
  <c r="AF14" i="15"/>
  <c r="AE15" i="15"/>
  <c r="AD15" i="15"/>
  <c r="AF15" i="15"/>
  <c r="AE16" i="15"/>
  <c r="AD16" i="15"/>
  <c r="AF16" i="15"/>
  <c r="AE17" i="15"/>
  <c r="AD17" i="15"/>
  <c r="AF17" i="15"/>
  <c r="AE18" i="15"/>
  <c r="AD18" i="15"/>
  <c r="AF18" i="15"/>
  <c r="AE19" i="15"/>
  <c r="AD19" i="15"/>
  <c r="AF19" i="15"/>
  <c r="AE20" i="15"/>
  <c r="AD20" i="15"/>
  <c r="AF20" i="15"/>
  <c r="AE21" i="15"/>
  <c r="AD21" i="15"/>
  <c r="AF21" i="15"/>
  <c r="AE22" i="15"/>
  <c r="AD22" i="15"/>
  <c r="AF22" i="15"/>
  <c r="AE23" i="15"/>
  <c r="AD23" i="15"/>
  <c r="AF23" i="15"/>
  <c r="AE24" i="15"/>
  <c r="AD24" i="15"/>
  <c r="AF24" i="15"/>
  <c r="AE25" i="15"/>
  <c r="AD25" i="15"/>
  <c r="AF25" i="15"/>
  <c r="AE26" i="15"/>
  <c r="AD26" i="15"/>
  <c r="AF26" i="15"/>
  <c r="AE27" i="15"/>
  <c r="AD27" i="15"/>
  <c r="AF27" i="15"/>
  <c r="AE28" i="15"/>
  <c r="AD28" i="15"/>
  <c r="AF28" i="15"/>
  <c r="AE29" i="15"/>
  <c r="AD29" i="15"/>
  <c r="AF29" i="15"/>
  <c r="AE30" i="15"/>
  <c r="AD30" i="15"/>
  <c r="AF30" i="15"/>
  <c r="AE31" i="15"/>
  <c r="AD31" i="15"/>
  <c r="AF31" i="15"/>
  <c r="AE32" i="15"/>
  <c r="AD32" i="15"/>
  <c r="AF32" i="15"/>
  <c r="AE33" i="15"/>
  <c r="AD33" i="15"/>
  <c r="AF33" i="15"/>
  <c r="AE34" i="15"/>
  <c r="AD34" i="15"/>
  <c r="AF34" i="15"/>
  <c r="AE35" i="15"/>
  <c r="AD35" i="15"/>
  <c r="AF35" i="15"/>
  <c r="AE36" i="15"/>
  <c r="AD36" i="15"/>
  <c r="AF36" i="15"/>
  <c r="AE37" i="15"/>
  <c r="AD37" i="15"/>
  <c r="AF37" i="15"/>
  <c r="AF38" i="15"/>
  <c r="F50" i="15"/>
  <c r="H50" i="15"/>
  <c r="G51" i="15"/>
  <c r="AG8" i="15"/>
  <c r="AH8" i="15"/>
  <c r="AG9" i="15"/>
  <c r="AH9" i="15"/>
  <c r="AG10" i="15"/>
  <c r="AH10" i="15"/>
  <c r="AG11" i="15"/>
  <c r="AH11" i="15"/>
  <c r="AG12" i="15"/>
  <c r="AH12" i="15"/>
  <c r="AG13" i="15"/>
  <c r="AH13" i="15"/>
  <c r="AG14" i="15"/>
  <c r="AH14" i="15"/>
  <c r="AG15" i="15"/>
  <c r="AH15" i="15"/>
  <c r="AG16" i="15"/>
  <c r="AH16" i="15"/>
  <c r="AG17" i="15"/>
  <c r="AH17" i="15"/>
  <c r="AG18" i="15"/>
  <c r="AH18" i="15"/>
  <c r="AG19" i="15"/>
  <c r="AH19" i="15"/>
  <c r="AG20" i="15"/>
  <c r="AH20" i="15"/>
  <c r="AG21" i="15"/>
  <c r="AH21" i="15"/>
  <c r="AG22" i="15"/>
  <c r="AH22" i="15"/>
  <c r="AG23" i="15"/>
  <c r="AH23" i="15"/>
  <c r="AG24" i="15"/>
  <c r="AH24" i="15"/>
  <c r="AG25" i="15"/>
  <c r="AH25" i="15"/>
  <c r="AG26" i="15"/>
  <c r="AH26" i="15"/>
  <c r="AG27" i="15"/>
  <c r="AH27" i="15"/>
  <c r="AG28" i="15"/>
  <c r="AH28" i="15"/>
  <c r="AG29" i="15"/>
  <c r="AH29" i="15"/>
  <c r="AG30" i="15"/>
  <c r="AH30" i="15"/>
  <c r="AG31" i="15"/>
  <c r="AH31" i="15"/>
  <c r="AG32" i="15"/>
  <c r="AH32" i="15"/>
  <c r="AG33" i="15"/>
  <c r="AH33" i="15"/>
  <c r="AG34" i="15"/>
  <c r="AH34" i="15"/>
  <c r="AG35" i="15"/>
  <c r="AH35" i="15"/>
  <c r="AG36" i="15"/>
  <c r="AH36" i="15"/>
  <c r="AG37" i="15"/>
  <c r="AH37" i="15"/>
  <c r="F51" i="15"/>
  <c r="H51" i="15"/>
  <c r="G52" i="15"/>
  <c r="AJ8" i="15"/>
  <c r="AJ9" i="15"/>
  <c r="AJ10" i="15"/>
  <c r="AJ11" i="15"/>
  <c r="AJ12" i="15"/>
  <c r="AJ13" i="15"/>
  <c r="AJ14" i="15"/>
  <c r="AJ15" i="15"/>
  <c r="AJ16" i="15"/>
  <c r="AJ17" i="15"/>
  <c r="AJ18" i="15"/>
  <c r="AJ19" i="15"/>
  <c r="AJ20" i="15"/>
  <c r="AJ21" i="15"/>
  <c r="AJ22" i="15"/>
  <c r="AJ23" i="15"/>
  <c r="AJ24" i="15"/>
  <c r="AJ25" i="15"/>
  <c r="AJ26" i="15"/>
  <c r="AJ27" i="15"/>
  <c r="AJ28" i="15"/>
  <c r="AJ29" i="15"/>
  <c r="AJ30" i="15"/>
  <c r="AJ31" i="15"/>
  <c r="AJ32" i="15"/>
  <c r="AJ33" i="15"/>
  <c r="AJ34" i="15"/>
  <c r="AJ35" i="15"/>
  <c r="AJ36" i="15"/>
  <c r="AJ37" i="15"/>
  <c r="AI8" i="15"/>
  <c r="AI9" i="15"/>
  <c r="AI10" i="15"/>
  <c r="AI11" i="15"/>
  <c r="AI12" i="15"/>
  <c r="AI13" i="15"/>
  <c r="AI14" i="15"/>
  <c r="AI15" i="15"/>
  <c r="AI16" i="15"/>
  <c r="AI17" i="15"/>
  <c r="AI18" i="15"/>
  <c r="AI19" i="15"/>
  <c r="AI20" i="15"/>
  <c r="AI21" i="15"/>
  <c r="AI22" i="15"/>
  <c r="AI23" i="15"/>
  <c r="AI24" i="15"/>
  <c r="AI25" i="15"/>
  <c r="AI26" i="15"/>
  <c r="AI27" i="15"/>
  <c r="AI28" i="15"/>
  <c r="AI29" i="15"/>
  <c r="AI30" i="15"/>
  <c r="AI31" i="15"/>
  <c r="AI32" i="15"/>
  <c r="AI33" i="15"/>
  <c r="AI34" i="15"/>
  <c r="AI35" i="15"/>
  <c r="AI36" i="15"/>
  <c r="AI37" i="15"/>
  <c r="AI38" i="15"/>
  <c r="F52" i="15"/>
  <c r="H52" i="15"/>
  <c r="F54" i="15"/>
  <c r="F55" i="15"/>
  <c r="K68" i="5"/>
  <c r="L8" i="5"/>
  <c r="H40" i="25"/>
  <c r="H40" i="24"/>
  <c r="H40" i="23"/>
  <c r="H40" i="22"/>
  <c r="H40" i="21"/>
  <c r="H40" i="20"/>
  <c r="H40" i="19"/>
  <c r="H40" i="18"/>
  <c r="H40" i="17"/>
  <c r="H40" i="16"/>
  <c r="V37" i="15"/>
  <c r="S19" i="15"/>
  <c r="M22" i="19"/>
  <c r="M23" i="19"/>
  <c r="M24" i="19"/>
  <c r="M25" i="19"/>
  <c r="M8" i="19"/>
  <c r="M9" i="19"/>
  <c r="M10" i="19"/>
  <c r="M11" i="19"/>
  <c r="M12" i="19"/>
  <c r="M13" i="19"/>
  <c r="M14" i="19"/>
  <c r="M15" i="19"/>
  <c r="M16" i="19"/>
  <c r="M17" i="19"/>
  <c r="M18" i="19"/>
  <c r="M19" i="19"/>
  <c r="M20" i="19"/>
  <c r="M21" i="19"/>
  <c r="M26" i="19"/>
  <c r="M27" i="19"/>
  <c r="M28" i="19"/>
  <c r="W29" i="19"/>
  <c r="X29" i="19"/>
  <c r="D29" i="19"/>
  <c r="M23" i="3"/>
  <c r="M29" i="19"/>
  <c r="W30" i="19"/>
  <c r="X30" i="19"/>
  <c r="D30" i="19"/>
  <c r="M24" i="3"/>
  <c r="M30" i="19"/>
  <c r="W31" i="19"/>
  <c r="X31" i="19"/>
  <c r="D31" i="19"/>
  <c r="M25" i="3"/>
  <c r="M31" i="19"/>
  <c r="W32" i="19"/>
  <c r="X32" i="19"/>
  <c r="D32" i="19"/>
  <c r="M32" i="19"/>
  <c r="M33" i="19"/>
  <c r="M34" i="19"/>
  <c r="M35" i="19"/>
  <c r="W36" i="19"/>
  <c r="X36" i="19"/>
  <c r="D36" i="19"/>
  <c r="M36" i="19"/>
  <c r="W37" i="19"/>
  <c r="X37" i="19"/>
  <c r="D37" i="19"/>
  <c r="M37" i="19"/>
  <c r="S15" i="19"/>
  <c r="O22" i="19"/>
  <c r="O23" i="19"/>
  <c r="O24" i="19"/>
  <c r="O25" i="19"/>
  <c r="O8" i="19"/>
  <c r="O9" i="19"/>
  <c r="O10" i="19"/>
  <c r="O11" i="19"/>
  <c r="O12" i="19"/>
  <c r="O13" i="19"/>
  <c r="O14" i="19"/>
  <c r="O15" i="19"/>
  <c r="O16" i="19"/>
  <c r="O17" i="19"/>
  <c r="O18" i="19"/>
  <c r="O19" i="19"/>
  <c r="O20" i="19"/>
  <c r="O21" i="19"/>
  <c r="O26" i="19"/>
  <c r="O27" i="19"/>
  <c r="O28" i="19"/>
  <c r="O29" i="19"/>
  <c r="O30" i="19"/>
  <c r="O31" i="19"/>
  <c r="O32" i="19"/>
  <c r="O33" i="19"/>
  <c r="O34" i="19"/>
  <c r="O35" i="19"/>
  <c r="O36" i="19"/>
  <c r="O37" i="19"/>
  <c r="S17" i="19"/>
  <c r="M8" i="18"/>
  <c r="M9" i="18"/>
  <c r="M10" i="18"/>
  <c r="M11" i="18"/>
  <c r="M12" i="18"/>
  <c r="M13" i="18"/>
  <c r="M14" i="18"/>
  <c r="M15" i="18"/>
  <c r="M16" i="18"/>
  <c r="M17" i="18"/>
  <c r="M18" i="18"/>
  <c r="M19" i="18"/>
  <c r="M20" i="18"/>
  <c r="M21" i="18"/>
  <c r="M22" i="18"/>
  <c r="M23" i="18"/>
  <c r="M24" i="18"/>
  <c r="M25" i="18"/>
  <c r="M26" i="18"/>
  <c r="M27" i="18"/>
  <c r="M28" i="18"/>
  <c r="M29" i="18"/>
  <c r="M30" i="18"/>
  <c r="M31" i="18"/>
  <c r="M32" i="18"/>
  <c r="M33" i="18"/>
  <c r="M34" i="18"/>
  <c r="M35" i="18"/>
  <c r="M36" i="18"/>
  <c r="M37" i="18"/>
  <c r="M38" i="18"/>
  <c r="S15" i="18"/>
  <c r="O8" i="18"/>
  <c r="O9" i="18"/>
  <c r="O10" i="18"/>
  <c r="O11" i="18"/>
  <c r="O12" i="18"/>
  <c r="O13" i="18"/>
  <c r="O14" i="18"/>
  <c r="O15" i="18"/>
  <c r="O16" i="18"/>
  <c r="O17" i="18"/>
  <c r="O18" i="18"/>
  <c r="O19" i="18"/>
  <c r="O20" i="18"/>
  <c r="O21" i="18"/>
  <c r="O22" i="18"/>
  <c r="O23" i="18"/>
  <c r="O24" i="18"/>
  <c r="O25" i="18"/>
  <c r="O26" i="18"/>
  <c r="O27" i="18"/>
  <c r="O28" i="18"/>
  <c r="O29" i="18"/>
  <c r="O30" i="18"/>
  <c r="O31" i="18"/>
  <c r="O32" i="18"/>
  <c r="O33" i="18"/>
  <c r="O34" i="18"/>
  <c r="O35" i="18"/>
  <c r="O36" i="18"/>
  <c r="O37" i="18"/>
  <c r="O38" i="18"/>
  <c r="S17" i="18"/>
  <c r="M8" i="17"/>
  <c r="M9" i="17"/>
  <c r="M10" i="17"/>
  <c r="M11" i="17"/>
  <c r="M12" i="17"/>
  <c r="M13" i="17"/>
  <c r="M14" i="17"/>
  <c r="M15" i="17"/>
  <c r="M16" i="17"/>
  <c r="M17" i="17"/>
  <c r="M18" i="17"/>
  <c r="M19" i="17"/>
  <c r="M20" i="17"/>
  <c r="M21" i="17"/>
  <c r="M22" i="17"/>
  <c r="M23" i="17"/>
  <c r="M24" i="17"/>
  <c r="M25" i="17"/>
  <c r="M26" i="17"/>
  <c r="M27" i="17"/>
  <c r="M28" i="17"/>
  <c r="M29" i="17"/>
  <c r="M30" i="17"/>
  <c r="M31" i="17"/>
  <c r="M32" i="17"/>
  <c r="M33" i="17"/>
  <c r="M34" i="17"/>
  <c r="M35" i="17"/>
  <c r="M36" i="17"/>
  <c r="M37" i="17"/>
  <c r="S15" i="17"/>
  <c r="O8" i="17"/>
  <c r="O9" i="17"/>
  <c r="O10" i="17"/>
  <c r="O11" i="17"/>
  <c r="O12" i="17"/>
  <c r="O13" i="17"/>
  <c r="O14" i="17"/>
  <c r="O15" i="17"/>
  <c r="O16" i="17"/>
  <c r="O17" i="17"/>
  <c r="O18" i="17"/>
  <c r="O19" i="17"/>
  <c r="O20" i="17"/>
  <c r="O21" i="17"/>
  <c r="O22" i="17"/>
  <c r="O23" i="17"/>
  <c r="O24" i="17"/>
  <c r="O25" i="17"/>
  <c r="O26" i="17"/>
  <c r="O27" i="17"/>
  <c r="O28" i="17"/>
  <c r="O29" i="17"/>
  <c r="O30" i="17"/>
  <c r="O31" i="17"/>
  <c r="O32" i="17"/>
  <c r="O33" i="17"/>
  <c r="O34" i="17"/>
  <c r="O35" i="17"/>
  <c r="O36" i="17"/>
  <c r="O37" i="17"/>
  <c r="S17" i="17"/>
  <c r="M8" i="16"/>
  <c r="M9" i="16"/>
  <c r="M10" i="16"/>
  <c r="M11" i="16"/>
  <c r="M12" i="16"/>
  <c r="M13" i="16"/>
  <c r="M14" i="16"/>
  <c r="M15" i="16"/>
  <c r="M16" i="16"/>
  <c r="M17" i="16"/>
  <c r="M18" i="16"/>
  <c r="M19" i="16"/>
  <c r="M20" i="16"/>
  <c r="M21" i="16"/>
  <c r="M22" i="16"/>
  <c r="M23" i="16"/>
  <c r="M24" i="16"/>
  <c r="M25" i="16"/>
  <c r="M26" i="16"/>
  <c r="M27" i="16"/>
  <c r="M28" i="16"/>
  <c r="M29" i="16"/>
  <c r="M30" i="16"/>
  <c r="M31" i="16"/>
  <c r="M32" i="16"/>
  <c r="M33" i="16"/>
  <c r="M34" i="16"/>
  <c r="M35" i="16"/>
  <c r="M36" i="16"/>
  <c r="M37" i="16"/>
  <c r="M38" i="16"/>
  <c r="S15" i="16"/>
  <c r="O8" i="16"/>
  <c r="O9" i="16"/>
  <c r="O10" i="16"/>
  <c r="O11" i="16"/>
  <c r="O12" i="16"/>
  <c r="O13" i="16"/>
  <c r="O14" i="16"/>
  <c r="O15" i="16"/>
  <c r="O16" i="16"/>
  <c r="O17" i="16"/>
  <c r="O18" i="16"/>
  <c r="O19" i="16"/>
  <c r="O20" i="16"/>
  <c r="O21" i="16"/>
  <c r="O22" i="16"/>
  <c r="O23" i="16"/>
  <c r="O24" i="16"/>
  <c r="O25" i="16"/>
  <c r="O26" i="16"/>
  <c r="O27" i="16"/>
  <c r="O28" i="16"/>
  <c r="O29" i="16"/>
  <c r="O30" i="16"/>
  <c r="O31" i="16"/>
  <c r="O32" i="16"/>
  <c r="O33" i="16"/>
  <c r="O34" i="16"/>
  <c r="O35" i="16"/>
  <c r="O36" i="16"/>
  <c r="O37" i="16"/>
  <c r="O38" i="16"/>
  <c r="S17" i="16"/>
  <c r="M8" i="15"/>
  <c r="M9" i="15"/>
  <c r="M10" i="15"/>
  <c r="M11" i="15"/>
  <c r="M12" i="15"/>
  <c r="M13" i="15"/>
  <c r="M14" i="15"/>
  <c r="M15" i="15"/>
  <c r="M16" i="15"/>
  <c r="M17" i="15"/>
  <c r="M18" i="15"/>
  <c r="M19" i="15"/>
  <c r="M20" i="15"/>
  <c r="M21" i="15"/>
  <c r="M22" i="15"/>
  <c r="M23" i="15"/>
  <c r="M24" i="15"/>
  <c r="M25" i="15"/>
  <c r="M26" i="15"/>
  <c r="M27" i="15"/>
  <c r="M28" i="15"/>
  <c r="M29" i="15"/>
  <c r="M30" i="15"/>
  <c r="M31" i="15"/>
  <c r="M32" i="15"/>
  <c r="M33" i="15"/>
  <c r="M34" i="15"/>
  <c r="M35" i="15"/>
  <c r="M36" i="15"/>
  <c r="S15" i="15"/>
  <c r="S17" i="15"/>
  <c r="S17" i="4"/>
  <c r="T13" i="4"/>
  <c r="T11" i="4"/>
  <c r="K5" i="15"/>
  <c r="S11" i="4"/>
  <c r="I5" i="15"/>
  <c r="T11" i="15"/>
  <c r="K5" i="16"/>
  <c r="S11" i="15"/>
  <c r="I5" i="16"/>
  <c r="T11" i="16"/>
  <c r="K5" i="17"/>
  <c r="S11" i="16"/>
  <c r="I5" i="17"/>
  <c r="T11" i="17"/>
  <c r="K5" i="18"/>
  <c r="S11" i="17"/>
  <c r="I5" i="18"/>
  <c r="T11" i="18"/>
  <c r="K5" i="19"/>
  <c r="S11" i="18"/>
  <c r="I5" i="19"/>
  <c r="T11" i="19"/>
  <c r="K5" i="20"/>
  <c r="S11" i="19"/>
  <c r="I5" i="20"/>
  <c r="M8" i="20"/>
  <c r="M9" i="20"/>
  <c r="M10" i="20"/>
  <c r="M11" i="20"/>
  <c r="M12" i="20"/>
  <c r="M13" i="20"/>
  <c r="M14" i="20"/>
  <c r="M15" i="20"/>
  <c r="M16" i="20"/>
  <c r="M17" i="20"/>
  <c r="M18" i="20"/>
  <c r="M19" i="20"/>
  <c r="M20" i="20"/>
  <c r="M21" i="20"/>
  <c r="M22" i="20"/>
  <c r="M23" i="20"/>
  <c r="M24" i="20"/>
  <c r="M25" i="20"/>
  <c r="M26" i="20"/>
  <c r="M27" i="20"/>
  <c r="M28" i="20"/>
  <c r="M29" i="20"/>
  <c r="M30" i="20"/>
  <c r="M31" i="20"/>
  <c r="M32" i="20"/>
  <c r="M33" i="20"/>
  <c r="M34" i="20"/>
  <c r="M35" i="20"/>
  <c r="M36" i="20"/>
  <c r="M37" i="20"/>
  <c r="M38" i="20"/>
  <c r="S15" i="20"/>
  <c r="O8" i="20"/>
  <c r="O9" i="20"/>
  <c r="O10" i="20"/>
  <c r="O11" i="20"/>
  <c r="O12" i="20"/>
  <c r="O13" i="20"/>
  <c r="O14" i="20"/>
  <c r="O15" i="20"/>
  <c r="O16" i="20"/>
  <c r="O17" i="20"/>
  <c r="O18" i="20"/>
  <c r="O19" i="20"/>
  <c r="O20" i="20"/>
  <c r="O21" i="20"/>
  <c r="O22" i="20"/>
  <c r="O23" i="20"/>
  <c r="O24" i="20"/>
  <c r="O25" i="20"/>
  <c r="O26" i="20"/>
  <c r="O27" i="20"/>
  <c r="O28" i="20"/>
  <c r="O29" i="20"/>
  <c r="O30" i="20"/>
  <c r="O31" i="20"/>
  <c r="O32" i="20"/>
  <c r="O33" i="20"/>
  <c r="O34" i="20"/>
  <c r="O35" i="20"/>
  <c r="O36" i="20"/>
  <c r="O37" i="20"/>
  <c r="O38" i="20"/>
  <c r="S17" i="20"/>
  <c r="T11" i="20"/>
  <c r="K5" i="21"/>
  <c r="S11" i="20"/>
  <c r="I5" i="21"/>
  <c r="M8" i="21"/>
  <c r="M9" i="21"/>
  <c r="M10" i="21"/>
  <c r="M11" i="21"/>
  <c r="M12" i="21"/>
  <c r="M13" i="21"/>
  <c r="M14" i="21"/>
  <c r="M15" i="21"/>
  <c r="M16" i="21"/>
  <c r="M17" i="21"/>
  <c r="M18" i="21"/>
  <c r="M19" i="21"/>
  <c r="M20" i="21"/>
  <c r="M21" i="21"/>
  <c r="M22" i="21"/>
  <c r="M23" i="21"/>
  <c r="M24" i="21"/>
  <c r="M25" i="21"/>
  <c r="M26" i="21"/>
  <c r="M27" i="21"/>
  <c r="M28" i="21"/>
  <c r="M29" i="21"/>
  <c r="M30" i="21"/>
  <c r="M31" i="21"/>
  <c r="M32" i="21"/>
  <c r="M33" i="21"/>
  <c r="M34" i="21"/>
  <c r="M35" i="21"/>
  <c r="M36" i="21"/>
  <c r="M37" i="21"/>
  <c r="M38" i="21"/>
  <c r="S15" i="21"/>
  <c r="O8" i="21"/>
  <c r="O9" i="21"/>
  <c r="O10" i="21"/>
  <c r="O11" i="21"/>
  <c r="O12" i="21"/>
  <c r="O13" i="21"/>
  <c r="O14" i="21"/>
  <c r="O15" i="21"/>
  <c r="O16" i="21"/>
  <c r="O17" i="21"/>
  <c r="O18" i="21"/>
  <c r="O19" i="21"/>
  <c r="O20" i="21"/>
  <c r="O21" i="21"/>
  <c r="O22" i="21"/>
  <c r="O23" i="21"/>
  <c r="O24" i="21"/>
  <c r="O25" i="21"/>
  <c r="O26" i="21"/>
  <c r="O27" i="21"/>
  <c r="O28" i="21"/>
  <c r="O29" i="21"/>
  <c r="O30" i="21"/>
  <c r="O31" i="21"/>
  <c r="O32" i="21"/>
  <c r="O33" i="21"/>
  <c r="O34" i="21"/>
  <c r="O35" i="21"/>
  <c r="O36" i="21"/>
  <c r="O37" i="21"/>
  <c r="O38" i="21"/>
  <c r="S17" i="21"/>
  <c r="T11" i="21"/>
  <c r="K5" i="22"/>
  <c r="S11" i="21"/>
  <c r="I5" i="22"/>
  <c r="M8" i="22"/>
  <c r="M9" i="22"/>
  <c r="M10" i="22"/>
  <c r="M11" i="22"/>
  <c r="M12" i="22"/>
  <c r="M13" i="22"/>
  <c r="M14" i="22"/>
  <c r="M15" i="22"/>
  <c r="M16" i="22"/>
  <c r="M17" i="22"/>
  <c r="M18" i="22"/>
  <c r="M19" i="22"/>
  <c r="M20" i="22"/>
  <c r="M21" i="22"/>
  <c r="M22" i="22"/>
  <c r="M23" i="22"/>
  <c r="M24" i="22"/>
  <c r="M25" i="22"/>
  <c r="M26" i="22"/>
  <c r="M27" i="22"/>
  <c r="M28" i="22"/>
  <c r="M29" i="22"/>
  <c r="M30" i="22"/>
  <c r="M31" i="22"/>
  <c r="M32" i="22"/>
  <c r="M33" i="22"/>
  <c r="M34" i="22"/>
  <c r="M35" i="22"/>
  <c r="M36" i="22"/>
  <c r="M37" i="22"/>
  <c r="S15" i="22"/>
  <c r="O8" i="22"/>
  <c r="O9" i="22"/>
  <c r="O10" i="22"/>
  <c r="O11" i="22"/>
  <c r="O12" i="22"/>
  <c r="O13" i="22"/>
  <c r="O14" i="22"/>
  <c r="O15" i="22"/>
  <c r="O16" i="22"/>
  <c r="O17" i="22"/>
  <c r="O18" i="22"/>
  <c r="O19" i="22"/>
  <c r="O20" i="22"/>
  <c r="O21" i="22"/>
  <c r="O22" i="22"/>
  <c r="O23" i="22"/>
  <c r="O24" i="22"/>
  <c r="O25" i="22"/>
  <c r="O26" i="22"/>
  <c r="O27" i="22"/>
  <c r="O28" i="22"/>
  <c r="O29" i="22"/>
  <c r="O30" i="22"/>
  <c r="O31" i="22"/>
  <c r="O32" i="22"/>
  <c r="O33" i="22"/>
  <c r="O34" i="22"/>
  <c r="O35" i="22"/>
  <c r="O36" i="22"/>
  <c r="O37" i="22"/>
  <c r="S17" i="22"/>
  <c r="T11" i="22"/>
  <c r="K5" i="23"/>
  <c r="S11" i="22"/>
  <c r="I5" i="23"/>
  <c r="M8" i="23"/>
  <c r="M27" i="3"/>
  <c r="M9" i="23"/>
  <c r="M28" i="3"/>
  <c r="M10" i="23"/>
  <c r="M11" i="23"/>
  <c r="M12" i="23"/>
  <c r="M13" i="23"/>
  <c r="M14" i="23"/>
  <c r="M15" i="23"/>
  <c r="M16" i="23"/>
  <c r="M17" i="23"/>
  <c r="M18" i="23"/>
  <c r="M19" i="23"/>
  <c r="M20" i="23"/>
  <c r="M21" i="23"/>
  <c r="M22" i="23"/>
  <c r="M23" i="23"/>
  <c r="M24" i="23"/>
  <c r="M25" i="23"/>
  <c r="M26" i="23"/>
  <c r="M27" i="23"/>
  <c r="M28" i="23"/>
  <c r="M29" i="23"/>
  <c r="M30" i="23"/>
  <c r="M31" i="23"/>
  <c r="M32" i="23"/>
  <c r="M33" i="23"/>
  <c r="M34" i="23"/>
  <c r="M35" i="23"/>
  <c r="M36" i="23"/>
  <c r="M37" i="23"/>
  <c r="M38" i="23"/>
  <c r="S15" i="23"/>
  <c r="O9" i="23"/>
  <c r="O10" i="23"/>
  <c r="O11" i="23"/>
  <c r="O12" i="23"/>
  <c r="O13" i="23"/>
  <c r="O14" i="23"/>
  <c r="O15" i="23"/>
  <c r="O16" i="23"/>
  <c r="O17" i="23"/>
  <c r="O18" i="23"/>
  <c r="O19" i="23"/>
  <c r="O20" i="23"/>
  <c r="O21" i="23"/>
  <c r="O22" i="23"/>
  <c r="O23" i="23"/>
  <c r="O24" i="23"/>
  <c r="O25" i="23"/>
  <c r="O26" i="23"/>
  <c r="O27" i="23"/>
  <c r="O28" i="23"/>
  <c r="O29" i="23"/>
  <c r="O30" i="23"/>
  <c r="O31" i="23"/>
  <c r="O32" i="23"/>
  <c r="O33" i="23"/>
  <c r="O34" i="23"/>
  <c r="O35" i="23"/>
  <c r="O36" i="23"/>
  <c r="O37" i="23"/>
  <c r="O38" i="23"/>
  <c r="S17" i="23"/>
  <c r="T11" i="23"/>
  <c r="K5" i="24"/>
  <c r="S11" i="23"/>
  <c r="I5" i="24"/>
  <c r="M8" i="24"/>
  <c r="M9" i="24"/>
  <c r="M10" i="24"/>
  <c r="M11" i="24"/>
  <c r="M12" i="24"/>
  <c r="M13" i="24"/>
  <c r="M14" i="24"/>
  <c r="M15" i="24"/>
  <c r="M16" i="24"/>
  <c r="M17" i="24"/>
  <c r="M18" i="24"/>
  <c r="M19" i="24"/>
  <c r="M20" i="24"/>
  <c r="M21" i="24"/>
  <c r="M22" i="24"/>
  <c r="M23" i="24"/>
  <c r="M24" i="24"/>
  <c r="M25" i="24"/>
  <c r="M26" i="24"/>
  <c r="M27" i="24"/>
  <c r="M28" i="24"/>
  <c r="M29" i="24"/>
  <c r="M30" i="24"/>
  <c r="M31" i="24"/>
  <c r="M32" i="24"/>
  <c r="M33" i="24"/>
  <c r="M34" i="24"/>
  <c r="M35" i="24"/>
  <c r="M36" i="24"/>
  <c r="M37" i="24"/>
  <c r="S15" i="24"/>
  <c r="O8" i="24"/>
  <c r="O9" i="24"/>
  <c r="O10" i="24"/>
  <c r="O11" i="24"/>
  <c r="O12" i="24"/>
  <c r="O13" i="24"/>
  <c r="O14" i="24"/>
  <c r="O15" i="24"/>
  <c r="O16" i="24"/>
  <c r="O17" i="24"/>
  <c r="O18" i="24"/>
  <c r="O19" i="24"/>
  <c r="O20" i="24"/>
  <c r="O21" i="24"/>
  <c r="O22" i="24"/>
  <c r="O23" i="24"/>
  <c r="O24" i="24"/>
  <c r="O25" i="24"/>
  <c r="O26" i="24"/>
  <c r="O27" i="24"/>
  <c r="O28" i="24"/>
  <c r="O29" i="24"/>
  <c r="O30" i="24"/>
  <c r="O31" i="24"/>
  <c r="O32" i="24"/>
  <c r="O33" i="24"/>
  <c r="O34" i="24"/>
  <c r="O35" i="24"/>
  <c r="O36" i="24"/>
  <c r="O37" i="24"/>
  <c r="S17" i="24"/>
  <c r="T11" i="24"/>
  <c r="K5" i="25"/>
  <c r="P18" i="5"/>
  <c r="P17" i="5"/>
  <c r="P16" i="5"/>
  <c r="P15" i="5"/>
  <c r="P14" i="5"/>
  <c r="P13" i="5"/>
  <c r="F57" i="19"/>
  <c r="O70" i="5"/>
  <c r="G12" i="5"/>
  <c r="F56" i="19"/>
  <c r="O69" i="5"/>
  <c r="H12" i="5"/>
  <c r="P12" i="5"/>
  <c r="P11" i="5"/>
  <c r="F57" i="18"/>
  <c r="N70" i="5"/>
  <c r="G11" i="5"/>
  <c r="F56" i="18"/>
  <c r="N69" i="5"/>
  <c r="H11" i="5"/>
  <c r="P10" i="5"/>
  <c r="F57" i="17"/>
  <c r="M70" i="5"/>
  <c r="G10" i="5"/>
  <c r="F56" i="17"/>
  <c r="M69" i="5"/>
  <c r="H10" i="5"/>
  <c r="P9" i="5"/>
  <c r="F57" i="16"/>
  <c r="L70" i="5"/>
  <c r="G9" i="5"/>
  <c r="F56" i="16"/>
  <c r="L69" i="5"/>
  <c r="H9" i="5"/>
  <c r="P8" i="5"/>
  <c r="F57" i="15"/>
  <c r="K70" i="5"/>
  <c r="G8" i="5"/>
  <c r="F56" i="15"/>
  <c r="K69" i="5"/>
  <c r="H8" i="5"/>
  <c r="F57" i="4"/>
  <c r="J70" i="5"/>
  <c r="G7" i="5"/>
  <c r="P7" i="5"/>
  <c r="I7" i="5"/>
  <c r="J7" i="5"/>
  <c r="I8" i="5"/>
  <c r="J8" i="5"/>
  <c r="I9" i="5"/>
  <c r="J9" i="5"/>
  <c r="I10" i="5"/>
  <c r="J10" i="5"/>
  <c r="I11" i="5"/>
  <c r="J11" i="5"/>
  <c r="I12" i="5"/>
  <c r="J12" i="5"/>
  <c r="I13" i="5"/>
  <c r="F57" i="20"/>
  <c r="P70" i="5"/>
  <c r="G13" i="5"/>
  <c r="F56" i="20"/>
  <c r="P69" i="5"/>
  <c r="H13" i="5"/>
  <c r="J13" i="5"/>
  <c r="I14" i="5"/>
  <c r="F57" i="21"/>
  <c r="Q70" i="5"/>
  <c r="G14" i="5"/>
  <c r="F56" i="21"/>
  <c r="Q69" i="5"/>
  <c r="H14" i="5"/>
  <c r="J14" i="5"/>
  <c r="I15" i="5"/>
  <c r="F57" i="22"/>
  <c r="R70" i="5"/>
  <c r="G15" i="5"/>
  <c r="F56" i="22"/>
  <c r="R69" i="5"/>
  <c r="H15" i="5"/>
  <c r="J15" i="5"/>
  <c r="I16" i="5"/>
  <c r="F57" i="23"/>
  <c r="S70" i="5"/>
  <c r="G16" i="5"/>
  <c r="F56" i="23"/>
  <c r="S69" i="5"/>
  <c r="H16" i="5"/>
  <c r="J16" i="5"/>
  <c r="I17" i="5"/>
  <c r="F57" i="24"/>
  <c r="T70" i="5"/>
  <c r="G17" i="5"/>
  <c r="F56" i="24"/>
  <c r="T69" i="5"/>
  <c r="H17" i="5"/>
  <c r="J17" i="5"/>
  <c r="I18" i="5"/>
  <c r="O8" i="25"/>
  <c r="O9" i="25"/>
  <c r="O10" i="25"/>
  <c r="O11" i="25"/>
  <c r="O12" i="25"/>
  <c r="O13" i="25"/>
  <c r="O14" i="25"/>
  <c r="O15" i="25"/>
  <c r="O16" i="25"/>
  <c r="O17" i="25"/>
  <c r="O18" i="25"/>
  <c r="O19" i="25"/>
  <c r="O20" i="25"/>
  <c r="O21" i="25"/>
  <c r="O22" i="25"/>
  <c r="O23" i="25"/>
  <c r="O24" i="25"/>
  <c r="O25" i="25"/>
  <c r="O26" i="25"/>
  <c r="O27" i="25"/>
  <c r="O28" i="25"/>
  <c r="O29" i="25"/>
  <c r="O30" i="25"/>
  <c r="O31" i="25"/>
  <c r="O32" i="25"/>
  <c r="O33" i="25"/>
  <c r="O34" i="25"/>
  <c r="O35" i="25"/>
  <c r="O36" i="25"/>
  <c r="O37" i="25"/>
  <c r="O38" i="25"/>
  <c r="S17" i="25"/>
  <c r="F57" i="25"/>
  <c r="U70" i="5"/>
  <c r="G18" i="5"/>
  <c r="M8" i="25"/>
  <c r="M9" i="25"/>
  <c r="M10" i="25"/>
  <c r="M11" i="25"/>
  <c r="M12" i="25"/>
  <c r="M13" i="25"/>
  <c r="M14" i="25"/>
  <c r="M15" i="25"/>
  <c r="M16" i="25"/>
  <c r="M17" i="25"/>
  <c r="M18" i="25"/>
  <c r="M19" i="25"/>
  <c r="M20" i="25"/>
  <c r="M21" i="25"/>
  <c r="M22" i="25"/>
  <c r="M23" i="25"/>
  <c r="M24" i="25"/>
  <c r="M25" i="25"/>
  <c r="M26" i="25"/>
  <c r="M27" i="25"/>
  <c r="M28" i="25"/>
  <c r="M29" i="25"/>
  <c r="M30" i="25"/>
  <c r="M31" i="25"/>
  <c r="M32" i="25"/>
  <c r="M33" i="25"/>
  <c r="M34" i="25"/>
  <c r="M35" i="25"/>
  <c r="M36" i="25"/>
  <c r="M37" i="25"/>
  <c r="M38" i="25"/>
  <c r="S15" i="25"/>
  <c r="F56" i="25"/>
  <c r="U69" i="5"/>
  <c r="H18" i="5"/>
  <c r="J18" i="5"/>
  <c r="AI38" i="25"/>
  <c r="AF38" i="25"/>
  <c r="AJ37" i="25"/>
  <c r="AI37" i="25"/>
  <c r="AG37" i="25"/>
  <c r="AH37" i="25"/>
  <c r="W37" i="25"/>
  <c r="X37" i="25"/>
  <c r="D37" i="25"/>
  <c r="AE37" i="25"/>
  <c r="AD37" i="25"/>
  <c r="AF37" i="25"/>
  <c r="AJ36" i="25"/>
  <c r="AI36" i="25"/>
  <c r="AG36" i="25"/>
  <c r="AH36" i="25"/>
  <c r="W36" i="25"/>
  <c r="X36" i="25"/>
  <c r="D36" i="25"/>
  <c r="AE36" i="25"/>
  <c r="AD36" i="25"/>
  <c r="AF36" i="25"/>
  <c r="AJ35" i="25"/>
  <c r="AI35" i="25"/>
  <c r="AG35" i="25"/>
  <c r="AH35" i="25"/>
  <c r="W35" i="25"/>
  <c r="X35" i="25"/>
  <c r="D35" i="25"/>
  <c r="AE35" i="25"/>
  <c r="AD35" i="25"/>
  <c r="AF35" i="25"/>
  <c r="AJ34" i="25"/>
  <c r="AI34" i="25"/>
  <c r="AG34" i="25"/>
  <c r="AH34" i="25"/>
  <c r="W34" i="25"/>
  <c r="X34" i="25"/>
  <c r="D34" i="25"/>
  <c r="AE34" i="25"/>
  <c r="AD34" i="25"/>
  <c r="AF34" i="25"/>
  <c r="AJ33" i="25"/>
  <c r="AI33" i="25"/>
  <c r="AG33" i="25"/>
  <c r="AH33" i="25"/>
  <c r="W33" i="25"/>
  <c r="X33" i="25"/>
  <c r="D33" i="25"/>
  <c r="AE33" i="25"/>
  <c r="AD33" i="25"/>
  <c r="AF33" i="25"/>
  <c r="AJ32" i="25"/>
  <c r="AI32" i="25"/>
  <c r="AG32" i="25"/>
  <c r="AH32" i="25"/>
  <c r="W32" i="25"/>
  <c r="X32" i="25"/>
  <c r="D32" i="25"/>
  <c r="AE32" i="25"/>
  <c r="AD32" i="25"/>
  <c r="AF32" i="25"/>
  <c r="AJ31" i="25"/>
  <c r="AI31" i="25"/>
  <c r="AG31" i="25"/>
  <c r="AH31" i="25"/>
  <c r="W31" i="25"/>
  <c r="X31" i="25"/>
  <c r="D31" i="25"/>
  <c r="AE31" i="25"/>
  <c r="AD31" i="25"/>
  <c r="AF31" i="25"/>
  <c r="AJ30" i="25"/>
  <c r="AI30" i="25"/>
  <c r="AG30" i="25"/>
  <c r="AH30" i="25"/>
  <c r="W30" i="25"/>
  <c r="X30" i="25"/>
  <c r="D30" i="25"/>
  <c r="AE30" i="25"/>
  <c r="AD30" i="25"/>
  <c r="AF30" i="25"/>
  <c r="AJ29" i="25"/>
  <c r="AI29" i="25"/>
  <c r="AG29" i="25"/>
  <c r="AH29" i="25"/>
  <c r="W29" i="25"/>
  <c r="X29" i="25"/>
  <c r="D29" i="25"/>
  <c r="AE29" i="25"/>
  <c r="AD29" i="25"/>
  <c r="AF29" i="25"/>
  <c r="AJ28" i="25"/>
  <c r="AI28" i="25"/>
  <c r="AG28" i="25"/>
  <c r="AH28" i="25"/>
  <c r="W28" i="25"/>
  <c r="X28" i="25"/>
  <c r="D28" i="25"/>
  <c r="AE28" i="25"/>
  <c r="AD28" i="25"/>
  <c r="AF28" i="25"/>
  <c r="AJ27" i="25"/>
  <c r="AI27" i="25"/>
  <c r="AG27" i="25"/>
  <c r="AH27" i="25"/>
  <c r="W27" i="25"/>
  <c r="X27" i="25"/>
  <c r="D27" i="25"/>
  <c r="AE27" i="25"/>
  <c r="AD27" i="25"/>
  <c r="AF27" i="25"/>
  <c r="AJ26" i="25"/>
  <c r="AI26" i="25"/>
  <c r="AG26" i="25"/>
  <c r="AH26" i="25"/>
  <c r="W26" i="25"/>
  <c r="X26" i="25"/>
  <c r="D26" i="25"/>
  <c r="AE26" i="25"/>
  <c r="AD26" i="25"/>
  <c r="AF26" i="25"/>
  <c r="AJ25" i="25"/>
  <c r="AI25" i="25"/>
  <c r="AG25" i="25"/>
  <c r="AH25" i="25"/>
  <c r="W25" i="25"/>
  <c r="X25" i="25"/>
  <c r="D25" i="25"/>
  <c r="AE25" i="25"/>
  <c r="AD25" i="25"/>
  <c r="AF25" i="25"/>
  <c r="AJ24" i="25"/>
  <c r="AI24" i="25"/>
  <c r="AG24" i="25"/>
  <c r="AH24" i="25"/>
  <c r="W24" i="25"/>
  <c r="X24" i="25"/>
  <c r="D24" i="25"/>
  <c r="AE24" i="25"/>
  <c r="AD24" i="25"/>
  <c r="AF24" i="25"/>
  <c r="AJ23" i="25"/>
  <c r="AI23" i="25"/>
  <c r="AG23" i="25"/>
  <c r="AH23" i="25"/>
  <c r="W23" i="25"/>
  <c r="X23" i="25"/>
  <c r="D23" i="25"/>
  <c r="AE23" i="25"/>
  <c r="AD23" i="25"/>
  <c r="AF23" i="25"/>
  <c r="AJ22" i="25"/>
  <c r="AI22" i="25"/>
  <c r="AG22" i="25"/>
  <c r="AH22" i="25"/>
  <c r="W22" i="25"/>
  <c r="X22" i="25"/>
  <c r="D22" i="25"/>
  <c r="AE22" i="25"/>
  <c r="AD22" i="25"/>
  <c r="AF22" i="25"/>
  <c r="AJ21" i="25"/>
  <c r="AI21" i="25"/>
  <c r="AG21" i="25"/>
  <c r="AH21" i="25"/>
  <c r="W21" i="25"/>
  <c r="X21" i="25"/>
  <c r="D21" i="25"/>
  <c r="AE21" i="25"/>
  <c r="AD21" i="25"/>
  <c r="AF21" i="25"/>
  <c r="AJ20" i="25"/>
  <c r="AI20" i="25"/>
  <c r="AG20" i="25"/>
  <c r="AH20" i="25"/>
  <c r="W20" i="25"/>
  <c r="X20" i="25"/>
  <c r="D20" i="25"/>
  <c r="AE20" i="25"/>
  <c r="AD20" i="25"/>
  <c r="AF20" i="25"/>
  <c r="AJ19" i="25"/>
  <c r="AI19" i="25"/>
  <c r="AG19" i="25"/>
  <c r="AH19" i="25"/>
  <c r="W19" i="25"/>
  <c r="X19" i="25"/>
  <c r="D19" i="25"/>
  <c r="AE19" i="25"/>
  <c r="AD19" i="25"/>
  <c r="AF19" i="25"/>
  <c r="AJ18" i="25"/>
  <c r="AI18" i="25"/>
  <c r="AG18" i="25"/>
  <c r="AH18" i="25"/>
  <c r="W18" i="25"/>
  <c r="X18" i="25"/>
  <c r="D18" i="25"/>
  <c r="AE18" i="25"/>
  <c r="AD18" i="25"/>
  <c r="AF18" i="25"/>
  <c r="AJ17" i="25"/>
  <c r="AI17" i="25"/>
  <c r="AG17" i="25"/>
  <c r="AH17" i="25"/>
  <c r="W17" i="25"/>
  <c r="X17" i="25"/>
  <c r="D17" i="25"/>
  <c r="AE17" i="25"/>
  <c r="AD17" i="25"/>
  <c r="AF17" i="25"/>
  <c r="AJ16" i="25"/>
  <c r="AI16" i="25"/>
  <c r="AG16" i="25"/>
  <c r="AH16" i="25"/>
  <c r="W16" i="25"/>
  <c r="X16" i="25"/>
  <c r="D16" i="25"/>
  <c r="AE16" i="25"/>
  <c r="AD16" i="25"/>
  <c r="AF16" i="25"/>
  <c r="AJ15" i="25"/>
  <c r="AI15" i="25"/>
  <c r="AG15" i="25"/>
  <c r="AH15" i="25"/>
  <c r="W15" i="25"/>
  <c r="X15" i="25"/>
  <c r="D15" i="25"/>
  <c r="AE15" i="25"/>
  <c r="AD15" i="25"/>
  <c r="AF15" i="25"/>
  <c r="AJ14" i="25"/>
  <c r="AI14" i="25"/>
  <c r="AG14" i="25"/>
  <c r="AH14" i="25"/>
  <c r="W14" i="25"/>
  <c r="X14" i="25"/>
  <c r="D14" i="25"/>
  <c r="AE14" i="25"/>
  <c r="AD14" i="25"/>
  <c r="AF14" i="25"/>
  <c r="AJ13" i="25"/>
  <c r="AI13" i="25"/>
  <c r="AG13" i="25"/>
  <c r="AH13" i="25"/>
  <c r="W13" i="25"/>
  <c r="X13" i="25"/>
  <c r="D13" i="25"/>
  <c r="AE13" i="25"/>
  <c r="AD13" i="25"/>
  <c r="AF13" i="25"/>
  <c r="AJ12" i="25"/>
  <c r="AI12" i="25"/>
  <c r="AG12" i="25"/>
  <c r="AH12" i="25"/>
  <c r="W12" i="25"/>
  <c r="X12" i="25"/>
  <c r="D12" i="25"/>
  <c r="AE12" i="25"/>
  <c r="AD12" i="25"/>
  <c r="AF12" i="25"/>
  <c r="AJ11" i="25"/>
  <c r="AI11" i="25"/>
  <c r="AG11" i="25"/>
  <c r="AH11" i="25"/>
  <c r="W11" i="25"/>
  <c r="X11" i="25"/>
  <c r="D11" i="25"/>
  <c r="AE11" i="25"/>
  <c r="AD11" i="25"/>
  <c r="AF11" i="25"/>
  <c r="AJ10" i="25"/>
  <c r="AI10" i="25"/>
  <c r="AG10" i="25"/>
  <c r="AH10" i="25"/>
  <c r="W10" i="25"/>
  <c r="X10" i="25"/>
  <c r="D10" i="25"/>
  <c r="AE10" i="25"/>
  <c r="AD10" i="25"/>
  <c r="AF10" i="25"/>
  <c r="AJ9" i="25"/>
  <c r="AI9" i="25"/>
  <c r="AG9" i="25"/>
  <c r="AH9" i="25"/>
  <c r="W9" i="25"/>
  <c r="X9" i="25"/>
  <c r="D9" i="25"/>
  <c r="AE9" i="25"/>
  <c r="AD9" i="25"/>
  <c r="AF9" i="25"/>
  <c r="AJ8" i="25"/>
  <c r="AI8" i="25"/>
  <c r="AG8" i="25"/>
  <c r="AH8" i="25"/>
  <c r="W8" i="25"/>
  <c r="X8" i="25"/>
  <c r="D8" i="25"/>
  <c r="AE8" i="25"/>
  <c r="AD8" i="25"/>
  <c r="AF8" i="25"/>
  <c r="AI38" i="24"/>
  <c r="AF38" i="24"/>
  <c r="AJ37" i="24"/>
  <c r="AI37" i="24"/>
  <c r="AG37" i="24"/>
  <c r="AH37" i="24"/>
  <c r="W37" i="24"/>
  <c r="X37" i="24"/>
  <c r="D37" i="24"/>
  <c r="AE37" i="24"/>
  <c r="AD37" i="24"/>
  <c r="AF37" i="24"/>
  <c r="AJ36" i="24"/>
  <c r="AI36" i="24"/>
  <c r="AG36" i="24"/>
  <c r="AH36" i="24"/>
  <c r="W36" i="24"/>
  <c r="X36" i="24"/>
  <c r="D36" i="24"/>
  <c r="AE36" i="24"/>
  <c r="AD36" i="24"/>
  <c r="AF36" i="24"/>
  <c r="AJ35" i="24"/>
  <c r="AI35" i="24"/>
  <c r="AG35" i="24"/>
  <c r="AH35" i="24"/>
  <c r="W35" i="24"/>
  <c r="X35" i="24"/>
  <c r="D35" i="24"/>
  <c r="AE35" i="24"/>
  <c r="AD35" i="24"/>
  <c r="AF35" i="24"/>
  <c r="AJ34" i="24"/>
  <c r="AI34" i="24"/>
  <c r="AG34" i="24"/>
  <c r="AH34" i="24"/>
  <c r="W34" i="24"/>
  <c r="X34" i="24"/>
  <c r="D34" i="24"/>
  <c r="AE34" i="24"/>
  <c r="AD34" i="24"/>
  <c r="AF34" i="24"/>
  <c r="AJ33" i="24"/>
  <c r="AI33" i="24"/>
  <c r="AG33" i="24"/>
  <c r="AH33" i="24"/>
  <c r="W33" i="24"/>
  <c r="X33" i="24"/>
  <c r="D33" i="24"/>
  <c r="AE33" i="24"/>
  <c r="AD33" i="24"/>
  <c r="AF33" i="24"/>
  <c r="AJ32" i="24"/>
  <c r="AI32" i="24"/>
  <c r="AG32" i="24"/>
  <c r="AH32" i="24"/>
  <c r="W32" i="24"/>
  <c r="X32" i="24"/>
  <c r="D32" i="24"/>
  <c r="AE32" i="24"/>
  <c r="AD32" i="24"/>
  <c r="AF32" i="24"/>
  <c r="AJ31" i="24"/>
  <c r="AI31" i="24"/>
  <c r="AG31" i="24"/>
  <c r="AH31" i="24"/>
  <c r="W31" i="24"/>
  <c r="X31" i="24"/>
  <c r="D31" i="24"/>
  <c r="AE31" i="24"/>
  <c r="AD31" i="24"/>
  <c r="AF31" i="24"/>
  <c r="AJ30" i="24"/>
  <c r="AI30" i="24"/>
  <c r="AG30" i="24"/>
  <c r="AH30" i="24"/>
  <c r="W30" i="24"/>
  <c r="X30" i="24"/>
  <c r="D30" i="24"/>
  <c r="AE30" i="24"/>
  <c r="AD30" i="24"/>
  <c r="AF30" i="24"/>
  <c r="AJ29" i="24"/>
  <c r="AI29" i="24"/>
  <c r="AG29" i="24"/>
  <c r="AH29" i="24"/>
  <c r="W29" i="24"/>
  <c r="X29" i="24"/>
  <c r="D29" i="24"/>
  <c r="AE29" i="24"/>
  <c r="AD29" i="24"/>
  <c r="AF29" i="24"/>
  <c r="AJ28" i="24"/>
  <c r="AI28" i="24"/>
  <c r="AG28" i="24"/>
  <c r="AH28" i="24"/>
  <c r="W28" i="24"/>
  <c r="X28" i="24"/>
  <c r="D28" i="24"/>
  <c r="AE28" i="24"/>
  <c r="AD28" i="24"/>
  <c r="AF28" i="24"/>
  <c r="AJ27" i="24"/>
  <c r="AI27" i="24"/>
  <c r="AG27" i="24"/>
  <c r="AH27" i="24"/>
  <c r="W27" i="24"/>
  <c r="X27" i="24"/>
  <c r="D27" i="24"/>
  <c r="AE27" i="24"/>
  <c r="AD27" i="24"/>
  <c r="AF27" i="24"/>
  <c r="AJ26" i="24"/>
  <c r="AI26" i="24"/>
  <c r="AG26" i="24"/>
  <c r="AH26" i="24"/>
  <c r="W26" i="24"/>
  <c r="X26" i="24"/>
  <c r="D26" i="24"/>
  <c r="AE26" i="24"/>
  <c r="AD26" i="24"/>
  <c r="AF26" i="24"/>
  <c r="AJ25" i="24"/>
  <c r="AI25" i="24"/>
  <c r="AG25" i="24"/>
  <c r="AH25" i="24"/>
  <c r="W25" i="24"/>
  <c r="X25" i="24"/>
  <c r="D25" i="24"/>
  <c r="AE25" i="24"/>
  <c r="AD25" i="24"/>
  <c r="AF25" i="24"/>
  <c r="AJ24" i="24"/>
  <c r="AI24" i="24"/>
  <c r="AG24" i="24"/>
  <c r="AH24" i="24"/>
  <c r="W24" i="24"/>
  <c r="X24" i="24"/>
  <c r="D24" i="24"/>
  <c r="AE24" i="24"/>
  <c r="AD24" i="24"/>
  <c r="AF24" i="24"/>
  <c r="AJ23" i="24"/>
  <c r="AI23" i="24"/>
  <c r="AG23" i="24"/>
  <c r="AH23" i="24"/>
  <c r="W23" i="24"/>
  <c r="X23" i="24"/>
  <c r="D23" i="24"/>
  <c r="AE23" i="24"/>
  <c r="AD23" i="24"/>
  <c r="AF23" i="24"/>
  <c r="AJ22" i="24"/>
  <c r="AI22" i="24"/>
  <c r="AG22" i="24"/>
  <c r="AH22" i="24"/>
  <c r="W22" i="24"/>
  <c r="X22" i="24"/>
  <c r="D22" i="24"/>
  <c r="AE22" i="24"/>
  <c r="AD22" i="24"/>
  <c r="AF22" i="24"/>
  <c r="AJ21" i="24"/>
  <c r="AI21" i="24"/>
  <c r="AG21" i="24"/>
  <c r="AH21" i="24"/>
  <c r="W21" i="24"/>
  <c r="X21" i="24"/>
  <c r="D21" i="24"/>
  <c r="AE21" i="24"/>
  <c r="AD21" i="24"/>
  <c r="AF21" i="24"/>
  <c r="AJ20" i="24"/>
  <c r="AI20" i="24"/>
  <c r="AG20" i="24"/>
  <c r="AH20" i="24"/>
  <c r="W20" i="24"/>
  <c r="X20" i="24"/>
  <c r="D20" i="24"/>
  <c r="AE20" i="24"/>
  <c r="AD20" i="24"/>
  <c r="AF20" i="24"/>
  <c r="AJ19" i="24"/>
  <c r="AI19" i="24"/>
  <c r="AG19" i="24"/>
  <c r="AH19" i="24"/>
  <c r="W19" i="24"/>
  <c r="X19" i="24"/>
  <c r="D19" i="24"/>
  <c r="AE19" i="24"/>
  <c r="AD19" i="24"/>
  <c r="AF19" i="24"/>
  <c r="AJ18" i="24"/>
  <c r="AI18" i="24"/>
  <c r="AG18" i="24"/>
  <c r="AH18" i="24"/>
  <c r="W18" i="24"/>
  <c r="X18" i="24"/>
  <c r="D18" i="24"/>
  <c r="AE18" i="24"/>
  <c r="AD18" i="24"/>
  <c r="AF18" i="24"/>
  <c r="AJ17" i="24"/>
  <c r="AI17" i="24"/>
  <c r="AG17" i="24"/>
  <c r="AH17" i="24"/>
  <c r="W17" i="24"/>
  <c r="X17" i="24"/>
  <c r="D17" i="24"/>
  <c r="AE17" i="24"/>
  <c r="AD17" i="24"/>
  <c r="AF17" i="24"/>
  <c r="AJ16" i="24"/>
  <c r="AI16" i="24"/>
  <c r="AG16" i="24"/>
  <c r="AH16" i="24"/>
  <c r="W16" i="24"/>
  <c r="X16" i="24"/>
  <c r="D16" i="24"/>
  <c r="AE16" i="24"/>
  <c r="AD16" i="24"/>
  <c r="AF16" i="24"/>
  <c r="AJ15" i="24"/>
  <c r="AI15" i="24"/>
  <c r="AG15" i="24"/>
  <c r="AH15" i="24"/>
  <c r="W15" i="24"/>
  <c r="X15" i="24"/>
  <c r="D15" i="24"/>
  <c r="AE15" i="24"/>
  <c r="AD15" i="24"/>
  <c r="AF15" i="24"/>
  <c r="AJ14" i="24"/>
  <c r="AI14" i="24"/>
  <c r="AG14" i="24"/>
  <c r="AH14" i="24"/>
  <c r="W14" i="24"/>
  <c r="X14" i="24"/>
  <c r="D14" i="24"/>
  <c r="AE14" i="24"/>
  <c r="AD14" i="24"/>
  <c r="AF14" i="24"/>
  <c r="AJ13" i="24"/>
  <c r="AI13" i="24"/>
  <c r="AG13" i="24"/>
  <c r="AH13" i="24"/>
  <c r="W13" i="24"/>
  <c r="X13" i="24"/>
  <c r="D13" i="24"/>
  <c r="AE13" i="24"/>
  <c r="AD13" i="24"/>
  <c r="AF13" i="24"/>
  <c r="AJ12" i="24"/>
  <c r="AI12" i="24"/>
  <c r="AG12" i="24"/>
  <c r="AH12" i="24"/>
  <c r="W12" i="24"/>
  <c r="X12" i="24"/>
  <c r="D12" i="24"/>
  <c r="AE12" i="24"/>
  <c r="AD12" i="24"/>
  <c r="AF12" i="24"/>
  <c r="AJ11" i="24"/>
  <c r="AI11" i="24"/>
  <c r="AG11" i="24"/>
  <c r="AH11" i="24"/>
  <c r="W11" i="24"/>
  <c r="X11" i="24"/>
  <c r="D11" i="24"/>
  <c r="AE11" i="24"/>
  <c r="AD11" i="24"/>
  <c r="AF11" i="24"/>
  <c r="AJ10" i="24"/>
  <c r="AI10" i="24"/>
  <c r="AG10" i="24"/>
  <c r="AH10" i="24"/>
  <c r="W10" i="24"/>
  <c r="X10" i="24"/>
  <c r="D10" i="24"/>
  <c r="AE10" i="24"/>
  <c r="AD10" i="24"/>
  <c r="AF10" i="24"/>
  <c r="AJ9" i="24"/>
  <c r="AI9" i="24"/>
  <c r="AG9" i="24"/>
  <c r="AH9" i="24"/>
  <c r="W9" i="24"/>
  <c r="X9" i="24"/>
  <c r="D9" i="24"/>
  <c r="AE9" i="24"/>
  <c r="AD9" i="24"/>
  <c r="AF9" i="24"/>
  <c r="AJ8" i="24"/>
  <c r="AI8" i="24"/>
  <c r="AG8" i="24"/>
  <c r="AH8" i="24"/>
  <c r="W8" i="24"/>
  <c r="X8" i="24"/>
  <c r="D8" i="24"/>
  <c r="AE8" i="24"/>
  <c r="AD8" i="24"/>
  <c r="AF8" i="24"/>
  <c r="AJ37" i="23"/>
  <c r="AI37" i="23"/>
  <c r="AG37" i="23"/>
  <c r="AH37" i="23"/>
  <c r="W37" i="23"/>
  <c r="X37" i="23"/>
  <c r="AE37" i="23"/>
  <c r="AD37" i="23"/>
  <c r="AF37" i="23"/>
  <c r="AJ36" i="23"/>
  <c r="AI36" i="23"/>
  <c r="AG36" i="23"/>
  <c r="AH36" i="23"/>
  <c r="W36" i="23"/>
  <c r="X36" i="23"/>
  <c r="AE36" i="23"/>
  <c r="AD36" i="23"/>
  <c r="AF36" i="23"/>
  <c r="AJ35" i="23"/>
  <c r="AI35" i="23"/>
  <c r="AG35" i="23"/>
  <c r="AH35" i="23"/>
  <c r="W35" i="23"/>
  <c r="X35" i="23"/>
  <c r="AE35" i="23"/>
  <c r="AD35" i="23"/>
  <c r="AF35" i="23"/>
  <c r="AJ34" i="23"/>
  <c r="AI34" i="23"/>
  <c r="AG34" i="23"/>
  <c r="AH34" i="23"/>
  <c r="W34" i="23"/>
  <c r="X34" i="23"/>
  <c r="AE34" i="23"/>
  <c r="AD34" i="23"/>
  <c r="AF34" i="23"/>
  <c r="AJ33" i="23"/>
  <c r="AI33" i="23"/>
  <c r="AG33" i="23"/>
  <c r="AH33" i="23"/>
  <c r="W33" i="23"/>
  <c r="X33" i="23"/>
  <c r="AE33" i="23"/>
  <c r="AD33" i="23"/>
  <c r="AF33" i="23"/>
  <c r="AJ32" i="23"/>
  <c r="AI32" i="23"/>
  <c r="AG32" i="23"/>
  <c r="AH32" i="23"/>
  <c r="W32" i="23"/>
  <c r="X32" i="23"/>
  <c r="AE32" i="23"/>
  <c r="AD32" i="23"/>
  <c r="AF32" i="23"/>
  <c r="AJ31" i="23"/>
  <c r="AI31" i="23"/>
  <c r="AG31" i="23"/>
  <c r="AH31" i="23"/>
  <c r="W31" i="23"/>
  <c r="X31" i="23"/>
  <c r="AE31" i="23"/>
  <c r="AD31" i="23"/>
  <c r="AF31" i="23"/>
  <c r="AJ30" i="23"/>
  <c r="AI30" i="23"/>
  <c r="AG30" i="23"/>
  <c r="AH30" i="23"/>
  <c r="W30" i="23"/>
  <c r="X30" i="23"/>
  <c r="AE30" i="23"/>
  <c r="AD30" i="23"/>
  <c r="AF30" i="23"/>
  <c r="AJ29" i="23"/>
  <c r="AI29" i="23"/>
  <c r="AG29" i="23"/>
  <c r="AH29" i="23"/>
  <c r="W29" i="23"/>
  <c r="X29" i="23"/>
  <c r="AE29" i="23"/>
  <c r="AD29" i="23"/>
  <c r="AF29" i="23"/>
  <c r="AJ28" i="23"/>
  <c r="AI28" i="23"/>
  <c r="AG28" i="23"/>
  <c r="AH28" i="23"/>
  <c r="W28" i="23"/>
  <c r="X28" i="23"/>
  <c r="AE28" i="23"/>
  <c r="AD28" i="23"/>
  <c r="AF28" i="23"/>
  <c r="AJ27" i="23"/>
  <c r="AI27" i="23"/>
  <c r="AG27" i="23"/>
  <c r="AH27" i="23"/>
  <c r="W27" i="23"/>
  <c r="X27" i="23"/>
  <c r="AE27" i="23"/>
  <c r="AD27" i="23"/>
  <c r="AF27" i="23"/>
  <c r="AJ26" i="23"/>
  <c r="AI26" i="23"/>
  <c r="AG26" i="23"/>
  <c r="AH26" i="23"/>
  <c r="W26" i="23"/>
  <c r="X26" i="23"/>
  <c r="AE26" i="23"/>
  <c r="AD26" i="23"/>
  <c r="AF26" i="23"/>
  <c r="AJ25" i="23"/>
  <c r="AI25" i="23"/>
  <c r="AG25" i="23"/>
  <c r="AH25" i="23"/>
  <c r="W25" i="23"/>
  <c r="X25" i="23"/>
  <c r="AE25" i="23"/>
  <c r="AD25" i="23"/>
  <c r="AF25" i="23"/>
  <c r="AJ24" i="23"/>
  <c r="AI24" i="23"/>
  <c r="AG24" i="23"/>
  <c r="AH24" i="23"/>
  <c r="W24" i="23"/>
  <c r="X24" i="23"/>
  <c r="AE24" i="23"/>
  <c r="AD24" i="23"/>
  <c r="AF24" i="23"/>
  <c r="AJ23" i="23"/>
  <c r="AI23" i="23"/>
  <c r="AG23" i="23"/>
  <c r="AH23" i="23"/>
  <c r="W23" i="23"/>
  <c r="X23" i="23"/>
  <c r="AE23" i="23"/>
  <c r="AD23" i="23"/>
  <c r="AF23" i="23"/>
  <c r="AJ22" i="23"/>
  <c r="AI22" i="23"/>
  <c r="AG22" i="23"/>
  <c r="AH22" i="23"/>
  <c r="W22" i="23"/>
  <c r="X22" i="23"/>
  <c r="AE22" i="23"/>
  <c r="AD22" i="23"/>
  <c r="AF22" i="23"/>
  <c r="AJ21" i="23"/>
  <c r="AI21" i="23"/>
  <c r="AG21" i="23"/>
  <c r="AH21" i="23"/>
  <c r="W21" i="23"/>
  <c r="X21" i="23"/>
  <c r="AE21" i="23"/>
  <c r="AD21" i="23"/>
  <c r="AF21" i="23"/>
  <c r="AJ20" i="23"/>
  <c r="AI20" i="23"/>
  <c r="AG20" i="23"/>
  <c r="AH20" i="23"/>
  <c r="W20" i="23"/>
  <c r="X20" i="23"/>
  <c r="AE20" i="23"/>
  <c r="AD20" i="23"/>
  <c r="AF20" i="23"/>
  <c r="AJ19" i="23"/>
  <c r="AI19" i="23"/>
  <c r="AG19" i="23"/>
  <c r="AH19" i="23"/>
  <c r="W19" i="23"/>
  <c r="X19" i="23"/>
  <c r="AE19" i="23"/>
  <c r="AD19" i="23"/>
  <c r="AF19" i="23"/>
  <c r="AJ18" i="23"/>
  <c r="AI18" i="23"/>
  <c r="AG18" i="23"/>
  <c r="AH18" i="23"/>
  <c r="W18" i="23"/>
  <c r="X18" i="23"/>
  <c r="AE18" i="23"/>
  <c r="AD18" i="23"/>
  <c r="AF18" i="23"/>
  <c r="AJ17" i="23"/>
  <c r="AI17" i="23"/>
  <c r="AG17" i="23"/>
  <c r="AH17" i="23"/>
  <c r="W17" i="23"/>
  <c r="X17" i="23"/>
  <c r="AE17" i="23"/>
  <c r="AD17" i="23"/>
  <c r="AF17" i="23"/>
  <c r="AJ16" i="23"/>
  <c r="AI16" i="23"/>
  <c r="AG16" i="23"/>
  <c r="AH16" i="23"/>
  <c r="W16" i="23"/>
  <c r="X16" i="23"/>
  <c r="AE16" i="23"/>
  <c r="AD16" i="23"/>
  <c r="AF16" i="23"/>
  <c r="AJ15" i="23"/>
  <c r="AI15" i="23"/>
  <c r="AG15" i="23"/>
  <c r="AH15" i="23"/>
  <c r="W15" i="23"/>
  <c r="X15" i="23"/>
  <c r="AE15" i="23"/>
  <c r="AD15" i="23"/>
  <c r="AF15" i="23"/>
  <c r="AJ14" i="23"/>
  <c r="AI14" i="23"/>
  <c r="AG14" i="23"/>
  <c r="AH14" i="23"/>
  <c r="W14" i="23"/>
  <c r="X14" i="23"/>
  <c r="AE14" i="23"/>
  <c r="AD14" i="23"/>
  <c r="AF14" i="23"/>
  <c r="AJ13" i="23"/>
  <c r="AI13" i="23"/>
  <c r="AG13" i="23"/>
  <c r="AH13" i="23"/>
  <c r="W13" i="23"/>
  <c r="X13" i="23"/>
  <c r="AE13" i="23"/>
  <c r="AD13" i="23"/>
  <c r="AF13" i="23"/>
  <c r="AJ12" i="23"/>
  <c r="AI12" i="23"/>
  <c r="AG12" i="23"/>
  <c r="AH12" i="23"/>
  <c r="W12" i="23"/>
  <c r="X12" i="23"/>
  <c r="AE12" i="23"/>
  <c r="AD12" i="23"/>
  <c r="AF12" i="23"/>
  <c r="AJ11" i="23"/>
  <c r="AI11" i="23"/>
  <c r="AG11" i="23"/>
  <c r="AH11" i="23"/>
  <c r="W11" i="23"/>
  <c r="X11" i="23"/>
  <c r="AE11" i="23"/>
  <c r="AD11" i="23"/>
  <c r="AF11" i="23"/>
  <c r="AJ10" i="23"/>
  <c r="AI10" i="23"/>
  <c r="AG10" i="23"/>
  <c r="AH10" i="23"/>
  <c r="W10" i="23"/>
  <c r="X10" i="23"/>
  <c r="AD10" i="23"/>
  <c r="AF10" i="23"/>
  <c r="AJ9" i="23"/>
  <c r="AI9" i="23"/>
  <c r="AG9" i="23"/>
  <c r="AH9" i="23"/>
  <c r="W9" i="23"/>
  <c r="X9" i="23"/>
  <c r="AE9" i="23"/>
  <c r="AD9" i="23"/>
  <c r="AF9" i="23"/>
  <c r="AG8" i="23"/>
  <c r="AH8" i="23"/>
  <c r="W8" i="23"/>
  <c r="X8" i="23"/>
  <c r="AE8" i="23"/>
  <c r="AD8" i="23"/>
  <c r="AF8" i="23"/>
  <c r="AI38" i="22"/>
  <c r="AF38" i="22"/>
  <c r="AJ37" i="22"/>
  <c r="AI37" i="22"/>
  <c r="AG37" i="22"/>
  <c r="AH37" i="22"/>
  <c r="W37" i="22"/>
  <c r="X37" i="22"/>
  <c r="D37" i="22"/>
  <c r="AE37" i="22"/>
  <c r="AD37" i="22"/>
  <c r="AF37" i="22"/>
  <c r="AJ36" i="22"/>
  <c r="AI36" i="22"/>
  <c r="AG36" i="22"/>
  <c r="AH36" i="22"/>
  <c r="W36" i="22"/>
  <c r="X36" i="22"/>
  <c r="D36" i="22"/>
  <c r="AE36" i="22"/>
  <c r="AD36" i="22"/>
  <c r="AF36" i="22"/>
  <c r="AJ35" i="22"/>
  <c r="AI35" i="22"/>
  <c r="AG35" i="22"/>
  <c r="AH35" i="22"/>
  <c r="W35" i="22"/>
  <c r="X35" i="22"/>
  <c r="D35" i="22"/>
  <c r="AE35" i="22"/>
  <c r="AD35" i="22"/>
  <c r="AF35" i="22"/>
  <c r="AJ34" i="22"/>
  <c r="AI34" i="22"/>
  <c r="AG34" i="22"/>
  <c r="AH34" i="22"/>
  <c r="W34" i="22"/>
  <c r="X34" i="22"/>
  <c r="D34" i="22"/>
  <c r="AE34" i="22"/>
  <c r="AD34" i="22"/>
  <c r="AF34" i="22"/>
  <c r="AJ33" i="22"/>
  <c r="AI33" i="22"/>
  <c r="AG33" i="22"/>
  <c r="AH33" i="22"/>
  <c r="W33" i="22"/>
  <c r="X33" i="22"/>
  <c r="D33" i="22"/>
  <c r="AE33" i="22"/>
  <c r="AD33" i="22"/>
  <c r="AF33" i="22"/>
  <c r="AJ32" i="22"/>
  <c r="AI32" i="22"/>
  <c r="AG32" i="22"/>
  <c r="AH32" i="22"/>
  <c r="W32" i="22"/>
  <c r="X32" i="22"/>
  <c r="D32" i="22"/>
  <c r="AE32" i="22"/>
  <c r="AD32" i="22"/>
  <c r="AF32" i="22"/>
  <c r="AJ31" i="22"/>
  <c r="AI31" i="22"/>
  <c r="AG31" i="22"/>
  <c r="AH31" i="22"/>
  <c r="W31" i="22"/>
  <c r="X31" i="22"/>
  <c r="D31" i="22"/>
  <c r="AE31" i="22"/>
  <c r="AD31" i="22"/>
  <c r="AF31" i="22"/>
  <c r="AJ30" i="22"/>
  <c r="AI30" i="22"/>
  <c r="AG30" i="22"/>
  <c r="AH30" i="22"/>
  <c r="W30" i="22"/>
  <c r="X30" i="22"/>
  <c r="D30" i="22"/>
  <c r="AE30" i="22"/>
  <c r="AD30" i="22"/>
  <c r="AF30" i="22"/>
  <c r="AJ29" i="22"/>
  <c r="AI29" i="22"/>
  <c r="AG29" i="22"/>
  <c r="AH29" i="22"/>
  <c r="W29" i="22"/>
  <c r="X29" i="22"/>
  <c r="D29" i="22"/>
  <c r="AE29" i="22"/>
  <c r="AD29" i="22"/>
  <c r="AF29" i="22"/>
  <c r="AJ28" i="22"/>
  <c r="AI28" i="22"/>
  <c r="AG28" i="22"/>
  <c r="AH28" i="22"/>
  <c r="W28" i="22"/>
  <c r="X28" i="22"/>
  <c r="D28" i="22"/>
  <c r="AE28" i="22"/>
  <c r="AD28" i="22"/>
  <c r="AF28" i="22"/>
  <c r="AJ27" i="22"/>
  <c r="AI27" i="22"/>
  <c r="AG27" i="22"/>
  <c r="AH27" i="22"/>
  <c r="W27" i="22"/>
  <c r="X27" i="22"/>
  <c r="D27" i="22"/>
  <c r="AE27" i="22"/>
  <c r="AD27" i="22"/>
  <c r="AF27" i="22"/>
  <c r="AJ26" i="22"/>
  <c r="AI26" i="22"/>
  <c r="AG26" i="22"/>
  <c r="AH26" i="22"/>
  <c r="W26" i="22"/>
  <c r="X26" i="22"/>
  <c r="D26" i="22"/>
  <c r="AE26" i="22"/>
  <c r="AD26" i="22"/>
  <c r="AF26" i="22"/>
  <c r="AJ25" i="22"/>
  <c r="AI25" i="22"/>
  <c r="AG25" i="22"/>
  <c r="AH25" i="22"/>
  <c r="W25" i="22"/>
  <c r="X25" i="22"/>
  <c r="D25" i="22"/>
  <c r="AE25" i="22"/>
  <c r="AD25" i="22"/>
  <c r="AF25" i="22"/>
  <c r="AJ24" i="22"/>
  <c r="AI24" i="22"/>
  <c r="AG24" i="22"/>
  <c r="AH24" i="22"/>
  <c r="W24" i="22"/>
  <c r="X24" i="22"/>
  <c r="D24" i="22"/>
  <c r="AE24" i="22"/>
  <c r="AD24" i="22"/>
  <c r="AF24" i="22"/>
  <c r="AJ23" i="22"/>
  <c r="AI23" i="22"/>
  <c r="AG23" i="22"/>
  <c r="AH23" i="22"/>
  <c r="W23" i="22"/>
  <c r="X23" i="22"/>
  <c r="D23" i="22"/>
  <c r="AE23" i="22"/>
  <c r="AD23" i="22"/>
  <c r="AF23" i="22"/>
  <c r="AJ22" i="22"/>
  <c r="AI22" i="22"/>
  <c r="AG22" i="22"/>
  <c r="AH22" i="22"/>
  <c r="W22" i="22"/>
  <c r="X22" i="22"/>
  <c r="D22" i="22"/>
  <c r="AE22" i="22"/>
  <c r="AD22" i="22"/>
  <c r="AF22" i="22"/>
  <c r="AJ21" i="22"/>
  <c r="AI21" i="22"/>
  <c r="AG21" i="22"/>
  <c r="AH21" i="22"/>
  <c r="W21" i="22"/>
  <c r="X21" i="22"/>
  <c r="D21" i="22"/>
  <c r="AE21" i="22"/>
  <c r="AD21" i="22"/>
  <c r="AF21" i="22"/>
  <c r="AJ20" i="22"/>
  <c r="AI20" i="22"/>
  <c r="AG20" i="22"/>
  <c r="AH20" i="22"/>
  <c r="W20" i="22"/>
  <c r="X20" i="22"/>
  <c r="D20" i="22"/>
  <c r="AE20" i="22"/>
  <c r="AD20" i="22"/>
  <c r="AF20" i="22"/>
  <c r="AJ19" i="22"/>
  <c r="AI19" i="22"/>
  <c r="AG19" i="22"/>
  <c r="AH19" i="22"/>
  <c r="W19" i="22"/>
  <c r="X19" i="22"/>
  <c r="D19" i="22"/>
  <c r="AE19" i="22"/>
  <c r="AD19" i="22"/>
  <c r="AF19" i="22"/>
  <c r="AJ18" i="22"/>
  <c r="AI18" i="22"/>
  <c r="AG18" i="22"/>
  <c r="AH18" i="22"/>
  <c r="W18" i="22"/>
  <c r="X18" i="22"/>
  <c r="D18" i="22"/>
  <c r="AE18" i="22"/>
  <c r="AD18" i="22"/>
  <c r="AF18" i="22"/>
  <c r="AJ17" i="22"/>
  <c r="AI17" i="22"/>
  <c r="AG17" i="22"/>
  <c r="AH17" i="22"/>
  <c r="W17" i="22"/>
  <c r="X17" i="22"/>
  <c r="D17" i="22"/>
  <c r="AE17" i="22"/>
  <c r="AD17" i="22"/>
  <c r="AF17" i="22"/>
  <c r="AJ16" i="22"/>
  <c r="AI16" i="22"/>
  <c r="AG16" i="22"/>
  <c r="AH16" i="22"/>
  <c r="W16" i="22"/>
  <c r="X16" i="22"/>
  <c r="D16" i="22"/>
  <c r="AE16" i="22"/>
  <c r="AD16" i="22"/>
  <c r="AF16" i="22"/>
  <c r="AJ15" i="22"/>
  <c r="AI15" i="22"/>
  <c r="AG15" i="22"/>
  <c r="AH15" i="22"/>
  <c r="W15" i="22"/>
  <c r="X15" i="22"/>
  <c r="D15" i="22"/>
  <c r="AE15" i="22"/>
  <c r="AD15" i="22"/>
  <c r="AF15" i="22"/>
  <c r="AJ14" i="22"/>
  <c r="AI14" i="22"/>
  <c r="AG14" i="22"/>
  <c r="AH14" i="22"/>
  <c r="W14" i="22"/>
  <c r="X14" i="22"/>
  <c r="D14" i="22"/>
  <c r="AE14" i="22"/>
  <c r="AD14" i="22"/>
  <c r="AF14" i="22"/>
  <c r="AJ13" i="22"/>
  <c r="AI13" i="22"/>
  <c r="AG13" i="22"/>
  <c r="AH13" i="22"/>
  <c r="W13" i="22"/>
  <c r="X13" i="22"/>
  <c r="D13" i="22"/>
  <c r="AE13" i="22"/>
  <c r="AD13" i="22"/>
  <c r="AF13" i="22"/>
  <c r="AJ12" i="22"/>
  <c r="AI12" i="22"/>
  <c r="AG12" i="22"/>
  <c r="AH12" i="22"/>
  <c r="W12" i="22"/>
  <c r="X12" i="22"/>
  <c r="D12" i="22"/>
  <c r="AE12" i="22"/>
  <c r="AD12" i="22"/>
  <c r="AF12" i="22"/>
  <c r="AJ11" i="22"/>
  <c r="AI11" i="22"/>
  <c r="AG11" i="22"/>
  <c r="AH11" i="22"/>
  <c r="W11" i="22"/>
  <c r="X11" i="22"/>
  <c r="D11" i="22"/>
  <c r="AE11" i="22"/>
  <c r="AD11" i="22"/>
  <c r="AF11" i="22"/>
  <c r="AJ10" i="22"/>
  <c r="AI10" i="22"/>
  <c r="AG10" i="22"/>
  <c r="AH10" i="22"/>
  <c r="W10" i="22"/>
  <c r="X10" i="22"/>
  <c r="D10" i="22"/>
  <c r="AE10" i="22"/>
  <c r="AD10" i="22"/>
  <c r="AF10" i="22"/>
  <c r="AJ9" i="22"/>
  <c r="AI9" i="22"/>
  <c r="AG9" i="22"/>
  <c r="AH9" i="22"/>
  <c r="W9" i="22"/>
  <c r="X9" i="22"/>
  <c r="D9" i="22"/>
  <c r="AE9" i="22"/>
  <c r="AD9" i="22"/>
  <c r="AF9" i="22"/>
  <c r="AJ8" i="22"/>
  <c r="AI8" i="22"/>
  <c r="AG8" i="22"/>
  <c r="AH8" i="22"/>
  <c r="W8" i="22"/>
  <c r="X8" i="22"/>
  <c r="D8" i="22"/>
  <c r="AE8" i="22"/>
  <c r="AD8" i="22"/>
  <c r="AF8" i="22"/>
  <c r="AI38" i="21"/>
  <c r="AF38" i="21"/>
  <c r="AJ37" i="21"/>
  <c r="AI37" i="21"/>
  <c r="AG37" i="21"/>
  <c r="AH37" i="21"/>
  <c r="W37" i="21"/>
  <c r="X37" i="21"/>
  <c r="D37" i="21"/>
  <c r="AE37" i="21"/>
  <c r="AD37" i="21"/>
  <c r="AF37" i="21"/>
  <c r="AJ36" i="21"/>
  <c r="AI36" i="21"/>
  <c r="AG36" i="21"/>
  <c r="AH36" i="21"/>
  <c r="W36" i="21"/>
  <c r="X36" i="21"/>
  <c r="D36" i="21"/>
  <c r="AE36" i="21"/>
  <c r="AD36" i="21"/>
  <c r="AF36" i="21"/>
  <c r="AJ35" i="21"/>
  <c r="AI35" i="21"/>
  <c r="AG35" i="21"/>
  <c r="AH35" i="21"/>
  <c r="W35" i="21"/>
  <c r="X35" i="21"/>
  <c r="D35" i="21"/>
  <c r="AE35" i="21"/>
  <c r="AD35" i="21"/>
  <c r="AF35" i="21"/>
  <c r="AJ34" i="21"/>
  <c r="AI34" i="21"/>
  <c r="AG34" i="21"/>
  <c r="AH34" i="21"/>
  <c r="W34" i="21"/>
  <c r="X34" i="21"/>
  <c r="D34" i="21"/>
  <c r="AE34" i="21"/>
  <c r="AD34" i="21"/>
  <c r="AF34" i="21"/>
  <c r="AJ33" i="21"/>
  <c r="AI33" i="21"/>
  <c r="AG33" i="21"/>
  <c r="AH33" i="21"/>
  <c r="W33" i="21"/>
  <c r="X33" i="21"/>
  <c r="D33" i="21"/>
  <c r="AE33" i="21"/>
  <c r="AD33" i="21"/>
  <c r="AF33" i="21"/>
  <c r="AJ32" i="21"/>
  <c r="AI32" i="21"/>
  <c r="AG32" i="21"/>
  <c r="AH32" i="21"/>
  <c r="W32" i="21"/>
  <c r="X32" i="21"/>
  <c r="D32" i="21"/>
  <c r="AE32" i="21"/>
  <c r="AD32" i="21"/>
  <c r="AF32" i="21"/>
  <c r="AJ31" i="21"/>
  <c r="AI31" i="21"/>
  <c r="AG31" i="21"/>
  <c r="AH31" i="21"/>
  <c r="W31" i="21"/>
  <c r="X31" i="21"/>
  <c r="D31" i="21"/>
  <c r="AE31" i="21"/>
  <c r="AD31" i="21"/>
  <c r="AF31" i="21"/>
  <c r="AJ30" i="21"/>
  <c r="AI30" i="21"/>
  <c r="AG30" i="21"/>
  <c r="AH30" i="21"/>
  <c r="W30" i="21"/>
  <c r="X30" i="21"/>
  <c r="D30" i="21"/>
  <c r="AE30" i="21"/>
  <c r="AD30" i="21"/>
  <c r="AF30" i="21"/>
  <c r="AJ29" i="21"/>
  <c r="AI29" i="21"/>
  <c r="AG29" i="21"/>
  <c r="AH29" i="21"/>
  <c r="W29" i="21"/>
  <c r="X29" i="21"/>
  <c r="D29" i="21"/>
  <c r="AE29" i="21"/>
  <c r="AD29" i="21"/>
  <c r="AF29" i="21"/>
  <c r="AJ28" i="21"/>
  <c r="AI28" i="21"/>
  <c r="AG28" i="21"/>
  <c r="AH28" i="21"/>
  <c r="W28" i="21"/>
  <c r="X28" i="21"/>
  <c r="D28" i="21"/>
  <c r="AE28" i="21"/>
  <c r="AD28" i="21"/>
  <c r="AF28" i="21"/>
  <c r="AJ27" i="21"/>
  <c r="AI27" i="21"/>
  <c r="AG27" i="21"/>
  <c r="AH27" i="21"/>
  <c r="W27" i="21"/>
  <c r="X27" i="21"/>
  <c r="D27" i="21"/>
  <c r="AE27" i="21"/>
  <c r="AD27" i="21"/>
  <c r="AF27" i="21"/>
  <c r="AJ26" i="21"/>
  <c r="AI26" i="21"/>
  <c r="AG26" i="21"/>
  <c r="AH26" i="21"/>
  <c r="W26" i="21"/>
  <c r="X26" i="21"/>
  <c r="D26" i="21"/>
  <c r="AE26" i="21"/>
  <c r="AD26" i="21"/>
  <c r="AF26" i="21"/>
  <c r="AJ25" i="21"/>
  <c r="AI25" i="21"/>
  <c r="AG25" i="21"/>
  <c r="AH25" i="21"/>
  <c r="W25" i="21"/>
  <c r="X25" i="21"/>
  <c r="D25" i="21"/>
  <c r="AE25" i="21"/>
  <c r="AD25" i="21"/>
  <c r="AF25" i="21"/>
  <c r="AJ24" i="21"/>
  <c r="AI24" i="21"/>
  <c r="AG24" i="21"/>
  <c r="AH24" i="21"/>
  <c r="W24" i="21"/>
  <c r="X24" i="21"/>
  <c r="D24" i="21"/>
  <c r="AE24" i="21"/>
  <c r="AD24" i="21"/>
  <c r="AF24" i="21"/>
  <c r="AJ23" i="21"/>
  <c r="AI23" i="21"/>
  <c r="AG23" i="21"/>
  <c r="AH23" i="21"/>
  <c r="W23" i="21"/>
  <c r="X23" i="21"/>
  <c r="D23" i="21"/>
  <c r="AE23" i="21"/>
  <c r="AD23" i="21"/>
  <c r="AF23" i="21"/>
  <c r="AJ22" i="21"/>
  <c r="AI22" i="21"/>
  <c r="AG22" i="21"/>
  <c r="AH22" i="21"/>
  <c r="W22" i="21"/>
  <c r="X22" i="21"/>
  <c r="D22" i="21"/>
  <c r="AE22" i="21"/>
  <c r="AD22" i="21"/>
  <c r="AF22" i="21"/>
  <c r="AJ21" i="21"/>
  <c r="AI21" i="21"/>
  <c r="AG21" i="21"/>
  <c r="AH21" i="21"/>
  <c r="W21" i="21"/>
  <c r="X21" i="21"/>
  <c r="D21" i="21"/>
  <c r="AE21" i="21"/>
  <c r="AD21" i="21"/>
  <c r="AF21" i="21"/>
  <c r="AJ20" i="21"/>
  <c r="AI20" i="21"/>
  <c r="AG20" i="21"/>
  <c r="AH20" i="21"/>
  <c r="W20" i="21"/>
  <c r="X20" i="21"/>
  <c r="D20" i="21"/>
  <c r="AE20" i="21"/>
  <c r="AD20" i="21"/>
  <c r="AF20" i="21"/>
  <c r="AJ19" i="21"/>
  <c r="AI19" i="21"/>
  <c r="AG19" i="21"/>
  <c r="AH19" i="21"/>
  <c r="W19" i="21"/>
  <c r="X19" i="21"/>
  <c r="D19" i="21"/>
  <c r="AE19" i="21"/>
  <c r="AD19" i="21"/>
  <c r="AF19" i="21"/>
  <c r="AJ18" i="21"/>
  <c r="AI18" i="21"/>
  <c r="AG18" i="21"/>
  <c r="AH18" i="21"/>
  <c r="W18" i="21"/>
  <c r="X18" i="21"/>
  <c r="D18" i="21"/>
  <c r="AE18" i="21"/>
  <c r="AD18" i="21"/>
  <c r="AF18" i="21"/>
  <c r="AJ17" i="21"/>
  <c r="AI17" i="21"/>
  <c r="AG17" i="21"/>
  <c r="AH17" i="21"/>
  <c r="W17" i="21"/>
  <c r="X17" i="21"/>
  <c r="D17" i="21"/>
  <c r="AE17" i="21"/>
  <c r="AD17" i="21"/>
  <c r="AF17" i="21"/>
  <c r="AJ16" i="21"/>
  <c r="AI16" i="21"/>
  <c r="AG16" i="21"/>
  <c r="AH16" i="21"/>
  <c r="W16" i="21"/>
  <c r="X16" i="21"/>
  <c r="D16" i="21"/>
  <c r="AE16" i="21"/>
  <c r="AD16" i="21"/>
  <c r="AF16" i="21"/>
  <c r="AJ15" i="21"/>
  <c r="AI15" i="21"/>
  <c r="AG15" i="21"/>
  <c r="AH15" i="21"/>
  <c r="W15" i="21"/>
  <c r="X15" i="21"/>
  <c r="D15" i="21"/>
  <c r="AE15" i="21"/>
  <c r="AD15" i="21"/>
  <c r="AF15" i="21"/>
  <c r="AJ14" i="21"/>
  <c r="AI14" i="21"/>
  <c r="AG14" i="21"/>
  <c r="AH14" i="21"/>
  <c r="W14" i="21"/>
  <c r="X14" i="21"/>
  <c r="D14" i="21"/>
  <c r="AE14" i="21"/>
  <c r="AD14" i="21"/>
  <c r="AF14" i="21"/>
  <c r="AJ13" i="21"/>
  <c r="AI13" i="21"/>
  <c r="AG13" i="21"/>
  <c r="AH13" i="21"/>
  <c r="W13" i="21"/>
  <c r="X13" i="21"/>
  <c r="D13" i="21"/>
  <c r="AE13" i="21"/>
  <c r="AD13" i="21"/>
  <c r="AF13" i="21"/>
  <c r="AJ12" i="21"/>
  <c r="AI12" i="21"/>
  <c r="AG12" i="21"/>
  <c r="AH12" i="21"/>
  <c r="W12" i="21"/>
  <c r="X12" i="21"/>
  <c r="D12" i="21"/>
  <c r="AE12" i="21"/>
  <c r="AD12" i="21"/>
  <c r="AF12" i="21"/>
  <c r="AJ11" i="21"/>
  <c r="AI11" i="21"/>
  <c r="AG11" i="21"/>
  <c r="AH11" i="21"/>
  <c r="W11" i="21"/>
  <c r="X11" i="21"/>
  <c r="D11" i="21"/>
  <c r="AE11" i="21"/>
  <c r="AD11" i="21"/>
  <c r="AF11" i="21"/>
  <c r="AJ10" i="21"/>
  <c r="AI10" i="21"/>
  <c r="AG10" i="21"/>
  <c r="AH10" i="21"/>
  <c r="W10" i="21"/>
  <c r="X10" i="21"/>
  <c r="D10" i="21"/>
  <c r="AE10" i="21"/>
  <c r="AD10" i="21"/>
  <c r="AF10" i="21"/>
  <c r="AJ9" i="21"/>
  <c r="AI9" i="21"/>
  <c r="AG9" i="21"/>
  <c r="AH9" i="21"/>
  <c r="W9" i="21"/>
  <c r="X9" i="21"/>
  <c r="D9" i="21"/>
  <c r="AE9" i="21"/>
  <c r="AD9" i="21"/>
  <c r="AF9" i="21"/>
  <c r="AJ8" i="21"/>
  <c r="AI8" i="21"/>
  <c r="AG8" i="21"/>
  <c r="AH8" i="21"/>
  <c r="W8" i="21"/>
  <c r="X8" i="21"/>
  <c r="D8" i="21"/>
  <c r="AE8" i="21"/>
  <c r="AD8" i="21"/>
  <c r="AF8" i="21"/>
  <c r="AI38" i="20"/>
  <c r="AF38" i="20"/>
  <c r="AJ37" i="20"/>
  <c r="AI37" i="20"/>
  <c r="AG37" i="20"/>
  <c r="AH37" i="20"/>
  <c r="W37" i="20"/>
  <c r="X37" i="20"/>
  <c r="D37" i="20"/>
  <c r="AE37" i="20"/>
  <c r="AD37" i="20"/>
  <c r="AF37" i="20"/>
  <c r="AJ36" i="20"/>
  <c r="AI36" i="20"/>
  <c r="AG36" i="20"/>
  <c r="AH36" i="20"/>
  <c r="W36" i="20"/>
  <c r="X36" i="20"/>
  <c r="D36" i="20"/>
  <c r="AE36" i="20"/>
  <c r="AD36" i="20"/>
  <c r="AF36" i="20"/>
  <c r="AJ35" i="20"/>
  <c r="AI35" i="20"/>
  <c r="AG35" i="20"/>
  <c r="AH35" i="20"/>
  <c r="W35" i="20"/>
  <c r="X35" i="20"/>
  <c r="D35" i="20"/>
  <c r="AE35" i="20"/>
  <c r="AD35" i="20"/>
  <c r="AF35" i="20"/>
  <c r="AJ34" i="20"/>
  <c r="AI34" i="20"/>
  <c r="AG34" i="20"/>
  <c r="AH34" i="20"/>
  <c r="W34" i="20"/>
  <c r="X34" i="20"/>
  <c r="D34" i="20"/>
  <c r="AE34" i="20"/>
  <c r="AD34" i="20"/>
  <c r="AF34" i="20"/>
  <c r="AJ33" i="20"/>
  <c r="AI33" i="20"/>
  <c r="AG33" i="20"/>
  <c r="AH33" i="20"/>
  <c r="W33" i="20"/>
  <c r="X33" i="20"/>
  <c r="D33" i="20"/>
  <c r="AE33" i="20"/>
  <c r="AD33" i="20"/>
  <c r="AF33" i="20"/>
  <c r="AJ32" i="20"/>
  <c r="AI32" i="20"/>
  <c r="AG32" i="20"/>
  <c r="AH32" i="20"/>
  <c r="W32" i="20"/>
  <c r="X32" i="20"/>
  <c r="D32" i="20"/>
  <c r="AE32" i="20"/>
  <c r="AD32" i="20"/>
  <c r="AF32" i="20"/>
  <c r="AJ31" i="20"/>
  <c r="AI31" i="20"/>
  <c r="AG31" i="20"/>
  <c r="AH31" i="20"/>
  <c r="W31" i="20"/>
  <c r="X31" i="20"/>
  <c r="D31" i="20"/>
  <c r="AE31" i="20"/>
  <c r="AD31" i="20"/>
  <c r="AF31" i="20"/>
  <c r="AJ30" i="20"/>
  <c r="AI30" i="20"/>
  <c r="AG30" i="20"/>
  <c r="AH30" i="20"/>
  <c r="W30" i="20"/>
  <c r="X30" i="20"/>
  <c r="D30" i="20"/>
  <c r="AE30" i="20"/>
  <c r="AD30" i="20"/>
  <c r="AF30" i="20"/>
  <c r="AJ29" i="20"/>
  <c r="AI29" i="20"/>
  <c r="AG29" i="20"/>
  <c r="AH29" i="20"/>
  <c r="W29" i="20"/>
  <c r="X29" i="20"/>
  <c r="D29" i="20"/>
  <c r="AE29" i="20"/>
  <c r="AD29" i="20"/>
  <c r="AF29" i="20"/>
  <c r="AJ28" i="20"/>
  <c r="AI28" i="20"/>
  <c r="AG28" i="20"/>
  <c r="AH28" i="20"/>
  <c r="W28" i="20"/>
  <c r="X28" i="20"/>
  <c r="D28" i="20"/>
  <c r="AE28" i="20"/>
  <c r="AD28" i="20"/>
  <c r="AF28" i="20"/>
  <c r="AJ27" i="20"/>
  <c r="AI27" i="20"/>
  <c r="AG27" i="20"/>
  <c r="AH27" i="20"/>
  <c r="W27" i="20"/>
  <c r="X27" i="20"/>
  <c r="D27" i="20"/>
  <c r="AE27" i="20"/>
  <c r="AD27" i="20"/>
  <c r="AF27" i="20"/>
  <c r="AJ26" i="20"/>
  <c r="AI26" i="20"/>
  <c r="AG26" i="20"/>
  <c r="AH26" i="20"/>
  <c r="W26" i="20"/>
  <c r="X26" i="20"/>
  <c r="D26" i="20"/>
  <c r="AE26" i="20"/>
  <c r="AD26" i="20"/>
  <c r="AF26" i="20"/>
  <c r="AJ25" i="20"/>
  <c r="AI25" i="20"/>
  <c r="AG25" i="20"/>
  <c r="AH25" i="20"/>
  <c r="W25" i="20"/>
  <c r="X25" i="20"/>
  <c r="D25" i="20"/>
  <c r="AE25" i="20"/>
  <c r="AD25" i="20"/>
  <c r="AF25" i="20"/>
  <c r="AJ24" i="20"/>
  <c r="AI24" i="20"/>
  <c r="AG24" i="20"/>
  <c r="AH24" i="20"/>
  <c r="W24" i="20"/>
  <c r="X24" i="20"/>
  <c r="D24" i="20"/>
  <c r="AE24" i="20"/>
  <c r="AD24" i="20"/>
  <c r="AF24" i="20"/>
  <c r="AJ23" i="20"/>
  <c r="AI23" i="20"/>
  <c r="AG23" i="20"/>
  <c r="AH23" i="20"/>
  <c r="W23" i="20"/>
  <c r="X23" i="20"/>
  <c r="D23" i="20"/>
  <c r="AE23" i="20"/>
  <c r="AD23" i="20"/>
  <c r="AF23" i="20"/>
  <c r="AJ22" i="20"/>
  <c r="AI22" i="20"/>
  <c r="AG22" i="20"/>
  <c r="AH22" i="20"/>
  <c r="W22" i="20"/>
  <c r="X22" i="20"/>
  <c r="D22" i="20"/>
  <c r="AE22" i="20"/>
  <c r="AD22" i="20"/>
  <c r="AF22" i="20"/>
  <c r="AJ21" i="20"/>
  <c r="AI21" i="20"/>
  <c r="AG21" i="20"/>
  <c r="AH21" i="20"/>
  <c r="W21" i="20"/>
  <c r="X21" i="20"/>
  <c r="D21" i="20"/>
  <c r="AE21" i="20"/>
  <c r="AD21" i="20"/>
  <c r="AF21" i="20"/>
  <c r="AJ20" i="20"/>
  <c r="AI20" i="20"/>
  <c r="AG20" i="20"/>
  <c r="AH20" i="20"/>
  <c r="W20" i="20"/>
  <c r="X20" i="20"/>
  <c r="D20" i="20"/>
  <c r="AE20" i="20"/>
  <c r="AD20" i="20"/>
  <c r="AF20" i="20"/>
  <c r="AJ19" i="20"/>
  <c r="AI19" i="20"/>
  <c r="AG19" i="20"/>
  <c r="AH19" i="20"/>
  <c r="W19" i="20"/>
  <c r="X19" i="20"/>
  <c r="D19" i="20"/>
  <c r="AE19" i="20"/>
  <c r="AD19" i="20"/>
  <c r="AF19" i="20"/>
  <c r="AJ18" i="20"/>
  <c r="AI18" i="20"/>
  <c r="AG18" i="20"/>
  <c r="AH18" i="20"/>
  <c r="W18" i="20"/>
  <c r="X18" i="20"/>
  <c r="D18" i="20"/>
  <c r="AE18" i="20"/>
  <c r="AD18" i="20"/>
  <c r="AF18" i="20"/>
  <c r="AJ17" i="20"/>
  <c r="AI17" i="20"/>
  <c r="AG17" i="20"/>
  <c r="AH17" i="20"/>
  <c r="W17" i="20"/>
  <c r="X17" i="20"/>
  <c r="D17" i="20"/>
  <c r="AE17" i="20"/>
  <c r="AD17" i="20"/>
  <c r="AF17" i="20"/>
  <c r="AJ16" i="20"/>
  <c r="AI16" i="20"/>
  <c r="AG16" i="20"/>
  <c r="AH16" i="20"/>
  <c r="W16" i="20"/>
  <c r="X16" i="20"/>
  <c r="D16" i="20"/>
  <c r="AE16" i="20"/>
  <c r="AD16" i="20"/>
  <c r="AF16" i="20"/>
  <c r="AJ15" i="20"/>
  <c r="AI15" i="20"/>
  <c r="AG15" i="20"/>
  <c r="AH15" i="20"/>
  <c r="W15" i="20"/>
  <c r="X15" i="20"/>
  <c r="D15" i="20"/>
  <c r="AE15" i="20"/>
  <c r="AD15" i="20"/>
  <c r="AF15" i="20"/>
  <c r="AJ14" i="20"/>
  <c r="AI14" i="20"/>
  <c r="AG14" i="20"/>
  <c r="AH14" i="20"/>
  <c r="W14" i="20"/>
  <c r="X14" i="20"/>
  <c r="D14" i="20"/>
  <c r="AE14" i="20"/>
  <c r="AD14" i="20"/>
  <c r="AF14" i="20"/>
  <c r="AJ13" i="20"/>
  <c r="AI13" i="20"/>
  <c r="AG13" i="20"/>
  <c r="AH13" i="20"/>
  <c r="W13" i="20"/>
  <c r="X13" i="20"/>
  <c r="D13" i="20"/>
  <c r="AE13" i="20"/>
  <c r="AD13" i="20"/>
  <c r="AF13" i="20"/>
  <c r="AJ12" i="20"/>
  <c r="AI12" i="20"/>
  <c r="AG12" i="20"/>
  <c r="AH12" i="20"/>
  <c r="W12" i="20"/>
  <c r="X12" i="20"/>
  <c r="D12" i="20"/>
  <c r="AE12" i="20"/>
  <c r="AD12" i="20"/>
  <c r="AF12" i="20"/>
  <c r="AJ11" i="20"/>
  <c r="AI11" i="20"/>
  <c r="AG11" i="20"/>
  <c r="AH11" i="20"/>
  <c r="W11" i="20"/>
  <c r="X11" i="20"/>
  <c r="D11" i="20"/>
  <c r="AE11" i="20"/>
  <c r="AD11" i="20"/>
  <c r="AF11" i="20"/>
  <c r="AJ10" i="20"/>
  <c r="AI10" i="20"/>
  <c r="AG10" i="20"/>
  <c r="AH10" i="20"/>
  <c r="W10" i="20"/>
  <c r="X10" i="20"/>
  <c r="D10" i="20"/>
  <c r="AE10" i="20"/>
  <c r="AD10" i="20"/>
  <c r="AF10" i="20"/>
  <c r="AJ9" i="20"/>
  <c r="AI9" i="20"/>
  <c r="AG9" i="20"/>
  <c r="AH9" i="20"/>
  <c r="W9" i="20"/>
  <c r="X9" i="20"/>
  <c r="D9" i="20"/>
  <c r="AE9" i="20"/>
  <c r="AD9" i="20"/>
  <c r="AF9" i="20"/>
  <c r="AJ8" i="20"/>
  <c r="AI8" i="20"/>
  <c r="AG8" i="20"/>
  <c r="AH8" i="20"/>
  <c r="W8" i="20"/>
  <c r="X8" i="20"/>
  <c r="D8" i="20"/>
  <c r="AE8" i="20"/>
  <c r="AD8" i="20"/>
  <c r="AF8" i="20"/>
  <c r="AI38" i="18"/>
  <c r="AF38" i="18"/>
  <c r="AJ37" i="18"/>
  <c r="AI37" i="18"/>
  <c r="AG37" i="18"/>
  <c r="AH37" i="18"/>
  <c r="AE37" i="18"/>
  <c r="AD37" i="18"/>
  <c r="AF37" i="18"/>
  <c r="AJ36" i="18"/>
  <c r="AI36" i="18"/>
  <c r="AG36" i="18"/>
  <c r="AH36" i="18"/>
  <c r="AE36" i="18"/>
  <c r="AD36" i="18"/>
  <c r="AF36" i="18"/>
  <c r="AJ35" i="18"/>
  <c r="AI35" i="18"/>
  <c r="AG35" i="18"/>
  <c r="AH35" i="18"/>
  <c r="AE35" i="18"/>
  <c r="AD35" i="18"/>
  <c r="AF35" i="18"/>
  <c r="AJ34" i="18"/>
  <c r="AI34" i="18"/>
  <c r="AG34" i="18"/>
  <c r="AH34" i="18"/>
  <c r="AE34" i="18"/>
  <c r="AD34" i="18"/>
  <c r="AF34" i="18"/>
  <c r="AJ33" i="18"/>
  <c r="AI33" i="18"/>
  <c r="AG33" i="18"/>
  <c r="AH33" i="18"/>
  <c r="AE33" i="18"/>
  <c r="AD33" i="18"/>
  <c r="AF33" i="18"/>
  <c r="AJ32" i="18"/>
  <c r="AI32" i="18"/>
  <c r="AG32" i="18"/>
  <c r="AH32" i="18"/>
  <c r="AE32" i="18"/>
  <c r="AD32" i="18"/>
  <c r="AF32" i="18"/>
  <c r="AJ31" i="18"/>
  <c r="AI31" i="18"/>
  <c r="AG31" i="18"/>
  <c r="AH31" i="18"/>
  <c r="AE31" i="18"/>
  <c r="AD31" i="18"/>
  <c r="AF31" i="18"/>
  <c r="AJ30" i="18"/>
  <c r="AI30" i="18"/>
  <c r="AG30" i="18"/>
  <c r="AH30" i="18"/>
  <c r="AE30" i="18"/>
  <c r="AD30" i="18"/>
  <c r="AF30" i="18"/>
  <c r="AJ29" i="18"/>
  <c r="AI29" i="18"/>
  <c r="AG29" i="18"/>
  <c r="AH29" i="18"/>
  <c r="AE29" i="18"/>
  <c r="AD29" i="18"/>
  <c r="AF29" i="18"/>
  <c r="AJ28" i="18"/>
  <c r="AI28" i="18"/>
  <c r="AG28" i="18"/>
  <c r="AH28" i="18"/>
  <c r="AE28" i="18"/>
  <c r="AD28" i="18"/>
  <c r="AF28" i="18"/>
  <c r="AJ27" i="18"/>
  <c r="AI27" i="18"/>
  <c r="AG27" i="18"/>
  <c r="AH27" i="18"/>
  <c r="AE27" i="18"/>
  <c r="AD27" i="18"/>
  <c r="AF27" i="18"/>
  <c r="AJ26" i="18"/>
  <c r="AI26" i="18"/>
  <c r="AG26" i="18"/>
  <c r="AH26" i="18"/>
  <c r="AE26" i="18"/>
  <c r="AD26" i="18"/>
  <c r="AF26" i="18"/>
  <c r="AJ25" i="18"/>
  <c r="AI25" i="18"/>
  <c r="AG25" i="18"/>
  <c r="AH25" i="18"/>
  <c r="AE25" i="18"/>
  <c r="AD25" i="18"/>
  <c r="AF25" i="18"/>
  <c r="AJ24" i="18"/>
  <c r="AI24" i="18"/>
  <c r="AG24" i="18"/>
  <c r="AH24" i="18"/>
  <c r="AE24" i="18"/>
  <c r="AD24" i="18"/>
  <c r="AF24" i="18"/>
  <c r="AJ23" i="18"/>
  <c r="AI23" i="18"/>
  <c r="AG23" i="18"/>
  <c r="AH23" i="18"/>
  <c r="AE23" i="18"/>
  <c r="AD23" i="18"/>
  <c r="AF23" i="18"/>
  <c r="AJ22" i="18"/>
  <c r="AI22" i="18"/>
  <c r="AG22" i="18"/>
  <c r="AH22" i="18"/>
  <c r="AE22" i="18"/>
  <c r="AD22" i="18"/>
  <c r="AF22" i="18"/>
  <c r="AJ21" i="18"/>
  <c r="AI21" i="18"/>
  <c r="AG21" i="18"/>
  <c r="AH21" i="18"/>
  <c r="AE21" i="18"/>
  <c r="AD21" i="18"/>
  <c r="AF21" i="18"/>
  <c r="AJ20" i="18"/>
  <c r="AI20" i="18"/>
  <c r="AG20" i="18"/>
  <c r="AH20" i="18"/>
  <c r="AE20" i="18"/>
  <c r="AD20" i="18"/>
  <c r="AF20" i="18"/>
  <c r="AJ19" i="18"/>
  <c r="AI19" i="18"/>
  <c r="AG19" i="18"/>
  <c r="AH19" i="18"/>
  <c r="AE19" i="18"/>
  <c r="AD19" i="18"/>
  <c r="AF19" i="18"/>
  <c r="AJ18" i="18"/>
  <c r="AI18" i="18"/>
  <c r="AG18" i="18"/>
  <c r="AH18" i="18"/>
  <c r="AE18" i="18"/>
  <c r="AD18" i="18"/>
  <c r="AF18" i="18"/>
  <c r="AJ17" i="18"/>
  <c r="AI17" i="18"/>
  <c r="AG17" i="18"/>
  <c r="AH17" i="18"/>
  <c r="AE17" i="18"/>
  <c r="AD17" i="18"/>
  <c r="AF17" i="18"/>
  <c r="AJ16" i="18"/>
  <c r="AI16" i="18"/>
  <c r="AG16" i="18"/>
  <c r="AH16" i="18"/>
  <c r="AE16" i="18"/>
  <c r="AD16" i="18"/>
  <c r="AF16" i="18"/>
  <c r="AJ15" i="18"/>
  <c r="AI15" i="18"/>
  <c r="AG15" i="18"/>
  <c r="AH15" i="18"/>
  <c r="AE15" i="18"/>
  <c r="AD15" i="18"/>
  <c r="AF15" i="18"/>
  <c r="AJ14" i="18"/>
  <c r="AI14" i="18"/>
  <c r="AG14" i="18"/>
  <c r="AH14" i="18"/>
  <c r="AE14" i="18"/>
  <c r="AD14" i="18"/>
  <c r="AF14" i="18"/>
  <c r="AJ13" i="18"/>
  <c r="AI13" i="18"/>
  <c r="AG13" i="18"/>
  <c r="AH13" i="18"/>
  <c r="AE13" i="18"/>
  <c r="AD13" i="18"/>
  <c r="AF13" i="18"/>
  <c r="AJ12" i="18"/>
  <c r="AI12" i="18"/>
  <c r="AG12" i="18"/>
  <c r="AH12" i="18"/>
  <c r="AE12" i="18"/>
  <c r="AD12" i="18"/>
  <c r="AF12" i="18"/>
  <c r="AJ11" i="18"/>
  <c r="AI11" i="18"/>
  <c r="AG11" i="18"/>
  <c r="AH11" i="18"/>
  <c r="AE11" i="18"/>
  <c r="AD11" i="18"/>
  <c r="AF11" i="18"/>
  <c r="AJ10" i="18"/>
  <c r="AI10" i="18"/>
  <c r="AG10" i="18"/>
  <c r="AH10" i="18"/>
  <c r="AE10" i="18"/>
  <c r="AD10" i="18"/>
  <c r="AF10" i="18"/>
  <c r="AJ9" i="18"/>
  <c r="AI9" i="18"/>
  <c r="AG9" i="18"/>
  <c r="AH9" i="18"/>
  <c r="AE9" i="18"/>
  <c r="AD9" i="18"/>
  <c r="AF9" i="18"/>
  <c r="AJ8" i="18"/>
  <c r="AI8" i="18"/>
  <c r="AG8" i="18"/>
  <c r="AH8" i="18"/>
  <c r="AE8" i="18"/>
  <c r="AD8" i="18"/>
  <c r="AF8" i="18"/>
  <c r="AI38" i="17"/>
  <c r="AF38" i="17"/>
  <c r="AJ37" i="17"/>
  <c r="AI37" i="17"/>
  <c r="AG37" i="17"/>
  <c r="AH37" i="17"/>
  <c r="W37" i="17"/>
  <c r="X37" i="17"/>
  <c r="D37" i="17"/>
  <c r="AE37" i="17"/>
  <c r="AD37" i="17"/>
  <c r="AF37" i="17"/>
  <c r="AJ36" i="17"/>
  <c r="AI36" i="17"/>
  <c r="AG36" i="17"/>
  <c r="AH36" i="17"/>
  <c r="W36" i="17"/>
  <c r="X36" i="17"/>
  <c r="D36" i="17"/>
  <c r="AE36" i="17"/>
  <c r="AD36" i="17"/>
  <c r="AF36" i="17"/>
  <c r="AJ35" i="17"/>
  <c r="AI35" i="17"/>
  <c r="AG35" i="17"/>
  <c r="AH35" i="17"/>
  <c r="W35" i="17"/>
  <c r="X35" i="17"/>
  <c r="D35" i="17"/>
  <c r="AE35" i="17"/>
  <c r="AD35" i="17"/>
  <c r="AF35" i="17"/>
  <c r="AJ34" i="17"/>
  <c r="AI34" i="17"/>
  <c r="AG34" i="17"/>
  <c r="AH34" i="17"/>
  <c r="W34" i="17"/>
  <c r="X34" i="17"/>
  <c r="D34" i="17"/>
  <c r="AE34" i="17"/>
  <c r="AD34" i="17"/>
  <c r="AF34" i="17"/>
  <c r="AJ33" i="17"/>
  <c r="AI33" i="17"/>
  <c r="AG33" i="17"/>
  <c r="AH33" i="17"/>
  <c r="W33" i="17"/>
  <c r="X33" i="17"/>
  <c r="D33" i="17"/>
  <c r="AE33" i="17"/>
  <c r="AD33" i="17"/>
  <c r="AF33" i="17"/>
  <c r="AJ32" i="17"/>
  <c r="AI32" i="17"/>
  <c r="AG32" i="17"/>
  <c r="AH32" i="17"/>
  <c r="W32" i="17"/>
  <c r="X32" i="17"/>
  <c r="D32" i="17"/>
  <c r="AE32" i="17"/>
  <c r="AD32" i="17"/>
  <c r="AF32" i="17"/>
  <c r="AJ31" i="17"/>
  <c r="AI31" i="17"/>
  <c r="AG31" i="17"/>
  <c r="AH31" i="17"/>
  <c r="W31" i="17"/>
  <c r="X31" i="17"/>
  <c r="D31" i="17"/>
  <c r="AE31" i="17"/>
  <c r="AD31" i="17"/>
  <c r="AF31" i="17"/>
  <c r="AJ30" i="17"/>
  <c r="AI30" i="17"/>
  <c r="AG30" i="17"/>
  <c r="AH30" i="17"/>
  <c r="W30" i="17"/>
  <c r="X30" i="17"/>
  <c r="D30" i="17"/>
  <c r="AE30" i="17"/>
  <c r="AD30" i="17"/>
  <c r="AF30" i="17"/>
  <c r="AJ29" i="17"/>
  <c r="AI29" i="17"/>
  <c r="AG29" i="17"/>
  <c r="AH29" i="17"/>
  <c r="W29" i="17"/>
  <c r="X29" i="17"/>
  <c r="D29" i="17"/>
  <c r="AE29" i="17"/>
  <c r="AD29" i="17"/>
  <c r="AF29" i="17"/>
  <c r="AJ28" i="17"/>
  <c r="AI28" i="17"/>
  <c r="AG28" i="17"/>
  <c r="AH28" i="17"/>
  <c r="W28" i="17"/>
  <c r="X28" i="17"/>
  <c r="D28" i="17"/>
  <c r="AE28" i="17"/>
  <c r="AD28" i="17"/>
  <c r="AF28" i="17"/>
  <c r="AJ27" i="17"/>
  <c r="AI27" i="17"/>
  <c r="AG27" i="17"/>
  <c r="AH27" i="17"/>
  <c r="W27" i="17"/>
  <c r="X27" i="17"/>
  <c r="D27" i="17"/>
  <c r="AE27" i="17"/>
  <c r="AD27" i="17"/>
  <c r="AF27" i="17"/>
  <c r="AJ26" i="17"/>
  <c r="AI26" i="17"/>
  <c r="AG26" i="17"/>
  <c r="AH26" i="17"/>
  <c r="W26" i="17"/>
  <c r="X26" i="17"/>
  <c r="D26" i="17"/>
  <c r="AE26" i="17"/>
  <c r="AD26" i="17"/>
  <c r="AF26" i="17"/>
  <c r="AJ25" i="17"/>
  <c r="AI25" i="17"/>
  <c r="AG25" i="17"/>
  <c r="AH25" i="17"/>
  <c r="W25" i="17"/>
  <c r="X25" i="17"/>
  <c r="D25" i="17"/>
  <c r="AE25" i="17"/>
  <c r="AD25" i="17"/>
  <c r="AF25" i="17"/>
  <c r="AJ24" i="17"/>
  <c r="AI24" i="17"/>
  <c r="AG24" i="17"/>
  <c r="AH24" i="17"/>
  <c r="W24" i="17"/>
  <c r="X24" i="17"/>
  <c r="D24" i="17"/>
  <c r="AE24" i="17"/>
  <c r="AD24" i="17"/>
  <c r="AF24" i="17"/>
  <c r="AJ23" i="17"/>
  <c r="AI23" i="17"/>
  <c r="AG23" i="17"/>
  <c r="AH23" i="17"/>
  <c r="W23" i="17"/>
  <c r="X23" i="17"/>
  <c r="D23" i="17"/>
  <c r="AE23" i="17"/>
  <c r="AD23" i="17"/>
  <c r="AF23" i="17"/>
  <c r="AJ22" i="17"/>
  <c r="AI22" i="17"/>
  <c r="AG22" i="17"/>
  <c r="AH22" i="17"/>
  <c r="W22" i="17"/>
  <c r="X22" i="17"/>
  <c r="D22" i="17"/>
  <c r="AE22" i="17"/>
  <c r="AD22" i="17"/>
  <c r="AF22" i="17"/>
  <c r="AJ21" i="17"/>
  <c r="AI21" i="17"/>
  <c r="AG21" i="17"/>
  <c r="AH21" i="17"/>
  <c r="W21" i="17"/>
  <c r="X21" i="17"/>
  <c r="D21" i="17"/>
  <c r="AE21" i="17"/>
  <c r="AD21" i="17"/>
  <c r="AF21" i="17"/>
  <c r="AJ20" i="17"/>
  <c r="AI20" i="17"/>
  <c r="AG20" i="17"/>
  <c r="AH20" i="17"/>
  <c r="W20" i="17"/>
  <c r="X20" i="17"/>
  <c r="D20" i="17"/>
  <c r="AE20" i="17"/>
  <c r="AD20" i="17"/>
  <c r="AF20" i="17"/>
  <c r="AJ19" i="17"/>
  <c r="AI19" i="17"/>
  <c r="AG19" i="17"/>
  <c r="AH19" i="17"/>
  <c r="W19" i="17"/>
  <c r="X19" i="17"/>
  <c r="D19" i="17"/>
  <c r="AE19" i="17"/>
  <c r="AD19" i="17"/>
  <c r="AF19" i="17"/>
  <c r="AJ18" i="17"/>
  <c r="AI18" i="17"/>
  <c r="AG18" i="17"/>
  <c r="AH18" i="17"/>
  <c r="W18" i="17"/>
  <c r="X18" i="17"/>
  <c r="D18" i="17"/>
  <c r="AE18" i="17"/>
  <c r="AD18" i="17"/>
  <c r="AF18" i="17"/>
  <c r="AJ17" i="17"/>
  <c r="AI17" i="17"/>
  <c r="AG17" i="17"/>
  <c r="AH17" i="17"/>
  <c r="W17" i="17"/>
  <c r="X17" i="17"/>
  <c r="D17" i="17"/>
  <c r="AE17" i="17"/>
  <c r="AD17" i="17"/>
  <c r="AF17" i="17"/>
  <c r="AJ16" i="17"/>
  <c r="AI16" i="17"/>
  <c r="AG16" i="17"/>
  <c r="AH16" i="17"/>
  <c r="W16" i="17"/>
  <c r="X16" i="17"/>
  <c r="D16" i="17"/>
  <c r="AE16" i="17"/>
  <c r="AD16" i="17"/>
  <c r="AF16" i="17"/>
  <c r="AJ15" i="17"/>
  <c r="AI15" i="17"/>
  <c r="AG15" i="17"/>
  <c r="AH15" i="17"/>
  <c r="W15" i="17"/>
  <c r="X15" i="17"/>
  <c r="D15" i="17"/>
  <c r="AE15" i="17"/>
  <c r="AD15" i="17"/>
  <c r="AF15" i="17"/>
  <c r="AJ14" i="17"/>
  <c r="AI14" i="17"/>
  <c r="AG14" i="17"/>
  <c r="AH14" i="17"/>
  <c r="W14" i="17"/>
  <c r="X14" i="17"/>
  <c r="D14" i="17"/>
  <c r="AE14" i="17"/>
  <c r="AD14" i="17"/>
  <c r="AF14" i="17"/>
  <c r="AJ13" i="17"/>
  <c r="AI13" i="17"/>
  <c r="AG13" i="17"/>
  <c r="AH13" i="17"/>
  <c r="W13" i="17"/>
  <c r="X13" i="17"/>
  <c r="D13" i="17"/>
  <c r="AE13" i="17"/>
  <c r="AD13" i="17"/>
  <c r="AF13" i="17"/>
  <c r="AJ12" i="17"/>
  <c r="AI12" i="17"/>
  <c r="AG12" i="17"/>
  <c r="AH12" i="17"/>
  <c r="W12" i="17"/>
  <c r="X12" i="17"/>
  <c r="D12" i="17"/>
  <c r="AE12" i="17"/>
  <c r="AD12" i="17"/>
  <c r="AF12" i="17"/>
  <c r="AJ11" i="17"/>
  <c r="AI11" i="17"/>
  <c r="AG11" i="17"/>
  <c r="AH11" i="17"/>
  <c r="W11" i="17"/>
  <c r="X11" i="17"/>
  <c r="D11" i="17"/>
  <c r="AE11" i="17"/>
  <c r="AD11" i="17"/>
  <c r="AF11" i="17"/>
  <c r="AJ10" i="17"/>
  <c r="AI10" i="17"/>
  <c r="AG10" i="17"/>
  <c r="AH10" i="17"/>
  <c r="W10" i="17"/>
  <c r="X10" i="17"/>
  <c r="D10" i="17"/>
  <c r="AE10" i="17"/>
  <c r="AD10" i="17"/>
  <c r="AF10" i="17"/>
  <c r="AJ9" i="17"/>
  <c r="AI9" i="17"/>
  <c r="AG9" i="17"/>
  <c r="AH9" i="17"/>
  <c r="W9" i="17"/>
  <c r="X9" i="17"/>
  <c r="D9" i="17"/>
  <c r="AE9" i="17"/>
  <c r="AD9" i="17"/>
  <c r="AF9" i="17"/>
  <c r="AJ8" i="17"/>
  <c r="AI8" i="17"/>
  <c r="AG8" i="17"/>
  <c r="AH8" i="17"/>
  <c r="W8" i="17"/>
  <c r="X8" i="17"/>
  <c r="D8" i="17"/>
  <c r="AE8" i="17"/>
  <c r="AD8" i="17"/>
  <c r="AF8" i="17"/>
  <c r="AI38" i="16"/>
  <c r="AF38" i="16"/>
  <c r="AJ37" i="16"/>
  <c r="AI37" i="16"/>
  <c r="AG37" i="16"/>
  <c r="AH37" i="16"/>
  <c r="W37" i="16"/>
  <c r="X37" i="16"/>
  <c r="D37" i="16"/>
  <c r="AE37" i="16"/>
  <c r="AD37" i="16"/>
  <c r="AF37" i="16"/>
  <c r="AJ36" i="16"/>
  <c r="AI36" i="16"/>
  <c r="AG36" i="16"/>
  <c r="AH36" i="16"/>
  <c r="W36" i="16"/>
  <c r="X36" i="16"/>
  <c r="D36" i="16"/>
  <c r="AE36" i="16"/>
  <c r="AD36" i="16"/>
  <c r="AF36" i="16"/>
  <c r="AJ35" i="16"/>
  <c r="AI35" i="16"/>
  <c r="AG35" i="16"/>
  <c r="AH35" i="16"/>
  <c r="W35" i="16"/>
  <c r="X35" i="16"/>
  <c r="D35" i="16"/>
  <c r="AE35" i="16"/>
  <c r="AD35" i="16"/>
  <c r="AF35" i="16"/>
  <c r="AJ34" i="16"/>
  <c r="AI34" i="16"/>
  <c r="AG34" i="16"/>
  <c r="AH34" i="16"/>
  <c r="W34" i="16"/>
  <c r="X34" i="16"/>
  <c r="D34" i="16"/>
  <c r="AE34" i="16"/>
  <c r="AD34" i="16"/>
  <c r="AF34" i="16"/>
  <c r="AJ33" i="16"/>
  <c r="AI33" i="16"/>
  <c r="AG33" i="16"/>
  <c r="AH33" i="16"/>
  <c r="W33" i="16"/>
  <c r="X33" i="16"/>
  <c r="D33" i="16"/>
  <c r="AE33" i="16"/>
  <c r="AD33" i="16"/>
  <c r="AF33" i="16"/>
  <c r="AJ32" i="16"/>
  <c r="AI32" i="16"/>
  <c r="AG32" i="16"/>
  <c r="AH32" i="16"/>
  <c r="W32" i="16"/>
  <c r="X32" i="16"/>
  <c r="D32" i="16"/>
  <c r="AE32" i="16"/>
  <c r="AD32" i="16"/>
  <c r="AF32" i="16"/>
  <c r="AJ31" i="16"/>
  <c r="AI31" i="16"/>
  <c r="AG31" i="16"/>
  <c r="AH31" i="16"/>
  <c r="W31" i="16"/>
  <c r="X31" i="16"/>
  <c r="D31" i="16"/>
  <c r="AE31" i="16"/>
  <c r="AD31" i="16"/>
  <c r="AF31" i="16"/>
  <c r="AJ30" i="16"/>
  <c r="AI30" i="16"/>
  <c r="AG30" i="16"/>
  <c r="AH30" i="16"/>
  <c r="W30" i="16"/>
  <c r="X30" i="16"/>
  <c r="D30" i="16"/>
  <c r="AE30" i="16"/>
  <c r="AD30" i="16"/>
  <c r="AF30" i="16"/>
  <c r="AJ29" i="16"/>
  <c r="AI29" i="16"/>
  <c r="AG29" i="16"/>
  <c r="AH29" i="16"/>
  <c r="W29" i="16"/>
  <c r="X29" i="16"/>
  <c r="D29" i="16"/>
  <c r="AE29" i="16"/>
  <c r="AD29" i="16"/>
  <c r="AF29" i="16"/>
  <c r="AJ28" i="16"/>
  <c r="AI28" i="16"/>
  <c r="AG28" i="16"/>
  <c r="AH28" i="16"/>
  <c r="W28" i="16"/>
  <c r="X28" i="16"/>
  <c r="D28" i="16"/>
  <c r="AE28" i="16"/>
  <c r="AD28" i="16"/>
  <c r="AF28" i="16"/>
  <c r="AJ27" i="16"/>
  <c r="AI27" i="16"/>
  <c r="AG27" i="16"/>
  <c r="AH27" i="16"/>
  <c r="W27" i="16"/>
  <c r="X27" i="16"/>
  <c r="D27" i="16"/>
  <c r="AE27" i="16"/>
  <c r="AD27" i="16"/>
  <c r="AF27" i="16"/>
  <c r="AJ26" i="16"/>
  <c r="AI26" i="16"/>
  <c r="AG26" i="16"/>
  <c r="AH26" i="16"/>
  <c r="W26" i="16"/>
  <c r="X26" i="16"/>
  <c r="D26" i="16"/>
  <c r="AE26" i="16"/>
  <c r="AD26" i="16"/>
  <c r="AF26" i="16"/>
  <c r="AJ25" i="16"/>
  <c r="AI25" i="16"/>
  <c r="AG25" i="16"/>
  <c r="AH25" i="16"/>
  <c r="W25" i="16"/>
  <c r="X25" i="16"/>
  <c r="D25" i="16"/>
  <c r="AE25" i="16"/>
  <c r="AD25" i="16"/>
  <c r="AF25" i="16"/>
  <c r="AJ24" i="16"/>
  <c r="AI24" i="16"/>
  <c r="AG24" i="16"/>
  <c r="AH24" i="16"/>
  <c r="W24" i="16"/>
  <c r="X24" i="16"/>
  <c r="D24" i="16"/>
  <c r="AE24" i="16"/>
  <c r="AD24" i="16"/>
  <c r="AF24" i="16"/>
  <c r="AJ23" i="16"/>
  <c r="AI23" i="16"/>
  <c r="AG23" i="16"/>
  <c r="AH23" i="16"/>
  <c r="W23" i="16"/>
  <c r="X23" i="16"/>
  <c r="D23" i="16"/>
  <c r="AE23" i="16"/>
  <c r="AD23" i="16"/>
  <c r="AF23" i="16"/>
  <c r="AJ22" i="16"/>
  <c r="AI22" i="16"/>
  <c r="AG22" i="16"/>
  <c r="AH22" i="16"/>
  <c r="W22" i="16"/>
  <c r="X22" i="16"/>
  <c r="D22" i="16"/>
  <c r="AE22" i="16"/>
  <c r="AD22" i="16"/>
  <c r="AF22" i="16"/>
  <c r="AJ21" i="16"/>
  <c r="AI21" i="16"/>
  <c r="AG21" i="16"/>
  <c r="AH21" i="16"/>
  <c r="W21" i="16"/>
  <c r="X21" i="16"/>
  <c r="D21" i="16"/>
  <c r="AE21" i="16"/>
  <c r="AD21" i="16"/>
  <c r="AF21" i="16"/>
  <c r="AJ20" i="16"/>
  <c r="AI20" i="16"/>
  <c r="AG20" i="16"/>
  <c r="AH20" i="16"/>
  <c r="W20" i="16"/>
  <c r="X20" i="16"/>
  <c r="D20" i="16"/>
  <c r="AE20" i="16"/>
  <c r="AD20" i="16"/>
  <c r="AF20" i="16"/>
  <c r="AJ19" i="16"/>
  <c r="AI19" i="16"/>
  <c r="AG19" i="16"/>
  <c r="AH19" i="16"/>
  <c r="W19" i="16"/>
  <c r="X19" i="16"/>
  <c r="D19" i="16"/>
  <c r="AE19" i="16"/>
  <c r="AD19" i="16"/>
  <c r="AF19" i="16"/>
  <c r="AJ18" i="16"/>
  <c r="AI18" i="16"/>
  <c r="AG18" i="16"/>
  <c r="AH18" i="16"/>
  <c r="W18" i="16"/>
  <c r="X18" i="16"/>
  <c r="D18" i="16"/>
  <c r="AE18" i="16"/>
  <c r="AD18" i="16"/>
  <c r="AF18" i="16"/>
  <c r="AJ17" i="16"/>
  <c r="AI17" i="16"/>
  <c r="AG17" i="16"/>
  <c r="AH17" i="16"/>
  <c r="W17" i="16"/>
  <c r="X17" i="16"/>
  <c r="D17" i="16"/>
  <c r="AE17" i="16"/>
  <c r="AD17" i="16"/>
  <c r="AF17" i="16"/>
  <c r="AJ16" i="16"/>
  <c r="AI16" i="16"/>
  <c r="AG16" i="16"/>
  <c r="AH16" i="16"/>
  <c r="W16" i="16"/>
  <c r="X16" i="16"/>
  <c r="D16" i="16"/>
  <c r="AE16" i="16"/>
  <c r="AD16" i="16"/>
  <c r="AF16" i="16"/>
  <c r="AJ15" i="16"/>
  <c r="AI15" i="16"/>
  <c r="AG15" i="16"/>
  <c r="AH15" i="16"/>
  <c r="W15" i="16"/>
  <c r="X15" i="16"/>
  <c r="D15" i="16"/>
  <c r="AE15" i="16"/>
  <c r="AD15" i="16"/>
  <c r="AF15" i="16"/>
  <c r="AJ14" i="16"/>
  <c r="AI14" i="16"/>
  <c r="AG14" i="16"/>
  <c r="AH14" i="16"/>
  <c r="W14" i="16"/>
  <c r="X14" i="16"/>
  <c r="D14" i="16"/>
  <c r="AE14" i="16"/>
  <c r="AD14" i="16"/>
  <c r="AF14" i="16"/>
  <c r="AJ13" i="16"/>
  <c r="AI13" i="16"/>
  <c r="AG13" i="16"/>
  <c r="AH13" i="16"/>
  <c r="W13" i="16"/>
  <c r="X13" i="16"/>
  <c r="D13" i="16"/>
  <c r="AE13" i="16"/>
  <c r="AD13" i="16"/>
  <c r="AF13" i="16"/>
  <c r="AJ12" i="16"/>
  <c r="AI12" i="16"/>
  <c r="AG12" i="16"/>
  <c r="AH12" i="16"/>
  <c r="W12" i="16"/>
  <c r="X12" i="16"/>
  <c r="D12" i="16"/>
  <c r="AE12" i="16"/>
  <c r="AD12" i="16"/>
  <c r="AF12" i="16"/>
  <c r="AJ11" i="16"/>
  <c r="AI11" i="16"/>
  <c r="AG11" i="16"/>
  <c r="AH11" i="16"/>
  <c r="W11" i="16"/>
  <c r="X11" i="16"/>
  <c r="D11" i="16"/>
  <c r="AE11" i="16"/>
  <c r="AD11" i="16"/>
  <c r="AF11" i="16"/>
  <c r="AJ10" i="16"/>
  <c r="AI10" i="16"/>
  <c r="AG10" i="16"/>
  <c r="AH10" i="16"/>
  <c r="W10" i="16"/>
  <c r="X10" i="16"/>
  <c r="D10" i="16"/>
  <c r="AE10" i="16"/>
  <c r="AD10" i="16"/>
  <c r="AF10" i="16"/>
  <c r="AJ9" i="16"/>
  <c r="AI9" i="16"/>
  <c r="AG9" i="16"/>
  <c r="AH9" i="16"/>
  <c r="W9" i="16"/>
  <c r="X9" i="16"/>
  <c r="D9" i="16"/>
  <c r="AE9" i="16"/>
  <c r="AD9" i="16"/>
  <c r="AF9" i="16"/>
  <c r="AJ8" i="16"/>
  <c r="AI8" i="16"/>
  <c r="AG8" i="16"/>
  <c r="AH8" i="16"/>
  <c r="W8" i="16"/>
  <c r="X8" i="16"/>
  <c r="D8" i="16"/>
  <c r="AE8" i="16"/>
  <c r="AD8" i="16"/>
  <c r="AF8" i="16"/>
  <c r="P8" i="4"/>
  <c r="P9" i="4"/>
  <c r="P10" i="4"/>
  <c r="P11" i="4"/>
  <c r="P12" i="4"/>
  <c r="P13" i="4"/>
  <c r="P14" i="4"/>
  <c r="P15" i="4"/>
  <c r="P16" i="4"/>
  <c r="P17" i="4"/>
  <c r="P18" i="4"/>
  <c r="P19" i="4"/>
  <c r="P20" i="4"/>
  <c r="P21" i="4"/>
  <c r="P22" i="4"/>
  <c r="P23" i="4"/>
  <c r="P24" i="4"/>
  <c r="P25" i="4"/>
  <c r="P26" i="4"/>
  <c r="P27" i="4"/>
  <c r="P28" i="4"/>
  <c r="P29" i="4"/>
  <c r="P30" i="4"/>
  <c r="P31" i="4"/>
  <c r="P32" i="4"/>
  <c r="P33" i="4"/>
  <c r="P34" i="4"/>
  <c r="P35" i="4"/>
  <c r="P36" i="4"/>
  <c r="P37" i="4"/>
  <c r="P38" i="4"/>
  <c r="T25" i="4"/>
  <c r="T13" i="15"/>
  <c r="P8" i="15"/>
  <c r="P9" i="15"/>
  <c r="P10" i="15"/>
  <c r="P11" i="15"/>
  <c r="P12" i="15"/>
  <c r="P13" i="15"/>
  <c r="P14" i="15"/>
  <c r="P15" i="15"/>
  <c r="P16" i="15"/>
  <c r="P17" i="15"/>
  <c r="P18" i="15"/>
  <c r="P19" i="15"/>
  <c r="P20" i="15"/>
  <c r="P21" i="15"/>
  <c r="P22" i="15"/>
  <c r="P23" i="15"/>
  <c r="P24" i="15"/>
  <c r="P25" i="15"/>
  <c r="P26" i="15"/>
  <c r="P27" i="15"/>
  <c r="P28" i="15"/>
  <c r="P29" i="15"/>
  <c r="P30" i="15"/>
  <c r="P31" i="15"/>
  <c r="P32" i="15"/>
  <c r="P33" i="15"/>
  <c r="P34" i="15"/>
  <c r="P35" i="15"/>
  <c r="P36" i="15"/>
  <c r="T25" i="15"/>
  <c r="V35" i="15"/>
  <c r="V36" i="15"/>
  <c r="T13" i="16"/>
  <c r="P8" i="16"/>
  <c r="P9" i="16"/>
  <c r="P10" i="16"/>
  <c r="P11" i="16"/>
  <c r="P12" i="16"/>
  <c r="P13" i="16"/>
  <c r="P14" i="16"/>
  <c r="P15" i="16"/>
  <c r="P16" i="16"/>
  <c r="P17" i="16"/>
  <c r="P18" i="16"/>
  <c r="P19" i="16"/>
  <c r="P20" i="16"/>
  <c r="P21" i="16"/>
  <c r="P22" i="16"/>
  <c r="P23" i="16"/>
  <c r="P24" i="16"/>
  <c r="P25" i="16"/>
  <c r="P26" i="16"/>
  <c r="P27" i="16"/>
  <c r="P28" i="16"/>
  <c r="P29" i="16"/>
  <c r="P30" i="16"/>
  <c r="P31" i="16"/>
  <c r="P32" i="16"/>
  <c r="P33" i="16"/>
  <c r="P34" i="16"/>
  <c r="P35" i="16"/>
  <c r="P36" i="16"/>
  <c r="P37" i="16"/>
  <c r="P38" i="16"/>
  <c r="T25" i="16"/>
  <c r="W38" i="16"/>
  <c r="X38" i="16"/>
  <c r="D38" i="16"/>
  <c r="T13"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T25" i="17"/>
  <c r="T13" i="18"/>
  <c r="P8" i="18"/>
  <c r="P9" i="18"/>
  <c r="P10" i="18"/>
  <c r="P11" i="18"/>
  <c r="P12" i="18"/>
  <c r="P13" i="18"/>
  <c r="P14" i="18"/>
  <c r="P15" i="18"/>
  <c r="P16" i="18"/>
  <c r="P17" i="18"/>
  <c r="P18" i="18"/>
  <c r="P19" i="18"/>
  <c r="P20" i="18"/>
  <c r="P21" i="18"/>
  <c r="P22" i="18"/>
  <c r="P23" i="18"/>
  <c r="P24" i="18"/>
  <c r="P25" i="18"/>
  <c r="P26" i="18"/>
  <c r="P27" i="18"/>
  <c r="P28" i="18"/>
  <c r="P29" i="18"/>
  <c r="P30" i="18"/>
  <c r="P31" i="18"/>
  <c r="P32" i="18"/>
  <c r="P33" i="18"/>
  <c r="P34" i="18"/>
  <c r="P35" i="18"/>
  <c r="P36" i="18"/>
  <c r="P37" i="18"/>
  <c r="P38" i="18"/>
  <c r="T25" i="18"/>
  <c r="I40" i="25"/>
  <c r="K40" i="25"/>
  <c r="G41" i="25"/>
  <c r="W38" i="25"/>
  <c r="X38" i="25"/>
  <c r="D38" i="25"/>
  <c r="F41" i="25"/>
  <c r="H41" i="25"/>
  <c r="G42" i="25"/>
  <c r="F42" i="25"/>
  <c r="H42" i="25"/>
  <c r="G43" i="25"/>
  <c r="F43" i="25"/>
  <c r="H43" i="25"/>
  <c r="G44" i="25"/>
  <c r="F44" i="25"/>
  <c r="H44" i="25"/>
  <c r="G45" i="25"/>
  <c r="F45" i="25"/>
  <c r="H45" i="25"/>
  <c r="G46" i="25"/>
  <c r="F46" i="25"/>
  <c r="H46" i="25"/>
  <c r="G47" i="25"/>
  <c r="F47" i="25"/>
  <c r="H47" i="25"/>
  <c r="G48" i="25"/>
  <c r="F48" i="25"/>
  <c r="H48" i="25"/>
  <c r="G49" i="25"/>
  <c r="F49" i="25"/>
  <c r="H49" i="25"/>
  <c r="G50" i="25"/>
  <c r="F50" i="25"/>
  <c r="H50" i="25"/>
  <c r="G51" i="25"/>
  <c r="F51" i="25"/>
  <c r="H51" i="25"/>
  <c r="G52" i="25"/>
  <c r="F52" i="25"/>
  <c r="H52" i="25"/>
  <c r="F54" i="25"/>
  <c r="F55" i="25"/>
  <c r="S13" i="25"/>
  <c r="F53" i="25"/>
  <c r="I40" i="24"/>
  <c r="K40" i="24"/>
  <c r="G41" i="24"/>
  <c r="F41" i="24"/>
  <c r="H41" i="24"/>
  <c r="G42" i="24"/>
  <c r="F42" i="24"/>
  <c r="H42" i="24"/>
  <c r="G43" i="24"/>
  <c r="F43" i="24"/>
  <c r="H43" i="24"/>
  <c r="G44" i="24"/>
  <c r="F44" i="24"/>
  <c r="H44" i="24"/>
  <c r="G45" i="24"/>
  <c r="F45" i="24"/>
  <c r="H45" i="24"/>
  <c r="G46" i="24"/>
  <c r="F46" i="24"/>
  <c r="H46" i="24"/>
  <c r="G47" i="24"/>
  <c r="F47" i="24"/>
  <c r="H47" i="24"/>
  <c r="G48" i="24"/>
  <c r="F48" i="24"/>
  <c r="H48" i="24"/>
  <c r="G49" i="24"/>
  <c r="F49" i="24"/>
  <c r="H49" i="24"/>
  <c r="G50" i="24"/>
  <c r="F50" i="24"/>
  <c r="H50" i="24"/>
  <c r="G51" i="24"/>
  <c r="F51" i="24"/>
  <c r="H51" i="24"/>
  <c r="G52" i="24"/>
  <c r="F52" i="24"/>
  <c r="H52" i="24"/>
  <c r="F54" i="24"/>
  <c r="F55" i="24"/>
  <c r="S13" i="24"/>
  <c r="F53" i="24"/>
  <c r="I40" i="23"/>
  <c r="K40" i="23"/>
  <c r="G41" i="23"/>
  <c r="W38" i="23"/>
  <c r="X38" i="23"/>
  <c r="D38" i="23"/>
  <c r="F41" i="23"/>
  <c r="H41" i="23"/>
  <c r="G42" i="23"/>
  <c r="F42" i="23"/>
  <c r="H42" i="23"/>
  <c r="G43" i="23"/>
  <c r="F43" i="23"/>
  <c r="H43" i="23"/>
  <c r="G44" i="23"/>
  <c r="F44" i="23"/>
  <c r="H44" i="23"/>
  <c r="G45" i="23"/>
  <c r="F45" i="23"/>
  <c r="H45" i="23"/>
  <c r="G46" i="23"/>
  <c r="F46" i="23"/>
  <c r="H46" i="23"/>
  <c r="G47" i="23"/>
  <c r="F47" i="23"/>
  <c r="H47" i="23"/>
  <c r="G48" i="23"/>
  <c r="F48" i="23"/>
  <c r="H48" i="23"/>
  <c r="G49" i="23"/>
  <c r="F49" i="23"/>
  <c r="H49" i="23"/>
  <c r="G50" i="23"/>
  <c r="F50" i="23"/>
  <c r="H50" i="23"/>
  <c r="G51" i="23"/>
  <c r="F51" i="23"/>
  <c r="H51" i="23"/>
  <c r="G52" i="23"/>
  <c r="F52" i="23"/>
  <c r="H52" i="23"/>
  <c r="F54" i="23"/>
  <c r="F55" i="23"/>
  <c r="S13" i="23"/>
  <c r="F53" i="23"/>
  <c r="I40" i="22"/>
  <c r="K40" i="22"/>
  <c r="G41" i="22"/>
  <c r="F41" i="22"/>
  <c r="H41" i="22"/>
  <c r="G42" i="22"/>
  <c r="F42" i="22"/>
  <c r="H42" i="22"/>
  <c r="G43" i="22"/>
  <c r="F43" i="22"/>
  <c r="H43" i="22"/>
  <c r="G44" i="22"/>
  <c r="F44" i="22"/>
  <c r="H44" i="22"/>
  <c r="G45" i="22"/>
  <c r="F45" i="22"/>
  <c r="H45" i="22"/>
  <c r="G46" i="22"/>
  <c r="F46" i="22"/>
  <c r="H46" i="22"/>
  <c r="G47" i="22"/>
  <c r="F47" i="22"/>
  <c r="H47" i="22"/>
  <c r="G48" i="22"/>
  <c r="F48" i="22"/>
  <c r="H48" i="22"/>
  <c r="G49" i="22"/>
  <c r="F49" i="22"/>
  <c r="H49" i="22"/>
  <c r="G50" i="22"/>
  <c r="F50" i="22"/>
  <c r="H50" i="22"/>
  <c r="G51" i="22"/>
  <c r="F51" i="22"/>
  <c r="H51" i="22"/>
  <c r="G52" i="22"/>
  <c r="F52" i="22"/>
  <c r="H52" i="22"/>
  <c r="F54" i="22"/>
  <c r="F55" i="22"/>
  <c r="S13" i="22"/>
  <c r="F53" i="22"/>
  <c r="I40" i="21"/>
  <c r="K40" i="21"/>
  <c r="G41" i="21"/>
  <c r="W38" i="21"/>
  <c r="X38" i="21"/>
  <c r="D38" i="21"/>
  <c r="F41" i="21"/>
  <c r="H41" i="21"/>
  <c r="G42" i="21"/>
  <c r="F42" i="21"/>
  <c r="H42" i="21"/>
  <c r="G43" i="21"/>
  <c r="F43" i="21"/>
  <c r="H43" i="21"/>
  <c r="G44" i="21"/>
  <c r="F44" i="21"/>
  <c r="H44" i="21"/>
  <c r="G45" i="21"/>
  <c r="F45" i="21"/>
  <c r="H45" i="21"/>
  <c r="G46" i="21"/>
  <c r="F46" i="21"/>
  <c r="H46" i="21"/>
  <c r="G47" i="21"/>
  <c r="F47" i="21"/>
  <c r="H47" i="21"/>
  <c r="G48" i="21"/>
  <c r="F48" i="21"/>
  <c r="H48" i="21"/>
  <c r="G49" i="21"/>
  <c r="F49" i="21"/>
  <c r="H49" i="21"/>
  <c r="G50" i="21"/>
  <c r="F50" i="21"/>
  <c r="H50" i="21"/>
  <c r="G51" i="21"/>
  <c r="F51" i="21"/>
  <c r="H51" i="21"/>
  <c r="G52" i="21"/>
  <c r="F52" i="21"/>
  <c r="H52" i="21"/>
  <c r="F54" i="21"/>
  <c r="F55" i="21"/>
  <c r="S13" i="21"/>
  <c r="F53" i="21"/>
  <c r="I40" i="20"/>
  <c r="K40" i="20"/>
  <c r="G41" i="20"/>
  <c r="W38" i="20"/>
  <c r="X38" i="20"/>
  <c r="D38" i="20"/>
  <c r="F41" i="20"/>
  <c r="H41" i="20"/>
  <c r="G42" i="20"/>
  <c r="F42" i="20"/>
  <c r="H42" i="20"/>
  <c r="G43" i="20"/>
  <c r="F43" i="20"/>
  <c r="H43" i="20"/>
  <c r="G44" i="20"/>
  <c r="F44" i="20"/>
  <c r="H44" i="20"/>
  <c r="G45" i="20"/>
  <c r="F45" i="20"/>
  <c r="H45" i="20"/>
  <c r="G46" i="20"/>
  <c r="F46" i="20"/>
  <c r="H46" i="20"/>
  <c r="G47" i="20"/>
  <c r="F47" i="20"/>
  <c r="H47" i="20"/>
  <c r="G48" i="20"/>
  <c r="F48" i="20"/>
  <c r="H48" i="20"/>
  <c r="G49" i="20"/>
  <c r="F49" i="20"/>
  <c r="H49" i="20"/>
  <c r="G50" i="20"/>
  <c r="F50" i="20"/>
  <c r="H50" i="20"/>
  <c r="G51" i="20"/>
  <c r="F51" i="20"/>
  <c r="H51" i="20"/>
  <c r="G52" i="20"/>
  <c r="F52" i="20"/>
  <c r="H52" i="20"/>
  <c r="F54" i="20"/>
  <c r="F55" i="20"/>
  <c r="S13" i="20"/>
  <c r="F53" i="20"/>
  <c r="I40" i="18"/>
  <c r="K40" i="18"/>
  <c r="G41" i="18"/>
  <c r="F41" i="18"/>
  <c r="H41" i="18"/>
  <c r="G42" i="18"/>
  <c r="F42" i="18"/>
  <c r="H42" i="18"/>
  <c r="G43" i="18"/>
  <c r="F43" i="18"/>
  <c r="H43" i="18"/>
  <c r="G44" i="18"/>
  <c r="F44" i="18"/>
  <c r="H44" i="18"/>
  <c r="G45" i="18"/>
  <c r="F45" i="18"/>
  <c r="H45" i="18"/>
  <c r="G46" i="18"/>
  <c r="F46" i="18"/>
  <c r="H46" i="18"/>
  <c r="G47" i="18"/>
  <c r="F47" i="18"/>
  <c r="H47" i="18"/>
  <c r="G48" i="18"/>
  <c r="F48" i="18"/>
  <c r="H48" i="18"/>
  <c r="G49" i="18"/>
  <c r="F49" i="18"/>
  <c r="H49" i="18"/>
  <c r="G50" i="18"/>
  <c r="F50" i="18"/>
  <c r="H50" i="18"/>
  <c r="G51" i="18"/>
  <c r="F51" i="18"/>
  <c r="H51" i="18"/>
  <c r="G52" i="18"/>
  <c r="F52" i="18"/>
  <c r="H52" i="18"/>
  <c r="F54" i="18"/>
  <c r="F55" i="18"/>
  <c r="S13" i="18"/>
  <c r="F53" i="18"/>
  <c r="I40" i="17"/>
  <c r="K40" i="17"/>
  <c r="G41" i="17"/>
  <c r="F41" i="17"/>
  <c r="H41" i="17"/>
  <c r="G42" i="17"/>
  <c r="F42" i="17"/>
  <c r="H42" i="17"/>
  <c r="G43" i="17"/>
  <c r="F43" i="17"/>
  <c r="H43" i="17"/>
  <c r="G44" i="17"/>
  <c r="F44" i="17"/>
  <c r="H44" i="17"/>
  <c r="G45" i="17"/>
  <c r="F45" i="17"/>
  <c r="H45" i="17"/>
  <c r="G46" i="17"/>
  <c r="F46" i="17"/>
  <c r="H46" i="17"/>
  <c r="G47" i="17"/>
  <c r="F47" i="17"/>
  <c r="H47" i="17"/>
  <c r="G48" i="17"/>
  <c r="F48" i="17"/>
  <c r="H48" i="17"/>
  <c r="G49" i="17"/>
  <c r="F49" i="17"/>
  <c r="H49" i="17"/>
  <c r="G50" i="17"/>
  <c r="F50" i="17"/>
  <c r="H50" i="17"/>
  <c r="G51" i="17"/>
  <c r="F51" i="17"/>
  <c r="H51" i="17"/>
  <c r="G52" i="17"/>
  <c r="F52" i="17"/>
  <c r="H52" i="17"/>
  <c r="F54" i="17"/>
  <c r="F55" i="17"/>
  <c r="S13" i="17"/>
  <c r="F53" i="17"/>
  <c r="I40" i="16"/>
  <c r="K40" i="16"/>
  <c r="G41" i="16"/>
  <c r="F41" i="16"/>
  <c r="H41" i="16"/>
  <c r="G42" i="16"/>
  <c r="F42" i="16"/>
  <c r="H42" i="16"/>
  <c r="G43" i="16"/>
  <c r="F43" i="16"/>
  <c r="H43" i="16"/>
  <c r="G44" i="16"/>
  <c r="F44" i="16"/>
  <c r="H44" i="16"/>
  <c r="G45" i="16"/>
  <c r="F45" i="16"/>
  <c r="H45" i="16"/>
  <c r="G46" i="16"/>
  <c r="F46" i="16"/>
  <c r="H46" i="16"/>
  <c r="G47" i="16"/>
  <c r="F47" i="16"/>
  <c r="H47" i="16"/>
  <c r="G48" i="16"/>
  <c r="F48" i="16"/>
  <c r="H48" i="16"/>
  <c r="G49" i="16"/>
  <c r="F49" i="16"/>
  <c r="H49" i="16"/>
  <c r="G50" i="16"/>
  <c r="F50" i="16"/>
  <c r="H50" i="16"/>
  <c r="G51" i="16"/>
  <c r="F51" i="16"/>
  <c r="H51" i="16"/>
  <c r="G52" i="16"/>
  <c r="F52" i="16"/>
  <c r="H52" i="16"/>
  <c r="F54" i="16"/>
  <c r="F55" i="16"/>
  <c r="S13" i="16"/>
  <c r="F53" i="16"/>
  <c r="S13" i="15"/>
  <c r="F53" i="15"/>
  <c r="S13" i="4"/>
  <c r="F53" i="4"/>
  <c r="AJ8" i="19"/>
  <c r="AJ9" i="19"/>
  <c r="AJ10" i="19"/>
  <c r="AJ11" i="19"/>
  <c r="AJ12" i="19"/>
  <c r="AJ13" i="19"/>
  <c r="AJ14" i="19"/>
  <c r="AJ15" i="19"/>
  <c r="AJ16" i="19"/>
  <c r="AJ17" i="19"/>
  <c r="AJ18" i="19"/>
  <c r="AJ19" i="19"/>
  <c r="AJ20" i="19"/>
  <c r="AJ21" i="19"/>
  <c r="AJ22" i="19"/>
  <c r="AJ23" i="19"/>
  <c r="AJ24" i="19"/>
  <c r="AJ25" i="19"/>
  <c r="AJ26" i="19"/>
  <c r="AJ27" i="19"/>
  <c r="AJ28" i="19"/>
  <c r="AJ29" i="19"/>
  <c r="AJ30" i="19"/>
  <c r="AJ31" i="19"/>
  <c r="AJ32" i="19"/>
  <c r="AJ33" i="19"/>
  <c r="AJ34" i="19"/>
  <c r="AJ35" i="19"/>
  <c r="AJ36" i="19"/>
  <c r="AJ37" i="19"/>
  <c r="W8" i="19"/>
  <c r="X8" i="19"/>
  <c r="D8" i="19"/>
  <c r="W9" i="19"/>
  <c r="X9" i="19"/>
  <c r="D9" i="19"/>
  <c r="W10" i="19"/>
  <c r="X10" i="19"/>
  <c r="D10" i="19"/>
  <c r="W11" i="19"/>
  <c r="X11" i="19"/>
  <c r="D11" i="19"/>
  <c r="W12" i="19"/>
  <c r="X12" i="19"/>
  <c r="D12" i="19"/>
  <c r="W13" i="19"/>
  <c r="X13" i="19"/>
  <c r="D13" i="19"/>
  <c r="W14" i="19"/>
  <c r="X14" i="19"/>
  <c r="D14" i="19"/>
  <c r="W15" i="19"/>
  <c r="X15" i="19"/>
  <c r="D15" i="19"/>
  <c r="W16" i="19"/>
  <c r="X16" i="19"/>
  <c r="D16" i="19"/>
  <c r="W17" i="19"/>
  <c r="X17" i="19"/>
  <c r="D17" i="19"/>
  <c r="W18" i="19"/>
  <c r="X18" i="19"/>
  <c r="D18" i="19"/>
  <c r="W19" i="19"/>
  <c r="X19" i="19"/>
  <c r="D19" i="19"/>
  <c r="W20" i="19"/>
  <c r="X20" i="19"/>
  <c r="D20" i="19"/>
  <c r="W21" i="19"/>
  <c r="X21" i="19"/>
  <c r="D21" i="19"/>
  <c r="W22" i="19"/>
  <c r="X22" i="19"/>
  <c r="D22" i="19"/>
  <c r="W23" i="19"/>
  <c r="X23" i="19"/>
  <c r="D23" i="19"/>
  <c r="W24" i="19"/>
  <c r="X24" i="19"/>
  <c r="D24" i="19"/>
  <c r="W25" i="19"/>
  <c r="X25" i="19"/>
  <c r="D25" i="19"/>
  <c r="W26" i="19"/>
  <c r="X26" i="19"/>
  <c r="D26" i="19"/>
  <c r="W27" i="19"/>
  <c r="X27" i="19"/>
  <c r="D27" i="19"/>
  <c r="W28" i="19"/>
  <c r="X28" i="19"/>
  <c r="D28" i="19"/>
  <c r="W33" i="19"/>
  <c r="X33" i="19"/>
  <c r="D33" i="19"/>
  <c r="W34" i="19"/>
  <c r="X34" i="19"/>
  <c r="D34" i="19"/>
  <c r="W35" i="19"/>
  <c r="X35" i="19"/>
  <c r="D35" i="19"/>
  <c r="F42" i="19"/>
  <c r="F43" i="19"/>
  <c r="F44" i="19"/>
  <c r="F45" i="19"/>
  <c r="F46" i="19"/>
  <c r="F47" i="19"/>
  <c r="F41" i="19"/>
  <c r="AI22" i="19"/>
  <c r="AI9" i="19"/>
  <c r="AI10" i="19"/>
  <c r="AI11" i="19"/>
  <c r="AI12" i="19"/>
  <c r="AI13" i="19"/>
  <c r="AI14" i="19"/>
  <c r="AI15" i="19"/>
  <c r="AI16" i="19"/>
  <c r="AI17" i="19"/>
  <c r="AI18" i="19"/>
  <c r="AI19" i="19"/>
  <c r="AI20" i="19"/>
  <c r="AI21" i="19"/>
  <c r="AI23" i="19"/>
  <c r="AI24" i="19"/>
  <c r="AI25" i="19"/>
  <c r="AI26" i="19"/>
  <c r="AI27" i="19"/>
  <c r="AI28" i="19"/>
  <c r="AI29" i="19"/>
  <c r="AI30" i="19"/>
  <c r="AI31" i="19"/>
  <c r="AI32" i="19"/>
  <c r="AI33" i="19"/>
  <c r="AI34" i="19"/>
  <c r="AI35" i="19"/>
  <c r="AI36" i="19"/>
  <c r="AI37" i="19"/>
  <c r="AI38" i="19"/>
  <c r="AI8" i="19"/>
  <c r="F52" i="19"/>
  <c r="I40" i="19"/>
  <c r="K40" i="19"/>
  <c r="G52" i="19"/>
  <c r="H52" i="19"/>
  <c r="G42" i="19"/>
  <c r="G43" i="19"/>
  <c r="G44" i="19"/>
  <c r="G45" i="19"/>
  <c r="G41" i="19"/>
  <c r="M62" i="5"/>
  <c r="K78" i="8"/>
  <c r="AE21" i="19"/>
  <c r="AD21" i="19"/>
  <c r="AF21" i="19"/>
  <c r="AE19" i="19"/>
  <c r="AD19" i="19"/>
  <c r="AF19" i="19"/>
  <c r="K62" i="5"/>
  <c r="K46" i="8"/>
  <c r="K65" i="5"/>
  <c r="K52" i="8"/>
  <c r="J62" i="5"/>
  <c r="P8" i="19"/>
  <c r="P9" i="19"/>
  <c r="P10" i="19"/>
  <c r="P11" i="19"/>
  <c r="P12" i="19"/>
  <c r="P13" i="19"/>
  <c r="P14" i="19"/>
  <c r="P15" i="19"/>
  <c r="P16" i="19"/>
  <c r="P17" i="19"/>
  <c r="P18" i="19"/>
  <c r="P19" i="19"/>
  <c r="P20" i="19"/>
  <c r="P21" i="19"/>
  <c r="P23" i="19"/>
  <c r="P26" i="19"/>
  <c r="P27" i="19"/>
  <c r="P28" i="19"/>
  <c r="P29" i="19"/>
  <c r="P30" i="19"/>
  <c r="P31" i="19"/>
  <c r="P32" i="19"/>
  <c r="P33" i="19"/>
  <c r="P34" i="19"/>
  <c r="P35" i="19"/>
  <c r="P36" i="19"/>
  <c r="P37" i="19"/>
  <c r="P8" i="20"/>
  <c r="P9" i="20"/>
  <c r="P10" i="20"/>
  <c r="P11" i="20"/>
  <c r="P12" i="20"/>
  <c r="P13" i="20"/>
  <c r="P14" i="20"/>
  <c r="P15" i="20"/>
  <c r="P16" i="20"/>
  <c r="P17" i="20"/>
  <c r="P18" i="20"/>
  <c r="P19" i="20"/>
  <c r="P21" i="20"/>
  <c r="P22" i="20"/>
  <c r="P23" i="20"/>
  <c r="P24" i="20"/>
  <c r="P25" i="20"/>
  <c r="P26" i="20"/>
  <c r="P27" i="20"/>
  <c r="P28" i="20"/>
  <c r="P29" i="20"/>
  <c r="P30" i="20"/>
  <c r="P31" i="20"/>
  <c r="P32" i="20"/>
  <c r="P33" i="20"/>
  <c r="P34" i="20"/>
  <c r="P35" i="20"/>
  <c r="P36" i="20"/>
  <c r="P37" i="20"/>
  <c r="P38" i="20"/>
  <c r="P8" i="21"/>
  <c r="P9" i="21"/>
  <c r="P10" i="21"/>
  <c r="P11" i="21"/>
  <c r="P12" i="21"/>
  <c r="P13" i="21"/>
  <c r="P14" i="21"/>
  <c r="P15" i="21"/>
  <c r="P16" i="21"/>
  <c r="P17" i="21"/>
  <c r="P18" i="21"/>
  <c r="P19" i="21"/>
  <c r="P20" i="21"/>
  <c r="P21" i="21"/>
  <c r="P22" i="21"/>
  <c r="P24" i="21"/>
  <c r="P25" i="21"/>
  <c r="P26" i="21"/>
  <c r="P27" i="21"/>
  <c r="P28" i="21"/>
  <c r="P29" i="21"/>
  <c r="P30" i="21"/>
  <c r="P31" i="21"/>
  <c r="P32" i="21"/>
  <c r="P33" i="21"/>
  <c r="P34" i="21"/>
  <c r="P35" i="21"/>
  <c r="P36" i="21"/>
  <c r="P37" i="21"/>
  <c r="P38" i="21"/>
  <c r="P8" i="22"/>
  <c r="P11" i="22"/>
  <c r="P12" i="22"/>
  <c r="P13" i="22"/>
  <c r="P14" i="22"/>
  <c r="P15" i="22"/>
  <c r="P16" i="22"/>
  <c r="P17" i="22"/>
  <c r="P18" i="22"/>
  <c r="P19" i="22"/>
  <c r="P20" i="22"/>
  <c r="P21" i="22"/>
  <c r="P22" i="22"/>
  <c r="P23" i="22"/>
  <c r="P24" i="22"/>
  <c r="P25" i="22"/>
  <c r="P26" i="22"/>
  <c r="P27" i="22"/>
  <c r="P28" i="22"/>
  <c r="P29" i="22"/>
  <c r="P30" i="22"/>
  <c r="P31" i="22"/>
  <c r="P32" i="22"/>
  <c r="P33" i="22"/>
  <c r="P34" i="22"/>
  <c r="P35" i="22"/>
  <c r="P36" i="22"/>
  <c r="P37" i="22"/>
  <c r="P8" i="23"/>
  <c r="P9" i="23"/>
  <c r="P10" i="23"/>
  <c r="P11" i="23"/>
  <c r="P12" i="23"/>
  <c r="P13" i="23"/>
  <c r="P14" i="23"/>
  <c r="P15" i="23"/>
  <c r="P16" i="23"/>
  <c r="P17" i="23"/>
  <c r="P18" i="23"/>
  <c r="P19" i="23"/>
  <c r="P20" i="23"/>
  <c r="P21" i="23"/>
  <c r="P22" i="23"/>
  <c r="P23" i="23"/>
  <c r="P24" i="23"/>
  <c r="P25" i="23"/>
  <c r="P26" i="23"/>
  <c r="P27" i="23"/>
  <c r="P28" i="23"/>
  <c r="P29" i="23"/>
  <c r="P30" i="23"/>
  <c r="P31" i="23"/>
  <c r="P32" i="23"/>
  <c r="P33" i="23"/>
  <c r="P34" i="23"/>
  <c r="P35" i="23"/>
  <c r="P36" i="23"/>
  <c r="P37" i="23"/>
  <c r="P38" i="23"/>
  <c r="P8" i="24"/>
  <c r="P9" i="24"/>
  <c r="P10" i="24"/>
  <c r="P12" i="24"/>
  <c r="P13" i="24"/>
  <c r="P14" i="24"/>
  <c r="P15" i="24"/>
  <c r="P16" i="24"/>
  <c r="P17" i="24"/>
  <c r="P18" i="24"/>
  <c r="P19" i="24"/>
  <c r="P20" i="24"/>
  <c r="P21" i="24"/>
  <c r="P23" i="24"/>
  <c r="P24" i="24"/>
  <c r="P25" i="24"/>
  <c r="P26" i="24"/>
  <c r="P28" i="24"/>
  <c r="P29" i="24"/>
  <c r="P30" i="24"/>
  <c r="P31" i="24"/>
  <c r="P32" i="24"/>
  <c r="P33" i="24"/>
  <c r="P35" i="24"/>
  <c r="P36" i="24"/>
  <c r="P37" i="24"/>
  <c r="E8" i="5"/>
  <c r="D8" i="5"/>
  <c r="E9" i="5"/>
  <c r="E10" i="5"/>
  <c r="D10" i="5"/>
  <c r="D17" i="8"/>
  <c r="E11" i="5"/>
  <c r="D11" i="5"/>
  <c r="D18" i="8"/>
  <c r="E12" i="5"/>
  <c r="E13" i="5"/>
  <c r="E14" i="5"/>
  <c r="J21" i="8"/>
  <c r="E15" i="5"/>
  <c r="S9" i="23"/>
  <c r="F16" i="5"/>
  <c r="E23" i="8"/>
  <c r="E16" i="5"/>
  <c r="D16" i="5"/>
  <c r="D23" i="8"/>
  <c r="E17" i="5"/>
  <c r="J24" i="8"/>
  <c r="S9" i="25"/>
  <c r="F18" i="5"/>
  <c r="E25" i="8"/>
  <c r="E18" i="5"/>
  <c r="I13" i="8"/>
  <c r="D13" i="8"/>
  <c r="D15" i="8"/>
  <c r="E13" i="8"/>
  <c r="P8" i="25"/>
  <c r="P9" i="25"/>
  <c r="P10" i="25"/>
  <c r="P11" i="25"/>
  <c r="P12" i="25"/>
  <c r="P13" i="25"/>
  <c r="P14" i="25"/>
  <c r="P15" i="25"/>
  <c r="P16" i="25"/>
  <c r="P17" i="25"/>
  <c r="P18" i="25"/>
  <c r="P19" i="25"/>
  <c r="P20" i="25"/>
  <c r="P21" i="25"/>
  <c r="P22" i="25"/>
  <c r="P23" i="25"/>
  <c r="P24" i="25"/>
  <c r="P25" i="25"/>
  <c r="P26" i="25"/>
  <c r="P27" i="25"/>
  <c r="P28" i="25"/>
  <c r="P29" i="25"/>
  <c r="P30" i="25"/>
  <c r="P31" i="25"/>
  <c r="P32" i="25"/>
  <c r="P33" i="25"/>
  <c r="P34" i="25"/>
  <c r="P35" i="25"/>
  <c r="P36" i="25"/>
  <c r="P37" i="25"/>
  <c r="P38" i="25"/>
  <c r="H13" i="8"/>
  <c r="G13" i="8"/>
  <c r="F13" i="8"/>
  <c r="L62" i="5"/>
  <c r="F78" i="8"/>
  <c r="L65" i="5"/>
  <c r="F84" i="8"/>
  <c r="N62" i="5"/>
  <c r="F110" i="8"/>
  <c r="AE9" i="19"/>
  <c r="AD9" i="19"/>
  <c r="AF9" i="19"/>
  <c r="AE10" i="19"/>
  <c r="AD10" i="19"/>
  <c r="AF10" i="19"/>
  <c r="AE13" i="19"/>
  <c r="AD13" i="19"/>
  <c r="AF13" i="19"/>
  <c r="AE16" i="19"/>
  <c r="AE17" i="19"/>
  <c r="AD17" i="19"/>
  <c r="AF17" i="19"/>
  <c r="AE18" i="19"/>
  <c r="AD18" i="19"/>
  <c r="AF18" i="19"/>
  <c r="AE20" i="19"/>
  <c r="AD20" i="19"/>
  <c r="AF20" i="19"/>
  <c r="AE23" i="19"/>
  <c r="AE24" i="19"/>
  <c r="AE25" i="19"/>
  <c r="AE27" i="19"/>
  <c r="AD27" i="19"/>
  <c r="AF27" i="19"/>
  <c r="AE29" i="19"/>
  <c r="AD29" i="19"/>
  <c r="AF29" i="19"/>
  <c r="AE30" i="19"/>
  <c r="AE31" i="19"/>
  <c r="AD31" i="19"/>
  <c r="AF31" i="19"/>
  <c r="AE32" i="19"/>
  <c r="AD32" i="19"/>
  <c r="AF32" i="19"/>
  <c r="AE34" i="19"/>
  <c r="AE36" i="19"/>
  <c r="AD36" i="19"/>
  <c r="AF36" i="19"/>
  <c r="AE37" i="19"/>
  <c r="AD37" i="19"/>
  <c r="AF37" i="19"/>
  <c r="G46" i="19"/>
  <c r="G47" i="19"/>
  <c r="G48" i="19"/>
  <c r="F49" i="19"/>
  <c r="O62" i="5"/>
  <c r="K110" i="8"/>
  <c r="G49" i="19"/>
  <c r="AD8" i="19"/>
  <c r="AD11" i="19"/>
  <c r="AE11" i="19"/>
  <c r="AF11" i="19"/>
  <c r="AD12" i="19"/>
  <c r="AD14" i="19"/>
  <c r="AD15" i="19"/>
  <c r="AD16" i="19"/>
  <c r="AD22" i="19"/>
  <c r="AD23" i="19"/>
  <c r="AD24" i="19"/>
  <c r="AD25" i="19"/>
  <c r="AD26" i="19"/>
  <c r="AD28" i="19"/>
  <c r="AD30" i="19"/>
  <c r="AD33" i="19"/>
  <c r="AD34" i="19"/>
  <c r="AD35" i="19"/>
  <c r="AF38" i="19"/>
  <c r="G50" i="19"/>
  <c r="AG8" i="19"/>
  <c r="AH8" i="19"/>
  <c r="AG9" i="19"/>
  <c r="AH9" i="19"/>
  <c r="AG10" i="19"/>
  <c r="AH10" i="19"/>
  <c r="AG11" i="19"/>
  <c r="AH11" i="19"/>
  <c r="AG12" i="19"/>
  <c r="AH12" i="19"/>
  <c r="AG13" i="19"/>
  <c r="AH13" i="19"/>
  <c r="AG14" i="19"/>
  <c r="AH14" i="19"/>
  <c r="AG15" i="19"/>
  <c r="AH15" i="19"/>
  <c r="AG16" i="19"/>
  <c r="AH16" i="19"/>
  <c r="AG17" i="19"/>
  <c r="AH17" i="19"/>
  <c r="AG18" i="19"/>
  <c r="AH18" i="19"/>
  <c r="AG19" i="19"/>
  <c r="AH19" i="19"/>
  <c r="AG20" i="19"/>
  <c r="AH20" i="19"/>
  <c r="AG21" i="19"/>
  <c r="AH21" i="19"/>
  <c r="AG22" i="19"/>
  <c r="AH22" i="19"/>
  <c r="AG23" i="19"/>
  <c r="AH23" i="19"/>
  <c r="AG24" i="19"/>
  <c r="AH24" i="19"/>
  <c r="AG25" i="19"/>
  <c r="AH25" i="19"/>
  <c r="AG26" i="19"/>
  <c r="AH26" i="19"/>
  <c r="AG27" i="19"/>
  <c r="AH27" i="19"/>
  <c r="AG28" i="19"/>
  <c r="AH28" i="19"/>
  <c r="AG29" i="19"/>
  <c r="AH29" i="19"/>
  <c r="AG30" i="19"/>
  <c r="AH30" i="19"/>
  <c r="AG31" i="19"/>
  <c r="AH31" i="19"/>
  <c r="AG32" i="19"/>
  <c r="AH32" i="19"/>
  <c r="AG33" i="19"/>
  <c r="AH33" i="19"/>
  <c r="AG34" i="19"/>
  <c r="AH34" i="19"/>
  <c r="AG35" i="19"/>
  <c r="AH35" i="19"/>
  <c r="AG36" i="19"/>
  <c r="AH36" i="19"/>
  <c r="AG37" i="19"/>
  <c r="AH37" i="19"/>
  <c r="G51" i="19"/>
  <c r="P62" i="5"/>
  <c r="F142" i="8"/>
  <c r="Q62" i="5"/>
  <c r="K142" i="8"/>
  <c r="R62" i="5"/>
  <c r="F174" i="8"/>
  <c r="S62" i="5"/>
  <c r="K174" i="8"/>
  <c r="S65" i="5"/>
  <c r="K180" i="8"/>
  <c r="V12" i="24"/>
  <c r="V13" i="24"/>
  <c r="V14" i="24"/>
  <c r="V17" i="24"/>
  <c r="V20" i="24"/>
  <c r="V21" i="24"/>
  <c r="V25" i="24"/>
  <c r="V29" i="24"/>
  <c r="V30" i="24"/>
  <c r="V31" i="24"/>
  <c r="V32" i="24"/>
  <c r="T62" i="5"/>
  <c r="F206" i="8"/>
  <c r="U62" i="5"/>
  <c r="K206" i="8"/>
  <c r="L13" i="8"/>
  <c r="K13" i="8"/>
  <c r="J13" i="8"/>
  <c r="M6" i="15"/>
  <c r="O6" i="15"/>
  <c r="Q31" i="4"/>
  <c r="Q31" i="15"/>
  <c r="Q31" i="16"/>
  <c r="Q31" i="17"/>
  <c r="Q31" i="18"/>
  <c r="Q31" i="19"/>
  <c r="Q31" i="20"/>
  <c r="Q31" i="21"/>
  <c r="Q31" i="22"/>
  <c r="Q31" i="23"/>
  <c r="Q31" i="24"/>
  <c r="Q31" i="25"/>
  <c r="M13" i="9"/>
  <c r="M14" i="9"/>
  <c r="M12" i="9"/>
  <c r="I13" i="9"/>
  <c r="I14" i="9"/>
  <c r="I15" i="9"/>
  <c r="I12" i="9"/>
  <c r="G12" i="9"/>
  <c r="G11" i="9"/>
  <c r="F11" i="9"/>
  <c r="E12" i="9"/>
  <c r="E13" i="9"/>
  <c r="E14" i="9"/>
  <c r="E11" i="9"/>
  <c r="C12" i="9"/>
  <c r="C13" i="9"/>
  <c r="C14" i="9"/>
  <c r="C11" i="9"/>
  <c r="C6" i="9"/>
  <c r="C5" i="9"/>
  <c r="V35" i="24"/>
  <c r="V22" i="24"/>
  <c r="V15" i="24"/>
  <c r="V37" i="24"/>
  <c r="V33" i="24"/>
  <c r="V28" i="24"/>
  <c r="V16" i="24"/>
  <c r="V27" i="24"/>
  <c r="V23" i="24"/>
  <c r="V19" i="24"/>
  <c r="V11" i="24"/>
  <c r="V38" i="24"/>
  <c r="P38" i="22"/>
  <c r="P38" i="24"/>
  <c r="P38" i="19"/>
  <c r="J23" i="8"/>
  <c r="J25" i="8"/>
  <c r="J19" i="8"/>
  <c r="J18" i="8"/>
  <c r="J15" i="8"/>
  <c r="J16" i="8"/>
  <c r="C60" i="10"/>
  <c r="C61" i="10"/>
  <c r="C62" i="10"/>
  <c r="C63" i="10"/>
  <c r="C64" i="10"/>
  <c r="C65" i="10"/>
  <c r="C66" i="10"/>
  <c r="C67" i="10"/>
  <c r="C68" i="10"/>
  <c r="C69" i="10"/>
  <c r="C70" i="10"/>
  <c r="C71" i="10"/>
  <c r="C72" i="10"/>
  <c r="C73" i="10"/>
  <c r="C59" i="10"/>
  <c r="C7" i="10"/>
  <c r="V8" i="24"/>
  <c r="R65" i="5"/>
  <c r="F180" i="8"/>
  <c r="P20" i="20"/>
  <c r="P10" i="22"/>
  <c r="P22" i="24"/>
  <c r="P34" i="24"/>
  <c r="P27" i="24"/>
  <c r="L27" i="9"/>
  <c r="F32" i="9"/>
  <c r="I28" i="9"/>
  <c r="O46" i="9"/>
  <c r="N20" i="9"/>
  <c r="E24" i="9"/>
  <c r="H47" i="9"/>
  <c r="L23" i="9"/>
  <c r="I31" i="9"/>
  <c r="H43" i="9"/>
  <c r="O38" i="9"/>
  <c r="O33" i="9"/>
  <c r="I40" i="9"/>
  <c r="G48" i="9"/>
  <c r="J36" i="9"/>
  <c r="K34" i="9"/>
  <c r="H33" i="9"/>
  <c r="G30" i="9"/>
  <c r="J22" i="9"/>
  <c r="F38" i="9"/>
  <c r="I47" i="9"/>
  <c r="K28" i="9"/>
  <c r="D38" i="9"/>
  <c r="N41" i="9"/>
  <c r="M37" i="9"/>
  <c r="I37" i="9"/>
  <c r="E48" i="9"/>
  <c r="J25" i="9"/>
  <c r="K24" i="9"/>
  <c r="N45" i="9"/>
  <c r="F24" i="9"/>
  <c r="D37" i="9"/>
  <c r="E20" i="9"/>
  <c r="D32" i="9"/>
  <c r="G44" i="9"/>
  <c r="D44" i="9"/>
  <c r="O28" i="9"/>
  <c r="H46" i="9"/>
  <c r="G27" i="9"/>
  <c r="N46" i="9"/>
  <c r="L45" i="9"/>
  <c r="D43" i="9"/>
  <c r="N32" i="9"/>
  <c r="E40" i="9"/>
  <c r="M34" i="9"/>
  <c r="J48" i="9"/>
  <c r="G36" i="9"/>
  <c r="O48" i="9"/>
  <c r="J20" i="9"/>
  <c r="G24" i="9"/>
  <c r="D23" i="9"/>
  <c r="K46" i="9"/>
  <c r="N47" i="9"/>
  <c r="F44" i="9"/>
  <c r="E22" i="9"/>
  <c r="D33" i="9"/>
  <c r="J35" i="9"/>
  <c r="D40" i="9"/>
  <c r="J39" i="9"/>
  <c r="K48" i="9"/>
  <c r="H37" i="9"/>
  <c r="G37" i="9"/>
  <c r="E47" i="9"/>
  <c r="I32" i="9"/>
  <c r="N39" i="9"/>
  <c r="H49" i="9"/>
  <c r="K45" i="9"/>
  <c r="I20" i="9"/>
  <c r="J21" i="9"/>
  <c r="J49" i="9"/>
  <c r="M33" i="9"/>
  <c r="F28" i="9"/>
  <c r="F25" i="9"/>
  <c r="M44" i="9"/>
  <c r="N26" i="9"/>
  <c r="F43" i="9"/>
  <c r="H39" i="9"/>
  <c r="L29" i="9"/>
  <c r="G42" i="9"/>
  <c r="H44" i="9"/>
  <c r="E32" i="9"/>
  <c r="H48" i="9"/>
  <c r="D36" i="9"/>
  <c r="O20" i="9"/>
  <c r="F23" i="9"/>
  <c r="K37" i="9"/>
  <c r="F35" i="9"/>
  <c r="J24" i="9"/>
  <c r="I36" i="9"/>
  <c r="L31" i="9"/>
  <c r="F26" i="9"/>
  <c r="H31" i="9"/>
  <c r="J46" i="9"/>
  <c r="H38" i="9"/>
  <c r="E49" i="9"/>
  <c r="E33" i="9"/>
  <c r="M29" i="9"/>
  <c r="O26" i="9"/>
  <c r="H40" i="9"/>
  <c r="E46" i="9"/>
  <c r="E45" i="9"/>
  <c r="F46" i="9"/>
  <c r="J45" i="9"/>
  <c r="F48" i="9"/>
  <c r="O22" i="9"/>
  <c r="I42" i="9"/>
  <c r="J26" i="9"/>
  <c r="J41" i="9"/>
  <c r="D42" i="9"/>
  <c r="H30" i="9"/>
  <c r="L44" i="9"/>
  <c r="E23" i="9"/>
  <c r="M46" i="9"/>
  <c r="G32" i="9"/>
  <c r="L43" i="9"/>
  <c r="I41" i="9"/>
  <c r="L47" i="9"/>
  <c r="J31" i="9"/>
  <c r="K26" i="9"/>
  <c r="N22" i="9"/>
  <c r="K35" i="9"/>
  <c r="M35" i="9"/>
  <c r="E36" i="9"/>
  <c r="E42" i="9"/>
  <c r="O21" i="9"/>
  <c r="H36" i="9"/>
  <c r="D26" i="9"/>
  <c r="D22" i="9"/>
  <c r="L32" i="9"/>
  <c r="D28" i="9"/>
  <c r="D48" i="9"/>
  <c r="H29" i="9"/>
  <c r="L48" i="9"/>
  <c r="K39" i="9"/>
  <c r="E28" i="9"/>
  <c r="I43" i="9"/>
  <c r="G22" i="9"/>
  <c r="G26" i="9"/>
  <c r="G41" i="9"/>
  <c r="O35" i="9"/>
  <c r="K41" i="9"/>
  <c r="G47" i="9"/>
  <c r="K23" i="9"/>
  <c r="H42" i="9"/>
  <c r="K29" i="9"/>
  <c r="L20" i="9"/>
  <c r="H24" i="9"/>
  <c r="M19" i="9"/>
  <c r="E38" i="9"/>
  <c r="I27" i="9"/>
  <c r="M26" i="9"/>
  <c r="G28" i="9"/>
  <c r="L35" i="9"/>
  <c r="M39" i="9"/>
  <c r="M24" i="9"/>
  <c r="K30" i="9"/>
  <c r="N30" i="9"/>
  <c r="L21" i="9"/>
  <c r="L37" i="9"/>
  <c r="I35" i="9"/>
  <c r="N35" i="9"/>
  <c r="J42" i="9"/>
  <c r="J47" i="9"/>
  <c r="F30" i="9"/>
  <c r="G39" i="9"/>
  <c r="F37" i="9"/>
  <c r="F36" i="9"/>
  <c r="D21" i="9"/>
  <c r="O40" i="9"/>
  <c r="E19" i="9"/>
  <c r="F41" i="9"/>
  <c r="I33" i="9"/>
  <c r="M36" i="9"/>
  <c r="H21" i="9"/>
  <c r="F39" i="9"/>
  <c r="K47" i="9"/>
  <c r="L40" i="9"/>
  <c r="G33" i="9"/>
  <c r="O36" i="9"/>
  <c r="M41" i="9"/>
  <c r="N37" i="9"/>
  <c r="F19" i="9"/>
  <c r="I29" i="9"/>
  <c r="F42" i="9"/>
  <c r="J44" i="9"/>
  <c r="F47" i="9"/>
  <c r="F45" i="9"/>
  <c r="F49" i="9"/>
  <c r="M43" i="9"/>
  <c r="H28" i="9"/>
  <c r="M40" i="9"/>
  <c r="N21" i="9"/>
  <c r="L19" i="9"/>
  <c r="G19" i="9"/>
  <c r="O45" i="9"/>
  <c r="E25" i="9"/>
  <c r="L46" i="9"/>
  <c r="K38" i="9"/>
  <c r="E35" i="9"/>
  <c r="N34" i="9"/>
  <c r="I25" i="9"/>
  <c r="G46" i="9"/>
  <c r="J23" i="9"/>
  <c r="K27" i="9"/>
  <c r="N23" i="9"/>
  <c r="D20" i="9"/>
  <c r="H41" i="9"/>
  <c r="G43" i="9"/>
  <c r="L30" i="9"/>
  <c r="J43" i="9"/>
  <c r="I46" i="9"/>
  <c r="L38" i="9"/>
  <c r="N25" i="9"/>
  <c r="I38" i="9"/>
  <c r="G35" i="9"/>
  <c r="N38" i="9"/>
  <c r="E26" i="9"/>
  <c r="K49" i="9"/>
  <c r="K19" i="9"/>
  <c r="D24" i="9"/>
  <c r="F21" i="9"/>
  <c r="N33" i="9"/>
  <c r="L24" i="9"/>
  <c r="K22" i="9"/>
  <c r="L36" i="9"/>
  <c r="N40" i="9"/>
  <c r="I48" i="9"/>
  <c r="H22" i="9"/>
  <c r="F33" i="9"/>
  <c r="M27" i="9"/>
  <c r="D49" i="9"/>
  <c r="L34" i="9"/>
  <c r="O19" i="9"/>
  <c r="O43" i="9"/>
  <c r="D30" i="9"/>
  <c r="N28" i="9"/>
  <c r="N27" i="9"/>
  <c r="O27" i="9"/>
  <c r="G38" i="9"/>
  <c r="H23" i="9"/>
  <c r="D45" i="9"/>
  <c r="E30" i="9"/>
  <c r="K33" i="9"/>
  <c r="L39" i="9"/>
  <c r="J19" i="9"/>
  <c r="O30" i="9"/>
  <c r="E37" i="9"/>
  <c r="H32" i="9"/>
  <c r="M28" i="9"/>
  <c r="N42" i="9"/>
  <c r="M47" i="9"/>
  <c r="L33" i="9"/>
  <c r="F34" i="9"/>
  <c r="H19" i="9"/>
  <c r="K43" i="9"/>
  <c r="M32" i="9"/>
  <c r="D41" i="9"/>
  <c r="J27" i="9"/>
  <c r="M45" i="9"/>
  <c r="G29" i="9"/>
  <c r="H26" i="9"/>
  <c r="J28" i="9"/>
  <c r="E27" i="9"/>
  <c r="J34" i="9"/>
  <c r="L22" i="9"/>
  <c r="D35" i="9"/>
  <c r="K42" i="9"/>
  <c r="J30" i="9"/>
  <c r="D31" i="9"/>
  <c r="K40" i="9"/>
  <c r="G21" i="9"/>
  <c r="G34" i="9"/>
  <c r="G20" i="9"/>
  <c r="L26" i="9"/>
  <c r="I22" i="9"/>
  <c r="K32" i="9"/>
  <c r="E34" i="9"/>
  <c r="G45" i="9"/>
  <c r="D47" i="9"/>
  <c r="F20" i="9"/>
  <c r="O34" i="9"/>
  <c r="H27" i="9"/>
  <c r="F22" i="9"/>
  <c r="G31" i="9"/>
  <c r="O24" i="9"/>
  <c r="K25" i="9"/>
  <c r="N31" i="9"/>
  <c r="F29" i="9"/>
  <c r="F27" i="9"/>
  <c r="D34" i="9"/>
  <c r="H34" i="9"/>
  <c r="M22" i="9"/>
  <c r="K31" i="9"/>
  <c r="D25" i="9"/>
  <c r="M31" i="9"/>
  <c r="E41" i="9"/>
  <c r="O42" i="9"/>
  <c r="N19" i="9"/>
  <c r="J37" i="9"/>
  <c r="J38" i="9"/>
  <c r="O47" i="9"/>
  <c r="M23" i="9"/>
  <c r="D46" i="9"/>
  <c r="I24" i="9"/>
  <c r="I34" i="9"/>
  <c r="F40" i="9"/>
  <c r="E39" i="9"/>
  <c r="H20" i="9"/>
  <c r="M42" i="9"/>
  <c r="N48" i="9"/>
  <c r="O25" i="9"/>
  <c r="K44" i="9"/>
  <c r="M49" i="9"/>
  <c r="O41" i="9"/>
  <c r="L25" i="9"/>
  <c r="J40" i="9"/>
  <c r="N43" i="9"/>
  <c r="G49" i="9"/>
  <c r="H25" i="9"/>
  <c r="D39" i="9"/>
  <c r="I49" i="9"/>
  <c r="D19" i="9"/>
  <c r="E31" i="9"/>
  <c r="M21" i="9"/>
  <c r="F31" i="9"/>
  <c r="G40" i="9"/>
  <c r="I44" i="9"/>
  <c r="J29" i="9"/>
  <c r="K20" i="9"/>
  <c r="O44" i="9"/>
  <c r="L49" i="9"/>
  <c r="K21" i="9"/>
  <c r="O37" i="9"/>
  <c r="G25" i="9"/>
  <c r="E44" i="9"/>
  <c r="I39" i="9"/>
  <c r="I45" i="9"/>
  <c r="D29" i="9"/>
  <c r="N44" i="9"/>
  <c r="O29" i="9"/>
  <c r="I21" i="9"/>
  <c r="N24" i="9"/>
  <c r="L42" i="9"/>
  <c r="M25" i="9"/>
  <c r="E43" i="9"/>
  <c r="J32" i="9"/>
  <c r="M30" i="9"/>
  <c r="O23" i="9"/>
  <c r="O39" i="9"/>
  <c r="I30" i="9"/>
  <c r="K36" i="9"/>
  <c r="I26" i="9"/>
  <c r="D27" i="9"/>
  <c r="L28" i="9"/>
  <c r="M38" i="9"/>
  <c r="H35" i="9"/>
  <c r="M48" i="9"/>
  <c r="N29" i="9"/>
  <c r="I23" i="9"/>
  <c r="O49" i="9"/>
  <c r="O32" i="9"/>
  <c r="G23" i="9"/>
  <c r="N36" i="9"/>
  <c r="I19" i="9"/>
  <c r="O31" i="9"/>
  <c r="L41" i="9"/>
  <c r="H45" i="9"/>
  <c r="E21" i="9"/>
  <c r="J33" i="9"/>
  <c r="N49" i="9"/>
  <c r="E29" i="9"/>
  <c r="M20" i="9"/>
  <c r="P24" i="19"/>
  <c r="P25" i="19"/>
  <c r="D14" i="5"/>
  <c r="D21" i="8"/>
  <c r="D12" i="5"/>
  <c r="D19" i="8"/>
  <c r="J17" i="8"/>
  <c r="D9" i="5"/>
  <c r="D16" i="8"/>
  <c r="AF23" i="19"/>
  <c r="O65" i="5"/>
  <c r="K116" i="8"/>
  <c r="AF25" i="19"/>
  <c r="P22" i="19"/>
  <c r="D15" i="5"/>
  <c r="D22" i="8"/>
  <c r="AE26" i="19"/>
  <c r="AF26" i="19"/>
  <c r="AE12" i="19"/>
  <c r="AF12" i="19"/>
  <c r="AE22" i="19"/>
  <c r="AF22" i="19"/>
  <c r="AE15" i="19"/>
  <c r="AF15" i="19"/>
  <c r="G21" i="8"/>
  <c r="J22" i="8"/>
  <c r="D17" i="5"/>
  <c r="D24" i="8"/>
  <c r="D18" i="5"/>
  <c r="D25" i="8"/>
  <c r="Q25" i="25"/>
  <c r="V24" i="24"/>
  <c r="H49" i="19"/>
  <c r="U61" i="5"/>
  <c r="K204" i="8"/>
  <c r="J5" i="7"/>
  <c r="Q25" i="20"/>
  <c r="V9" i="24"/>
  <c r="Q25" i="18"/>
  <c r="AF24" i="19"/>
  <c r="S5" i="21"/>
  <c r="O7" i="7"/>
  <c r="E53" i="9"/>
  <c r="C53" i="9"/>
  <c r="M56" i="5"/>
  <c r="K66" i="8"/>
  <c r="M59" i="5"/>
  <c r="M54" i="5"/>
  <c r="M55" i="5"/>
  <c r="K64" i="8"/>
  <c r="M58" i="5"/>
  <c r="K70" i="8"/>
  <c r="M57" i="5"/>
  <c r="K68" i="8"/>
  <c r="M60" i="5"/>
  <c r="K74" i="8"/>
  <c r="Q60" i="5"/>
  <c r="K138" i="8"/>
  <c r="Q57" i="5"/>
  <c r="K132" i="8"/>
  <c r="Q56" i="5"/>
  <c r="K130" i="8"/>
  <c r="Q59" i="5"/>
  <c r="Q55" i="5"/>
  <c r="K128" i="8"/>
  <c r="Q58" i="5"/>
  <c r="K134" i="8"/>
  <c r="Q54" i="5"/>
  <c r="L57" i="5"/>
  <c r="F68" i="8"/>
  <c r="L54" i="5"/>
  <c r="L60" i="5"/>
  <c r="F74" i="8"/>
  <c r="L55" i="5"/>
  <c r="F64" i="8"/>
  <c r="L59" i="5"/>
  <c r="L58" i="5"/>
  <c r="F70" i="8"/>
  <c r="L56" i="5"/>
  <c r="F66" i="8"/>
  <c r="T25" i="20"/>
  <c r="N5" i="7"/>
  <c r="O60" i="5"/>
  <c r="K106" i="8"/>
  <c r="K64" i="5"/>
  <c r="K50" i="8"/>
  <c r="J57" i="5"/>
  <c r="J54" i="5"/>
  <c r="J60" i="5"/>
  <c r="J55" i="5"/>
  <c r="J59" i="5"/>
  <c r="J56" i="5"/>
  <c r="J58" i="5"/>
  <c r="R64" i="5"/>
  <c r="F178" i="8"/>
  <c r="P55" i="5"/>
  <c r="F128" i="8"/>
  <c r="T25" i="25"/>
  <c r="S5" i="7"/>
  <c r="R57" i="5"/>
  <c r="F164" i="8"/>
  <c r="R58" i="5"/>
  <c r="F166" i="8"/>
  <c r="P58" i="5"/>
  <c r="F134" i="8"/>
  <c r="Q25" i="23"/>
  <c r="T64" i="5"/>
  <c r="F210" i="8"/>
  <c r="L64" i="5"/>
  <c r="F82" i="8"/>
  <c r="S55" i="5"/>
  <c r="K160" i="8"/>
  <c r="S58" i="5"/>
  <c r="K166" i="8"/>
  <c r="S60" i="5"/>
  <c r="K170" i="8"/>
  <c r="V10" i="24"/>
  <c r="R55" i="5"/>
  <c r="F160" i="8"/>
  <c r="R54" i="5"/>
  <c r="R56" i="5"/>
  <c r="F162" i="8"/>
  <c r="R59" i="5"/>
  <c r="N55" i="5"/>
  <c r="F96" i="8"/>
  <c r="N60" i="5"/>
  <c r="F106" i="8"/>
  <c r="N57" i="5"/>
  <c r="F100" i="8"/>
  <c r="N54" i="5"/>
  <c r="N56" i="5"/>
  <c r="F98" i="8"/>
  <c r="N59" i="5"/>
  <c r="H5" i="7"/>
  <c r="Q25" i="4"/>
  <c r="K61" i="5"/>
  <c r="K44" i="8"/>
  <c r="K56" i="5"/>
  <c r="K34" i="8"/>
  <c r="T25" i="23"/>
  <c r="Q5" i="7"/>
  <c r="S9" i="16"/>
  <c r="F9" i="5"/>
  <c r="E16" i="8"/>
  <c r="M64" i="5"/>
  <c r="K82" i="8"/>
  <c r="S59" i="5"/>
  <c r="Q61" i="5"/>
  <c r="K140" i="8"/>
  <c r="S9" i="20"/>
  <c r="F13" i="5"/>
  <c r="E20" i="8"/>
  <c r="S9" i="4"/>
  <c r="F7" i="5"/>
  <c r="E14" i="8"/>
  <c r="K54" i="5"/>
  <c r="P9" i="22"/>
  <c r="Q25" i="22"/>
  <c r="R61" i="5"/>
  <c r="F172" i="8"/>
  <c r="O59" i="5"/>
  <c r="O55" i="5"/>
  <c r="K96" i="8"/>
  <c r="O58" i="5"/>
  <c r="K102" i="8"/>
  <c r="AE8" i="19"/>
  <c r="AF8" i="19"/>
  <c r="J14" i="8"/>
  <c r="V26" i="24"/>
  <c r="M61" i="5"/>
  <c r="K76" i="8"/>
  <c r="P64" i="5"/>
  <c r="F146" i="8"/>
  <c r="P23" i="21"/>
  <c r="Q25" i="21"/>
  <c r="S61" i="5"/>
  <c r="K172" i="8"/>
  <c r="S56" i="5"/>
  <c r="K162" i="8"/>
  <c r="F51" i="19"/>
  <c r="O64" i="5"/>
  <c r="K114" i="8"/>
  <c r="T65" i="5"/>
  <c r="F212" i="8"/>
  <c r="S64" i="5"/>
  <c r="K178" i="8"/>
  <c r="R60" i="5"/>
  <c r="F170" i="8"/>
  <c r="AE28" i="19"/>
  <c r="AF28" i="19"/>
  <c r="L61" i="5"/>
  <c r="F76" i="8"/>
  <c r="J65" i="5"/>
  <c r="J64" i="5"/>
  <c r="S9" i="17"/>
  <c r="F10" i="5"/>
  <c r="E17" i="8"/>
  <c r="AE35" i="19"/>
  <c r="AF35" i="19"/>
  <c r="J20" i="8"/>
  <c r="T61" i="5"/>
  <c r="F204" i="8"/>
  <c r="P11" i="24"/>
  <c r="Q25" i="24"/>
  <c r="S9" i="24"/>
  <c r="F17" i="5"/>
  <c r="E24" i="8"/>
  <c r="K59" i="5"/>
  <c r="S9" i="19"/>
  <c r="F12" i="5"/>
  <c r="E19" i="8"/>
  <c r="S54" i="5"/>
  <c r="V36" i="24"/>
  <c r="V34" i="24"/>
  <c r="S57" i="5"/>
  <c r="K164" i="8"/>
  <c r="AE33" i="19"/>
  <c r="AF33" i="19"/>
  <c r="AF16" i="19"/>
  <c r="D13" i="5"/>
  <c r="D20" i="8"/>
  <c r="L5" i="7"/>
  <c r="D14" i="8"/>
  <c r="J61" i="5"/>
  <c r="M65" i="5"/>
  <c r="K84" i="8"/>
  <c r="G53" i="9"/>
  <c r="F46" i="8"/>
  <c r="F39" i="5"/>
  <c r="P60" i="5"/>
  <c r="F138" i="8"/>
  <c r="P57" i="5"/>
  <c r="F132" i="8"/>
  <c r="P54" i="5"/>
  <c r="P56" i="5"/>
  <c r="F130" i="8"/>
  <c r="P59" i="5"/>
  <c r="Q25" i="17"/>
  <c r="K5" i="7"/>
  <c r="U56" i="5"/>
  <c r="K194" i="8"/>
  <c r="V18" i="24"/>
  <c r="AF34" i="19"/>
  <c r="Q25" i="16"/>
  <c r="AF30" i="19"/>
  <c r="S9" i="15"/>
  <c r="F8" i="5"/>
  <c r="E15" i="8"/>
  <c r="Q65" i="5"/>
  <c r="K148" i="8"/>
  <c r="Q64" i="5"/>
  <c r="K146" i="8"/>
  <c r="AE14" i="19"/>
  <c r="AF14" i="19"/>
  <c r="N65" i="5"/>
  <c r="F116" i="8"/>
  <c r="S9" i="21"/>
  <c r="F14" i="5"/>
  <c r="E21" i="8"/>
  <c r="K57" i="5"/>
  <c r="K36" i="8"/>
  <c r="K58" i="5"/>
  <c r="K38" i="8"/>
  <c r="K55" i="5"/>
  <c r="K32" i="8"/>
  <c r="P65" i="5"/>
  <c r="F148" i="8"/>
  <c r="S9" i="22"/>
  <c r="F15" i="5"/>
  <c r="E22" i="8"/>
  <c r="S9" i="18"/>
  <c r="F11" i="5"/>
  <c r="E18" i="8"/>
  <c r="N61" i="5"/>
  <c r="F108" i="8"/>
  <c r="T25" i="19"/>
  <c r="M5" i="7"/>
  <c r="O57" i="5"/>
  <c r="K100" i="8"/>
  <c r="F48" i="19"/>
  <c r="O61" i="5"/>
  <c r="K108" i="8"/>
  <c r="O54" i="5"/>
  <c r="Q25" i="19"/>
  <c r="T13" i="19"/>
  <c r="P61" i="5"/>
  <c r="F140" i="8"/>
  <c r="T13" i="21"/>
  <c r="M14" i="5"/>
  <c r="I21" i="8"/>
  <c r="H42" i="19"/>
  <c r="T25" i="24"/>
  <c r="R5" i="7"/>
  <c r="L66" i="5"/>
  <c r="F86" i="8"/>
  <c r="T25" i="22"/>
  <c r="P5" i="7"/>
  <c r="S66" i="5"/>
  <c r="K182" i="8"/>
  <c r="U63" i="5"/>
  <c r="K208" i="8"/>
  <c r="F15" i="8"/>
  <c r="H45" i="19"/>
  <c r="T66" i="5"/>
  <c r="F214" i="8"/>
  <c r="S5" i="18"/>
  <c r="L7" i="7"/>
  <c r="F18" i="8"/>
  <c r="M17" i="5"/>
  <c r="I24" i="8"/>
  <c r="T63" i="5"/>
  <c r="F208" i="8"/>
  <c r="T13" i="24"/>
  <c r="Q66" i="5"/>
  <c r="K150" i="8"/>
  <c r="F21" i="8"/>
  <c r="K60" i="5"/>
  <c r="K42" i="8"/>
  <c r="F34" i="8"/>
  <c r="O56" i="5"/>
  <c r="F27" i="5"/>
  <c r="M9" i="5"/>
  <c r="I16" i="8"/>
  <c r="G16" i="8"/>
  <c r="T13" i="20"/>
  <c r="P66" i="5"/>
  <c r="F150" i="8"/>
  <c r="J11" i="7"/>
  <c r="F72" i="8"/>
  <c r="U59" i="5"/>
  <c r="N64" i="5"/>
  <c r="F114" i="8"/>
  <c r="U66" i="5"/>
  <c r="K214" i="8"/>
  <c r="T13" i="25"/>
  <c r="K158" i="8"/>
  <c r="Q10" i="7"/>
  <c r="F23" i="8"/>
  <c r="S5" i="23"/>
  <c r="Q7" i="7"/>
  <c r="Q11" i="7"/>
  <c r="K168" i="8"/>
  <c r="I5" i="7"/>
  <c r="Q25" i="15"/>
  <c r="H10" i="7"/>
  <c r="F30" i="8"/>
  <c r="F23" i="5"/>
  <c r="U58" i="5"/>
  <c r="K198" i="8"/>
  <c r="H46" i="19"/>
  <c r="J63" i="5"/>
  <c r="M63" i="5"/>
  <c r="K80" i="8"/>
  <c r="T25" i="21"/>
  <c r="O5" i="7"/>
  <c r="F50" i="19"/>
  <c r="K104" i="8"/>
  <c r="F25" i="8"/>
  <c r="S5" i="25"/>
  <c r="S7" i="7"/>
  <c r="F22" i="8"/>
  <c r="S5" i="22"/>
  <c r="P7" i="7"/>
  <c r="F50" i="8"/>
  <c r="F43" i="5"/>
  <c r="T13" i="22"/>
  <c r="R66" i="5"/>
  <c r="F182" i="8"/>
  <c r="U55" i="5"/>
  <c r="K192" i="8"/>
  <c r="U64" i="5"/>
  <c r="K210" i="8"/>
  <c r="F94" i="8"/>
  <c r="P10" i="7"/>
  <c r="F158" i="8"/>
  <c r="F35" i="5"/>
  <c r="F42" i="8"/>
  <c r="O10" i="7"/>
  <c r="K126" i="8"/>
  <c r="U54" i="5"/>
  <c r="Q63" i="5"/>
  <c r="K144" i="8"/>
  <c r="S63" i="5"/>
  <c r="K176" i="8"/>
  <c r="T13" i="23"/>
  <c r="F136" i="8"/>
  <c r="K30" i="8"/>
  <c r="I10" i="7"/>
  <c r="K10" i="7"/>
  <c r="K62" i="8"/>
  <c r="N58" i="5"/>
  <c r="F31" i="5"/>
  <c r="F38" i="8"/>
  <c r="E12" i="7"/>
  <c r="D12" i="7"/>
  <c r="F37" i="5"/>
  <c r="F44" i="8"/>
  <c r="M66" i="5"/>
  <c r="K86" i="8"/>
  <c r="F52" i="8"/>
  <c r="F45" i="5"/>
  <c r="I53" i="9"/>
  <c r="F36" i="8"/>
  <c r="F29" i="5"/>
  <c r="M16" i="5"/>
  <c r="I23" i="8"/>
  <c r="G23" i="8"/>
  <c r="F24" i="8"/>
  <c r="S5" i="24"/>
  <c r="R7" i="7"/>
  <c r="F126" i="8"/>
  <c r="N10" i="7"/>
  <c r="K40" i="8"/>
  <c r="S5" i="17"/>
  <c r="K7" i="7"/>
  <c r="F17" i="8"/>
  <c r="F25" i="5"/>
  <c r="F32" i="8"/>
  <c r="H47" i="19"/>
  <c r="U60" i="5"/>
  <c r="K202" i="8"/>
  <c r="S5" i="16"/>
  <c r="J7" i="7"/>
  <c r="F16" i="8"/>
  <c r="U57" i="5"/>
  <c r="K196" i="8"/>
  <c r="F102" i="8"/>
  <c r="K136" i="8"/>
  <c r="O11" i="7"/>
  <c r="F20" i="8"/>
  <c r="S5" i="20"/>
  <c r="N7" i="7"/>
  <c r="N66" i="5"/>
  <c r="F118" i="8"/>
  <c r="K98" i="8"/>
  <c r="H43" i="19"/>
  <c r="U65" i="5"/>
  <c r="K212" i="8"/>
  <c r="F104" i="8"/>
  <c r="L11" i="7"/>
  <c r="P11" i="7"/>
  <c r="F168" i="8"/>
  <c r="F33" i="5"/>
  <c r="H11" i="7"/>
  <c r="F40" i="8"/>
  <c r="J10" i="7"/>
  <c r="F62" i="8"/>
  <c r="K72" i="8"/>
  <c r="K11" i="7"/>
  <c r="H51" i="19"/>
  <c r="H44" i="19"/>
  <c r="M11" i="7"/>
  <c r="H48" i="19"/>
  <c r="F19" i="8"/>
  <c r="H41" i="19"/>
  <c r="S13" i="19"/>
  <c r="F53" i="19"/>
  <c r="O66" i="5"/>
  <c r="K118" i="8"/>
  <c r="S5" i="19"/>
  <c r="M7" i="7"/>
  <c r="N11" i="7"/>
  <c r="G24" i="8"/>
  <c r="K66" i="5"/>
  <c r="K54" i="8"/>
  <c r="S5" i="15"/>
  <c r="I7" i="7"/>
  <c r="T5" i="7"/>
  <c r="D5" i="7"/>
  <c r="E5" i="7"/>
  <c r="D8" i="8"/>
  <c r="I11" i="7"/>
  <c r="D16" i="7"/>
  <c r="E16" i="7"/>
  <c r="M15" i="5"/>
  <c r="I22" i="8"/>
  <c r="G22" i="8"/>
  <c r="F48" i="8"/>
  <c r="O63" i="5"/>
  <c r="N63" i="5"/>
  <c r="F41" i="5"/>
  <c r="G18" i="8"/>
  <c r="M11" i="5"/>
  <c r="I18" i="8"/>
  <c r="F112" i="8"/>
  <c r="M12" i="5"/>
  <c r="I19" i="8"/>
  <c r="G19" i="8"/>
  <c r="K190" i="8"/>
  <c r="S10" i="7"/>
  <c r="T54" i="5"/>
  <c r="S11" i="7"/>
  <c r="K200" i="8"/>
  <c r="F52" i="5"/>
  <c r="F53" i="5"/>
  <c r="L63" i="5"/>
  <c r="F80" i="8"/>
  <c r="T58" i="5"/>
  <c r="F198" i="8"/>
  <c r="M13" i="5"/>
  <c r="I20" i="8"/>
  <c r="G20" i="8"/>
  <c r="L10" i="7"/>
  <c r="V64" i="5"/>
  <c r="T59" i="5"/>
  <c r="K63" i="5"/>
  <c r="K48" i="8"/>
  <c r="P63" i="5"/>
  <c r="F144" i="8"/>
  <c r="T55" i="5"/>
  <c r="F192" i="8"/>
  <c r="K112" i="8"/>
  <c r="H50" i="19"/>
  <c r="R63" i="5"/>
  <c r="F176" i="8"/>
  <c r="T60" i="5"/>
  <c r="F202" i="8"/>
  <c r="M8" i="5"/>
  <c r="I15" i="8"/>
  <c r="G15" i="8"/>
  <c r="J66" i="5"/>
  <c r="S5" i="4"/>
  <c r="H7" i="7"/>
  <c r="M10" i="5"/>
  <c r="I17" i="8"/>
  <c r="G17" i="8"/>
  <c r="K94" i="8"/>
  <c r="M10" i="7"/>
  <c r="T57" i="5"/>
  <c r="F196" i="8"/>
  <c r="T56" i="5"/>
  <c r="F194" i="8"/>
  <c r="M18" i="5"/>
  <c r="I25" i="8"/>
  <c r="G25" i="8"/>
  <c r="F54" i="19"/>
  <c r="F55" i="19"/>
  <c r="O68" i="5"/>
  <c r="T7" i="7"/>
  <c r="D7" i="7"/>
  <c r="C10" i="8"/>
  <c r="K67" i="5"/>
  <c r="C8" i="8"/>
  <c r="S19" i="21"/>
  <c r="Q67" i="5"/>
  <c r="Q68" i="5"/>
  <c r="S19" i="25"/>
  <c r="U68" i="5"/>
  <c r="U67" i="5"/>
  <c r="I14" i="8"/>
  <c r="G14" i="8"/>
  <c r="V63" i="5"/>
  <c r="F200" i="8"/>
  <c r="R11" i="7"/>
  <c r="S19" i="4"/>
  <c r="J67" i="5"/>
  <c r="S67" i="5"/>
  <c r="S19" i="23"/>
  <c r="S68" i="5"/>
  <c r="F54" i="8"/>
  <c r="F47" i="5"/>
  <c r="S19" i="22"/>
  <c r="R67" i="5"/>
  <c r="R68" i="5"/>
  <c r="P67" i="5"/>
  <c r="P68" i="5"/>
  <c r="S19" i="20"/>
  <c r="F14" i="8"/>
  <c r="L68" i="5"/>
  <c r="L67" i="5"/>
  <c r="S19" i="16"/>
  <c r="N67" i="5"/>
  <c r="S19" i="18"/>
  <c r="N68" i="5"/>
  <c r="M67" i="5"/>
  <c r="S19" i="17"/>
  <c r="M68" i="5"/>
  <c r="R10" i="7"/>
  <c r="F190" i="8"/>
  <c r="O67" i="5"/>
  <c r="K120" i="8"/>
  <c r="S19" i="19"/>
  <c r="E7" i="7"/>
  <c r="D10" i="8"/>
  <c r="L9" i="7"/>
  <c r="L11" i="5"/>
  <c r="F122" i="8"/>
  <c r="I8" i="7"/>
  <c r="K56" i="8"/>
  <c r="K8" i="7"/>
  <c r="K88" i="8"/>
  <c r="H14" i="8"/>
  <c r="S9" i="7"/>
  <c r="L18" i="5"/>
  <c r="K218" i="8"/>
  <c r="F49" i="5"/>
  <c r="H8" i="7"/>
  <c r="F56" i="8"/>
  <c r="S8" i="7"/>
  <c r="K216" i="8"/>
  <c r="L10" i="5"/>
  <c r="K90" i="8"/>
  <c r="K9" i="7"/>
  <c r="L9" i="5"/>
  <c r="J9" i="7"/>
  <c r="F90" i="8"/>
  <c r="Q8" i="7"/>
  <c r="K184" i="8"/>
  <c r="F88" i="8"/>
  <c r="J8" i="7"/>
  <c r="P8" i="7"/>
  <c r="F184" i="8"/>
  <c r="L12" i="5"/>
  <c r="K122" i="8"/>
  <c r="M9" i="7"/>
  <c r="O8" i="7"/>
  <c r="K152" i="8"/>
  <c r="P9" i="7"/>
  <c r="L15" i="5"/>
  <c r="F186" i="8"/>
  <c r="Q9" i="7"/>
  <c r="L16" i="5"/>
  <c r="K186" i="8"/>
  <c r="L14" i="5"/>
  <c r="K154" i="8"/>
  <c r="O9" i="7"/>
  <c r="L8" i="7"/>
  <c r="F120" i="8"/>
  <c r="F152" i="8"/>
  <c r="N8" i="7"/>
  <c r="F154" i="8"/>
  <c r="N9" i="7"/>
  <c r="L13" i="5"/>
  <c r="S19" i="24"/>
  <c r="T67" i="5"/>
  <c r="T68" i="5"/>
  <c r="F58" i="8"/>
  <c r="H9" i="7"/>
  <c r="F51" i="5"/>
  <c r="M8" i="7"/>
  <c r="I9" i="7"/>
  <c r="K58" i="8"/>
  <c r="N15" i="5"/>
  <c r="L22" i="8"/>
  <c r="K22" i="8"/>
  <c r="K20" i="8"/>
  <c r="N13" i="5"/>
  <c r="L20" i="8"/>
  <c r="N9" i="5"/>
  <c r="L16" i="8"/>
  <c r="K16" i="8"/>
  <c r="N11" i="5"/>
  <c r="L18" i="8"/>
  <c r="K18" i="8"/>
  <c r="N12" i="5"/>
  <c r="L19" i="8"/>
  <c r="K19" i="8"/>
  <c r="R8" i="7"/>
  <c r="F216" i="8"/>
  <c r="N16" i="5"/>
  <c r="L23" i="8"/>
  <c r="K23" i="8"/>
  <c r="F218" i="8"/>
  <c r="R9" i="7"/>
  <c r="L17" i="5"/>
  <c r="N8" i="5"/>
  <c r="L15" i="8"/>
  <c r="K15" i="8"/>
  <c r="K21" i="8"/>
  <c r="N14" i="5"/>
  <c r="L21" i="8"/>
  <c r="N18" i="5"/>
  <c r="L25" i="8"/>
  <c r="K25" i="8"/>
  <c r="D14" i="7"/>
  <c r="E14" i="7"/>
  <c r="N10" i="5"/>
  <c r="L17" i="8"/>
  <c r="K17" i="8"/>
  <c r="K14" i="8"/>
  <c r="L14" i="8"/>
  <c r="H15" i="8"/>
  <c r="H16" i="8"/>
  <c r="K24" i="8"/>
  <c r="N17" i="5"/>
  <c r="L24" i="8"/>
  <c r="H17" i="8"/>
  <c r="H18" i="8"/>
  <c r="H19" i="8"/>
  <c r="H20" i="8"/>
  <c r="S11" i="24"/>
  <c r="I5" i="25"/>
  <c r="H21" i="8"/>
  <c r="S11" i="25"/>
  <c r="T11" i="25"/>
  <c r="H22" i="8"/>
  <c r="H23" i="8"/>
  <c r="H24" i="8"/>
  <c r="H25" i="8"/>
</calcChain>
</file>

<file path=xl/comments1.xml><?xml version="1.0" encoding="utf-8"?>
<comments xmlns="http://schemas.openxmlformats.org/spreadsheetml/2006/main">
  <authors>
    <author>Leonardo</author>
  </authors>
  <commentList>
    <comment ref="C5" authorId="0">
      <text>
        <r>
          <rPr>
            <sz val="9"/>
            <color indexed="81"/>
            <rFont val="Segoe UI"/>
            <family val="2"/>
          </rPr>
          <t>Ao inserir o ano de vigência, a planilha montará um calendário de acordo com o ano para o preenchimento da folha de ponto.</t>
        </r>
      </text>
    </comment>
    <comment ref="G5" authorId="0">
      <text>
        <r>
          <rPr>
            <sz val="9"/>
            <color indexed="81"/>
            <rFont val="Segoe UI"/>
            <family val="2"/>
          </rPr>
          <t>Defina qual modelo de contratação. O padrão para 40h semanais é o de 220h mensais, por exemplo.</t>
        </r>
      </text>
    </comment>
    <comment ref="C8" authorId="0">
      <text>
        <r>
          <rPr>
            <sz val="9"/>
            <color indexed="81"/>
            <rFont val="Segoe UI"/>
            <family val="2"/>
          </rPr>
          <t>Esta planilha faz o controle de folha de ponto de apenas um funcionário. Defina os dados desse funcionário.</t>
        </r>
      </text>
    </comment>
    <comment ref="C15" authorId="0">
      <text>
        <r>
          <rPr>
            <sz val="9"/>
            <color indexed="81"/>
            <rFont val="Segoe UI"/>
            <family val="2"/>
          </rPr>
          <t>Defina o salário basa para cada mês. Se o funcionário receber promoção, isso altera o valor de cada hora extra dele. Por isso, esta etapa é muito importante.</t>
        </r>
      </text>
    </comment>
    <comment ref="E22" authorId="0">
      <text>
        <r>
          <rPr>
            <sz val="9"/>
            <color indexed="81"/>
            <rFont val="Segoe UI"/>
            <family val="2"/>
          </rPr>
          <t>Defina o horário oficial de entrada.</t>
        </r>
      </text>
    </comment>
    <comment ref="F22" authorId="0">
      <text>
        <r>
          <rPr>
            <sz val="9"/>
            <color indexed="81"/>
            <rFont val="Segoe UI"/>
            <family val="2"/>
          </rPr>
          <t>Defina o horário de intervalo. Normalmente, esse intervalo é o almoço ou janta do funcionário.</t>
        </r>
      </text>
    </comment>
    <comment ref="I22" authorId="0">
      <text>
        <r>
          <rPr>
            <sz val="9"/>
            <color indexed="81"/>
            <rFont val="Segoe UI"/>
            <family val="2"/>
          </rPr>
          <t>Defina o horário de saída do funcionário.</t>
        </r>
      </text>
    </comment>
    <comment ref="C32" authorId="0">
      <text>
        <r>
          <rPr>
            <sz val="9"/>
            <color indexed="81"/>
            <rFont val="Segoe UI"/>
            <family val="2"/>
          </rPr>
          <t>Se você definir como pagamento de horas através de banco de horas, a planilha não fará o cálculo para identificar o valor em R$ a ser pago ao funcionário.</t>
        </r>
      </text>
    </comment>
    <comment ref="C35" authorId="0">
      <text>
        <r>
          <rPr>
            <b/>
            <sz val="9"/>
            <color indexed="81"/>
            <rFont val="Segoe UI"/>
            <family val="2"/>
          </rPr>
          <t>Leonardo:</t>
        </r>
        <r>
          <rPr>
            <sz val="9"/>
            <color indexed="81"/>
            <rFont val="Segoe UI"/>
            <family val="2"/>
          </rPr>
          <t xml:space="preserve">
Esse é o adicional padrão para horas extras em dias de semana e em horários que não estão entre 22h e 5h.</t>
        </r>
      </text>
    </comment>
    <comment ref="E35" authorId="0">
      <text>
        <r>
          <rPr>
            <sz val="9"/>
            <color indexed="81"/>
            <rFont val="Segoe UI"/>
            <family val="2"/>
          </rPr>
          <t>Você pode definir um adicional diferenciado para sábados.</t>
        </r>
      </text>
    </comment>
    <comment ref="F35" authorId="0">
      <text>
        <r>
          <rPr>
            <sz val="9"/>
            <color indexed="81"/>
            <rFont val="Segoe UI"/>
            <family val="2"/>
          </rPr>
          <t>Você pode definir um adicional diferenciado para domingos.</t>
        </r>
      </text>
    </comment>
    <comment ref="H35" authorId="0">
      <text>
        <r>
          <rPr>
            <sz val="9"/>
            <color indexed="81"/>
            <rFont val="Segoe UI"/>
            <family val="2"/>
          </rPr>
          <t>Defina o percentual adicional para trabalhos que acontecem entre 22h e 5h. Normalmente, esse percentual adicional é de 20%.</t>
        </r>
      </text>
    </comment>
    <comment ref="I35" authorId="0">
      <text>
        <r>
          <rPr>
            <sz val="9"/>
            <color indexed="81"/>
            <rFont val="Segoe UI"/>
            <family val="2"/>
          </rPr>
          <t>Defina o % adicional para o Descanso Semanal Remunerado. Normalmente, ele é de 50%.</t>
        </r>
      </text>
    </comment>
    <comment ref="K35" authorId="0">
      <text>
        <r>
          <rPr>
            <sz val="9"/>
            <color indexed="81"/>
            <rFont val="Segoe UI"/>
            <family val="2"/>
          </rPr>
          <t>Feriados costumam ter 100% de adicional, mas a planilha permite que você estipule seu percentual, pois se for em escala de revesamento, o % é de apenas 50%, por exemplo.</t>
        </r>
      </text>
    </comment>
    <comment ref="L35" authorId="0">
      <text>
        <r>
          <rPr>
            <sz val="9"/>
            <color indexed="81"/>
            <rFont val="Segoe UI"/>
            <family val="2"/>
          </rPr>
          <t>Alguns tipos de trabalho possuem um % de periculosidade. Normalmente, esse valor é de 30% e será calculado diretamente sobre o salário base do funcionário.</t>
        </r>
      </text>
    </comment>
    <comment ref="C38" authorId="0">
      <text>
        <r>
          <rPr>
            <sz val="9"/>
            <color indexed="81"/>
            <rFont val="Segoe UI"/>
            <family val="2"/>
          </rPr>
          <t>Todo funcionário tem direito de ficar 11h de descanso entre uma jornada de trabalho e outra. Caso isso não ocorra e o funcionário tenha que iniciar uma jornada antes dessas 11h, configura a Intrajornada.</t>
        </r>
      </text>
    </comment>
    <comment ref="H38" authorId="0">
      <text>
        <r>
          <rPr>
            <sz val="9"/>
            <color indexed="81"/>
            <rFont val="Segoe UI"/>
            <family val="2"/>
          </rPr>
          <t>O funcionário que possui uma jornada de mais de 6h de trabalho tem direito a ter 1h de intervalo. Qualquer hora trabalhada nesse período configura a Interjornada. O percentual adicional médio é de 50%.</t>
        </r>
      </text>
    </comment>
  </commentList>
</comments>
</file>

<file path=xl/comments2.xml><?xml version="1.0" encoding="utf-8"?>
<comments xmlns="http://schemas.openxmlformats.org/spreadsheetml/2006/main">
  <authors>
    <author>Leonardo</author>
  </authors>
  <commentList>
    <comment ref="C5" authorId="0">
      <text>
        <r>
          <rPr>
            <sz val="9"/>
            <color indexed="81"/>
            <rFont val="Segoe UI"/>
            <family val="2"/>
          </rPr>
          <t>Se o funcionário já vem com horas extras dos meses anteriores, você deve inserir manualmente aqui para que elas possam ser somadas as horas extras acumuladas no mês.</t>
        </r>
      </text>
    </comment>
    <comment ref="E7" authorId="0">
      <text>
        <r>
          <rPr>
            <sz val="9"/>
            <color indexed="81"/>
            <rFont val="Segoe UI"/>
            <family val="2"/>
          </rPr>
          <t>Defina se este é um dia normal, feriado, Folga (DSR), Feriado ou uma Ausência Justificada (AJ). Ao definir uma AJ, a planilha não vai considerar atrasos ou ausências neste dia e fará os cálculos como se o funcionário tivesse cumprido as horas normalmente.</t>
        </r>
      </text>
    </comment>
    <comment ref="K7" authorId="0">
      <text>
        <r>
          <rPr>
            <sz val="9"/>
            <color indexed="81"/>
            <rFont val="Segoe UI"/>
            <family val="2"/>
          </rPr>
          <t>Total de horas trabalhadas no dia (horas normais + horas extras)</t>
        </r>
      </text>
    </comment>
    <comment ref="M7" authorId="0">
      <text>
        <r>
          <rPr>
            <sz val="9"/>
            <color indexed="81"/>
            <rFont val="Segoe UI"/>
            <family val="2"/>
          </rPr>
          <t>Se o funcionário saiu mais cedo ou entrou mais tarde, isso entre como horas devidas que podem ser descontadas em folha.</t>
        </r>
      </text>
    </comment>
    <comment ref="O7" authorId="0">
      <text>
        <r>
          <rPr>
            <sz val="9"/>
            <color indexed="81"/>
            <rFont val="Segoe UI"/>
            <family val="2"/>
          </rPr>
          <t>Total de horas extras acumuladas em cada dia.</t>
        </r>
      </text>
    </comment>
    <comment ref="Q9" authorId="0">
      <text>
        <r>
          <rPr>
            <sz val="9"/>
            <color indexed="81"/>
            <rFont val="Segoe UI"/>
            <family val="2"/>
          </rPr>
          <t>Total de horas trabalhadas no mês (horas normais + horas extras - horas devidas)</t>
        </r>
      </text>
    </comment>
    <comment ref="Q11" authorId="0">
      <text>
        <r>
          <rPr>
            <sz val="9"/>
            <color indexed="81"/>
            <rFont val="Segoe UI"/>
            <family val="2"/>
          </rPr>
          <t>Total acumulado no banco de horas (meses anteriores + mês atual - horas devidas)</t>
        </r>
      </text>
    </comment>
  </commentList>
</comments>
</file>

<file path=xl/comments3.xml><?xml version="1.0" encoding="utf-8"?>
<comments xmlns="http://schemas.openxmlformats.org/spreadsheetml/2006/main">
  <authors>
    <author>Leonardo</author>
  </authors>
  <commentList>
    <comment ref="D6" authorId="0">
      <text>
        <r>
          <rPr>
            <sz val="9"/>
            <color indexed="81"/>
            <rFont val="Segoe UI"/>
            <family val="2"/>
          </rPr>
          <t>Valor do homem-hora calculado com base no total de horas mensais e salário base correspondente no mês.</t>
        </r>
      </text>
    </comment>
    <comment ref="E6" authorId="0">
      <text>
        <r>
          <rPr>
            <sz val="9"/>
            <color indexed="81"/>
            <rFont val="Segoe UI"/>
            <family val="2"/>
          </rPr>
          <t>Cálculo do total de horas trabalhadas no mês (horas normais +horas extras - horas devidas)</t>
        </r>
      </text>
    </comment>
    <comment ref="G6" authorId="0">
      <text>
        <r>
          <rPr>
            <sz val="9"/>
            <color indexed="81"/>
            <rFont val="Segoe UI"/>
            <family val="2"/>
          </rPr>
          <t>Total de hora extra trabalhada no mês.</t>
        </r>
      </text>
    </comment>
    <comment ref="H6" authorId="0">
      <text>
        <r>
          <rPr>
            <sz val="9"/>
            <color indexed="81"/>
            <rFont val="Segoe UI"/>
            <family val="2"/>
          </rPr>
          <t>Total de horas devidas no mês.</t>
        </r>
      </text>
    </comment>
    <comment ref="I6" authorId="0">
      <text>
        <r>
          <rPr>
            <sz val="9"/>
            <color indexed="81"/>
            <rFont val="Segoe UI"/>
            <family val="2"/>
          </rPr>
          <t>Quantas horas extras o funcionário tinha ao iniciar o primeiro dia do mês? Esse é o valor desta coluna.</t>
        </r>
      </text>
    </comment>
    <comment ref="J6" authorId="0">
      <text>
        <r>
          <rPr>
            <sz val="9"/>
            <color indexed="81"/>
            <rFont val="Segoe UI"/>
            <family val="2"/>
          </rPr>
          <t>É a soma das horas extras que ele já tinha ao iniciar o mês + horas extras acumuladas no mês vigente.</t>
        </r>
      </text>
    </comment>
    <comment ref="K6" authorId="0">
      <text>
        <r>
          <rPr>
            <sz val="9"/>
            <color indexed="81"/>
            <rFont val="Segoe UI"/>
            <family val="2"/>
          </rPr>
          <t>Salário base do mês definido nas premissas gerais.</t>
        </r>
      </text>
    </comment>
  </commentList>
</comments>
</file>

<file path=xl/sharedStrings.xml><?xml version="1.0" encoding="utf-8"?>
<sst xmlns="http://schemas.openxmlformats.org/spreadsheetml/2006/main" count="1433" uniqueCount="211">
  <si>
    <t>Início</t>
  </si>
  <si>
    <t>Planilha de Fluxo de Caixa 3.0</t>
  </si>
  <si>
    <t>Planilha de Fluxo de Caixa com Controle de Estoque</t>
  </si>
  <si>
    <t>Planilha de Análise SWOT</t>
  </si>
  <si>
    <t>Planilha de Avaliação de Desempenho por Competências</t>
  </si>
  <si>
    <t>A revolução 3.0 também chegou ao fluxo de caixa. Compre já a sua!</t>
  </si>
  <si>
    <t>Controle seu fluxo de caixa e estoques automaticamente com uma única planilha integrada!</t>
  </si>
  <si>
    <t>Saiba exatamente quais colaboradores da sua empresa estão apresentando um bom desempenho e quais precisam melhorar.</t>
  </si>
  <si>
    <t>Planilha de Controle de Estoques</t>
  </si>
  <si>
    <t>Tenha uma ferramenta para controlar o seu estoque, saber o ponto de recompra de seus produtos e seu custo médio.</t>
  </si>
  <si>
    <t>Planilha de Fluxo de Caixa com Controle Orçamentário</t>
  </si>
  <si>
    <t>Faça previsões orçamentárias para seu financeiro e acompanhe automaticamente com um fluxo de caiax integrado em uma só planilha.</t>
  </si>
  <si>
    <t>http://luz.vc/ferramentas/planilhas-integradas/planilha-de-fluxo-de-caixa-com-controle-orcamentario/</t>
  </si>
  <si>
    <t>Se prepare da melhor maneira para o planejamento estratégico da sua empresa. Aprenda a fazer sua Análise SWOT (FOFA) agora mesmo.</t>
  </si>
  <si>
    <t>Posso adicionar mais linhas e colunas na planilha?</t>
  </si>
  <si>
    <t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t>
  </si>
  <si>
    <t>Posso remover linhas?</t>
  </si>
  <si>
    <t>Eles são avisos sobre como a sua projeção está. A partir deles, você pode refinar suas projeções e pensar em medidas mais agressivas para tornar seu projeto mais agressivo.</t>
  </si>
  <si>
    <t>Para que servem os alertas?</t>
  </si>
  <si>
    <t>Como desbloquear a planilha?</t>
  </si>
  <si>
    <t>Basta entrar no menu superior "Revisão" e escolher o item desproteger planilha no grupo Alterações. As planilhas não possuem senhas, apenas estão bloqueadas para melhorar a usabilidade delas.</t>
  </si>
  <si>
    <t>Essa planilha pode ser apresentada para instituições financeiras?</t>
  </si>
  <si>
    <t>Sim. Porém esses dados não garantem aprovações ou reprovações por parte dessas instituições. Sendo usados como dados complementares.</t>
  </si>
  <si>
    <t>Como redimensiono uma coluna ou linha da planilha?</t>
  </si>
  <si>
    <t>Com a planilha desbloqueada(ver pergunta 5), clique sobre o número da linha com o botão diretiro e escolha a opção altura da linha no caso das linhas ou na letra da coluna com o botão direito e escolha a opção largura da coluna no caso de colunas.</t>
  </si>
  <si>
    <t>Como faço para imprimir uma planilha?</t>
  </si>
  <si>
    <t>Como mudo a moeda da planilha?</t>
  </si>
  <si>
    <t>Escolha Opção Arquivo e vá ao item imprimir no seu menu superior.</t>
  </si>
  <si>
    <t>Selecione os campos que deseja mudar a moeda. Clique com o botão direito escolha a opção formatar células. Altere o símbolo para o formato que desejar na guia Número.</t>
  </si>
  <si>
    <t>1. PREMISSAS GERAIS</t>
  </si>
  <si>
    <t>2. LANÇAMENTOS MENSAIS</t>
  </si>
  <si>
    <t>4. GRÁFICOS</t>
  </si>
  <si>
    <t>5. ALERTAS E DICAS</t>
  </si>
  <si>
    <t>6. RELATÓRIOS DE IMPRESSÃO</t>
  </si>
  <si>
    <t>7. IMPRIMIR FOLHA DE PONTO</t>
  </si>
  <si>
    <t>DÚVIDAS FREQUENTES</t>
  </si>
  <si>
    <t>SUGESTÕES PARA VOCÊ</t>
  </si>
  <si>
    <t>SOBRE A LUZ</t>
  </si>
  <si>
    <t>Clique Aqui</t>
  </si>
  <si>
    <t>http://luz.vc/ferramentas/planilhas-integradas/planilha-de-fluxo-de-caixa-com-controle-orcamentario/?utm_source=referral&amp;utm_medium=produtos&amp;utm_campaign=hoex3</t>
  </si>
  <si>
    <t>AVALIE ESTA PLANILHA E GANHE 10% DE DESCONTO &gt;</t>
  </si>
  <si>
    <t>Clique abaixo para selecionar sua dúvida:</t>
  </si>
  <si>
    <t>Veja a resposta abaixo:</t>
  </si>
  <si>
    <t>1. Posso adicionar mais linhas e colunas na planilha?</t>
  </si>
  <si>
    <t>SEG</t>
  </si>
  <si>
    <t>TER</t>
  </si>
  <si>
    <t>QUA</t>
  </si>
  <si>
    <t>QUI</t>
  </si>
  <si>
    <t>SEX</t>
  </si>
  <si>
    <t>SÁB</t>
  </si>
  <si>
    <t>DOM</t>
  </si>
  <si>
    <t>Sábado</t>
  </si>
  <si>
    <t>Domingo</t>
  </si>
  <si>
    <t>Noturno</t>
  </si>
  <si>
    <t>Dia de Semana</t>
  </si>
  <si>
    <t>Feriados</t>
  </si>
  <si>
    <t>Essas horas extras estão sendo pagas ou fará banco de horas?</t>
  </si>
  <si>
    <t>Cadastro do Funcionário</t>
  </si>
  <si>
    <t>Nome Completo</t>
  </si>
  <si>
    <t>Data de Admissão</t>
  </si>
  <si>
    <t>Departamento</t>
  </si>
  <si>
    <t>Seção</t>
  </si>
  <si>
    <t>Cargo</t>
  </si>
  <si>
    <t>Ano de Vigência</t>
  </si>
  <si>
    <t>Dia</t>
  </si>
  <si>
    <t>Dom</t>
  </si>
  <si>
    <t>Seg</t>
  </si>
  <si>
    <t>Ter</t>
  </si>
  <si>
    <t>Qua</t>
  </si>
  <si>
    <t>Qui</t>
  </si>
  <si>
    <t>Sex</t>
  </si>
  <si>
    <t>Sáb</t>
  </si>
  <si>
    <t>Classificação</t>
  </si>
  <si>
    <t>Intervalo</t>
  </si>
  <si>
    <t>Término</t>
  </si>
  <si>
    <t>Horas Dia</t>
  </si>
  <si>
    <t>Horas Devidas</t>
  </si>
  <si>
    <t>Horas Extras</t>
  </si>
  <si>
    <t>Resumo do Mês</t>
  </si>
  <si>
    <t>Horas trabalhadas no mês</t>
  </si>
  <si>
    <t>Acumulado no banco de horas</t>
  </si>
  <si>
    <t>Total de horas extras</t>
  </si>
  <si>
    <t>Total de horas devidas</t>
  </si>
  <si>
    <t>Total de hora extra a pagar</t>
  </si>
  <si>
    <t>JAN</t>
  </si>
  <si>
    <t>FEV</t>
  </si>
  <si>
    <t>MAR</t>
  </si>
  <si>
    <t>ABR</t>
  </si>
  <si>
    <t>MAI</t>
  </si>
  <si>
    <t>JUN</t>
  </si>
  <si>
    <t>JUL</t>
  </si>
  <si>
    <t>AGO</t>
  </si>
  <si>
    <t>SET</t>
  </si>
  <si>
    <t>OUT</t>
  </si>
  <si>
    <t>NOV</t>
  </si>
  <si>
    <t>DEZ</t>
  </si>
  <si>
    <t>3. RESULTADOS CONSOLIDADOS</t>
  </si>
  <si>
    <t>Mês</t>
  </si>
  <si>
    <t>Salário Base
(sem hora extra)</t>
  </si>
  <si>
    <t>Banco de Horas
Final do Mês</t>
  </si>
  <si>
    <t>Banco de Horas
Início do Mês</t>
  </si>
  <si>
    <t>Horas Extras às Segundas</t>
  </si>
  <si>
    <t>Horas Extras às Terças</t>
  </si>
  <si>
    <t>Horas Extras às Quartas</t>
  </si>
  <si>
    <t>Horas Extras às Quintas</t>
  </si>
  <si>
    <t>Horas Extras às Sextas</t>
  </si>
  <si>
    <t>Horas Extras nos Feriados</t>
  </si>
  <si>
    <t>Horas Extras aos Domingos</t>
  </si>
  <si>
    <t>Horas Extras aos Sábados</t>
  </si>
  <si>
    <t>Horas Extras no DRS (Descanso Remunerado Semanal)</t>
  </si>
  <si>
    <t>Horas Extras na Intrajornada</t>
  </si>
  <si>
    <t>Horas Extras às Interjornada</t>
  </si>
  <si>
    <t>Horas Extras trabalhadas entre 22:00hs e 5:00hs
Adicional Noturno (52m e 30s = 1 hora)</t>
  </si>
  <si>
    <t>Debitadas do Banco de Horas</t>
  </si>
  <si>
    <t>Total de Horas Extras a Pagar</t>
  </si>
  <si>
    <t>Salário Base com Horas Extras</t>
  </si>
  <si>
    <t>Janeiro</t>
  </si>
  <si>
    <t>Selecione o mês ao lado para ver o detalhamento</t>
  </si>
  <si>
    <t>Fevereiro</t>
  </si>
  <si>
    <t>Março</t>
  </si>
  <si>
    <t>Abril</t>
  </si>
  <si>
    <t>Maio</t>
  </si>
  <si>
    <t>Junho</t>
  </si>
  <si>
    <t>Julho</t>
  </si>
  <si>
    <t>Agosto</t>
  </si>
  <si>
    <t>Setembro</t>
  </si>
  <si>
    <t>Outubro</t>
  </si>
  <si>
    <t>Novembro</t>
  </si>
  <si>
    <t>Dezembro</t>
  </si>
  <si>
    <t>Periculosidade</t>
  </si>
  <si>
    <t>Detalhamento Mensal</t>
  </si>
  <si>
    <t>Selecione o mês ao lado</t>
  </si>
  <si>
    <t>RELATÓRIO IMPRESSO</t>
  </si>
  <si>
    <t>Relatório com o Resumo do Ano</t>
  </si>
  <si>
    <t>Relatório detalhado Mês a Mês</t>
  </si>
  <si>
    <t>Análise Geral das Horas Extras</t>
  </si>
  <si>
    <t xml:space="preserve">Selecione o mês ao lado </t>
  </si>
  <si>
    <t>CÁLCULO DE HORAS EXTRAS COM FOLHA DE PONTO E BANCO DE HORAS</t>
  </si>
  <si>
    <t>e</t>
  </si>
  <si>
    <t>d</t>
  </si>
  <si>
    <t>f</t>
  </si>
  <si>
    <t>g</t>
  </si>
  <si>
    <t>h</t>
  </si>
  <si>
    <t>i</t>
  </si>
  <si>
    <t>j</t>
  </si>
  <si>
    <t>k</t>
  </si>
  <si>
    <t>l</t>
  </si>
  <si>
    <t>m</t>
  </si>
  <si>
    <t>n</t>
  </si>
  <si>
    <t>o</t>
  </si>
  <si>
    <t>Salário Base</t>
  </si>
  <si>
    <t>HORÁRIOS</t>
  </si>
  <si>
    <t>Observações</t>
  </si>
  <si>
    <t>RESUMO GERAL</t>
  </si>
  <si>
    <t>Horas Normais</t>
  </si>
  <si>
    <t>Horas DSR</t>
  </si>
  <si>
    <t>Visto</t>
  </si>
  <si>
    <t>Defina a Jornada de Trabalho do Funcionário</t>
  </si>
  <si>
    <t>Modelo de pagamento das horas extras</t>
  </si>
  <si>
    <t>Acréscimo por cada hora extra (%)</t>
  </si>
  <si>
    <r>
      <rPr>
        <b/>
        <sz val="18"/>
        <color indexed="10"/>
        <rFont val="Calibri"/>
        <family val="2"/>
      </rPr>
      <t xml:space="preserve">IMPORTANTE: </t>
    </r>
    <r>
      <rPr>
        <b/>
        <sz val="18"/>
        <rFont val="Calibri"/>
        <family val="2"/>
      </rPr>
      <t>LEIA OS PASSOS E ENTENDA A PLANILHA</t>
    </r>
  </si>
  <si>
    <t>Passo 1</t>
  </si>
  <si>
    <t>PREMISSAS GERAIS</t>
  </si>
  <si>
    <t>Passo 2</t>
  </si>
  <si>
    <t>Passo 3</t>
  </si>
  <si>
    <t>GRÁFICOS</t>
  </si>
  <si>
    <t>Passo 4</t>
  </si>
  <si>
    <t>ALERTAS E DICAS</t>
  </si>
  <si>
    <t>Passo 5</t>
  </si>
  <si>
    <t>RELATÓRIO PARA IMPRESSÃO</t>
  </si>
  <si>
    <t>PLANILHA DE CÁLCULO DE</t>
  </si>
  <si>
    <t xml:space="preserve">Seja bem-vindo(a). Com esta planilha você poderá analisar toda a folha de ponto do se funcionário.
Invista suas energias em idéias que você sabe que serão viáveis! </t>
  </si>
  <si>
    <t>Este é o começo de tudo. É a parte de definição de todas as premissas que formaçãodo perfil do funcionário.Contribui com todas bases de cálculo usadas adiante.</t>
  </si>
  <si>
    <t>Os Lançamentos são os locais onde você vai preencher o dia a dia do seu funcionário. Dia a Dia, durante todo o ano.</t>
  </si>
  <si>
    <t>LANÇAMENTOS</t>
  </si>
  <si>
    <t>RESULTADOS CONSOLIDADOS</t>
  </si>
  <si>
    <t>A hora de retirar um relátório conciso e direto sobre os dados lançados mês a mês. Nos resultados consolidados você têm um panorama dde todo o ano e também mês a mês sendo uma indispensável ferramenta para tomada dde decisões.</t>
  </si>
  <si>
    <t>Os gráficos são importantes para que sejam feitas avaliações sobre a situação do seu funcionário de uma forma simples e mais visual. Você poderá ver os gráficos de cada tipo de horário de maneira separada. Além da análise por mês.</t>
  </si>
  <si>
    <t>Esta planilha avaliará todos os dados preenchidos por você e retornará com dicas importantes para o seu segmento. Avaliando seu dia a dia, será mais fácil identificar se está fluindo da maneira correta, Isso servirá para alertá-lo sobre possíveis problemas.</t>
  </si>
  <si>
    <t>Imprima somente o que importa. Esta parte gera um relatório formatado para impressão em 8 páginas A4 com seu relatório mês a mês e o panorama geral. Acompanha gráficos e as dicas importantes que a planilha fornece para cada mês.</t>
  </si>
  <si>
    <t>FOLHA DE PONTO</t>
  </si>
  <si>
    <t>Passo 6</t>
  </si>
  <si>
    <t>Passo 7</t>
  </si>
  <si>
    <t>Imprima a folha de ponto mensal do seu funcionário de maneira prática e econômica com apenas um clique. É rápido, é simples e é tudo que você precisava para adiantar seu dia a dia.</t>
  </si>
  <si>
    <t>DSR</t>
  </si>
  <si>
    <t>Interjornada (Iniciada antes das 11 horas de descanso)</t>
  </si>
  <si>
    <t>Intrajornada (Trabalho na hora de descanso/almoço)</t>
  </si>
  <si>
    <t>Horas Extras no DSR (Descanso Semanal Remunerado)</t>
  </si>
  <si>
    <t>Horas Extras na Interjornada</t>
  </si>
  <si>
    <t>Acumulado mês anterior</t>
  </si>
  <si>
    <t>Horas Mensais</t>
  </si>
  <si>
    <t>Feriado</t>
  </si>
  <si>
    <t>3.0.1</t>
  </si>
  <si>
    <t>Horas somados/subtraídas ao banco</t>
  </si>
  <si>
    <t>intervalo</t>
  </si>
  <si>
    <t>Carga Horária do Dia</t>
  </si>
  <si>
    <t>Horas de Intervalo</t>
  </si>
  <si>
    <t>Quantas horas acumuladas ou devidas esse funcionário já têm no banco de horas</t>
  </si>
  <si>
    <t>Horas Extras de Interjornadas</t>
  </si>
  <si>
    <t>Valor Homem-Hora</t>
  </si>
  <si>
    <t>Projeção de Horas Trabalhadas</t>
  </si>
  <si>
    <t>Horas  Trabalhadas</t>
  </si>
  <si>
    <t>Valor de Horas Extras</t>
  </si>
  <si>
    <t>Valor de Descontos por Horas Devidas</t>
  </si>
  <si>
    <t>Condicional para horas negativas na coluna I</t>
  </si>
  <si>
    <t>Salário com Valor das Horas Extras</t>
  </si>
  <si>
    <t>valor h.e.</t>
  </si>
  <si>
    <t>salário c/ h.e.</t>
  </si>
  <si>
    <t>HORA EXTRA (BANCO DE HORAS) 3.0</t>
  </si>
  <si>
    <t>Horas extras</t>
  </si>
  <si>
    <t>Folga(DSR)</t>
  </si>
</sst>
</file>

<file path=xl/styles.xml><?xml version="1.0" encoding="utf-8"?>
<styleSheet xmlns="http://schemas.openxmlformats.org/spreadsheetml/2006/main" xmlns:mc="http://schemas.openxmlformats.org/markup-compatibility/2006" xmlns:x14ac="http://schemas.microsoft.com/office/spreadsheetml/2009/9/ac" mc:Ignorable="x14ac">
  <numFmts count="10">
    <numFmt numFmtId="164" formatCode="_-&quot;R$&quot;\ * #,##0.00_-;\-&quot;R$&quot;\ * #,##0.00_-;_-&quot;R$&quot;\ * &quot;-&quot;??_-;_-@_-"/>
    <numFmt numFmtId="165" formatCode="h:mm;@"/>
    <numFmt numFmtId="166" formatCode="&quot;R$&quot;\ #,##0.00"/>
    <numFmt numFmtId="167" formatCode="[$-F400]h:mm:ss\ AM/PM"/>
    <numFmt numFmtId="168" formatCode="_-[$R$-416]\ * #,##0.00_-;\-[$R$-416]\ * #,##0.00_-;_-[$R$-416]\ * &quot;-&quot;??_-;_-@_-"/>
    <numFmt numFmtId="169" formatCode="[h]:mm"/>
    <numFmt numFmtId="170" formatCode="0.0%"/>
    <numFmt numFmtId="171" formatCode="General\ &quot;hs&quot;"/>
    <numFmt numFmtId="172" formatCode="[h]:mm:ss;@"/>
    <numFmt numFmtId="173" formatCode=";;;"/>
  </numFmts>
  <fonts count="42" x14ac:knownFonts="1">
    <font>
      <sz val="11"/>
      <color theme="1"/>
      <name val="Calibri"/>
      <family val="2"/>
      <scheme val="minor"/>
    </font>
    <font>
      <b/>
      <sz val="18"/>
      <color indexed="10"/>
      <name val="Calibri"/>
      <family val="2"/>
    </font>
    <font>
      <b/>
      <sz val="18"/>
      <name val="Calibri"/>
      <family val="2"/>
    </font>
    <font>
      <sz val="9"/>
      <color indexed="81"/>
      <name val="Segoe UI"/>
      <family val="2"/>
    </font>
    <font>
      <b/>
      <sz val="9"/>
      <color indexed="81"/>
      <name val="Segoe UI"/>
      <family val="2"/>
    </font>
    <font>
      <sz val="11"/>
      <color theme="1"/>
      <name val="Calibri"/>
      <family val="2"/>
      <scheme val="minor"/>
    </font>
    <font>
      <sz val="12"/>
      <color theme="1"/>
      <name val="Calibri"/>
      <family val="2"/>
      <scheme val="minor"/>
    </font>
    <font>
      <b/>
      <sz val="12"/>
      <color theme="0"/>
      <name val="Calibri"/>
      <family val="2"/>
      <scheme val="minor"/>
    </font>
    <font>
      <u/>
      <sz val="11"/>
      <color theme="10"/>
      <name val="Calibri"/>
      <family val="2"/>
      <scheme val="minor"/>
    </font>
    <font>
      <sz val="11"/>
      <color theme="0"/>
      <name val="Calibri"/>
      <family val="2"/>
      <scheme val="minor"/>
    </font>
    <font>
      <sz val="18"/>
      <color rgb="FF333333"/>
      <name val="Calibri"/>
      <family val="2"/>
      <scheme val="minor"/>
    </font>
    <font>
      <sz val="14"/>
      <color rgb="FF6699CC"/>
      <name val="Calibri"/>
      <family val="2"/>
      <scheme val="minor"/>
    </font>
    <font>
      <sz val="12"/>
      <color rgb="FF6699CC"/>
      <name val="Calibri"/>
      <family val="2"/>
      <scheme val="minor"/>
    </font>
    <font>
      <sz val="14"/>
      <color rgb="FF0563C1"/>
      <name val="Calibri"/>
      <family val="2"/>
      <scheme val="minor"/>
    </font>
    <font>
      <b/>
      <sz val="11"/>
      <color theme="0"/>
      <name val="Calibri"/>
      <family val="2"/>
      <scheme val="minor"/>
    </font>
    <font>
      <sz val="14"/>
      <color rgb="FF333333"/>
      <name val="Calibri"/>
      <family val="2"/>
      <scheme val="minor"/>
    </font>
    <font>
      <b/>
      <sz val="36"/>
      <color theme="1"/>
      <name val="Calibri"/>
      <family val="2"/>
      <scheme val="minor"/>
    </font>
    <font>
      <sz val="16"/>
      <color rgb="FF333333"/>
      <name val="Calibri"/>
      <family val="2"/>
      <scheme val="minor"/>
    </font>
    <font>
      <sz val="11"/>
      <name val="Calibri"/>
      <family val="2"/>
      <scheme val="minor"/>
    </font>
    <font>
      <sz val="36"/>
      <color theme="0" tint="-0.499984740745262"/>
      <name val="Calibri"/>
      <family val="2"/>
      <scheme val="minor"/>
    </font>
    <font>
      <sz val="20"/>
      <color rgb="FF333333"/>
      <name val="Calibri"/>
      <family val="2"/>
      <scheme val="minor"/>
    </font>
    <font>
      <sz val="28"/>
      <color rgb="FF333333"/>
      <name val="Calibri"/>
      <family val="2"/>
      <scheme val="minor"/>
    </font>
    <font>
      <b/>
      <sz val="11"/>
      <color theme="1"/>
      <name val="Calibri"/>
      <family val="2"/>
      <scheme val="minor"/>
    </font>
    <font>
      <b/>
      <sz val="24"/>
      <color rgb="FF333333"/>
      <name val="Calibri"/>
      <family val="2"/>
      <scheme val="minor"/>
    </font>
    <font>
      <b/>
      <sz val="48"/>
      <color theme="1"/>
      <name val="Calibri"/>
      <family val="2"/>
      <scheme val="minor"/>
    </font>
    <font>
      <sz val="14"/>
      <color rgb="FF3366CC"/>
      <name val="Calibri"/>
      <family val="2"/>
      <scheme val="minor"/>
    </font>
    <font>
      <b/>
      <sz val="18"/>
      <color theme="1"/>
      <name val="Calibri"/>
      <family val="2"/>
      <scheme val="minor"/>
    </font>
    <font>
      <sz val="11"/>
      <color rgb="FFFF0000"/>
      <name val="Calibri"/>
      <family val="2"/>
      <scheme val="minor"/>
    </font>
    <font>
      <sz val="48"/>
      <color theme="1"/>
      <name val="Calibri"/>
      <family val="2"/>
      <scheme val="minor"/>
    </font>
    <font>
      <sz val="22"/>
      <color theme="1"/>
      <name val="Calibri"/>
      <family val="2"/>
      <scheme val="minor"/>
    </font>
    <font>
      <sz val="36"/>
      <color theme="1"/>
      <name val="Calibri"/>
      <family val="2"/>
      <scheme val="minor"/>
    </font>
    <font>
      <b/>
      <sz val="11"/>
      <name val="Calibri"/>
      <family val="2"/>
      <scheme val="minor"/>
    </font>
    <font>
      <sz val="14"/>
      <color theme="1"/>
      <name val="Calibri"/>
      <family val="2"/>
      <scheme val="minor"/>
    </font>
    <font>
      <sz val="10.5"/>
      <color rgb="FF333333"/>
      <name val="Calibri"/>
      <family val="2"/>
      <scheme val="minor"/>
    </font>
    <font>
      <b/>
      <sz val="18"/>
      <color rgb="FF595959"/>
      <name val="Calibri"/>
      <family val="2"/>
      <scheme val="minor"/>
    </font>
    <font>
      <b/>
      <sz val="14"/>
      <color theme="0"/>
      <name val="Calibri"/>
      <family val="2"/>
      <scheme val="minor"/>
    </font>
    <font>
      <sz val="11"/>
      <color rgb="FF333333"/>
      <name val="Arial"/>
      <family val="2"/>
    </font>
    <font>
      <sz val="14"/>
      <color rgb="FF595959"/>
      <name val="Calibri"/>
      <family val="2"/>
      <scheme val="minor"/>
    </font>
    <font>
      <b/>
      <sz val="14"/>
      <color theme="1"/>
      <name val="Calibri"/>
      <family val="2"/>
      <scheme val="minor"/>
    </font>
    <font>
      <b/>
      <sz val="14"/>
      <color rgb="FF00B050"/>
      <name val="Calibri"/>
      <family val="2"/>
      <scheme val="minor"/>
    </font>
    <font>
      <b/>
      <sz val="28"/>
      <color theme="0"/>
      <name val="Calibri"/>
      <family val="2"/>
      <scheme val="minor"/>
    </font>
    <font>
      <b/>
      <sz val="11"/>
      <color rgb="FFFF0000"/>
      <name val="Calibri"/>
      <family val="2"/>
      <scheme val="minor"/>
    </font>
  </fonts>
  <fills count="12">
    <fill>
      <patternFill patternType="none"/>
    </fill>
    <fill>
      <patternFill patternType="gray125"/>
    </fill>
    <fill>
      <patternFill patternType="solid">
        <fgColor rgb="FF333333"/>
        <bgColor indexed="64"/>
      </patternFill>
    </fill>
    <fill>
      <patternFill patternType="solid">
        <fgColor rgb="FFF2F2F2"/>
        <bgColor indexed="64"/>
      </patternFill>
    </fill>
    <fill>
      <patternFill patternType="solid">
        <fgColor rgb="FF336699"/>
        <bgColor indexed="64"/>
      </patternFill>
    </fill>
    <fill>
      <patternFill patternType="solid">
        <fgColor theme="0" tint="-4.9989318521683403E-2"/>
        <bgColor indexed="64"/>
      </patternFill>
    </fill>
    <fill>
      <patternFill patternType="solid">
        <fgColor rgb="FFCC0000"/>
        <bgColor indexed="64"/>
      </patternFill>
    </fill>
    <fill>
      <patternFill patternType="solid">
        <fgColor theme="0" tint="-0.34998626667073579"/>
        <bgColor indexed="64"/>
      </patternFill>
    </fill>
    <fill>
      <patternFill patternType="solid">
        <fgColor rgb="FFFD9900"/>
        <bgColor indexed="64"/>
      </patternFill>
    </fill>
    <fill>
      <patternFill patternType="solid">
        <fgColor rgb="FFFF9900"/>
        <bgColor indexed="64"/>
      </patternFill>
    </fill>
    <fill>
      <patternFill patternType="solid">
        <fgColor rgb="FF6699CC"/>
        <bgColor indexed="64"/>
      </patternFill>
    </fill>
    <fill>
      <patternFill patternType="solid">
        <fgColor theme="0"/>
        <bgColor indexed="64"/>
      </patternFill>
    </fill>
  </fills>
  <borders count="23">
    <border>
      <left/>
      <right/>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style="thin">
        <color theme="0" tint="-0.14999847407452621"/>
      </right>
      <top/>
      <bottom style="thin">
        <color theme="0" tint="-0.14999847407452621"/>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style="thin">
        <color theme="0" tint="-0.14999847407452621"/>
      </left>
      <right/>
      <top style="thin">
        <color theme="0" tint="-0.1499984740745262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14999847407452621"/>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s>
  <cellStyleXfs count="4">
    <xf numFmtId="0" fontId="0" fillId="0" borderId="0"/>
    <xf numFmtId="0" fontId="8" fillId="0" borderId="0" applyNumberFormat="0" applyFill="0" applyBorder="0" applyAlignment="0" applyProtection="0"/>
    <xf numFmtId="164" fontId="5" fillId="0" borderId="0" applyFont="0" applyFill="0" applyBorder="0" applyAlignment="0" applyProtection="0"/>
    <xf numFmtId="9" fontId="5" fillId="0" borderId="0" applyFont="0" applyFill="0" applyBorder="0" applyAlignment="0" applyProtection="0"/>
  </cellStyleXfs>
  <cellXfs count="231">
    <xf numFmtId="0" fontId="0" fillId="0" borderId="0" xfId="0"/>
    <xf numFmtId="0" fontId="0" fillId="2" borderId="0" xfId="0" applyFill="1"/>
    <xf numFmtId="0" fontId="9" fillId="0" borderId="0" xfId="0" applyFont="1"/>
    <xf numFmtId="0" fontId="0" fillId="3" borderId="0" xfId="0" applyFill="1"/>
    <xf numFmtId="0" fontId="10" fillId="3" borderId="0" xfId="0" applyFont="1" applyFill="1"/>
    <xf numFmtId="0" fontId="0" fillId="0" borderId="0" xfId="0" applyAlignment="1">
      <alignment horizontal="left" vertical="center" wrapText="1" indent="1"/>
    </xf>
    <xf numFmtId="0" fontId="11" fillId="0" borderId="0" xfId="1" applyFont="1" applyAlignment="1">
      <alignment horizontal="left" vertical="center" indent="1"/>
    </xf>
    <xf numFmtId="0" fontId="12" fillId="0" borderId="0" xfId="1" applyFont="1" applyAlignment="1">
      <alignment horizontal="left" vertical="center" indent="1"/>
    </xf>
    <xf numFmtId="0" fontId="13" fillId="3" borderId="0" xfId="0" applyFont="1" applyFill="1" applyAlignment="1">
      <alignment vertical="top"/>
    </xf>
    <xf numFmtId="0" fontId="9" fillId="2" borderId="0" xfId="0" applyFont="1" applyFill="1"/>
    <xf numFmtId="0" fontId="0" fillId="0" borderId="0" xfId="0" applyAlignment="1">
      <alignment horizontal="center" vertical="center"/>
    </xf>
    <xf numFmtId="0" fontId="0" fillId="0" borderId="0" xfId="0" applyNumberFormat="1"/>
    <xf numFmtId="20" fontId="0" fillId="0" borderId="0" xfId="0" applyNumberFormat="1"/>
    <xf numFmtId="165" fontId="9" fillId="0" borderId="0" xfId="0" applyNumberFormat="1" applyFont="1"/>
    <xf numFmtId="0" fontId="0" fillId="0" borderId="0" xfId="0" applyFill="1"/>
    <xf numFmtId="0" fontId="14" fillId="0" borderId="0" xfId="0" applyFont="1" applyFill="1" applyBorder="1" applyAlignment="1">
      <alignment horizontal="center" vertical="center"/>
    </xf>
    <xf numFmtId="164" fontId="9" fillId="0" borderId="0" xfId="2" applyFont="1"/>
    <xf numFmtId="168" fontId="9" fillId="0" borderId="0" xfId="0" applyNumberFormat="1" applyFont="1" applyFill="1" applyBorder="1" applyAlignment="1">
      <alignment horizontal="center" vertical="center"/>
    </xf>
    <xf numFmtId="0" fontId="0" fillId="0" borderId="0" xfId="0" applyFill="1" applyBorder="1" applyAlignment="1">
      <alignment horizontal="center" vertical="center"/>
    </xf>
    <xf numFmtId="0" fontId="0" fillId="0" borderId="0" xfId="0" applyFont="1" applyFill="1" applyBorder="1"/>
    <xf numFmtId="0" fontId="0" fillId="0" borderId="0" xfId="0" applyFont="1"/>
    <xf numFmtId="167" fontId="9" fillId="0" borderId="0" xfId="0" applyNumberFormat="1" applyFont="1"/>
    <xf numFmtId="0" fontId="9" fillId="3" borderId="0" xfId="0" applyFont="1" applyFill="1"/>
    <xf numFmtId="0" fontId="9" fillId="0" borderId="0" xfId="0" applyFont="1" applyFill="1" applyBorder="1"/>
    <xf numFmtId="0" fontId="9" fillId="0" borderId="0" xfId="0" applyNumberFormat="1" applyFont="1" applyFill="1" applyBorder="1"/>
    <xf numFmtId="165" fontId="9" fillId="0" borderId="0" xfId="0" applyNumberFormat="1" applyFont="1" applyFill="1" applyBorder="1" applyAlignment="1">
      <alignment horizontal="center" vertical="center"/>
    </xf>
    <xf numFmtId="9" fontId="9" fillId="0" borderId="0" xfId="0" applyNumberFormat="1" applyFont="1" applyFill="1" applyBorder="1"/>
    <xf numFmtId="165" fontId="9" fillId="0" borderId="0" xfId="0" applyNumberFormat="1" applyFont="1" applyFill="1" applyBorder="1"/>
    <xf numFmtId="0" fontId="9" fillId="0" borderId="0" xfId="0" applyNumberFormat="1" applyFont="1" applyFill="1" applyBorder="1" applyAlignment="1">
      <alignment horizontal="center" vertical="center"/>
    </xf>
    <xf numFmtId="164" fontId="9" fillId="0" borderId="0" xfId="0" applyNumberFormat="1" applyFont="1" applyFill="1" applyBorder="1" applyAlignment="1">
      <alignment horizontal="center" vertical="center"/>
    </xf>
    <xf numFmtId="0" fontId="15" fillId="0" borderId="0" xfId="0" applyFont="1"/>
    <xf numFmtId="0" fontId="16" fillId="0" borderId="0" xfId="0" applyNumberFormat="1" applyFont="1" applyAlignment="1">
      <alignment vertical="top" wrapText="1"/>
    </xf>
    <xf numFmtId="0" fontId="17" fillId="0" borderId="0" xfId="0" applyFont="1"/>
    <xf numFmtId="0" fontId="18" fillId="0" borderId="0" xfId="0" applyFont="1" applyFill="1" applyBorder="1"/>
    <xf numFmtId="0" fontId="18" fillId="0" borderId="0" xfId="0" applyFont="1" applyBorder="1"/>
    <xf numFmtId="0" fontId="19" fillId="0" borderId="0" xfId="0" applyFont="1" applyAlignment="1">
      <alignment vertical="top"/>
    </xf>
    <xf numFmtId="0" fontId="20" fillId="0" borderId="0" xfId="0" applyFont="1"/>
    <xf numFmtId="0" fontId="21" fillId="0" borderId="0" xfId="0" applyFont="1"/>
    <xf numFmtId="0" fontId="0" fillId="0" borderId="1" xfId="0" applyBorder="1"/>
    <xf numFmtId="0" fontId="22" fillId="0" borderId="0" xfId="0" applyFont="1" applyBorder="1"/>
    <xf numFmtId="14" fontId="0" fillId="0" borderId="0" xfId="0" applyNumberFormat="1" applyBorder="1"/>
    <xf numFmtId="166" fontId="5" fillId="0" borderId="0" xfId="2" applyNumberFormat="1" applyFont="1" applyBorder="1" applyAlignment="1">
      <alignment horizontal="left"/>
    </xf>
    <xf numFmtId="0" fontId="0" fillId="0" borderId="0" xfId="0" applyBorder="1"/>
    <xf numFmtId="0" fontId="0" fillId="0" borderId="2" xfId="0" applyBorder="1"/>
    <xf numFmtId="0" fontId="0" fillId="0" borderId="3" xfId="0" applyBorder="1"/>
    <xf numFmtId="0" fontId="0" fillId="0" borderId="4" xfId="0" applyBorder="1"/>
    <xf numFmtId="0" fontId="22" fillId="0" borderId="0" xfId="0" applyFont="1" applyBorder="1" applyAlignment="1">
      <alignment horizontal="right" indent="1"/>
    </xf>
    <xf numFmtId="0" fontId="23" fillId="0" borderId="0" xfId="0" applyFont="1" applyFill="1" applyBorder="1" applyAlignment="1">
      <alignment horizontal="left" vertical="top"/>
    </xf>
    <xf numFmtId="0" fontId="24" fillId="0" borderId="0" xfId="0" applyFont="1" applyFill="1" applyAlignment="1">
      <alignment horizontal="left"/>
    </xf>
    <xf numFmtId="0" fontId="25" fillId="0" borderId="0" xfId="0" applyFont="1" applyAlignment="1">
      <alignment vertical="center"/>
    </xf>
    <xf numFmtId="0" fontId="26" fillId="0" borderId="0" xfId="0" applyFont="1" applyAlignment="1">
      <alignment horizontal="left" vertical="center" indent="1"/>
    </xf>
    <xf numFmtId="0" fontId="0" fillId="0" borderId="0" xfId="0" applyAlignment="1" applyProtection="1">
      <alignment horizontal="center" vertical="center"/>
    </xf>
    <xf numFmtId="0" fontId="0" fillId="0" borderId="0" xfId="0" applyFill="1" applyBorder="1" applyAlignment="1" applyProtection="1">
      <alignment horizontal="center" vertical="center"/>
    </xf>
    <xf numFmtId="0" fontId="27" fillId="0" borderId="0" xfId="0" applyFont="1"/>
    <xf numFmtId="165" fontId="27" fillId="0" borderId="0" xfId="0" applyNumberFormat="1" applyFont="1" applyFill="1" applyBorder="1" applyAlignment="1">
      <alignment horizontal="center" vertical="center"/>
    </xf>
    <xf numFmtId="20" fontId="27" fillId="0" borderId="0" xfId="0" applyNumberFormat="1" applyFont="1"/>
    <xf numFmtId="0" fontId="27" fillId="3" borderId="0" xfId="0" applyFont="1" applyFill="1"/>
    <xf numFmtId="0" fontId="27" fillId="0" borderId="0" xfId="0" applyFont="1" applyFill="1"/>
    <xf numFmtId="172" fontId="9" fillId="0" borderId="0" xfId="0" applyNumberFormat="1" applyFont="1"/>
    <xf numFmtId="0" fontId="14" fillId="4" borderId="6" xfId="0" applyFont="1" applyFill="1" applyBorder="1" applyAlignment="1">
      <alignment horizontal="center" vertical="center"/>
    </xf>
    <xf numFmtId="165" fontId="0" fillId="5" borderId="6" xfId="0" applyNumberFormat="1" applyFill="1" applyBorder="1" applyAlignment="1" applyProtection="1">
      <alignment horizontal="center" vertical="center"/>
    </xf>
    <xf numFmtId="0" fontId="0" fillId="0" borderId="6" xfId="0" applyBorder="1" applyAlignment="1" applyProtection="1">
      <alignment horizontal="center"/>
      <protection locked="0"/>
    </xf>
    <xf numFmtId="165" fontId="0" fillId="0" borderId="6" xfId="0" applyNumberFormat="1" applyBorder="1" applyAlignment="1" applyProtection="1">
      <alignment horizontal="center" vertical="center"/>
      <protection locked="0"/>
    </xf>
    <xf numFmtId="165" fontId="0" fillId="0" borderId="0" xfId="0" applyNumberFormat="1" applyFill="1" applyBorder="1" applyAlignment="1" applyProtection="1">
      <alignment horizontal="center" vertical="center"/>
    </xf>
    <xf numFmtId="165" fontId="0" fillId="0" borderId="7" xfId="0" applyNumberFormat="1" applyBorder="1" applyAlignment="1" applyProtection="1">
      <alignment horizontal="center" vertical="center"/>
      <protection locked="0"/>
    </xf>
    <xf numFmtId="0" fontId="0" fillId="0" borderId="0" xfId="0" applyBorder="1" applyAlignment="1" applyProtection="1">
      <alignment horizontal="center"/>
      <protection locked="0"/>
    </xf>
    <xf numFmtId="165" fontId="0" fillId="0" borderId="0" xfId="0" applyNumberFormat="1" applyBorder="1" applyAlignment="1" applyProtection="1">
      <alignment horizontal="center" vertical="center"/>
      <protection locked="0"/>
    </xf>
    <xf numFmtId="0" fontId="14" fillId="4" borderId="7" xfId="0" applyFont="1" applyFill="1" applyBorder="1" applyAlignment="1">
      <alignment horizontal="center" vertical="center"/>
    </xf>
    <xf numFmtId="165" fontId="0" fillId="5" borderId="7" xfId="0" applyNumberFormat="1" applyFill="1" applyBorder="1" applyAlignment="1" applyProtection="1">
      <alignment horizontal="center" vertical="center"/>
    </xf>
    <xf numFmtId="0" fontId="0" fillId="0" borderId="8" xfId="0" applyBorder="1" applyAlignment="1" applyProtection="1">
      <alignment horizontal="center"/>
      <protection locked="0"/>
    </xf>
    <xf numFmtId="165" fontId="0" fillId="0" borderId="8" xfId="0" applyNumberFormat="1" applyBorder="1" applyAlignment="1" applyProtection="1">
      <alignment horizontal="center" vertical="center"/>
      <protection locked="0"/>
    </xf>
    <xf numFmtId="166" fontId="0" fillId="0" borderId="6" xfId="0" applyNumberFormat="1" applyBorder="1" applyAlignment="1" applyProtection="1">
      <alignment horizontal="center" vertical="center"/>
      <protection locked="0"/>
    </xf>
    <xf numFmtId="0" fontId="14" fillId="6" borderId="6" xfId="0" applyFont="1" applyFill="1" applyBorder="1" applyAlignment="1">
      <alignment horizontal="center" vertical="center"/>
    </xf>
    <xf numFmtId="0" fontId="14" fillId="4" borderId="6" xfId="0" applyFont="1" applyFill="1" applyBorder="1" applyAlignment="1">
      <alignment horizontal="center" vertical="center" wrapText="1"/>
    </xf>
    <xf numFmtId="166" fontId="0" fillId="3" borderId="6" xfId="0" applyNumberFormat="1" applyFill="1" applyBorder="1" applyAlignment="1">
      <alignment horizontal="center" vertical="center"/>
    </xf>
    <xf numFmtId="0" fontId="0" fillId="3" borderId="6" xfId="0" applyFill="1" applyBorder="1" applyAlignment="1">
      <alignment horizontal="center" vertical="center"/>
    </xf>
    <xf numFmtId="172" fontId="0" fillId="3" borderId="6" xfId="0" applyNumberFormat="1" applyFill="1" applyBorder="1" applyAlignment="1">
      <alignment horizontal="center" vertical="center"/>
    </xf>
    <xf numFmtId="0" fontId="28" fillId="0" borderId="6" xfId="0" applyFont="1" applyBorder="1" applyAlignment="1">
      <alignment horizontal="center" vertical="center"/>
    </xf>
    <xf numFmtId="0" fontId="0" fillId="0" borderId="6" xfId="0" applyBorder="1" applyAlignment="1" applyProtection="1">
      <alignment horizontal="left" vertical="center" indent="1"/>
      <protection locked="0"/>
    </xf>
    <xf numFmtId="170" fontId="29" fillId="0" borderId="6" xfId="3" applyNumberFormat="1" applyFont="1" applyBorder="1" applyAlignment="1">
      <alignment horizontal="center" vertical="center"/>
    </xf>
    <xf numFmtId="0" fontId="30" fillId="0" borderId="6" xfId="0" applyFont="1" applyBorder="1" applyAlignment="1">
      <alignment horizontal="center" vertical="center"/>
    </xf>
    <xf numFmtId="0" fontId="31" fillId="0" borderId="9" xfId="0" applyFont="1" applyFill="1" applyBorder="1" applyAlignment="1">
      <alignment horizontal="center" vertical="center"/>
    </xf>
    <xf numFmtId="0" fontId="18" fillId="0" borderId="10" xfId="0" applyFont="1" applyFill="1" applyBorder="1"/>
    <xf numFmtId="0" fontId="18" fillId="0" borderId="11" xfId="0" applyFont="1" applyFill="1" applyBorder="1"/>
    <xf numFmtId="165" fontId="18" fillId="0" borderId="11" xfId="0" applyNumberFormat="1" applyFont="1" applyFill="1" applyBorder="1" applyAlignment="1">
      <alignment horizontal="center" vertical="center"/>
    </xf>
    <xf numFmtId="0" fontId="18" fillId="0" borderId="10" xfId="0" applyFont="1" applyBorder="1"/>
    <xf numFmtId="0" fontId="18" fillId="0" borderId="11" xfId="0" applyFont="1" applyBorder="1"/>
    <xf numFmtId="166" fontId="18" fillId="0" borderId="11" xfId="2" applyNumberFormat="1" applyFont="1" applyFill="1" applyBorder="1" applyAlignment="1">
      <alignment horizontal="center" vertical="center"/>
    </xf>
    <xf numFmtId="166" fontId="18" fillId="0" borderId="12" xfId="2" applyNumberFormat="1" applyFont="1" applyFill="1" applyBorder="1" applyAlignment="1">
      <alignment horizontal="center" vertical="center"/>
    </xf>
    <xf numFmtId="0" fontId="0" fillId="0" borderId="3" xfId="0" applyBorder="1" applyAlignment="1">
      <alignment horizontal="center" vertical="center"/>
    </xf>
    <xf numFmtId="0" fontId="31" fillId="7" borderId="6" xfId="0" applyFont="1" applyFill="1" applyBorder="1" applyAlignment="1">
      <alignment horizontal="center" vertical="center"/>
    </xf>
    <xf numFmtId="0" fontId="18" fillId="7" borderId="6" xfId="0" applyFont="1" applyFill="1" applyBorder="1"/>
    <xf numFmtId="165" fontId="0" fillId="0" borderId="6" xfId="0" applyNumberFormat="1" applyBorder="1" applyAlignment="1">
      <alignment horizontal="center" vertical="center"/>
    </xf>
    <xf numFmtId="0" fontId="0" fillId="0" borderId="6" xfId="0" applyBorder="1" applyAlignment="1" applyProtection="1">
      <alignment horizontal="center"/>
      <protection locked="0"/>
    </xf>
    <xf numFmtId="0" fontId="0" fillId="0" borderId="13" xfId="0" applyBorder="1" applyAlignment="1">
      <alignment horizontal="center"/>
    </xf>
    <xf numFmtId="0" fontId="0" fillId="0" borderId="14" xfId="0" applyBorder="1" applyAlignment="1">
      <alignment horizontal="center"/>
    </xf>
    <xf numFmtId="0" fontId="0" fillId="0" borderId="12" xfId="0" applyBorder="1" applyAlignment="1">
      <alignment horizontal="center"/>
    </xf>
    <xf numFmtId="0" fontId="0" fillId="0" borderId="9" xfId="0" applyBorder="1" applyAlignment="1">
      <alignment horizontal="center" vertical="center"/>
    </xf>
    <xf numFmtId="169" fontId="0" fillId="0" borderId="12" xfId="0" applyNumberFormat="1" applyBorder="1" applyAlignment="1">
      <alignment horizontal="center" vertical="center"/>
    </xf>
    <xf numFmtId="0" fontId="22" fillId="0" borderId="15" xfId="0" applyFont="1" applyBorder="1" applyAlignment="1">
      <alignment horizontal="left" indent="1"/>
    </xf>
    <xf numFmtId="0" fontId="22" fillId="0" borderId="8" xfId="0" applyFont="1" applyBorder="1"/>
    <xf numFmtId="14" fontId="0" fillId="0" borderId="8" xfId="0" applyNumberFormat="1" applyBorder="1" applyAlignment="1">
      <alignment horizontal="left"/>
    </xf>
    <xf numFmtId="171" fontId="0" fillId="0" borderId="8" xfId="0" applyNumberFormat="1" applyBorder="1" applyAlignment="1">
      <alignment horizontal="left"/>
    </xf>
    <xf numFmtId="0" fontId="0" fillId="0" borderId="8" xfId="0" applyBorder="1"/>
    <xf numFmtId="0" fontId="0" fillId="0" borderId="9" xfId="0" applyBorder="1"/>
    <xf numFmtId="0" fontId="22" fillId="0" borderId="10" xfId="0" applyFont="1" applyBorder="1" applyAlignment="1">
      <alignment horizontal="left" indent="1"/>
    </xf>
    <xf numFmtId="0" fontId="0" fillId="0" borderId="11" xfId="0" applyBorder="1"/>
    <xf numFmtId="0" fontId="0" fillId="0" borderId="13" xfId="0" applyBorder="1"/>
    <xf numFmtId="0" fontId="0" fillId="0" borderId="14" xfId="0" applyBorder="1"/>
    <xf numFmtId="0" fontId="22" fillId="0" borderId="14" xfId="0" applyFont="1" applyBorder="1" applyAlignment="1">
      <alignment horizontal="right" indent="1"/>
    </xf>
    <xf numFmtId="0" fontId="0" fillId="0" borderId="12" xfId="0" applyBorder="1"/>
    <xf numFmtId="172" fontId="0" fillId="0" borderId="6" xfId="0" applyNumberFormat="1" applyBorder="1" applyAlignment="1" applyProtection="1">
      <alignment horizontal="center" vertical="center"/>
      <protection locked="0"/>
    </xf>
    <xf numFmtId="172" fontId="0" fillId="5" borderId="6" xfId="0" applyNumberFormat="1" applyFill="1" applyBorder="1" applyAlignment="1">
      <alignment horizontal="center" vertical="center"/>
    </xf>
    <xf numFmtId="168" fontId="9" fillId="0" borderId="0" xfId="0" applyNumberFormat="1" applyFont="1"/>
    <xf numFmtId="0" fontId="0" fillId="3" borderId="0" xfId="0" applyFont="1" applyFill="1"/>
    <xf numFmtId="165" fontId="0" fillId="3" borderId="6" xfId="0" applyNumberFormat="1" applyFont="1" applyFill="1" applyBorder="1" applyAlignment="1">
      <alignment horizontal="center" vertical="center"/>
    </xf>
    <xf numFmtId="169" fontId="0" fillId="3" borderId="6" xfId="0" applyNumberFormat="1" applyFont="1" applyFill="1" applyBorder="1" applyAlignment="1">
      <alignment horizontal="center" vertical="center"/>
    </xf>
    <xf numFmtId="166" fontId="0" fillId="3" borderId="6" xfId="0" applyNumberFormat="1" applyFont="1" applyFill="1" applyBorder="1" applyAlignment="1">
      <alignment horizontal="center" vertical="center"/>
    </xf>
    <xf numFmtId="166" fontId="5" fillId="5" borderId="6" xfId="2" applyNumberFormat="1" applyFont="1" applyFill="1" applyBorder="1" applyAlignment="1">
      <alignment horizontal="center" vertical="center"/>
    </xf>
    <xf numFmtId="165" fontId="0" fillId="5" borderId="6" xfId="0" applyNumberFormat="1" applyFill="1" applyBorder="1" applyAlignment="1">
      <alignment horizontal="center" vertical="center"/>
    </xf>
    <xf numFmtId="0" fontId="32" fillId="0" borderId="0" xfId="0" applyFont="1"/>
    <xf numFmtId="0" fontId="14" fillId="0" borderId="0" xfId="0" applyFont="1" applyFill="1" applyBorder="1" applyAlignment="1">
      <alignment horizontal="center" vertical="center" wrapText="1"/>
    </xf>
    <xf numFmtId="172" fontId="0" fillId="3" borderId="6" xfId="0" applyNumberFormat="1" applyFont="1" applyFill="1" applyBorder="1" applyAlignment="1">
      <alignment horizontal="center" vertical="center"/>
    </xf>
    <xf numFmtId="0" fontId="14" fillId="8" borderId="6" xfId="0" applyFont="1" applyFill="1" applyBorder="1" applyAlignment="1">
      <alignment horizontal="center" vertical="center" wrapText="1"/>
    </xf>
    <xf numFmtId="0" fontId="27" fillId="0" borderId="0" xfId="0" applyFont="1" applyFill="1" applyBorder="1"/>
    <xf numFmtId="0" fontId="14" fillId="8" borderId="0" xfId="0" applyFont="1" applyFill="1" applyAlignment="1">
      <alignment horizontal="center" vertical="center" wrapText="1"/>
    </xf>
    <xf numFmtId="0" fontId="9" fillId="0" borderId="0" xfId="0" applyFont="1" applyBorder="1" applyAlignment="1">
      <alignment horizontal="center"/>
    </xf>
    <xf numFmtId="166" fontId="9" fillId="0" borderId="0" xfId="2" applyNumberFormat="1" applyFont="1" applyFill="1" applyBorder="1" applyAlignment="1">
      <alignment horizontal="center" vertical="center"/>
    </xf>
    <xf numFmtId="165" fontId="9" fillId="0" borderId="0" xfId="2" applyNumberFormat="1" applyFont="1" applyFill="1" applyBorder="1" applyAlignment="1">
      <alignment horizontal="center" vertical="center"/>
    </xf>
    <xf numFmtId="0" fontId="0" fillId="0" borderId="6" xfId="0" applyBorder="1" applyAlignment="1" applyProtection="1">
      <alignment horizontal="center"/>
      <protection locked="0"/>
    </xf>
    <xf numFmtId="173" fontId="0" fillId="2" borderId="0" xfId="0" applyNumberFormat="1" applyFill="1" applyAlignment="1">
      <alignment horizontal="center" vertical="center"/>
    </xf>
    <xf numFmtId="0" fontId="41" fillId="0" borderId="0" xfId="0" applyFont="1" applyFill="1" applyBorder="1" applyAlignment="1">
      <alignment horizontal="center" vertical="center"/>
    </xf>
    <xf numFmtId="0" fontId="27" fillId="2" borderId="0" xfId="0" applyFont="1" applyFill="1"/>
    <xf numFmtId="0" fontId="9" fillId="11" borderId="0" xfId="0" applyFont="1" applyFill="1"/>
    <xf numFmtId="0" fontId="9" fillId="11" borderId="0" xfId="0" applyFont="1" applyFill="1" applyAlignment="1">
      <alignment horizontal="center" vertical="center" wrapText="1"/>
    </xf>
    <xf numFmtId="172" fontId="9" fillId="11" borderId="0" xfId="0" applyNumberFormat="1" applyFont="1" applyFill="1" applyAlignment="1">
      <alignment horizontal="center" vertical="center"/>
    </xf>
    <xf numFmtId="165" fontId="9" fillId="11" borderId="0" xfId="0" applyNumberFormat="1" applyFont="1" applyFill="1" applyAlignment="1">
      <alignment horizontal="center" vertical="center"/>
    </xf>
    <xf numFmtId="0" fontId="0" fillId="0" borderId="6" xfId="0" applyBorder="1" applyAlignment="1" applyProtection="1">
      <alignment horizontal="center"/>
      <protection locked="0"/>
    </xf>
    <xf numFmtId="0" fontId="0" fillId="0" borderId="6" xfId="0" applyBorder="1" applyAlignment="1" applyProtection="1">
      <alignment horizontal="center"/>
      <protection locked="0"/>
    </xf>
    <xf numFmtId="9" fontId="0" fillId="0" borderId="6" xfId="3" applyFont="1" applyBorder="1" applyAlignment="1" applyProtection="1">
      <alignment horizontal="center" vertical="center"/>
      <protection locked="0"/>
    </xf>
    <xf numFmtId="0" fontId="27" fillId="0" borderId="0" xfId="0" applyFont="1" applyBorder="1" applyAlignment="1" applyProtection="1">
      <alignment horizontal="center"/>
      <protection locked="0"/>
    </xf>
    <xf numFmtId="165" fontId="27" fillId="0" borderId="0" xfId="0" applyNumberFormat="1" applyFont="1" applyBorder="1" applyAlignment="1" applyProtection="1">
      <alignment horizontal="center" vertical="center"/>
      <protection locked="0"/>
    </xf>
    <xf numFmtId="0" fontId="27" fillId="0" borderId="0" xfId="0" applyFont="1" applyFill="1" applyBorder="1" applyAlignment="1">
      <alignment horizontal="center" vertical="center"/>
    </xf>
    <xf numFmtId="165" fontId="27" fillId="0" borderId="0" xfId="0" applyNumberFormat="1" applyFont="1" applyFill="1" applyBorder="1" applyAlignment="1" applyProtection="1">
      <alignment horizontal="center" vertical="center"/>
    </xf>
    <xf numFmtId="0" fontId="27" fillId="0" borderId="0" xfId="0" applyFont="1" applyFill="1" applyBorder="1" applyAlignment="1" applyProtection="1">
      <alignment horizontal="center" vertical="center"/>
    </xf>
    <xf numFmtId="0" fontId="27" fillId="11" borderId="0" xfId="0" applyFont="1" applyFill="1"/>
    <xf numFmtId="0" fontId="41" fillId="4" borderId="5" xfId="0" applyFont="1" applyFill="1" applyBorder="1" applyAlignment="1">
      <alignment horizontal="center" vertical="center"/>
    </xf>
    <xf numFmtId="0" fontId="41" fillId="4" borderId="2" xfId="0" applyFont="1" applyFill="1" applyBorder="1" applyAlignment="1">
      <alignment horizontal="center" vertical="center"/>
    </xf>
    <xf numFmtId="0" fontId="27" fillId="0" borderId="0" xfId="0" applyFont="1" applyAlignment="1">
      <alignment horizontal="center" vertical="center"/>
    </xf>
    <xf numFmtId="165" fontId="27" fillId="5" borderId="5" xfId="0" applyNumberFormat="1" applyFont="1" applyFill="1" applyBorder="1" applyAlignment="1" applyProtection="1">
      <alignment horizontal="center" vertical="center"/>
    </xf>
    <xf numFmtId="0" fontId="27" fillId="0" borderId="0" xfId="0" applyFont="1" applyAlignment="1" applyProtection="1">
      <alignment horizontal="center" vertical="center"/>
    </xf>
    <xf numFmtId="165" fontId="27" fillId="5" borderId="6" xfId="0" applyNumberFormat="1" applyFont="1" applyFill="1" applyBorder="1" applyAlignment="1" applyProtection="1">
      <alignment horizontal="center" vertical="center"/>
    </xf>
    <xf numFmtId="0" fontId="0" fillId="0" borderId="6" xfId="0" applyBorder="1" applyAlignment="1" applyProtection="1">
      <alignment horizontal="center"/>
      <protection locked="0"/>
    </xf>
    <xf numFmtId="0" fontId="0" fillId="0" borderId="6" xfId="0" applyBorder="1" applyAlignment="1" applyProtection="1">
      <alignment horizontal="center"/>
      <protection locked="0"/>
    </xf>
    <xf numFmtId="0" fontId="36" fillId="0" borderId="0" xfId="0" applyFont="1" applyAlignment="1">
      <alignment horizontal="left" vertical="center" wrapText="1"/>
    </xf>
    <xf numFmtId="0" fontId="35" fillId="9" borderId="0" xfId="1" applyFont="1" applyFill="1" applyAlignment="1" applyProtection="1">
      <alignment horizontal="center" vertical="center"/>
      <protection locked="0"/>
    </xf>
    <xf numFmtId="0" fontId="26" fillId="0" borderId="0" xfId="0" applyFont="1" applyAlignment="1">
      <alignment horizontal="left" vertical="center" indent="1"/>
    </xf>
    <xf numFmtId="0" fontId="21" fillId="0" borderId="0" xfId="0" applyFont="1" applyFill="1" applyAlignment="1">
      <alignment horizontal="left" vertical="top"/>
    </xf>
    <xf numFmtId="0" fontId="33" fillId="0" borderId="0" xfId="0" applyFont="1" applyFill="1" applyAlignment="1">
      <alignment horizontal="left" vertical="center" wrapText="1"/>
    </xf>
    <xf numFmtId="0" fontId="34" fillId="0" borderId="0" xfId="0" applyFont="1" applyAlignment="1">
      <alignment horizontal="left" vertical="center" indent="3"/>
    </xf>
    <xf numFmtId="0" fontId="25" fillId="0" borderId="0" xfId="0" applyFont="1" applyAlignment="1">
      <alignment horizontal="center" vertical="center"/>
    </xf>
    <xf numFmtId="0" fontId="14" fillId="4" borderId="6" xfId="0" applyFont="1" applyFill="1" applyBorder="1" applyAlignment="1">
      <alignment horizontal="left" vertical="center" indent="1"/>
    </xf>
    <xf numFmtId="0" fontId="0" fillId="0" borderId="6" xfId="0" applyBorder="1" applyAlignment="1" applyProtection="1">
      <alignment horizontal="left" vertical="center" indent="1"/>
      <protection locked="0"/>
    </xf>
    <xf numFmtId="0" fontId="0" fillId="5" borderId="6" xfId="0" applyFill="1" applyBorder="1" applyAlignment="1">
      <alignment horizontal="left" vertical="center" indent="1"/>
    </xf>
    <xf numFmtId="14" fontId="0" fillId="0" borderId="6" xfId="0" applyNumberFormat="1" applyBorder="1" applyAlignment="1" applyProtection="1">
      <alignment horizontal="left" vertical="center" indent="1"/>
      <protection locked="0"/>
    </xf>
    <xf numFmtId="9" fontId="0" fillId="0" borderId="6" xfId="3" applyFont="1" applyBorder="1" applyAlignment="1" applyProtection="1">
      <alignment horizontal="center" vertical="center"/>
      <protection locked="0"/>
    </xf>
    <xf numFmtId="0" fontId="17" fillId="0" borderId="0" xfId="0" applyFont="1" applyFill="1" applyBorder="1" applyAlignment="1">
      <alignment horizontal="left" vertical="center"/>
    </xf>
    <xf numFmtId="0" fontId="17" fillId="0" borderId="0" xfId="0" applyFont="1" applyFill="1" applyBorder="1" applyAlignment="1">
      <alignment horizontal="left"/>
    </xf>
    <xf numFmtId="0" fontId="14" fillId="4" borderId="6" xfId="0" applyFont="1" applyFill="1" applyBorder="1" applyAlignment="1">
      <alignment horizontal="center" vertical="center"/>
    </xf>
    <xf numFmtId="9" fontId="0" fillId="0" borderId="20" xfId="3" applyFont="1" applyBorder="1" applyAlignment="1" applyProtection="1">
      <alignment horizontal="center" vertical="center"/>
      <protection locked="0"/>
    </xf>
    <xf numFmtId="9" fontId="0" fillId="0" borderId="21" xfId="3" applyFont="1" applyBorder="1" applyAlignment="1" applyProtection="1">
      <alignment horizontal="center" vertical="center"/>
      <protection locked="0"/>
    </xf>
    <xf numFmtId="9" fontId="0" fillId="0" borderId="22" xfId="3" applyFont="1" applyBorder="1" applyAlignment="1" applyProtection="1">
      <alignment horizontal="center" vertical="center"/>
      <protection locked="0"/>
    </xf>
    <xf numFmtId="172" fontId="0" fillId="5" borderId="6" xfId="0" applyNumberFormat="1" applyFill="1" applyBorder="1" applyAlignment="1">
      <alignment horizontal="center" vertical="center"/>
    </xf>
    <xf numFmtId="0" fontId="14" fillId="9" borderId="6" xfId="0" applyFont="1" applyFill="1" applyBorder="1" applyAlignment="1">
      <alignment horizontal="left" vertical="center" indent="1"/>
    </xf>
    <xf numFmtId="0" fontId="9" fillId="0" borderId="0" xfId="0" applyFont="1" applyFill="1" applyBorder="1" applyAlignment="1">
      <alignment horizontal="left" vertical="center" indent="1"/>
    </xf>
    <xf numFmtId="165" fontId="14" fillId="10" borderId="6" xfId="0" applyNumberFormat="1" applyFont="1" applyFill="1" applyBorder="1" applyAlignment="1">
      <alignment horizontal="left" vertical="center" indent="1"/>
    </xf>
    <xf numFmtId="165" fontId="0" fillId="3" borderId="6" xfId="0" applyNumberFormat="1" applyFill="1" applyBorder="1" applyAlignment="1">
      <alignment horizontal="center" vertical="center" wrapText="1"/>
    </xf>
    <xf numFmtId="166" fontId="0" fillId="5" borderId="6" xfId="0" applyNumberFormat="1" applyFill="1" applyBorder="1" applyAlignment="1">
      <alignment horizontal="center" vertical="center"/>
    </xf>
    <xf numFmtId="0" fontId="14" fillId="9" borderId="6" xfId="0" applyFont="1" applyFill="1" applyBorder="1" applyAlignment="1">
      <alignment horizontal="center" vertical="center"/>
    </xf>
    <xf numFmtId="165" fontId="14" fillId="10" borderId="15" xfId="0" applyNumberFormat="1" applyFont="1" applyFill="1" applyBorder="1" applyAlignment="1">
      <alignment horizontal="left" vertical="center" indent="1"/>
    </xf>
    <xf numFmtId="165" fontId="14" fillId="10" borderId="9" xfId="0" applyNumberFormat="1" applyFont="1" applyFill="1" applyBorder="1" applyAlignment="1">
      <alignment horizontal="left" vertical="center" indent="1"/>
    </xf>
    <xf numFmtId="165" fontId="14" fillId="10" borderId="13" xfId="0" applyNumberFormat="1" applyFont="1" applyFill="1" applyBorder="1" applyAlignment="1">
      <alignment horizontal="left" vertical="center" indent="1"/>
    </xf>
    <xf numFmtId="165" fontId="14" fillId="10" borderId="12" xfId="0" applyNumberFormat="1" applyFont="1" applyFill="1" applyBorder="1" applyAlignment="1">
      <alignment horizontal="left" vertical="center" indent="1"/>
    </xf>
    <xf numFmtId="0" fontId="9" fillId="0" borderId="0" xfId="0" applyFont="1" applyFill="1" applyBorder="1" applyAlignment="1">
      <alignment horizontal="left" vertical="center" wrapText="1" indent="1"/>
    </xf>
    <xf numFmtId="172" fontId="0" fillId="5" borderId="6" xfId="0" applyNumberFormat="1" applyFont="1" applyFill="1" applyBorder="1" applyAlignment="1">
      <alignment horizontal="center" vertical="center"/>
    </xf>
    <xf numFmtId="0" fontId="9" fillId="4" borderId="6" xfId="0" applyFont="1" applyFill="1" applyBorder="1" applyAlignment="1">
      <alignment horizontal="left" vertical="center" indent="1"/>
    </xf>
    <xf numFmtId="0" fontId="9" fillId="4" borderId="6" xfId="0" applyFont="1" applyFill="1" applyBorder="1" applyAlignment="1">
      <alignment horizontal="left" vertical="center" wrapText="1" indent="1"/>
    </xf>
    <xf numFmtId="0" fontId="0" fillId="5" borderId="6" xfId="0" applyFill="1" applyBorder="1" applyAlignment="1">
      <alignment horizontal="left" vertical="center" wrapText="1" indent="1"/>
    </xf>
    <xf numFmtId="0" fontId="0" fillId="5" borderId="6" xfId="0" applyFill="1" applyBorder="1" applyAlignment="1">
      <alignment horizontal="left" vertical="center" wrapText="1" indent="2"/>
    </xf>
    <xf numFmtId="0" fontId="7" fillId="10" borderId="6" xfId="0" applyFont="1" applyFill="1" applyBorder="1" applyAlignment="1">
      <alignment horizontal="left" vertical="center" indent="1"/>
    </xf>
    <xf numFmtId="0" fontId="18" fillId="0" borderId="15" xfId="0" applyFont="1" applyFill="1" applyBorder="1" applyAlignment="1">
      <alignment horizontal="left" vertical="center" indent="1"/>
    </xf>
    <xf numFmtId="0" fontId="18" fillId="0" borderId="8" xfId="0" applyFont="1" applyFill="1" applyBorder="1" applyAlignment="1">
      <alignment horizontal="left" vertical="center" indent="1"/>
    </xf>
    <xf numFmtId="0" fontId="18" fillId="0" borderId="10" xfId="0" applyFont="1" applyFill="1" applyBorder="1" applyAlignment="1">
      <alignment horizontal="left" vertical="center" indent="1"/>
    </xf>
    <xf numFmtId="0" fontId="18" fillId="0" borderId="0" xfId="0" applyFont="1" applyFill="1" applyBorder="1" applyAlignment="1">
      <alignment horizontal="left" vertical="center" indent="1"/>
    </xf>
    <xf numFmtId="0" fontId="18" fillId="0" borderId="13" xfId="0" applyFont="1" applyFill="1" applyBorder="1" applyAlignment="1">
      <alignment horizontal="left" vertical="center" indent="1"/>
    </xf>
    <xf numFmtId="0" fontId="18" fillId="0" borderId="14" xfId="0" applyFont="1" applyFill="1" applyBorder="1" applyAlignment="1">
      <alignment horizontal="left" vertical="center" indent="1"/>
    </xf>
    <xf numFmtId="0" fontId="16" fillId="0" borderId="0" xfId="0" applyNumberFormat="1" applyFont="1" applyAlignment="1">
      <alignment horizontal="left" vertical="top" wrapText="1"/>
    </xf>
    <xf numFmtId="0" fontId="18" fillId="0" borderId="10" xfId="0" applyFont="1" applyFill="1" applyBorder="1" applyAlignment="1">
      <alignment horizontal="left" vertical="center" wrapText="1" indent="1"/>
    </xf>
    <xf numFmtId="0" fontId="0" fillId="0" borderId="6" xfId="0" applyBorder="1" applyAlignment="1" applyProtection="1">
      <alignment horizontal="center"/>
      <protection locked="0"/>
    </xf>
    <xf numFmtId="0" fontId="22" fillId="7" borderId="6" xfId="0" applyFont="1" applyFill="1" applyBorder="1" applyAlignment="1">
      <alignment horizontal="center"/>
    </xf>
    <xf numFmtId="0" fontId="0" fillId="0" borderId="13" xfId="0" applyBorder="1" applyAlignment="1" applyProtection="1">
      <alignment horizontal="center"/>
      <protection locked="0"/>
    </xf>
    <xf numFmtId="0" fontId="0" fillId="0" borderId="14" xfId="0" applyBorder="1" applyAlignment="1" applyProtection="1">
      <alignment horizontal="center"/>
      <protection locked="0"/>
    </xf>
    <xf numFmtId="0" fontId="0" fillId="0" borderId="12" xfId="0" applyBorder="1" applyAlignment="1" applyProtection="1">
      <alignment horizontal="center"/>
      <protection locked="0"/>
    </xf>
    <xf numFmtId="0" fontId="0" fillId="0" borderId="15" xfId="0" applyBorder="1" applyAlignment="1">
      <alignment horizontal="left" vertical="center" indent="1"/>
    </xf>
    <xf numFmtId="0" fontId="0" fillId="0" borderId="8" xfId="0" applyBorder="1" applyAlignment="1">
      <alignment horizontal="left" vertical="center" indent="1"/>
    </xf>
    <xf numFmtId="0" fontId="0" fillId="0" borderId="9" xfId="0" applyBorder="1" applyAlignment="1">
      <alignment horizontal="left" vertical="center" indent="1"/>
    </xf>
    <xf numFmtId="0" fontId="0" fillId="0" borderId="15" xfId="0" applyBorder="1" applyAlignment="1">
      <alignment horizontal="center" vertical="center"/>
    </xf>
    <xf numFmtId="0" fontId="0" fillId="0" borderId="8" xfId="0" applyBorder="1" applyAlignment="1">
      <alignment horizontal="center" vertical="center"/>
    </xf>
    <xf numFmtId="169" fontId="0" fillId="0" borderId="13" xfId="0" applyNumberFormat="1" applyBorder="1" applyAlignment="1">
      <alignment horizontal="center" vertical="center"/>
    </xf>
    <xf numFmtId="169" fontId="0" fillId="0" borderId="14" xfId="0" applyNumberFormat="1" applyBorder="1" applyAlignment="1">
      <alignment horizontal="center" vertical="center"/>
    </xf>
    <xf numFmtId="165" fontId="0" fillId="0" borderId="14" xfId="0" applyNumberFormat="1" applyBorder="1" applyAlignment="1">
      <alignment horizontal="center" vertical="center"/>
    </xf>
    <xf numFmtId="0" fontId="0" fillId="0" borderId="7" xfId="0" applyBorder="1" applyAlignment="1">
      <alignment horizontal="left" vertical="center" indent="1"/>
    </xf>
    <xf numFmtId="0" fontId="0" fillId="0" borderId="6" xfId="0" applyBorder="1" applyAlignment="1">
      <alignment horizontal="left" vertical="center" indent="1"/>
    </xf>
    <xf numFmtId="0" fontId="31" fillId="7" borderId="6" xfId="0" applyFont="1" applyFill="1" applyBorder="1" applyAlignment="1">
      <alignment horizontal="center" vertical="center"/>
    </xf>
    <xf numFmtId="0" fontId="22" fillId="0" borderId="8" xfId="0" applyFont="1" applyBorder="1" applyAlignment="1">
      <alignment horizontal="center"/>
    </xf>
    <xf numFmtId="0" fontId="37" fillId="0" borderId="16" xfId="0" applyFont="1" applyBorder="1" applyAlignment="1">
      <alignment horizontal="left" vertical="center" indent="1"/>
    </xf>
    <xf numFmtId="0" fontId="37" fillId="0" borderId="17" xfId="0" applyFont="1" applyBorder="1" applyAlignment="1">
      <alignment horizontal="left" vertical="center" indent="1"/>
    </xf>
    <xf numFmtId="0" fontId="37" fillId="0" borderId="18" xfId="0" applyFont="1" applyBorder="1" applyAlignment="1">
      <alignment horizontal="left" vertical="center" indent="1"/>
    </xf>
    <xf numFmtId="0" fontId="6" fillId="0" borderId="0" xfId="0" applyFont="1" applyAlignment="1">
      <alignment horizontal="left" vertical="top" wrapText="1" indent="1"/>
    </xf>
    <xf numFmtId="0" fontId="38" fillId="0" borderId="0" xfId="0" applyFont="1" applyAlignment="1">
      <alignment horizontal="center" vertical="center"/>
    </xf>
    <xf numFmtId="0" fontId="39" fillId="0" borderId="19" xfId="0" applyFont="1" applyBorder="1" applyAlignment="1">
      <alignment horizontal="center" vertical="center"/>
    </xf>
    <xf numFmtId="0" fontId="40" fillId="10" borderId="0" xfId="0" applyFont="1" applyFill="1" applyAlignment="1">
      <alignment horizontal="center" vertical="center"/>
    </xf>
    <xf numFmtId="20" fontId="9" fillId="0" borderId="0" xfId="0" applyNumberFormat="1" applyFont="1" applyFill="1" applyBorder="1"/>
    <xf numFmtId="165" fontId="9" fillId="0" borderId="0" xfId="0" applyNumberFormat="1" applyFont="1" applyFill="1" applyBorder="1" applyAlignment="1" applyProtection="1">
      <alignment horizontal="center" vertical="center"/>
      <protection locked="0"/>
    </xf>
    <xf numFmtId="167" fontId="9" fillId="0" borderId="0" xfId="0" applyNumberFormat="1" applyFont="1" applyFill="1" applyBorder="1"/>
    <xf numFmtId="14" fontId="9" fillId="0" borderId="0" xfId="0" applyNumberFormat="1" applyFont="1" applyFill="1" applyBorder="1"/>
    <xf numFmtId="172" fontId="9" fillId="0" borderId="0" xfId="0" applyNumberFormat="1" applyFont="1" applyFill="1" applyBorder="1"/>
    <xf numFmtId="164" fontId="9" fillId="0" borderId="0" xfId="2" applyFont="1" applyFill="1" applyBorder="1"/>
    <xf numFmtId="0" fontId="9" fillId="0" borderId="0" xfId="0" applyFont="1" applyFill="1" applyBorder="1" applyAlignment="1">
      <alignment vertical="center"/>
    </xf>
    <xf numFmtId="0" fontId="9" fillId="0" borderId="0" xfId="0" applyFont="1" applyFill="1" applyBorder="1" applyAlignment="1">
      <alignment vertical="center" wrapText="1"/>
    </xf>
    <xf numFmtId="172" fontId="9" fillId="0" borderId="0" xfId="2" applyNumberFormat="1" applyFont="1" applyFill="1" applyBorder="1" applyAlignment="1">
      <alignment horizontal="center" vertical="center"/>
    </xf>
  </cellXfs>
  <cellStyles count="4">
    <cellStyle name="Hiperlink" xfId="1" builtinId="8"/>
    <cellStyle name="Moeda" xfId="2" builtinId="4"/>
    <cellStyle name="Normal" xfId="0" builtinId="0"/>
    <cellStyle name="Porcentagem" xfId="3" builtinId="5"/>
  </cellStyles>
  <dxfs count="331">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b/>
        <i val="0"/>
        <color theme="0"/>
      </font>
      <fill>
        <patternFill>
          <bgColor rgb="FF00B050"/>
        </patternFill>
      </fill>
    </dxf>
    <dxf>
      <font>
        <b/>
        <i val="0"/>
        <color theme="0"/>
      </font>
      <fill>
        <patternFill>
          <bgColor rgb="FFFF0000"/>
        </patternFill>
      </fill>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b/>
        <i val="0"/>
        <color theme="0"/>
      </font>
      <fill>
        <patternFill>
          <bgColor rgb="FFFF9900"/>
        </patternFill>
      </fill>
    </dxf>
    <dxf>
      <font>
        <b/>
        <i val="0"/>
        <color theme="0"/>
      </font>
      <fill>
        <patternFill>
          <bgColor rgb="FF00B05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b val="0"/>
        <i val="0"/>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CC0000"/>
        </patternFill>
      </fill>
    </dxf>
    <dxf>
      <font>
        <color theme="0"/>
      </font>
      <fill>
        <patternFill>
          <bgColor rgb="FFFF9900"/>
        </patternFill>
      </fill>
    </dxf>
    <dxf>
      <font>
        <color rgb="FFFF0000"/>
      </font>
    </dxf>
    <dxf>
      <border>
        <left style="thin">
          <color indexed="64"/>
        </left>
        <right style="thin">
          <color indexed="64"/>
        </right>
        <top style="thin">
          <color indexed="64"/>
        </top>
        <bottom style="thin">
          <color indexed="64"/>
        </bottom>
      </border>
    </dxf>
    <dxf>
      <font>
        <color theme="0"/>
      </font>
      <fill>
        <patternFill patternType="none">
          <bgColor indexed="65"/>
        </patternFill>
      </fill>
      <border>
        <left/>
        <right/>
        <top/>
        <bottom/>
      </border>
    </dxf>
    <dxf>
      <font>
        <b/>
        <i val="0"/>
        <color theme="0"/>
      </font>
      <fill>
        <patternFill>
          <bgColor rgb="FFCC0000"/>
        </patternFill>
      </fill>
    </dxf>
    <dxf>
      <font>
        <b/>
        <i val="0"/>
        <color theme="0"/>
      </font>
      <fill>
        <patternFill>
          <bgColor rgb="FFCC0000"/>
        </patternFill>
      </fill>
    </dxf>
    <dxf>
      <font>
        <color theme="0"/>
      </font>
      <fill>
        <patternFill>
          <bgColor rgb="FFCC0000"/>
        </patternFill>
      </fill>
    </dxf>
    <dxf>
      <font>
        <color theme="0"/>
      </font>
      <fill>
        <patternFill>
          <bgColor rgb="FFFF9900"/>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theme="0"/>
      </font>
      <fill>
        <patternFill>
          <bgColor rgb="FFFF9900"/>
        </patternFill>
      </fill>
    </dxf>
    <dxf>
      <font>
        <color theme="0"/>
      </font>
      <fill>
        <patternFill>
          <bgColor rgb="FFCC0000"/>
        </patternFill>
      </fill>
    </dxf>
    <dxf>
      <font>
        <color rgb="FFFF0000"/>
      </font>
    </dxf>
    <dxf>
      <font>
        <b/>
        <i val="0"/>
        <color theme="0"/>
      </font>
      <fill>
        <patternFill>
          <bgColor rgb="FFCC0000"/>
        </patternFill>
      </fill>
    </dxf>
    <dxf>
      <font>
        <b/>
        <i val="0"/>
        <color theme="0"/>
      </font>
      <fill>
        <patternFill>
          <bgColor rgb="FFCC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theme" Target="theme/theme1.xml"/><Relationship Id="rId24" Type="http://schemas.openxmlformats.org/officeDocument/2006/relationships/styles" Target="styles.xml"/><Relationship Id="rId25" Type="http://schemas.openxmlformats.org/officeDocument/2006/relationships/sharedStrings" Target="sharedStrings.xml"/><Relationship Id="rId26" Type="http://schemas.openxmlformats.org/officeDocument/2006/relationships/calcChain" Target="calcChain.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Resul!$J$53:$U$53</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Resul!$J$59:$U$59</c:f>
              <c:numCache>
                <c:formatCode>h:mm;@</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0"/>
        </c:ser>
        <c:dLbls>
          <c:showLegendKey val="0"/>
          <c:showVal val="0"/>
          <c:showCatName val="0"/>
          <c:showSerName val="0"/>
          <c:showPercent val="0"/>
          <c:showBubbleSize val="0"/>
        </c:dLbls>
        <c:smooth val="0"/>
        <c:axId val="-2109461632"/>
        <c:axId val="-2109482400"/>
      </c:lineChart>
      <c:catAx>
        <c:axId val="-2109461632"/>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9482400"/>
        <c:crosses val="autoZero"/>
        <c:auto val="1"/>
        <c:lblAlgn val="ctr"/>
        <c:lblOffset val="100"/>
        <c:noMultiLvlLbl val="0"/>
      </c:catAx>
      <c:valAx>
        <c:axId val="-2109482400"/>
        <c:scaling>
          <c:orientation val="minMax"/>
        </c:scaling>
        <c:delete val="1"/>
        <c:axPos val="l"/>
        <c:numFmt formatCode="h:mm;@" sourceLinked="1"/>
        <c:majorTickMark val="out"/>
        <c:minorTickMark val="none"/>
        <c:tickLblPos val="none"/>
        <c:crossAx val="-2109461632"/>
        <c:crosses val="autoZero"/>
        <c:crossBetween val="between"/>
      </c:valAx>
      <c:spPr>
        <a:no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Resul!$J$53:$U$53</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Resul!$J$60:$U$60</c:f>
              <c:numCache>
                <c:formatCode>h:mm;@</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0"/>
        </c:ser>
        <c:dLbls>
          <c:showLegendKey val="0"/>
          <c:showVal val="0"/>
          <c:showCatName val="0"/>
          <c:showSerName val="0"/>
          <c:showPercent val="0"/>
          <c:showBubbleSize val="0"/>
        </c:dLbls>
        <c:smooth val="0"/>
        <c:axId val="-2109508544"/>
        <c:axId val="-2109501056"/>
      </c:lineChart>
      <c:catAx>
        <c:axId val="-2109508544"/>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09501056"/>
        <c:crosses val="autoZero"/>
        <c:auto val="1"/>
        <c:lblAlgn val="ctr"/>
        <c:lblOffset val="100"/>
        <c:noMultiLvlLbl val="0"/>
      </c:catAx>
      <c:valAx>
        <c:axId val="-2109501056"/>
        <c:scaling>
          <c:orientation val="minMax"/>
        </c:scaling>
        <c:delete val="1"/>
        <c:axPos val="l"/>
        <c:numFmt formatCode="h:mm;@" sourceLinked="1"/>
        <c:majorTickMark val="out"/>
        <c:minorTickMark val="none"/>
        <c:tickLblPos val="none"/>
        <c:crossAx val="-2109508544"/>
        <c:crosses val="autoZero"/>
        <c:crossBetween val="between"/>
      </c:valAx>
      <c:spPr>
        <a:no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Resul!$J$53:$U$53</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Resul!$J$70:$U$70</c:f>
              <c:numCache>
                <c:formatCode>h:mm;@</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0"/>
        </c:ser>
        <c:dLbls>
          <c:showLegendKey val="0"/>
          <c:showVal val="0"/>
          <c:showCatName val="0"/>
          <c:showSerName val="0"/>
          <c:showPercent val="0"/>
          <c:showBubbleSize val="0"/>
        </c:dLbls>
        <c:smooth val="0"/>
        <c:axId val="-2094025088"/>
        <c:axId val="-2080391744"/>
      </c:lineChart>
      <c:catAx>
        <c:axId val="-2094025088"/>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0391744"/>
        <c:crosses val="autoZero"/>
        <c:auto val="1"/>
        <c:lblAlgn val="ctr"/>
        <c:lblOffset val="100"/>
        <c:noMultiLvlLbl val="0"/>
      </c:catAx>
      <c:valAx>
        <c:axId val="-2080391744"/>
        <c:scaling>
          <c:orientation val="minMax"/>
        </c:scaling>
        <c:delete val="1"/>
        <c:axPos val="l"/>
        <c:numFmt formatCode="h:mm;@" sourceLinked="1"/>
        <c:majorTickMark val="out"/>
        <c:minorTickMark val="none"/>
        <c:tickLblPos val="none"/>
        <c:crossAx val="-2094025088"/>
        <c:crosses val="autoZero"/>
        <c:crossBetween val="between"/>
      </c:valAx>
      <c:spPr>
        <a:no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Resul!$J$53:$U$53</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Resul!$J$62:$U$62</c:f>
              <c:numCache>
                <c:formatCode>h:mm;@</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0"/>
        </c:ser>
        <c:dLbls>
          <c:showLegendKey val="0"/>
          <c:showVal val="0"/>
          <c:showCatName val="0"/>
          <c:showSerName val="0"/>
          <c:showPercent val="0"/>
          <c:showBubbleSize val="0"/>
        </c:dLbls>
        <c:smooth val="0"/>
        <c:axId val="-2080471280"/>
        <c:axId val="-2080463792"/>
      </c:lineChart>
      <c:catAx>
        <c:axId val="-2080471280"/>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0463792"/>
        <c:crosses val="autoZero"/>
        <c:auto val="1"/>
        <c:lblAlgn val="ctr"/>
        <c:lblOffset val="100"/>
        <c:noMultiLvlLbl val="0"/>
      </c:catAx>
      <c:valAx>
        <c:axId val="-2080463792"/>
        <c:scaling>
          <c:orientation val="minMax"/>
        </c:scaling>
        <c:delete val="1"/>
        <c:axPos val="l"/>
        <c:numFmt formatCode="h:mm;@" sourceLinked="1"/>
        <c:majorTickMark val="out"/>
        <c:minorTickMark val="none"/>
        <c:tickLblPos val="none"/>
        <c:crossAx val="-2080471280"/>
        <c:crosses val="autoZero"/>
        <c:crossBetween val="between"/>
      </c:valAx>
      <c:spPr>
        <a:no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0"/>
          <c:order val="0"/>
          <c:spPr>
            <a:ln w="25400">
              <a:solidFill>
                <a:srgbClr val="666699"/>
              </a:solidFill>
              <a:prstDash val="solid"/>
            </a:ln>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Resul!$J$53:$U$53</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Resul!$J$61:$U$61</c:f>
              <c:numCache>
                <c:formatCode>h:mm;@</c:formatCode>
                <c:ptCount val="12"/>
                <c:pt idx="0">
                  <c:v>0.0</c:v>
                </c:pt>
                <c:pt idx="1">
                  <c:v>0.0</c:v>
                </c:pt>
                <c:pt idx="2">
                  <c:v>0.0</c:v>
                </c:pt>
                <c:pt idx="3">
                  <c:v>0.0</c:v>
                </c:pt>
                <c:pt idx="4">
                  <c:v>0.0</c:v>
                </c:pt>
                <c:pt idx="5">
                  <c:v>0.0</c:v>
                </c:pt>
                <c:pt idx="6">
                  <c:v>0.0</c:v>
                </c:pt>
                <c:pt idx="7">
                  <c:v>0.0</c:v>
                </c:pt>
                <c:pt idx="8">
                  <c:v>0.0</c:v>
                </c:pt>
                <c:pt idx="9">
                  <c:v>0.0</c:v>
                </c:pt>
                <c:pt idx="10">
                  <c:v>0.0</c:v>
                </c:pt>
                <c:pt idx="11">
                  <c:v>0.0</c:v>
                </c:pt>
              </c:numCache>
            </c:numRef>
          </c:val>
          <c:smooth val="0"/>
        </c:ser>
        <c:dLbls>
          <c:showLegendKey val="0"/>
          <c:showVal val="0"/>
          <c:showCatName val="0"/>
          <c:showSerName val="0"/>
          <c:showPercent val="0"/>
          <c:showBubbleSize val="0"/>
        </c:dLbls>
        <c:smooth val="0"/>
        <c:axId val="-2080438144"/>
        <c:axId val="-2080430656"/>
      </c:lineChart>
      <c:catAx>
        <c:axId val="-2080438144"/>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080430656"/>
        <c:crosses val="autoZero"/>
        <c:auto val="1"/>
        <c:lblAlgn val="ctr"/>
        <c:lblOffset val="100"/>
        <c:noMultiLvlLbl val="0"/>
      </c:catAx>
      <c:valAx>
        <c:axId val="-2080430656"/>
        <c:scaling>
          <c:orientation val="minMax"/>
        </c:scaling>
        <c:delete val="1"/>
        <c:axPos val="l"/>
        <c:numFmt formatCode="h:mm;@" sourceLinked="1"/>
        <c:majorTickMark val="out"/>
        <c:minorTickMark val="none"/>
        <c:tickLblPos val="none"/>
        <c:crossAx val="-2080438144"/>
        <c:crosses val="autoZero"/>
        <c:crossBetween val="between"/>
      </c:valAx>
      <c:spPr>
        <a:no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248846153846154"/>
          <c:y val="0.108547008547009"/>
          <c:w val="0.505021367521368"/>
          <c:h val="0.841702279202279"/>
        </c:manualLayout>
      </c:layout>
      <c:pieChart>
        <c:varyColors val="1"/>
        <c:ser>
          <c:idx val="0"/>
          <c:order val="0"/>
          <c:spPr>
            <a:solidFill>
              <a:srgbClr val="4F81BD"/>
            </a:solidFill>
            <a:ln w="25400">
              <a:noFill/>
            </a:ln>
          </c:spPr>
          <c:dPt>
            <c:idx val="0"/>
            <c:bubble3D val="0"/>
            <c:spPr>
              <a:solidFill>
                <a:srgbClr val="4F81BD"/>
              </a:solidFill>
              <a:ln w="12700">
                <a:solidFill>
                  <a:srgbClr val="FFFFFF"/>
                </a:solidFill>
                <a:prstDash val="solid"/>
              </a:ln>
            </c:spPr>
          </c:dPt>
          <c:dPt>
            <c:idx val="1"/>
            <c:bubble3D val="0"/>
            <c:spPr>
              <a:solidFill>
                <a:srgbClr val="C0504D"/>
              </a:solidFill>
              <a:ln w="12700">
                <a:solidFill>
                  <a:srgbClr val="FFFFFF"/>
                </a:solidFill>
                <a:prstDash val="solid"/>
              </a:ln>
            </c:spPr>
          </c:dPt>
          <c:dLbls>
            <c:spPr>
              <a:noFill/>
              <a:ln w="25400">
                <a:noFill/>
              </a:ln>
            </c:spPr>
            <c:txPr>
              <a:bodyPr wrap="square" lIns="38100" tIns="19050" rIns="38100" bIns="19050" anchor="ctr">
                <a:spAutoFit/>
              </a:bodyPr>
              <a:lstStyle/>
              <a:p>
                <a:pPr algn="ctr" rtl="1">
                  <a:defRPr sz="900" b="0" i="0" u="none" strike="noStrike" baseline="0">
                    <a:solidFill>
                      <a:srgbClr val="333333"/>
                    </a:solidFill>
                    <a:latin typeface="Calibri"/>
                    <a:ea typeface="Calibri"/>
                    <a:cs typeface="Calibri"/>
                  </a:defRPr>
                </a:pPr>
                <a:endParaRPr lang="pt-BR"/>
              </a:p>
            </c:txPr>
            <c:dLblPos val="bestFit"/>
            <c:showLegendKey val="0"/>
            <c:showVal val="1"/>
            <c:showCatName val="0"/>
            <c:showSerName val="0"/>
            <c:showPercent val="0"/>
            <c:showBubbleSize val="0"/>
            <c:showLeaderLines val="1"/>
            <c:leaderLines>
              <c:spPr>
                <a:ln w="3175">
                  <a:solidFill>
                    <a:srgbClr val="969696"/>
                  </a:solidFill>
                  <a:prstDash val="solid"/>
                </a:ln>
              </c:spPr>
            </c:leaderLines>
            <c:extLst>
              <c:ext xmlns:c15="http://schemas.microsoft.com/office/drawing/2012/chart" uri="{CE6537A1-D6FC-4f65-9D91-7224C49458BB}"/>
            </c:extLst>
          </c:dLbls>
          <c:cat>
            <c:strRef>
              <c:f>Resul!$I$63:$I$64</c:f>
              <c:strCache>
                <c:ptCount val="2"/>
                <c:pt idx="0">
                  <c:v>Horas Extras na Intrajornada</c:v>
                </c:pt>
                <c:pt idx="1">
                  <c:v>Horas Extras de Interjornadas</c:v>
                </c:pt>
              </c:strCache>
            </c:strRef>
          </c:cat>
          <c:val>
            <c:numRef>
              <c:f>Resul!$V$63:$V$64</c:f>
              <c:numCache>
                <c:formatCode>h:mm;@</c:formatCode>
                <c:ptCount val="2"/>
                <c:pt idx="0">
                  <c:v>0.0</c:v>
                </c:pt>
                <c:pt idx="1">
                  <c:v>0.0</c:v>
                </c:pt>
              </c:numCache>
            </c:numRef>
          </c:val>
        </c:ser>
        <c:dLbls>
          <c:showLegendKey val="0"/>
          <c:showVal val="0"/>
          <c:showCatName val="0"/>
          <c:showSerName val="0"/>
          <c:showPercent val="0"/>
          <c:showBubbleSize val="0"/>
          <c:showLeaderLines val="1"/>
        </c:dLbls>
        <c:firstSliceAng val="0"/>
      </c:pieChart>
      <c:spPr>
        <a:noFill/>
        <a:ln w="25400">
          <a:noFill/>
        </a:ln>
      </c:spPr>
    </c:plotArea>
    <c:legend>
      <c:legendPos val="r"/>
      <c:layout>
        <c:manualLayout>
          <c:xMode val="edge"/>
          <c:yMode val="edge"/>
          <c:x val="0.0890235753171804"/>
          <c:y val="0.796405387109417"/>
          <c:w val="0.824952218509777"/>
          <c:h val="0.081450457833042"/>
        </c:manualLayout>
      </c:layout>
      <c:overlay val="0"/>
      <c:spPr>
        <a:noFill/>
        <a:ln w="25400">
          <a:noFill/>
        </a:ln>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zero"/>
    <c:showDLblsOverMax val="0"/>
  </c:chart>
  <c:spPr>
    <a:solidFill>
      <a:srgbClr val="FFFFFF"/>
    </a:solid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506305555555555"/>
          <c:y val="0.0949786324786325"/>
          <c:w val="0.924185897435897"/>
          <c:h val="0.690230056980057"/>
        </c:manualLayout>
      </c:layout>
      <c:lineChart>
        <c:grouping val="standard"/>
        <c:varyColors val="0"/>
        <c:ser>
          <c:idx val="0"/>
          <c:order val="0"/>
          <c:tx>
            <c:v>"Horas Devidas"</c:v>
          </c:tx>
          <c:spPr>
            <a:ln w="25400">
              <a:solidFill>
                <a:srgbClr val="666699"/>
              </a:solidFill>
              <a:prstDash val="solid"/>
            </a:ln>
          </c:spPr>
          <c:marker>
            <c:symbol val="none"/>
          </c:marker>
          <c:dLbls>
            <c:spPr>
              <a:noFill/>
              <a:ln w="25400">
                <a:noFill/>
              </a:ln>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BR"/>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Resul!$J$53:$U$53</c:f>
              <c:strCache>
                <c:ptCount val="12"/>
                <c:pt idx="0">
                  <c:v>Janeiro</c:v>
                </c:pt>
                <c:pt idx="1">
                  <c:v>Fevereiro</c:v>
                </c:pt>
                <c:pt idx="2">
                  <c:v>Março</c:v>
                </c:pt>
                <c:pt idx="3">
                  <c:v>Abril</c:v>
                </c:pt>
                <c:pt idx="4">
                  <c:v>Maio</c:v>
                </c:pt>
                <c:pt idx="5">
                  <c:v>Junho</c:v>
                </c:pt>
                <c:pt idx="6">
                  <c:v>Julho</c:v>
                </c:pt>
                <c:pt idx="7">
                  <c:v>Agosto</c:v>
                </c:pt>
                <c:pt idx="8">
                  <c:v>Setembro</c:v>
                </c:pt>
                <c:pt idx="9">
                  <c:v>Outubro</c:v>
                </c:pt>
                <c:pt idx="10">
                  <c:v>Novembro</c:v>
                </c:pt>
                <c:pt idx="11">
                  <c:v>Dezembro</c:v>
                </c:pt>
              </c:strCache>
            </c:strRef>
          </c:cat>
          <c:val>
            <c:numRef>
              <c:f>Resul!$J$65:$T$65</c:f>
              <c:numCache>
                <c:formatCode>h:mm;@</c:formatCode>
                <c:ptCount val="11"/>
                <c:pt idx="0">
                  <c:v>0.0</c:v>
                </c:pt>
                <c:pt idx="1">
                  <c:v>0.0</c:v>
                </c:pt>
                <c:pt idx="2">
                  <c:v>0.0</c:v>
                </c:pt>
                <c:pt idx="3">
                  <c:v>0.0</c:v>
                </c:pt>
                <c:pt idx="4">
                  <c:v>0.0</c:v>
                </c:pt>
                <c:pt idx="5">
                  <c:v>0.0</c:v>
                </c:pt>
                <c:pt idx="6">
                  <c:v>0.0</c:v>
                </c:pt>
                <c:pt idx="7">
                  <c:v>0.0</c:v>
                </c:pt>
                <c:pt idx="8">
                  <c:v>0.0</c:v>
                </c:pt>
                <c:pt idx="9">
                  <c:v>0.0</c:v>
                </c:pt>
                <c:pt idx="10">
                  <c:v>0.0</c:v>
                </c:pt>
              </c:numCache>
            </c:numRef>
          </c:val>
          <c:smooth val="0"/>
        </c:ser>
        <c:dLbls>
          <c:showLegendKey val="0"/>
          <c:showVal val="0"/>
          <c:showCatName val="0"/>
          <c:showSerName val="0"/>
          <c:showPercent val="0"/>
          <c:showBubbleSize val="0"/>
        </c:dLbls>
        <c:smooth val="0"/>
        <c:axId val="-2110932144"/>
        <c:axId val="-2110924512"/>
      </c:lineChart>
      <c:catAx>
        <c:axId val="-2110932144"/>
        <c:scaling>
          <c:orientation val="minMax"/>
        </c:scaling>
        <c:delete val="0"/>
        <c:axPos val="b"/>
        <c:numFmt formatCode="General" sourceLinked="1"/>
        <c:majorTickMark val="none"/>
        <c:minorTickMark val="none"/>
        <c:tickLblPos val="nextTo"/>
        <c:spPr>
          <a:ln w="3175">
            <a:solidFill>
              <a:srgbClr val="C0C0C0"/>
            </a:solidFill>
            <a:prstDash val="solid"/>
          </a:ln>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2110924512"/>
        <c:crosses val="autoZero"/>
        <c:auto val="1"/>
        <c:lblAlgn val="ctr"/>
        <c:lblOffset val="100"/>
        <c:noMultiLvlLbl val="0"/>
      </c:catAx>
      <c:valAx>
        <c:axId val="-2110924512"/>
        <c:scaling>
          <c:orientation val="minMax"/>
        </c:scaling>
        <c:delete val="1"/>
        <c:axPos val="l"/>
        <c:numFmt formatCode="h:mm;@" sourceLinked="1"/>
        <c:majorTickMark val="out"/>
        <c:minorTickMark val="none"/>
        <c:tickLblPos val="none"/>
        <c:crossAx val="-2110932144"/>
        <c:crosses val="autoZero"/>
        <c:crossBetween val="between"/>
      </c:valAx>
      <c:spPr>
        <a:noFill/>
        <a:ln w="25400">
          <a:noFill/>
        </a:ln>
      </c:spPr>
    </c:plotArea>
    <c:plotVisOnly val="1"/>
    <c:dispBlanksAs val="gap"/>
    <c:showDLblsOverMax val="0"/>
  </c:chart>
  <c:spPr>
    <a:noFill/>
    <a:ln w="3175">
      <a:solidFill>
        <a:srgbClr val="C0C0C0"/>
      </a:solidFill>
      <a:prstDash val="solid"/>
    </a:ln>
  </c:spPr>
  <c:txPr>
    <a:bodyPr/>
    <a:lstStyle/>
    <a:p>
      <a:pPr>
        <a:defRPr/>
      </a:pPr>
      <a:endParaRPr lang="pt-BR"/>
    </a:p>
  </c:txPr>
  <c:printSettings>
    <c:headerFooter/>
    <c:pageMargins b="0.787401575" l="0.511811024" r="0.511811024" t="0.787401575" header="0.31496062" footer="0.31496062"/>
    <c:pageSetup orientation="portrait"/>
  </c:printSettings>
</c:chartSpace>
</file>

<file path=xl/drawings/_rels/drawing1.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https://www.youtube.com/watch?v=irsPPcfydSQ&amp;list=PLWta3T-QZpj6PpokHFkjCJLeFxxJ3hM14&amp;index=7" TargetMode="External"/><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aG_blJF2byg&amp;index=1&amp;list=PLWta3T-QZpj6PpokHFkjCJLeFxxJ3hM14" TargetMode="External"/><Relationship Id="rId14" Type="http://schemas.openxmlformats.org/officeDocument/2006/relationships/image" Target="../media/image2.png"/><Relationship Id="rId15" Type="http://schemas.openxmlformats.org/officeDocument/2006/relationships/hyperlink" Target="https://www.youtube.com/watch?v=XbsZpYVsv7A&amp;index=2&amp;list=PLWta3T-QZpj6PpokHFkjCJLeFxxJ3hM14" TargetMode="External"/><Relationship Id="rId16" Type="http://schemas.openxmlformats.org/officeDocument/2006/relationships/hyperlink" Target="https://www.youtube.com/watch?v=Fq3syq-mt4c&amp;list=PLWta3T-QZpj6PpokHFkjCJLeFxxJ3hM14&amp;index=3" TargetMode="External"/><Relationship Id="rId17" Type="http://schemas.openxmlformats.org/officeDocument/2006/relationships/hyperlink" Target="https://www.youtube.com/watch?v=qVIWYysSWpE&amp;index=4&amp;list=PLWta3T-QZpj6PpokHFkjCJLeFxxJ3hM14" TargetMode="External"/><Relationship Id="rId18" Type="http://schemas.openxmlformats.org/officeDocument/2006/relationships/hyperlink" Target="https://www.youtube.com/watch?v=Xm9ErVoiX10&amp;list=PLWta3T-QZpj6PpokHFkjCJLeFxxJ3hM14&amp;index=5" TargetMode="External"/><Relationship Id="rId19" Type="http://schemas.openxmlformats.org/officeDocument/2006/relationships/hyperlink" Target="https://www.youtube.com/watch?v=mctxLr2gc7s&amp;index=6&amp;list=PLWta3T-QZpj6PpokHFkjCJLeFxxJ3hM14" TargetMode="Externa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2.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XbsZpYVsv7A&amp;index=2&amp;list=PLWta3T-QZpj6PpokHFkjCJLeFxxJ3hM14"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3.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4.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5.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6.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7.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8.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9.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0.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1.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2.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3.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4.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Ago!A1"/><Relationship Id="rId21" Type="http://schemas.openxmlformats.org/officeDocument/2006/relationships/hyperlink" Target="#Set!A1"/><Relationship Id="rId22" Type="http://schemas.openxmlformats.org/officeDocument/2006/relationships/hyperlink" Target="#Out!A1"/><Relationship Id="rId23" Type="http://schemas.openxmlformats.org/officeDocument/2006/relationships/hyperlink" Target="#Nov!A1"/><Relationship Id="rId24" Type="http://schemas.openxmlformats.org/officeDocument/2006/relationships/hyperlink" Target="#Dez!A1"/><Relationship Id="rId25" Type="http://schemas.openxmlformats.org/officeDocument/2006/relationships/hyperlink" Target="https://www.youtube.com/watch?v=Fq3syq-mt4c&amp;index=3&amp;list=PLWta3T-QZpj6PpokHFkjCJLeFxxJ3hM14" TargetMode="External"/><Relationship Id="rId26"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Lanc!A1"/><Relationship Id="rId14" Type="http://schemas.openxmlformats.org/officeDocument/2006/relationships/hyperlink" Target="#Fev!A1"/><Relationship Id="rId15" Type="http://schemas.openxmlformats.org/officeDocument/2006/relationships/hyperlink" Target="#Mar!A1"/><Relationship Id="rId16" Type="http://schemas.openxmlformats.org/officeDocument/2006/relationships/hyperlink" Target="#Abr!A1"/><Relationship Id="rId17" Type="http://schemas.openxmlformats.org/officeDocument/2006/relationships/hyperlink" Target="#Mai!A1"/><Relationship Id="rId18" Type="http://schemas.openxmlformats.org/officeDocument/2006/relationships/hyperlink" Target="#Jun!A1"/><Relationship Id="rId19" Type="http://schemas.openxmlformats.org/officeDocument/2006/relationships/hyperlink" Target="#Jul!A1"/><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5.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qVIWYysSWpE&amp;index=4&amp;list=PLWta3T-QZpj6PpokHFkjCJLeFxxJ3hM14"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6.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hyperlink" Target="https://www.youtube.com/watch?v=Xm9ErVoiX10&amp;list=PLWta3T-QZpj6PpokHFkjCJLeFxxJ3hM14&amp;index=5" TargetMode="External"/><Relationship Id="rId21" Type="http://schemas.openxmlformats.org/officeDocument/2006/relationships/image" Target="../media/image2.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chart" Target="../charts/chart1.xml"/><Relationship Id="rId14" Type="http://schemas.openxmlformats.org/officeDocument/2006/relationships/chart" Target="../charts/chart2.xml"/><Relationship Id="rId15" Type="http://schemas.openxmlformats.org/officeDocument/2006/relationships/chart" Target="../charts/chart3.xml"/><Relationship Id="rId16" Type="http://schemas.openxmlformats.org/officeDocument/2006/relationships/chart" Target="../charts/chart4.xml"/><Relationship Id="rId17" Type="http://schemas.openxmlformats.org/officeDocument/2006/relationships/chart" Target="../charts/chart5.xml"/><Relationship Id="rId18" Type="http://schemas.openxmlformats.org/officeDocument/2006/relationships/chart" Target="../charts/chart6.xml"/><Relationship Id="rId19" Type="http://schemas.openxmlformats.org/officeDocument/2006/relationships/chart" Target="../charts/chart7.xm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_rels/drawing17.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mctxLr2gc7s&amp;index=6&amp;list=PLWta3T-QZpj6PpokHFkjCJLeFxxJ3hM14"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8.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irsPPcfydSQ&amp;index=7&amp;list=PLWta3T-QZpj6PpokHFkjCJLeFxxJ3hM14"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19.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youtube.com/watch?v=irsPPcfydSQ&amp;index=7&amp;list=PLWta3T-QZpj6PpokHFkjCJLeFxxJ3hM14" TargetMode="External"/><Relationship Id="rId14" Type="http://schemas.openxmlformats.org/officeDocument/2006/relationships/image" Target="../media/image2.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0.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luz.vc/ferramentas/pacotes/pacote-de-planilhas-para-administrativo-financeiro/?utm_source=referral&amp;utm_medium=produtos&amp;utm_campaign=hoex3" TargetMode="External"/><Relationship Id="rId14" Type="http://schemas.openxmlformats.org/officeDocument/2006/relationships/image" Target="../media/image3.jpeg"/><Relationship Id="rId15" Type="http://schemas.openxmlformats.org/officeDocument/2006/relationships/hyperlink" Target="http://luz.vc/ferramentas/pacotes/pacote-de-planilhas-luz/?utm_source=referral&amp;utm_medium=produtos&amp;utm_campaign=hoex3" TargetMode="External"/><Relationship Id="rId16" Type="http://schemas.openxmlformats.org/officeDocument/2006/relationships/image" Target="../media/image4.jpe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1.xml.rels><?xml version="1.0" encoding="UTF-8" standalone="yes"?>
<Relationships xmlns="http://schemas.openxmlformats.org/package/2006/relationships"><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luz.vc/minha-conta/?utm_source=referral&amp;utm_medium=produtos&amp;utm_campaign=hoex3" TargetMode="External"/><Relationship Id="rId14" Type="http://schemas.openxmlformats.org/officeDocument/2006/relationships/image" Target="../media/image5.png"/><Relationship Id="rId15" Type="http://schemas.openxmlformats.org/officeDocument/2006/relationships/hyperlink" Target="http://luz.vc/ferramentas/pacotes/pacote-de-planilhas-luz/?utm_source=referral&amp;utm_medium=produtos&amp;utm_campaign=hoex3" TargetMode="External"/><Relationship Id="rId16" Type="http://schemas.openxmlformats.org/officeDocument/2006/relationships/image" Target="../media/image6.png"/><Relationship Id="rId17" Type="http://schemas.openxmlformats.org/officeDocument/2006/relationships/hyperlink" Target="http://cursos.luz.vc/course/curso-de-excel-iniciante-e-intermediario/?utm_source=referral&amp;utm_medium=produtos&amp;utm_campaign=hoex3" TargetMode="External"/><Relationship Id="rId18" Type="http://schemas.openxmlformats.org/officeDocument/2006/relationships/image" Target="../media/image7.png"/><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 Id="rId9" Type="http://schemas.openxmlformats.org/officeDocument/2006/relationships/hyperlink" Target="#'Fol'!B1"/><Relationship Id="rId10" Type="http://schemas.openxmlformats.org/officeDocument/2006/relationships/hyperlink" Target="#'D&#250;vidas'!B1"/></Relationships>
</file>

<file path=xl/drawings/_rels/drawing22.xml.rels><?xml version="1.0" encoding="UTF-8" standalone="yes"?>
<Relationships xmlns="http://schemas.openxmlformats.org/package/2006/relationships"><Relationship Id="rId9" Type="http://schemas.openxmlformats.org/officeDocument/2006/relationships/hyperlink" Target="#'Fol'!B1"/><Relationship Id="rId20" Type="http://schemas.openxmlformats.org/officeDocument/2006/relationships/image" Target="../media/image7.png"/><Relationship Id="rId21" Type="http://schemas.openxmlformats.org/officeDocument/2006/relationships/image" Target="../media/image10.jpeg"/><Relationship Id="rId22" Type="http://schemas.openxmlformats.org/officeDocument/2006/relationships/hyperlink" Target="http://ajuda.luz.vc/?utm_source=referral&amp;utm_medium=produtos&amp;utm_campaign=hoex3" TargetMode="External"/><Relationship Id="rId23" Type="http://schemas.openxmlformats.org/officeDocument/2006/relationships/image" Target="../media/image11.png"/><Relationship Id="rId24" Type="http://schemas.openxmlformats.org/officeDocument/2006/relationships/hyperlink" Target="http://luz.vc/?utm_source=referral&amp;utm_medium=produtos&amp;utm_campaign=hoex3" TargetMode="External"/><Relationship Id="rId25" Type="http://schemas.openxmlformats.org/officeDocument/2006/relationships/image" Target="../media/image12.png"/><Relationship Id="rId26" Type="http://schemas.openxmlformats.org/officeDocument/2006/relationships/hyperlink" Target="http://blog.luz.vc/?utm_source=referral&amp;utm_medium=produtos&amp;utm_campaign=hoex3" TargetMode="External"/><Relationship Id="rId27" Type="http://schemas.openxmlformats.org/officeDocument/2006/relationships/image" Target="../media/image13.png"/><Relationship Id="rId10" Type="http://schemas.openxmlformats.org/officeDocument/2006/relationships/hyperlink" Target="#'D&#250;vidas'!B1"/><Relationship Id="rId11" Type="http://schemas.openxmlformats.org/officeDocument/2006/relationships/hyperlink" Target="#'Sugest&#245;es'!B1"/><Relationship Id="rId12" Type="http://schemas.openxmlformats.org/officeDocument/2006/relationships/hyperlink" Target="#'Sobre a LUZ'!B1"/><Relationship Id="rId13" Type="http://schemas.openxmlformats.org/officeDocument/2006/relationships/hyperlink" Target="https://www.facebook.com/luzplanilhas?fref=ts&amp;utm_source=referral&amp;utm_medium=produtos&amp;utm_campaign=hoex3" TargetMode="External"/><Relationship Id="rId14" Type="http://schemas.openxmlformats.org/officeDocument/2006/relationships/image" Target="../media/image8.png"/><Relationship Id="rId15" Type="http://schemas.openxmlformats.org/officeDocument/2006/relationships/hyperlink" Target="https://plus.google.com/+luzvcmesmo/posts?utm_source=referral&amp;utm_medium=produtos&amp;utm_campaign=hoex3" TargetMode="External"/><Relationship Id="rId16" Type="http://schemas.openxmlformats.org/officeDocument/2006/relationships/image" Target="../media/image9.png"/><Relationship Id="rId17" Type="http://schemas.openxmlformats.org/officeDocument/2006/relationships/hyperlink" Target="http://luz.vc/ferramentas/pacotes/pacote-de-planilhas-luz/?utm_source=referral&amp;utm_medium=produtos&amp;utm_campaign=hoex3" TargetMode="External"/><Relationship Id="rId18" Type="http://schemas.openxmlformats.org/officeDocument/2006/relationships/image" Target="../media/image6.png"/><Relationship Id="rId19" Type="http://schemas.openxmlformats.org/officeDocument/2006/relationships/hyperlink" Target="http://cursos.luz.vc/course/curso-de-excel-iniciante-e-intermediario/?utm_source=referral&amp;utm_medium=produtos&amp;utm_campaign=hoex3" TargetMode="External"/><Relationship Id="rId1" Type="http://schemas.openxmlformats.org/officeDocument/2006/relationships/image" Target="../media/image1.png"/><Relationship Id="rId2" Type="http://schemas.openxmlformats.org/officeDocument/2006/relationships/hyperlink" Target="#'Ini'!B1"/><Relationship Id="rId3" Type="http://schemas.openxmlformats.org/officeDocument/2006/relationships/hyperlink" Target="#'P Gerais'!B1"/><Relationship Id="rId4" Type="http://schemas.openxmlformats.org/officeDocument/2006/relationships/hyperlink" Target="#'Lanc'!B1"/><Relationship Id="rId5" Type="http://schemas.openxmlformats.org/officeDocument/2006/relationships/hyperlink" Target="#'Resul'!B1"/><Relationship Id="rId6" Type="http://schemas.openxmlformats.org/officeDocument/2006/relationships/hyperlink" Target="#'Gra'!B1"/><Relationship Id="rId7" Type="http://schemas.openxmlformats.org/officeDocument/2006/relationships/hyperlink" Target="#'Ale'!B1"/><Relationship Id="rId8" Type="http://schemas.openxmlformats.org/officeDocument/2006/relationships/hyperlink" Target="#'Rel'!B1"/></Relationships>
</file>

<file path=xl/drawings/drawing1.xml><?xml version="1.0" encoding="utf-8"?>
<xdr:wsDr xmlns:xdr="http://schemas.openxmlformats.org/drawingml/2006/spreadsheetDrawing" xmlns:a="http://schemas.openxmlformats.org/drawingml/2006/main">
  <xdr:twoCellAnchor editAs="absolute">
    <xdr:from>
      <xdr:col>7</xdr:col>
      <xdr:colOff>371475</xdr:colOff>
      <xdr:row>0</xdr:row>
      <xdr:rowOff>133350</xdr:rowOff>
    </xdr:from>
    <xdr:to>
      <xdr:col>18</xdr:col>
      <xdr:colOff>15799</xdr:colOff>
      <xdr:row>0</xdr:row>
      <xdr:rowOff>397910</xdr:rowOff>
    </xdr:to>
    <xdr:sp macro="" textlink="">
      <xdr:nvSpPr>
        <xdr:cNvPr id="2" name="CaixaDeTexto 1"/>
        <xdr:cNvSpPr txBox="1"/>
      </xdr:nvSpPr>
      <xdr:spPr>
        <a:xfrm>
          <a:off x="5498042" y="133350"/>
          <a:ext cx="629497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endParaRPr lang="pt-BR"/>
        </a:p>
      </xdr:txBody>
    </xdr:sp>
    <xdr:clientData/>
  </xdr:twoCellAnchor>
  <xdr:twoCellAnchor editAs="absolute">
    <xdr:from>
      <xdr:col>0</xdr:col>
      <xdr:colOff>139700</xdr:colOff>
      <xdr:row>0</xdr:row>
      <xdr:rowOff>203200</xdr:rowOff>
    </xdr:from>
    <xdr:to>
      <xdr:col>0</xdr:col>
      <xdr:colOff>1701800</xdr:colOff>
      <xdr:row>1</xdr:row>
      <xdr:rowOff>279400</xdr:rowOff>
    </xdr:to>
    <xdr:pic>
      <xdr:nvPicPr>
        <xdr:cNvPr id="1650"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1</xdr:row>
      <xdr:rowOff>400053</xdr:rowOff>
    </xdr:from>
    <xdr:to>
      <xdr:col>0</xdr:col>
      <xdr:colOff>1721273</xdr:colOff>
      <xdr:row>1</xdr:row>
      <xdr:rowOff>400053</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1</xdr:row>
      <xdr:rowOff>480060</xdr:rowOff>
    </xdr:from>
    <xdr:to>
      <xdr:col>0</xdr:col>
      <xdr:colOff>1755737</xdr:colOff>
      <xdr:row>2</xdr:row>
      <xdr:rowOff>91440</xdr:rowOff>
    </xdr:to>
    <xdr:sp macro="" textlink="">
      <xdr:nvSpPr>
        <xdr:cNvPr id="1028" name="Rectangle 65"/>
        <xdr:cNvSpPr>
          <a:spLocks noChangeArrowheads="1"/>
        </xdr:cNvSpPr>
      </xdr:nvSpPr>
      <xdr:spPr bwMode="auto">
        <a:xfrm>
          <a:off x="60960" y="90678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8</xdr:row>
      <xdr:rowOff>368511</xdr:rowOff>
    </xdr:from>
    <xdr:to>
      <xdr:col>0</xdr:col>
      <xdr:colOff>1727861</xdr:colOff>
      <xdr:row>8</xdr:row>
      <xdr:rowOff>368511</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2</xdr:row>
      <xdr:rowOff>223308</xdr:rowOff>
    </xdr:from>
    <xdr:to>
      <xdr:col>1</xdr:col>
      <xdr:colOff>17852</xdr:colOff>
      <xdr:row>2</xdr:row>
      <xdr:rowOff>469837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Início</a:t>
          </a:r>
        </a:p>
      </xdr:txBody>
    </xdr:sp>
    <xdr:clientData/>
  </xdr:twoCellAnchor>
  <xdr:twoCellAnchor editAs="absolute">
    <xdr:from>
      <xdr:col>0</xdr:col>
      <xdr:colOff>5080</xdr:colOff>
      <xdr:row>2</xdr:row>
      <xdr:rowOff>553508</xdr:rowOff>
    </xdr:from>
    <xdr:to>
      <xdr:col>1</xdr:col>
      <xdr:colOff>17852</xdr:colOff>
      <xdr:row>3</xdr:row>
      <xdr:rowOff>234328</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3</xdr:row>
      <xdr:rowOff>284691</xdr:rowOff>
    </xdr:from>
    <xdr:to>
      <xdr:col>1</xdr:col>
      <xdr:colOff>17852</xdr:colOff>
      <xdr:row>4</xdr:row>
      <xdr:rowOff>178473</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4</xdr:row>
      <xdr:rowOff>233891</xdr:rowOff>
    </xdr:from>
    <xdr:to>
      <xdr:col>1</xdr:col>
      <xdr:colOff>17852</xdr:colOff>
      <xdr:row>5</xdr:row>
      <xdr:rowOff>94191</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5</xdr:row>
      <xdr:rowOff>178011</xdr:rowOff>
    </xdr:from>
    <xdr:to>
      <xdr:col>1</xdr:col>
      <xdr:colOff>17852</xdr:colOff>
      <xdr:row>6</xdr:row>
      <xdr:rowOff>43540</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6</xdr:row>
      <xdr:rowOff>94191</xdr:rowOff>
    </xdr:from>
    <xdr:to>
      <xdr:col>1</xdr:col>
      <xdr:colOff>17852</xdr:colOff>
      <xdr:row>6</xdr:row>
      <xdr:rowOff>368973</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7</xdr:row>
      <xdr:rowOff>43391</xdr:rowOff>
    </xdr:from>
    <xdr:to>
      <xdr:col>1</xdr:col>
      <xdr:colOff>17852</xdr:colOff>
      <xdr:row>7</xdr:row>
      <xdr:rowOff>284691</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7</xdr:row>
      <xdr:rowOff>368511</xdr:rowOff>
    </xdr:from>
    <xdr:to>
      <xdr:col>1</xdr:col>
      <xdr:colOff>17852</xdr:colOff>
      <xdr:row>8</xdr:row>
      <xdr:rowOff>234040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9</xdr:row>
      <xdr:rowOff>94191</xdr:rowOff>
    </xdr:from>
    <xdr:to>
      <xdr:col>1</xdr:col>
      <xdr:colOff>17852</xdr:colOff>
      <xdr:row>9</xdr:row>
      <xdr:rowOff>368973</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10</xdr:row>
      <xdr:rowOff>43391</xdr:rowOff>
    </xdr:from>
    <xdr:to>
      <xdr:col>1</xdr:col>
      <xdr:colOff>17852</xdr:colOff>
      <xdr:row>10</xdr:row>
      <xdr:rowOff>284691</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10</xdr:row>
      <xdr:rowOff>368511</xdr:rowOff>
    </xdr:from>
    <xdr:to>
      <xdr:col>1</xdr:col>
      <xdr:colOff>17852</xdr:colOff>
      <xdr:row>11</xdr:row>
      <xdr:rowOff>234040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9</xdr:col>
      <xdr:colOff>508000</xdr:colOff>
      <xdr:row>3</xdr:row>
      <xdr:rowOff>25400</xdr:rowOff>
    </xdr:from>
    <xdr:to>
      <xdr:col>10</xdr:col>
      <xdr:colOff>203200</xdr:colOff>
      <xdr:row>4</xdr:row>
      <xdr:rowOff>0</xdr:rowOff>
    </xdr:to>
    <xdr:pic>
      <xdr:nvPicPr>
        <xdr:cNvPr id="1665"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7620000" y="16891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7</xdr:col>
      <xdr:colOff>314538</xdr:colOff>
      <xdr:row>5</xdr:row>
      <xdr:rowOff>42333</xdr:rowOff>
    </xdr:from>
    <xdr:ext cx="1743860" cy="306916"/>
    <xdr:sp macro="" textlink="">
      <xdr:nvSpPr>
        <xdr:cNvPr id="19" name="Retângulo 18">
          <a:hlinkClick xmlns:r="http://schemas.openxmlformats.org/officeDocument/2006/relationships" r:id="rId15"/>
        </xdr:cNvPr>
        <xdr:cNvSpPr/>
      </xdr:nvSpPr>
      <xdr:spPr>
        <a:xfrm>
          <a:off x="5482168" y="2476500"/>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6</xdr:col>
      <xdr:colOff>584623</xdr:colOff>
      <xdr:row>8</xdr:row>
      <xdr:rowOff>63500</xdr:rowOff>
    </xdr:from>
    <xdr:ext cx="1757536" cy="294639"/>
    <xdr:sp macro="" textlink="">
      <xdr:nvSpPr>
        <xdr:cNvPr id="20" name="Retângulo 19">
          <a:hlinkClick xmlns:r="http://schemas.openxmlformats.org/officeDocument/2006/relationships" r:id="rId16"/>
        </xdr:cNvPr>
        <xdr:cNvSpPr/>
      </xdr:nvSpPr>
      <xdr:spPr>
        <a:xfrm>
          <a:off x="5143500" y="3640667"/>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9</xdr:col>
      <xdr:colOff>100329</xdr:colOff>
      <xdr:row>11</xdr:row>
      <xdr:rowOff>60537</xdr:rowOff>
    </xdr:from>
    <xdr:ext cx="1598952" cy="306916"/>
    <xdr:sp macro="" textlink="">
      <xdr:nvSpPr>
        <xdr:cNvPr id="21" name="Retângulo 20">
          <a:hlinkClick xmlns:r="http://schemas.openxmlformats.org/officeDocument/2006/relationships" r:id="rId17"/>
        </xdr:cNvPr>
        <xdr:cNvSpPr/>
      </xdr:nvSpPr>
      <xdr:spPr>
        <a:xfrm>
          <a:off x="6498166" y="4773084"/>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6</xdr:col>
      <xdr:colOff>0</xdr:colOff>
      <xdr:row>14</xdr:row>
      <xdr:rowOff>42333</xdr:rowOff>
    </xdr:from>
    <xdr:ext cx="1714141" cy="306916"/>
    <xdr:sp macro="" textlink="">
      <xdr:nvSpPr>
        <xdr:cNvPr id="22" name="Retângulo 21">
          <a:hlinkClick xmlns:r="http://schemas.openxmlformats.org/officeDocument/2006/relationships" r:id="rId18"/>
        </xdr:cNvPr>
        <xdr:cNvSpPr/>
      </xdr:nvSpPr>
      <xdr:spPr>
        <a:xfrm>
          <a:off x="4561417" y="5905500"/>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7</xdr:col>
      <xdr:colOff>65616</xdr:colOff>
      <xdr:row>17</xdr:row>
      <xdr:rowOff>42333</xdr:rowOff>
    </xdr:from>
    <xdr:ext cx="1620081" cy="306916"/>
    <xdr:sp macro="" textlink="">
      <xdr:nvSpPr>
        <xdr:cNvPr id="23" name="Retângulo 22">
          <a:hlinkClick xmlns:r="http://schemas.openxmlformats.org/officeDocument/2006/relationships" r:id="rId19"/>
        </xdr:cNvPr>
        <xdr:cNvSpPr/>
      </xdr:nvSpPr>
      <xdr:spPr>
        <a:xfrm>
          <a:off x="5228166" y="7048500"/>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9</xdr:col>
      <xdr:colOff>60113</xdr:colOff>
      <xdr:row>20</xdr:row>
      <xdr:rowOff>25399</xdr:rowOff>
    </xdr:from>
    <xdr:ext cx="1619816" cy="294639"/>
    <xdr:sp macro="" textlink="">
      <xdr:nvSpPr>
        <xdr:cNvPr id="24" name="Retângulo 23">
          <a:hlinkClick xmlns:r="http://schemas.openxmlformats.org/officeDocument/2006/relationships" r:id="rId20"/>
        </xdr:cNvPr>
        <xdr:cNvSpPr/>
      </xdr:nvSpPr>
      <xdr:spPr>
        <a:xfrm>
          <a:off x="6470650" y="8174566"/>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oneCellAnchor>
    <xdr:from>
      <xdr:col>7</xdr:col>
      <xdr:colOff>96097</xdr:colOff>
      <xdr:row>23</xdr:row>
      <xdr:rowOff>58419</xdr:rowOff>
    </xdr:from>
    <xdr:ext cx="1630466" cy="306916"/>
    <xdr:sp macro="" textlink="">
      <xdr:nvSpPr>
        <xdr:cNvPr id="25" name="Retângulo 24">
          <a:hlinkClick xmlns:r="http://schemas.openxmlformats.org/officeDocument/2006/relationships" r:id="rId20"/>
        </xdr:cNvPr>
        <xdr:cNvSpPr/>
      </xdr:nvSpPr>
      <xdr:spPr>
        <a:xfrm>
          <a:off x="5278967" y="9342966"/>
          <a:ext cx="1698625" cy="306916"/>
        </a:xfrm>
        <a:prstGeom prst="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pt-BR" sz="1400">
              <a:solidFill>
                <a:srgbClr val="3366CC"/>
              </a:solidFill>
            </a:rPr>
            <a:t>ASSISTA AO VÍDEO</a:t>
          </a:r>
        </a:p>
      </xdr:txBody>
    </xdr:sp>
    <xdr:clientData/>
  </xdr:oneCellAnchor>
</xdr:wsDr>
</file>

<file path=xl/drawings/drawing2.xml><?xml version="1.0" encoding="utf-8"?>
<xdr:wsDr xmlns:xdr="http://schemas.openxmlformats.org/drawingml/2006/spreadsheetDrawing" xmlns:a="http://schemas.openxmlformats.org/drawingml/2006/main">
  <xdr:twoCellAnchor editAs="absolute">
    <xdr:from>
      <xdr:col>7</xdr:col>
      <xdr:colOff>93768</xdr:colOff>
      <xdr:row>0</xdr:row>
      <xdr:rowOff>133350</xdr:rowOff>
    </xdr:from>
    <xdr:to>
      <xdr:col>14</xdr:col>
      <xdr:colOff>150924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é a parte mais importante da planilha, pois é aqui que você definirá as premissas necessárias que ajudarão a planilha gerar</a:t>
          </a:r>
          <a:r>
            <a:rPr lang="pt-BR" sz="1100" baseline="0">
              <a:solidFill>
                <a:schemeClr val="tx1"/>
              </a:solidFill>
              <a:effectLst/>
              <a:latin typeface="+mn-lt"/>
              <a:ea typeface="+mn-ea"/>
              <a:cs typeface="+mn-cs"/>
            </a:rPr>
            <a:t> os resultados consolidados, gráficos e dicas.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2514"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2071"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11</xdr:row>
      <xdr:rowOff>212725</xdr:rowOff>
    </xdr:from>
    <xdr:to>
      <xdr:col>0</xdr:col>
      <xdr:colOff>1727861</xdr:colOff>
      <xdr:row>11</xdr:row>
      <xdr:rowOff>212725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17852</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1. Premissas Gerais</a:t>
          </a:r>
        </a:p>
      </xdr:txBody>
    </xdr:sp>
    <xdr:clientData/>
  </xdr:twoCellAnchor>
  <xdr:twoCellAnchor editAs="absolute">
    <xdr:from>
      <xdr:col>0</xdr:col>
      <xdr:colOff>5080</xdr:colOff>
      <xdr:row>5</xdr:row>
      <xdr:rowOff>264795</xdr:rowOff>
    </xdr:from>
    <xdr:to>
      <xdr:col>1</xdr:col>
      <xdr:colOff>17852</xdr:colOff>
      <xdr:row>7</xdr:row>
      <xdr:rowOff>22686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7</xdr:row>
      <xdr:rowOff>85725</xdr:rowOff>
    </xdr:from>
    <xdr:to>
      <xdr:col>1</xdr:col>
      <xdr:colOff>17852</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8</xdr:row>
      <xdr:rowOff>22225</xdr:rowOff>
    </xdr:from>
    <xdr:to>
      <xdr:col>1</xdr:col>
      <xdr:colOff>17852</xdr:colOff>
      <xdr:row>8</xdr:row>
      <xdr:rowOff>276225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8</xdr:row>
      <xdr:rowOff>339725</xdr:rowOff>
    </xdr:from>
    <xdr:to>
      <xdr:col>1</xdr:col>
      <xdr:colOff>17852</xdr:colOff>
      <xdr:row>9</xdr:row>
      <xdr:rowOff>212725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9</xdr:row>
      <xdr:rowOff>276225</xdr:rowOff>
    </xdr:from>
    <xdr:to>
      <xdr:col>1</xdr:col>
      <xdr:colOff>17852</xdr:colOff>
      <xdr:row>10</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10</xdr:row>
      <xdr:rowOff>212725</xdr:rowOff>
    </xdr:from>
    <xdr:to>
      <xdr:col>1</xdr:col>
      <xdr:colOff>17852</xdr:colOff>
      <xdr:row>11</xdr:row>
      <xdr:rowOff>85725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11</xdr:row>
      <xdr:rowOff>339725</xdr:rowOff>
    </xdr:from>
    <xdr:to>
      <xdr:col>1</xdr:col>
      <xdr:colOff>17852</xdr:colOff>
      <xdr:row>12</xdr:row>
      <xdr:rowOff>212725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12</xdr:row>
      <xdr:rowOff>276225</xdr:rowOff>
    </xdr:from>
    <xdr:to>
      <xdr:col>1</xdr:col>
      <xdr:colOff>17852</xdr:colOff>
      <xdr:row>14</xdr:row>
      <xdr:rowOff>53975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14</xdr:row>
      <xdr:rowOff>117475</xdr:rowOff>
    </xdr:from>
    <xdr:to>
      <xdr:col>1</xdr:col>
      <xdr:colOff>17852</xdr:colOff>
      <xdr:row>14</xdr:row>
      <xdr:rowOff>364004</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279400</xdr:colOff>
      <xdr:row>0</xdr:row>
      <xdr:rowOff>177800</xdr:rowOff>
    </xdr:from>
    <xdr:to>
      <xdr:col>5</xdr:col>
      <xdr:colOff>635000</xdr:colOff>
      <xdr:row>1</xdr:row>
      <xdr:rowOff>101600</xdr:rowOff>
    </xdr:to>
    <xdr:pic>
      <xdr:nvPicPr>
        <xdr:cNvPr id="2529"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143500" y="177800"/>
          <a:ext cx="3556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47631</xdr:colOff>
      <xdr:row>1</xdr:row>
      <xdr:rowOff>133920</xdr:rowOff>
    </xdr:to>
    <xdr:sp macro="" textlink="">
      <xdr:nvSpPr>
        <xdr:cNvPr id="2" name="CaixaDeTexto 1"/>
        <xdr:cNvSpPr txBox="1"/>
      </xdr:nvSpPr>
      <xdr:spPr>
        <a:xfrm>
          <a:off x="5655098" y="133350"/>
          <a:ext cx="656759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Esta parte da planilha é a mais</a:t>
          </a:r>
          <a:r>
            <a:rPr lang="pt-BR" sz="1100" baseline="0"/>
            <a:t> utilizada, pois através dela são inseridas as horas trabalhadas de cada funcionário para cada mês específico. Nesta parte serão definidas as horas extras trabalhadas.</a:t>
          </a:r>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383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3084"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39" name="Retângulo 38">
          <a:hlinkClick xmlns:r="http://schemas.openxmlformats.org/officeDocument/2006/relationships" r:id="rId13"/>
        </xdr:cNvPr>
        <xdr:cNvSpPr/>
      </xdr:nvSpPr>
      <xdr:spPr>
        <a:xfrm>
          <a:off x="2095500"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40" name="Retângulo 39">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41" name="Retângulo 40">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42" name="Retângulo 41">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43" name="Retângulo 42">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44" name="Retângulo 43">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4234</xdr:colOff>
      <xdr:row>1</xdr:row>
      <xdr:rowOff>211668</xdr:rowOff>
    </xdr:from>
    <xdr:to>
      <xdr:col>9</xdr:col>
      <xdr:colOff>5078</xdr:colOff>
      <xdr:row>2</xdr:row>
      <xdr:rowOff>235085</xdr:rowOff>
    </xdr:to>
    <xdr:sp macro="" textlink="">
      <xdr:nvSpPr>
        <xdr:cNvPr id="45" name="Retângulo 44">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55882</xdr:colOff>
      <xdr:row>1</xdr:row>
      <xdr:rowOff>211668</xdr:rowOff>
    </xdr:from>
    <xdr:to>
      <xdr:col>10</xdr:col>
      <xdr:colOff>643046</xdr:colOff>
      <xdr:row>2</xdr:row>
      <xdr:rowOff>235085</xdr:rowOff>
    </xdr:to>
    <xdr:sp macro="" textlink="">
      <xdr:nvSpPr>
        <xdr:cNvPr id="46" name="Retângulo 45">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746336</xdr:colOff>
      <xdr:row>1</xdr:row>
      <xdr:rowOff>211668</xdr:rowOff>
    </xdr:from>
    <xdr:to>
      <xdr:col>12</xdr:col>
      <xdr:colOff>423824</xdr:colOff>
      <xdr:row>2</xdr:row>
      <xdr:rowOff>235085</xdr:rowOff>
    </xdr:to>
    <xdr:sp macro="" textlink="">
      <xdr:nvSpPr>
        <xdr:cNvPr id="47" name="Retângulo 46">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496994</xdr:colOff>
      <xdr:row>1</xdr:row>
      <xdr:rowOff>211668</xdr:rowOff>
    </xdr:from>
    <xdr:to>
      <xdr:col>14</xdr:col>
      <xdr:colOff>169730</xdr:colOff>
      <xdr:row>2</xdr:row>
      <xdr:rowOff>235085</xdr:rowOff>
    </xdr:to>
    <xdr:sp macro="" textlink="">
      <xdr:nvSpPr>
        <xdr:cNvPr id="48" name="Retângulo 47">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255271</xdr:colOff>
      <xdr:row>1</xdr:row>
      <xdr:rowOff>211668</xdr:rowOff>
    </xdr:from>
    <xdr:to>
      <xdr:col>15</xdr:col>
      <xdr:colOff>75480</xdr:colOff>
      <xdr:row>2</xdr:row>
      <xdr:rowOff>235085</xdr:rowOff>
    </xdr:to>
    <xdr:sp macro="" textlink="">
      <xdr:nvSpPr>
        <xdr:cNvPr id="49" name="Retângulo 48">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46568</xdr:colOff>
      <xdr:row>1</xdr:row>
      <xdr:rowOff>211668</xdr:rowOff>
    </xdr:from>
    <xdr:to>
      <xdr:col>16</xdr:col>
      <xdr:colOff>754612</xdr:colOff>
      <xdr:row>2</xdr:row>
      <xdr:rowOff>235085</xdr:rowOff>
    </xdr:to>
    <xdr:sp macro="" textlink="">
      <xdr:nvSpPr>
        <xdr:cNvPr id="50" name="Retângulo 49">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266700</xdr:colOff>
      <xdr:row>0</xdr:row>
      <xdr:rowOff>177800</xdr:rowOff>
    </xdr:from>
    <xdr:to>
      <xdr:col>5</xdr:col>
      <xdr:colOff>635000</xdr:colOff>
      <xdr:row>1</xdr:row>
      <xdr:rowOff>101600</xdr:rowOff>
    </xdr:to>
    <xdr:pic>
      <xdr:nvPicPr>
        <xdr:cNvPr id="3864"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194300" y="1778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485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4100"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30" name="Retângulo 29">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31" name="Retângulo 30">
          <a:hlinkClick xmlns:r="http://schemas.openxmlformats.org/officeDocument/2006/relationships" r:id="rId14"/>
        </xdr:cNvPr>
        <xdr:cNvSpPr/>
      </xdr:nvSpPr>
      <xdr:spPr>
        <a:xfrm>
          <a:off x="288290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32" name="Retângulo 31">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33" name="Retângulo 32">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34" name="Retângulo 33">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35" name="Retângulo 34">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36" name="Retângulo 35">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37" name="Retângulo 36">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38" name="Retângulo 37">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39" name="Retângulo 38">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40" name="Retângulo 39">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41" name="Retângulo 40">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266700</xdr:colOff>
      <xdr:row>0</xdr:row>
      <xdr:rowOff>177800</xdr:rowOff>
    </xdr:from>
    <xdr:to>
      <xdr:col>5</xdr:col>
      <xdr:colOff>635000</xdr:colOff>
      <xdr:row>1</xdr:row>
      <xdr:rowOff>101600</xdr:rowOff>
    </xdr:to>
    <xdr:pic>
      <xdr:nvPicPr>
        <xdr:cNvPr id="4880" name="Imagem 42">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194300" y="1778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587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5124"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30" name="Retângulo 29">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31" name="Retângulo 30">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32" name="Retângulo 31">
          <a:hlinkClick xmlns:r="http://schemas.openxmlformats.org/officeDocument/2006/relationships" r:id="rId15"/>
        </xdr:cNvPr>
        <xdr:cNvSpPr/>
      </xdr:nvSpPr>
      <xdr:spPr>
        <a:xfrm>
          <a:off x="368300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33" name="Retângulo 32">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34" name="Retângulo 33">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35" name="Retângulo 34">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36" name="Retângulo 35">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37" name="Retângulo 36">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38" name="Retângulo 37">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39" name="Retângulo 38">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40" name="Retângulo 39">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41" name="Retângulo 40">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266700</xdr:colOff>
      <xdr:row>0</xdr:row>
      <xdr:rowOff>177800</xdr:rowOff>
    </xdr:from>
    <xdr:to>
      <xdr:col>5</xdr:col>
      <xdr:colOff>635000</xdr:colOff>
      <xdr:row>1</xdr:row>
      <xdr:rowOff>101600</xdr:rowOff>
    </xdr:to>
    <xdr:pic>
      <xdr:nvPicPr>
        <xdr:cNvPr id="5904" name="Imagem 41">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194300" y="1778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690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6148"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266700</xdr:colOff>
      <xdr:row>0</xdr:row>
      <xdr:rowOff>177800</xdr:rowOff>
    </xdr:from>
    <xdr:to>
      <xdr:col>5</xdr:col>
      <xdr:colOff>635000</xdr:colOff>
      <xdr:row>1</xdr:row>
      <xdr:rowOff>101600</xdr:rowOff>
    </xdr:to>
    <xdr:pic>
      <xdr:nvPicPr>
        <xdr:cNvPr id="6928"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194300" y="1778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792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7172"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152400</xdr:rowOff>
    </xdr:from>
    <xdr:to>
      <xdr:col>5</xdr:col>
      <xdr:colOff>635000</xdr:colOff>
      <xdr:row>1</xdr:row>
      <xdr:rowOff>88900</xdr:rowOff>
    </xdr:to>
    <xdr:pic>
      <xdr:nvPicPr>
        <xdr:cNvPr id="7952"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52400"/>
          <a:ext cx="3429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8950"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8196"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165100</xdr:rowOff>
    </xdr:from>
    <xdr:to>
      <xdr:col>5</xdr:col>
      <xdr:colOff>635000</xdr:colOff>
      <xdr:row>1</xdr:row>
      <xdr:rowOff>88900</xdr:rowOff>
    </xdr:to>
    <xdr:pic>
      <xdr:nvPicPr>
        <xdr:cNvPr id="8977"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65100"/>
          <a:ext cx="3429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997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9220"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165100</xdr:rowOff>
    </xdr:from>
    <xdr:to>
      <xdr:col>5</xdr:col>
      <xdr:colOff>635000</xdr:colOff>
      <xdr:row>1</xdr:row>
      <xdr:rowOff>88900</xdr:rowOff>
    </xdr:to>
    <xdr:pic>
      <xdr:nvPicPr>
        <xdr:cNvPr id="10000"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65100"/>
          <a:ext cx="3429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0997"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10244"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165100</xdr:rowOff>
    </xdr:from>
    <xdr:to>
      <xdr:col>5</xdr:col>
      <xdr:colOff>635000</xdr:colOff>
      <xdr:row>1</xdr:row>
      <xdr:rowOff>88900</xdr:rowOff>
    </xdr:to>
    <xdr:pic>
      <xdr:nvPicPr>
        <xdr:cNvPr id="11024"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65100"/>
          <a:ext cx="3429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202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11268"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152400</xdr:rowOff>
    </xdr:from>
    <xdr:to>
      <xdr:col>5</xdr:col>
      <xdr:colOff>635000</xdr:colOff>
      <xdr:row>1</xdr:row>
      <xdr:rowOff>88900</xdr:rowOff>
    </xdr:to>
    <xdr:pic>
      <xdr:nvPicPr>
        <xdr:cNvPr id="12048"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52400"/>
          <a:ext cx="3429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3045"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12292"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152400</xdr:rowOff>
    </xdr:from>
    <xdr:to>
      <xdr:col>5</xdr:col>
      <xdr:colOff>635000</xdr:colOff>
      <xdr:row>1</xdr:row>
      <xdr:rowOff>88900</xdr:rowOff>
    </xdr:to>
    <xdr:pic>
      <xdr:nvPicPr>
        <xdr:cNvPr id="13072"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52400"/>
          <a:ext cx="3429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4069"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13316"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Dez</a:t>
          </a:r>
        </a:p>
      </xdr:txBody>
    </xdr:sp>
    <xdr:clientData/>
  </xdr:twoCellAnchor>
  <xdr:twoCellAnchor editAs="absolute">
    <xdr:from>
      <xdr:col>5</xdr:col>
      <xdr:colOff>292100</xdr:colOff>
      <xdr:row>0</xdr:row>
      <xdr:rowOff>165100</xdr:rowOff>
    </xdr:from>
    <xdr:to>
      <xdr:col>5</xdr:col>
      <xdr:colOff>635000</xdr:colOff>
      <xdr:row>1</xdr:row>
      <xdr:rowOff>88900</xdr:rowOff>
    </xdr:to>
    <xdr:pic>
      <xdr:nvPicPr>
        <xdr:cNvPr id="14096"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65100"/>
          <a:ext cx="3429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absolute">
    <xdr:from>
      <xdr:col>6</xdr:col>
      <xdr:colOff>181398</xdr:colOff>
      <xdr:row>0</xdr:row>
      <xdr:rowOff>133350</xdr:rowOff>
    </xdr:from>
    <xdr:to>
      <xdr:col>17</xdr:col>
      <xdr:colOff>63274</xdr:colOff>
      <xdr:row>2</xdr:row>
      <xdr:rowOff>56698</xdr:rowOff>
    </xdr:to>
    <xdr:sp macro="" textlink="">
      <xdr:nvSpPr>
        <xdr:cNvPr id="2" name="CaixaDeTexto 1"/>
        <xdr:cNvSpPr txBox="1"/>
      </xdr:nvSpPr>
      <xdr:spPr>
        <a:xfrm>
          <a:off x="5546725" y="133350"/>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Esta parte da planilha é a mais</a:t>
          </a:r>
          <a:r>
            <a:rPr lang="pt-BR" sz="1100" baseline="0">
              <a:solidFill>
                <a:schemeClr val="tx1"/>
              </a:solidFill>
              <a:effectLst/>
              <a:latin typeface="+mn-lt"/>
              <a:ea typeface="+mn-ea"/>
              <a:cs typeface="+mn-cs"/>
            </a:rPr>
            <a:t> utilizada, pois através dela são inseridas as horas trabalhadas de cada funcionário para cada mês específico. Nesta parte serão definidas as horas extras trabalhadas.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509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3</xdr:row>
      <xdr:rowOff>243840</xdr:rowOff>
    </xdr:to>
    <xdr:sp macro="" textlink="">
      <xdr:nvSpPr>
        <xdr:cNvPr id="14340"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17</xdr:row>
      <xdr:rowOff>22225</xdr:rowOff>
    </xdr:from>
    <xdr:to>
      <xdr:col>0</xdr:col>
      <xdr:colOff>1727861</xdr:colOff>
      <xdr:row>17</xdr:row>
      <xdr:rowOff>22225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12697</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12697</xdr:colOff>
      <xdr:row>6</xdr:row>
      <xdr:rowOff>85725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149225</xdr:rowOff>
    </xdr:from>
    <xdr:to>
      <xdr:col>1</xdr:col>
      <xdr:colOff>12697</xdr:colOff>
      <xdr:row>8</xdr:row>
      <xdr:rowOff>22225</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2. Lançamentos Mensais</a:t>
          </a:r>
        </a:p>
      </xdr:txBody>
    </xdr:sp>
    <xdr:clientData/>
  </xdr:twoCellAnchor>
  <xdr:twoCellAnchor editAs="absolute">
    <xdr:from>
      <xdr:col>0</xdr:col>
      <xdr:colOff>5080</xdr:colOff>
      <xdr:row>8</xdr:row>
      <xdr:rowOff>85725</xdr:rowOff>
    </xdr:from>
    <xdr:to>
      <xdr:col>1</xdr:col>
      <xdr:colOff>12697</xdr:colOff>
      <xdr:row>9</xdr:row>
      <xdr:rowOff>149225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10</xdr:row>
      <xdr:rowOff>14605</xdr:rowOff>
    </xdr:from>
    <xdr:to>
      <xdr:col>1</xdr:col>
      <xdr:colOff>12697</xdr:colOff>
      <xdr:row>11</xdr:row>
      <xdr:rowOff>93756</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11</xdr:row>
      <xdr:rowOff>149225</xdr:rowOff>
    </xdr:from>
    <xdr:to>
      <xdr:col>1</xdr:col>
      <xdr:colOff>12697</xdr:colOff>
      <xdr:row>13</xdr:row>
      <xdr:rowOff>22225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13</xdr:row>
      <xdr:rowOff>85725</xdr:rowOff>
    </xdr:from>
    <xdr:to>
      <xdr:col>1</xdr:col>
      <xdr:colOff>12697</xdr:colOff>
      <xdr:row>14</xdr:row>
      <xdr:rowOff>149225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15</xdr:row>
      <xdr:rowOff>22225</xdr:rowOff>
    </xdr:from>
    <xdr:to>
      <xdr:col>1</xdr:col>
      <xdr:colOff>12697</xdr:colOff>
      <xdr:row>16</xdr:row>
      <xdr:rowOff>93320</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17</xdr:row>
      <xdr:rowOff>149225</xdr:rowOff>
    </xdr:from>
    <xdr:to>
      <xdr:col>1</xdr:col>
      <xdr:colOff>12697</xdr:colOff>
      <xdr:row>19</xdr:row>
      <xdr:rowOff>14726</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19</xdr:row>
      <xdr:rowOff>98425</xdr:rowOff>
    </xdr:from>
    <xdr:to>
      <xdr:col>1</xdr:col>
      <xdr:colOff>12697</xdr:colOff>
      <xdr:row>20</xdr:row>
      <xdr:rowOff>149494</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21</xdr:row>
      <xdr:rowOff>14605</xdr:rowOff>
    </xdr:from>
    <xdr:to>
      <xdr:col>1</xdr:col>
      <xdr:colOff>12697</xdr:colOff>
      <xdr:row>22</xdr:row>
      <xdr:rowOff>85700</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2</xdr:col>
      <xdr:colOff>0</xdr:colOff>
      <xdr:row>1</xdr:row>
      <xdr:rowOff>211668</xdr:rowOff>
    </xdr:from>
    <xdr:to>
      <xdr:col>3</xdr:col>
      <xdr:colOff>56189</xdr:colOff>
      <xdr:row>2</xdr:row>
      <xdr:rowOff>235085</xdr:rowOff>
    </xdr:to>
    <xdr:sp macro="" textlink="">
      <xdr:nvSpPr>
        <xdr:cNvPr id="18" name="Retângulo 17">
          <a:hlinkClick xmlns:r="http://schemas.openxmlformats.org/officeDocument/2006/relationships" r:id="rId13"/>
        </xdr:cNvPr>
        <xdr:cNvSpPr/>
      </xdr:nvSpPr>
      <xdr:spPr>
        <a:xfrm>
          <a:off x="209550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Jan</a:t>
          </a:r>
        </a:p>
      </xdr:txBody>
    </xdr:sp>
    <xdr:clientData/>
  </xdr:twoCellAnchor>
  <xdr:twoCellAnchor editAs="absolute">
    <xdr:from>
      <xdr:col>3</xdr:col>
      <xdr:colOff>128694</xdr:colOff>
      <xdr:row>1</xdr:row>
      <xdr:rowOff>211668</xdr:rowOff>
    </xdr:from>
    <xdr:to>
      <xdr:col>4</xdr:col>
      <xdr:colOff>276743</xdr:colOff>
      <xdr:row>2</xdr:row>
      <xdr:rowOff>235085</xdr:rowOff>
    </xdr:to>
    <xdr:sp macro="" textlink="">
      <xdr:nvSpPr>
        <xdr:cNvPr id="19" name="Retângulo 18">
          <a:hlinkClick xmlns:r="http://schemas.openxmlformats.org/officeDocument/2006/relationships" r:id="rId14"/>
        </xdr:cNvPr>
        <xdr:cNvSpPr/>
      </xdr:nvSpPr>
      <xdr:spPr>
        <a:xfrm>
          <a:off x="28829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Fev</a:t>
          </a:r>
        </a:p>
      </xdr:txBody>
    </xdr:sp>
    <xdr:clientData/>
  </xdr:twoCellAnchor>
  <xdr:twoCellAnchor editAs="absolute">
    <xdr:from>
      <xdr:col>4</xdr:col>
      <xdr:colOff>356871</xdr:colOff>
      <xdr:row>1</xdr:row>
      <xdr:rowOff>211668</xdr:rowOff>
    </xdr:from>
    <xdr:to>
      <xdr:col>5</xdr:col>
      <xdr:colOff>66737</xdr:colOff>
      <xdr:row>2</xdr:row>
      <xdr:rowOff>235085</xdr:rowOff>
    </xdr:to>
    <xdr:sp macro="" textlink="">
      <xdr:nvSpPr>
        <xdr:cNvPr id="20" name="Retângulo 19">
          <a:hlinkClick xmlns:r="http://schemas.openxmlformats.org/officeDocument/2006/relationships" r:id="rId15"/>
        </xdr:cNvPr>
        <xdr:cNvSpPr/>
      </xdr:nvSpPr>
      <xdr:spPr>
        <a:xfrm>
          <a:off x="368300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Mar</a:t>
          </a:r>
        </a:p>
      </xdr:txBody>
    </xdr:sp>
    <xdr:clientData/>
  </xdr:twoCellAnchor>
  <xdr:twoCellAnchor editAs="absolute">
    <xdr:from>
      <xdr:col>5</xdr:col>
      <xdr:colOff>139279</xdr:colOff>
      <xdr:row>1</xdr:row>
      <xdr:rowOff>211668</xdr:rowOff>
    </xdr:from>
    <xdr:to>
      <xdr:col>5</xdr:col>
      <xdr:colOff>854969</xdr:colOff>
      <xdr:row>2</xdr:row>
      <xdr:rowOff>235085</xdr:rowOff>
    </xdr:to>
    <xdr:sp macro="" textlink="">
      <xdr:nvSpPr>
        <xdr:cNvPr id="21" name="Retângulo 20">
          <a:hlinkClick xmlns:r="http://schemas.openxmlformats.org/officeDocument/2006/relationships" r:id="rId16"/>
        </xdr:cNvPr>
        <xdr:cNvSpPr/>
      </xdr:nvSpPr>
      <xdr:spPr>
        <a:xfrm>
          <a:off x="447040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Abr</a:t>
          </a:r>
        </a:p>
      </xdr:txBody>
    </xdr:sp>
    <xdr:clientData/>
  </xdr:twoCellAnchor>
  <xdr:twoCellAnchor editAs="absolute">
    <xdr:from>
      <xdr:col>5</xdr:col>
      <xdr:colOff>933027</xdr:colOff>
      <xdr:row>1</xdr:row>
      <xdr:rowOff>211668</xdr:rowOff>
    </xdr:from>
    <xdr:to>
      <xdr:col>6</xdr:col>
      <xdr:colOff>631748</xdr:colOff>
      <xdr:row>2</xdr:row>
      <xdr:rowOff>235085</xdr:rowOff>
    </xdr:to>
    <xdr:sp macro="" textlink="">
      <xdr:nvSpPr>
        <xdr:cNvPr id="22" name="Retângulo 21">
          <a:hlinkClick xmlns:r="http://schemas.openxmlformats.org/officeDocument/2006/relationships" r:id="rId17"/>
        </xdr:cNvPr>
        <xdr:cNvSpPr/>
      </xdr:nvSpPr>
      <xdr:spPr>
        <a:xfrm>
          <a:off x="5264150"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Mai</a:t>
          </a:r>
        </a:p>
      </xdr:txBody>
    </xdr:sp>
    <xdr:clientData/>
  </xdr:twoCellAnchor>
  <xdr:twoCellAnchor editAs="absolute">
    <xdr:from>
      <xdr:col>6</xdr:col>
      <xdr:colOff>696384</xdr:colOff>
      <xdr:row>1</xdr:row>
      <xdr:rowOff>211668</xdr:rowOff>
    </xdr:from>
    <xdr:to>
      <xdr:col>7</xdr:col>
      <xdr:colOff>683271</xdr:colOff>
      <xdr:row>2</xdr:row>
      <xdr:rowOff>235085</xdr:rowOff>
    </xdr:to>
    <xdr:sp macro="" textlink="">
      <xdr:nvSpPr>
        <xdr:cNvPr id="23" name="Retângulo 22">
          <a:hlinkClick xmlns:r="http://schemas.openxmlformats.org/officeDocument/2006/relationships" r:id="rId18"/>
        </xdr:cNvPr>
        <xdr:cNvSpPr/>
      </xdr:nvSpPr>
      <xdr:spPr>
        <a:xfrm>
          <a:off x="60515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Jun</a:t>
          </a:r>
        </a:p>
      </xdr:txBody>
    </xdr:sp>
    <xdr:clientData/>
  </xdr:twoCellAnchor>
  <xdr:twoCellAnchor editAs="absolute">
    <xdr:from>
      <xdr:col>8</xdr:col>
      <xdr:colOff>7198</xdr:colOff>
      <xdr:row>1</xdr:row>
      <xdr:rowOff>211668</xdr:rowOff>
    </xdr:from>
    <xdr:to>
      <xdr:col>9</xdr:col>
      <xdr:colOff>4632</xdr:colOff>
      <xdr:row>2</xdr:row>
      <xdr:rowOff>235085</xdr:rowOff>
    </xdr:to>
    <xdr:sp macro="" textlink="">
      <xdr:nvSpPr>
        <xdr:cNvPr id="24" name="Retângulo 23">
          <a:hlinkClick xmlns:r="http://schemas.openxmlformats.org/officeDocument/2006/relationships" r:id="rId19"/>
        </xdr:cNvPr>
        <xdr:cNvSpPr/>
      </xdr:nvSpPr>
      <xdr:spPr>
        <a:xfrm>
          <a:off x="6851651"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Jul</a:t>
          </a:r>
        </a:p>
      </xdr:txBody>
    </xdr:sp>
    <xdr:clientData/>
  </xdr:twoCellAnchor>
  <xdr:twoCellAnchor editAs="absolute">
    <xdr:from>
      <xdr:col>9</xdr:col>
      <xdr:colOff>74085</xdr:colOff>
      <xdr:row>1</xdr:row>
      <xdr:rowOff>211668</xdr:rowOff>
    </xdr:from>
    <xdr:to>
      <xdr:col>10</xdr:col>
      <xdr:colOff>666983</xdr:colOff>
      <xdr:row>2</xdr:row>
      <xdr:rowOff>235085</xdr:rowOff>
    </xdr:to>
    <xdr:sp macro="" textlink="">
      <xdr:nvSpPr>
        <xdr:cNvPr id="25" name="Retângulo 24">
          <a:hlinkClick xmlns:r="http://schemas.openxmlformats.org/officeDocument/2006/relationships" r:id="rId20"/>
        </xdr:cNvPr>
        <xdr:cNvSpPr/>
      </xdr:nvSpPr>
      <xdr:spPr>
        <a:xfrm>
          <a:off x="7639052"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Ago</a:t>
          </a:r>
        </a:p>
      </xdr:txBody>
    </xdr:sp>
    <xdr:clientData/>
  </xdr:twoCellAnchor>
  <xdr:twoCellAnchor editAs="absolute">
    <xdr:from>
      <xdr:col>10</xdr:col>
      <xdr:colOff>749300</xdr:colOff>
      <xdr:row>1</xdr:row>
      <xdr:rowOff>211668</xdr:rowOff>
    </xdr:from>
    <xdr:to>
      <xdr:col>12</xdr:col>
      <xdr:colOff>440340</xdr:colOff>
      <xdr:row>2</xdr:row>
      <xdr:rowOff>235085</xdr:rowOff>
    </xdr:to>
    <xdr:sp macro="" textlink="">
      <xdr:nvSpPr>
        <xdr:cNvPr id="26" name="Retângulo 25">
          <a:hlinkClick xmlns:r="http://schemas.openxmlformats.org/officeDocument/2006/relationships" r:id="rId21"/>
        </xdr:cNvPr>
        <xdr:cNvSpPr/>
      </xdr:nvSpPr>
      <xdr:spPr>
        <a:xfrm>
          <a:off x="8443383"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Set</a:t>
          </a:r>
        </a:p>
      </xdr:txBody>
    </xdr:sp>
    <xdr:clientData/>
  </xdr:twoCellAnchor>
  <xdr:twoCellAnchor editAs="absolute">
    <xdr:from>
      <xdr:col>12</xdr:col>
      <xdr:colOff>494877</xdr:colOff>
      <xdr:row>1</xdr:row>
      <xdr:rowOff>211668</xdr:rowOff>
    </xdr:from>
    <xdr:to>
      <xdr:col>14</xdr:col>
      <xdr:colOff>180245</xdr:colOff>
      <xdr:row>2</xdr:row>
      <xdr:rowOff>235085</xdr:rowOff>
    </xdr:to>
    <xdr:sp macro="" textlink="">
      <xdr:nvSpPr>
        <xdr:cNvPr id="27" name="Retângulo 26">
          <a:hlinkClick xmlns:r="http://schemas.openxmlformats.org/officeDocument/2006/relationships" r:id="rId22"/>
        </xdr:cNvPr>
        <xdr:cNvSpPr/>
      </xdr:nvSpPr>
      <xdr:spPr>
        <a:xfrm>
          <a:off x="92307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Out</a:t>
          </a:r>
        </a:p>
      </xdr:txBody>
    </xdr:sp>
    <xdr:clientData/>
  </xdr:twoCellAnchor>
  <xdr:twoCellAnchor editAs="absolute">
    <xdr:from>
      <xdr:col>14</xdr:col>
      <xdr:colOff>265854</xdr:colOff>
      <xdr:row>1</xdr:row>
      <xdr:rowOff>211668</xdr:rowOff>
    </xdr:from>
    <xdr:to>
      <xdr:col>16</xdr:col>
      <xdr:colOff>72</xdr:colOff>
      <xdr:row>2</xdr:row>
      <xdr:rowOff>235085</xdr:rowOff>
    </xdr:to>
    <xdr:sp macro="" textlink="">
      <xdr:nvSpPr>
        <xdr:cNvPr id="28" name="Retângulo 27">
          <a:hlinkClick xmlns:r="http://schemas.openxmlformats.org/officeDocument/2006/relationships" r:id="rId23"/>
        </xdr:cNvPr>
        <xdr:cNvSpPr/>
      </xdr:nvSpPr>
      <xdr:spPr>
        <a:xfrm>
          <a:off x="10030884" y="645585"/>
          <a:ext cx="720000" cy="288000"/>
        </a:xfrm>
        <a:prstGeom prst="rect">
          <a:avLst/>
        </a:prstGeom>
        <a:solidFill>
          <a:srgbClr val="6699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0">
              <a:solidFill>
                <a:schemeClr val="bg1"/>
              </a:solidFill>
            </a:rPr>
            <a:t>Nov</a:t>
          </a:r>
        </a:p>
      </xdr:txBody>
    </xdr:sp>
    <xdr:clientData/>
  </xdr:twoCellAnchor>
  <xdr:twoCellAnchor editAs="absolute">
    <xdr:from>
      <xdr:col>16</xdr:col>
      <xdr:colOff>57152</xdr:colOff>
      <xdr:row>1</xdr:row>
      <xdr:rowOff>211668</xdr:rowOff>
    </xdr:from>
    <xdr:to>
      <xdr:col>16</xdr:col>
      <xdr:colOff>766103</xdr:colOff>
      <xdr:row>2</xdr:row>
      <xdr:rowOff>235085</xdr:rowOff>
    </xdr:to>
    <xdr:sp macro="" textlink="">
      <xdr:nvSpPr>
        <xdr:cNvPr id="29" name="Retângulo 28">
          <a:hlinkClick xmlns:r="http://schemas.openxmlformats.org/officeDocument/2006/relationships" r:id="rId24"/>
        </xdr:cNvPr>
        <xdr:cNvSpPr/>
      </xdr:nvSpPr>
      <xdr:spPr>
        <a:xfrm>
          <a:off x="10818285" y="645585"/>
          <a:ext cx="720000" cy="288000"/>
        </a:xfrm>
        <a:prstGeom prst="rect">
          <a:avLst/>
        </a:prstGeom>
        <a:solidFill>
          <a:srgbClr val="FF99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pt-BR" sz="1050" b="1">
              <a:solidFill>
                <a:schemeClr val="bg1"/>
              </a:solidFill>
            </a:rPr>
            <a:t>Dez</a:t>
          </a:r>
        </a:p>
      </xdr:txBody>
    </xdr:sp>
    <xdr:clientData/>
  </xdr:twoCellAnchor>
  <xdr:twoCellAnchor editAs="absolute">
    <xdr:from>
      <xdr:col>5</xdr:col>
      <xdr:colOff>292100</xdr:colOff>
      <xdr:row>0</xdr:row>
      <xdr:rowOff>165100</xdr:rowOff>
    </xdr:from>
    <xdr:to>
      <xdr:col>5</xdr:col>
      <xdr:colOff>635000</xdr:colOff>
      <xdr:row>1</xdr:row>
      <xdr:rowOff>88900</xdr:rowOff>
    </xdr:to>
    <xdr:pic>
      <xdr:nvPicPr>
        <xdr:cNvPr id="15120" name="Imagem 29">
          <a:hlinkClick xmlns:r="http://schemas.openxmlformats.org/officeDocument/2006/relationships" r:id="rId25"/>
        </xdr:cNvPr>
        <xdr:cNvPicPr>
          <a:picLocks noChangeAspect="1"/>
        </xdr:cNvPicPr>
      </xdr:nvPicPr>
      <xdr:blipFill>
        <a:blip xmlns:r="http://schemas.openxmlformats.org/officeDocument/2006/relationships" r:embed="rId26" cstate="print">
          <a:extLst>
            <a:ext uri="{28A0092B-C50C-407E-A947-70E740481C1C}">
              <a14:useLocalDpi xmlns:a14="http://schemas.microsoft.com/office/drawing/2010/main" val="0"/>
            </a:ext>
          </a:extLst>
        </a:blip>
        <a:srcRect/>
        <a:stretch>
          <a:fillRect/>
        </a:stretch>
      </xdr:blipFill>
      <xdr:spPr bwMode="auto">
        <a:xfrm>
          <a:off x="5219700" y="165100"/>
          <a:ext cx="3429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absolute">
    <xdr:from>
      <xdr:col>6</xdr:col>
      <xdr:colOff>345229</xdr:colOff>
      <xdr:row>0</xdr:row>
      <xdr:rowOff>133350</xdr:rowOff>
    </xdr:from>
    <xdr:to>
      <xdr:col>12</xdr:col>
      <xdr:colOff>444314</xdr:colOff>
      <xdr:row>1</xdr:row>
      <xdr:rowOff>133920</xdr:rowOff>
    </xdr:to>
    <xdr:sp macro="" textlink="">
      <xdr:nvSpPr>
        <xdr:cNvPr id="2" name="CaixaDeTexto 1"/>
        <xdr:cNvSpPr txBox="1"/>
      </xdr:nvSpPr>
      <xdr:spPr>
        <a:xfrm>
          <a:off x="6229562" y="133350"/>
          <a:ext cx="6559131"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Veja o resultado geral do ano e o detalhamento de cada mês para conferir o cálculo</a:t>
          </a:r>
          <a:r>
            <a:rPr lang="pt-BR" sz="1100" baseline="0"/>
            <a:t> total das horas extra, banco de horas e horas devidas ao longo do período.</a:t>
          </a:r>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5814"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1</xdr:col>
      <xdr:colOff>5959</xdr:colOff>
      <xdr:row>4</xdr:row>
      <xdr:rowOff>114300</xdr:rowOff>
    </xdr:to>
    <xdr:sp macro="" textlink="">
      <xdr:nvSpPr>
        <xdr:cNvPr id="15373" name="Rectangle 65"/>
        <xdr:cNvSpPr>
          <a:spLocks noChangeArrowheads="1"/>
        </xdr:cNvSpPr>
      </xdr:nvSpPr>
      <xdr:spPr bwMode="auto">
        <a:xfrm>
          <a:off x="60960" y="922020"/>
          <a:ext cx="1516380" cy="27432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12</xdr:row>
      <xdr:rowOff>74295</xdr:rowOff>
    </xdr:from>
    <xdr:to>
      <xdr:col>0</xdr:col>
      <xdr:colOff>1727861</xdr:colOff>
      <xdr:row>12</xdr:row>
      <xdr:rowOff>74295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5</xdr:row>
      <xdr:rowOff>117475</xdr:rowOff>
    </xdr:from>
    <xdr:to>
      <xdr:col>1</xdr:col>
      <xdr:colOff>17852</xdr:colOff>
      <xdr:row>5</xdr:row>
      <xdr:rowOff>371475</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6</xdr:row>
      <xdr:rowOff>74295</xdr:rowOff>
    </xdr:from>
    <xdr:to>
      <xdr:col>1</xdr:col>
      <xdr:colOff>17852</xdr:colOff>
      <xdr:row>6</xdr:row>
      <xdr:rowOff>308498</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371475</xdr:rowOff>
    </xdr:from>
    <xdr:to>
      <xdr:col>1</xdr:col>
      <xdr:colOff>17852</xdr:colOff>
      <xdr:row>7</xdr:row>
      <xdr:rowOff>265257</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7</xdr:row>
      <xdr:rowOff>307975</xdr:rowOff>
    </xdr:from>
    <xdr:to>
      <xdr:col>1</xdr:col>
      <xdr:colOff>17852</xdr:colOff>
      <xdr:row>8</xdr:row>
      <xdr:rowOff>180975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3. Resultados Consolidados</a:t>
          </a:r>
        </a:p>
      </xdr:txBody>
    </xdr:sp>
    <xdr:clientData/>
  </xdr:twoCellAnchor>
  <xdr:twoCellAnchor editAs="absolute">
    <xdr:from>
      <xdr:col>0</xdr:col>
      <xdr:colOff>5080</xdr:colOff>
      <xdr:row>8</xdr:row>
      <xdr:rowOff>264795</xdr:rowOff>
    </xdr:from>
    <xdr:to>
      <xdr:col>1</xdr:col>
      <xdr:colOff>17852</xdr:colOff>
      <xdr:row>9</xdr:row>
      <xdr:rowOff>117998</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9</xdr:row>
      <xdr:rowOff>180975</xdr:rowOff>
    </xdr:from>
    <xdr:to>
      <xdr:col>1</xdr:col>
      <xdr:colOff>17852</xdr:colOff>
      <xdr:row>10</xdr:row>
      <xdr:rowOff>74757</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10</xdr:row>
      <xdr:rowOff>117475</xdr:rowOff>
    </xdr:from>
    <xdr:to>
      <xdr:col>1</xdr:col>
      <xdr:colOff>17852</xdr:colOff>
      <xdr:row>10</xdr:row>
      <xdr:rowOff>371475</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11</xdr:row>
      <xdr:rowOff>74295</xdr:rowOff>
    </xdr:from>
    <xdr:to>
      <xdr:col>1</xdr:col>
      <xdr:colOff>17852</xdr:colOff>
      <xdr:row>11</xdr:row>
      <xdr:rowOff>308498</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12</xdr:row>
      <xdr:rowOff>180975</xdr:rowOff>
    </xdr:from>
    <xdr:to>
      <xdr:col>1</xdr:col>
      <xdr:colOff>17852</xdr:colOff>
      <xdr:row>13</xdr:row>
      <xdr:rowOff>74757</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13</xdr:row>
      <xdr:rowOff>117475</xdr:rowOff>
    </xdr:from>
    <xdr:to>
      <xdr:col>1</xdr:col>
      <xdr:colOff>17852</xdr:colOff>
      <xdr:row>13</xdr:row>
      <xdr:rowOff>371475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14</xdr:row>
      <xdr:rowOff>74295</xdr:rowOff>
    </xdr:from>
    <xdr:to>
      <xdr:col>1</xdr:col>
      <xdr:colOff>17852</xdr:colOff>
      <xdr:row>14</xdr:row>
      <xdr:rowOff>308498</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254000</xdr:colOff>
      <xdr:row>0</xdr:row>
      <xdr:rowOff>139700</xdr:rowOff>
    </xdr:from>
    <xdr:to>
      <xdr:col>5</xdr:col>
      <xdr:colOff>635000</xdr:colOff>
      <xdr:row>1</xdr:row>
      <xdr:rowOff>63500</xdr:rowOff>
    </xdr:to>
    <xdr:pic>
      <xdr:nvPicPr>
        <xdr:cNvPr id="15829"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740400" y="139700"/>
          <a:ext cx="3810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absolute">
    <xdr:from>
      <xdr:col>7</xdr:col>
      <xdr:colOff>371474</xdr:colOff>
      <xdr:row>0</xdr:row>
      <xdr:rowOff>133350</xdr:rowOff>
    </xdr:from>
    <xdr:to>
      <xdr:col>18</xdr:col>
      <xdr:colOff>470762</xdr:colOff>
      <xdr:row>2</xdr:row>
      <xdr:rowOff>209034</xdr:rowOff>
    </xdr:to>
    <xdr:sp macro="" textlink="">
      <xdr:nvSpPr>
        <xdr:cNvPr id="2" name="CaixaDeTexto 1"/>
        <xdr:cNvSpPr txBox="1"/>
      </xdr:nvSpPr>
      <xdr:spPr>
        <a:xfrm>
          <a:off x="5119863" y="133350"/>
          <a:ext cx="6295467" cy="7812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wrap="square"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pt-BR" sz="1100">
              <a:solidFill>
                <a:schemeClr val="tx1"/>
              </a:solidFill>
              <a:effectLst/>
              <a:latin typeface="+mn-lt"/>
              <a:ea typeface="+mn-ea"/>
              <a:cs typeface="+mn-cs"/>
            </a:rPr>
            <a:t>Faça uma avaliação gráfica sobre o segmento.</a:t>
          </a:r>
          <a:r>
            <a:rPr lang="pt-BR" sz="1100" baseline="0">
              <a:solidFill>
                <a:schemeClr val="tx1"/>
              </a:solidFill>
              <a:effectLst/>
              <a:latin typeface="+mn-lt"/>
              <a:ea typeface="+mn-ea"/>
              <a:cs typeface="+mn-cs"/>
            </a:rPr>
            <a:t> Esse gráfico será gerado a partir de todas as informaçõescedidas por você nas "Premissas gerais". Esta é uma forma rápida para analisar dados e tomar decisões importantes.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7348"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3</xdr:row>
      <xdr:rowOff>243840</xdr:rowOff>
    </xdr:to>
    <xdr:sp macro="" textlink="">
      <xdr:nvSpPr>
        <xdr:cNvPr id="16388"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10</xdr:row>
      <xdr:rowOff>307975</xdr:rowOff>
    </xdr:from>
    <xdr:to>
      <xdr:col>0</xdr:col>
      <xdr:colOff>1727861</xdr:colOff>
      <xdr:row>10</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17852</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5</xdr:row>
      <xdr:rowOff>264795</xdr:rowOff>
    </xdr:from>
    <xdr:to>
      <xdr:col>1</xdr:col>
      <xdr:colOff>17852</xdr:colOff>
      <xdr:row>6</xdr:row>
      <xdr:rowOff>117998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6</xdr:row>
      <xdr:rowOff>180975</xdr:rowOff>
    </xdr:from>
    <xdr:to>
      <xdr:col>1</xdr:col>
      <xdr:colOff>17852</xdr:colOff>
      <xdr:row>7</xdr:row>
      <xdr:rowOff>74757</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7</xdr:row>
      <xdr:rowOff>117475</xdr:rowOff>
    </xdr:from>
    <xdr:to>
      <xdr:col>1</xdr:col>
      <xdr:colOff>17852</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4. Gráficos</a:t>
          </a:r>
        </a:p>
      </xdr:txBody>
    </xdr:sp>
    <xdr:clientData/>
  </xdr:twoCellAnchor>
  <xdr:twoCellAnchor editAs="absolute">
    <xdr:from>
      <xdr:col>0</xdr:col>
      <xdr:colOff>5080</xdr:colOff>
      <xdr:row>8</xdr:row>
      <xdr:rowOff>74295</xdr:rowOff>
    </xdr:from>
    <xdr:to>
      <xdr:col>1</xdr:col>
      <xdr:colOff>17852</xdr:colOff>
      <xdr:row>8</xdr:row>
      <xdr:rowOff>308498</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8</xdr:row>
      <xdr:rowOff>371475</xdr:rowOff>
    </xdr:from>
    <xdr:to>
      <xdr:col>1</xdr:col>
      <xdr:colOff>17852</xdr:colOff>
      <xdr:row>9</xdr:row>
      <xdr:rowOff>265257</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9</xdr:row>
      <xdr:rowOff>307975</xdr:rowOff>
    </xdr:from>
    <xdr:to>
      <xdr:col>1</xdr:col>
      <xdr:colOff>17852</xdr:colOff>
      <xdr:row>10</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11</xdr:row>
      <xdr:rowOff>74295</xdr:rowOff>
    </xdr:from>
    <xdr:to>
      <xdr:col>1</xdr:col>
      <xdr:colOff>17852</xdr:colOff>
      <xdr:row>11</xdr:row>
      <xdr:rowOff>308498</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11</xdr:row>
      <xdr:rowOff>371475</xdr:rowOff>
    </xdr:from>
    <xdr:to>
      <xdr:col>1</xdr:col>
      <xdr:colOff>17852</xdr:colOff>
      <xdr:row>12</xdr:row>
      <xdr:rowOff>265257</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12</xdr:row>
      <xdr:rowOff>307975</xdr:rowOff>
    </xdr:from>
    <xdr:to>
      <xdr:col>1</xdr:col>
      <xdr:colOff>17852</xdr:colOff>
      <xdr:row>13</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xdr:from>
      <xdr:col>2</xdr:col>
      <xdr:colOff>550757</xdr:colOff>
      <xdr:row>15</xdr:row>
      <xdr:rowOff>187538</xdr:rowOff>
    </xdr:from>
    <xdr:to>
      <xdr:col>10</xdr:col>
      <xdr:colOff>317615</xdr:colOff>
      <xdr:row>22</xdr:row>
      <xdr:rowOff>114698</xdr:rowOff>
    </xdr:to>
    <xdr:sp macro="" textlink="">
      <xdr:nvSpPr>
        <xdr:cNvPr id="34" name="Retângulo 33"/>
        <xdr:cNvSpPr/>
      </xdr:nvSpPr>
      <xdr:spPr>
        <a:xfrm>
          <a:off x="2654300" y="5702301"/>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2</xdr:col>
      <xdr:colOff>546100</xdr:colOff>
      <xdr:row>14</xdr:row>
      <xdr:rowOff>330200</xdr:rowOff>
    </xdr:from>
    <xdr:to>
      <xdr:col>10</xdr:col>
      <xdr:colOff>317500</xdr:colOff>
      <xdr:row>22</xdr:row>
      <xdr:rowOff>101600</xdr:rowOff>
    </xdr:to>
    <xdr:graphicFrame macro="">
      <xdr:nvGraphicFramePr>
        <xdr:cNvPr id="17364" name="Gráfico 34"/>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11</xdr:col>
      <xdr:colOff>47413</xdr:colOff>
      <xdr:row>15</xdr:row>
      <xdr:rowOff>189658</xdr:rowOff>
    </xdr:from>
    <xdr:to>
      <xdr:col>18</xdr:col>
      <xdr:colOff>438224</xdr:colOff>
      <xdr:row>22</xdr:row>
      <xdr:rowOff>109233</xdr:rowOff>
    </xdr:to>
    <xdr:sp macro="" textlink="">
      <xdr:nvSpPr>
        <xdr:cNvPr id="37" name="Retângulo 36"/>
        <xdr:cNvSpPr/>
      </xdr:nvSpPr>
      <xdr:spPr>
        <a:xfrm>
          <a:off x="7672916" y="5704421"/>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2</xdr:col>
      <xdr:colOff>542290</xdr:colOff>
      <xdr:row>24</xdr:row>
      <xdr:rowOff>18203</xdr:rowOff>
    </xdr:from>
    <xdr:to>
      <xdr:col>10</xdr:col>
      <xdr:colOff>316798</xdr:colOff>
      <xdr:row>30</xdr:row>
      <xdr:rowOff>339079</xdr:rowOff>
    </xdr:to>
    <xdr:sp macro="" textlink="">
      <xdr:nvSpPr>
        <xdr:cNvPr id="44" name="Retângulo 43"/>
        <xdr:cNvSpPr/>
      </xdr:nvSpPr>
      <xdr:spPr>
        <a:xfrm>
          <a:off x="2645833" y="8974666"/>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11</xdr:col>
      <xdr:colOff>17780</xdr:colOff>
      <xdr:row>24</xdr:row>
      <xdr:rowOff>33023</xdr:rowOff>
    </xdr:from>
    <xdr:to>
      <xdr:col>18</xdr:col>
      <xdr:colOff>395870</xdr:colOff>
      <xdr:row>30</xdr:row>
      <xdr:rowOff>341183</xdr:rowOff>
    </xdr:to>
    <xdr:sp macro="" textlink="">
      <xdr:nvSpPr>
        <xdr:cNvPr id="45" name="Retângulo 44"/>
        <xdr:cNvSpPr/>
      </xdr:nvSpPr>
      <xdr:spPr>
        <a:xfrm>
          <a:off x="7643283" y="8976786"/>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11</xdr:col>
      <xdr:colOff>25400</xdr:colOff>
      <xdr:row>14</xdr:row>
      <xdr:rowOff>342900</xdr:rowOff>
    </xdr:from>
    <xdr:to>
      <xdr:col>18</xdr:col>
      <xdr:colOff>431800</xdr:colOff>
      <xdr:row>22</xdr:row>
      <xdr:rowOff>101600</xdr:rowOff>
    </xdr:to>
    <xdr:graphicFrame macro="">
      <xdr:nvGraphicFramePr>
        <xdr:cNvPr id="17368" name="Gráfico 37"/>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546100</xdr:colOff>
      <xdr:row>5</xdr:row>
      <xdr:rowOff>38100</xdr:rowOff>
    </xdr:from>
    <xdr:to>
      <xdr:col>18</xdr:col>
      <xdr:colOff>444500</xdr:colOff>
      <xdr:row>12</xdr:row>
      <xdr:rowOff>190500</xdr:rowOff>
    </xdr:to>
    <xdr:graphicFrame macro="">
      <xdr:nvGraphicFramePr>
        <xdr:cNvPr id="17369" name="Gráfico 38"/>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2</xdr:col>
      <xdr:colOff>549908</xdr:colOff>
      <xdr:row>32</xdr:row>
      <xdr:rowOff>263736</xdr:rowOff>
    </xdr:from>
    <xdr:to>
      <xdr:col>10</xdr:col>
      <xdr:colOff>316766</xdr:colOff>
      <xdr:row>39</xdr:row>
      <xdr:rowOff>190896</xdr:rowOff>
    </xdr:to>
    <xdr:sp macro="" textlink="">
      <xdr:nvSpPr>
        <xdr:cNvPr id="46" name="Retângulo 45"/>
        <xdr:cNvSpPr/>
      </xdr:nvSpPr>
      <xdr:spPr>
        <a:xfrm>
          <a:off x="2645831" y="12255499"/>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11</xdr:col>
      <xdr:colOff>17778</xdr:colOff>
      <xdr:row>32</xdr:row>
      <xdr:rowOff>256119</xdr:rowOff>
    </xdr:from>
    <xdr:to>
      <xdr:col>18</xdr:col>
      <xdr:colOff>395868</xdr:colOff>
      <xdr:row>39</xdr:row>
      <xdr:rowOff>183279</xdr:rowOff>
    </xdr:to>
    <xdr:sp macro="" textlink="">
      <xdr:nvSpPr>
        <xdr:cNvPr id="47" name="Retângulo 46"/>
        <xdr:cNvSpPr/>
      </xdr:nvSpPr>
      <xdr:spPr>
        <a:xfrm>
          <a:off x="7643281" y="12268202"/>
          <a:ext cx="4680000" cy="2594160"/>
        </a:xfrm>
        <a:prstGeom prst="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pt-BR"/>
        </a:p>
      </xdr:txBody>
    </xdr:sp>
    <xdr:clientData/>
  </xdr:twoCellAnchor>
  <xdr:twoCellAnchor>
    <xdr:from>
      <xdr:col>2</xdr:col>
      <xdr:colOff>571500</xdr:colOff>
      <xdr:row>23</xdr:row>
      <xdr:rowOff>165100</xdr:rowOff>
    </xdr:from>
    <xdr:to>
      <xdr:col>10</xdr:col>
      <xdr:colOff>317500</xdr:colOff>
      <xdr:row>30</xdr:row>
      <xdr:rowOff>304800</xdr:rowOff>
    </xdr:to>
    <xdr:graphicFrame macro="">
      <xdr:nvGraphicFramePr>
        <xdr:cNvPr id="17372" name="Gráfico 39"/>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11</xdr:col>
      <xdr:colOff>12700</xdr:colOff>
      <xdr:row>23</xdr:row>
      <xdr:rowOff>165100</xdr:rowOff>
    </xdr:from>
    <xdr:to>
      <xdr:col>18</xdr:col>
      <xdr:colOff>393700</xdr:colOff>
      <xdr:row>30</xdr:row>
      <xdr:rowOff>304800</xdr:rowOff>
    </xdr:to>
    <xdr:graphicFrame macro="">
      <xdr:nvGraphicFramePr>
        <xdr:cNvPr id="17373" name="Gráfico 40"/>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xdr:col>
      <xdr:colOff>546100</xdr:colOff>
      <xdr:row>32</xdr:row>
      <xdr:rowOff>38100</xdr:rowOff>
    </xdr:from>
    <xdr:to>
      <xdr:col>10</xdr:col>
      <xdr:colOff>317500</xdr:colOff>
      <xdr:row>39</xdr:row>
      <xdr:rowOff>177800</xdr:rowOff>
    </xdr:to>
    <xdr:graphicFrame macro="">
      <xdr:nvGraphicFramePr>
        <xdr:cNvPr id="17374" name="Gráfico 41"/>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11</xdr:col>
      <xdr:colOff>25400</xdr:colOff>
      <xdr:row>32</xdr:row>
      <xdr:rowOff>50800</xdr:rowOff>
    </xdr:from>
    <xdr:to>
      <xdr:col>18</xdr:col>
      <xdr:colOff>419100</xdr:colOff>
      <xdr:row>39</xdr:row>
      <xdr:rowOff>190500</xdr:rowOff>
    </xdr:to>
    <xdr:graphicFrame macro="">
      <xdr:nvGraphicFramePr>
        <xdr:cNvPr id="17375" name="Gráfico 42"/>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oneCellAnchor>
    <xdr:from>
      <xdr:col>2</xdr:col>
      <xdr:colOff>466514</xdr:colOff>
      <xdr:row>31</xdr:row>
      <xdr:rowOff>94404</xdr:rowOff>
    </xdr:from>
    <xdr:ext cx="2714696" cy="342786"/>
    <xdr:sp macro="" textlink="">
      <xdr:nvSpPr>
        <xdr:cNvPr id="18" name="CaixaDeTexto 17"/>
        <xdr:cNvSpPr txBox="1"/>
      </xdr:nvSpPr>
      <xdr:spPr>
        <a:xfrm>
          <a:off x="2628901" y="11719984"/>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Intrajornadas vs Interjornadas</a:t>
          </a:r>
        </a:p>
      </xdr:txBody>
    </xdr:sp>
    <xdr:clientData/>
  </xdr:oneCellAnchor>
  <xdr:oneCellAnchor>
    <xdr:from>
      <xdr:col>10</xdr:col>
      <xdr:colOff>542290</xdr:colOff>
      <xdr:row>31</xdr:row>
      <xdr:rowOff>107950</xdr:rowOff>
    </xdr:from>
    <xdr:ext cx="2723110" cy="342786"/>
    <xdr:sp macro="" textlink="">
      <xdr:nvSpPr>
        <xdr:cNvPr id="32" name="CaixaDeTexto 31"/>
        <xdr:cNvSpPr txBox="1"/>
      </xdr:nvSpPr>
      <xdr:spPr>
        <a:xfrm>
          <a:off x="6958612" y="11749617"/>
          <a:ext cx="2733584"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Adicional Noturno</a:t>
          </a:r>
          <a:r>
            <a:rPr lang="pt-BR" sz="1600" baseline="0">
              <a:solidFill>
                <a:srgbClr val="333333"/>
              </a:solidFill>
            </a:rPr>
            <a:t> por Mês</a:t>
          </a:r>
        </a:p>
      </xdr:txBody>
    </xdr:sp>
    <xdr:clientData/>
  </xdr:oneCellAnchor>
  <xdr:oneCellAnchor>
    <xdr:from>
      <xdr:col>2</xdr:col>
      <xdr:colOff>460163</xdr:colOff>
      <xdr:row>22</xdr:row>
      <xdr:rowOff>228600</xdr:rowOff>
    </xdr:from>
    <xdr:ext cx="2747252" cy="342786"/>
    <xdr:sp macro="" textlink="">
      <xdr:nvSpPr>
        <xdr:cNvPr id="33" name="CaixaDeTexto 32"/>
        <xdr:cNvSpPr txBox="1"/>
      </xdr:nvSpPr>
      <xdr:spPr>
        <a:xfrm>
          <a:off x="2561166" y="8417983"/>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a:t>
          </a:r>
          <a:r>
            <a:rPr lang="pt-BR" sz="1600" baseline="0">
              <a:solidFill>
                <a:srgbClr val="333333"/>
              </a:solidFill>
            </a:rPr>
            <a:t> em DSR</a:t>
          </a:r>
        </a:p>
      </xdr:txBody>
    </xdr:sp>
    <xdr:clientData/>
  </xdr:oneCellAnchor>
  <xdr:oneCellAnchor>
    <xdr:from>
      <xdr:col>10</xdr:col>
      <xdr:colOff>535940</xdr:colOff>
      <xdr:row>22</xdr:row>
      <xdr:rowOff>224367</xdr:rowOff>
    </xdr:from>
    <xdr:ext cx="2723110" cy="342786"/>
    <xdr:sp macro="" textlink="">
      <xdr:nvSpPr>
        <xdr:cNvPr id="36" name="CaixaDeTexto 35"/>
        <xdr:cNvSpPr txBox="1"/>
      </xdr:nvSpPr>
      <xdr:spPr>
        <a:xfrm>
          <a:off x="7562850" y="8426450"/>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a:t>
          </a:r>
          <a:r>
            <a:rPr lang="pt-BR" sz="1600" baseline="0">
              <a:solidFill>
                <a:srgbClr val="333333"/>
              </a:solidFill>
            </a:rPr>
            <a:t> em Feriados</a:t>
          </a:r>
          <a:endParaRPr lang="pt-BR" sz="1600">
            <a:solidFill>
              <a:srgbClr val="333333"/>
            </a:solidFill>
          </a:endParaRPr>
        </a:p>
      </xdr:txBody>
    </xdr:sp>
    <xdr:clientData/>
  </xdr:oneCellAnchor>
  <xdr:oneCellAnchor>
    <xdr:from>
      <xdr:col>2</xdr:col>
      <xdr:colOff>462281</xdr:colOff>
      <xdr:row>13</xdr:row>
      <xdr:rowOff>378036</xdr:rowOff>
    </xdr:from>
    <xdr:ext cx="2747252" cy="342786"/>
    <xdr:sp macro="" textlink="">
      <xdr:nvSpPr>
        <xdr:cNvPr id="48" name="CaixaDeTexto 47"/>
        <xdr:cNvSpPr txBox="1"/>
      </xdr:nvSpPr>
      <xdr:spPr>
        <a:xfrm>
          <a:off x="2624668" y="5132916"/>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 aos</a:t>
          </a:r>
          <a:r>
            <a:rPr lang="pt-BR" sz="1600" baseline="0">
              <a:solidFill>
                <a:srgbClr val="333333"/>
              </a:solidFill>
            </a:rPr>
            <a:t> Sábados</a:t>
          </a:r>
          <a:endParaRPr lang="pt-BR" sz="1600">
            <a:solidFill>
              <a:srgbClr val="333333"/>
            </a:solidFill>
          </a:endParaRPr>
        </a:p>
      </xdr:txBody>
    </xdr:sp>
    <xdr:clientData/>
  </xdr:oneCellAnchor>
  <xdr:oneCellAnchor>
    <xdr:from>
      <xdr:col>10</xdr:col>
      <xdr:colOff>567691</xdr:colOff>
      <xdr:row>13</xdr:row>
      <xdr:rowOff>340783</xdr:rowOff>
    </xdr:from>
    <xdr:ext cx="2736766" cy="342786"/>
    <xdr:sp macro="" textlink="">
      <xdr:nvSpPr>
        <xdr:cNvPr id="49" name="CaixaDeTexto 48"/>
        <xdr:cNvSpPr txBox="1"/>
      </xdr:nvSpPr>
      <xdr:spPr>
        <a:xfrm>
          <a:off x="7581901" y="5113866"/>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Horas Extra aos Domingos</a:t>
          </a:r>
        </a:p>
      </xdr:txBody>
    </xdr:sp>
    <xdr:clientData/>
  </xdr:oneCellAnchor>
  <xdr:oneCellAnchor>
    <xdr:from>
      <xdr:col>2</xdr:col>
      <xdr:colOff>463126</xdr:colOff>
      <xdr:row>4</xdr:row>
      <xdr:rowOff>37254</xdr:rowOff>
    </xdr:from>
    <xdr:ext cx="2747252" cy="342786"/>
    <xdr:sp macro="" textlink="">
      <xdr:nvSpPr>
        <xdr:cNvPr id="50" name="CaixaDeTexto 49"/>
        <xdr:cNvSpPr txBox="1"/>
      </xdr:nvSpPr>
      <xdr:spPr>
        <a:xfrm>
          <a:off x="2633133" y="1363134"/>
          <a:ext cx="2719916" cy="342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pt-BR" sz="1600">
              <a:solidFill>
                <a:srgbClr val="333333"/>
              </a:solidFill>
            </a:rPr>
            <a:t>Total de Horas Extra Mensais</a:t>
          </a:r>
        </a:p>
      </xdr:txBody>
    </xdr:sp>
    <xdr:clientData/>
  </xdr:oneCellAnchor>
  <xdr:twoCellAnchor editAs="absolute">
    <xdr:from>
      <xdr:col>6</xdr:col>
      <xdr:colOff>63500</xdr:colOff>
      <xdr:row>0</xdr:row>
      <xdr:rowOff>165100</xdr:rowOff>
    </xdr:from>
    <xdr:to>
      <xdr:col>6</xdr:col>
      <xdr:colOff>419100</xdr:colOff>
      <xdr:row>1</xdr:row>
      <xdr:rowOff>88900</xdr:rowOff>
    </xdr:to>
    <xdr:pic>
      <xdr:nvPicPr>
        <xdr:cNvPr id="17383" name="Imagem 50">
          <a:hlinkClick xmlns:r="http://schemas.openxmlformats.org/officeDocument/2006/relationships" r:id="rId20"/>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5156200" y="165100"/>
          <a:ext cx="3556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absolute">
    <xdr:from>
      <xdr:col>5</xdr:col>
      <xdr:colOff>976416</xdr:colOff>
      <xdr:row>0</xdr:row>
      <xdr:rowOff>133351</xdr:rowOff>
    </xdr:from>
    <xdr:to>
      <xdr:col>11</xdr:col>
      <xdr:colOff>577229</xdr:colOff>
      <xdr:row>2</xdr:row>
      <xdr:rowOff>56699</xdr:rowOff>
    </xdr:to>
    <xdr:sp macro="" textlink="">
      <xdr:nvSpPr>
        <xdr:cNvPr id="2" name="CaixaDeTexto 1"/>
        <xdr:cNvSpPr txBox="1"/>
      </xdr:nvSpPr>
      <xdr:spPr>
        <a:xfrm>
          <a:off x="5546723" y="133351"/>
          <a:ext cx="6396567"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solidFill>
                <a:schemeClr val="tx1"/>
              </a:solidFill>
              <a:effectLst/>
              <a:latin typeface="+mn-lt"/>
              <a:ea typeface="+mn-ea"/>
              <a:cs typeface="+mn-cs"/>
            </a:rPr>
            <a:t>Confira os alertas e dicas que a planilha fornece a partir dos dados inseridos</a:t>
          </a:r>
          <a:r>
            <a:rPr lang="pt-BR" sz="1100" baseline="0">
              <a:solidFill>
                <a:schemeClr val="tx1"/>
              </a:solidFill>
              <a:effectLst/>
              <a:latin typeface="+mn-lt"/>
              <a:ea typeface="+mn-ea"/>
              <a:cs typeface="+mn-cs"/>
            </a:rPr>
            <a:t> nas "Premissas gerais". </a:t>
          </a:r>
          <a:endParaRPr lang="pt-BR">
            <a:effectLst/>
          </a:endParaRPr>
        </a:p>
        <a:p>
          <a:r>
            <a:rPr lang="pt-BR" sz="1100" baseline="0">
              <a:solidFill>
                <a:schemeClr val="tx1"/>
              </a:solidFill>
              <a:effectLst/>
              <a:latin typeface="+mn-lt"/>
              <a:ea typeface="+mn-ea"/>
              <a:cs typeface="+mn-cs"/>
            </a:rPr>
            <a:t>As informações colhidas aqui são muito úteis para suas análises e decisões.</a:t>
          </a:r>
          <a:endParaRPr lang="pt-BR">
            <a:effectLst/>
          </a:endParaRPr>
        </a:p>
        <a:p>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7853"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3</xdr:row>
      <xdr:rowOff>243840</xdr:rowOff>
    </xdr:to>
    <xdr:sp macro="" textlink="">
      <xdr:nvSpPr>
        <xdr:cNvPr id="17412"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8</xdr:row>
      <xdr:rowOff>360891</xdr:rowOff>
    </xdr:from>
    <xdr:to>
      <xdr:col>0</xdr:col>
      <xdr:colOff>1727861</xdr:colOff>
      <xdr:row>8</xdr:row>
      <xdr:rowOff>360891</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17852</xdr:colOff>
      <xdr:row>4</xdr:row>
      <xdr:rowOff>561975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4</xdr:row>
      <xdr:rowOff>645795</xdr:rowOff>
    </xdr:from>
    <xdr:to>
      <xdr:col>1</xdr:col>
      <xdr:colOff>17852</xdr:colOff>
      <xdr:row>4</xdr:row>
      <xdr:rowOff>879998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5</xdr:row>
      <xdr:rowOff>53975</xdr:rowOff>
    </xdr:from>
    <xdr:to>
      <xdr:col>1</xdr:col>
      <xdr:colOff>17852</xdr:colOff>
      <xdr:row>6</xdr:row>
      <xdr:rowOff>212725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6</xdr:row>
      <xdr:rowOff>271145</xdr:rowOff>
    </xdr:from>
    <xdr:to>
      <xdr:col>1</xdr:col>
      <xdr:colOff>17852</xdr:colOff>
      <xdr:row>6</xdr:row>
      <xdr:rowOff>537138</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6</xdr:row>
      <xdr:rowOff>587375</xdr:rowOff>
    </xdr:from>
    <xdr:to>
      <xdr:col>1</xdr:col>
      <xdr:colOff>17852</xdr:colOff>
      <xdr:row>6</xdr:row>
      <xdr:rowOff>862157</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5. Alertas e Dicas</a:t>
          </a:r>
        </a:p>
      </xdr:txBody>
    </xdr:sp>
    <xdr:clientData/>
  </xdr:twoCellAnchor>
  <xdr:twoCellAnchor editAs="absolute">
    <xdr:from>
      <xdr:col>0</xdr:col>
      <xdr:colOff>5080</xdr:colOff>
      <xdr:row>7</xdr:row>
      <xdr:rowOff>37042</xdr:rowOff>
    </xdr:from>
    <xdr:to>
      <xdr:col>1</xdr:col>
      <xdr:colOff>17852</xdr:colOff>
      <xdr:row>7</xdr:row>
      <xdr:rowOff>283571</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7</xdr:row>
      <xdr:rowOff>354542</xdr:rowOff>
    </xdr:from>
    <xdr:to>
      <xdr:col>1</xdr:col>
      <xdr:colOff>17852</xdr:colOff>
      <xdr:row>8</xdr:row>
      <xdr:rowOff>227542</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9</xdr:row>
      <xdr:rowOff>99271</xdr:rowOff>
    </xdr:from>
    <xdr:to>
      <xdr:col>1</xdr:col>
      <xdr:colOff>17852</xdr:colOff>
      <xdr:row>9</xdr:row>
      <xdr:rowOff>360968</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10</xdr:row>
      <xdr:rowOff>43391</xdr:rowOff>
    </xdr:from>
    <xdr:to>
      <xdr:col>1</xdr:col>
      <xdr:colOff>17852</xdr:colOff>
      <xdr:row>11</xdr:row>
      <xdr:rowOff>208961</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11</xdr:row>
      <xdr:rowOff>259291</xdr:rowOff>
    </xdr:from>
    <xdr:to>
      <xdr:col>1</xdr:col>
      <xdr:colOff>17852</xdr:colOff>
      <xdr:row>11</xdr:row>
      <xdr:rowOff>520988</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4</xdr:col>
      <xdr:colOff>1714500</xdr:colOff>
      <xdr:row>0</xdr:row>
      <xdr:rowOff>165100</xdr:rowOff>
    </xdr:from>
    <xdr:to>
      <xdr:col>5</xdr:col>
      <xdr:colOff>304800</xdr:colOff>
      <xdr:row>1</xdr:row>
      <xdr:rowOff>88900</xdr:rowOff>
    </xdr:to>
    <xdr:pic>
      <xdr:nvPicPr>
        <xdr:cNvPr id="17868"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168900" y="1651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absolute">
    <xdr:from>
      <xdr:col>5</xdr:col>
      <xdr:colOff>545465</xdr:colOff>
      <xdr:row>0</xdr:row>
      <xdr:rowOff>133350</xdr:rowOff>
    </xdr:from>
    <xdr:to>
      <xdr:col>11</xdr:col>
      <xdr:colOff>529805</xdr:colOff>
      <xdr:row>1</xdr:row>
      <xdr:rowOff>133920</xdr:rowOff>
    </xdr:to>
    <xdr:sp macro="" textlink="">
      <xdr:nvSpPr>
        <xdr:cNvPr id="2" name="CaixaDeTexto 1"/>
        <xdr:cNvSpPr txBox="1"/>
      </xdr:nvSpPr>
      <xdr:spPr>
        <a:xfrm>
          <a:off x="5625465" y="133350"/>
          <a:ext cx="6571407"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Imprima</a:t>
          </a:r>
          <a:r>
            <a:rPr lang="pt-BR" sz="1100" baseline="0"/>
            <a:t> o relatório do Cálculo de Horas Extras com Folha de Ponto e Banco de Horas. Tudo com formatação econômica para gastar menos tinta e ter melhor aproveitamento do papel.</a:t>
          </a:r>
          <a:endParaRPr lang="pt-BR" sz="1100"/>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8876"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3</xdr:row>
      <xdr:rowOff>243840</xdr:rowOff>
    </xdr:to>
    <xdr:sp macro="" textlink="">
      <xdr:nvSpPr>
        <xdr:cNvPr id="18436"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7</xdr:row>
      <xdr:rowOff>191558</xdr:rowOff>
    </xdr:from>
    <xdr:to>
      <xdr:col>0</xdr:col>
      <xdr:colOff>1727861</xdr:colOff>
      <xdr:row>7</xdr:row>
      <xdr:rowOff>191558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328295</xdr:rowOff>
    </xdr:from>
    <xdr:to>
      <xdr:col>1</xdr:col>
      <xdr:colOff>17852</xdr:colOff>
      <xdr:row>4</xdr:row>
      <xdr:rowOff>589992</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5</xdr:row>
      <xdr:rowOff>20108</xdr:rowOff>
    </xdr:from>
    <xdr:to>
      <xdr:col>1</xdr:col>
      <xdr:colOff>17852</xdr:colOff>
      <xdr:row>5</xdr:row>
      <xdr:rowOff>266637</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5</xdr:row>
      <xdr:rowOff>350308</xdr:rowOff>
    </xdr:from>
    <xdr:to>
      <xdr:col>1</xdr:col>
      <xdr:colOff>17852</xdr:colOff>
      <xdr:row>5</xdr:row>
      <xdr:rowOff>591608</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5</xdr:row>
      <xdr:rowOff>647488</xdr:rowOff>
    </xdr:from>
    <xdr:to>
      <xdr:col>1</xdr:col>
      <xdr:colOff>17852</xdr:colOff>
      <xdr:row>5</xdr:row>
      <xdr:rowOff>922270</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5</xdr:row>
      <xdr:rowOff>972608</xdr:rowOff>
    </xdr:from>
    <xdr:to>
      <xdr:col>1</xdr:col>
      <xdr:colOff>17852</xdr:colOff>
      <xdr:row>6</xdr:row>
      <xdr:rowOff>14778</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6</xdr:row>
      <xdr:rowOff>98425</xdr:rowOff>
    </xdr:from>
    <xdr:to>
      <xdr:col>1</xdr:col>
      <xdr:colOff>17852</xdr:colOff>
      <xdr:row>6</xdr:row>
      <xdr:rowOff>360122</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6. Relatórios de Impressão</a:t>
          </a:r>
        </a:p>
      </xdr:txBody>
    </xdr:sp>
    <xdr:clientData/>
  </xdr:twoCellAnchor>
  <xdr:twoCellAnchor editAs="absolute">
    <xdr:from>
      <xdr:col>0</xdr:col>
      <xdr:colOff>5080</xdr:colOff>
      <xdr:row>6</xdr:row>
      <xdr:rowOff>423545</xdr:rowOff>
    </xdr:from>
    <xdr:to>
      <xdr:col>1</xdr:col>
      <xdr:colOff>17852</xdr:colOff>
      <xdr:row>7</xdr:row>
      <xdr:rowOff>76958</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7</xdr:row>
      <xdr:rowOff>318558</xdr:rowOff>
    </xdr:from>
    <xdr:to>
      <xdr:col>1</xdr:col>
      <xdr:colOff>17852</xdr:colOff>
      <xdr:row>7</xdr:row>
      <xdr:rowOff>572558</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7</xdr:row>
      <xdr:rowOff>648758</xdr:rowOff>
    </xdr:from>
    <xdr:to>
      <xdr:col>1</xdr:col>
      <xdr:colOff>17852</xdr:colOff>
      <xdr:row>9</xdr:row>
      <xdr:rowOff>1215</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9</xdr:row>
      <xdr:rowOff>64558</xdr:rowOff>
    </xdr:from>
    <xdr:to>
      <xdr:col>1</xdr:col>
      <xdr:colOff>17852</xdr:colOff>
      <xdr:row>9</xdr:row>
      <xdr:rowOff>326255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4</xdr:col>
      <xdr:colOff>698500</xdr:colOff>
      <xdr:row>0</xdr:row>
      <xdr:rowOff>165100</xdr:rowOff>
    </xdr:from>
    <xdr:to>
      <xdr:col>4</xdr:col>
      <xdr:colOff>1066800</xdr:colOff>
      <xdr:row>1</xdr:row>
      <xdr:rowOff>88900</xdr:rowOff>
    </xdr:to>
    <xdr:pic>
      <xdr:nvPicPr>
        <xdr:cNvPr id="18891"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207000" y="165100"/>
          <a:ext cx="368300" cy="355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absolute">
    <xdr:from>
      <xdr:col>6</xdr:col>
      <xdr:colOff>99270</xdr:colOff>
      <xdr:row>0</xdr:row>
      <xdr:rowOff>133350</xdr:rowOff>
    </xdr:from>
    <xdr:to>
      <xdr:col>17</xdr:col>
      <xdr:colOff>230131</xdr:colOff>
      <xdr:row>1</xdr:row>
      <xdr:rowOff>133920</xdr:rowOff>
    </xdr:to>
    <xdr:sp macro="" textlink="">
      <xdr:nvSpPr>
        <xdr:cNvPr id="2" name="CaixaDeTexto 1"/>
        <xdr:cNvSpPr txBox="1"/>
      </xdr:nvSpPr>
      <xdr:spPr>
        <a:xfrm>
          <a:off x="6025937" y="133350"/>
          <a:ext cx="6573966"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Selecione o mês e imprima a folha de ponto. Uma formafácil e simples para ter a folha de ponto do funcionário com apenas um clique e otimizada para impressão.</a:t>
          </a:r>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1990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3</xdr:row>
      <xdr:rowOff>243840</xdr:rowOff>
    </xdr:to>
    <xdr:sp macro="" textlink="">
      <xdr:nvSpPr>
        <xdr:cNvPr id="19460"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12</xdr:row>
      <xdr:rowOff>117475</xdr:rowOff>
    </xdr:from>
    <xdr:to>
      <xdr:col>0</xdr:col>
      <xdr:colOff>1727861</xdr:colOff>
      <xdr:row>12</xdr:row>
      <xdr:rowOff>117475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17852</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5</xdr:row>
      <xdr:rowOff>264795</xdr:rowOff>
    </xdr:from>
    <xdr:to>
      <xdr:col>1</xdr:col>
      <xdr:colOff>17852</xdr:colOff>
      <xdr:row>7</xdr:row>
      <xdr:rowOff>22686</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7</xdr:row>
      <xdr:rowOff>85725</xdr:rowOff>
    </xdr:from>
    <xdr:to>
      <xdr:col>1</xdr:col>
      <xdr:colOff>17852</xdr:colOff>
      <xdr:row>7</xdr:row>
      <xdr:rowOff>339725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8</xdr:row>
      <xdr:rowOff>22225</xdr:rowOff>
    </xdr:from>
    <xdr:to>
      <xdr:col>1</xdr:col>
      <xdr:colOff>17852</xdr:colOff>
      <xdr:row>9</xdr:row>
      <xdr:rowOff>173318</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9</xdr:row>
      <xdr:rowOff>244475</xdr:rowOff>
    </xdr:from>
    <xdr:to>
      <xdr:col>1</xdr:col>
      <xdr:colOff>17852</xdr:colOff>
      <xdr:row>10</xdr:row>
      <xdr:rowOff>117475</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10</xdr:row>
      <xdr:rowOff>173355</xdr:rowOff>
    </xdr:from>
    <xdr:to>
      <xdr:col>1</xdr:col>
      <xdr:colOff>17852</xdr:colOff>
      <xdr:row>11</xdr:row>
      <xdr:rowOff>54052</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11</xdr:row>
      <xdr:rowOff>117475</xdr:rowOff>
    </xdr:from>
    <xdr:to>
      <xdr:col>1</xdr:col>
      <xdr:colOff>17852</xdr:colOff>
      <xdr:row>11</xdr:row>
      <xdr:rowOff>364004</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7. Imprimir Folha de Ponto</a:t>
          </a:r>
        </a:p>
      </xdr:txBody>
    </xdr:sp>
    <xdr:clientData/>
  </xdr:twoCellAnchor>
  <xdr:twoCellAnchor editAs="absolute">
    <xdr:from>
      <xdr:col>0</xdr:col>
      <xdr:colOff>5080</xdr:colOff>
      <xdr:row>12</xdr:row>
      <xdr:rowOff>244475</xdr:rowOff>
    </xdr:from>
    <xdr:to>
      <xdr:col>1</xdr:col>
      <xdr:colOff>17852</xdr:colOff>
      <xdr:row>13</xdr:row>
      <xdr:rowOff>117475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13</xdr:row>
      <xdr:rowOff>173355</xdr:rowOff>
    </xdr:from>
    <xdr:to>
      <xdr:col>1</xdr:col>
      <xdr:colOff>17852</xdr:colOff>
      <xdr:row>14</xdr:row>
      <xdr:rowOff>54052</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14</xdr:row>
      <xdr:rowOff>117475</xdr:rowOff>
    </xdr:from>
    <xdr:to>
      <xdr:col>1</xdr:col>
      <xdr:colOff>17852</xdr:colOff>
      <xdr:row>14</xdr:row>
      <xdr:rowOff>364004</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absolute">
    <xdr:from>
      <xdr:col>5</xdr:col>
      <xdr:colOff>0</xdr:colOff>
      <xdr:row>0</xdr:row>
      <xdr:rowOff>139700</xdr:rowOff>
    </xdr:from>
    <xdr:to>
      <xdr:col>5</xdr:col>
      <xdr:colOff>368300</xdr:colOff>
      <xdr:row>1</xdr:row>
      <xdr:rowOff>76200</xdr:rowOff>
    </xdr:to>
    <xdr:pic>
      <xdr:nvPicPr>
        <xdr:cNvPr id="19916" name="Imagem 18">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5499100" y="139700"/>
          <a:ext cx="368300" cy="3683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absolute">
    <xdr:from>
      <xdr:col>7</xdr:col>
      <xdr:colOff>363855</xdr:colOff>
      <xdr:row>0</xdr:row>
      <xdr:rowOff>133350</xdr:rowOff>
    </xdr:from>
    <xdr:to>
      <xdr:col>18</xdr:col>
      <xdr:colOff>15771</xdr:colOff>
      <xdr:row>1</xdr:row>
      <xdr:rowOff>133920</xdr:rowOff>
    </xdr:to>
    <xdr:sp macro="" textlink="">
      <xdr:nvSpPr>
        <xdr:cNvPr id="2" name="CaixaDeTexto 1"/>
        <xdr:cNvSpPr txBox="1"/>
      </xdr:nvSpPr>
      <xdr:spPr>
        <a:xfrm>
          <a:off x="5617422" y="133350"/>
          <a:ext cx="658197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pPr algn="l" rtl="0">
            <a:defRPr sz="1000"/>
          </a:pPr>
          <a:r>
            <a:rPr lang="pt-BR" sz="1100" b="0" i="0" u="none" strike="noStrike" baseline="0">
              <a:solidFill>
                <a:srgbClr val="000000"/>
              </a:solidFill>
              <a:latin typeface="Calibri"/>
            </a:rPr>
            <a:t>Escolha sua dúvida entre as perguntas mais frequentes e veja as respostas. Se continuar com dúvidas no uso da planilha, entre em contato pelo nosso email </a:t>
          </a:r>
          <a:r>
            <a:rPr lang="pt-BR" sz="1100" b="0" i="0" u="none" strike="noStrike" baseline="0">
              <a:solidFill>
                <a:srgbClr val="00ABEA"/>
              </a:solidFill>
              <a:latin typeface="Calibri"/>
            </a:rPr>
            <a:t>contato@luz.vc</a:t>
          </a:r>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20951"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3</xdr:row>
      <xdr:rowOff>243840</xdr:rowOff>
    </xdr:to>
    <xdr:sp macro="" textlink="">
      <xdr:nvSpPr>
        <xdr:cNvPr id="20484"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10</xdr:row>
      <xdr:rowOff>307975</xdr:rowOff>
    </xdr:from>
    <xdr:to>
      <xdr:col>0</xdr:col>
      <xdr:colOff>1727861</xdr:colOff>
      <xdr:row>10</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17852</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5</xdr:row>
      <xdr:rowOff>264795</xdr:rowOff>
    </xdr:from>
    <xdr:to>
      <xdr:col>1</xdr:col>
      <xdr:colOff>17852</xdr:colOff>
      <xdr:row>6</xdr:row>
      <xdr:rowOff>117998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6</xdr:row>
      <xdr:rowOff>180975</xdr:rowOff>
    </xdr:from>
    <xdr:to>
      <xdr:col>1</xdr:col>
      <xdr:colOff>17852</xdr:colOff>
      <xdr:row>7</xdr:row>
      <xdr:rowOff>74757</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7</xdr:row>
      <xdr:rowOff>117475</xdr:rowOff>
    </xdr:from>
    <xdr:to>
      <xdr:col>1</xdr:col>
      <xdr:colOff>17852</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8</xdr:row>
      <xdr:rowOff>74295</xdr:rowOff>
    </xdr:from>
    <xdr:to>
      <xdr:col>1</xdr:col>
      <xdr:colOff>17852</xdr:colOff>
      <xdr:row>8</xdr:row>
      <xdr:rowOff>308498</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8</xdr:row>
      <xdr:rowOff>371475</xdr:rowOff>
    </xdr:from>
    <xdr:to>
      <xdr:col>1</xdr:col>
      <xdr:colOff>17852</xdr:colOff>
      <xdr:row>9</xdr:row>
      <xdr:rowOff>265257</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9</xdr:row>
      <xdr:rowOff>307975</xdr:rowOff>
    </xdr:from>
    <xdr:to>
      <xdr:col>1</xdr:col>
      <xdr:colOff>17852</xdr:colOff>
      <xdr:row>10</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11</xdr:row>
      <xdr:rowOff>74295</xdr:rowOff>
    </xdr:from>
    <xdr:to>
      <xdr:col>1</xdr:col>
      <xdr:colOff>17852</xdr:colOff>
      <xdr:row>11</xdr:row>
      <xdr:rowOff>308498</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Dúvidas Frequentes</a:t>
          </a:r>
        </a:p>
      </xdr:txBody>
    </xdr:sp>
    <xdr:clientData/>
  </xdr:twoCellAnchor>
  <xdr:twoCellAnchor editAs="absolute">
    <xdr:from>
      <xdr:col>0</xdr:col>
      <xdr:colOff>5080</xdr:colOff>
      <xdr:row>11</xdr:row>
      <xdr:rowOff>371475</xdr:rowOff>
    </xdr:from>
    <xdr:to>
      <xdr:col>1</xdr:col>
      <xdr:colOff>17852</xdr:colOff>
      <xdr:row>12</xdr:row>
      <xdr:rowOff>265257</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12</xdr:row>
      <xdr:rowOff>307975</xdr:rowOff>
    </xdr:from>
    <xdr:to>
      <xdr:col>1</xdr:col>
      <xdr:colOff>17852</xdr:colOff>
      <xdr:row>13</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11</xdr:col>
      <xdr:colOff>152400</xdr:colOff>
      <xdr:row>7</xdr:row>
      <xdr:rowOff>266700</xdr:rowOff>
    </xdr:from>
    <xdr:to>
      <xdr:col>18</xdr:col>
      <xdr:colOff>63500</xdr:colOff>
      <xdr:row>11</xdr:row>
      <xdr:rowOff>304800</xdr:rowOff>
    </xdr:to>
    <xdr:pic>
      <xdr:nvPicPr>
        <xdr:cNvPr id="20966"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8839200" y="2755900"/>
          <a:ext cx="48006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11</xdr:col>
      <xdr:colOff>152400</xdr:colOff>
      <xdr:row>3</xdr:row>
      <xdr:rowOff>177800</xdr:rowOff>
    </xdr:from>
    <xdr:to>
      <xdr:col>18</xdr:col>
      <xdr:colOff>63500</xdr:colOff>
      <xdr:row>7</xdr:row>
      <xdr:rowOff>215900</xdr:rowOff>
    </xdr:to>
    <xdr:pic>
      <xdr:nvPicPr>
        <xdr:cNvPr id="20967" name="Imagem 18">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8839200" y="1143000"/>
          <a:ext cx="4800600" cy="15621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absolute">
    <xdr:from>
      <xdr:col>3</xdr:col>
      <xdr:colOff>2848398</xdr:colOff>
      <xdr:row>0</xdr:row>
      <xdr:rowOff>133350</xdr:rowOff>
    </xdr:from>
    <xdr:to>
      <xdr:col>7</xdr:col>
      <xdr:colOff>200293</xdr:colOff>
      <xdr:row>1</xdr:row>
      <xdr:rowOff>133920</xdr:rowOff>
    </xdr:to>
    <xdr:sp macro="" textlink="">
      <xdr:nvSpPr>
        <xdr:cNvPr id="2" name="CaixaDeTexto 1"/>
        <xdr:cNvSpPr txBox="1"/>
      </xdr:nvSpPr>
      <xdr:spPr>
        <a:xfrm>
          <a:off x="5320665" y="133350"/>
          <a:ext cx="6923194" cy="4367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Além da planilha de fluxo de caixa, você pode usar outras planilhas para melhorar a gestão da sua empresa. Todas as planilhas da LUZ já estão prontas e são práticas de se usar!</a:t>
          </a:r>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22000"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4</xdr:row>
      <xdr:rowOff>53340</xdr:rowOff>
    </xdr:to>
    <xdr:sp macro="" textlink="">
      <xdr:nvSpPr>
        <xdr:cNvPr id="21508"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14</xdr:row>
      <xdr:rowOff>88688</xdr:rowOff>
    </xdr:from>
    <xdr:to>
      <xdr:col>0</xdr:col>
      <xdr:colOff>1727861</xdr:colOff>
      <xdr:row>14</xdr:row>
      <xdr:rowOff>88688</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4</xdr:row>
      <xdr:rowOff>173355</xdr:rowOff>
    </xdr:from>
    <xdr:to>
      <xdr:col>1</xdr:col>
      <xdr:colOff>17852</xdr:colOff>
      <xdr:row>5</xdr:row>
      <xdr:rowOff>202090</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5</xdr:row>
      <xdr:rowOff>265641</xdr:rowOff>
    </xdr:from>
    <xdr:to>
      <xdr:col>1</xdr:col>
      <xdr:colOff>17852</xdr:colOff>
      <xdr:row>6</xdr:row>
      <xdr:rowOff>131170</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6</xdr:row>
      <xdr:rowOff>202141</xdr:rowOff>
    </xdr:from>
    <xdr:to>
      <xdr:col>1</xdr:col>
      <xdr:colOff>17852</xdr:colOff>
      <xdr:row>8</xdr:row>
      <xdr:rowOff>20108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8</xdr:row>
      <xdr:rowOff>96308</xdr:rowOff>
    </xdr:from>
    <xdr:to>
      <xdr:col>1</xdr:col>
      <xdr:colOff>17852</xdr:colOff>
      <xdr:row>9</xdr:row>
      <xdr:rowOff>117475</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9</xdr:row>
      <xdr:rowOff>168275</xdr:rowOff>
    </xdr:from>
    <xdr:to>
      <xdr:col>1</xdr:col>
      <xdr:colOff>17852</xdr:colOff>
      <xdr:row>10</xdr:row>
      <xdr:rowOff>62057</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10</xdr:row>
      <xdr:rowOff>117475</xdr:rowOff>
    </xdr:from>
    <xdr:to>
      <xdr:col>1</xdr:col>
      <xdr:colOff>17852</xdr:colOff>
      <xdr:row>11</xdr:row>
      <xdr:rowOff>138641</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11</xdr:row>
      <xdr:rowOff>196496</xdr:rowOff>
    </xdr:from>
    <xdr:to>
      <xdr:col>1</xdr:col>
      <xdr:colOff>17852</xdr:colOff>
      <xdr:row>13</xdr:row>
      <xdr:rowOff>20108</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13</xdr:row>
      <xdr:rowOff>88688</xdr:rowOff>
    </xdr:from>
    <xdr:to>
      <xdr:col>1</xdr:col>
      <xdr:colOff>17852</xdr:colOff>
      <xdr:row>13</xdr:row>
      <xdr:rowOff>350385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14</xdr:row>
      <xdr:rowOff>210608</xdr:rowOff>
    </xdr:from>
    <xdr:to>
      <xdr:col>1</xdr:col>
      <xdr:colOff>17852</xdr:colOff>
      <xdr:row>16</xdr:row>
      <xdr:rowOff>53975</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16</xdr:row>
      <xdr:rowOff>117475</xdr:rowOff>
    </xdr:from>
    <xdr:to>
      <xdr:col>1</xdr:col>
      <xdr:colOff>17852</xdr:colOff>
      <xdr:row>17</xdr:row>
      <xdr:rowOff>138641</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Sugestões para você</a:t>
          </a:r>
        </a:p>
      </xdr:txBody>
    </xdr:sp>
    <xdr:clientData/>
  </xdr:twoCellAnchor>
  <xdr:twoCellAnchor editAs="absolute">
    <xdr:from>
      <xdr:col>0</xdr:col>
      <xdr:colOff>5080</xdr:colOff>
      <xdr:row>17</xdr:row>
      <xdr:rowOff>189441</xdr:rowOff>
    </xdr:from>
    <xdr:to>
      <xdr:col>1</xdr:col>
      <xdr:colOff>17852</xdr:colOff>
      <xdr:row>18</xdr:row>
      <xdr:rowOff>75809</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Sobre a LUZ</a:t>
          </a:r>
        </a:p>
      </xdr:txBody>
    </xdr:sp>
    <xdr:clientData/>
  </xdr:twoCellAnchor>
  <xdr:twoCellAnchor editAs="oneCell">
    <xdr:from>
      <xdr:col>3</xdr:col>
      <xdr:colOff>3454400</xdr:colOff>
      <xdr:row>1</xdr:row>
      <xdr:rowOff>241300</xdr:rowOff>
    </xdr:from>
    <xdr:to>
      <xdr:col>5</xdr:col>
      <xdr:colOff>228600</xdr:colOff>
      <xdr:row>2</xdr:row>
      <xdr:rowOff>228600</xdr:rowOff>
    </xdr:to>
    <xdr:pic>
      <xdr:nvPicPr>
        <xdr:cNvPr id="22015" name="Imagem 17">
          <a:hlinkClick xmlns:r="http://schemas.openxmlformats.org/officeDocument/2006/relationships" r:id="rId13"/>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515100" y="673100"/>
          <a:ext cx="1778000" cy="254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4</xdr:row>
      <xdr:rowOff>0</xdr:rowOff>
    </xdr:from>
    <xdr:to>
      <xdr:col>4</xdr:col>
      <xdr:colOff>254000</xdr:colOff>
      <xdr:row>10</xdr:row>
      <xdr:rowOff>190500</xdr:rowOff>
    </xdr:to>
    <xdr:pic>
      <xdr:nvPicPr>
        <xdr:cNvPr id="22016" name="Imagem 28">
          <a:hlinkClick xmlns:r="http://schemas.openxmlformats.org/officeDocument/2006/relationships" r:id="rId15"/>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2184400" y="1155700"/>
          <a:ext cx="5803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76200</xdr:colOff>
      <xdr:row>11</xdr:row>
      <xdr:rowOff>38100</xdr:rowOff>
    </xdr:from>
    <xdr:to>
      <xdr:col>4</xdr:col>
      <xdr:colOff>254000</xdr:colOff>
      <xdr:row>18</xdr:row>
      <xdr:rowOff>38100</xdr:rowOff>
    </xdr:to>
    <xdr:pic>
      <xdr:nvPicPr>
        <xdr:cNvPr id="22017" name="Imagem 29">
          <a:hlinkClick xmlns:r="http://schemas.openxmlformats.org/officeDocument/2006/relationships" r:id="rId17"/>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2184400" y="3060700"/>
          <a:ext cx="5803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absolute">
    <xdr:from>
      <xdr:col>7</xdr:col>
      <xdr:colOff>371475</xdr:colOff>
      <xdr:row>0</xdr:row>
      <xdr:rowOff>133350</xdr:rowOff>
    </xdr:from>
    <xdr:to>
      <xdr:col>18</xdr:col>
      <xdr:colOff>15799</xdr:colOff>
      <xdr:row>2</xdr:row>
      <xdr:rowOff>59939</xdr:rowOff>
    </xdr:to>
    <xdr:sp macro="" textlink="">
      <xdr:nvSpPr>
        <xdr:cNvPr id="2" name="CaixaDeTexto 1"/>
        <xdr:cNvSpPr txBox="1"/>
      </xdr:nvSpPr>
      <xdr:spPr>
        <a:xfrm>
          <a:off x="5524500" y="133350"/>
          <a:ext cx="6350000" cy="60901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vert="horz" rtlCol="0" anchor="t">
          <a:spAutoFit/>
        </a:bodyPr>
        <a:lstStyle/>
        <a:p>
          <a:r>
            <a:rPr lang="pt-BR" sz="1100"/>
            <a:t>A LUZ é uma empresa especializada no desenvolvimento de planilhas empresariais. Desde 2005 ajudamos empresários e gestores a vencer seus desafios em suas respectivas áreas de trabalho. Conheça um pouco mais da LUZ e descubra como podemos ajudar!</a:t>
          </a:r>
        </a:p>
      </xdr:txBody>
    </xdr:sp>
    <xdr:clientData/>
  </xdr:twoCellAnchor>
  <xdr:twoCellAnchor editAs="absolute">
    <xdr:from>
      <xdr:col>0</xdr:col>
      <xdr:colOff>139700</xdr:colOff>
      <xdr:row>0</xdr:row>
      <xdr:rowOff>203200</xdr:rowOff>
    </xdr:from>
    <xdr:to>
      <xdr:col>0</xdr:col>
      <xdr:colOff>1701800</xdr:colOff>
      <xdr:row>2</xdr:row>
      <xdr:rowOff>12700</xdr:rowOff>
    </xdr:to>
    <xdr:pic>
      <xdr:nvPicPr>
        <xdr:cNvPr id="23154" name="Imagem 2"/>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9700" y="203200"/>
          <a:ext cx="156210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fLocksWithSheet="0"/>
  </xdr:twoCellAnchor>
  <xdr:twoCellAnchor editAs="absolute">
    <xdr:from>
      <xdr:col>0</xdr:col>
      <xdr:colOff>150071</xdr:colOff>
      <xdr:row>2</xdr:row>
      <xdr:rowOff>148170</xdr:rowOff>
    </xdr:from>
    <xdr:to>
      <xdr:col>0</xdr:col>
      <xdr:colOff>1721273</xdr:colOff>
      <xdr:row>2</xdr:row>
      <xdr:rowOff>148170</xdr:rowOff>
    </xdr:to>
    <xdr:cxnSp macro="">
      <xdr:nvCxnSpPr>
        <xdr:cNvPr id="4" name="Conector reto 3"/>
        <xdr:cNvCxnSpPr/>
      </xdr:nvCxnSpPr>
      <xdr:spPr>
        <a:xfrm>
          <a:off x="144991" y="830795"/>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60960</xdr:colOff>
      <xdr:row>2</xdr:row>
      <xdr:rowOff>228600</xdr:rowOff>
    </xdr:from>
    <xdr:to>
      <xdr:col>0</xdr:col>
      <xdr:colOff>1755737</xdr:colOff>
      <xdr:row>3</xdr:row>
      <xdr:rowOff>243840</xdr:rowOff>
    </xdr:to>
    <xdr:sp macro="" textlink="">
      <xdr:nvSpPr>
        <xdr:cNvPr id="22532" name="Rectangle 65"/>
        <xdr:cNvSpPr>
          <a:spLocks noChangeArrowheads="1"/>
        </xdr:cNvSpPr>
      </xdr:nvSpPr>
      <xdr:spPr bwMode="auto">
        <a:xfrm>
          <a:off x="60960" y="922020"/>
          <a:ext cx="1516380" cy="281940"/>
        </a:xfrm>
        <a:prstGeom prst="rect">
          <a:avLst/>
        </a:prstGeom>
        <a:noFill/>
        <a:ln w="9525">
          <a:noFill/>
          <a:miter lim="800000"/>
          <a:headEnd/>
          <a:tailEnd/>
        </a:ln>
        <a:effectLst>
          <a:outerShdw dist="23000" dir="5400000" rotWithShape="0">
            <a:srgbClr val="808080">
              <a:alpha val="34999"/>
            </a:srgbClr>
          </a:outerShdw>
        </a:effectLst>
      </xdr:spPr>
      <xdr:txBody>
        <a:bodyPr vertOverflow="clip" wrap="square" lIns="36576" tIns="36576" rIns="0" bIns="36576" anchor="ctr" upright="1"/>
        <a:lstStyle/>
        <a:p>
          <a:pPr algn="l" rtl="0">
            <a:defRPr sz="1000"/>
          </a:pPr>
          <a:r>
            <a:rPr lang="pt-BR" sz="1400" b="1" i="0" u="none" strike="noStrike" baseline="0">
              <a:solidFill>
                <a:srgbClr val="FFFFFF"/>
              </a:solidFill>
              <a:latin typeface="Calibri"/>
            </a:rPr>
            <a:t>Menu</a:t>
          </a:r>
        </a:p>
      </xdr:txBody>
    </xdr:sp>
    <xdr:clientData/>
  </xdr:twoCellAnchor>
  <xdr:twoCellAnchor editAs="absolute">
    <xdr:from>
      <xdr:col>0</xdr:col>
      <xdr:colOff>149860</xdr:colOff>
      <xdr:row>10</xdr:row>
      <xdr:rowOff>307975</xdr:rowOff>
    </xdr:from>
    <xdr:to>
      <xdr:col>0</xdr:col>
      <xdr:colOff>1727861</xdr:colOff>
      <xdr:row>10</xdr:row>
      <xdr:rowOff>307975</xdr:rowOff>
    </xdr:to>
    <xdr:cxnSp macro="">
      <xdr:nvCxnSpPr>
        <xdr:cNvPr id="6" name="Conector reto 5"/>
        <xdr:cNvCxnSpPr/>
      </xdr:nvCxnSpPr>
      <xdr:spPr>
        <a:xfrm>
          <a:off x="152400" y="3937000"/>
          <a:ext cx="1565275" cy="0"/>
        </a:xfrm>
        <a:prstGeom prst="line">
          <a:avLst/>
        </a:prstGeom>
        <a:ln>
          <a:solidFill>
            <a:schemeClr val="bg2">
              <a:lumMod val="5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0</xdr:col>
      <xdr:colOff>5080</xdr:colOff>
      <xdr:row>3</xdr:row>
      <xdr:rowOff>371475</xdr:rowOff>
    </xdr:from>
    <xdr:to>
      <xdr:col>1</xdr:col>
      <xdr:colOff>17852</xdr:colOff>
      <xdr:row>4</xdr:row>
      <xdr:rowOff>265257</xdr:rowOff>
    </xdr:to>
    <xdr:sp macro="" textlink="">
      <xdr:nvSpPr>
        <xdr:cNvPr id="7" name="Retângulo 6">
          <a:hlinkClick xmlns:r="http://schemas.openxmlformats.org/officeDocument/2006/relationships" r:id="rId2"/>
        </xdr:cNvPr>
        <xdr:cNvSpPr/>
      </xdr:nvSpPr>
      <xdr:spPr>
        <a:xfrm>
          <a:off x="12700" y="133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Início</a:t>
          </a:r>
        </a:p>
      </xdr:txBody>
    </xdr:sp>
    <xdr:clientData/>
  </xdr:twoCellAnchor>
  <xdr:twoCellAnchor editAs="absolute">
    <xdr:from>
      <xdr:col>0</xdr:col>
      <xdr:colOff>5080</xdr:colOff>
      <xdr:row>4</xdr:row>
      <xdr:rowOff>307975</xdr:rowOff>
    </xdr:from>
    <xdr:to>
      <xdr:col>1</xdr:col>
      <xdr:colOff>17852</xdr:colOff>
      <xdr:row>5</xdr:row>
      <xdr:rowOff>180975</xdr:rowOff>
    </xdr:to>
    <xdr:sp macro="" textlink="">
      <xdr:nvSpPr>
        <xdr:cNvPr id="8" name="Retângulo 7">
          <a:hlinkClick xmlns:r="http://schemas.openxmlformats.org/officeDocument/2006/relationships" r:id="rId3"/>
        </xdr:cNvPr>
        <xdr:cNvSpPr/>
      </xdr:nvSpPr>
      <xdr:spPr>
        <a:xfrm>
          <a:off x="12700" y="165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1. Premissas Gerais</a:t>
          </a:r>
        </a:p>
      </xdr:txBody>
    </xdr:sp>
    <xdr:clientData/>
  </xdr:twoCellAnchor>
  <xdr:twoCellAnchor editAs="absolute">
    <xdr:from>
      <xdr:col>0</xdr:col>
      <xdr:colOff>5080</xdr:colOff>
      <xdr:row>5</xdr:row>
      <xdr:rowOff>264795</xdr:rowOff>
    </xdr:from>
    <xdr:to>
      <xdr:col>1</xdr:col>
      <xdr:colOff>17852</xdr:colOff>
      <xdr:row>6</xdr:row>
      <xdr:rowOff>117998</xdr:rowOff>
    </xdr:to>
    <xdr:sp macro="" textlink="">
      <xdr:nvSpPr>
        <xdr:cNvPr id="9" name="Retângulo 8">
          <a:hlinkClick xmlns:r="http://schemas.openxmlformats.org/officeDocument/2006/relationships" r:id="rId4"/>
        </xdr:cNvPr>
        <xdr:cNvSpPr/>
      </xdr:nvSpPr>
      <xdr:spPr>
        <a:xfrm>
          <a:off x="12700" y="196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2. Lançamentos Mensais</a:t>
          </a:r>
        </a:p>
      </xdr:txBody>
    </xdr:sp>
    <xdr:clientData/>
  </xdr:twoCellAnchor>
  <xdr:twoCellAnchor editAs="absolute">
    <xdr:from>
      <xdr:col>0</xdr:col>
      <xdr:colOff>5080</xdr:colOff>
      <xdr:row>6</xdr:row>
      <xdr:rowOff>180975</xdr:rowOff>
    </xdr:from>
    <xdr:to>
      <xdr:col>1</xdr:col>
      <xdr:colOff>17852</xdr:colOff>
      <xdr:row>7</xdr:row>
      <xdr:rowOff>74757</xdr:rowOff>
    </xdr:to>
    <xdr:sp macro="" textlink="">
      <xdr:nvSpPr>
        <xdr:cNvPr id="10" name="Retângulo 9">
          <a:hlinkClick xmlns:r="http://schemas.openxmlformats.org/officeDocument/2006/relationships" r:id="rId5"/>
        </xdr:cNvPr>
        <xdr:cNvSpPr/>
      </xdr:nvSpPr>
      <xdr:spPr>
        <a:xfrm>
          <a:off x="12700" y="228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3. Resultados Consolidados</a:t>
          </a:r>
        </a:p>
      </xdr:txBody>
    </xdr:sp>
    <xdr:clientData/>
  </xdr:twoCellAnchor>
  <xdr:twoCellAnchor editAs="absolute">
    <xdr:from>
      <xdr:col>0</xdr:col>
      <xdr:colOff>5080</xdr:colOff>
      <xdr:row>7</xdr:row>
      <xdr:rowOff>117475</xdr:rowOff>
    </xdr:from>
    <xdr:to>
      <xdr:col>1</xdr:col>
      <xdr:colOff>17852</xdr:colOff>
      <xdr:row>7</xdr:row>
      <xdr:rowOff>371475</xdr:rowOff>
    </xdr:to>
    <xdr:sp macro="" textlink="">
      <xdr:nvSpPr>
        <xdr:cNvPr id="11" name="Retângulo 10">
          <a:hlinkClick xmlns:r="http://schemas.openxmlformats.org/officeDocument/2006/relationships" r:id="rId6"/>
        </xdr:cNvPr>
        <xdr:cNvSpPr/>
      </xdr:nvSpPr>
      <xdr:spPr>
        <a:xfrm>
          <a:off x="12700" y="2603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4. Gráficos</a:t>
          </a:r>
        </a:p>
      </xdr:txBody>
    </xdr:sp>
    <xdr:clientData/>
  </xdr:twoCellAnchor>
  <xdr:twoCellAnchor editAs="absolute">
    <xdr:from>
      <xdr:col>0</xdr:col>
      <xdr:colOff>5080</xdr:colOff>
      <xdr:row>8</xdr:row>
      <xdr:rowOff>74295</xdr:rowOff>
    </xdr:from>
    <xdr:to>
      <xdr:col>1</xdr:col>
      <xdr:colOff>17852</xdr:colOff>
      <xdr:row>8</xdr:row>
      <xdr:rowOff>308498</xdr:rowOff>
    </xdr:to>
    <xdr:sp macro="" textlink="">
      <xdr:nvSpPr>
        <xdr:cNvPr id="12" name="Retângulo 11">
          <a:hlinkClick xmlns:r="http://schemas.openxmlformats.org/officeDocument/2006/relationships" r:id="rId7"/>
        </xdr:cNvPr>
        <xdr:cNvSpPr/>
      </xdr:nvSpPr>
      <xdr:spPr>
        <a:xfrm>
          <a:off x="12700" y="2921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5. Alertas e Dicas</a:t>
          </a:r>
        </a:p>
      </xdr:txBody>
    </xdr:sp>
    <xdr:clientData/>
  </xdr:twoCellAnchor>
  <xdr:twoCellAnchor editAs="absolute">
    <xdr:from>
      <xdr:col>0</xdr:col>
      <xdr:colOff>5080</xdr:colOff>
      <xdr:row>8</xdr:row>
      <xdr:rowOff>371475</xdr:rowOff>
    </xdr:from>
    <xdr:to>
      <xdr:col>1</xdr:col>
      <xdr:colOff>17852</xdr:colOff>
      <xdr:row>9</xdr:row>
      <xdr:rowOff>265257</xdr:rowOff>
    </xdr:to>
    <xdr:sp macro="" textlink="">
      <xdr:nvSpPr>
        <xdr:cNvPr id="13" name="Retângulo 12">
          <a:hlinkClick xmlns:r="http://schemas.openxmlformats.org/officeDocument/2006/relationships" r:id="rId8"/>
        </xdr:cNvPr>
        <xdr:cNvSpPr/>
      </xdr:nvSpPr>
      <xdr:spPr>
        <a:xfrm>
          <a:off x="12700" y="3238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6. Relatórios de Impressão</a:t>
          </a:r>
        </a:p>
      </xdr:txBody>
    </xdr:sp>
    <xdr:clientData/>
  </xdr:twoCellAnchor>
  <xdr:twoCellAnchor editAs="absolute">
    <xdr:from>
      <xdr:col>0</xdr:col>
      <xdr:colOff>5080</xdr:colOff>
      <xdr:row>9</xdr:row>
      <xdr:rowOff>307975</xdr:rowOff>
    </xdr:from>
    <xdr:to>
      <xdr:col>1</xdr:col>
      <xdr:colOff>17852</xdr:colOff>
      <xdr:row>10</xdr:row>
      <xdr:rowOff>180975</xdr:rowOff>
    </xdr:to>
    <xdr:sp macro="" textlink="">
      <xdr:nvSpPr>
        <xdr:cNvPr id="14" name="Retângulo 13">
          <a:hlinkClick xmlns:r="http://schemas.openxmlformats.org/officeDocument/2006/relationships" r:id="rId9"/>
        </xdr:cNvPr>
        <xdr:cNvSpPr/>
      </xdr:nvSpPr>
      <xdr:spPr>
        <a:xfrm>
          <a:off x="12700" y="3556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7. Imprimir Folha de Ponto</a:t>
          </a:r>
        </a:p>
      </xdr:txBody>
    </xdr:sp>
    <xdr:clientData/>
  </xdr:twoCellAnchor>
  <xdr:twoCellAnchor editAs="absolute">
    <xdr:from>
      <xdr:col>0</xdr:col>
      <xdr:colOff>5080</xdr:colOff>
      <xdr:row>11</xdr:row>
      <xdr:rowOff>74295</xdr:rowOff>
    </xdr:from>
    <xdr:to>
      <xdr:col>1</xdr:col>
      <xdr:colOff>17852</xdr:colOff>
      <xdr:row>11</xdr:row>
      <xdr:rowOff>308498</xdr:rowOff>
    </xdr:to>
    <xdr:sp macro="" textlink="">
      <xdr:nvSpPr>
        <xdr:cNvPr id="15" name="Retângulo 14">
          <a:hlinkClick xmlns:r="http://schemas.openxmlformats.org/officeDocument/2006/relationships" r:id="rId10"/>
        </xdr:cNvPr>
        <xdr:cNvSpPr/>
      </xdr:nvSpPr>
      <xdr:spPr>
        <a:xfrm>
          <a:off x="12700" y="40640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Dúvidas Frequentes</a:t>
          </a:r>
        </a:p>
      </xdr:txBody>
    </xdr:sp>
    <xdr:clientData/>
  </xdr:twoCellAnchor>
  <xdr:twoCellAnchor editAs="absolute">
    <xdr:from>
      <xdr:col>0</xdr:col>
      <xdr:colOff>5080</xdr:colOff>
      <xdr:row>11</xdr:row>
      <xdr:rowOff>371475</xdr:rowOff>
    </xdr:from>
    <xdr:to>
      <xdr:col>1</xdr:col>
      <xdr:colOff>17852</xdr:colOff>
      <xdr:row>12</xdr:row>
      <xdr:rowOff>265257</xdr:rowOff>
    </xdr:to>
    <xdr:sp macro="" textlink="">
      <xdr:nvSpPr>
        <xdr:cNvPr id="16" name="Retângulo 15">
          <a:hlinkClick xmlns:r="http://schemas.openxmlformats.org/officeDocument/2006/relationships" r:id="rId11"/>
        </xdr:cNvPr>
        <xdr:cNvSpPr/>
      </xdr:nvSpPr>
      <xdr:spPr>
        <a:xfrm>
          <a:off x="12700" y="4381500"/>
          <a:ext cx="1847850" cy="254000"/>
        </a:xfrm>
        <a:prstGeom prst="rect">
          <a:avLst/>
        </a:prstGeom>
        <a:noFill/>
        <a:ln w="25400" cap="flat" cmpd="sng" algn="ctr">
          <a:noFill/>
          <a:prstDash val="solid"/>
        </a:ln>
        <a:effectLst/>
        <a:extLst>
          <a:ext uri="{909E8E84-426E-40dd-AFC4-6F175D3DCCD1}"/>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chemeClr val="bg1">
                  <a:lumMod val="100000"/>
                </a:schemeClr>
              </a:solidFill>
              <a:latin typeface="+mn-lt"/>
              <a:ea typeface="+mn-ea"/>
              <a:cs typeface="+mn-cs"/>
            </a:rPr>
            <a:t>Sugestões para você</a:t>
          </a:r>
        </a:p>
      </xdr:txBody>
    </xdr:sp>
    <xdr:clientData/>
  </xdr:twoCellAnchor>
  <xdr:twoCellAnchor editAs="absolute">
    <xdr:from>
      <xdr:col>0</xdr:col>
      <xdr:colOff>5080</xdr:colOff>
      <xdr:row>12</xdr:row>
      <xdr:rowOff>307975</xdr:rowOff>
    </xdr:from>
    <xdr:to>
      <xdr:col>1</xdr:col>
      <xdr:colOff>17852</xdr:colOff>
      <xdr:row>13</xdr:row>
      <xdr:rowOff>180975</xdr:rowOff>
    </xdr:to>
    <xdr:sp macro="" textlink="">
      <xdr:nvSpPr>
        <xdr:cNvPr id="17" name="Retângulo 16">
          <a:hlinkClick xmlns:r="http://schemas.openxmlformats.org/officeDocument/2006/relationships" r:id="rId12"/>
        </xdr:cNvPr>
        <xdr:cNvSpPr/>
      </xdr:nvSpPr>
      <xdr:spPr>
        <a:xfrm>
          <a:off x="12700" y="4699000"/>
          <a:ext cx="1847850" cy="254000"/>
        </a:xfrm>
        <a:prstGeom prst="rect">
          <a:avLst/>
        </a:prstGeom>
        <a:solidFill>
          <a:schemeClr val="bg1">
            <a:lumMod val="100000"/>
          </a:schemeClr>
        </a:solidFill>
        <a:ln w="25400" cap="flat" cmpd="sng" algn="ctr">
          <a:noFill/>
          <a:prstDash val="solid"/>
        </a:ln>
        <a:effectLst/>
        <a:extLst>
          <a:ext uri="{91240B29-F687-4f45-9708-019B960494DF}"/>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0" indent="0" algn="l"/>
          <a:r>
            <a:rPr lang="pt-BR" sz="1100">
              <a:solidFill>
                <a:srgbClr val="000000"/>
              </a:solidFill>
            </a:rPr>
            <a:t>Sobre a LUZ</a:t>
          </a:r>
        </a:p>
      </xdr:txBody>
    </xdr:sp>
    <xdr:clientData/>
  </xdr:twoCellAnchor>
  <xdr:twoCellAnchor editAs="absolute">
    <xdr:from>
      <xdr:col>7</xdr:col>
      <xdr:colOff>317500</xdr:colOff>
      <xdr:row>8</xdr:row>
      <xdr:rowOff>139700</xdr:rowOff>
    </xdr:from>
    <xdr:to>
      <xdr:col>10</xdr:col>
      <xdr:colOff>177800</xdr:colOff>
      <xdr:row>9</xdr:row>
      <xdr:rowOff>330200</xdr:rowOff>
    </xdr:to>
    <xdr:pic>
      <xdr:nvPicPr>
        <xdr:cNvPr id="23169" name="Imagem 20">
          <a:hlinkClick xmlns:r="http://schemas.openxmlformats.org/officeDocument/2006/relationships" r:id="rId13"/>
        </xdr:cNvPr>
        <xdr:cNvPicPr>
          <a:picLocks/>
        </xdr:cNvPicPr>
      </xdr:nvPicPr>
      <xdr:blipFill>
        <a:blip xmlns:r="http://schemas.openxmlformats.org/officeDocument/2006/relationships" r:embed="rId14" cstate="print">
          <a:extLst>
            <a:ext uri="{28A0092B-C50C-407E-A947-70E740481C1C}">
              <a14:useLocalDpi xmlns:a14="http://schemas.microsoft.com/office/drawing/2010/main" val="0"/>
            </a:ext>
          </a:extLst>
        </a:blip>
        <a:srcRect/>
        <a:stretch>
          <a:fillRect/>
        </a:stretch>
      </xdr:blipFill>
      <xdr:spPr bwMode="auto">
        <a:xfrm>
          <a:off x="6083300" y="3009900"/>
          <a:ext cx="18796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absolute">
    <xdr:from>
      <xdr:col>7</xdr:col>
      <xdr:colOff>317500</xdr:colOff>
      <xdr:row>11</xdr:row>
      <xdr:rowOff>177800</xdr:rowOff>
    </xdr:from>
    <xdr:to>
      <xdr:col>10</xdr:col>
      <xdr:colOff>177800</xdr:colOff>
      <xdr:row>12</xdr:row>
      <xdr:rowOff>368300</xdr:rowOff>
    </xdr:to>
    <xdr:pic>
      <xdr:nvPicPr>
        <xdr:cNvPr id="23170" name="Imagem 22">
          <a:hlinkClick xmlns:r="http://schemas.openxmlformats.org/officeDocument/2006/relationships" r:id="rId15"/>
        </xdr:cNvPr>
        <xdr:cNvPicPr>
          <a:picLocks/>
        </xdr:cNvPicPr>
      </xdr:nvPicPr>
      <xdr:blipFill>
        <a:blip xmlns:r="http://schemas.openxmlformats.org/officeDocument/2006/relationships" r:embed="rId16" cstate="print">
          <a:extLst>
            <a:ext uri="{28A0092B-C50C-407E-A947-70E740481C1C}">
              <a14:useLocalDpi xmlns:a14="http://schemas.microsoft.com/office/drawing/2010/main" val="0"/>
            </a:ext>
          </a:extLst>
        </a:blip>
        <a:srcRect/>
        <a:stretch>
          <a:fillRect/>
        </a:stretch>
      </xdr:blipFill>
      <xdr:spPr bwMode="auto">
        <a:xfrm>
          <a:off x="6083300" y="4191000"/>
          <a:ext cx="18796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596900</xdr:colOff>
      <xdr:row>3</xdr:row>
      <xdr:rowOff>266700</xdr:rowOff>
    </xdr:from>
    <xdr:to>
      <xdr:col>19</xdr:col>
      <xdr:colOff>342900</xdr:colOff>
      <xdr:row>8</xdr:row>
      <xdr:rowOff>190500</xdr:rowOff>
    </xdr:to>
    <xdr:pic>
      <xdr:nvPicPr>
        <xdr:cNvPr id="23171" name="Imagem 28">
          <a:hlinkClick xmlns:r="http://schemas.openxmlformats.org/officeDocument/2006/relationships" r:id="rId17"/>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rcRect/>
        <a:stretch>
          <a:fillRect/>
        </a:stretch>
      </xdr:blipFill>
      <xdr:spPr bwMode="auto">
        <a:xfrm>
          <a:off x="8382000" y="1231900"/>
          <a:ext cx="5803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596900</xdr:colOff>
      <xdr:row>8</xdr:row>
      <xdr:rowOff>266700</xdr:rowOff>
    </xdr:from>
    <xdr:to>
      <xdr:col>19</xdr:col>
      <xdr:colOff>342900</xdr:colOff>
      <xdr:row>13</xdr:row>
      <xdr:rowOff>190500</xdr:rowOff>
    </xdr:to>
    <xdr:pic>
      <xdr:nvPicPr>
        <xdr:cNvPr id="23172" name="Imagem 29">
          <a:hlinkClick xmlns:r="http://schemas.openxmlformats.org/officeDocument/2006/relationships" r:id="rId19"/>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rcRect/>
        <a:stretch>
          <a:fillRect/>
        </a:stretch>
      </xdr:blipFill>
      <xdr:spPr bwMode="auto">
        <a:xfrm>
          <a:off x="8382000" y="3136900"/>
          <a:ext cx="5803900" cy="1828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165100</xdr:colOff>
      <xdr:row>8</xdr:row>
      <xdr:rowOff>139700</xdr:rowOff>
    </xdr:from>
    <xdr:to>
      <xdr:col>7</xdr:col>
      <xdr:colOff>292100</xdr:colOff>
      <xdr:row>12</xdr:row>
      <xdr:rowOff>368300</xdr:rowOff>
    </xdr:to>
    <xdr:pic>
      <xdr:nvPicPr>
        <xdr:cNvPr id="23173" name="Imagem 28"/>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rcRect/>
        <a:stretch>
          <a:fillRect/>
        </a:stretch>
      </xdr:blipFill>
      <xdr:spPr bwMode="auto">
        <a:xfrm>
          <a:off x="2273300" y="3009900"/>
          <a:ext cx="378460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7</xdr:col>
      <xdr:colOff>317500</xdr:colOff>
      <xdr:row>3</xdr:row>
      <xdr:rowOff>304800</xdr:rowOff>
    </xdr:from>
    <xdr:to>
      <xdr:col>10</xdr:col>
      <xdr:colOff>203200</xdr:colOff>
      <xdr:row>8</xdr:row>
      <xdr:rowOff>127000</xdr:rowOff>
    </xdr:to>
    <xdr:pic>
      <xdr:nvPicPr>
        <xdr:cNvPr id="23174" name="Imagem 31">
          <a:hlinkClick xmlns:r="http://schemas.openxmlformats.org/officeDocument/2006/relationships" r:id="rId22"/>
        </xdr:cNvPr>
        <xdr:cNvPicPr>
          <a:picLocks noChangeAspect="1"/>
        </xdr:cNvPicPr>
      </xdr:nvPicPr>
      <xdr:blipFill>
        <a:blip xmlns:r="http://schemas.openxmlformats.org/officeDocument/2006/relationships" r:embed="rId23" cstate="print">
          <a:extLst>
            <a:ext uri="{28A0092B-C50C-407E-A947-70E740481C1C}">
              <a14:useLocalDpi xmlns:a14="http://schemas.microsoft.com/office/drawing/2010/main" val="0"/>
            </a:ext>
          </a:extLst>
        </a:blip>
        <a:srcRect/>
        <a:stretch>
          <a:fillRect/>
        </a:stretch>
      </xdr:blipFill>
      <xdr:spPr bwMode="auto">
        <a:xfrm>
          <a:off x="6083300" y="1270000"/>
          <a:ext cx="190500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215900</xdr:colOff>
      <xdr:row>3</xdr:row>
      <xdr:rowOff>304800</xdr:rowOff>
    </xdr:from>
    <xdr:to>
      <xdr:col>4</xdr:col>
      <xdr:colOff>419100</xdr:colOff>
      <xdr:row>8</xdr:row>
      <xdr:rowOff>127000</xdr:rowOff>
    </xdr:to>
    <xdr:pic>
      <xdr:nvPicPr>
        <xdr:cNvPr id="23175" name="Imagem 32">
          <a:hlinkClick xmlns:r="http://schemas.openxmlformats.org/officeDocument/2006/relationships" r:id="rId24"/>
        </xdr:cNvPr>
        <xdr:cNvPicPr>
          <a:picLocks noChangeAspect="1"/>
        </xdr:cNvPicPr>
      </xdr:nvPicPr>
      <xdr:blipFill>
        <a:blip xmlns:r="http://schemas.openxmlformats.org/officeDocument/2006/relationships" r:embed="rId25" cstate="print">
          <a:extLst>
            <a:ext uri="{28A0092B-C50C-407E-A947-70E740481C1C}">
              <a14:useLocalDpi xmlns:a14="http://schemas.microsoft.com/office/drawing/2010/main" val="0"/>
            </a:ext>
          </a:extLst>
        </a:blip>
        <a:srcRect/>
        <a:stretch>
          <a:fillRect/>
        </a:stretch>
      </xdr:blipFill>
      <xdr:spPr bwMode="auto">
        <a:xfrm>
          <a:off x="2324100" y="1270000"/>
          <a:ext cx="184150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431800</xdr:colOff>
      <xdr:row>3</xdr:row>
      <xdr:rowOff>304800</xdr:rowOff>
    </xdr:from>
    <xdr:to>
      <xdr:col>7</xdr:col>
      <xdr:colOff>304800</xdr:colOff>
      <xdr:row>8</xdr:row>
      <xdr:rowOff>127000</xdr:rowOff>
    </xdr:to>
    <xdr:pic>
      <xdr:nvPicPr>
        <xdr:cNvPr id="23176" name="Imagem 33">
          <a:hlinkClick xmlns:r="http://schemas.openxmlformats.org/officeDocument/2006/relationships" r:id="rId26"/>
        </xdr:cNvPr>
        <xdr:cNvPicPr>
          <a:picLocks noChangeAspect="1"/>
        </xdr:cNvPicPr>
      </xdr:nvPicPr>
      <xdr:blipFill>
        <a:blip xmlns:r="http://schemas.openxmlformats.org/officeDocument/2006/relationships" r:embed="rId27" cstate="print">
          <a:extLst>
            <a:ext uri="{28A0092B-C50C-407E-A947-70E740481C1C}">
              <a14:useLocalDpi xmlns:a14="http://schemas.microsoft.com/office/drawing/2010/main" val="0"/>
            </a:ext>
          </a:extLst>
        </a:blip>
        <a:srcRect/>
        <a:stretch>
          <a:fillRect/>
        </a:stretch>
      </xdr:blipFill>
      <xdr:spPr bwMode="auto">
        <a:xfrm>
          <a:off x="4178300" y="1270000"/>
          <a:ext cx="1892300" cy="172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2" Type="http://schemas.openxmlformats.org/officeDocument/2006/relationships/vmlDrawing" Target="../drawings/vmlDrawing2.vml"/><Relationship Id="rId3"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2" Type="http://schemas.openxmlformats.org/officeDocument/2006/relationships/vmlDrawing" Target="../drawings/vmlDrawing3.vml"/><Relationship Id="rId3" Type="http://schemas.openxmlformats.org/officeDocument/2006/relationships/comments" Target="../comments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3" Type="http://schemas.openxmlformats.org/officeDocument/2006/relationships/hyperlink" Target="http://luz.vc/ferramentas/integracoes/planilha-de-fluxo-de-caixa-com-controle-de-estoque/?utm_source=referral&amp;utm_medium=produtos&amp;utm_campaign=hoex3" TargetMode="External"/><Relationship Id="rId4" Type="http://schemas.openxmlformats.org/officeDocument/2006/relationships/hyperlink" Target="http://luz.vc/ferramentas/integracoes/planilha-de-fluxo-de-caixa-com-controle-de-estoque/?utm_source=referral&amp;utm_medium=produtos&amp;utm_campaign=hoex3" TargetMode="External"/><Relationship Id="rId5" Type="http://schemas.openxmlformats.org/officeDocument/2006/relationships/hyperlink" Target="http://luz.vc/ferramentas/planilhas-prontas/planilha-de-analise-swot/?utm_source=referral&amp;utm_medium=produtos&amp;utm_campaign=hoex3" TargetMode="External"/><Relationship Id="rId6" Type="http://schemas.openxmlformats.org/officeDocument/2006/relationships/hyperlink" Target="http://luz.vc/ferramentas/planilhas-prontas/planilha-de-analise-swot/?utm_source=referral&amp;utm_medium=produtos&amp;utm_campaign=hoex3" TargetMode="External"/><Relationship Id="rId7" Type="http://schemas.openxmlformats.org/officeDocument/2006/relationships/hyperlink" Target="http://luz.vc/ferramentas/planilhas-prontas/planilha-avaliacao-desempenho-competencia/?utm_source=referral&amp;utm_medium=produtos&amp;utm_campaign=hoex3" TargetMode="External"/><Relationship Id="rId8" Type="http://schemas.openxmlformats.org/officeDocument/2006/relationships/hyperlink" Target="http://luz.vc/ferramentas/planilhas-prontas/planilha-avaliacao-desempenho-competencia/?utm_source=referral&amp;utm_medium=produtos&amp;utm_campaign=hoex3" TargetMode="External"/><Relationship Id="rId9" Type="http://schemas.openxmlformats.org/officeDocument/2006/relationships/hyperlink" Target="http://luz.vc/ferramentas/planilhas-prontas/planilha-de-controle-de-estoque/?utm_source=referral&amp;utm_medium=produtos&amp;utm_campaign=hoex3" TargetMode="External"/><Relationship Id="rId10" Type="http://schemas.openxmlformats.org/officeDocument/2006/relationships/hyperlink" Target="http://luz.vc/ferramentas/planilhas-prontas/planilha-de-controle-de-estoque/?utm_source=referral&amp;utm_medium=produtos&amp;utm_campaign=hoex3" TargetMode="External"/><Relationship Id="rId11" Type="http://schemas.openxmlformats.org/officeDocument/2006/relationships/drawing" Target="../drawings/drawing21.xml"/><Relationship Id="rId1" Type="http://schemas.openxmlformats.org/officeDocument/2006/relationships/hyperlink" Target="http://luz.vc/ferramentas/planilhas-prontas/planilha-de-fluxo-de-caixa/?utm_source=referral&amp;utm_medium=produtos&amp;utm_campaign=hoex3" TargetMode="External"/><Relationship Id="rId2" Type="http://schemas.openxmlformats.org/officeDocument/2006/relationships/hyperlink" Target="http://luz.vc/ferramentas/planilhas-prontas/planilha-de-fluxo-de-caixa/?utm_source=referral&amp;utm_medium=produtos&amp;utm_campaign=hoex3" TargetMode="Externa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 enableFormatConditionsCalculation="0"/>
  <dimension ref="A1:IV100"/>
  <sheetViews>
    <sheetView showGridLines="0" tabSelected="1" zoomScale="90" zoomScaleNormal="90" zoomScalePageLayoutView="90" workbookViewId="0">
      <selection activeCell="C6" sqref="C6:D6"/>
    </sheetView>
  </sheetViews>
  <sheetFormatPr baseColWidth="10" defaultColWidth="8.796875" defaultRowHeight="15" zeroHeight="1" x14ac:dyDescent="0.2"/>
  <cols>
    <col min="1" max="1" width="27.59765625" style="1" customWidth="1"/>
    <col min="2" max="2" width="3.796875" customWidth="1"/>
  </cols>
  <sheetData>
    <row r="1" spans="1:256" s="3" customFormat="1" ht="34" customHeight="1" x14ac:dyDescent="0.2">
      <c r="A1" s="130" t="s">
        <v>192</v>
      </c>
      <c r="B1" s="14"/>
      <c r="C1" s="157" t="s">
        <v>170</v>
      </c>
      <c r="D1" s="157"/>
      <c r="E1" s="157"/>
      <c r="F1" s="157"/>
      <c r="G1" s="157"/>
      <c r="H1" s="157"/>
      <c r="I1" s="157"/>
      <c r="J1" s="157"/>
      <c r="K1" s="157"/>
      <c r="L1" s="157"/>
      <c r="M1" s="157"/>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c r="CM1" s="14"/>
      <c r="CN1" s="14"/>
      <c r="CO1" s="14"/>
      <c r="CP1" s="14"/>
      <c r="CQ1" s="14"/>
      <c r="CR1" s="14"/>
      <c r="CS1" s="14"/>
      <c r="CT1" s="14"/>
      <c r="CU1" s="14"/>
      <c r="CV1" s="14"/>
      <c r="CW1" s="14"/>
      <c r="CX1" s="14"/>
      <c r="CY1" s="14"/>
      <c r="CZ1" s="14"/>
      <c r="DA1" s="14"/>
      <c r="DB1" s="14"/>
      <c r="DC1" s="14"/>
      <c r="DD1" s="14"/>
      <c r="DE1" s="14"/>
      <c r="DF1" s="14"/>
      <c r="DG1" s="14"/>
      <c r="DH1" s="14"/>
      <c r="DI1" s="14"/>
      <c r="DJ1" s="14"/>
      <c r="DK1" s="14"/>
      <c r="DL1" s="14"/>
      <c r="DM1" s="14"/>
      <c r="DN1" s="14"/>
      <c r="DO1" s="14"/>
      <c r="DP1" s="14"/>
      <c r="DQ1" s="14"/>
      <c r="DR1" s="14"/>
      <c r="DS1" s="14"/>
      <c r="DT1" s="14"/>
      <c r="DU1" s="14"/>
      <c r="DV1" s="14"/>
      <c r="DW1" s="14"/>
      <c r="DX1" s="14"/>
      <c r="DY1" s="14"/>
      <c r="DZ1" s="14"/>
      <c r="EA1" s="14"/>
      <c r="EB1" s="14"/>
      <c r="EC1" s="14"/>
      <c r="ED1" s="14"/>
      <c r="EE1" s="14"/>
      <c r="EF1" s="14"/>
      <c r="EG1" s="14"/>
      <c r="EH1" s="14"/>
      <c r="EI1" s="14"/>
      <c r="EJ1" s="14"/>
      <c r="EK1" s="14"/>
      <c r="EL1" s="14"/>
      <c r="EM1" s="14"/>
      <c r="EN1" s="14"/>
      <c r="EO1" s="14"/>
      <c r="EP1" s="14"/>
      <c r="EQ1" s="14"/>
      <c r="ER1" s="14"/>
      <c r="ES1" s="14"/>
      <c r="ET1" s="14"/>
      <c r="EU1" s="14"/>
      <c r="EV1" s="14"/>
      <c r="EW1" s="14"/>
      <c r="EX1" s="14"/>
      <c r="EY1" s="14"/>
      <c r="EZ1" s="14"/>
      <c r="FA1" s="14"/>
      <c r="FB1" s="14"/>
      <c r="FC1" s="14"/>
      <c r="FD1" s="14"/>
      <c r="FE1" s="14"/>
      <c r="FF1" s="14"/>
      <c r="FG1" s="14"/>
      <c r="FH1" s="14"/>
      <c r="FI1" s="14"/>
      <c r="FJ1" s="14"/>
      <c r="FK1" s="14"/>
      <c r="FL1" s="14"/>
      <c r="FM1" s="14"/>
      <c r="FN1" s="14"/>
      <c r="FO1" s="14"/>
      <c r="FP1" s="14"/>
      <c r="FQ1" s="14"/>
      <c r="FR1" s="14"/>
      <c r="FS1" s="14"/>
      <c r="FT1" s="14"/>
      <c r="FU1" s="14"/>
      <c r="FV1" s="14"/>
      <c r="FW1" s="14"/>
      <c r="FX1" s="14"/>
      <c r="FY1" s="14"/>
      <c r="FZ1" s="14"/>
      <c r="GA1" s="14"/>
      <c r="GB1" s="14"/>
      <c r="GC1" s="14"/>
      <c r="GD1" s="14"/>
      <c r="GE1" s="14"/>
      <c r="GF1" s="14"/>
      <c r="GG1" s="14"/>
      <c r="GH1" s="14"/>
      <c r="GI1" s="14"/>
      <c r="GJ1" s="14"/>
      <c r="GK1" s="14"/>
      <c r="GL1" s="14"/>
      <c r="GM1" s="14"/>
      <c r="GN1" s="14"/>
      <c r="GO1" s="14"/>
      <c r="GP1" s="14"/>
      <c r="GQ1" s="14"/>
      <c r="GR1" s="14"/>
      <c r="GS1" s="14"/>
      <c r="GT1" s="14"/>
      <c r="GU1" s="14"/>
      <c r="GV1" s="14"/>
      <c r="GW1" s="14"/>
      <c r="GX1" s="14"/>
      <c r="GY1" s="14"/>
      <c r="GZ1" s="14"/>
      <c r="HA1" s="14"/>
      <c r="HB1" s="14"/>
      <c r="HC1" s="14"/>
      <c r="HD1" s="14"/>
      <c r="HE1" s="14"/>
      <c r="HF1" s="14"/>
      <c r="HG1" s="14"/>
      <c r="HH1" s="14"/>
      <c r="HI1" s="14"/>
      <c r="HJ1" s="14"/>
      <c r="HK1" s="14"/>
      <c r="HL1" s="14"/>
      <c r="HM1" s="14"/>
      <c r="HN1" s="14"/>
      <c r="HO1" s="14"/>
      <c r="HP1" s="14"/>
      <c r="HQ1" s="14"/>
      <c r="HR1" s="14"/>
      <c r="HS1" s="14"/>
      <c r="HT1" s="14"/>
      <c r="HU1" s="14"/>
      <c r="HV1" s="14"/>
      <c r="HW1" s="14"/>
      <c r="HX1" s="14"/>
      <c r="HY1" s="14"/>
      <c r="HZ1" s="14"/>
      <c r="IA1" s="14"/>
      <c r="IB1" s="14"/>
      <c r="IC1" s="14"/>
      <c r="ID1" s="14"/>
      <c r="IE1" s="14"/>
      <c r="IF1" s="14"/>
      <c r="IG1" s="14"/>
      <c r="IH1" s="14"/>
      <c r="II1" s="14"/>
      <c r="IJ1" s="14"/>
      <c r="IK1" s="14"/>
      <c r="IL1" s="14"/>
      <c r="IM1" s="14"/>
      <c r="IN1" s="14"/>
      <c r="IO1" s="14"/>
      <c r="IP1" s="14"/>
      <c r="IQ1" s="14"/>
      <c r="IR1" s="14"/>
      <c r="IS1" s="14"/>
      <c r="IT1" s="14"/>
      <c r="IU1" s="14"/>
      <c r="IV1" s="14"/>
    </row>
    <row r="2" spans="1:256" s="3" customFormat="1" ht="53.25" customHeight="1" x14ac:dyDescent="0.7">
      <c r="A2" s="1"/>
      <c r="B2" s="14"/>
      <c r="C2" s="48" t="s">
        <v>208</v>
      </c>
      <c r="D2" s="14"/>
      <c r="E2" s="14"/>
      <c r="F2" s="14"/>
      <c r="G2" s="14"/>
      <c r="H2" s="14"/>
      <c r="I2" s="14"/>
      <c r="J2" s="14"/>
      <c r="K2" s="14"/>
      <c r="L2" s="14"/>
      <c r="M2" s="14"/>
      <c r="N2" s="14"/>
      <c r="O2" s="14"/>
      <c r="P2" s="14"/>
      <c r="Q2" s="14"/>
      <c r="R2" s="14"/>
      <c r="S2" s="14"/>
      <c r="T2" s="14"/>
      <c r="U2" s="14"/>
      <c r="V2" s="14"/>
      <c r="W2" s="14"/>
      <c r="X2" s="14"/>
      <c r="Y2" s="14"/>
      <c r="Z2" s="14"/>
      <c r="AA2" s="14"/>
      <c r="AB2" s="14"/>
      <c r="AC2" s="14"/>
      <c r="AD2" s="14"/>
      <c r="AE2" s="14"/>
      <c r="AF2" s="14"/>
      <c r="AG2" s="14"/>
      <c r="AH2" s="14"/>
      <c r="AI2" s="14"/>
      <c r="AJ2" s="14"/>
      <c r="AK2" s="14"/>
      <c r="AL2" s="14"/>
      <c r="AM2" s="14"/>
      <c r="AN2" s="14"/>
      <c r="AO2" s="14"/>
      <c r="AP2" s="14"/>
      <c r="AQ2" s="14"/>
      <c r="AR2" s="14"/>
      <c r="AS2" s="14"/>
      <c r="AT2" s="14"/>
      <c r="AU2" s="14"/>
      <c r="AV2" s="14"/>
      <c r="AW2" s="14"/>
      <c r="AX2" s="14"/>
      <c r="AY2" s="14"/>
      <c r="AZ2" s="14"/>
      <c r="BA2" s="14"/>
      <c r="BB2" s="14"/>
      <c r="BC2" s="14"/>
      <c r="BD2" s="14"/>
      <c r="BE2" s="14"/>
      <c r="BF2" s="14"/>
      <c r="BG2" s="14"/>
      <c r="BH2" s="14"/>
      <c r="BI2" s="14"/>
      <c r="BJ2" s="14"/>
      <c r="BK2" s="14"/>
      <c r="BL2" s="14"/>
      <c r="BM2" s="14"/>
      <c r="BN2" s="14"/>
      <c r="BO2" s="14"/>
      <c r="BP2" s="14"/>
      <c r="BQ2" s="14"/>
      <c r="BR2" s="14"/>
      <c r="BS2" s="14"/>
      <c r="BT2" s="14"/>
      <c r="BU2" s="14"/>
      <c r="BV2" s="14"/>
      <c r="BW2" s="14"/>
      <c r="BX2" s="14"/>
      <c r="BY2" s="14"/>
      <c r="BZ2" s="14"/>
      <c r="CA2" s="14"/>
      <c r="CB2" s="14"/>
      <c r="CC2" s="14"/>
      <c r="CD2" s="14"/>
      <c r="CE2" s="14"/>
      <c r="CF2" s="14"/>
      <c r="CG2" s="14"/>
      <c r="CH2" s="14"/>
      <c r="CI2" s="14"/>
      <c r="CJ2" s="14"/>
      <c r="CK2" s="14"/>
      <c r="CL2" s="14"/>
      <c r="CM2" s="14"/>
      <c r="CN2" s="14"/>
      <c r="CO2" s="14"/>
      <c r="CP2" s="14"/>
      <c r="CQ2" s="14"/>
      <c r="CR2" s="14"/>
      <c r="CS2" s="14"/>
      <c r="CT2" s="14"/>
      <c r="CU2" s="14"/>
      <c r="CV2" s="14"/>
      <c r="CW2" s="14"/>
      <c r="CX2" s="14"/>
      <c r="CY2" s="14"/>
      <c r="CZ2" s="14"/>
      <c r="DA2" s="14"/>
      <c r="DB2" s="14"/>
      <c r="DC2" s="14"/>
      <c r="DD2" s="14"/>
      <c r="DE2" s="14"/>
      <c r="DF2" s="14"/>
      <c r="DG2" s="14"/>
      <c r="DH2" s="14"/>
      <c r="DI2" s="14"/>
      <c r="DJ2" s="14"/>
      <c r="DK2" s="14"/>
      <c r="DL2" s="14"/>
      <c r="DM2" s="14"/>
      <c r="DN2" s="14"/>
      <c r="DO2" s="14"/>
      <c r="DP2" s="14"/>
      <c r="DQ2" s="14"/>
      <c r="DR2" s="14"/>
      <c r="DS2" s="14"/>
      <c r="DT2" s="14"/>
      <c r="DU2" s="14"/>
      <c r="DV2" s="14"/>
      <c r="DW2" s="14"/>
      <c r="DX2" s="14"/>
      <c r="DY2" s="14"/>
      <c r="DZ2" s="14"/>
      <c r="EA2" s="14"/>
      <c r="EB2" s="14"/>
      <c r="EC2" s="14"/>
      <c r="ED2" s="14"/>
      <c r="EE2" s="14"/>
      <c r="EF2" s="14"/>
      <c r="EG2" s="14"/>
      <c r="EH2" s="14"/>
      <c r="EI2" s="14"/>
      <c r="EJ2" s="14"/>
      <c r="EK2" s="14"/>
      <c r="EL2" s="14"/>
      <c r="EM2" s="14"/>
      <c r="EN2" s="14"/>
      <c r="EO2" s="14"/>
      <c r="EP2" s="14"/>
      <c r="EQ2" s="14"/>
      <c r="ER2" s="14"/>
      <c r="ES2" s="14"/>
      <c r="ET2" s="14"/>
      <c r="EU2" s="14"/>
      <c r="EV2" s="14"/>
      <c r="EW2" s="14"/>
      <c r="EX2" s="14"/>
      <c r="EY2" s="14"/>
      <c r="EZ2" s="14"/>
      <c r="FA2" s="14"/>
      <c r="FB2" s="14"/>
      <c r="FC2" s="14"/>
      <c r="FD2" s="14"/>
      <c r="FE2" s="14"/>
      <c r="FF2" s="14"/>
      <c r="FG2" s="14"/>
      <c r="FH2" s="14"/>
      <c r="FI2" s="14"/>
      <c r="FJ2" s="14"/>
      <c r="FK2" s="14"/>
      <c r="FL2" s="14"/>
      <c r="FM2" s="14"/>
      <c r="FN2" s="14"/>
      <c r="FO2" s="14"/>
      <c r="FP2" s="14"/>
      <c r="FQ2" s="14"/>
      <c r="FR2" s="14"/>
      <c r="FS2" s="14"/>
      <c r="FT2" s="14"/>
      <c r="FU2" s="14"/>
      <c r="FV2" s="14"/>
      <c r="FW2" s="14"/>
      <c r="FX2" s="14"/>
      <c r="FY2" s="14"/>
      <c r="FZ2" s="14"/>
      <c r="GA2" s="14"/>
      <c r="GB2" s="14"/>
      <c r="GC2" s="14"/>
      <c r="GD2" s="14"/>
      <c r="GE2" s="14"/>
      <c r="GF2" s="14"/>
      <c r="GG2" s="14"/>
      <c r="GH2" s="14"/>
      <c r="GI2" s="14"/>
      <c r="GJ2" s="14"/>
      <c r="GK2" s="14"/>
      <c r="GL2" s="14"/>
      <c r="GM2" s="14"/>
      <c r="GN2" s="14"/>
      <c r="GO2" s="14"/>
      <c r="GP2" s="14"/>
      <c r="GQ2" s="14"/>
      <c r="GR2" s="14"/>
      <c r="GS2" s="14"/>
      <c r="GT2" s="14"/>
      <c r="GU2" s="14"/>
      <c r="GV2" s="14"/>
      <c r="GW2" s="14"/>
      <c r="GX2" s="14"/>
      <c r="GY2" s="14"/>
      <c r="GZ2" s="14"/>
      <c r="HA2" s="14"/>
      <c r="HB2" s="14"/>
      <c r="HC2" s="14"/>
      <c r="HD2" s="14"/>
      <c r="HE2" s="14"/>
      <c r="HF2" s="14"/>
      <c r="HG2" s="14"/>
      <c r="HH2" s="14"/>
      <c r="HI2" s="14"/>
      <c r="HJ2" s="14"/>
      <c r="HK2" s="14"/>
      <c r="HL2" s="14"/>
      <c r="HM2" s="14"/>
      <c r="HN2" s="14"/>
      <c r="HO2" s="14"/>
      <c r="HP2" s="14"/>
      <c r="HQ2" s="14"/>
      <c r="HR2" s="14"/>
      <c r="HS2" s="14"/>
      <c r="HT2" s="14"/>
      <c r="HU2" s="14"/>
      <c r="HV2" s="14"/>
      <c r="HW2" s="14"/>
      <c r="HX2" s="14"/>
      <c r="HY2" s="14"/>
      <c r="HZ2" s="14"/>
      <c r="IA2" s="14"/>
      <c r="IB2" s="14"/>
      <c r="IC2" s="14"/>
      <c r="ID2" s="14"/>
      <c r="IE2" s="14"/>
      <c r="IF2" s="14"/>
      <c r="IG2" s="14"/>
      <c r="IH2" s="14"/>
      <c r="II2" s="14"/>
      <c r="IJ2" s="14"/>
      <c r="IK2" s="14"/>
      <c r="IL2" s="14"/>
      <c r="IM2" s="14"/>
      <c r="IN2" s="14"/>
      <c r="IO2" s="14"/>
      <c r="IP2" s="14"/>
      <c r="IQ2" s="14"/>
      <c r="IR2" s="14"/>
      <c r="IS2" s="14"/>
      <c r="IT2" s="14"/>
      <c r="IU2" s="14"/>
      <c r="IV2" s="14"/>
    </row>
    <row r="3" spans="1:256" s="3" customFormat="1" ht="44.25" customHeight="1" x14ac:dyDescent="0.2">
      <c r="A3" s="1"/>
      <c r="B3" s="14"/>
      <c r="C3" s="158" t="s">
        <v>171</v>
      </c>
      <c r="D3" s="158"/>
      <c r="E3" s="158"/>
      <c r="F3" s="158"/>
      <c r="G3" s="158"/>
      <c r="H3" s="158"/>
      <c r="I3" s="158"/>
      <c r="J3" s="158"/>
      <c r="K3" s="158"/>
      <c r="L3" s="158"/>
      <c r="M3" s="158"/>
      <c r="N3" s="14"/>
      <c r="O3" s="14"/>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c r="BS3" s="14"/>
      <c r="BT3" s="14"/>
      <c r="BU3" s="14"/>
      <c r="BV3" s="14"/>
      <c r="BW3" s="14"/>
      <c r="BX3" s="14"/>
      <c r="BY3" s="14"/>
      <c r="BZ3" s="14"/>
      <c r="CA3" s="14"/>
      <c r="CB3" s="14"/>
      <c r="CC3" s="14"/>
      <c r="CD3" s="14"/>
      <c r="CE3" s="14"/>
      <c r="CF3" s="14"/>
      <c r="CG3" s="14"/>
      <c r="CH3" s="14"/>
      <c r="CI3" s="14"/>
      <c r="CJ3" s="14"/>
      <c r="CK3" s="14"/>
      <c r="CL3" s="14"/>
      <c r="CM3" s="14"/>
      <c r="CN3" s="14"/>
      <c r="CO3" s="14"/>
      <c r="CP3" s="14"/>
      <c r="CQ3" s="14"/>
      <c r="CR3" s="14"/>
      <c r="CS3" s="14"/>
      <c r="CT3" s="14"/>
      <c r="CU3" s="14"/>
      <c r="CV3" s="14"/>
      <c r="CW3" s="14"/>
      <c r="CX3" s="14"/>
      <c r="CY3" s="14"/>
      <c r="CZ3" s="14"/>
      <c r="DA3" s="14"/>
      <c r="DB3" s="14"/>
      <c r="DC3" s="14"/>
      <c r="DD3" s="14"/>
      <c r="DE3" s="14"/>
      <c r="DF3" s="14"/>
      <c r="DG3" s="14"/>
      <c r="DH3" s="14"/>
      <c r="DI3" s="14"/>
      <c r="DJ3" s="14"/>
      <c r="DK3" s="14"/>
      <c r="DL3" s="14"/>
      <c r="DM3" s="14"/>
      <c r="DN3" s="14"/>
      <c r="DO3" s="14"/>
      <c r="DP3" s="14"/>
      <c r="DQ3" s="14"/>
      <c r="DR3" s="14"/>
      <c r="DS3" s="14"/>
      <c r="DT3" s="14"/>
      <c r="DU3" s="14"/>
      <c r="DV3" s="14"/>
      <c r="DW3" s="14"/>
      <c r="DX3" s="14"/>
      <c r="DY3" s="14"/>
      <c r="DZ3" s="14"/>
      <c r="EA3" s="14"/>
      <c r="EB3" s="14"/>
      <c r="EC3" s="14"/>
      <c r="ED3" s="14"/>
      <c r="EE3" s="14"/>
      <c r="EF3" s="14"/>
      <c r="EG3" s="14"/>
      <c r="EH3" s="14"/>
      <c r="EI3" s="14"/>
      <c r="EJ3" s="14"/>
      <c r="EK3" s="14"/>
      <c r="EL3" s="14"/>
      <c r="EM3" s="14"/>
      <c r="EN3" s="14"/>
      <c r="EO3" s="14"/>
      <c r="EP3" s="14"/>
      <c r="EQ3" s="14"/>
      <c r="ER3" s="14"/>
      <c r="ES3" s="14"/>
      <c r="ET3" s="14"/>
      <c r="EU3" s="14"/>
      <c r="EV3" s="14"/>
      <c r="EW3" s="14"/>
      <c r="EX3" s="14"/>
      <c r="EY3" s="14"/>
      <c r="EZ3" s="14"/>
      <c r="FA3" s="14"/>
      <c r="FB3" s="14"/>
      <c r="FC3" s="14"/>
      <c r="FD3" s="14"/>
      <c r="FE3" s="14"/>
      <c r="FF3" s="14"/>
      <c r="FG3" s="14"/>
      <c r="FH3" s="14"/>
      <c r="FI3" s="14"/>
      <c r="FJ3" s="14"/>
      <c r="FK3" s="14"/>
      <c r="FL3" s="14"/>
      <c r="FM3" s="14"/>
      <c r="FN3" s="14"/>
      <c r="FO3" s="14"/>
      <c r="FP3" s="14"/>
      <c r="FQ3" s="14"/>
      <c r="FR3" s="14"/>
      <c r="FS3" s="14"/>
      <c r="FT3" s="14"/>
      <c r="FU3" s="14"/>
      <c r="FV3" s="14"/>
      <c r="FW3" s="14"/>
      <c r="FX3" s="14"/>
      <c r="FY3" s="14"/>
      <c r="FZ3" s="14"/>
      <c r="GA3" s="14"/>
      <c r="GB3" s="14"/>
      <c r="GC3" s="14"/>
      <c r="GD3" s="14"/>
      <c r="GE3" s="14"/>
      <c r="GF3" s="14"/>
      <c r="GG3" s="14"/>
      <c r="GH3" s="14"/>
      <c r="GI3" s="14"/>
      <c r="GJ3" s="14"/>
      <c r="GK3" s="14"/>
      <c r="GL3" s="14"/>
      <c r="GM3" s="14"/>
      <c r="GN3" s="14"/>
      <c r="GO3" s="14"/>
      <c r="GP3" s="14"/>
      <c r="GQ3" s="14"/>
      <c r="GR3" s="14"/>
      <c r="GS3" s="14"/>
      <c r="GT3" s="14"/>
      <c r="GU3" s="14"/>
      <c r="GV3" s="14"/>
      <c r="GW3" s="14"/>
      <c r="GX3" s="14"/>
      <c r="GY3" s="14"/>
      <c r="GZ3" s="14"/>
      <c r="HA3" s="14"/>
      <c r="HB3" s="14"/>
      <c r="HC3" s="14"/>
      <c r="HD3" s="14"/>
      <c r="HE3" s="14"/>
      <c r="HF3" s="14"/>
      <c r="HG3" s="14"/>
      <c r="HH3" s="14"/>
      <c r="HI3" s="14"/>
      <c r="HJ3" s="14"/>
      <c r="HK3" s="14"/>
      <c r="HL3" s="14"/>
      <c r="HM3" s="14"/>
      <c r="HN3" s="14"/>
      <c r="HO3" s="14"/>
      <c r="HP3" s="14"/>
      <c r="HQ3" s="14"/>
      <c r="HR3" s="14"/>
      <c r="HS3" s="14"/>
      <c r="HT3" s="14"/>
      <c r="HU3" s="14"/>
      <c r="HV3" s="14"/>
      <c r="HW3" s="14"/>
      <c r="HX3" s="14"/>
      <c r="HY3" s="14"/>
      <c r="HZ3" s="14"/>
      <c r="IA3" s="14"/>
      <c r="IB3" s="14"/>
      <c r="IC3" s="14"/>
      <c r="ID3" s="14"/>
      <c r="IE3" s="14"/>
      <c r="IF3" s="14"/>
      <c r="IG3" s="14"/>
      <c r="IH3" s="14"/>
      <c r="II3" s="14"/>
      <c r="IJ3" s="14"/>
      <c r="IK3" s="14"/>
      <c r="IL3" s="14"/>
      <c r="IM3" s="14"/>
      <c r="IN3" s="14"/>
      <c r="IO3" s="14"/>
      <c r="IP3" s="14"/>
      <c r="IQ3" s="14"/>
      <c r="IR3" s="14"/>
      <c r="IS3" s="14"/>
      <c r="IT3" s="14"/>
      <c r="IU3" s="14"/>
      <c r="IV3" s="14"/>
    </row>
    <row r="4" spans="1:256" ht="30" customHeight="1" x14ac:dyDescent="0.2">
      <c r="B4" s="159" t="s">
        <v>160</v>
      </c>
      <c r="C4" s="159"/>
      <c r="D4" s="159"/>
      <c r="E4" s="159"/>
      <c r="F4" s="159"/>
      <c r="G4" s="159"/>
      <c r="H4" s="159"/>
      <c r="I4" s="159"/>
      <c r="J4" s="159"/>
      <c r="K4" s="159"/>
      <c r="L4" s="159"/>
      <c r="M4" s="159"/>
    </row>
    <row r="5" spans="1:256" ht="30" customHeight="1" x14ac:dyDescent="0.25">
      <c r="E5" s="120"/>
    </row>
    <row r="6" spans="1:256" ht="30" customHeight="1" x14ac:dyDescent="0.2">
      <c r="C6" s="155" t="s">
        <v>161</v>
      </c>
      <c r="D6" s="155"/>
      <c r="E6" s="156" t="s">
        <v>162</v>
      </c>
      <c r="F6" s="156"/>
      <c r="G6" s="156"/>
      <c r="H6" s="156"/>
      <c r="I6" s="160"/>
      <c r="J6" s="160"/>
      <c r="K6" s="160"/>
      <c r="L6" s="49"/>
    </row>
    <row r="7" spans="1:256" ht="30" customHeight="1" x14ac:dyDescent="0.2">
      <c r="C7" s="154" t="s">
        <v>172</v>
      </c>
      <c r="D7" s="154"/>
      <c r="E7" s="154"/>
      <c r="F7" s="154"/>
      <c r="G7" s="154"/>
      <c r="H7" s="154"/>
      <c r="I7" s="154"/>
      <c r="J7" s="154"/>
      <c r="K7" s="154"/>
      <c r="L7" s="154"/>
      <c r="M7" s="154"/>
    </row>
    <row r="8" spans="1:256" ht="30" customHeight="1" x14ac:dyDescent="0.2">
      <c r="C8" s="154"/>
      <c r="D8" s="154"/>
      <c r="E8" s="154"/>
      <c r="F8" s="154"/>
      <c r="G8" s="154"/>
      <c r="H8" s="154"/>
      <c r="I8" s="154"/>
      <c r="J8" s="154"/>
      <c r="K8" s="154"/>
      <c r="L8" s="154"/>
      <c r="M8" s="154"/>
    </row>
    <row r="9" spans="1:256" ht="30" customHeight="1" x14ac:dyDescent="0.2">
      <c r="C9" s="155" t="s">
        <v>163</v>
      </c>
      <c r="D9" s="155"/>
      <c r="E9" s="156" t="s">
        <v>174</v>
      </c>
      <c r="F9" s="156"/>
      <c r="G9" s="156"/>
      <c r="H9" s="156"/>
      <c r="I9" s="156"/>
      <c r="J9" s="156"/>
      <c r="K9" s="156"/>
      <c r="L9" s="156"/>
      <c r="M9" s="156"/>
    </row>
    <row r="10" spans="1:256" ht="30" customHeight="1" x14ac:dyDescent="0.2">
      <c r="C10" s="154" t="s">
        <v>173</v>
      </c>
      <c r="D10" s="154"/>
      <c r="E10" s="154"/>
      <c r="F10" s="154"/>
      <c r="G10" s="154"/>
      <c r="H10" s="154"/>
      <c r="I10" s="154"/>
      <c r="J10" s="154"/>
      <c r="K10" s="154"/>
      <c r="L10" s="154"/>
      <c r="M10" s="154"/>
    </row>
    <row r="11" spans="1:256" ht="30" customHeight="1" x14ac:dyDescent="0.2">
      <c r="C11" s="154"/>
      <c r="D11" s="154"/>
      <c r="E11" s="154"/>
      <c r="F11" s="154"/>
      <c r="G11" s="154"/>
      <c r="H11" s="154"/>
      <c r="I11" s="154"/>
      <c r="J11" s="154"/>
      <c r="K11" s="154"/>
      <c r="L11" s="154"/>
      <c r="M11" s="154"/>
    </row>
    <row r="12" spans="1:256" ht="30" customHeight="1" x14ac:dyDescent="0.2">
      <c r="C12" s="155" t="s">
        <v>164</v>
      </c>
      <c r="D12" s="155"/>
      <c r="E12" s="156" t="s">
        <v>175</v>
      </c>
      <c r="F12" s="156"/>
      <c r="G12" s="156"/>
      <c r="H12" s="156"/>
      <c r="I12" s="156"/>
      <c r="J12" s="156"/>
      <c r="K12" s="156"/>
      <c r="L12" s="156"/>
      <c r="M12" s="156"/>
    </row>
    <row r="13" spans="1:256" ht="30" customHeight="1" x14ac:dyDescent="0.2">
      <c r="C13" s="154" t="s">
        <v>176</v>
      </c>
      <c r="D13" s="154"/>
      <c r="E13" s="154"/>
      <c r="F13" s="154"/>
      <c r="G13" s="154"/>
      <c r="H13" s="154"/>
      <c r="I13" s="154"/>
      <c r="J13" s="154"/>
      <c r="K13" s="154"/>
      <c r="L13" s="154"/>
      <c r="M13" s="154"/>
    </row>
    <row r="14" spans="1:256" ht="30" customHeight="1" x14ac:dyDescent="0.2">
      <c r="C14" s="154"/>
      <c r="D14" s="154"/>
      <c r="E14" s="154"/>
      <c r="F14" s="154"/>
      <c r="G14" s="154"/>
      <c r="H14" s="154"/>
      <c r="I14" s="154"/>
      <c r="J14" s="154"/>
      <c r="K14" s="154"/>
      <c r="L14" s="154"/>
      <c r="M14" s="154"/>
    </row>
    <row r="15" spans="1:256" ht="30" customHeight="1" x14ac:dyDescent="0.2">
      <c r="C15" s="155" t="s">
        <v>166</v>
      </c>
      <c r="D15" s="155"/>
      <c r="E15" s="156" t="s">
        <v>165</v>
      </c>
      <c r="F15" s="156"/>
      <c r="G15" s="156"/>
      <c r="H15" s="156"/>
      <c r="I15" s="156"/>
      <c r="J15" s="156"/>
      <c r="K15" s="156"/>
      <c r="L15" s="156"/>
      <c r="M15" s="156"/>
    </row>
    <row r="16" spans="1:256" ht="30" customHeight="1" x14ac:dyDescent="0.2">
      <c r="C16" s="154" t="s">
        <v>177</v>
      </c>
      <c r="D16" s="154"/>
      <c r="E16" s="154"/>
      <c r="F16" s="154"/>
      <c r="G16" s="154"/>
      <c r="H16" s="154"/>
      <c r="I16" s="154"/>
      <c r="J16" s="154"/>
      <c r="K16" s="154"/>
      <c r="L16" s="154"/>
      <c r="M16" s="154"/>
    </row>
    <row r="17" spans="3:13" ht="30" customHeight="1" x14ac:dyDescent="0.2">
      <c r="C17" s="154"/>
      <c r="D17" s="154"/>
      <c r="E17" s="154"/>
      <c r="F17" s="154"/>
      <c r="G17" s="154"/>
      <c r="H17" s="154"/>
      <c r="I17" s="154"/>
      <c r="J17" s="154"/>
      <c r="K17" s="154"/>
      <c r="L17" s="154"/>
      <c r="M17" s="154"/>
    </row>
    <row r="18" spans="3:13" ht="30" customHeight="1" x14ac:dyDescent="0.2">
      <c r="C18" s="155" t="s">
        <v>168</v>
      </c>
      <c r="D18" s="155"/>
      <c r="E18" s="50" t="s">
        <v>167</v>
      </c>
      <c r="F18" s="50"/>
      <c r="G18" s="50"/>
      <c r="H18" s="50"/>
      <c r="I18" s="50"/>
      <c r="J18" s="50"/>
      <c r="K18" s="50"/>
      <c r="L18" s="50"/>
      <c r="M18" s="50"/>
    </row>
    <row r="19" spans="3:13" ht="30" customHeight="1" x14ac:dyDescent="0.2">
      <c r="C19" s="154" t="s">
        <v>178</v>
      </c>
      <c r="D19" s="154"/>
      <c r="E19" s="154"/>
      <c r="F19" s="154"/>
      <c r="G19" s="154"/>
      <c r="H19" s="154"/>
      <c r="I19" s="154"/>
      <c r="J19" s="154"/>
      <c r="K19" s="154"/>
      <c r="L19" s="154"/>
      <c r="M19" s="154"/>
    </row>
    <row r="20" spans="3:13" ht="30" customHeight="1" x14ac:dyDescent="0.2">
      <c r="C20" s="154"/>
      <c r="D20" s="154"/>
      <c r="E20" s="154"/>
      <c r="F20" s="154"/>
      <c r="G20" s="154"/>
      <c r="H20" s="154"/>
      <c r="I20" s="154"/>
      <c r="J20" s="154"/>
      <c r="K20" s="154"/>
      <c r="L20" s="154"/>
      <c r="M20" s="154"/>
    </row>
    <row r="21" spans="3:13" ht="30" customHeight="1" x14ac:dyDescent="0.2">
      <c r="C21" s="155" t="s">
        <v>181</v>
      </c>
      <c r="D21" s="155"/>
      <c r="E21" s="50" t="s">
        <v>169</v>
      </c>
      <c r="F21" s="50"/>
      <c r="G21" s="50"/>
      <c r="H21" s="50"/>
      <c r="I21" s="50"/>
      <c r="J21" s="50"/>
      <c r="K21" s="50"/>
      <c r="L21" s="50"/>
      <c r="M21" s="50"/>
    </row>
    <row r="22" spans="3:13" ht="30" customHeight="1" x14ac:dyDescent="0.2">
      <c r="C22" s="154" t="s">
        <v>179</v>
      </c>
      <c r="D22" s="154"/>
      <c r="E22" s="154"/>
      <c r="F22" s="154"/>
      <c r="G22" s="154"/>
      <c r="H22" s="154"/>
      <c r="I22" s="154"/>
      <c r="J22" s="154"/>
      <c r="K22" s="154"/>
      <c r="L22" s="154"/>
      <c r="M22" s="154"/>
    </row>
    <row r="23" spans="3:13" ht="30" customHeight="1" x14ac:dyDescent="0.2">
      <c r="C23" s="154"/>
      <c r="D23" s="154"/>
      <c r="E23" s="154"/>
      <c r="F23" s="154"/>
      <c r="G23" s="154"/>
      <c r="H23" s="154"/>
      <c r="I23" s="154"/>
      <c r="J23" s="154"/>
      <c r="K23" s="154"/>
      <c r="L23" s="154"/>
      <c r="M23" s="154"/>
    </row>
    <row r="24" spans="3:13" ht="30" customHeight="1" x14ac:dyDescent="0.2">
      <c r="C24" s="155" t="s">
        <v>182</v>
      </c>
      <c r="D24" s="155"/>
      <c r="E24" s="50" t="s">
        <v>180</v>
      </c>
      <c r="F24" s="50"/>
      <c r="G24" s="50"/>
      <c r="H24" s="50"/>
      <c r="I24" s="50"/>
      <c r="J24" s="50"/>
      <c r="K24" s="50"/>
      <c r="L24" s="50"/>
      <c r="M24" s="50"/>
    </row>
    <row r="25" spans="3:13" ht="30" customHeight="1" x14ac:dyDescent="0.2">
      <c r="C25" s="154" t="s">
        <v>183</v>
      </c>
      <c r="D25" s="154"/>
      <c r="E25" s="154"/>
      <c r="F25" s="154"/>
      <c r="G25" s="154"/>
      <c r="H25" s="154"/>
      <c r="I25" s="154"/>
      <c r="J25" s="154"/>
      <c r="K25" s="154"/>
      <c r="L25" s="154"/>
      <c r="M25" s="154"/>
    </row>
    <row r="26" spans="3:13" ht="30" customHeight="1" x14ac:dyDescent="0.2">
      <c r="C26" s="154"/>
      <c r="D26" s="154"/>
      <c r="E26" s="154"/>
      <c r="F26" s="154"/>
      <c r="G26" s="154"/>
      <c r="H26" s="154"/>
      <c r="I26" s="154"/>
      <c r="J26" s="154"/>
      <c r="K26" s="154"/>
      <c r="L26" s="154"/>
      <c r="M26" s="154"/>
    </row>
    <row r="27" spans="3:13" ht="30" customHeight="1" x14ac:dyDescent="0.2"/>
    <row r="28" spans="3:13" ht="30" customHeight="1" x14ac:dyDescent="0.2"/>
    <row r="29" spans="3:13" ht="30" customHeight="1" x14ac:dyDescent="0.2"/>
    <row r="30" spans="3:13" ht="30" customHeight="1" x14ac:dyDescent="0.2"/>
    <row r="31" spans="3:13" ht="30" customHeight="1" x14ac:dyDescent="0.2"/>
    <row r="32" spans="3:13"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x14ac:dyDescent="0.2"/>
    <row r="99" x14ac:dyDescent="0.2"/>
    <row r="100" x14ac:dyDescent="0.2"/>
  </sheetData>
  <sheetProtection sheet="1" objects="1" scenarios="1" selectLockedCells="1"/>
  <mergeCells count="22">
    <mergeCell ref="C1:M1"/>
    <mergeCell ref="C3:M3"/>
    <mergeCell ref="B4:M4"/>
    <mergeCell ref="C6:D6"/>
    <mergeCell ref="E6:H6"/>
    <mergeCell ref="I6:K6"/>
    <mergeCell ref="C13:M14"/>
    <mergeCell ref="C15:D15"/>
    <mergeCell ref="E15:M15"/>
    <mergeCell ref="C7:M8"/>
    <mergeCell ref="C9:D9"/>
    <mergeCell ref="E9:M9"/>
    <mergeCell ref="C10:M11"/>
    <mergeCell ref="C12:D12"/>
    <mergeCell ref="E12:M12"/>
    <mergeCell ref="C16:M17"/>
    <mergeCell ref="C19:M20"/>
    <mergeCell ref="C22:M23"/>
    <mergeCell ref="C25:M26"/>
    <mergeCell ref="C24:D24"/>
    <mergeCell ref="C21:D21"/>
    <mergeCell ref="C18:D18"/>
  </mergeCells>
  <hyperlinks>
    <hyperlink ref="C6:D6" location="'P Gerais'!A1" display="Passo 1"/>
    <hyperlink ref="C9:D9" location="Lanc!A1" display="Passo 2"/>
    <hyperlink ref="C12:D12" location="Resul!A1" display="Passo 3"/>
    <hyperlink ref="C15:D15" location="Gra!A1" display="Passo 4"/>
    <hyperlink ref="C18:D18" location="Ale!A1" display="Passo 5"/>
    <hyperlink ref="C21:D21" location="Rel!A1" display="Passo 6"/>
    <hyperlink ref="C24:D24" location="Fol!A1" display="Passo 7"/>
  </hyperlinks>
  <pageMargins left="0.511811024" right="0.511811024" top="0.78740157499999996" bottom="0.78740157499999996" header="0.31496062000000002" footer="0.31496062000000002"/>
  <pageSetup paperSize="9" orientation="portrait"/>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2" enableFormatConditionsCalculation="0"/>
  <dimension ref="A1:Q103"/>
  <sheetViews>
    <sheetView showGridLines="0" zoomScale="90" zoomScaleNormal="90" zoomScalePageLayoutView="90" workbookViewId="0">
      <selection activeCell="K36" activeCellId="5" sqref="I32:L32 C36 E36 F36 H36 K36"/>
    </sheetView>
  </sheetViews>
  <sheetFormatPr baseColWidth="10" defaultColWidth="8.796875" defaultRowHeight="15" zeroHeight="1" x14ac:dyDescent="0.2"/>
  <cols>
    <col min="1" max="1" width="27.59765625" style="1" customWidth="1"/>
    <col min="2" max="2" width="3.796875" customWidth="1"/>
    <col min="3" max="3" width="14.796875" customWidth="1"/>
    <col min="4" max="4" width="2.59765625" customWidth="1"/>
    <col min="5" max="6" width="14.796875" customWidth="1"/>
    <col min="7" max="7" width="2.59765625" customWidth="1"/>
    <col min="8" max="9" width="14.796875" customWidth="1"/>
    <col min="10" max="10" width="2.59765625" customWidth="1"/>
    <col min="11" max="12" width="14.796875" customWidth="1"/>
    <col min="13" max="13" width="23.19921875" style="2" customWidth="1"/>
    <col min="14" max="14" width="8.796875" style="2"/>
    <col min="15" max="17" width="8.796875" style="53"/>
  </cols>
  <sheetData>
    <row r="1" spans="1:17" s="3" customFormat="1" ht="34" customHeight="1" x14ac:dyDescent="0.3">
      <c r="A1" s="130" t="s">
        <v>192</v>
      </c>
      <c r="C1" s="4" t="s">
        <v>29</v>
      </c>
      <c r="M1" s="22"/>
      <c r="N1" s="22"/>
      <c r="O1" s="56"/>
      <c r="P1" s="56"/>
      <c r="Q1" s="56"/>
    </row>
    <row r="2" spans="1:17" s="3" customFormat="1" ht="21.25" customHeight="1" x14ac:dyDescent="0.2">
      <c r="A2" s="1"/>
      <c r="M2" s="22"/>
      <c r="N2" s="22"/>
      <c r="O2" s="56"/>
      <c r="P2" s="56"/>
      <c r="Q2" s="56"/>
    </row>
    <row r="3" spans="1:17" s="3" customFormat="1" ht="21.25" customHeight="1" x14ac:dyDescent="0.2">
      <c r="A3" s="1"/>
      <c r="M3" s="22"/>
      <c r="N3" s="22"/>
      <c r="O3" s="56"/>
      <c r="P3" s="56"/>
      <c r="Q3" s="56"/>
    </row>
    <row r="4" spans="1:17" ht="30" customHeight="1" x14ac:dyDescent="0.2"/>
    <row r="5" spans="1:17" ht="30" customHeight="1" x14ac:dyDescent="0.2">
      <c r="C5" s="161" t="s">
        <v>63</v>
      </c>
      <c r="D5" s="161"/>
      <c r="E5" s="161"/>
      <c r="G5" s="161" t="s">
        <v>190</v>
      </c>
      <c r="H5" s="161"/>
      <c r="I5" s="161"/>
    </row>
    <row r="6" spans="1:17" ht="30" customHeight="1" x14ac:dyDescent="0.2">
      <c r="C6" s="162">
        <v>2015</v>
      </c>
      <c r="D6" s="162"/>
      <c r="E6" s="162"/>
      <c r="G6" s="162">
        <v>220</v>
      </c>
      <c r="H6" s="162"/>
      <c r="I6" s="162"/>
      <c r="O6" s="55"/>
    </row>
    <row r="7" spans="1:17" ht="7.75" customHeight="1" x14ac:dyDescent="0.2">
      <c r="O7" s="55"/>
    </row>
    <row r="8" spans="1:17" ht="30" customHeight="1" x14ac:dyDescent="0.2">
      <c r="C8" s="161" t="s">
        <v>57</v>
      </c>
      <c r="D8" s="161"/>
      <c r="E8" s="161"/>
      <c r="F8" s="161"/>
      <c r="G8" s="161"/>
      <c r="H8" s="161"/>
      <c r="I8" s="161"/>
      <c r="J8" s="161"/>
      <c r="K8" s="161"/>
      <c r="L8" s="161"/>
      <c r="O8" s="55"/>
    </row>
    <row r="9" spans="1:17" ht="30" customHeight="1" x14ac:dyDescent="0.2">
      <c r="C9" s="163" t="s">
        <v>58</v>
      </c>
      <c r="D9" s="163"/>
      <c r="E9" s="163"/>
      <c r="F9" s="162"/>
      <c r="G9" s="162"/>
      <c r="H9" s="162"/>
      <c r="I9" s="162"/>
      <c r="J9" s="162"/>
      <c r="K9" s="162"/>
      <c r="L9" s="162"/>
    </row>
    <row r="10" spans="1:17" ht="30" customHeight="1" x14ac:dyDescent="0.2">
      <c r="C10" s="163" t="s">
        <v>59</v>
      </c>
      <c r="D10" s="163"/>
      <c r="E10" s="163"/>
      <c r="F10" s="164"/>
      <c r="G10" s="162"/>
      <c r="H10" s="162"/>
      <c r="I10" s="162"/>
      <c r="J10" s="162"/>
      <c r="K10" s="162"/>
      <c r="L10" s="162"/>
    </row>
    <row r="11" spans="1:17" ht="30" customHeight="1" x14ac:dyDescent="0.2">
      <c r="C11" s="163" t="s">
        <v>60</v>
      </c>
      <c r="D11" s="163"/>
      <c r="E11" s="163"/>
      <c r="F11" s="162"/>
      <c r="G11" s="162"/>
      <c r="H11" s="162"/>
      <c r="I11" s="162"/>
      <c r="J11" s="162"/>
      <c r="K11" s="162"/>
      <c r="L11" s="162"/>
    </row>
    <row r="12" spans="1:17" ht="30" customHeight="1" x14ac:dyDescent="0.2">
      <c r="C12" s="163" t="s">
        <v>61</v>
      </c>
      <c r="D12" s="163"/>
      <c r="E12" s="163"/>
      <c r="F12" s="162"/>
      <c r="G12" s="162"/>
      <c r="H12" s="162"/>
      <c r="I12" s="162"/>
      <c r="J12" s="162"/>
      <c r="K12" s="162"/>
      <c r="L12" s="162"/>
    </row>
    <row r="13" spans="1:17" ht="30" customHeight="1" x14ac:dyDescent="0.2">
      <c r="C13" s="163" t="s">
        <v>62</v>
      </c>
      <c r="D13" s="163"/>
      <c r="E13" s="163"/>
      <c r="F13" s="162"/>
      <c r="G13" s="162"/>
      <c r="H13" s="162"/>
      <c r="I13" s="162"/>
      <c r="J13" s="162"/>
      <c r="K13" s="162"/>
      <c r="L13" s="162"/>
    </row>
    <row r="14" spans="1:17" ht="7.75" customHeight="1" x14ac:dyDescent="0.2"/>
    <row r="15" spans="1:17" ht="30" customHeight="1" x14ac:dyDescent="0.2">
      <c r="C15" s="166" t="s">
        <v>150</v>
      </c>
      <c r="D15" s="166"/>
      <c r="E15" s="166"/>
      <c r="F15" s="166"/>
      <c r="G15" s="166"/>
      <c r="H15" s="166"/>
      <c r="I15" s="166"/>
      <c r="J15" s="166"/>
      <c r="K15" s="166"/>
      <c r="L15" s="166"/>
    </row>
    <row r="16" spans="1:17" ht="30" customHeight="1" x14ac:dyDescent="0.2">
      <c r="E16" s="59" t="s">
        <v>84</v>
      </c>
      <c r="F16" s="71"/>
      <c r="H16" s="59" t="s">
        <v>88</v>
      </c>
      <c r="I16" s="71"/>
      <c r="K16" s="59" t="s">
        <v>92</v>
      </c>
      <c r="L16" s="71"/>
    </row>
    <row r="17" spans="3:15" ht="30" customHeight="1" x14ac:dyDescent="0.2">
      <c r="E17" s="59" t="s">
        <v>85</v>
      </c>
      <c r="F17" s="71"/>
      <c r="H17" s="59" t="s">
        <v>89</v>
      </c>
      <c r="I17" s="71"/>
      <c r="K17" s="59" t="s">
        <v>93</v>
      </c>
      <c r="L17" s="71"/>
    </row>
    <row r="18" spans="3:15" ht="30" customHeight="1" x14ac:dyDescent="0.2">
      <c r="E18" s="59" t="s">
        <v>86</v>
      </c>
      <c r="F18" s="71"/>
      <c r="H18" s="59" t="s">
        <v>90</v>
      </c>
      <c r="I18" s="71"/>
      <c r="K18" s="59" t="s">
        <v>94</v>
      </c>
      <c r="L18" s="71"/>
    </row>
    <row r="19" spans="3:15" ht="30" customHeight="1" x14ac:dyDescent="0.2">
      <c r="E19" s="59" t="s">
        <v>87</v>
      </c>
      <c r="F19" s="71"/>
      <c r="H19" s="59" t="s">
        <v>91</v>
      </c>
      <c r="I19" s="71"/>
      <c r="K19" s="59" t="s">
        <v>95</v>
      </c>
      <c r="L19" s="71"/>
    </row>
    <row r="20" spans="3:15" ht="7.75" customHeight="1" x14ac:dyDescent="0.2">
      <c r="O20" s="57"/>
    </row>
    <row r="21" spans="3:15" ht="30" customHeight="1" x14ac:dyDescent="0.2">
      <c r="C21" s="166" t="s">
        <v>157</v>
      </c>
      <c r="D21" s="166"/>
      <c r="E21" s="166"/>
      <c r="F21" s="166"/>
      <c r="G21" s="166"/>
      <c r="H21" s="166"/>
      <c r="I21" s="166"/>
      <c r="J21" s="166"/>
      <c r="K21" s="166"/>
      <c r="L21" s="166"/>
    </row>
    <row r="22" spans="3:15" ht="30" customHeight="1" x14ac:dyDescent="0.2">
      <c r="E22" s="59" t="s">
        <v>0</v>
      </c>
      <c r="F22" s="168" t="s">
        <v>73</v>
      </c>
      <c r="G22" s="168"/>
      <c r="H22" s="168"/>
      <c r="I22" s="59" t="s">
        <v>74</v>
      </c>
      <c r="J22" s="53"/>
      <c r="K22" s="131"/>
      <c r="L22" s="131"/>
      <c r="M22" s="134" t="s">
        <v>195</v>
      </c>
      <c r="N22" s="134" t="s">
        <v>196</v>
      </c>
      <c r="O22" s="2"/>
    </row>
    <row r="23" spans="3:15" ht="30" customHeight="1" x14ac:dyDescent="0.2">
      <c r="C23" s="59" t="s">
        <v>44</v>
      </c>
      <c r="E23" s="62"/>
      <c r="F23" s="62"/>
      <c r="H23" s="62"/>
      <c r="I23" s="62"/>
      <c r="J23" s="53"/>
      <c r="K23" s="54"/>
      <c r="L23" s="54"/>
      <c r="M23" s="135">
        <f>IF(ABS(((E23-1)-F23)+(H23-I23))&gt;=1,ABS(((E23-1)-F23)+(H23-I23))-1,ABS(((E23-1)-F23)+(H23-I23)))</f>
        <v>0</v>
      </c>
      <c r="N23" s="136">
        <f>H23-F23</f>
        <v>0</v>
      </c>
      <c r="O23" s="2"/>
    </row>
    <row r="24" spans="3:15" ht="30" customHeight="1" x14ac:dyDescent="0.2">
      <c r="C24" s="59" t="s">
        <v>45</v>
      </c>
      <c r="E24" s="62"/>
      <c r="F24" s="62"/>
      <c r="H24" s="62"/>
      <c r="I24" s="62"/>
      <c r="J24" s="53"/>
      <c r="K24" s="54"/>
      <c r="L24" s="54"/>
      <c r="M24" s="135">
        <f t="shared" ref="M24:M29" si="0">IF(ABS(((E24-1)-F24)+(H24-I24))&gt;=1,ABS(((E24-1)-F24)+(H24-I24))-1,ABS(((E24-1)-F24)+(H24-I24)))</f>
        <v>0</v>
      </c>
      <c r="N24" s="136">
        <f t="shared" ref="N24:N29" si="1">H24-F24</f>
        <v>0</v>
      </c>
      <c r="O24" s="2"/>
    </row>
    <row r="25" spans="3:15" ht="30" customHeight="1" x14ac:dyDescent="0.2">
      <c r="C25" s="59" t="s">
        <v>46</v>
      </c>
      <c r="E25" s="62"/>
      <c r="F25" s="62"/>
      <c r="H25" s="62"/>
      <c r="I25" s="62"/>
      <c r="J25" s="53"/>
      <c r="K25" s="54"/>
      <c r="L25" s="54"/>
      <c r="M25" s="135">
        <f t="shared" si="0"/>
        <v>0</v>
      </c>
      <c r="N25" s="136">
        <f t="shared" si="1"/>
        <v>0</v>
      </c>
      <c r="O25" s="2"/>
    </row>
    <row r="26" spans="3:15" ht="30" customHeight="1" x14ac:dyDescent="0.2">
      <c r="C26" s="59" t="s">
        <v>47</v>
      </c>
      <c r="E26" s="62"/>
      <c r="F26" s="62"/>
      <c r="H26" s="62"/>
      <c r="I26" s="62"/>
      <c r="J26" s="53"/>
      <c r="K26" s="54"/>
      <c r="L26" s="54"/>
      <c r="M26" s="135">
        <f t="shared" si="0"/>
        <v>0</v>
      </c>
      <c r="N26" s="136">
        <f t="shared" si="1"/>
        <v>0</v>
      </c>
      <c r="O26" s="2"/>
    </row>
    <row r="27" spans="3:15" ht="30" customHeight="1" x14ac:dyDescent="0.2">
      <c r="C27" s="59" t="s">
        <v>48</v>
      </c>
      <c r="E27" s="62"/>
      <c r="F27" s="62"/>
      <c r="H27" s="62"/>
      <c r="I27" s="62"/>
      <c r="J27" s="53"/>
      <c r="K27" s="54"/>
      <c r="L27" s="54"/>
      <c r="M27" s="135">
        <f t="shared" si="0"/>
        <v>0</v>
      </c>
      <c r="N27" s="136">
        <f t="shared" si="1"/>
        <v>0</v>
      </c>
      <c r="O27" s="2"/>
    </row>
    <row r="28" spans="3:15" ht="30" customHeight="1" x14ac:dyDescent="0.2">
      <c r="C28" s="72" t="s">
        <v>49</v>
      </c>
      <c r="E28" s="62"/>
      <c r="F28" s="62"/>
      <c r="H28" s="62"/>
      <c r="I28" s="62"/>
      <c r="J28" s="53"/>
      <c r="K28" s="54"/>
      <c r="L28" s="54"/>
      <c r="M28" s="135">
        <f t="shared" si="0"/>
        <v>0</v>
      </c>
      <c r="N28" s="136">
        <f t="shared" si="1"/>
        <v>0</v>
      </c>
      <c r="O28" s="2"/>
    </row>
    <row r="29" spans="3:15" ht="30" customHeight="1" x14ac:dyDescent="0.2">
      <c r="C29" s="72" t="s">
        <v>50</v>
      </c>
      <c r="E29" s="62"/>
      <c r="F29" s="62"/>
      <c r="H29" s="62"/>
      <c r="I29" s="62"/>
      <c r="J29" s="53"/>
      <c r="K29" s="54"/>
      <c r="L29" s="54"/>
      <c r="M29" s="135">
        <f t="shared" si="0"/>
        <v>0</v>
      </c>
      <c r="N29" s="136">
        <f t="shared" si="1"/>
        <v>0</v>
      </c>
      <c r="O29" s="2"/>
    </row>
    <row r="30" spans="3:15" ht="7.75" customHeight="1" x14ac:dyDescent="0.2"/>
    <row r="31" spans="3:15" ht="30" customHeight="1" x14ac:dyDescent="0.25">
      <c r="C31" s="167" t="s">
        <v>158</v>
      </c>
      <c r="D31" s="167"/>
      <c r="E31" s="167"/>
      <c r="F31" s="167"/>
      <c r="G31" s="167"/>
      <c r="H31" s="167"/>
      <c r="I31" s="167"/>
      <c r="J31" s="167"/>
      <c r="K31" s="167"/>
      <c r="L31" s="167"/>
    </row>
    <row r="32" spans="3:15" ht="30" customHeight="1" x14ac:dyDescent="0.2">
      <c r="C32" s="161" t="s">
        <v>56</v>
      </c>
      <c r="D32" s="161"/>
      <c r="E32" s="161"/>
      <c r="F32" s="161"/>
      <c r="G32" s="161"/>
      <c r="H32" s="161"/>
      <c r="I32" s="162"/>
      <c r="J32" s="162"/>
      <c r="K32" s="162"/>
      <c r="L32" s="162"/>
      <c r="M32" s="126"/>
    </row>
    <row r="33" spans="3:12" ht="7.75" customHeight="1" x14ac:dyDescent="0.2"/>
    <row r="34" spans="3:12" ht="30" customHeight="1" x14ac:dyDescent="0.25">
      <c r="C34" s="167" t="s">
        <v>159</v>
      </c>
      <c r="D34" s="167"/>
      <c r="E34" s="167"/>
      <c r="F34" s="167"/>
      <c r="G34" s="167"/>
      <c r="H34" s="167"/>
      <c r="I34" s="167"/>
      <c r="J34" s="167"/>
      <c r="K34" s="167"/>
      <c r="L34" s="167"/>
    </row>
    <row r="35" spans="3:12" ht="30" customHeight="1" x14ac:dyDescent="0.2">
      <c r="C35" s="59" t="s">
        <v>54</v>
      </c>
      <c r="E35" s="59" t="s">
        <v>51</v>
      </c>
      <c r="F35" s="59" t="s">
        <v>52</v>
      </c>
      <c r="H35" s="59" t="s">
        <v>53</v>
      </c>
      <c r="I35" s="59" t="s">
        <v>184</v>
      </c>
      <c r="K35" s="59" t="s">
        <v>55</v>
      </c>
      <c r="L35" s="59" t="s">
        <v>129</v>
      </c>
    </row>
    <row r="36" spans="3:12" ht="30" customHeight="1" x14ac:dyDescent="0.2">
      <c r="C36" s="139"/>
      <c r="D36" s="10"/>
      <c r="E36" s="139"/>
      <c r="F36" s="139"/>
      <c r="G36" s="10"/>
      <c r="H36" s="139"/>
      <c r="I36" s="139"/>
      <c r="J36" s="10"/>
      <c r="K36" s="139"/>
      <c r="L36" s="139"/>
    </row>
    <row r="37" spans="3:12" ht="7.75" customHeight="1" x14ac:dyDescent="0.2"/>
    <row r="38" spans="3:12" ht="30" customHeight="1" x14ac:dyDescent="0.2">
      <c r="C38" s="168" t="s">
        <v>185</v>
      </c>
      <c r="D38" s="168"/>
      <c r="E38" s="168"/>
      <c r="F38" s="168"/>
      <c r="H38" s="168" t="s">
        <v>186</v>
      </c>
      <c r="I38" s="168"/>
      <c r="J38" s="168"/>
      <c r="K38" s="168"/>
      <c r="L38" s="168"/>
    </row>
    <row r="39" spans="3:12" ht="30" customHeight="1" x14ac:dyDescent="0.2">
      <c r="C39" s="169"/>
      <c r="D39" s="170"/>
      <c r="E39" s="170"/>
      <c r="F39" s="171"/>
      <c r="H39" s="165"/>
      <c r="I39" s="165"/>
      <c r="J39" s="165"/>
      <c r="K39" s="165"/>
      <c r="L39" s="165"/>
    </row>
    <row r="40" spans="3:12" ht="30" customHeight="1" x14ac:dyDescent="0.2"/>
    <row r="41" spans="3:12" ht="30" customHeight="1" x14ac:dyDescent="0.2"/>
    <row r="42" spans="3:12" ht="30" customHeight="1" x14ac:dyDescent="0.2"/>
    <row r="43" spans="3:12" ht="30" customHeight="1" x14ac:dyDescent="0.2"/>
    <row r="44" spans="3:12" ht="30" customHeight="1" x14ac:dyDescent="0.2"/>
    <row r="45" spans="3:12" ht="30" customHeight="1" x14ac:dyDescent="0.2"/>
    <row r="46" spans="3:12" ht="30" customHeight="1" x14ac:dyDescent="0.2"/>
    <row r="47" spans="3:12" ht="30" customHeight="1" x14ac:dyDescent="0.2"/>
    <row r="48" spans="3:12"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x14ac:dyDescent="0.2"/>
    <row r="98" x14ac:dyDescent="0.2"/>
    <row r="99" x14ac:dyDescent="0.2"/>
    <row r="100" x14ac:dyDescent="0.2"/>
    <row r="101" x14ac:dyDescent="0.2"/>
    <row r="102" x14ac:dyDescent="0.2"/>
    <row r="103" x14ac:dyDescent="0.2"/>
  </sheetData>
  <sheetProtection sheet="1" objects="1" scenarios="1" selectLockedCells="1"/>
  <mergeCells count="26">
    <mergeCell ref="H39:L39"/>
    <mergeCell ref="C15:L15"/>
    <mergeCell ref="C21:L21"/>
    <mergeCell ref="C31:L31"/>
    <mergeCell ref="C34:L34"/>
    <mergeCell ref="C38:F38"/>
    <mergeCell ref="C39:F39"/>
    <mergeCell ref="C32:H32"/>
    <mergeCell ref="I32:L32"/>
    <mergeCell ref="F22:H22"/>
    <mergeCell ref="H38:L38"/>
    <mergeCell ref="C5:E5"/>
    <mergeCell ref="C6:E6"/>
    <mergeCell ref="G5:I5"/>
    <mergeCell ref="G6:I6"/>
    <mergeCell ref="C13:E13"/>
    <mergeCell ref="C12:E12"/>
    <mergeCell ref="C11:E11"/>
    <mergeCell ref="C10:E10"/>
    <mergeCell ref="C9:E9"/>
    <mergeCell ref="F13:L13"/>
    <mergeCell ref="C8:L8"/>
    <mergeCell ref="F9:L9"/>
    <mergeCell ref="F10:L10"/>
    <mergeCell ref="F11:L11"/>
    <mergeCell ref="F12:L12"/>
  </mergeCells>
  <conditionalFormatting sqref="C56:F56">
    <cfRule type="expression" priority="1">
      <formula>$I$32="Sistema de banco de horas"</formula>
    </cfRule>
  </conditionalFormatting>
  <dataValidations count="1">
    <dataValidation type="list" allowBlank="1" showInputMessage="1" showErrorMessage="1" sqref="I32:L32">
      <formula1>"Pagas em Dinheiro,Sistema de banco de horas"</formula1>
    </dataValidation>
  </dataValidations>
  <pageMargins left="0.511811024" right="0.511811024" top="0.78740157499999996" bottom="0.78740157499999996" header="0.31496062000000002" footer="0.31496062000000002"/>
  <pageSetup paperSize="9"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3" enableFormatConditionsCalculation="0"/>
  <dimension ref="A1:AT101"/>
  <sheetViews>
    <sheetView showGridLines="0" zoomScale="90" zoomScaleNormal="90" zoomScalePageLayoutView="90" workbookViewId="0">
      <selection activeCell="E8" sqref="E8:I8"/>
    </sheetView>
  </sheetViews>
  <sheetFormatPr baseColWidth="10" defaultColWidth="8.796875" defaultRowHeight="15"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7" width="11.19921875" customWidth="1"/>
    <col min="8" max="8" width="11.3984375" customWidth="1"/>
    <col min="9"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7" width="16.59765625" customWidth="1"/>
    <col min="18" max="18" width="17.3984375" customWidth="1"/>
    <col min="19"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197</v>
      </c>
      <c r="D5" s="173"/>
      <c r="E5" s="173"/>
      <c r="F5" s="173"/>
      <c r="G5" s="173"/>
      <c r="H5" s="173"/>
      <c r="I5" s="111">
        <v>0</v>
      </c>
      <c r="K5" s="111" t="s">
        <v>209</v>
      </c>
      <c r="S5" s="13">
        <f>S13+S11</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1</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QUI</v>
      </c>
      <c r="E8" s="138" t="s">
        <v>191</v>
      </c>
      <c r="F8" s="62"/>
      <c r="G8" s="62"/>
      <c r="H8" s="62"/>
      <c r="I8" s="62"/>
      <c r="J8" s="10"/>
      <c r="K8" s="60">
        <f>IF(ABS(((F8-1)-G8)+(H8-I8))&gt;=1,ABS(((F8-1)-G8)+(H8-I8))-1,ABS(((F8-1)-G8)+(H8-I8)))</f>
        <v>0</v>
      </c>
      <c r="L8" s="51"/>
      <c r="M8" s="60">
        <f>IF(E8="Falta Justificada",0,IF(E8="Feriado",0,IF(E8="Folga(DSR)",0,IF(VLOOKUP(D8,'P Gerais'!$C$23:$M$29,11,0)-Lanc!K8&gt;0,VLOOKUP(D8,'P Gerais'!$C$23:$M$29,11,0)-Lanc!K8,0))))</f>
        <v>0</v>
      </c>
      <c r="N8" s="51"/>
      <c r="O8" s="60">
        <f>IF(E8="Feriado",IF(F8&gt;I8,(I8+1-F8)-(H8-G8),(I8-F8)-(H8-G8)),IF(E8="Folga(DSR)",IF(F8&gt;I8,(I8+1-F8)-(H8-G8),(I8-F8)-(H8-G8)),IF(E8="Falta Justificada",IF(F8&gt;I8,(I8+1-F8)-(H8-G8),(I8-F8)-(H8-G8)),IF(VLOOKUP(D8,'P Gerais'!$C$23:$M$29,11,0)-Lanc!K8&lt;0,ABS(VLOOKUP(D8,'P Gerais'!$C$23:$M$29,11,0)-Lanc!K8),0))))</f>
        <v>0</v>
      </c>
      <c r="P8" s="2">
        <f>IF(O8&gt;$P$7,1,0)</f>
        <v>0</v>
      </c>
      <c r="Q8" s="168"/>
      <c r="R8" s="168"/>
      <c r="S8" s="168"/>
      <c r="W8" s="225">
        <f>DATE('P Gerais'!$C$6,$W$7,Lanc!C8)</f>
        <v>42005</v>
      </c>
      <c r="X8" s="23">
        <f>WEEKDAY(W8)</f>
        <v>5</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8" si="2">VLOOKUP(X9,$AB$8:$AC$14,2,0)</f>
        <v>SEX</v>
      </c>
      <c r="E9" s="138" t="s">
        <v>191</v>
      </c>
      <c r="F9" s="62"/>
      <c r="G9" s="62"/>
      <c r="H9" s="62"/>
      <c r="I9" s="62"/>
      <c r="J9" s="10"/>
      <c r="K9" s="60">
        <f t="shared" ref="K9:K38" si="3">IF(ABS(((F9-1)-G9)+(H9-I9))&gt;=1,ABS(((F9-1)-G9)+(H9-I9))-1,ABS(((F9-1)-G9)+(H9-I9)))</f>
        <v>0</v>
      </c>
      <c r="L9" s="51"/>
      <c r="M9" s="60">
        <f>IF(E9="Falta Justificada",0,IF(E9="Feriado",0,IF(E9="Folga(DSR)",0,IF(VLOOKUP(D9,'P Gerais'!$C$23:$M$29,11,0)-Lanc!K9&gt;0,VLOOKUP(D9,'P Gerais'!$C$23:$M$29,11,0)-Lanc!K9,0))))</f>
        <v>0</v>
      </c>
      <c r="N9" s="51"/>
      <c r="O9" s="60">
        <f>IF(E9="Feriado",IF(F9&gt;I9,(I9+1-F9)-(H9-G9),(I9-F9)-(H9-G9)),IF(E9="Folga(DSR)",IF(F9&gt;I9,(I9+1-F9)-(H9-G9),(I9-F9)-(H9-G9)),IF(E9="Falta Justificada",IF(F9&gt;I9,(I9+1-F9)-(H9-G9),(I9-F9)-(H9-G9)),IF(VLOOKUP(D9,'P Gerais'!$C$23:$M$29,11,0)-Lanc!K9&lt;0,ABS(VLOOKUP(D9,'P Gerais'!$C$23:$M$29,11,0)-Lanc!K9),0))))</f>
        <v>0</v>
      </c>
      <c r="P9" s="2">
        <f t="shared" ref="P9:P38" si="4">IF(O9&gt;$P$7,1,0)</f>
        <v>0</v>
      </c>
      <c r="Q9" s="175" t="s">
        <v>79</v>
      </c>
      <c r="R9" s="175"/>
      <c r="S9" s="172">
        <f>SUM(K8:K38)</f>
        <v>0</v>
      </c>
      <c r="W9" s="225">
        <f>DATE('P Gerais'!$C$6,$W$7,Lanc!C9)</f>
        <v>42006</v>
      </c>
      <c r="X9" s="23">
        <f t="shared" ref="X9:X38" si="5">WEEKDAY(W9)</f>
        <v>6</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SÁB</v>
      </c>
      <c r="E10" s="138" t="s">
        <v>191</v>
      </c>
      <c r="F10" s="62"/>
      <c r="G10" s="62"/>
      <c r="H10" s="62"/>
      <c r="I10" s="62"/>
      <c r="J10" s="10"/>
      <c r="K10" s="60">
        <f t="shared" si="3"/>
        <v>0</v>
      </c>
      <c r="L10" s="51"/>
      <c r="M10" s="60">
        <f>IF(E10="Falta Justificada",0,IF(E10="Feriado",0,IF(E10="Folga(DSR)",0,IF(VLOOKUP(D10,'P Gerais'!$C$23:$M$29,11,0)-Lanc!K10&gt;0,VLOOKUP(D10,'P Gerais'!$C$23:$M$29,11,0)-Lanc!K10,0))))</f>
        <v>0</v>
      </c>
      <c r="N10" s="51"/>
      <c r="O10" s="60">
        <f>IF(E10="Feriado",IF(F10&gt;I10,(I10+1-F10)-(H10-G10),(I10-F10)-(H10-G10)),IF(E10="Folga(DSR)",IF(F10&gt;I10,(I10+1-F10)-(H10-G10),(I10-F10)-(H10-G10)),IF(E10="Falta Justificada",IF(F10&gt;I10,(I10+1-F10)-(H10-G10),(I10-F10)-(H10-G10)),IF(VLOOKUP(D10,'P Gerais'!$C$23:$M$29,11,0)-Lanc!K10&lt;0,ABS(VLOOKUP(D10,'P Gerais'!$C$23:$M$29,11,0)-Lanc!K10),0))))</f>
        <v>0</v>
      </c>
      <c r="P10" s="2">
        <f t="shared" si="4"/>
        <v>0</v>
      </c>
      <c r="Q10" s="175"/>
      <c r="R10" s="175"/>
      <c r="S10" s="172"/>
      <c r="W10" s="225">
        <f>DATE('P Gerais'!$C$6,$W$7,Lanc!C10)</f>
        <v>42007</v>
      </c>
      <c r="X10" s="23">
        <f t="shared" si="5"/>
        <v>7</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DOM</v>
      </c>
      <c r="E11" s="138" t="s">
        <v>191</v>
      </c>
      <c r="F11" s="62"/>
      <c r="G11" s="62"/>
      <c r="H11" s="62"/>
      <c r="I11" s="62"/>
      <c r="J11" s="10"/>
      <c r="K11" s="60">
        <f t="shared" si="3"/>
        <v>0</v>
      </c>
      <c r="L11" s="51"/>
      <c r="M11" s="60">
        <f>IF(E11="Falta Justificada",0,IF(E11="Feriado",0,IF(E11="Folga(DSR)",0,IF(VLOOKUP(D11,'P Gerais'!$C$23:$M$29,11,0)-Lanc!K11&gt;0,VLOOKUP(D11,'P Gerais'!$C$23:$M$29,11,0)-Lanc!K11,0))))</f>
        <v>0</v>
      </c>
      <c r="N11" s="51"/>
      <c r="O11" s="60">
        <f>IF(E11="Feriado",IF(F11&gt;I11,(I11+1-F11)-(H11-G11),(I11-F11)-(H11-G11)),IF(E11="Folga(DSR)",IF(F11&gt;I11,(I11+1-F11)-(H11-G11),(I11-F11)-(H11-G11)),IF(E11="Falta Justificada",IF(F11&gt;I11,(I11+1-F11)-(H11-G11),(I11-F11)-(H11-G11)),IF(VLOOKUP(D11,'P Gerais'!$C$23:$M$29,11,0)-Lanc!K11&lt;0,ABS(VLOOKUP(D11,'P Gerais'!$C$23:$M$29,11,0)-Lanc!K11),0))))</f>
        <v>0</v>
      </c>
      <c r="P11" s="2">
        <f t="shared" si="4"/>
        <v>0</v>
      </c>
      <c r="Q11" s="175" t="s">
        <v>80</v>
      </c>
      <c r="R11" s="175"/>
      <c r="S11" s="172">
        <f>IF(K5="Horas devidas",ABS(-I5+S17-S15),ABS(I5+S17-S15))</f>
        <v>0</v>
      </c>
      <c r="T11" s="133" t="str">
        <f>IF(AND(K5="horas extras",T13="positivo"),"positivo",IF(AND(K5="horas devidas",T13="Negativo"),"Negativo",IF(AND(T13="positivo",K5="horas devidas",S13&gt;I5),"Positivo","Negativo")))</f>
        <v>positivo</v>
      </c>
      <c r="W11" s="225">
        <f>DATE('P Gerais'!$C$6,$W$7,Lanc!C11)</f>
        <v>42008</v>
      </c>
      <c r="X11" s="23">
        <f t="shared" si="5"/>
        <v>1</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SEG</v>
      </c>
      <c r="E12" s="138" t="s">
        <v>191</v>
      </c>
      <c r="F12" s="62"/>
      <c r="G12" s="62"/>
      <c r="H12" s="62"/>
      <c r="I12" s="62"/>
      <c r="J12" s="10"/>
      <c r="K12" s="60">
        <f t="shared" si="3"/>
        <v>0</v>
      </c>
      <c r="L12" s="51"/>
      <c r="M12" s="60">
        <f>IF(E12="Falta Justificada",0,IF(E12="Feriado",0,IF(E12="Folga(DSR)",0,IF(VLOOKUP(D12,'P Gerais'!$C$23:$M$29,11,0)-Lanc!K12&gt;0,VLOOKUP(D12,'P Gerais'!$C$23:$M$29,11,0)-Lanc!K12,0))))</f>
        <v>0</v>
      </c>
      <c r="N12" s="51"/>
      <c r="O12" s="60">
        <f>IF(E12="Feriado",IF(F12&gt;I12,(I12+1-F12)-(H12-G12),(I12-F12)-(H12-G12)),IF(E12="Folga(DSR)",IF(F12&gt;I12,(I12+1-F12)-(H12-G12),(I12-F12)-(H12-G12)),IF(E12="Falta Justificada",IF(F12&gt;I12,(I12+1-F12)-(H12-G12),(I12-F12)-(H12-G12)),IF(VLOOKUP(D12,'P Gerais'!$C$23:$M$29,11,0)-Lanc!K12&lt;0,ABS(VLOOKUP(D12,'P Gerais'!$C$23:$M$29,11,0)-Lanc!K12),0))))</f>
        <v>0</v>
      </c>
      <c r="P12" s="2">
        <f t="shared" si="4"/>
        <v>0</v>
      </c>
      <c r="Q12" s="175"/>
      <c r="R12" s="175"/>
      <c r="S12" s="172"/>
      <c r="W12" s="225">
        <f>DATE('P Gerais'!$C$6,$W$7,Lanc!C12)</f>
        <v>42009</v>
      </c>
      <c r="X12" s="23">
        <f t="shared" si="5"/>
        <v>2</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TER</v>
      </c>
      <c r="E13" s="138" t="s">
        <v>191</v>
      </c>
      <c r="F13" s="62"/>
      <c r="G13" s="62"/>
      <c r="H13" s="62"/>
      <c r="I13" s="62"/>
      <c r="J13" s="10"/>
      <c r="K13" s="60">
        <f t="shared" si="3"/>
        <v>0</v>
      </c>
      <c r="L13" s="51"/>
      <c r="M13" s="60">
        <f>IF(E13="Falta Justificada",0,IF(E13="Feriado",0,IF(E13="Folga(DSR)",0,IF(VLOOKUP(D13,'P Gerais'!$C$23:$M$29,11,0)-Lanc!K13&gt;0,VLOOKUP(D13,'P Gerais'!$C$23:$M$29,11,0)-Lanc!K13,0))))</f>
        <v>0</v>
      </c>
      <c r="N13" s="51"/>
      <c r="O13" s="60">
        <f>IF(E13="Feriado",IF(F13&gt;I13,(I13+1-F13)-(H13-G13),(I13-F13)-(H13-G13)),IF(E13="Folga(DSR)",IF(F13&gt;I13,(I13+1-F13)-(H13-G13),(I13-F13)-(H13-G13)),IF(E13="Falta Justificada",IF(F13&gt;I13,(I13+1-F13)-(H13-G13),(I13-F13)-(H13-G13)),IF(VLOOKUP(D13,'P Gerais'!$C$23:$M$29,11,0)-Lanc!K13&lt;0,ABS(VLOOKUP(D13,'P Gerais'!$C$23:$M$29,11,0)-Lanc!K13),0))))</f>
        <v>0</v>
      </c>
      <c r="P13" s="2">
        <f t="shared" si="4"/>
        <v>0</v>
      </c>
      <c r="Q13" s="179" t="s">
        <v>193</v>
      </c>
      <c r="R13" s="180"/>
      <c r="S13" s="172">
        <f>IF(S15&gt;=S17,(S15)-S17,(S17-S15))</f>
        <v>0</v>
      </c>
      <c r="T13" s="133" t="str">
        <f>IF(S15&gt;S17,"Negativo","Positivo")</f>
        <v>Positivo</v>
      </c>
      <c r="W13" s="225">
        <f>DATE('P Gerais'!$C$6,$W$7,Lanc!C13)</f>
        <v>42010</v>
      </c>
      <c r="X13" s="23">
        <f t="shared" si="5"/>
        <v>3</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QUA</v>
      </c>
      <c r="E14" s="138" t="s">
        <v>191</v>
      </c>
      <c r="F14" s="62"/>
      <c r="G14" s="62"/>
      <c r="H14" s="62"/>
      <c r="I14" s="62"/>
      <c r="J14" s="10"/>
      <c r="K14" s="60">
        <f t="shared" si="3"/>
        <v>0</v>
      </c>
      <c r="L14" s="51"/>
      <c r="M14" s="60">
        <f>IF(E14="Falta Justificada",0,IF(E14="Feriado",0,IF(E14="Folga(DSR)",0,IF(VLOOKUP(D14,'P Gerais'!$C$23:$M$29,11,0)-Lanc!K14&gt;0,VLOOKUP(D14,'P Gerais'!$C$23:$M$29,11,0)-Lanc!K14,0))))</f>
        <v>0</v>
      </c>
      <c r="N14" s="51"/>
      <c r="O14" s="60">
        <f>IF(E14="Feriado",IF(F14&gt;I14,(I14+1-F14)-(H14-G14),(I14-F14)-(H14-G14)),IF(E14="Folga(DSR)",IF(F14&gt;I14,(I14+1-F14)-(H14-G14),(I14-F14)-(H14-G14)),IF(E14="Falta Justificada",IF(F14&gt;I14,(I14+1-F14)-(H14-G14),(I14-F14)-(H14-G14)),IF(VLOOKUP(D14,'P Gerais'!$C$23:$M$29,11,0)-Lanc!K14&lt;0,ABS(VLOOKUP(D14,'P Gerais'!$C$23:$M$29,11,0)-Lanc!K14),0))))</f>
        <v>0</v>
      </c>
      <c r="P14" s="2">
        <f t="shared" si="4"/>
        <v>0</v>
      </c>
      <c r="Q14" s="181"/>
      <c r="R14" s="182"/>
      <c r="S14" s="172"/>
      <c r="U14" s="226"/>
      <c r="W14" s="225">
        <f>DATE('P Gerais'!$C$6,$W$7,Lanc!C14)</f>
        <v>42011</v>
      </c>
      <c r="X14" s="23">
        <f t="shared" si="5"/>
        <v>4</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QUI</v>
      </c>
      <c r="E15" s="138" t="s">
        <v>191</v>
      </c>
      <c r="F15" s="62"/>
      <c r="G15" s="62"/>
      <c r="H15" s="62"/>
      <c r="I15" s="62"/>
      <c r="J15" s="10"/>
      <c r="K15" s="60">
        <f t="shared" si="3"/>
        <v>0</v>
      </c>
      <c r="L15" s="51"/>
      <c r="M15" s="60">
        <f>IF(E15="Falta Justificada",0,IF(E15="Feriado",0,IF(E15="Folga(DSR)",0,IF(VLOOKUP(D15,'P Gerais'!$C$23:$M$29,11,0)-Lanc!K15&gt;0,VLOOKUP(D15,'P Gerais'!$C$23:$M$29,11,0)-Lanc!K15,0))))</f>
        <v>0</v>
      </c>
      <c r="N15" s="51"/>
      <c r="O15" s="60">
        <f>IF(E15="Feriado",IF(F15&gt;I15,(I15+1-F15)-(H15-G15),(I15-F15)-(H15-G15)),IF(E15="Folga(DSR)",IF(F15&gt;I15,(I15+1-F15)-(H15-G15),(I15-F15)-(H15-G15)),IF(E15="Falta Justificada",IF(F15&gt;I15,(I15+1-F15)-(H15-G15),(I15-F15)-(H15-G15)),IF(VLOOKUP(D15,'P Gerais'!$C$23:$M$29,11,0)-Lanc!K15&lt;0,ABS(VLOOKUP(D15,'P Gerais'!$C$23:$M$29,11,0)-Lanc!K15),0))))</f>
        <v>0</v>
      </c>
      <c r="P15" s="2">
        <f t="shared" si="4"/>
        <v>0</v>
      </c>
      <c r="Q15" s="175" t="s">
        <v>82</v>
      </c>
      <c r="R15" s="175"/>
      <c r="S15" s="172">
        <f>SUM(M8:M38)</f>
        <v>0</v>
      </c>
      <c r="W15" s="225">
        <f>DATE('P Gerais'!$C$6,$W$7,Lanc!C15)</f>
        <v>42012</v>
      </c>
      <c r="X15" s="23">
        <f t="shared" si="5"/>
        <v>5</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SEX</v>
      </c>
      <c r="E16" s="93" t="s">
        <v>191</v>
      </c>
      <c r="F16" s="62"/>
      <c r="G16" s="62"/>
      <c r="H16" s="62"/>
      <c r="I16" s="62"/>
      <c r="J16" s="10"/>
      <c r="K16" s="60">
        <f t="shared" si="3"/>
        <v>0</v>
      </c>
      <c r="L16" s="51"/>
      <c r="M16" s="60">
        <f>IF(E16="Falta Justificada",0,IF(E16="Feriado",0,IF(E16="Folga(DSR)",0,IF(VLOOKUP(D16,'P Gerais'!$C$23:$M$29,11,0)-Lanc!K16&gt;0,VLOOKUP(D16,'P Gerais'!$C$23:$M$29,11,0)-Lanc!K16,0))))</f>
        <v>0</v>
      </c>
      <c r="N16" s="51"/>
      <c r="O16" s="60">
        <f>IF(E16="Feriado",IF(F16&gt;I16,(I16+1-F16)-(H16-G16),(I16-F16)-(H16-G16)),IF(E16="Folga(DSR)",IF(F16&gt;I16,(I16+1-F16)-(H16-G16),(I16-F16)-(H16-G16)),IF(E16="Falta Justificada",IF(F16&gt;I16,(I16+1-F16)-(H16-G16),(I16-F16)-(H16-G16)),IF(VLOOKUP(D16,'P Gerais'!$C$23:$M$29,11,0)-Lanc!K16&lt;0,ABS(VLOOKUP(D16,'P Gerais'!$C$23:$M$29,11,0)-Lanc!K16),0))))</f>
        <v>0</v>
      </c>
      <c r="P16" s="2">
        <f t="shared" si="4"/>
        <v>0</v>
      </c>
      <c r="Q16" s="175"/>
      <c r="R16" s="175"/>
      <c r="S16" s="172"/>
      <c r="W16" s="225">
        <f>DATE('P Gerais'!$C$6,$W$7,Lanc!C16)</f>
        <v>42013</v>
      </c>
      <c r="X16" s="23">
        <f t="shared" si="5"/>
        <v>6</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SÁB</v>
      </c>
      <c r="E17" s="93" t="s">
        <v>191</v>
      </c>
      <c r="F17" s="62"/>
      <c r="G17" s="62"/>
      <c r="H17" s="62"/>
      <c r="I17" s="62"/>
      <c r="J17" s="10"/>
      <c r="K17" s="60">
        <f t="shared" si="3"/>
        <v>0</v>
      </c>
      <c r="L17" s="51"/>
      <c r="M17" s="60">
        <f>IF(E17="Falta Justificada",0,IF(E17="Feriado",0,IF(E17="Folga(DSR)",0,IF(VLOOKUP(D17,'P Gerais'!$C$23:$M$29,11,0)-Lanc!K17&gt;0,VLOOKUP(D17,'P Gerais'!$C$23:$M$29,11,0)-Lanc!K17,0))))</f>
        <v>0</v>
      </c>
      <c r="N17" s="51"/>
      <c r="O17" s="60">
        <f>IF(E17="Feriado",IF(F17&gt;I17,(I17+1-F17)-(H17-G17),(I17-F17)-(H17-G17)),IF(E17="Folga(DSR)",IF(F17&gt;I17,(I17+1-F17)-(H17-G17),(I17-F17)-(H17-G17)),IF(E17="Falta Justificada",IF(F17&gt;I17,(I17+1-F17)-(H17-G17),(I17-F17)-(H17-G17)),IF(VLOOKUP(D17,'P Gerais'!$C$23:$M$29,11,0)-Lanc!K17&lt;0,ABS(VLOOKUP(D17,'P Gerais'!$C$23:$M$29,11,0)-Lanc!K17),0))))</f>
        <v>0</v>
      </c>
      <c r="P17" s="2">
        <f t="shared" si="4"/>
        <v>0</v>
      </c>
      <c r="Q17" s="175" t="s">
        <v>81</v>
      </c>
      <c r="R17" s="175"/>
      <c r="S17" s="172">
        <f>SUM(O8:O38)</f>
        <v>0</v>
      </c>
      <c r="W17" s="225">
        <f>DATE('P Gerais'!$C$6,$W$7,Lanc!C17)</f>
        <v>42014</v>
      </c>
      <c r="X17" s="23">
        <f t="shared" si="5"/>
        <v>7</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DOM</v>
      </c>
      <c r="E18" s="93" t="s">
        <v>191</v>
      </c>
      <c r="F18" s="62"/>
      <c r="G18" s="62"/>
      <c r="H18" s="62"/>
      <c r="I18" s="62"/>
      <c r="J18" s="10"/>
      <c r="K18" s="60">
        <f t="shared" si="3"/>
        <v>0</v>
      </c>
      <c r="L18" s="51"/>
      <c r="M18" s="60">
        <f>IF(E18="Falta Justificada",0,IF(E18="Feriado",0,IF(E18="Folga(DSR)",0,IF(VLOOKUP(D18,'P Gerais'!$C$23:$M$29,11,0)-Lanc!K18&gt;0,VLOOKUP(D18,'P Gerais'!$C$23:$M$29,11,0)-Lanc!K18,0))))</f>
        <v>0</v>
      </c>
      <c r="N18" s="51"/>
      <c r="O18" s="60">
        <f>IF(E18="Feriado",IF(F18&gt;I18,(I18+1-F18)-(H18-G18),(I18-F18)-(H18-G18)),IF(E18="Folga(DSR)",IF(F18&gt;I18,(I18+1-F18)-(H18-G18),(I18-F18)-(H18-G18)),IF(E18="Falta Justificada",IF(F18&gt;I18,(I18+1-F18)-(H18-G18),(I18-F18)-(H18-G18)),IF(VLOOKUP(D18,'P Gerais'!$C$23:$M$29,11,0)-Lanc!K18&lt;0,ABS(VLOOKUP(D18,'P Gerais'!$C$23:$M$29,11,0)-Lanc!K18),0))))</f>
        <v>0</v>
      </c>
      <c r="P18" s="2">
        <f t="shared" si="4"/>
        <v>0</v>
      </c>
      <c r="Q18" s="175"/>
      <c r="R18" s="175"/>
      <c r="S18" s="172"/>
      <c r="W18" s="225">
        <f>DATE('P Gerais'!$C$6,$W$7,Lanc!C18)</f>
        <v>42015</v>
      </c>
      <c r="X18" s="23">
        <f t="shared" si="5"/>
        <v>1</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SEG</v>
      </c>
      <c r="E19" s="93" t="s">
        <v>191</v>
      </c>
      <c r="F19" s="62"/>
      <c r="G19" s="62"/>
      <c r="H19" s="62"/>
      <c r="I19" s="62"/>
      <c r="J19" s="10"/>
      <c r="K19" s="60">
        <f t="shared" si="3"/>
        <v>0</v>
      </c>
      <c r="L19" s="51"/>
      <c r="M19" s="60">
        <f>IF(E19="Falta Justificada",0,IF(E19="Feriado",0,IF(E19="Folga(DSR)",0,IF(VLOOKUP(D19,'P Gerais'!$C$23:$M$29,11,0)-Lanc!K19&gt;0,VLOOKUP(D19,'P Gerais'!$C$23:$M$29,11,0)-Lanc!K19,0))))</f>
        <v>0</v>
      </c>
      <c r="N19" s="51"/>
      <c r="O19" s="60">
        <f>IF(E19="Feriado",IF(F19&gt;I19,(I19+1-F19)-(H19-G19),(I19-F19)-(H19-G19)),IF(E19="Folga(DSR)",IF(F19&gt;I19,(I19+1-F19)-(H19-G19),(I19-F19)-(H19-G19)),IF(E19="Falta Justificada",IF(F19&gt;I19,(I19+1-F19)-(H19-G19),(I19-F19)-(H19-G19)),IF(VLOOKUP(D19,'P Gerais'!$C$23:$M$29,11,0)-Lanc!K19&lt;0,ABS(VLOOKUP(D19,'P Gerais'!$C$23:$M$29,11,0)-Lanc!K19),0))))</f>
        <v>0</v>
      </c>
      <c r="P19" s="2">
        <f t="shared" si="4"/>
        <v>0</v>
      </c>
      <c r="Q19" s="175" t="s">
        <v>83</v>
      </c>
      <c r="R19" s="175"/>
      <c r="S19" s="177">
        <f>F54</f>
        <v>0</v>
      </c>
      <c r="W19" s="225">
        <f>DATE('P Gerais'!$C$6,$W$7,Lanc!C19)</f>
        <v>42016</v>
      </c>
      <c r="X19" s="23">
        <f t="shared" si="5"/>
        <v>2</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TER</v>
      </c>
      <c r="E20" s="93" t="s">
        <v>191</v>
      </c>
      <c r="F20" s="62"/>
      <c r="G20" s="62"/>
      <c r="H20" s="62"/>
      <c r="I20" s="62"/>
      <c r="J20" s="10"/>
      <c r="K20" s="60">
        <f t="shared" si="3"/>
        <v>0</v>
      </c>
      <c r="L20" s="51"/>
      <c r="M20" s="60">
        <f>IF(E20="Falta Justificada",0,IF(E20="Feriado",0,IF(E20="Folga(DSR)",0,IF(VLOOKUP(D20,'P Gerais'!$C$23:$M$29,11,0)-Lanc!K20&gt;0,VLOOKUP(D20,'P Gerais'!$C$23:$M$29,11,0)-Lanc!K20,0))))</f>
        <v>0</v>
      </c>
      <c r="N20" s="51"/>
      <c r="O20" s="60">
        <f>IF(E20="Feriado",IF(F20&gt;I20,(I20+1-F20)-(H20-G20),(I20-F20)-(H20-G20)),IF(E20="Folga(DSR)",IF(F20&gt;I20,(I20+1-F20)-(H20-G20),(I20-F20)-(H20-G20)),IF(E20="Falta Justificada",IF(F20&gt;I20,(I20+1-F20)-(H20-G20),(I20-F20)-(H20-G20)),IF(VLOOKUP(D20,'P Gerais'!$C$23:$M$29,11,0)-Lanc!K20&lt;0,ABS(VLOOKUP(D20,'P Gerais'!$C$23:$M$29,11,0)-Lanc!K20),0))))</f>
        <v>0</v>
      </c>
      <c r="P20" s="2">
        <f t="shared" si="4"/>
        <v>0</v>
      </c>
      <c r="Q20" s="175"/>
      <c r="R20" s="175"/>
      <c r="S20" s="177"/>
      <c r="W20" s="225">
        <f>DATE('P Gerais'!$C$6,$W$7,Lanc!C20)</f>
        <v>42017</v>
      </c>
      <c r="X20" s="23">
        <f t="shared" si="5"/>
        <v>3</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QUA</v>
      </c>
      <c r="E21" s="93" t="s">
        <v>191</v>
      </c>
      <c r="F21" s="62"/>
      <c r="G21" s="62"/>
      <c r="H21" s="62"/>
      <c r="I21" s="62"/>
      <c r="J21" s="10"/>
      <c r="K21" s="60">
        <f t="shared" si="3"/>
        <v>0</v>
      </c>
      <c r="L21" s="51"/>
      <c r="M21" s="60">
        <f>IF(E21="Falta Justificada",0,IF(E21="Feriado",0,IF(E21="Folga(DSR)",0,IF(VLOOKUP(D21,'P Gerais'!$C$23:$M$29,11,0)-Lanc!K21&gt;0,VLOOKUP(D21,'P Gerais'!$C$23:$M$29,11,0)-Lanc!K21,0))))</f>
        <v>0</v>
      </c>
      <c r="N21" s="51"/>
      <c r="O21" s="60">
        <f>IF(E21="Feriado",IF(F21&gt;I21,(I21+1-F21)-(H21-G21),(I21-F21)-(H21-G21)),IF(E21="Folga(DSR)",IF(F21&gt;I21,(I21+1-F21)-(H21-G21),(I21-F21)-(H21-G21)),IF(E21="Falta Justificada",IF(F21&gt;I21,(I21+1-F21)-(H21-G21),(I21-F21)-(H21-G21)),IF(VLOOKUP(D21,'P Gerais'!$C$23:$M$29,11,0)-Lanc!K21&lt;0,ABS(VLOOKUP(D21,'P Gerais'!$C$23:$M$29,11,0)-Lanc!K21),0))))</f>
        <v>0</v>
      </c>
      <c r="P21" s="2">
        <f t="shared" si="4"/>
        <v>0</v>
      </c>
      <c r="W21" s="225">
        <f>DATE('P Gerais'!$C$6,$W$7,Lanc!C21)</f>
        <v>42018</v>
      </c>
      <c r="X21" s="23">
        <f t="shared" si="5"/>
        <v>4</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QUI</v>
      </c>
      <c r="E22" s="93" t="s">
        <v>191</v>
      </c>
      <c r="F22" s="62"/>
      <c r="G22" s="62"/>
      <c r="H22" s="62"/>
      <c r="I22" s="62"/>
      <c r="J22" s="10"/>
      <c r="K22" s="60">
        <f t="shared" si="3"/>
        <v>0</v>
      </c>
      <c r="L22" s="51"/>
      <c r="M22" s="60">
        <f>IF(E22="Falta Justificada",0,IF(E22="Feriado",0,IF(E22="Folga(DSR)",0,IF(VLOOKUP(D22,'P Gerais'!$C$23:$M$29,11,0)-Lanc!K22&gt;0,VLOOKUP(D22,'P Gerais'!$C$23:$M$29,11,0)-Lanc!K22,0))))</f>
        <v>0</v>
      </c>
      <c r="N22" s="51"/>
      <c r="O22" s="60">
        <f>IF(E22="Feriado",IF(F22&gt;I22,(I22+1-F22)-(H22-G22),(I22-F22)-(H22-G22)),IF(E22="Folga(DSR)",IF(F22&gt;I22,(I22+1-F22)-(H22-G22),(I22-F22)-(H22-G22)),IF(E22="Falta Justificada",IF(F22&gt;I22,(I22+1-F22)-(H22-G22),(I22-F22)-(H22-G22)),IF(VLOOKUP(D22,'P Gerais'!$C$23:$M$29,11,0)-Lanc!K22&lt;0,ABS(VLOOKUP(D22,'P Gerais'!$C$23:$M$29,11,0)-Lanc!K22),0))))</f>
        <v>0</v>
      </c>
      <c r="P22" s="2">
        <f t="shared" si="4"/>
        <v>0</v>
      </c>
      <c r="W22" s="225">
        <f>DATE('P Gerais'!$C$6,$W$7,Lanc!C22)</f>
        <v>42019</v>
      </c>
      <c r="X22" s="23">
        <f t="shared" si="5"/>
        <v>5</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SEX</v>
      </c>
      <c r="E23" s="93" t="s">
        <v>191</v>
      </c>
      <c r="F23" s="62"/>
      <c r="G23" s="62"/>
      <c r="H23" s="62"/>
      <c r="I23" s="62"/>
      <c r="J23" s="10"/>
      <c r="K23" s="60">
        <f t="shared" si="3"/>
        <v>0</v>
      </c>
      <c r="L23" s="51"/>
      <c r="M23" s="60">
        <f>IF(E23="Falta Justificada",0,IF(E23="Feriado",0,IF(E23="Folga(DSR)",0,IF(VLOOKUP(D23,'P Gerais'!$C$23:$M$29,11,0)-Lanc!K23&gt;0,VLOOKUP(D23,'P Gerais'!$C$23:$M$29,11,0)-Lanc!K23,0))))</f>
        <v>0</v>
      </c>
      <c r="N23" s="51"/>
      <c r="O23" s="60">
        <f>IF(E23="Feriado",IF(F23&gt;I23,(I23+1-F23)-(H23-G23),(I23-F23)-(H23-G23)),IF(E23="Folga(DSR)",IF(F23&gt;I23,(I23+1-F23)-(H23-G23),(I23-F23)-(H23-G23)),IF(E23="Falta Justificada",IF(F23&gt;I23,(I23+1-F23)-(H23-G23),(I23-F23)-(H23-G23)),IF(VLOOKUP(D23,'P Gerais'!$C$23:$M$29,11,0)-Lanc!K23&lt;0,ABS(VLOOKUP(D23,'P Gerais'!$C$23:$M$29,11,0)-Lanc!K23),0))))</f>
        <v>0</v>
      </c>
      <c r="P23" s="2">
        <f t="shared" si="4"/>
        <v>0</v>
      </c>
      <c r="Q23" s="178" t="s">
        <v>77</v>
      </c>
      <c r="R23" s="178"/>
      <c r="S23" s="178"/>
      <c r="W23" s="225">
        <f>DATE('P Gerais'!$C$6,$W$7,Lanc!C23)</f>
        <v>42020</v>
      </c>
      <c r="X23" s="23">
        <f t="shared" si="5"/>
        <v>6</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SÁB</v>
      </c>
      <c r="E24" s="93" t="s">
        <v>191</v>
      </c>
      <c r="F24" s="62"/>
      <c r="G24" s="62"/>
      <c r="H24" s="62"/>
      <c r="I24" s="62"/>
      <c r="J24" s="10"/>
      <c r="K24" s="60">
        <f t="shared" si="3"/>
        <v>0</v>
      </c>
      <c r="L24" s="51"/>
      <c r="M24" s="60">
        <f>IF(E24="Falta Justificada",0,IF(E24="Feriado",0,IF(E24="Folga(DSR)",0,IF(VLOOKUP(D24,'P Gerais'!$C$23:$M$29,11,0)-Lanc!K24&gt;0,VLOOKUP(D24,'P Gerais'!$C$23:$M$29,11,0)-Lanc!K24,0))))</f>
        <v>0</v>
      </c>
      <c r="N24" s="51"/>
      <c r="O24" s="60">
        <f>IF(E24="Feriado",IF(F24&gt;I24,(I24+1-F24)-(H24-G24),(I24-F24)-(H24-G24)),IF(E24="Folga(DSR)",IF(F24&gt;I24,(I24+1-F24)-(H24-G24),(I24-F24)-(H24-G24)),IF(E24="Falta Justificada",IF(F24&gt;I24,(I24+1-F24)-(H24-G24),(I24-F24)-(H24-G24)),IF(VLOOKUP(D24,'P Gerais'!$C$23:$M$29,11,0)-Lanc!K24&lt;0,ABS(VLOOKUP(D24,'P Gerais'!$C$23:$M$29,11,0)-Lanc!K24),0))))</f>
        <v>0</v>
      </c>
      <c r="P24" s="2">
        <f t="shared" si="4"/>
        <v>0</v>
      </c>
      <c r="Q24" s="178"/>
      <c r="R24" s="178"/>
      <c r="S24" s="178"/>
      <c r="W24" s="225">
        <f>DATE('P Gerais'!$C$6,$W$7,Lanc!C24)</f>
        <v>42021</v>
      </c>
      <c r="X24" s="23">
        <f t="shared" si="5"/>
        <v>7</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DOM</v>
      </c>
      <c r="E25" s="93" t="s">
        <v>191</v>
      </c>
      <c r="F25" s="62"/>
      <c r="G25" s="62"/>
      <c r="H25" s="62"/>
      <c r="I25" s="62"/>
      <c r="J25" s="10"/>
      <c r="K25" s="60">
        <f t="shared" si="3"/>
        <v>0</v>
      </c>
      <c r="L25" s="51"/>
      <c r="M25" s="60">
        <f>IF(E25="Falta Justificada",0,IF(E25="Feriado",0,IF(E25="Folga(DSR)",0,IF(VLOOKUP(D25,'P Gerais'!$C$23:$M$29,11,0)-Lanc!K25&gt;0,VLOOKUP(D25,'P Gerais'!$C$23:$M$29,11,0)-Lanc!K25,0))))</f>
        <v>0</v>
      </c>
      <c r="N25" s="51"/>
      <c r="O25" s="60">
        <f>IF(E25="Feriado",IF(F25&gt;I25,(I25+1-F25)-(H25-G25),(I25-F25)-(H25-G25)),IF(E25="Folga(DSR)",IF(F25&gt;I25,(I25+1-F25)-(H25-G25),(I25-F25)-(H25-G25)),IF(E25="Falta Justificada",IF(F25&gt;I25,(I25+1-F25)-(H25-G25),(I25-F25)-(H25-G25)),IF(VLOOKUP(D25,'P Gerais'!$C$23:$M$29,11,0)-Lanc!K25&lt;0,ABS(VLOOKUP(D25,'P Gerais'!$C$23:$M$29,11,0)-Lanc!K25),0))))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Gerais'!$C$6,$W$7,Lanc!C25)</f>
        <v>42022</v>
      </c>
      <c r="X25" s="23">
        <f t="shared" si="5"/>
        <v>1</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SEG</v>
      </c>
      <c r="E26" s="93" t="s">
        <v>191</v>
      </c>
      <c r="F26" s="62"/>
      <c r="G26" s="62"/>
      <c r="H26" s="62"/>
      <c r="I26" s="62"/>
      <c r="J26" s="10"/>
      <c r="K26" s="60">
        <f t="shared" si="3"/>
        <v>0</v>
      </c>
      <c r="L26" s="51"/>
      <c r="M26" s="60">
        <f>IF(E26="Falta Justificada",0,IF(E26="Feriado",0,IF(E26="Folga(DSR)",0,IF(VLOOKUP(D26,'P Gerais'!$C$23:$M$29,11,0)-Lanc!K26&gt;0,VLOOKUP(D26,'P Gerais'!$C$23:$M$29,11,0)-Lanc!K26,0))))</f>
        <v>0</v>
      </c>
      <c r="N26" s="51"/>
      <c r="O26" s="60">
        <f>IF(E26="Feriado",IF(F26&gt;I26,(I26+1-F26)-(H26-G26),(I26-F26)-(H26-G26)),IF(E26="Folga(DSR)",IF(F26&gt;I26,(I26+1-F26)-(H26-G26),(I26-F26)-(H26-G26)),IF(E26="Falta Justificada",IF(F26&gt;I26,(I26+1-F26)-(H26-G26),(I26-F26)-(H26-G26)),IF(VLOOKUP(D26,'P Gerais'!$C$23:$M$29,11,0)-Lanc!K26&lt;0,ABS(VLOOKUP(D26,'P Gerais'!$C$23:$M$29,11,0)-Lanc!K26),0))))</f>
        <v>0</v>
      </c>
      <c r="P26" s="2">
        <f t="shared" si="4"/>
        <v>0</v>
      </c>
      <c r="Q26" s="176"/>
      <c r="R26" s="176"/>
      <c r="S26" s="176"/>
      <c r="W26" s="225">
        <f>DATE('P Gerais'!$C$6,$W$7,Lanc!C26)</f>
        <v>42023</v>
      </c>
      <c r="X26" s="23">
        <f t="shared" si="5"/>
        <v>2</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TER</v>
      </c>
      <c r="E27" s="93" t="s">
        <v>191</v>
      </c>
      <c r="F27" s="62"/>
      <c r="G27" s="62"/>
      <c r="H27" s="62"/>
      <c r="I27" s="62"/>
      <c r="J27" s="10"/>
      <c r="K27" s="60">
        <f t="shared" si="3"/>
        <v>0</v>
      </c>
      <c r="L27" s="51"/>
      <c r="M27" s="60">
        <f>IF(E27="Falta Justificada",0,IF(E27="Feriado",0,IF(E27="Folga(DSR)",0,IF(VLOOKUP(D27,'P Gerais'!$C$23:$M$29,11,0)-Lanc!K27&gt;0,VLOOKUP(D27,'P Gerais'!$C$23:$M$29,11,0)-Lanc!K27,0))))</f>
        <v>0</v>
      </c>
      <c r="N27" s="51"/>
      <c r="O27" s="60">
        <f>IF(E27="Feriado",IF(F27&gt;I27,(I27+1-F27)-(H27-G27),(I27-F27)-(H27-G27)),IF(E27="Folga(DSR)",IF(F27&gt;I27,(I27+1-F27)-(H27-G27),(I27-F27)-(H27-G27)),IF(E27="Falta Justificada",IF(F27&gt;I27,(I27+1-F27)-(H27-G27),(I27-F27)-(H27-G27)),IF(VLOOKUP(D27,'P Gerais'!$C$23:$M$29,11,0)-Lanc!K27&lt;0,ABS(VLOOKUP(D27,'P Gerais'!$C$23:$M$29,11,0)-Lanc!K27),0))))</f>
        <v>0</v>
      </c>
      <c r="P27" s="2">
        <f t="shared" si="4"/>
        <v>0</v>
      </c>
      <c r="Q27" s="176"/>
      <c r="R27" s="176"/>
      <c r="S27" s="176"/>
      <c r="W27" s="225">
        <f>DATE('P Gerais'!$C$6,$W$7,Lanc!C27)</f>
        <v>42024</v>
      </c>
      <c r="X27" s="23">
        <f t="shared" si="5"/>
        <v>3</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QUA</v>
      </c>
      <c r="E28" s="93" t="s">
        <v>191</v>
      </c>
      <c r="F28" s="62"/>
      <c r="G28" s="62"/>
      <c r="H28" s="62"/>
      <c r="I28" s="62"/>
      <c r="J28" s="10"/>
      <c r="K28" s="60">
        <f t="shared" si="3"/>
        <v>0</v>
      </c>
      <c r="L28" s="51"/>
      <c r="M28" s="60">
        <f>IF(E28="Falta Justificada",0,IF(E28="Feriado",0,IF(E28="Folga(DSR)",0,IF(VLOOKUP(D28,'P Gerais'!$C$23:$M$29,11,0)-Lanc!K28&gt;0,VLOOKUP(D28,'P Gerais'!$C$23:$M$29,11,0)-Lanc!K28,0))))</f>
        <v>0</v>
      </c>
      <c r="N28" s="51"/>
      <c r="O28" s="60">
        <f>IF(E28="Feriado",IF(F28&gt;I28,(I28+1-F28)-(H28-G28),(I28-F28)-(H28-G28)),IF(E28="Folga(DSR)",IF(F28&gt;I28,(I28+1-F28)-(H28-G28),(I28-F28)-(H28-G28)),IF(E28="Falta Justificada",IF(F28&gt;I28,(I28+1-F28)-(H28-G28),(I28-F28)-(H28-G28)),IF(VLOOKUP(D28,'P Gerais'!$C$23:$M$29,11,0)-Lanc!K28&lt;0,ABS(VLOOKUP(D28,'P Gerais'!$C$23:$M$29,11,0)-Lanc!K28),0))))</f>
        <v>0</v>
      </c>
      <c r="P28" s="2">
        <f t="shared" si="4"/>
        <v>0</v>
      </c>
      <c r="Q28" s="176"/>
      <c r="R28" s="176"/>
      <c r="S28" s="176"/>
      <c r="W28" s="225">
        <f>DATE('P Gerais'!$C$6,$W$7,Lanc!C28)</f>
        <v>42025</v>
      </c>
      <c r="X28" s="23">
        <f t="shared" si="5"/>
        <v>4</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QUI</v>
      </c>
      <c r="E29" s="93" t="s">
        <v>191</v>
      </c>
      <c r="F29" s="62"/>
      <c r="G29" s="62"/>
      <c r="H29" s="62"/>
      <c r="I29" s="62"/>
      <c r="J29" s="10"/>
      <c r="K29" s="60">
        <f t="shared" si="3"/>
        <v>0</v>
      </c>
      <c r="L29" s="51"/>
      <c r="M29" s="60">
        <f>IF(E29="Falta Justificada",0,IF(E29="Feriado",0,IF(E29="Folga(DSR)",0,IF(VLOOKUP(D29,'P Gerais'!$C$23:$M$29,11,0)-Lanc!K29&gt;0,VLOOKUP(D29,'P Gerais'!$C$23:$M$29,11,0)-Lanc!K29,0))))</f>
        <v>0</v>
      </c>
      <c r="N29" s="51"/>
      <c r="O29" s="60">
        <f>IF(E29="Feriado",IF(F29&gt;I29,(I29+1-F29)-(H29-G29),(I29-F29)-(H29-G29)),IF(E29="Folga(DSR)",IF(F29&gt;I29,(I29+1-F29)-(H29-G29),(I29-F29)-(H29-G29)),IF(E29="Falta Justificada",IF(F29&gt;I29,(I29+1-F29)-(H29-G29),(I29-F29)-(H29-G29)),IF(VLOOKUP(D29,'P Gerais'!$C$23:$M$29,11,0)-Lanc!K29&lt;0,ABS(VLOOKUP(D29,'P Gerais'!$C$23:$M$29,11,0)-Lanc!K29),0))))</f>
        <v>0</v>
      </c>
      <c r="P29" s="2">
        <f t="shared" si="4"/>
        <v>0</v>
      </c>
      <c r="Q29" s="176"/>
      <c r="R29" s="176"/>
      <c r="S29" s="176"/>
      <c r="W29" s="225">
        <f>DATE('P Gerais'!$C$6,$W$7,Lanc!C29)</f>
        <v>42026</v>
      </c>
      <c r="X29" s="23">
        <f t="shared" si="5"/>
        <v>5</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SEX</v>
      </c>
      <c r="E30" s="93" t="s">
        <v>191</v>
      </c>
      <c r="F30" s="62"/>
      <c r="G30" s="62"/>
      <c r="H30" s="62"/>
      <c r="I30" s="62"/>
      <c r="J30" s="10"/>
      <c r="K30" s="60">
        <f t="shared" si="3"/>
        <v>0</v>
      </c>
      <c r="L30" s="51"/>
      <c r="M30" s="60">
        <f>IF(E30="Falta Justificada",0,IF(E30="Feriado",0,IF(E30="Folga(DSR)",0,IF(VLOOKUP(D30,'P Gerais'!$C$23:$M$29,11,0)-Lanc!K30&gt;0,VLOOKUP(D30,'P Gerais'!$C$23:$M$29,11,0)-Lanc!K30,0))))</f>
        <v>0</v>
      </c>
      <c r="N30" s="51"/>
      <c r="O30" s="60">
        <f>IF(E30="Feriado",IF(F30&gt;I30,(I30+1-F30)-(H30-G30),(I30-F30)-(H30-G30)),IF(E30="Folga(DSR)",IF(F30&gt;I30,(I30+1-F30)-(H30-G30),(I30-F30)-(H30-G30)),IF(E30="Falta Justificada",IF(F30&gt;I30,(I30+1-F30)-(H30-G30),(I30-F30)-(H30-G30)),IF(VLOOKUP(D30,'P Gerais'!$C$23:$M$29,11,0)-Lanc!K30&lt;0,ABS(VLOOKUP(D30,'P Gerais'!$C$23:$M$29,11,0)-Lanc!K30),0))))</f>
        <v>0</v>
      </c>
      <c r="P30" s="2">
        <f t="shared" si="4"/>
        <v>0</v>
      </c>
      <c r="Q30" s="176"/>
      <c r="R30" s="176"/>
      <c r="S30" s="176"/>
      <c r="W30" s="225">
        <f>DATE('P Gerais'!$C$6,$W$7,Lanc!C30)</f>
        <v>42027</v>
      </c>
      <c r="X30" s="23">
        <f t="shared" si="5"/>
        <v>6</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SÁB</v>
      </c>
      <c r="E31" s="93" t="s">
        <v>191</v>
      </c>
      <c r="F31" s="62"/>
      <c r="G31" s="62"/>
      <c r="H31" s="62"/>
      <c r="I31" s="62"/>
      <c r="J31" s="10"/>
      <c r="K31" s="60">
        <f t="shared" si="3"/>
        <v>0</v>
      </c>
      <c r="L31" s="51"/>
      <c r="M31" s="60">
        <f>IF(E31="Falta Justificada",0,IF(E31="Feriado",0,IF(E31="Folga(DSR)",0,IF(VLOOKUP(D31,'P Gerais'!$C$23:$M$29,11,0)-Lanc!K31&gt;0,VLOOKUP(D31,'P Gerais'!$C$23:$M$29,11,0)-Lanc!K31,0))))</f>
        <v>0</v>
      </c>
      <c r="N31" s="51"/>
      <c r="O31" s="60">
        <f>IF(E31="Feriado",IF(F31&gt;I31,(I31+1-F31)-(H31-G31),(I31-F31)-(H31-G31)),IF(E31="Folga(DSR)",IF(F31&gt;I31,(I31+1-F31)-(H31-G31),(I31-F31)-(H31-G31)),IF(E31="Falta Justificada",IF(F31&gt;I31,(I31+1-F31)-(H31-G31),(I31-F31)-(H31-G31)),IF(VLOOKUP(D31,'P Gerais'!$C$23:$M$29,11,0)-Lanc!K31&lt;0,ABS(VLOOKUP(D31,'P Gerais'!$C$23:$M$29,11,0)-Lanc!K31),0))))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Gerais'!$C$6,$W$7,Lanc!C31)</f>
        <v>42028</v>
      </c>
      <c r="X31" s="23">
        <f t="shared" si="5"/>
        <v>7</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DOM</v>
      </c>
      <c r="E32" s="93" t="s">
        <v>191</v>
      </c>
      <c r="F32" s="62"/>
      <c r="G32" s="62"/>
      <c r="H32" s="62"/>
      <c r="I32" s="62"/>
      <c r="J32" s="10"/>
      <c r="K32" s="60">
        <f t="shared" si="3"/>
        <v>0</v>
      </c>
      <c r="L32" s="51"/>
      <c r="M32" s="60">
        <f>IF(E32="Falta Justificada",0,IF(E32="Feriado",0,IF(E32="Folga(DSR)",0,IF(VLOOKUP(D32,'P Gerais'!$C$23:$M$29,11,0)-Lanc!K32&gt;0,VLOOKUP(D32,'P Gerais'!$C$23:$M$29,11,0)-Lanc!K32,0))))</f>
        <v>0</v>
      </c>
      <c r="N32" s="51"/>
      <c r="O32" s="60">
        <f>IF(E32="Feriado",IF(F32&gt;I32,(I32+1-F32)-(H32-G32),(I32-F32)-(H32-G32)),IF(E32="Folga(DSR)",IF(F32&gt;I32,(I32+1-F32)-(H32-G32),(I32-F32)-(H32-G32)),IF(E32="Falta Justificada",IF(F32&gt;I32,(I32+1-F32)-(H32-G32),(I32-F32)-(H32-G32)),IF(VLOOKUP(D32,'P Gerais'!$C$23:$M$29,11,0)-Lanc!K32&lt;0,ABS(VLOOKUP(D32,'P Gerais'!$C$23:$M$29,11,0)-Lanc!K32),0))))</f>
        <v>0</v>
      </c>
      <c r="P32" s="2">
        <f t="shared" si="4"/>
        <v>0</v>
      </c>
      <c r="Q32" s="176"/>
      <c r="R32" s="176"/>
      <c r="S32" s="176"/>
      <c r="W32" s="225">
        <f>DATE('P Gerais'!$C$6,$W$7,Lanc!C32)</f>
        <v>42029</v>
      </c>
      <c r="X32" s="23">
        <f t="shared" si="5"/>
        <v>1</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SEG</v>
      </c>
      <c r="E33" s="93" t="s">
        <v>191</v>
      </c>
      <c r="F33" s="62"/>
      <c r="G33" s="62"/>
      <c r="H33" s="62"/>
      <c r="I33" s="62"/>
      <c r="J33" s="10"/>
      <c r="K33" s="60">
        <f t="shared" si="3"/>
        <v>0</v>
      </c>
      <c r="L33" s="51"/>
      <c r="M33" s="60">
        <f>IF(E33="Falta Justificada",0,IF(E33="Feriado",0,IF(E33="Folga(DSR)",0,IF(VLOOKUP(D33,'P Gerais'!$C$23:$M$29,11,0)-Lanc!K33&gt;0,VLOOKUP(D33,'P Gerais'!$C$23:$M$29,11,0)-Lanc!K33,0))))</f>
        <v>0</v>
      </c>
      <c r="N33" s="51"/>
      <c r="O33" s="60">
        <f>IF(E33="Feriado",IF(F33&gt;I33,(I33+1-F33)-(H33-G33),(I33-F33)-(H33-G33)),IF(E33="Folga(DSR)",IF(F33&gt;I33,(I33+1-F33)-(H33-G33),(I33-F33)-(H33-G33)),IF(E33="Falta Justificada",IF(F33&gt;I33,(I33+1-F33)-(H33-G33),(I33-F33)-(H33-G33)),IF(VLOOKUP(D33,'P Gerais'!$C$23:$M$29,11,0)-Lanc!K33&lt;0,ABS(VLOOKUP(D33,'P Gerais'!$C$23:$M$29,11,0)-Lanc!K33),0))))</f>
        <v>0</v>
      </c>
      <c r="P33" s="2">
        <f t="shared" si="4"/>
        <v>0</v>
      </c>
      <c r="Q33" s="176"/>
      <c r="R33" s="176"/>
      <c r="S33" s="176"/>
      <c r="W33" s="225">
        <f>DATE('P Gerais'!$C$6,$W$7,Lanc!C33)</f>
        <v>42030</v>
      </c>
      <c r="X33" s="23">
        <f t="shared" si="5"/>
        <v>2</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TER</v>
      </c>
      <c r="E34" s="93" t="s">
        <v>191</v>
      </c>
      <c r="F34" s="62"/>
      <c r="G34" s="62"/>
      <c r="H34" s="62"/>
      <c r="I34" s="62"/>
      <c r="J34" s="10"/>
      <c r="K34" s="60">
        <f t="shared" si="3"/>
        <v>0</v>
      </c>
      <c r="L34" s="51"/>
      <c r="M34" s="60">
        <f>IF(E34="Falta Justificada",0,IF(E34="Feriado",0,IF(E34="Folga(DSR)",0,IF(VLOOKUP(D34,'P Gerais'!$C$23:$M$29,11,0)-Lanc!K34&gt;0,VLOOKUP(D34,'P Gerais'!$C$23:$M$29,11,0)-Lanc!K34,0))))</f>
        <v>0</v>
      </c>
      <c r="N34" s="51"/>
      <c r="O34" s="60">
        <f>IF(E34="Feriado",IF(F34&gt;I34,(I34+1-F34)-(H34-G34),(I34-F34)-(H34-G34)),IF(E34="Folga(DSR)",IF(F34&gt;I34,(I34+1-F34)-(H34-G34),(I34-F34)-(H34-G34)),IF(E34="Falta Justificada",IF(F34&gt;I34,(I34+1-F34)-(H34-G34),(I34-F34)-(H34-G34)),IF(VLOOKUP(D34,'P Gerais'!$C$23:$M$29,11,0)-Lanc!K34&lt;0,ABS(VLOOKUP(D34,'P Gerais'!$C$23:$M$29,11,0)-Lanc!K34),0))))</f>
        <v>0</v>
      </c>
      <c r="P34" s="2">
        <f t="shared" si="4"/>
        <v>0</v>
      </c>
      <c r="Q34" s="176"/>
      <c r="R34" s="176"/>
      <c r="S34" s="176"/>
      <c r="W34" s="225">
        <f>DATE('P Gerais'!$C$6,$W$7,Lanc!C34)</f>
        <v>42031</v>
      </c>
      <c r="X34" s="23">
        <f t="shared" si="5"/>
        <v>3</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QUA</v>
      </c>
      <c r="E35" s="93" t="s">
        <v>191</v>
      </c>
      <c r="F35" s="62"/>
      <c r="G35" s="62"/>
      <c r="H35" s="62"/>
      <c r="I35" s="62"/>
      <c r="J35" s="10"/>
      <c r="K35" s="60">
        <f t="shared" si="3"/>
        <v>0</v>
      </c>
      <c r="L35" s="51"/>
      <c r="M35" s="60">
        <f>IF(E35="Falta Justificada",0,IF(E35="Feriado",0,IF(E35="Folga(DSR)",0,IF(VLOOKUP(D35,'P Gerais'!$C$23:$M$29,11,0)-Lanc!K35&gt;0,VLOOKUP(D35,'P Gerais'!$C$23:$M$29,11,0)-Lanc!K35,0))))</f>
        <v>0</v>
      </c>
      <c r="N35" s="51"/>
      <c r="O35" s="60">
        <f>IF(E35="Feriado",IF(F35&gt;I35,(I35+1-F35)-(H35-G35),(I35-F35)-(H35-G35)),IF(E35="Folga(DSR)",IF(F35&gt;I35,(I35+1-F35)-(H35-G35),(I35-F35)-(H35-G35)),IF(E35="Falta Justificada",IF(F35&gt;I35,(I35+1-F35)-(H35-G35),(I35-F35)-(H35-G35)),IF(VLOOKUP(D35,'P Gerais'!$C$23:$M$29,11,0)-Lanc!K35&lt;0,ABS(VLOOKUP(D35,'P Gerais'!$C$23:$M$29,11,0)-Lanc!K35),0))))</f>
        <v>0</v>
      </c>
      <c r="P35" s="2">
        <f t="shared" si="4"/>
        <v>0</v>
      </c>
      <c r="Q35" s="176"/>
      <c r="R35" s="176"/>
      <c r="S35" s="176"/>
      <c r="W35" s="225">
        <f>DATE('P Gerais'!$C$6,$W$7,Lanc!C35)</f>
        <v>42032</v>
      </c>
      <c r="X35" s="23">
        <f t="shared" si="5"/>
        <v>4</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QUI</v>
      </c>
      <c r="E36" s="93" t="s">
        <v>191</v>
      </c>
      <c r="F36" s="62"/>
      <c r="G36" s="62"/>
      <c r="H36" s="62"/>
      <c r="I36" s="62"/>
      <c r="J36" s="10"/>
      <c r="K36" s="60">
        <f t="shared" si="3"/>
        <v>0</v>
      </c>
      <c r="L36" s="51"/>
      <c r="M36" s="60">
        <f>IF(E36="Falta Justificada",0,IF(E36="Feriado",0,IF(E36="Folga(DSR)",0,IF(VLOOKUP(D36,'P Gerais'!$C$23:$M$29,11,0)-Lanc!K36&gt;0,VLOOKUP(D36,'P Gerais'!$C$23:$M$29,11,0)-Lanc!K36,0))))</f>
        <v>0</v>
      </c>
      <c r="N36" s="51"/>
      <c r="O36" s="60">
        <f>IF(E36="Feriado",IF(F36&gt;I36,(I36+1-F36)-(H36-G36),(I36-F36)-(H36-G36)),IF(E36="Folga(DSR)",IF(F36&gt;I36,(I36+1-F36)-(H36-G36),(I36-F36)-(H36-G36)),IF(E36="Falta Justificada",IF(F36&gt;I36,(I36+1-F36)-(H36-G36),(I36-F36)-(H36-G36)),IF(VLOOKUP(D36,'P Gerais'!$C$23:$M$29,11,0)-Lanc!K36&lt;0,ABS(VLOOKUP(D36,'P Gerais'!$C$23:$M$29,11,0)-Lanc!K36),0))))</f>
        <v>0</v>
      </c>
      <c r="P36" s="2">
        <f t="shared" si="4"/>
        <v>0</v>
      </c>
      <c r="Q36" s="176"/>
      <c r="R36" s="176"/>
      <c r="S36" s="176"/>
      <c r="W36" s="225">
        <f>DATE('P Gerais'!$C$6,$W$7,Lanc!C36)</f>
        <v>42033</v>
      </c>
      <c r="X36" s="23">
        <f t="shared" si="5"/>
        <v>5</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SEX</v>
      </c>
      <c r="E37" s="93" t="s">
        <v>191</v>
      </c>
      <c r="F37" s="62"/>
      <c r="G37" s="62"/>
      <c r="H37" s="62"/>
      <c r="I37" s="62"/>
      <c r="J37" s="10"/>
      <c r="K37" s="60">
        <f t="shared" si="3"/>
        <v>0</v>
      </c>
      <c r="L37" s="51"/>
      <c r="M37" s="60">
        <f>IF(E37="Falta Justificada",0,IF(E37="Feriado",0,IF(E37="Folga(DSR)",0,IF(VLOOKUP(D37,'P Gerais'!$C$23:$M$29,11,0)-Lanc!K37&gt;0,VLOOKUP(D37,'P Gerais'!$C$23:$M$29,11,0)-Lanc!K37,0))))</f>
        <v>0</v>
      </c>
      <c r="N37" s="51"/>
      <c r="O37" s="60">
        <f>IF(E37="Feriado",IF(F37&gt;I37,(I37+1-F37)-(H37-G37),(I37-F37)-(H37-G37)),IF(E37="Folga(DSR)",IF(F37&gt;I37,(I37+1-F37)-(H37-G37),(I37-F37)-(H37-G37)),IF(E37="Falta Justificada",IF(F37&gt;I37,(I37+1-F37)-(H37-G37),(I37-F37)-(H37-G37)),IF(VLOOKUP(D37,'P Gerais'!$C$23:$M$29,11,0)-Lanc!K37&lt;0,ABS(VLOOKUP(D37,'P Gerais'!$C$23:$M$29,11,0)-Lanc!K37),0))))</f>
        <v>0</v>
      </c>
      <c r="P37" s="2">
        <f t="shared" si="4"/>
        <v>0</v>
      </c>
      <c r="W37" s="225">
        <f>DATE('P Gerais'!$C$6,$W$7,Lanc!C37)</f>
        <v>42034</v>
      </c>
      <c r="X37" s="23">
        <f t="shared" si="5"/>
        <v>6</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59">
        <v>31</v>
      </c>
      <c r="D38" s="59" t="str">
        <f t="shared" si="2"/>
        <v>SÁB</v>
      </c>
      <c r="E38" s="93" t="s">
        <v>191</v>
      </c>
      <c r="F38" s="62"/>
      <c r="G38" s="62"/>
      <c r="H38" s="62"/>
      <c r="I38" s="62"/>
      <c r="J38" s="10"/>
      <c r="K38" s="60">
        <f t="shared" si="3"/>
        <v>0</v>
      </c>
      <c r="L38" s="51"/>
      <c r="M38" s="60">
        <f>IF(E38="Falta Justificada",0,IF(E38="Feriado",0,IF(E38="Folga(DSR)",0,IF(VLOOKUP(D38,'P Gerais'!$C$23:$M$29,11,0)-Lanc!K38&gt;0,VLOOKUP(D38,'P Gerais'!$C$23:$M$29,11,0)-Lanc!K38,0))))</f>
        <v>0</v>
      </c>
      <c r="N38" s="51"/>
      <c r="O38" s="60">
        <f>IF(E38="Feriado",IF(F38&gt;I38,(I38+1-F38)-(H38-G38),(I38-F38)-(H38-G38)),IF(E38="Folga(DSR)",IF(F38&gt;I38,(I38+1-F38)-(H38-G38),(I38-F38)-(H38-G38)),IF(E38="Falta Justificada",IF(F38&gt;I38,(I38+1-F38)-(H38-G38),(I38-F38)-(H38-G38)),IF(VLOOKUP(D38,'P Gerais'!$C$23:$M$29,11,0)-Lanc!K38&lt;0,ABS(VLOOKUP(D38,'P Gerais'!$C$23:$M$29,11,0)-Lanc!K38),0))))</f>
        <v>0</v>
      </c>
      <c r="P38" s="2">
        <f t="shared" si="4"/>
        <v>0</v>
      </c>
      <c r="W38" s="225">
        <f>DATE('P Gerais'!$C$6,$W$7,Lanc!C38)</f>
        <v>42035</v>
      </c>
      <c r="X38" s="23">
        <f t="shared" si="5"/>
        <v>7</v>
      </c>
      <c r="AD38" s="27"/>
      <c r="AE38" s="27"/>
      <c r="AF38" s="27">
        <f t="shared" si="6"/>
        <v>0</v>
      </c>
      <c r="AG38" s="27"/>
      <c r="AH38" s="27"/>
      <c r="AI38" s="27">
        <f t="shared" si="9"/>
        <v>0</v>
      </c>
      <c r="AJ38" s="27"/>
      <c r="AK38" s="27">
        <f t="shared" ref="AK38" si="12">IF(AND(I38&gt;$AK$7,I38&gt;AL38),I38-AL38,$AF$7)</f>
        <v>0</v>
      </c>
      <c r="AL38" s="224">
        <f>VLOOKUP(D38,'P Gerais'!$C$23:$I$29,7,FALSE)</f>
        <v>0</v>
      </c>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27"/>
      <c r="AL39" s="23"/>
      <c r="AM39" s="23"/>
      <c r="AN39" s="133"/>
    </row>
    <row r="40" spans="1:40" s="2" customFormat="1" ht="30" customHeight="1" x14ac:dyDescent="0.2">
      <c r="A40" s="9"/>
      <c r="C40" s="23"/>
      <c r="D40" s="23"/>
      <c r="E40" s="23"/>
      <c r="F40" s="28"/>
      <c r="G40" s="24">
        <v>4.1666666666666664E-2</v>
      </c>
      <c r="H40" s="2">
        <f>'P Gerais'!F16+'P Gerais'!F16*'P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x14ac:dyDescent="0.2"/>
    <row r="93" spans="1:40" x14ac:dyDescent="0.2"/>
    <row r="94" spans="1:40" x14ac:dyDescent="0.2"/>
    <row r="95" spans="1:40" x14ac:dyDescent="0.2"/>
    <row r="96" spans="1:40" x14ac:dyDescent="0.2"/>
    <row r="97" x14ac:dyDescent="0.2"/>
    <row r="98" x14ac:dyDescent="0.2"/>
    <row r="99" x14ac:dyDescent="0.2"/>
    <row r="100" x14ac:dyDescent="0.2"/>
    <row r="101" x14ac:dyDescent="0.2"/>
  </sheetData>
  <sheetProtection sheet="1" objects="1" scenarios="1" selectLockedCells="1"/>
  <mergeCells count="34">
    <mergeCell ref="C55:E55"/>
    <mergeCell ref="C48:E48"/>
    <mergeCell ref="C49:E49"/>
    <mergeCell ref="C50:E50"/>
    <mergeCell ref="C51:E51"/>
    <mergeCell ref="C52:E52"/>
    <mergeCell ref="C53:E53"/>
    <mergeCell ref="C43:E43"/>
    <mergeCell ref="C44:E44"/>
    <mergeCell ref="C45:E45"/>
    <mergeCell ref="C47:E47"/>
    <mergeCell ref="C54:E54"/>
    <mergeCell ref="C46:E46"/>
    <mergeCell ref="Q13:R14"/>
    <mergeCell ref="S13:S14"/>
    <mergeCell ref="Q15:R16"/>
    <mergeCell ref="S15:S16"/>
    <mergeCell ref="Q11:R12"/>
    <mergeCell ref="S9:S10"/>
    <mergeCell ref="C5:H5"/>
    <mergeCell ref="Q7:S8"/>
    <mergeCell ref="C41:E41"/>
    <mergeCell ref="C42:E42"/>
    <mergeCell ref="C7:D7"/>
    <mergeCell ref="G7:H7"/>
    <mergeCell ref="Q9:R10"/>
    <mergeCell ref="Q25:S30"/>
    <mergeCell ref="Q31:S36"/>
    <mergeCell ref="Q17:R18"/>
    <mergeCell ref="S17:S18"/>
    <mergeCell ref="Q19:R20"/>
    <mergeCell ref="S19:S20"/>
    <mergeCell ref="Q23:S24"/>
    <mergeCell ref="S11:S12"/>
  </mergeCells>
  <conditionalFormatting sqref="D8:D38">
    <cfRule type="containsText" dxfId="330" priority="29" operator="containsText" text="Dom">
      <formula>NOT(ISERROR(SEARCH("Dom",D8)))</formula>
    </cfRule>
    <cfRule type="containsText" dxfId="329" priority="30" operator="containsText" text="Sáb">
      <formula>NOT(ISERROR(SEARCH("Sáb",D8)))</formula>
    </cfRule>
  </conditionalFormatting>
  <conditionalFormatting sqref="S13:S14">
    <cfRule type="expression" dxfId="328" priority="22">
      <formula>$S$15&gt;$S$17</formula>
    </cfRule>
  </conditionalFormatting>
  <conditionalFormatting sqref="O8:O38">
    <cfRule type="expression" dxfId="327" priority="21">
      <formula>$O8&gt;0</formula>
    </cfRule>
  </conditionalFormatting>
  <conditionalFormatting sqref="M8:M38">
    <cfRule type="expression" dxfId="326" priority="20">
      <formula>$M8&gt;0</formula>
    </cfRule>
  </conditionalFormatting>
  <conditionalFormatting sqref="E17:I38 E8:E16">
    <cfRule type="expression" dxfId="325" priority="17">
      <formula>$E8="Folga(DSR)"</formula>
    </cfRule>
    <cfRule type="expression" dxfId="324" priority="18">
      <formula>$E8="Feriado"</formula>
    </cfRule>
    <cfRule type="expression" dxfId="323" priority="19">
      <formula>$D8="Dom"</formula>
    </cfRule>
  </conditionalFormatting>
  <conditionalFormatting sqref="S11:S12">
    <cfRule type="expression" dxfId="322" priority="16">
      <formula>$T$11="Negativo"</formula>
    </cfRule>
  </conditionalFormatting>
  <conditionalFormatting sqref="I5">
    <cfRule type="expression" dxfId="321" priority="15">
      <formula>$K$5="Horas devidas"</formula>
    </cfRule>
  </conditionalFormatting>
  <conditionalFormatting sqref="F40">
    <cfRule type="expression" dxfId="320" priority="12">
      <formula>$E40="Folga(DSR)"</formula>
    </cfRule>
    <cfRule type="expression" dxfId="319" priority="13">
      <formula>$E40="Feriado"</formula>
    </cfRule>
    <cfRule type="expression" dxfId="318" priority="14">
      <formula>$D40="Dom"</formula>
    </cfRule>
  </conditionalFormatting>
  <conditionalFormatting sqref="AJ7">
    <cfRule type="expression" dxfId="317" priority="9">
      <formula>$E7="Folga(DSR)"</formula>
    </cfRule>
    <cfRule type="expression" dxfId="316" priority="10">
      <formula>$E7="Feriado"</formula>
    </cfRule>
    <cfRule type="expression" dxfId="315" priority="11">
      <formula>$D7="Dom"</formula>
    </cfRule>
  </conditionalFormatting>
  <conditionalFormatting sqref="F8:I16">
    <cfRule type="expression" dxfId="314" priority="6">
      <formula>$E8="Folga(DSR)"</formula>
    </cfRule>
    <cfRule type="expression" dxfId="313" priority="7">
      <formula>$E8="Feriado"</formula>
    </cfRule>
    <cfRule type="expression" dxfId="312" priority="8">
      <formula>$D8="Dom"</formula>
    </cfRule>
  </conditionalFormatting>
  <conditionalFormatting sqref="K8:K38">
    <cfRule type="expression" dxfId="311" priority="2">
      <formula>$M8&gt;0</formula>
    </cfRule>
  </conditionalFormatting>
  <conditionalFormatting sqref="K8:K38">
    <cfRule type="expression" dxfId="310" priority="1">
      <formula>$O8&gt;0</formula>
    </cfRule>
  </conditionalFormatting>
  <dataValidations count="2">
    <dataValidation type="list" allowBlank="1" showInputMessage="1" showErrorMessage="1" sqref="E8:E38">
      <formula1>"Normal,Feriado,Folga(DSR),Falta Justificada"</formula1>
    </dataValidation>
    <dataValidation type="list" allowBlank="1" showInputMessage="1" showErrorMessage="1" sqref="K5">
      <formula1>"Horas extras,Horas devidas"</formula1>
    </dataValidation>
  </dataValidations>
  <pageMargins left="0.511811024" right="0.511811024" top="0.78740157499999996" bottom="0.78740157499999996" header="0.31496062000000002" footer="0.31496062000000002"/>
  <pageSetup paperSize="9" orientation="portrait"/>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9" customWidth="1"/>
    <col min="2" max="2" width="3.59765625" style="2" customWidth="1"/>
    <col min="3" max="3" width="9.796875" style="2" customWidth="1"/>
    <col min="4" max="4" width="8.59765625" style="2" customWidth="1"/>
    <col min="5" max="5" width="14.796875" style="2" customWidth="1"/>
    <col min="6" max="6" width="15.3984375" style="2" customWidth="1"/>
    <col min="7" max="9" width="11.19921875" style="2" customWidth="1"/>
    <col min="10" max="10" width="1.59765625" style="2" customWidth="1"/>
    <col min="11" max="11" width="13.3984375" style="2" customWidth="1"/>
    <col min="12" max="12" width="1.59765625" style="2" customWidth="1"/>
    <col min="13" max="13" width="13.3984375" style="2" customWidth="1"/>
    <col min="14" max="14" width="1.59765625" style="2" customWidth="1"/>
    <col min="15" max="15" width="13.3984375" style="2" customWidth="1"/>
    <col min="16" max="16" width="1.59765625" style="2" customWidth="1"/>
    <col min="17" max="19" width="16.59765625" style="2"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16384" width="8.796875" style="2"/>
  </cols>
  <sheetData>
    <row r="1" spans="1:49"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22"/>
      <c r="AT1" s="22"/>
      <c r="AU1" s="22"/>
      <c r="AV1" s="22"/>
      <c r="AW1" s="22"/>
    </row>
    <row r="2" spans="1:49"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22"/>
      <c r="AT2" s="22"/>
      <c r="AU2" s="22"/>
      <c r="AV2" s="22"/>
      <c r="AW2" s="22"/>
    </row>
    <row r="3" spans="1:49"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22"/>
      <c r="AT3" s="22"/>
      <c r="AU3" s="22"/>
      <c r="AV3" s="22"/>
      <c r="AW3" s="22"/>
    </row>
    <row r="4" spans="1:49" customFormat="1" ht="30" customHeight="1" x14ac:dyDescent="0.2">
      <c r="A4" s="1"/>
      <c r="M4" s="14"/>
      <c r="Q4" s="12"/>
      <c r="T4" s="133"/>
      <c r="U4" s="23"/>
      <c r="V4" s="23"/>
      <c r="W4" s="23"/>
      <c r="X4" s="23"/>
      <c r="Y4" s="23"/>
      <c r="Z4" s="23"/>
      <c r="AA4" s="23"/>
      <c r="AB4" s="23"/>
      <c r="AC4" s="23"/>
      <c r="AD4" s="23"/>
      <c r="AE4" s="23"/>
      <c r="AF4" s="23"/>
      <c r="AG4" s="23"/>
      <c r="AH4" s="23"/>
      <c r="AI4" s="23"/>
      <c r="AJ4" s="23"/>
      <c r="AK4" s="23"/>
      <c r="AL4" s="23"/>
      <c r="AM4" s="23"/>
      <c r="AN4" s="133"/>
      <c r="AO4" s="2"/>
      <c r="AP4" s="2"/>
      <c r="AQ4" s="2"/>
      <c r="AR4" s="2"/>
      <c r="AS4" s="2"/>
      <c r="AT4" s="2"/>
      <c r="AU4" s="2"/>
      <c r="AV4" s="2"/>
      <c r="AW4" s="2"/>
    </row>
    <row r="5" spans="1:49" customFormat="1" ht="30" customHeight="1" x14ac:dyDescent="0.2">
      <c r="A5" s="1"/>
      <c r="C5" s="173" t="s">
        <v>189</v>
      </c>
      <c r="D5" s="173"/>
      <c r="E5" s="173"/>
      <c r="F5" s="173"/>
      <c r="G5" s="173"/>
      <c r="H5" s="173"/>
      <c r="I5" s="112">
        <f>Lanc!S11</f>
        <v>0</v>
      </c>
      <c r="K5" s="2" t="str">
        <f>IF(Lanc!T11="Negativo","Negativo","Positivo")</f>
        <v>Positivo</v>
      </c>
      <c r="O5" s="12"/>
      <c r="Q5" s="12"/>
      <c r="S5" s="2">
        <f>IF(S17&gt;'P Gerais'!G6/10,1,0)</f>
        <v>0</v>
      </c>
      <c r="T5" s="133"/>
      <c r="U5" s="23"/>
      <c r="V5" s="23"/>
      <c r="W5" s="23"/>
      <c r="X5" s="23"/>
      <c r="Y5" s="23"/>
      <c r="Z5" s="23"/>
      <c r="AA5" s="23"/>
      <c r="AB5" s="23"/>
      <c r="AC5" s="23"/>
      <c r="AD5" s="23"/>
      <c r="AE5" s="23"/>
      <c r="AF5" s="23"/>
      <c r="AG5" s="23"/>
      <c r="AH5" s="23"/>
      <c r="AI5" s="27"/>
      <c r="AJ5" s="27"/>
      <c r="AK5" s="23"/>
      <c r="AL5" s="23"/>
      <c r="AM5" s="23"/>
      <c r="AN5" s="133"/>
      <c r="AO5" s="2"/>
      <c r="AP5" s="2"/>
      <c r="AQ5" s="2"/>
      <c r="AR5" s="2"/>
      <c r="AS5" s="2"/>
      <c r="AT5" s="2"/>
      <c r="AU5" s="2"/>
      <c r="AV5" s="2"/>
      <c r="AW5" s="2"/>
    </row>
    <row r="6" spans="1:49" customFormat="1" ht="7.75" customHeight="1" x14ac:dyDescent="0.2">
      <c r="A6" s="1"/>
      <c r="K6" s="12"/>
      <c r="M6" s="21">
        <f>VLOOKUP(D11,'P Gerais'!$C$23:$M$29,11,0)</f>
        <v>0</v>
      </c>
      <c r="N6" s="2"/>
      <c r="O6" s="21">
        <f>M6-K11</f>
        <v>0</v>
      </c>
      <c r="T6" s="133"/>
      <c r="U6" s="23"/>
      <c r="V6" s="23"/>
      <c r="W6" s="23"/>
      <c r="X6" s="23"/>
      <c r="Y6" s="23"/>
      <c r="Z6" s="23"/>
      <c r="AA6" s="23"/>
      <c r="AB6" s="23"/>
      <c r="AC6" s="23"/>
      <c r="AD6" s="23"/>
      <c r="AE6" s="23"/>
      <c r="AF6" s="23"/>
      <c r="AG6" s="23"/>
      <c r="AH6" s="23"/>
      <c r="AI6" s="23"/>
      <c r="AJ6" s="23"/>
      <c r="AK6" s="23"/>
      <c r="AL6" s="23"/>
      <c r="AM6" s="23"/>
      <c r="AN6" s="133"/>
      <c r="AO6" s="2"/>
      <c r="AP6" s="2"/>
      <c r="AQ6" s="2"/>
      <c r="AR6" s="2"/>
      <c r="AS6" s="2"/>
      <c r="AT6" s="2"/>
      <c r="AU6" s="2"/>
      <c r="AV6" s="2"/>
      <c r="AW6" s="2"/>
    </row>
    <row r="7" spans="1:49" customFormat="1" ht="15" customHeight="1" x14ac:dyDescent="0.2">
      <c r="A7" s="1"/>
      <c r="C7" s="168" t="s">
        <v>64</v>
      </c>
      <c r="D7" s="168"/>
      <c r="E7" s="59" t="s">
        <v>72</v>
      </c>
      <c r="F7" s="59" t="s">
        <v>0</v>
      </c>
      <c r="G7" s="168" t="s">
        <v>73</v>
      </c>
      <c r="H7" s="168"/>
      <c r="I7" s="59" t="s">
        <v>74</v>
      </c>
      <c r="K7" s="59" t="s">
        <v>75</v>
      </c>
      <c r="M7" s="59" t="s">
        <v>76</v>
      </c>
      <c r="O7" s="59" t="s">
        <v>77</v>
      </c>
      <c r="P7" s="13">
        <v>8.3333333333333329E-2</v>
      </c>
      <c r="Q7" s="168" t="s">
        <v>78</v>
      </c>
      <c r="R7" s="168"/>
      <c r="S7" s="168"/>
      <c r="T7" s="133"/>
      <c r="U7" s="23"/>
      <c r="V7" s="23"/>
      <c r="W7" s="23">
        <v>2</v>
      </c>
      <c r="X7" s="23"/>
      <c r="Y7" s="23"/>
      <c r="Z7" s="23"/>
      <c r="AA7" s="23"/>
      <c r="AB7" s="23"/>
      <c r="AC7" s="23"/>
      <c r="AD7" s="23" t="s">
        <v>194</v>
      </c>
      <c r="AE7" s="23"/>
      <c r="AF7" s="222">
        <v>0</v>
      </c>
      <c r="AG7" s="27">
        <v>1</v>
      </c>
      <c r="AH7" s="27">
        <v>0.45833333333333331</v>
      </c>
      <c r="AI7" s="27">
        <v>0.20833333333333334</v>
      </c>
      <c r="AJ7" s="223">
        <v>0.75</v>
      </c>
      <c r="AK7" s="27">
        <v>0.91666666666666663</v>
      </c>
      <c r="AL7" s="224"/>
      <c r="AM7" s="23"/>
      <c r="AN7" s="133"/>
      <c r="AO7" s="2"/>
      <c r="AP7" s="2"/>
      <c r="AQ7" s="2"/>
      <c r="AR7" s="2"/>
      <c r="AS7" s="2"/>
      <c r="AT7" s="2"/>
      <c r="AU7" s="2"/>
      <c r="AV7" s="2"/>
      <c r="AW7" s="2"/>
    </row>
    <row r="8" spans="1:49" customFormat="1" ht="15" customHeight="1" x14ac:dyDescent="0.2">
      <c r="A8" s="1"/>
      <c r="C8" s="59">
        <v>1</v>
      </c>
      <c r="D8" s="59" t="str">
        <f>VLOOKUP(X8,$AB$8:$AC$14,2,0)</f>
        <v>DOM</v>
      </c>
      <c r="E8" s="129"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T8" s="133"/>
      <c r="U8" s="23"/>
      <c r="V8" s="23"/>
      <c r="W8" s="225">
        <f>DATE('P Gerais'!$C$6,$W$7,Fev!C8)</f>
        <v>42036</v>
      </c>
      <c r="X8" s="23">
        <f>WEEKDAY(W8)</f>
        <v>1</v>
      </c>
      <c r="Y8" s="23"/>
      <c r="Z8" s="23"/>
      <c r="AA8" s="23"/>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c r="AM8" s="23"/>
      <c r="AN8" s="133"/>
      <c r="AO8" s="2"/>
      <c r="AP8" s="2"/>
      <c r="AQ8" s="2"/>
      <c r="AR8" s="2"/>
      <c r="AS8" s="2"/>
      <c r="AT8" s="2"/>
      <c r="AU8" s="2"/>
      <c r="AV8" s="2"/>
      <c r="AW8" s="2"/>
    </row>
    <row r="9" spans="1:49" customFormat="1" ht="15" customHeight="1" x14ac:dyDescent="0.2">
      <c r="A9" s="1"/>
      <c r="C9" s="59">
        <v>2</v>
      </c>
      <c r="D9" s="59" t="str">
        <f t="shared" ref="D9:D37" si="2">VLOOKUP(X9,$AB$8:$AC$14,2,0)</f>
        <v>SEG</v>
      </c>
      <c r="E9" s="93" t="s">
        <v>191</v>
      </c>
      <c r="F9" s="62"/>
      <c r="G9" s="62"/>
      <c r="H9" s="62"/>
      <c r="I9" s="62"/>
      <c r="J9" s="10"/>
      <c r="K9" s="60">
        <f t="shared" ref="K9:K35"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6" si="4">IF(O9&gt;$P$7,1,0)</f>
        <v>0</v>
      </c>
      <c r="Q9" s="175" t="s">
        <v>79</v>
      </c>
      <c r="R9" s="175"/>
      <c r="S9" s="172">
        <f>SUM(K8:K38)</f>
        <v>0</v>
      </c>
      <c r="T9" s="133"/>
      <c r="U9" s="23"/>
      <c r="V9" s="23"/>
      <c r="W9" s="225">
        <f>DATE('P Gerais'!$C$6,$W$7,Fev!C9)</f>
        <v>42037</v>
      </c>
      <c r="X9" s="23">
        <f t="shared" ref="X9:X36" si="5">WEEKDAY(W9)</f>
        <v>2</v>
      </c>
      <c r="Y9" s="23"/>
      <c r="Z9" s="23"/>
      <c r="AA9" s="23"/>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c r="AM9" s="23"/>
      <c r="AN9" s="133"/>
      <c r="AO9" s="2"/>
      <c r="AP9" s="2"/>
      <c r="AQ9" s="2"/>
      <c r="AR9" s="2"/>
      <c r="AS9" s="2"/>
      <c r="AT9" s="2"/>
      <c r="AU9" s="2"/>
      <c r="AV9" s="2"/>
      <c r="AW9" s="2"/>
    </row>
    <row r="10" spans="1:49" customFormat="1" ht="15" customHeight="1" x14ac:dyDescent="0.2">
      <c r="A10" s="1"/>
      <c r="C10" s="59">
        <v>3</v>
      </c>
      <c r="D10" s="59" t="str">
        <f t="shared" si="2"/>
        <v>TER</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T10" s="133"/>
      <c r="U10" s="23"/>
      <c r="V10" s="23"/>
      <c r="W10" s="225">
        <f>DATE('P Gerais'!$C$6,$W$7,Fev!C10)</f>
        <v>42038</v>
      </c>
      <c r="X10" s="23">
        <f t="shared" si="5"/>
        <v>3</v>
      </c>
      <c r="Y10" s="23"/>
      <c r="Z10" s="23"/>
      <c r="AA10" s="23"/>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c r="AM10" s="23"/>
      <c r="AN10" s="133"/>
      <c r="AO10" s="2"/>
      <c r="AP10" s="2"/>
      <c r="AQ10" s="2"/>
      <c r="AR10" s="2"/>
      <c r="AS10" s="2"/>
      <c r="AT10" s="2"/>
      <c r="AU10" s="2"/>
      <c r="AV10" s="2"/>
      <c r="AW10" s="2"/>
    </row>
    <row r="11" spans="1:49" customFormat="1" ht="15" customHeight="1" x14ac:dyDescent="0.2">
      <c r="A11" s="1"/>
      <c r="C11" s="59">
        <v>4</v>
      </c>
      <c r="D11" s="59" t="str">
        <f t="shared" si="2"/>
        <v>QUA</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U11" s="23"/>
      <c r="V11" s="23"/>
      <c r="W11" s="225">
        <f>DATE('P Gerais'!$C$6,$W$7,Fev!C11)</f>
        <v>42039</v>
      </c>
      <c r="X11" s="23">
        <f t="shared" si="5"/>
        <v>4</v>
      </c>
      <c r="Y11" s="23"/>
      <c r="Z11" s="23"/>
      <c r="AA11" s="23"/>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c r="AM11" s="23"/>
      <c r="AN11" s="133"/>
      <c r="AO11" s="2"/>
      <c r="AP11" s="2"/>
      <c r="AQ11" s="2"/>
      <c r="AR11" s="2"/>
      <c r="AS11" s="2"/>
      <c r="AT11" s="2"/>
      <c r="AU11" s="2"/>
      <c r="AV11" s="2"/>
      <c r="AW11" s="2"/>
    </row>
    <row r="12" spans="1:49" customFormat="1" ht="15" customHeight="1" x14ac:dyDescent="0.2">
      <c r="A12" s="1"/>
      <c r="C12" s="59">
        <v>5</v>
      </c>
      <c r="D12" s="59" t="str">
        <f t="shared" si="2"/>
        <v>QUI</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T12" s="133"/>
      <c r="U12" s="23"/>
      <c r="V12" s="23"/>
      <c r="W12" s="225">
        <f>DATE('P Gerais'!$C$6,$W$7,Fev!C12)</f>
        <v>42040</v>
      </c>
      <c r="X12" s="23">
        <f t="shared" si="5"/>
        <v>5</v>
      </c>
      <c r="Y12" s="23"/>
      <c r="Z12" s="23"/>
      <c r="AA12" s="23"/>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c r="AM12" s="23"/>
      <c r="AN12" s="133"/>
      <c r="AO12" s="2"/>
      <c r="AP12" s="2"/>
      <c r="AQ12" s="2"/>
      <c r="AR12" s="2"/>
      <c r="AS12" s="2"/>
      <c r="AT12" s="2"/>
      <c r="AU12" s="2"/>
      <c r="AV12" s="2"/>
      <c r="AW12" s="2"/>
    </row>
    <row r="13" spans="1:49" customFormat="1" ht="15" customHeight="1" x14ac:dyDescent="0.2">
      <c r="A13" s="1"/>
      <c r="C13" s="59">
        <v>6</v>
      </c>
      <c r="D13" s="59" t="str">
        <f t="shared" si="2"/>
        <v>SEX</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84">
        <f>IF(S15&gt;=S17,(S15)-S17,(S17-S15))</f>
        <v>0</v>
      </c>
      <c r="T13" s="133" t="str">
        <f>IF(S15&gt;S17,"Negativo","Positivo")</f>
        <v>Positivo</v>
      </c>
      <c r="U13" s="23"/>
      <c r="V13" s="23"/>
      <c r="W13" s="225">
        <f>DATE('P Gerais'!$C$6,$W$7,Fev!C13)</f>
        <v>42041</v>
      </c>
      <c r="X13" s="23">
        <f t="shared" si="5"/>
        <v>6</v>
      </c>
      <c r="Y13" s="23"/>
      <c r="Z13" s="23"/>
      <c r="AA13" s="23"/>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c r="AM13" s="23"/>
      <c r="AN13" s="133"/>
      <c r="AO13" s="2"/>
      <c r="AP13" s="2"/>
      <c r="AQ13" s="2"/>
      <c r="AR13" s="2"/>
      <c r="AS13" s="2"/>
      <c r="AT13" s="2"/>
      <c r="AU13" s="2"/>
      <c r="AV13" s="2"/>
      <c r="AW13" s="2"/>
    </row>
    <row r="14" spans="1:49" customFormat="1" ht="15" customHeight="1" x14ac:dyDescent="0.2">
      <c r="A14" s="1"/>
      <c r="C14" s="59">
        <v>7</v>
      </c>
      <c r="D14" s="59" t="str">
        <f t="shared" si="2"/>
        <v>SÁB</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84"/>
      <c r="T14" s="133"/>
      <c r="U14" s="23"/>
      <c r="V14" s="23"/>
      <c r="W14" s="225">
        <f>DATE('P Gerais'!$C$6,$W$7,Fev!C14)</f>
        <v>42042</v>
      </c>
      <c r="X14" s="23">
        <f t="shared" si="5"/>
        <v>7</v>
      </c>
      <c r="Y14" s="23"/>
      <c r="Z14" s="23"/>
      <c r="AA14" s="23"/>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c r="AM14" s="23"/>
      <c r="AN14" s="133"/>
      <c r="AO14" s="2"/>
      <c r="AP14" s="2"/>
      <c r="AQ14" s="2"/>
      <c r="AR14" s="2"/>
      <c r="AS14" s="2"/>
      <c r="AT14" s="2"/>
      <c r="AU14" s="2"/>
      <c r="AV14" s="2"/>
      <c r="AW14" s="2"/>
    </row>
    <row r="15" spans="1:49" customFormat="1" ht="15" customHeight="1" x14ac:dyDescent="0.2">
      <c r="A15" s="1"/>
      <c r="C15" s="59">
        <v>8</v>
      </c>
      <c r="D15" s="59" t="str">
        <f t="shared" si="2"/>
        <v>DOM</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T15" s="133"/>
      <c r="U15" s="23"/>
      <c r="V15" s="23"/>
      <c r="W15" s="225">
        <f>DATE('P Gerais'!$C$6,$W$7,Fev!C15)</f>
        <v>42043</v>
      </c>
      <c r="X15" s="23">
        <f t="shared" si="5"/>
        <v>1</v>
      </c>
      <c r="Y15" s="23"/>
      <c r="Z15" s="23"/>
      <c r="AA15" s="23"/>
      <c r="AB15" s="23"/>
      <c r="AC15" s="23"/>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c r="AM15" s="23"/>
      <c r="AN15" s="133"/>
      <c r="AO15" s="2"/>
      <c r="AP15" s="2"/>
      <c r="AQ15" s="2"/>
      <c r="AR15" s="2"/>
      <c r="AS15" s="2"/>
      <c r="AT15" s="2"/>
      <c r="AU15" s="2"/>
      <c r="AV15" s="2"/>
      <c r="AW15" s="2"/>
    </row>
    <row r="16" spans="1:49" customFormat="1" ht="15" customHeight="1" x14ac:dyDescent="0.2">
      <c r="A16" s="1"/>
      <c r="C16" s="59">
        <v>9</v>
      </c>
      <c r="D16" s="59" t="str">
        <f t="shared" si="2"/>
        <v>SEG</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T16" s="133"/>
      <c r="U16" s="23"/>
      <c r="V16" s="23"/>
      <c r="W16" s="225">
        <f>DATE('P Gerais'!$C$6,$W$7,Fev!C16)</f>
        <v>42044</v>
      </c>
      <c r="X16" s="23">
        <f t="shared" si="5"/>
        <v>2</v>
      </c>
      <c r="Y16" s="23"/>
      <c r="Z16" s="23"/>
      <c r="AA16" s="23"/>
      <c r="AB16" s="23"/>
      <c r="AC16" s="23"/>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c r="AM16" s="23"/>
      <c r="AN16" s="133"/>
      <c r="AO16" s="2"/>
      <c r="AP16" s="2"/>
      <c r="AQ16" s="2"/>
      <c r="AR16" s="2"/>
      <c r="AS16" s="2"/>
      <c r="AT16" s="2"/>
      <c r="AU16" s="2"/>
      <c r="AV16" s="2"/>
      <c r="AW16" s="2"/>
    </row>
    <row r="17" spans="1:49" customFormat="1" ht="15" customHeight="1" x14ac:dyDescent="0.2">
      <c r="A17" s="1"/>
      <c r="C17" s="59">
        <v>10</v>
      </c>
      <c r="D17" s="59" t="str">
        <f t="shared" si="2"/>
        <v>TER</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T17" s="133"/>
      <c r="U17" s="23"/>
      <c r="V17" s="23"/>
      <c r="W17" s="225">
        <f>DATE('P Gerais'!$C$6,$W$7,Fev!C17)</f>
        <v>42045</v>
      </c>
      <c r="X17" s="23">
        <f t="shared" si="5"/>
        <v>3</v>
      </c>
      <c r="Y17" s="23"/>
      <c r="Z17" s="23"/>
      <c r="AA17" s="23"/>
      <c r="AB17" s="23"/>
      <c r="AC17" s="23"/>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c r="AM17" s="23"/>
      <c r="AN17" s="133"/>
      <c r="AO17" s="2"/>
      <c r="AP17" s="2"/>
      <c r="AQ17" s="2"/>
      <c r="AR17" s="2"/>
      <c r="AS17" s="2"/>
      <c r="AT17" s="2"/>
      <c r="AU17" s="2"/>
      <c r="AV17" s="2"/>
      <c r="AW17" s="2"/>
    </row>
    <row r="18" spans="1:49" customFormat="1" ht="15" customHeight="1" x14ac:dyDescent="0.2">
      <c r="A18" s="1"/>
      <c r="C18" s="59">
        <v>11</v>
      </c>
      <c r="D18" s="59" t="str">
        <f t="shared" si="2"/>
        <v>QUA</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T18" s="133"/>
      <c r="U18" s="23"/>
      <c r="V18" s="23"/>
      <c r="W18" s="225">
        <f>DATE('P Gerais'!$C$6,$W$7,Fev!C18)</f>
        <v>42046</v>
      </c>
      <c r="X18" s="23">
        <f t="shared" si="5"/>
        <v>4</v>
      </c>
      <c r="Y18" s="23"/>
      <c r="Z18" s="23"/>
      <c r="AA18" s="23"/>
      <c r="AB18" s="23"/>
      <c r="AC18" s="23"/>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c r="AM18" s="23"/>
      <c r="AN18" s="133"/>
      <c r="AO18" s="2"/>
      <c r="AP18" s="2"/>
      <c r="AQ18" s="2"/>
      <c r="AR18" s="2"/>
      <c r="AS18" s="2"/>
      <c r="AT18" s="2"/>
      <c r="AU18" s="2"/>
      <c r="AV18" s="2"/>
      <c r="AW18" s="2"/>
    </row>
    <row r="19" spans="1:49" customFormat="1" ht="15" customHeight="1" x14ac:dyDescent="0.2">
      <c r="A19" s="1"/>
      <c r="C19" s="59">
        <v>12</v>
      </c>
      <c r="D19" s="59" t="str">
        <f t="shared" si="2"/>
        <v>QUI</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T19" s="133"/>
      <c r="U19" s="23"/>
      <c r="V19" s="23"/>
      <c r="W19" s="225">
        <f>DATE('P Gerais'!$C$6,$W$7,Fev!C19)</f>
        <v>42047</v>
      </c>
      <c r="X19" s="23">
        <f t="shared" si="5"/>
        <v>5</v>
      </c>
      <c r="Y19" s="23"/>
      <c r="Z19" s="23"/>
      <c r="AA19" s="23"/>
      <c r="AB19" s="23"/>
      <c r="AC19" s="23"/>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c r="AM19" s="23"/>
      <c r="AN19" s="133"/>
      <c r="AO19" s="2"/>
      <c r="AP19" s="2"/>
      <c r="AQ19" s="2"/>
      <c r="AR19" s="2"/>
      <c r="AS19" s="2"/>
      <c r="AT19" s="2"/>
      <c r="AU19" s="2"/>
      <c r="AV19" s="2"/>
      <c r="AW19" s="2"/>
    </row>
    <row r="20" spans="1:49" customFormat="1" ht="15" customHeight="1" x14ac:dyDescent="0.2">
      <c r="A20" s="1"/>
      <c r="C20" s="59">
        <v>13</v>
      </c>
      <c r="D20" s="59" t="str">
        <f t="shared" si="2"/>
        <v>SEX</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T20" s="133"/>
      <c r="U20" s="23"/>
      <c r="V20" s="23"/>
      <c r="W20" s="225">
        <f>DATE('P Gerais'!$C$6,$W$7,Fev!C20)</f>
        <v>42048</v>
      </c>
      <c r="X20" s="23">
        <f t="shared" si="5"/>
        <v>6</v>
      </c>
      <c r="Y20" s="23"/>
      <c r="Z20" s="23"/>
      <c r="AA20" s="23"/>
      <c r="AB20" s="23"/>
      <c r="AC20" s="23"/>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c r="AM20" s="23"/>
      <c r="AN20" s="133"/>
      <c r="AO20" s="2"/>
      <c r="AP20" s="2"/>
      <c r="AQ20" s="2"/>
      <c r="AR20" s="2"/>
      <c r="AS20" s="2"/>
      <c r="AT20" s="2"/>
      <c r="AU20" s="2"/>
      <c r="AV20" s="2"/>
      <c r="AW20" s="2"/>
    </row>
    <row r="21" spans="1:49" customFormat="1" ht="15" customHeight="1" x14ac:dyDescent="0.2">
      <c r="A21" s="1"/>
      <c r="C21" s="59">
        <v>14</v>
      </c>
      <c r="D21" s="59" t="str">
        <f t="shared" si="2"/>
        <v>SÁB</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T21" s="133"/>
      <c r="U21" s="23"/>
      <c r="V21" s="23"/>
      <c r="W21" s="225">
        <f>DATE('P Gerais'!$C$6,$W$7,Fev!C21)</f>
        <v>42049</v>
      </c>
      <c r="X21" s="23">
        <f t="shared" si="5"/>
        <v>7</v>
      </c>
      <c r="Y21" s="23"/>
      <c r="Z21" s="23"/>
      <c r="AA21" s="23"/>
      <c r="AB21" s="23"/>
      <c r="AC21" s="23"/>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c r="AM21" s="23"/>
      <c r="AN21" s="133"/>
      <c r="AO21" s="2"/>
      <c r="AP21" s="2"/>
      <c r="AQ21" s="2"/>
      <c r="AR21" s="2"/>
      <c r="AS21" s="2"/>
      <c r="AT21" s="2"/>
      <c r="AU21" s="2"/>
      <c r="AV21" s="2"/>
      <c r="AW21" s="2"/>
    </row>
    <row r="22" spans="1:49" customFormat="1" ht="15" customHeight="1" x14ac:dyDescent="0.2">
      <c r="A22" s="1"/>
      <c r="C22" s="59">
        <v>15</v>
      </c>
      <c r="D22" s="59" t="str">
        <f t="shared" si="2"/>
        <v>DOM</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T22" s="133"/>
      <c r="U22" s="23"/>
      <c r="V22" s="23"/>
      <c r="W22" s="225">
        <f>DATE('P Gerais'!$C$6,$W$7,Fev!C22)</f>
        <v>42050</v>
      </c>
      <c r="X22" s="23">
        <f t="shared" si="5"/>
        <v>1</v>
      </c>
      <c r="Y22" s="23"/>
      <c r="Z22" s="23"/>
      <c r="AA22" s="23"/>
      <c r="AB22" s="23"/>
      <c r="AC22" s="23"/>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c r="AM22" s="23"/>
      <c r="AN22" s="133"/>
      <c r="AO22" s="2"/>
      <c r="AP22" s="2"/>
      <c r="AQ22" s="2"/>
      <c r="AR22" s="2"/>
      <c r="AS22" s="2"/>
      <c r="AT22" s="2"/>
      <c r="AU22" s="2"/>
      <c r="AV22" s="2"/>
      <c r="AW22" s="2"/>
    </row>
    <row r="23" spans="1:49" customFormat="1" ht="15" customHeight="1" x14ac:dyDescent="0.2">
      <c r="A23" s="1"/>
      <c r="C23" s="59">
        <v>16</v>
      </c>
      <c r="D23" s="59" t="str">
        <f t="shared" si="2"/>
        <v>SEG</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T23" s="133"/>
      <c r="U23" s="23"/>
      <c r="V23" s="23"/>
      <c r="W23" s="225">
        <f>DATE('P Gerais'!$C$6,$W$7,Fev!C23)</f>
        <v>42051</v>
      </c>
      <c r="X23" s="23">
        <f t="shared" si="5"/>
        <v>2</v>
      </c>
      <c r="Y23" s="23"/>
      <c r="Z23" s="23"/>
      <c r="AA23" s="23"/>
      <c r="AB23" s="23"/>
      <c r="AC23" s="23"/>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c r="AM23" s="23"/>
      <c r="AN23" s="133"/>
      <c r="AO23" s="2"/>
      <c r="AP23" s="2"/>
      <c r="AQ23" s="2"/>
      <c r="AR23" s="2"/>
      <c r="AS23" s="2"/>
      <c r="AT23" s="2"/>
      <c r="AU23" s="2"/>
      <c r="AV23" s="2"/>
      <c r="AW23" s="2"/>
    </row>
    <row r="24" spans="1:49" customFormat="1" ht="15" customHeight="1" x14ac:dyDescent="0.2">
      <c r="A24" s="1"/>
      <c r="C24" s="59">
        <v>17</v>
      </c>
      <c r="D24" s="59" t="str">
        <f t="shared" si="2"/>
        <v>TER</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T24" s="133"/>
      <c r="U24" s="23"/>
      <c r="V24" s="23"/>
      <c r="W24" s="225">
        <f>DATE('P Gerais'!$C$6,$W$7,Fev!C24)</f>
        <v>42052</v>
      </c>
      <c r="X24" s="23">
        <f t="shared" si="5"/>
        <v>3</v>
      </c>
      <c r="Y24" s="23"/>
      <c r="Z24" s="23"/>
      <c r="AA24" s="23"/>
      <c r="AB24" s="23"/>
      <c r="AC24" s="23"/>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c r="AM24" s="23"/>
      <c r="AN24" s="133"/>
      <c r="AO24" s="2"/>
      <c r="AP24" s="2"/>
      <c r="AQ24" s="2"/>
      <c r="AR24" s="2"/>
      <c r="AS24" s="2"/>
      <c r="AT24" s="2"/>
      <c r="AU24" s="2"/>
      <c r="AV24" s="2"/>
      <c r="AW24" s="2"/>
    </row>
    <row r="25" spans="1:49" customFormat="1" ht="15" customHeight="1" x14ac:dyDescent="0.2">
      <c r="A25" s="1"/>
      <c r="C25" s="59">
        <v>18</v>
      </c>
      <c r="D25" s="59" t="str">
        <f t="shared" si="2"/>
        <v>QUA</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U25" s="23"/>
      <c r="V25" s="23"/>
      <c r="W25" s="225">
        <f>DATE('P Gerais'!$C$6,$W$7,Fev!C25)</f>
        <v>42053</v>
      </c>
      <c r="X25" s="23">
        <f t="shared" si="5"/>
        <v>4</v>
      </c>
      <c r="Y25" s="23"/>
      <c r="Z25" s="23"/>
      <c r="AA25" s="23"/>
      <c r="AB25" s="23"/>
      <c r="AC25" s="23"/>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c r="AM25" s="23"/>
      <c r="AN25" s="133"/>
      <c r="AO25" s="2"/>
      <c r="AP25" s="2"/>
      <c r="AQ25" s="2"/>
      <c r="AR25" s="2"/>
      <c r="AS25" s="2"/>
      <c r="AT25" s="2"/>
      <c r="AU25" s="2"/>
      <c r="AV25" s="2"/>
      <c r="AW25" s="2"/>
    </row>
    <row r="26" spans="1:49" customFormat="1" ht="15" customHeight="1" x14ac:dyDescent="0.2">
      <c r="A26" s="1"/>
      <c r="C26" s="59">
        <v>19</v>
      </c>
      <c r="D26" s="59" t="str">
        <f t="shared" si="2"/>
        <v>QUI</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T26" s="133"/>
      <c r="U26" s="23"/>
      <c r="V26" s="23"/>
      <c r="W26" s="225">
        <f>DATE('P Gerais'!$C$6,$W$7,Fev!C26)</f>
        <v>42054</v>
      </c>
      <c r="X26" s="23">
        <f t="shared" si="5"/>
        <v>5</v>
      </c>
      <c r="Y26" s="23"/>
      <c r="Z26" s="23"/>
      <c r="AA26" s="23"/>
      <c r="AB26" s="23"/>
      <c r="AC26" s="23"/>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c r="AM26" s="23"/>
      <c r="AN26" s="133"/>
      <c r="AO26" s="2"/>
      <c r="AP26" s="2"/>
      <c r="AQ26" s="2"/>
      <c r="AR26" s="2"/>
      <c r="AS26" s="2"/>
      <c r="AT26" s="2"/>
      <c r="AU26" s="2"/>
      <c r="AV26" s="2"/>
      <c r="AW26" s="2"/>
    </row>
    <row r="27" spans="1:49" customFormat="1" ht="15" customHeight="1" x14ac:dyDescent="0.2">
      <c r="A27" s="1"/>
      <c r="C27" s="59">
        <v>20</v>
      </c>
      <c r="D27" s="59" t="str">
        <f t="shared" si="2"/>
        <v>SEX</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T27" s="133"/>
      <c r="U27" s="23"/>
      <c r="V27" s="23"/>
      <c r="W27" s="225">
        <f>DATE('P Gerais'!$C$6,$W$7,Fev!C27)</f>
        <v>42055</v>
      </c>
      <c r="X27" s="23">
        <f t="shared" si="5"/>
        <v>6</v>
      </c>
      <c r="Y27" s="23"/>
      <c r="Z27" s="23"/>
      <c r="AA27" s="23"/>
      <c r="AB27" s="23"/>
      <c r="AC27" s="23"/>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c r="AM27" s="23"/>
      <c r="AN27" s="133"/>
      <c r="AO27" s="2"/>
      <c r="AP27" s="2"/>
      <c r="AQ27" s="2"/>
      <c r="AR27" s="2"/>
      <c r="AS27" s="2"/>
      <c r="AT27" s="2"/>
      <c r="AU27" s="2"/>
      <c r="AV27" s="2"/>
      <c r="AW27" s="2"/>
    </row>
    <row r="28" spans="1:49" customFormat="1" ht="15" customHeight="1" x14ac:dyDescent="0.2">
      <c r="A28" s="1"/>
      <c r="C28" s="59">
        <v>21</v>
      </c>
      <c r="D28" s="59" t="str">
        <f t="shared" si="2"/>
        <v>SÁB</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T28" s="133"/>
      <c r="U28" s="23"/>
      <c r="V28" s="23"/>
      <c r="W28" s="225">
        <f>DATE('P Gerais'!$C$6,$W$7,Fev!C28)</f>
        <v>42056</v>
      </c>
      <c r="X28" s="23">
        <f t="shared" si="5"/>
        <v>7</v>
      </c>
      <c r="Y28" s="23"/>
      <c r="Z28" s="23"/>
      <c r="AA28" s="23"/>
      <c r="AB28" s="23"/>
      <c r="AC28" s="23"/>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c r="AM28" s="23"/>
      <c r="AN28" s="133"/>
      <c r="AO28" s="2"/>
      <c r="AP28" s="2"/>
      <c r="AQ28" s="2"/>
      <c r="AR28" s="2"/>
      <c r="AS28" s="2"/>
      <c r="AT28" s="2"/>
      <c r="AU28" s="2"/>
      <c r="AV28" s="2"/>
      <c r="AW28" s="2"/>
    </row>
    <row r="29" spans="1:49" customFormat="1" ht="15" customHeight="1" x14ac:dyDescent="0.2">
      <c r="A29" s="1"/>
      <c r="C29" s="59">
        <v>22</v>
      </c>
      <c r="D29" s="59" t="str">
        <f t="shared" si="2"/>
        <v>DOM</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T29" s="133"/>
      <c r="U29" s="23"/>
      <c r="V29" s="23"/>
      <c r="W29" s="225">
        <f>DATE('P Gerais'!$C$6,$W$7,Fev!C29)</f>
        <v>42057</v>
      </c>
      <c r="X29" s="23">
        <f t="shared" si="5"/>
        <v>1</v>
      </c>
      <c r="Y29" s="23"/>
      <c r="Z29" s="23"/>
      <c r="AA29" s="23"/>
      <c r="AB29" s="23"/>
      <c r="AC29" s="23"/>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c r="AM29" s="23"/>
      <c r="AN29" s="133"/>
      <c r="AO29" s="2"/>
      <c r="AP29" s="2"/>
      <c r="AQ29" s="2"/>
      <c r="AR29" s="2"/>
      <c r="AS29" s="2"/>
      <c r="AT29" s="2"/>
      <c r="AU29" s="2"/>
      <c r="AV29" s="2"/>
      <c r="AW29" s="2"/>
    </row>
    <row r="30" spans="1:49" customFormat="1" ht="15" customHeight="1" x14ac:dyDescent="0.2">
      <c r="A30" s="1"/>
      <c r="C30" s="59">
        <v>23</v>
      </c>
      <c r="D30" s="59" t="str">
        <f t="shared" si="2"/>
        <v>SEG</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T30" s="133"/>
      <c r="U30" s="23"/>
      <c r="V30" s="23"/>
      <c r="W30" s="225">
        <f>DATE('P Gerais'!$C$6,$W$7,Fev!C30)</f>
        <v>42058</v>
      </c>
      <c r="X30" s="23">
        <f t="shared" si="5"/>
        <v>2</v>
      </c>
      <c r="Y30" s="23"/>
      <c r="Z30" s="23"/>
      <c r="AA30" s="23"/>
      <c r="AB30" s="23"/>
      <c r="AC30" s="23"/>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c r="AM30" s="23"/>
      <c r="AN30" s="133"/>
      <c r="AO30" s="2"/>
      <c r="AP30" s="2"/>
      <c r="AQ30" s="2"/>
      <c r="AR30" s="2"/>
      <c r="AS30" s="2"/>
      <c r="AT30" s="2"/>
      <c r="AU30" s="2"/>
      <c r="AV30" s="2"/>
      <c r="AW30" s="2"/>
    </row>
    <row r="31" spans="1:49" customFormat="1" ht="15" customHeight="1" x14ac:dyDescent="0.2">
      <c r="A31" s="1"/>
      <c r="C31" s="59">
        <v>24</v>
      </c>
      <c r="D31" s="59" t="str">
        <f t="shared" si="2"/>
        <v>TER</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T31" s="133"/>
      <c r="U31" s="23"/>
      <c r="V31" s="23"/>
      <c r="W31" s="225">
        <f>DATE('P Gerais'!$C$6,$W$7,Fev!C31)</f>
        <v>42059</v>
      </c>
      <c r="X31" s="23">
        <f t="shared" si="5"/>
        <v>3</v>
      </c>
      <c r="Y31" s="23"/>
      <c r="Z31" s="23"/>
      <c r="AA31" s="23"/>
      <c r="AB31" s="23"/>
      <c r="AC31" s="23"/>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c r="AM31" s="23"/>
      <c r="AN31" s="133"/>
      <c r="AO31" s="2"/>
      <c r="AP31" s="2"/>
      <c r="AQ31" s="2"/>
      <c r="AR31" s="2"/>
      <c r="AS31" s="2"/>
      <c r="AT31" s="2"/>
      <c r="AU31" s="2"/>
      <c r="AV31" s="2"/>
      <c r="AW31" s="2"/>
    </row>
    <row r="32" spans="1:49" customFormat="1" ht="15" customHeight="1" x14ac:dyDescent="0.2">
      <c r="A32" s="1"/>
      <c r="C32" s="59">
        <v>25</v>
      </c>
      <c r="D32" s="59" t="str">
        <f t="shared" si="2"/>
        <v>QUA</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T32" s="133"/>
      <c r="U32" s="23"/>
      <c r="V32" s="23"/>
      <c r="W32" s="225">
        <f>DATE('P Gerais'!$C$6,$W$7,Fev!C32)</f>
        <v>42060</v>
      </c>
      <c r="X32" s="23">
        <f t="shared" si="5"/>
        <v>4</v>
      </c>
      <c r="Y32" s="23"/>
      <c r="Z32" s="23"/>
      <c r="AA32" s="23"/>
      <c r="AB32" s="23"/>
      <c r="AC32" s="23"/>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c r="AM32" s="23"/>
      <c r="AN32" s="133"/>
      <c r="AO32" s="2"/>
      <c r="AP32" s="2"/>
      <c r="AQ32" s="2"/>
      <c r="AR32" s="2"/>
      <c r="AS32" s="2"/>
      <c r="AT32" s="2"/>
      <c r="AU32" s="2"/>
      <c r="AV32" s="2"/>
      <c r="AW32" s="2"/>
    </row>
    <row r="33" spans="1:49" customFormat="1" ht="15" customHeight="1" x14ac:dyDescent="0.2">
      <c r="A33" s="1"/>
      <c r="C33" s="59">
        <v>26</v>
      </c>
      <c r="D33" s="59" t="str">
        <f t="shared" si="2"/>
        <v>QUI</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T33" s="133"/>
      <c r="U33" s="23"/>
      <c r="V33" s="23"/>
      <c r="W33" s="225">
        <f>DATE('P Gerais'!$C$6,$W$7,Fev!C33)</f>
        <v>42061</v>
      </c>
      <c r="X33" s="23">
        <f t="shared" si="5"/>
        <v>5</v>
      </c>
      <c r="Y33" s="23"/>
      <c r="Z33" s="23"/>
      <c r="AA33" s="23"/>
      <c r="AB33" s="23"/>
      <c r="AC33" s="23"/>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c r="AM33" s="23"/>
      <c r="AN33" s="133"/>
      <c r="AO33" s="2"/>
      <c r="AP33" s="2"/>
      <c r="AQ33" s="2"/>
      <c r="AR33" s="2"/>
      <c r="AS33" s="2"/>
      <c r="AT33" s="2"/>
      <c r="AU33" s="2"/>
      <c r="AV33" s="2"/>
      <c r="AW33" s="2"/>
    </row>
    <row r="34" spans="1:49" customFormat="1" ht="15" customHeight="1" x14ac:dyDescent="0.2">
      <c r="A34" s="1"/>
      <c r="C34" s="59">
        <v>27</v>
      </c>
      <c r="D34" s="59" t="str">
        <f t="shared" si="2"/>
        <v>SEX</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T34" s="133"/>
      <c r="U34" s="23"/>
      <c r="V34" s="23"/>
      <c r="W34" s="225">
        <f>DATE('P Gerais'!$C$6,$W$7,Fev!C34)</f>
        <v>42062</v>
      </c>
      <c r="X34" s="23">
        <f t="shared" si="5"/>
        <v>6</v>
      </c>
      <c r="Y34" s="23"/>
      <c r="Z34" s="23"/>
      <c r="AA34" s="23"/>
      <c r="AB34" s="23"/>
      <c r="AC34" s="23"/>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c r="AM34" s="23"/>
      <c r="AN34" s="133"/>
      <c r="AO34" s="2"/>
      <c r="AP34" s="2"/>
      <c r="AQ34" s="2"/>
      <c r="AR34" s="2"/>
      <c r="AS34" s="2"/>
      <c r="AT34" s="2"/>
      <c r="AU34" s="2"/>
      <c r="AV34" s="2"/>
      <c r="AW34" s="2"/>
    </row>
    <row r="35" spans="1:49" customFormat="1" ht="15" customHeight="1" x14ac:dyDescent="0.2">
      <c r="A35" s="1"/>
      <c r="C35" s="59">
        <v>28</v>
      </c>
      <c r="D35" s="59" t="str">
        <f t="shared" si="2"/>
        <v>SÁB</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T35" s="133"/>
      <c r="U35" s="23"/>
      <c r="V35" s="23">
        <f>MONTH(W35)</f>
        <v>2</v>
      </c>
      <c r="W35" s="225">
        <f>DATE('P Gerais'!$C$6,$W$7,Fev!C35)</f>
        <v>42063</v>
      </c>
      <c r="X35" s="23">
        <f t="shared" si="5"/>
        <v>7</v>
      </c>
      <c r="Y35" s="23"/>
      <c r="Z35" s="23"/>
      <c r="AA35" s="23"/>
      <c r="AB35" s="23"/>
      <c r="AC35" s="23"/>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c r="AM35" s="23"/>
      <c r="AN35" s="133"/>
      <c r="AO35" s="2"/>
      <c r="AP35" s="2"/>
      <c r="AQ35" s="2"/>
      <c r="AR35" s="2"/>
      <c r="AS35" s="2"/>
      <c r="AT35" s="2"/>
      <c r="AU35" s="2"/>
      <c r="AV35" s="2"/>
      <c r="AW35" s="2"/>
    </row>
    <row r="36" spans="1:49" s="53" customFormat="1" ht="15" customHeight="1" x14ac:dyDescent="0.2">
      <c r="A36" s="132"/>
      <c r="C36" s="146">
        <v>29</v>
      </c>
      <c r="D36" s="147" t="str">
        <f t="shared" si="2"/>
        <v>DOM</v>
      </c>
      <c r="E36" s="140"/>
      <c r="F36" s="141"/>
      <c r="G36" s="141"/>
      <c r="H36" s="141"/>
      <c r="I36" s="141"/>
      <c r="J36" s="148"/>
      <c r="K36" s="149">
        <f>(I36-F36)-(H36-G36)</f>
        <v>0</v>
      </c>
      <c r="L36" s="150"/>
      <c r="M36" s="151">
        <f>IF(E36="Falta Justificada",0,IF(E36="Feriado",0,IF(E36="Folga(DSR)",0,IF(VLOOKUP(D36,'P Gerais'!$C$23:$M$29,11,0)-Lanc!K36&gt;0,VLOOKUP(D36,'P Gerais'!$C$23:$M$29,11,0)-Lanc!K36,0))))</f>
        <v>0</v>
      </c>
      <c r="N36" s="150"/>
      <c r="O36" s="151">
        <f>IF(E36="Feriado",IF(F36&gt;I36,(I36+1-F36)-(H36-G36),(I36-F36)-(H36-G36)),IF(E36="Folga(DSR)",IF(F36&gt;I36,(I36+1-F36)-(H36-G36),(I36-F36)-(H36-G36)),IF(E36="Falta Justificada",IF(F36&gt;I36,(I36+1-F36)-(H36-G36),(I36-F36)-(H36-G36)),IF(VLOOKUP(D36,'P Gerais'!$C$23:$M$29,11,0)-K36&lt;0,ABS(VLOOKUP(D36,'P Gerais'!$C$23:$M$29,11,0)-K36),0))))</f>
        <v>0</v>
      </c>
      <c r="P36" s="53">
        <f t="shared" si="4"/>
        <v>0</v>
      </c>
      <c r="Q36" s="176"/>
      <c r="R36" s="176"/>
      <c r="S36" s="176"/>
      <c r="T36" s="133"/>
      <c r="U36" s="23"/>
      <c r="V36" s="23">
        <f>MONTH(W36)</f>
        <v>3</v>
      </c>
      <c r="W36" s="225">
        <f>DATE('P Gerais'!$C$6,$W$7,Fev!C36)</f>
        <v>42064</v>
      </c>
      <c r="X36" s="23">
        <f t="shared" si="5"/>
        <v>1</v>
      </c>
      <c r="Y36" s="23"/>
      <c r="Z36" s="23"/>
      <c r="AA36" s="23"/>
      <c r="AB36" s="23"/>
      <c r="AC36" s="23"/>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c r="AM36" s="23"/>
      <c r="AN36" s="145"/>
    </row>
    <row r="37" spans="1:49" s="53" customFormat="1" ht="15" customHeight="1" x14ac:dyDescent="0.2">
      <c r="A37" s="132"/>
      <c r="C37" s="131"/>
      <c r="D37" s="147" t="str">
        <f t="shared" si="2"/>
        <v>SÁB</v>
      </c>
      <c r="E37" s="140"/>
      <c r="F37" s="141"/>
      <c r="G37" s="141"/>
      <c r="H37" s="141"/>
      <c r="I37" s="141"/>
      <c r="J37" s="142"/>
      <c r="K37" s="143"/>
      <c r="L37" s="144"/>
      <c r="M37" s="143"/>
      <c r="N37" s="144"/>
      <c r="O37" s="143"/>
      <c r="T37" s="133"/>
      <c r="U37" s="23"/>
      <c r="V37" s="23">
        <f>MONTH(W37)</f>
        <v>1</v>
      </c>
      <c r="W37" s="225">
        <f>DATE('P Gerais'!$C$6,$W$7,Fev!C37)</f>
        <v>42035</v>
      </c>
      <c r="X37" s="23">
        <f t="shared" ref="X37" si="12">WEEKDAY(W37)</f>
        <v>7</v>
      </c>
      <c r="Y37" s="23"/>
      <c r="Z37" s="23"/>
      <c r="AA37" s="23"/>
      <c r="AB37" s="23"/>
      <c r="AC37" s="23"/>
      <c r="AD37" s="27">
        <f t="shared" si="0"/>
        <v>0</v>
      </c>
      <c r="AE37" s="27">
        <f>VLOOKUP(D37,'P Gerais'!$C$23:$N$29,12,0)</f>
        <v>0</v>
      </c>
      <c r="AF37" s="27">
        <f>IF(AE37-AD37&lt;0,0,IF(OR(G37="",G37=0),0,AE37-AD37))</f>
        <v>0</v>
      </c>
      <c r="AG37" s="27">
        <f t="shared" si="7"/>
        <v>1</v>
      </c>
      <c r="AH37" s="27">
        <f t="shared" si="8"/>
        <v>0</v>
      </c>
      <c r="AI37" s="27">
        <f t="shared" si="9"/>
        <v>0</v>
      </c>
      <c r="AJ37" s="27">
        <f t="shared" si="11"/>
        <v>0</v>
      </c>
      <c r="AK37" s="27">
        <f t="shared" si="10"/>
        <v>0</v>
      </c>
      <c r="AL37" s="224">
        <f>VLOOKUP(D37,'P Gerais'!$C$23:$I$29,7,FALSE)</f>
        <v>0</v>
      </c>
      <c r="AM37" s="23"/>
      <c r="AN37" s="145"/>
    </row>
    <row r="38" spans="1:49" s="53" customFormat="1" ht="15" customHeight="1" x14ac:dyDescent="0.2">
      <c r="A38" s="132"/>
      <c r="C38" s="131"/>
      <c r="D38" s="131"/>
      <c r="E38" s="140"/>
      <c r="F38" s="141"/>
      <c r="G38" s="141"/>
      <c r="H38" s="141"/>
      <c r="I38" s="141"/>
      <c r="J38" s="142"/>
      <c r="K38" s="143"/>
      <c r="L38" s="144"/>
      <c r="M38" s="143"/>
      <c r="N38" s="144"/>
      <c r="O38" s="143"/>
      <c r="T38" s="133"/>
      <c r="U38" s="23"/>
      <c r="V38" s="23"/>
      <c r="W38" s="225"/>
      <c r="X38" s="23"/>
      <c r="Y38" s="23"/>
      <c r="Z38" s="23"/>
      <c r="AA38" s="23"/>
      <c r="AB38" s="23"/>
      <c r="AC38" s="23"/>
      <c r="AD38" s="27"/>
      <c r="AE38" s="27"/>
      <c r="AF38" s="27">
        <f t="shared" si="6"/>
        <v>0</v>
      </c>
      <c r="AG38" s="27"/>
      <c r="AH38" s="27"/>
      <c r="AI38" s="27">
        <f t="shared" si="9"/>
        <v>0</v>
      </c>
      <c r="AJ38" s="27"/>
      <c r="AK38" s="27"/>
      <c r="AL38" s="23"/>
      <c r="AM38" s="23"/>
      <c r="AN38" s="145"/>
    </row>
    <row r="39" spans="1:49" ht="30" customHeight="1" x14ac:dyDescent="0.2">
      <c r="AK39" s="227"/>
    </row>
    <row r="40" spans="1:49" ht="30" customHeight="1" x14ac:dyDescent="0.2">
      <c r="C40" s="23"/>
      <c r="D40" s="23"/>
      <c r="E40" s="23"/>
      <c r="F40" s="28"/>
      <c r="G40" s="24">
        <v>4.1666666666666664E-2</v>
      </c>
      <c r="H40" s="2">
        <f>'P Gerais'!F17+'P Gerais'!F17*'P Gerais'!L36</f>
        <v>0</v>
      </c>
      <c r="I40" s="2">
        <f>'P Gerais'!G6</f>
        <v>220</v>
      </c>
      <c r="K40" s="17">
        <f>H40/I40</f>
        <v>0</v>
      </c>
    </row>
    <row r="41" spans="1:49" ht="30" customHeight="1" x14ac:dyDescent="0.2">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row>
    <row r="42" spans="1:49" ht="30" customHeight="1" x14ac:dyDescent="0.2">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row>
    <row r="43" spans="1:49" ht="30" customHeight="1" x14ac:dyDescent="0.2">
      <c r="B43" s="2" t="s">
        <v>68</v>
      </c>
      <c r="C43" s="174" t="s">
        <v>103</v>
      </c>
      <c r="D43" s="174"/>
      <c r="E43" s="174"/>
      <c r="F43" s="25">
        <f t="shared" si="13"/>
        <v>0</v>
      </c>
      <c r="G43" s="26">
        <f>'P Gerais'!$C$36</f>
        <v>0</v>
      </c>
      <c r="H43" s="16">
        <f t="shared" si="14"/>
        <v>0</v>
      </c>
    </row>
    <row r="44" spans="1:49" ht="30" customHeight="1" x14ac:dyDescent="0.2">
      <c r="B44" s="2" t="s">
        <v>69</v>
      </c>
      <c r="C44" s="174" t="s">
        <v>104</v>
      </c>
      <c r="D44" s="174"/>
      <c r="E44" s="174"/>
      <c r="F44" s="25">
        <f t="shared" si="13"/>
        <v>0</v>
      </c>
      <c r="G44" s="26">
        <f>'P Gerais'!$C$36</f>
        <v>0</v>
      </c>
      <c r="H44" s="16">
        <f t="shared" si="14"/>
        <v>0</v>
      </c>
    </row>
    <row r="45" spans="1:49" ht="30" customHeight="1" x14ac:dyDescent="0.2">
      <c r="B45" s="2" t="s">
        <v>70</v>
      </c>
      <c r="C45" s="174" t="s">
        <v>105</v>
      </c>
      <c r="D45" s="174"/>
      <c r="E45" s="174"/>
      <c r="F45" s="25">
        <f t="shared" si="13"/>
        <v>0</v>
      </c>
      <c r="G45" s="26">
        <f>'P Gerais'!$C$36</f>
        <v>0</v>
      </c>
      <c r="H45" s="16">
        <f t="shared" si="14"/>
        <v>0</v>
      </c>
      <c r="M45" s="113"/>
    </row>
    <row r="46" spans="1:49" ht="30" customHeight="1" x14ac:dyDescent="0.2">
      <c r="B46" s="2" t="s">
        <v>71</v>
      </c>
      <c r="C46" s="174" t="s">
        <v>108</v>
      </c>
      <c r="D46" s="174"/>
      <c r="E46" s="174"/>
      <c r="F46" s="25">
        <f t="shared" si="13"/>
        <v>0</v>
      </c>
      <c r="G46" s="26">
        <f>'P Gerais'!E36</f>
        <v>0</v>
      </c>
      <c r="H46" s="16">
        <f t="shared" si="14"/>
        <v>0</v>
      </c>
    </row>
    <row r="47" spans="1:49" ht="30" customHeight="1" x14ac:dyDescent="0.2">
      <c r="B47" s="2" t="s">
        <v>65</v>
      </c>
      <c r="C47" s="174" t="s">
        <v>107</v>
      </c>
      <c r="D47" s="174"/>
      <c r="E47" s="174"/>
      <c r="F47" s="25">
        <f t="shared" si="13"/>
        <v>0</v>
      </c>
      <c r="G47" s="26">
        <f>'P Gerais'!F36</f>
        <v>0</v>
      </c>
      <c r="H47" s="16">
        <f t="shared" si="14"/>
        <v>0</v>
      </c>
    </row>
    <row r="48" spans="1:49" ht="30" customHeight="1" x14ac:dyDescent="0.2">
      <c r="C48" s="174" t="s">
        <v>106</v>
      </c>
      <c r="D48" s="174"/>
      <c r="E48" s="174"/>
      <c r="F48" s="25">
        <f>SUMIF($E$8:$E$38,"Feriado",O8:O38)</f>
        <v>0</v>
      </c>
      <c r="G48" s="26">
        <f>'P Gerais'!K36</f>
        <v>0</v>
      </c>
      <c r="H48" s="16">
        <f>$K$40*(1+G48)*(F48*24)</f>
        <v>0</v>
      </c>
    </row>
    <row r="49" spans="3:8" ht="30" customHeight="1" x14ac:dyDescent="0.2">
      <c r="C49" s="174" t="s">
        <v>109</v>
      </c>
      <c r="D49" s="174"/>
      <c r="E49" s="174"/>
      <c r="F49" s="25">
        <f>SUMIF($E$8:$E$38,"Folga(DSR)",O8:O38)</f>
        <v>0</v>
      </c>
      <c r="G49" s="26">
        <f>'P Gerais'!I36</f>
        <v>0</v>
      </c>
      <c r="H49" s="16">
        <f>$K$40*(1+G49)*(F49*24)</f>
        <v>0</v>
      </c>
    </row>
    <row r="50" spans="3:8" ht="30" customHeight="1" x14ac:dyDescent="0.2">
      <c r="C50" s="174" t="s">
        <v>110</v>
      </c>
      <c r="D50" s="174"/>
      <c r="E50" s="174"/>
      <c r="F50" s="25">
        <f>SUM(AF8:AF38)</f>
        <v>0</v>
      </c>
      <c r="G50" s="26">
        <f>'P Gerais'!C39</f>
        <v>0</v>
      </c>
      <c r="H50" s="16">
        <f>$K$40*(1+G50)*(F50*24)</f>
        <v>0</v>
      </c>
    </row>
    <row r="51" spans="3:8" ht="30" customHeight="1" x14ac:dyDescent="0.2">
      <c r="C51" s="174" t="s">
        <v>111</v>
      </c>
      <c r="D51" s="174"/>
      <c r="E51" s="174"/>
      <c r="F51" s="25">
        <f>SUM(AH8:AH38)</f>
        <v>0</v>
      </c>
      <c r="G51" s="26">
        <f>'P Gerais'!H39</f>
        <v>0</v>
      </c>
      <c r="H51" s="16">
        <f>$K$40*(1+G51)*(F51*24)</f>
        <v>0</v>
      </c>
    </row>
    <row r="52" spans="3:8" ht="30" customHeight="1" x14ac:dyDescent="0.2">
      <c r="C52" s="183" t="s">
        <v>112</v>
      </c>
      <c r="D52" s="174"/>
      <c r="E52" s="174"/>
      <c r="F52" s="25">
        <f>(SUM(AI8:AK38)/7)*8</f>
        <v>0</v>
      </c>
      <c r="G52" s="26">
        <f>'P Gerais'!H36</f>
        <v>0</v>
      </c>
      <c r="H52" s="16">
        <f>$K$40*(1+G52)*(F52*24)</f>
        <v>0</v>
      </c>
    </row>
    <row r="53" spans="3:8" ht="30" customHeight="1" x14ac:dyDescent="0.2">
      <c r="C53" s="174" t="s">
        <v>113</v>
      </c>
      <c r="D53" s="174"/>
      <c r="E53" s="174"/>
      <c r="F53" s="25">
        <f>S13</f>
        <v>0</v>
      </c>
      <c r="G53" s="23"/>
    </row>
    <row r="54" spans="3:8" ht="30" customHeight="1" x14ac:dyDescent="0.2">
      <c r="C54" s="174" t="s">
        <v>114</v>
      </c>
      <c r="D54" s="174"/>
      <c r="E54" s="174"/>
      <c r="F54" s="29">
        <f>SUM(H41:H52)</f>
        <v>0</v>
      </c>
      <c r="G54" s="23"/>
    </row>
    <row r="55" spans="3:8" ht="30" customHeight="1" x14ac:dyDescent="0.2">
      <c r="C55" s="174" t="s">
        <v>115</v>
      </c>
      <c r="D55" s="174"/>
      <c r="E55" s="174"/>
      <c r="F55" s="29">
        <f>H40+F54</f>
        <v>0</v>
      </c>
      <c r="G55" s="23"/>
    </row>
    <row r="56" spans="3:8" ht="30" customHeight="1" x14ac:dyDescent="0.2">
      <c r="C56" s="23"/>
      <c r="D56" s="23"/>
      <c r="E56" s="23"/>
      <c r="F56" s="27">
        <f>S15</f>
        <v>0</v>
      </c>
      <c r="G56" s="23"/>
    </row>
    <row r="57" spans="3:8" ht="30" customHeight="1" x14ac:dyDescent="0.2">
      <c r="C57" s="23"/>
      <c r="D57" s="23"/>
      <c r="E57" s="23"/>
      <c r="F57" s="27">
        <f>S17</f>
        <v>0</v>
      </c>
      <c r="G57" s="23"/>
    </row>
    <row r="58" spans="3:8" ht="30" customHeight="1" x14ac:dyDescent="0.2">
      <c r="C58" s="23"/>
      <c r="D58" s="23"/>
      <c r="E58" s="23"/>
      <c r="F58" s="23"/>
      <c r="G58" s="23"/>
    </row>
    <row r="59" spans="3:8" ht="30" customHeight="1" x14ac:dyDescent="0.2"/>
    <row r="60" spans="3:8" ht="30" customHeight="1" x14ac:dyDescent="0.2"/>
    <row r="61" spans="3:8" ht="30" customHeight="1" x14ac:dyDescent="0.2"/>
    <row r="62" spans="3:8" ht="30" customHeight="1" x14ac:dyDescent="0.2"/>
    <row r="63" spans="3:8" ht="30" customHeight="1" x14ac:dyDescent="0.2"/>
    <row r="64" spans="3:8" ht="30" customHeight="1" x14ac:dyDescent="0.2"/>
    <row r="65" spans="1:40" ht="30" customHeight="1" x14ac:dyDescent="0.2"/>
    <row r="66" spans="1:40" ht="30" customHeight="1" x14ac:dyDescent="0.2"/>
    <row r="67" spans="1:40" ht="30" customHeight="1" x14ac:dyDescent="0.2"/>
    <row r="68" spans="1:40" ht="30" customHeight="1" x14ac:dyDescent="0.2"/>
    <row r="69" spans="1:40" ht="30" customHeight="1" x14ac:dyDescent="0.2"/>
    <row r="70" spans="1:40" ht="30" customHeight="1" x14ac:dyDescent="0.2"/>
    <row r="71" spans="1:40" ht="30" customHeight="1" x14ac:dyDescent="0.2"/>
    <row r="72" spans="1:40" ht="30" customHeight="1" x14ac:dyDescent="0.2"/>
    <row r="73" spans="1:40" ht="30" customHeight="1" x14ac:dyDescent="0.2"/>
    <row r="74" spans="1:40" ht="30" customHeight="1" x14ac:dyDescent="0.2"/>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309" priority="28" operator="containsText" text="Dom">
      <formula>NOT(ISERROR(SEARCH("Dom",D8)))</formula>
    </cfRule>
    <cfRule type="containsText" dxfId="308" priority="29" operator="containsText" text="Sáb">
      <formula>NOT(ISERROR(SEARCH("Sáb",D8)))</formula>
    </cfRule>
  </conditionalFormatting>
  <conditionalFormatting sqref="C36:D36 J36:O36 D37">
    <cfRule type="expression" dxfId="307" priority="21">
      <formula>$V$36&gt;$V$35</formula>
    </cfRule>
  </conditionalFormatting>
  <conditionalFormatting sqref="D35 M35 O35">
    <cfRule type="expression" dxfId="306" priority="20">
      <formula>$V$36&gt;$V$35</formula>
    </cfRule>
  </conditionalFormatting>
  <conditionalFormatting sqref="S13:S14">
    <cfRule type="expression" dxfId="305" priority="19">
      <formula>$S$15&gt;$S$17</formula>
    </cfRule>
  </conditionalFormatting>
  <conditionalFormatting sqref="K36:K38 M8:M38">
    <cfRule type="expression" dxfId="304" priority="18">
      <formula>$M8&gt;0</formula>
    </cfRule>
  </conditionalFormatting>
  <conditionalFormatting sqref="K36:K38 O8:O38">
    <cfRule type="expression" dxfId="303" priority="17">
      <formula>$O8&gt;0</formula>
    </cfRule>
  </conditionalFormatting>
  <conditionalFormatting sqref="E8:I8 E36:I38 E8:E35">
    <cfRule type="expression" dxfId="302" priority="14">
      <formula>$E8="Folga(DSR)"</formula>
    </cfRule>
    <cfRule type="expression" dxfId="301" priority="15">
      <formula>$E8="Feriado"</formula>
    </cfRule>
    <cfRule type="expression" dxfId="300" priority="16">
      <formula>$D8="Dom"</formula>
    </cfRule>
  </conditionalFormatting>
  <conditionalFormatting sqref="I5">
    <cfRule type="expression" dxfId="299" priority="13">
      <formula>$K$5="Negativo"</formula>
    </cfRule>
  </conditionalFormatting>
  <conditionalFormatting sqref="S11:S12">
    <cfRule type="expression" dxfId="298" priority="12">
      <formula>$T$11="Negativo"</formula>
    </cfRule>
  </conditionalFormatting>
  <conditionalFormatting sqref="F9:I35">
    <cfRule type="expression" dxfId="297" priority="9">
      <formula>$E9="Folga(DSR)"</formula>
    </cfRule>
    <cfRule type="expression" dxfId="296" priority="10">
      <formula>$E9="Feriado"</formula>
    </cfRule>
    <cfRule type="expression" dxfId="295" priority="11">
      <formula>$D9="Dom"</formula>
    </cfRule>
  </conditionalFormatting>
  <conditionalFormatting sqref="F40">
    <cfRule type="expression" dxfId="294" priority="6">
      <formula>$E40="Folga(DSR)"</formula>
    </cfRule>
    <cfRule type="expression" dxfId="293" priority="7">
      <formula>$E40="Feriado"</formula>
    </cfRule>
    <cfRule type="expression" dxfId="292" priority="8">
      <formula>$D40="Dom"</formula>
    </cfRule>
  </conditionalFormatting>
  <conditionalFormatting sqref="AJ7">
    <cfRule type="expression" dxfId="291" priority="3">
      <formula>$E7="Folga(DSR)"</formula>
    </cfRule>
    <cfRule type="expression" dxfId="290" priority="4">
      <formula>$E7="Feriado"</formula>
    </cfRule>
    <cfRule type="expression" dxfId="289" priority="5">
      <formula>$D7="Dom"</formula>
    </cfRule>
  </conditionalFormatting>
  <conditionalFormatting sqref="K8:K35">
    <cfRule type="expression" dxfId="288" priority="2">
      <formula>$M8&gt;0</formula>
    </cfRule>
  </conditionalFormatting>
  <conditionalFormatting sqref="K8:K35">
    <cfRule type="expression" dxfId="287"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Fev!S11</f>
        <v>0</v>
      </c>
      <c r="K5" s="2" t="str">
        <f>IF(Fev!T11="Negativo","Negativo","Positivo")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3</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DOM</v>
      </c>
      <c r="E8" s="61"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Gerais'!$C$6,$W$7,Mar!C8)</f>
        <v>42064</v>
      </c>
      <c r="X8" s="23">
        <f>WEEKDAY(W8)</f>
        <v>1</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8" si="2">VLOOKUP(X9,$AB$8:$AC$14,2,0)</f>
        <v>SEG</v>
      </c>
      <c r="E9" s="93" t="s">
        <v>191</v>
      </c>
      <c r="F9" s="62"/>
      <c r="G9" s="62"/>
      <c r="H9" s="62"/>
      <c r="I9" s="62"/>
      <c r="J9" s="10"/>
      <c r="K9" s="60">
        <f t="shared" ref="K9:K38"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Gerais'!$C$6,$W$7,Mar!C9)</f>
        <v>42065</v>
      </c>
      <c r="X9" s="23">
        <f t="shared" ref="X9:X38" si="5">WEEKDAY(W9)</f>
        <v>2</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TER</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Gerais'!$C$6,$W$7,Mar!C10)</f>
        <v>42066</v>
      </c>
      <c r="X10" s="23">
        <f t="shared" si="5"/>
        <v>3</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QUA</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Gerais'!$C$6,$W$7,Mar!C11)</f>
        <v>42067</v>
      </c>
      <c r="X11" s="23">
        <f t="shared" si="5"/>
        <v>4</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QUI</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Gerais'!$C$6,$W$7,Mar!C12)</f>
        <v>42068</v>
      </c>
      <c r="X12" s="23">
        <f t="shared" si="5"/>
        <v>5</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SEX</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Gerais'!$C$6,$W$7,Mar!C13)</f>
        <v>42069</v>
      </c>
      <c r="X13" s="23">
        <f t="shared" si="5"/>
        <v>6</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SÁB</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Gerais'!$C$6,$W$7,Mar!C14)</f>
        <v>42070</v>
      </c>
      <c r="X14" s="23">
        <f t="shared" si="5"/>
        <v>7</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DOM</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Gerais'!$C$6,$W$7,Mar!C15)</f>
        <v>42071</v>
      </c>
      <c r="X15" s="23">
        <f t="shared" si="5"/>
        <v>1</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SEG</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Gerais'!$C$6,$W$7,Mar!C16)</f>
        <v>42072</v>
      </c>
      <c r="X16" s="23">
        <f t="shared" si="5"/>
        <v>2</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TER</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Gerais'!$C$6,$W$7,Mar!C17)</f>
        <v>42073</v>
      </c>
      <c r="X17" s="23">
        <f t="shared" si="5"/>
        <v>3</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QUA</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Gerais'!$C$6,$W$7,Mar!C18)</f>
        <v>42074</v>
      </c>
      <c r="X18" s="23">
        <f t="shared" si="5"/>
        <v>4</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QUI</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Gerais'!$C$6,$W$7,Mar!C19)</f>
        <v>42075</v>
      </c>
      <c r="X19" s="23">
        <f t="shared" si="5"/>
        <v>5</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SEX</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Gerais'!$C$6,$W$7,Mar!C20)</f>
        <v>42076</v>
      </c>
      <c r="X20" s="23">
        <f t="shared" si="5"/>
        <v>6</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SÁB</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Gerais'!$C$6,$W$7,Mar!C21)</f>
        <v>42077</v>
      </c>
      <c r="X21" s="23">
        <f t="shared" si="5"/>
        <v>7</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DOM</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Gerais'!$C$6,$W$7,Mar!C22)</f>
        <v>42078</v>
      </c>
      <c r="X22" s="23">
        <f t="shared" si="5"/>
        <v>1</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SEG</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Gerais'!$C$6,$W$7,Mar!C23)</f>
        <v>42079</v>
      </c>
      <c r="X23" s="23">
        <f t="shared" si="5"/>
        <v>2</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TER</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Gerais'!$C$6,$W$7,Mar!C24)</f>
        <v>42080</v>
      </c>
      <c r="X24" s="23">
        <f t="shared" si="5"/>
        <v>3</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QUA</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Gerais'!$C$6,$W$7,Mar!C25)</f>
        <v>42081</v>
      </c>
      <c r="X25" s="23">
        <f t="shared" si="5"/>
        <v>4</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QUI</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Gerais'!$C$6,$W$7,Mar!C26)</f>
        <v>42082</v>
      </c>
      <c r="X26" s="23">
        <f t="shared" si="5"/>
        <v>5</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SEX</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Gerais'!$C$6,$W$7,Mar!C27)</f>
        <v>42083</v>
      </c>
      <c r="X27" s="23">
        <f t="shared" si="5"/>
        <v>6</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SÁB</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Gerais'!$C$6,$W$7,Mar!C28)</f>
        <v>42084</v>
      </c>
      <c r="X28" s="23">
        <f t="shared" si="5"/>
        <v>7</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DOM</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Gerais'!$C$6,$W$7,Mar!C29)</f>
        <v>42085</v>
      </c>
      <c r="X29" s="23">
        <f t="shared" si="5"/>
        <v>1</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SEG</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Gerais'!$C$6,$W$7,Mar!C30)</f>
        <v>42086</v>
      </c>
      <c r="X30" s="23">
        <f t="shared" si="5"/>
        <v>2</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TER</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Gerais'!$C$6,$W$7,Mar!C31)</f>
        <v>42087</v>
      </c>
      <c r="X31" s="23">
        <f t="shared" si="5"/>
        <v>3</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QUA</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Gerais'!$C$6,$W$7,Mar!C32)</f>
        <v>42088</v>
      </c>
      <c r="X32" s="23">
        <f t="shared" si="5"/>
        <v>4</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QUI</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Gerais'!$C$6,$W$7,Mar!C33)</f>
        <v>42089</v>
      </c>
      <c r="X33" s="23">
        <f t="shared" si="5"/>
        <v>5</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SEX</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Gerais'!$C$6,$W$7,Mar!C34)</f>
        <v>42090</v>
      </c>
      <c r="X34" s="23">
        <f t="shared" si="5"/>
        <v>6</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SÁB</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Gerais'!$C$6,$W$7,Mar!C35)</f>
        <v>42091</v>
      </c>
      <c r="X35" s="23">
        <f t="shared" si="5"/>
        <v>7</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DOM</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Gerais'!$C$6,$W$7,Mar!C36)</f>
        <v>42092</v>
      </c>
      <c r="X36" s="23">
        <f t="shared" si="5"/>
        <v>1</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SEG</v>
      </c>
      <c r="E37" s="93"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Gerais'!$C$6,$W$7,Mar!C37)</f>
        <v>42093</v>
      </c>
      <c r="X37" s="23">
        <f t="shared" si="5"/>
        <v>2</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59">
        <v>31</v>
      </c>
      <c r="D38" s="59" t="str">
        <f t="shared" si="2"/>
        <v>TER</v>
      </c>
      <c r="E38" s="93" t="s">
        <v>191</v>
      </c>
      <c r="F38" s="62"/>
      <c r="G38" s="62"/>
      <c r="H38" s="62"/>
      <c r="I38" s="62"/>
      <c r="J38" s="10"/>
      <c r="K38" s="60">
        <f t="shared" si="3"/>
        <v>0</v>
      </c>
      <c r="L38" s="51"/>
      <c r="M38" s="60">
        <f>IF(E38="Falta Justificada",0,IF(E38="Feriado",0,IF(E38="Folga(DSR)",0,IF(VLOOKUP(D38,'P Gerais'!$C$23:$M$29,11,0)-K38&gt;0,VLOOKUP(D38,'P Gerais'!$C$23:$M$29,11,0)-K38,0))))</f>
        <v>0</v>
      </c>
      <c r="N38" s="51"/>
      <c r="O38" s="60">
        <f>IF(E38="Feriado",IF(F38&gt;I38,(I38+1-F38)-(H38-G38),(I38-F38)-(H38-G38)),IF(E38="Folga(DSR)",IF(F38&gt;I38,(I38+1-F38)-(H38-G38),(I38-F38)-(H38-G38)),IF(E38="Falta Justificada",IF(F38&gt;I38,(I38+1-F38)-(H38-G38),(I38-F38)-(H38-G38)),IF(VLOOKUP(D38,'P Gerais'!$C$23:$M$29,11,0)-K38&lt;0,ABS(VLOOKUP(D38,'P Gerais'!$C$23:$M$29,11,0)-K38),0))))</f>
        <v>0</v>
      </c>
      <c r="P38" s="2">
        <f t="shared" si="4"/>
        <v>0</v>
      </c>
      <c r="W38" s="225">
        <f>DATE('P Gerais'!$C$6,$W$7,Mar!C38)</f>
        <v>42094</v>
      </c>
      <c r="X38" s="23">
        <f t="shared" si="5"/>
        <v>3</v>
      </c>
      <c r="AD38" s="27"/>
      <c r="AE38" s="27"/>
      <c r="AF38" s="27">
        <f t="shared" si="6"/>
        <v>0</v>
      </c>
      <c r="AG38" s="27"/>
      <c r="AH38" s="27"/>
      <c r="AI38" s="27">
        <f t="shared" si="9"/>
        <v>0</v>
      </c>
      <c r="AJ38" s="27"/>
      <c r="AK38" s="27">
        <f t="shared" ref="AK38:AK39" si="12">IF(AND(I38&gt;$AK$7,I38&gt;AL38),I38-AL38,$AF$7)</f>
        <v>0</v>
      </c>
      <c r="AL38" s="224">
        <f>VLOOKUP(D38,'P Gerais'!$C$23:$I$29,7,FALSE)</f>
        <v>0</v>
      </c>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t="e">
        <f t="shared" si="12"/>
        <v>#N/A</v>
      </c>
      <c r="AL39" s="224" t="e">
        <f>VLOOKUP(D39,'P Gerais'!$C$23:$I$29,7,FALSE)</f>
        <v>#N/A</v>
      </c>
      <c r="AM39" s="23"/>
      <c r="AN39" s="133"/>
    </row>
    <row r="40" spans="1:40" s="2" customFormat="1" ht="30" customHeight="1" x14ac:dyDescent="0.2">
      <c r="A40" s="9"/>
      <c r="C40" s="23"/>
      <c r="D40" s="23"/>
      <c r="E40" s="23"/>
      <c r="F40" s="28"/>
      <c r="G40" s="24">
        <v>4.1666666666666664E-2</v>
      </c>
      <c r="H40" s="2">
        <f>'P Gerais'!F18+'P Gerais'!F18*'P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286" priority="29" operator="containsText" text="Dom">
      <formula>NOT(ISERROR(SEARCH("Dom",D8)))</formula>
    </cfRule>
    <cfRule type="containsText" dxfId="285" priority="30" operator="containsText" text="Sáb">
      <formula>NOT(ISERROR(SEARCH("Sáb",D8)))</formula>
    </cfRule>
  </conditionalFormatting>
  <conditionalFormatting sqref="S13:S14">
    <cfRule type="expression" dxfId="284" priority="22">
      <formula>$S$15&gt;$S$17</formula>
    </cfRule>
  </conditionalFormatting>
  <conditionalFormatting sqref="M8:M38">
    <cfRule type="expression" dxfId="283" priority="21">
      <formula>$M8&gt;0</formula>
    </cfRule>
  </conditionalFormatting>
  <conditionalFormatting sqref="O8:O38">
    <cfRule type="expression" dxfId="282" priority="20">
      <formula>$O8&gt;0</formula>
    </cfRule>
  </conditionalFormatting>
  <conditionalFormatting sqref="F8:I8 F36:I38">
    <cfRule type="expression" dxfId="281" priority="17">
      <formula>$E8="Folga(DSR)"</formula>
    </cfRule>
    <cfRule type="expression" dxfId="280" priority="18">
      <formula>$E8="Feriado"</formula>
    </cfRule>
    <cfRule type="expression" dxfId="279" priority="19">
      <formula>$D8="Dom"</formula>
    </cfRule>
  </conditionalFormatting>
  <conditionalFormatting sqref="E8:E38">
    <cfRule type="expression" dxfId="278" priority="14">
      <formula>$E8="Folga(DSR)"</formula>
    </cfRule>
    <cfRule type="expression" dxfId="277" priority="15">
      <formula>$E8="Feriado"</formula>
    </cfRule>
    <cfRule type="expression" dxfId="276" priority="16">
      <formula>$D8="Dom"</formula>
    </cfRule>
  </conditionalFormatting>
  <conditionalFormatting sqref="I5">
    <cfRule type="expression" dxfId="275" priority="13">
      <formula>$K$5="Negativo"</formula>
    </cfRule>
  </conditionalFormatting>
  <conditionalFormatting sqref="S11:S12">
    <cfRule type="expression" dxfId="274" priority="12">
      <formula>$T$11="Negativo"</formula>
    </cfRule>
  </conditionalFormatting>
  <conditionalFormatting sqref="F9:I35">
    <cfRule type="expression" dxfId="273" priority="9">
      <formula>$E9="Folga(DSR)"</formula>
    </cfRule>
    <cfRule type="expression" dxfId="272" priority="10">
      <formula>$E9="Feriado"</formula>
    </cfRule>
    <cfRule type="expression" dxfId="271" priority="11">
      <formula>$D9="Dom"</formula>
    </cfRule>
  </conditionalFormatting>
  <conditionalFormatting sqref="F40">
    <cfRule type="expression" dxfId="270" priority="6">
      <formula>$E40="Folga(DSR)"</formula>
    </cfRule>
    <cfRule type="expression" dxfId="269" priority="7">
      <formula>$E40="Feriado"</formula>
    </cfRule>
    <cfRule type="expression" dxfId="268" priority="8">
      <formula>$D40="Dom"</formula>
    </cfRule>
  </conditionalFormatting>
  <conditionalFormatting sqref="AJ7">
    <cfRule type="expression" dxfId="267" priority="3">
      <formula>$E7="Folga(DSR)"</formula>
    </cfRule>
    <cfRule type="expression" dxfId="266" priority="4">
      <formula>$E7="Feriado"</formula>
    </cfRule>
    <cfRule type="expression" dxfId="265" priority="5">
      <formula>$D7="Dom"</formula>
    </cfRule>
  </conditionalFormatting>
  <conditionalFormatting sqref="K8:K38">
    <cfRule type="expression" dxfId="264" priority="2">
      <formula>$M8&gt;0</formula>
    </cfRule>
  </conditionalFormatting>
  <conditionalFormatting sqref="K8:K38">
    <cfRule type="expression" dxfId="263"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Mar!S11</f>
        <v>0</v>
      </c>
      <c r="K5" s="2" t="str">
        <f>IF(Mar!T11="Negativo","Negativo","Positivo")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4</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QUA</v>
      </c>
      <c r="E8" s="61"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Gerais'!$C$6,$W$7,Abr!C8)</f>
        <v>42095</v>
      </c>
      <c r="X8" s="23">
        <f>WEEKDAY(W8)</f>
        <v>4</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7" si="2">VLOOKUP(X9,$AB$8:$AC$14,2,0)</f>
        <v>QUI</v>
      </c>
      <c r="E9" s="93" t="s">
        <v>191</v>
      </c>
      <c r="F9" s="62"/>
      <c r="G9" s="62"/>
      <c r="H9" s="62"/>
      <c r="I9" s="62"/>
      <c r="J9" s="10"/>
      <c r="K9" s="60">
        <f t="shared" ref="K9:K37"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Gerais'!$C$6,$W$7,Abr!C9)</f>
        <v>42096</v>
      </c>
      <c r="X9" s="23">
        <f t="shared" ref="X9:X37" si="5">WEEKDAY(W9)</f>
        <v>5</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SEX</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Gerais'!$C$6,$W$7,Abr!C10)</f>
        <v>42097</v>
      </c>
      <c r="X10" s="23">
        <f t="shared" si="5"/>
        <v>6</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SÁB</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Gerais'!$C$6,$W$7,Abr!C11)</f>
        <v>42098</v>
      </c>
      <c r="X11" s="23">
        <f t="shared" si="5"/>
        <v>7</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DOM</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Gerais'!$C$6,$W$7,Abr!C12)</f>
        <v>42099</v>
      </c>
      <c r="X12" s="23">
        <f t="shared" si="5"/>
        <v>1</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SEG</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Gerais'!$C$6,$W$7,Abr!C13)</f>
        <v>42100</v>
      </c>
      <c r="X13" s="23">
        <f t="shared" si="5"/>
        <v>2</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TER</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Gerais'!$C$6,$W$7,Abr!C14)</f>
        <v>42101</v>
      </c>
      <c r="X14" s="23">
        <f t="shared" si="5"/>
        <v>3</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QUA</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Gerais'!$C$6,$W$7,Abr!C15)</f>
        <v>42102</v>
      </c>
      <c r="X15" s="23">
        <f t="shared" si="5"/>
        <v>4</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QUI</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Gerais'!$C$6,$W$7,Abr!C16)</f>
        <v>42103</v>
      </c>
      <c r="X16" s="23">
        <f t="shared" si="5"/>
        <v>5</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SEX</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Gerais'!$C$6,$W$7,Abr!C17)</f>
        <v>42104</v>
      </c>
      <c r="X17" s="23">
        <f t="shared" si="5"/>
        <v>6</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SÁB</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Gerais'!$C$6,$W$7,Abr!C18)</f>
        <v>42105</v>
      </c>
      <c r="X18" s="23">
        <f t="shared" si="5"/>
        <v>7</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DOM</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Gerais'!$C$6,$W$7,Abr!C19)</f>
        <v>42106</v>
      </c>
      <c r="X19" s="23">
        <f t="shared" si="5"/>
        <v>1</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SEG</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Gerais'!$C$6,$W$7,Abr!C20)</f>
        <v>42107</v>
      </c>
      <c r="X20" s="23">
        <f t="shared" si="5"/>
        <v>2</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TER</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Gerais'!$C$6,$W$7,Abr!C21)</f>
        <v>42108</v>
      </c>
      <c r="X21" s="23">
        <f t="shared" si="5"/>
        <v>3</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QUA</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Gerais'!$C$6,$W$7,Abr!C22)</f>
        <v>42109</v>
      </c>
      <c r="X22" s="23">
        <f t="shared" si="5"/>
        <v>4</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QUI</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Gerais'!$C$6,$W$7,Abr!C23)</f>
        <v>42110</v>
      </c>
      <c r="X23" s="23">
        <f t="shared" si="5"/>
        <v>5</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SEX</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Gerais'!$C$6,$W$7,Abr!C24)</f>
        <v>42111</v>
      </c>
      <c r="X24" s="23">
        <f t="shared" si="5"/>
        <v>6</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SÁB</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Gerais'!$C$6,$W$7,Abr!C25)</f>
        <v>42112</v>
      </c>
      <c r="X25" s="23">
        <f t="shared" si="5"/>
        <v>7</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DOM</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Gerais'!$C$6,$W$7,Abr!C26)</f>
        <v>42113</v>
      </c>
      <c r="X26" s="23">
        <f t="shared" si="5"/>
        <v>1</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SEG</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Gerais'!$C$6,$W$7,Abr!C27)</f>
        <v>42114</v>
      </c>
      <c r="X27" s="23">
        <f t="shared" si="5"/>
        <v>2</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TER</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Gerais'!$C$6,$W$7,Abr!C28)</f>
        <v>42115</v>
      </c>
      <c r="X28" s="23">
        <f t="shared" si="5"/>
        <v>3</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QUA</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Gerais'!$C$6,$W$7,Abr!C29)</f>
        <v>42116</v>
      </c>
      <c r="X29" s="23">
        <f t="shared" si="5"/>
        <v>4</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QUI</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Gerais'!$C$6,$W$7,Abr!C30)</f>
        <v>42117</v>
      </c>
      <c r="X30" s="23">
        <f t="shared" si="5"/>
        <v>5</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SEX</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Gerais'!$C$6,$W$7,Abr!C31)</f>
        <v>42118</v>
      </c>
      <c r="X31" s="23">
        <f t="shared" si="5"/>
        <v>6</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SÁB</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Gerais'!$C$6,$W$7,Abr!C32)</f>
        <v>42119</v>
      </c>
      <c r="X32" s="23">
        <f t="shared" si="5"/>
        <v>7</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DOM</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Gerais'!$C$6,$W$7,Abr!C33)</f>
        <v>42120</v>
      </c>
      <c r="X33" s="23">
        <f t="shared" si="5"/>
        <v>1</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SEG</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Gerais'!$C$6,$W$7,Abr!C34)</f>
        <v>42121</v>
      </c>
      <c r="X34" s="23">
        <f t="shared" si="5"/>
        <v>2</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TER</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Gerais'!$C$6,$W$7,Abr!C35)</f>
        <v>42122</v>
      </c>
      <c r="X35" s="23">
        <f t="shared" si="5"/>
        <v>3</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QUA</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Gerais'!$C$6,$W$7,Abr!C36)</f>
        <v>42123</v>
      </c>
      <c r="X36" s="23">
        <f t="shared" si="5"/>
        <v>4</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QUI</v>
      </c>
      <c r="E37" s="93" t="s">
        <v>191</v>
      </c>
      <c r="F37" s="64"/>
      <c r="G37" s="64"/>
      <c r="H37" s="64"/>
      <c r="I37" s="64"/>
      <c r="J37" s="10"/>
      <c r="K37" s="60">
        <f t="shared" si="3"/>
        <v>0</v>
      </c>
      <c r="L37" s="51"/>
      <c r="M37" s="68">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Gerais'!$C$6,$W$7,Abr!C37)</f>
        <v>42124</v>
      </c>
      <c r="X37" s="23">
        <f t="shared" si="5"/>
        <v>5</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15"/>
      <c r="D38" s="15"/>
      <c r="E38" s="69"/>
      <c r="F38" s="70"/>
      <c r="G38" s="70"/>
      <c r="H38" s="70"/>
      <c r="I38" s="70"/>
      <c r="J38" s="18"/>
      <c r="K38" s="63"/>
      <c r="L38" s="52"/>
      <c r="M38" s="63"/>
      <c r="N38" s="52"/>
      <c r="O38" s="63"/>
      <c r="P38" s="2">
        <f t="shared" si="4"/>
        <v>0</v>
      </c>
      <c r="W38" s="225"/>
      <c r="AD38" s="27"/>
      <c r="AE38" s="27"/>
      <c r="AF38" s="27">
        <f t="shared" si="6"/>
        <v>0</v>
      </c>
      <c r="AG38" s="27"/>
      <c r="AH38" s="27"/>
      <c r="AI38" s="27">
        <f t="shared" si="9"/>
        <v>0</v>
      </c>
      <c r="AJ38" s="27"/>
      <c r="AK38" s="27"/>
      <c r="AL38" s="224"/>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Gerais'!F19+'P Gerais'!F19*'P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2">SUMIF($D$8:$D$38,B42,$O$8:$O$38)-SUMIFS($K$8:$K$38,$D$8:$D$38,B42,$E$8:$E$38,"Feriado")-SUMIFS($K$8:$K$38,$D$8:$D$38,B42,$E$8:$E$38,"Folga(DSR)")-SUMIFS($K$8:$K$38,$D$8:$D$38,B42,$E$8:$E$38,"Falta Justificada")-SUMIFS($AJ$8:$AJ$38,$D$8:$D$38,B42,$E$8:$E$38,"Normal")</f>
        <v>0</v>
      </c>
      <c r="G42" s="26">
        <f>'P Gerais'!$C$36</f>
        <v>0</v>
      </c>
      <c r="H42" s="16">
        <f t="shared" ref="H42:H47" si="13">$K$40*(1+G42)*(F42*24)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2"/>
        <v>0</v>
      </c>
      <c r="G43" s="26">
        <f>'P Gerais'!$C$36</f>
        <v>0</v>
      </c>
      <c r="H43" s="16">
        <f t="shared" si="13"/>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2"/>
        <v>0</v>
      </c>
      <c r="G44" s="26">
        <f>'P Gerais'!$C$36</f>
        <v>0</v>
      </c>
      <c r="H44" s="16">
        <f t="shared" si="13"/>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2"/>
        <v>0</v>
      </c>
      <c r="G45" s="26">
        <f>'P Gerais'!$C$36</f>
        <v>0</v>
      </c>
      <c r="H45" s="16">
        <f t="shared" si="13"/>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2"/>
        <v>0</v>
      </c>
      <c r="G46" s="26">
        <f>'P Gerais'!E36</f>
        <v>0</v>
      </c>
      <c r="H46" s="16">
        <f t="shared" si="13"/>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2"/>
        <v>0</v>
      </c>
      <c r="G47" s="26">
        <f>'P Gerais'!F36</f>
        <v>0</v>
      </c>
      <c r="H47" s="16">
        <f t="shared" si="13"/>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262" priority="26" operator="containsText" text="Dom">
      <formula>NOT(ISERROR(SEARCH("Dom",D8)))</formula>
    </cfRule>
    <cfRule type="containsText" dxfId="261" priority="27" operator="containsText" text="Sáb">
      <formula>NOT(ISERROR(SEARCH("Sáb",D8)))</formula>
    </cfRule>
  </conditionalFormatting>
  <conditionalFormatting sqref="S13:S14">
    <cfRule type="expression" dxfId="260" priority="19">
      <formula>$S$15&gt;$S$17</formula>
    </cfRule>
  </conditionalFormatting>
  <conditionalFormatting sqref="M8:M38 K38">
    <cfRule type="expression" dxfId="259" priority="18">
      <formula>$M8&gt;0</formula>
    </cfRule>
  </conditionalFormatting>
  <conditionalFormatting sqref="O8:O38 K38">
    <cfRule type="expression" dxfId="258" priority="17">
      <formula>$O8&gt;0</formula>
    </cfRule>
  </conditionalFormatting>
  <conditionalFormatting sqref="F8:I38">
    <cfRule type="expression" dxfId="257" priority="14">
      <formula>$E8="Folga(DSR)"</formula>
    </cfRule>
    <cfRule type="expression" dxfId="256" priority="15">
      <formula>$E8="Feriado"</formula>
    </cfRule>
    <cfRule type="expression" dxfId="255" priority="16">
      <formula>$D8="Dom"</formula>
    </cfRule>
  </conditionalFormatting>
  <conditionalFormatting sqref="E8:E38">
    <cfRule type="expression" dxfId="254" priority="11">
      <formula>$E8="Folga(DSR)"</formula>
    </cfRule>
    <cfRule type="expression" dxfId="253" priority="12">
      <formula>$E8="Feriado"</formula>
    </cfRule>
    <cfRule type="expression" dxfId="252" priority="13">
      <formula>$D8="Dom"</formula>
    </cfRule>
  </conditionalFormatting>
  <conditionalFormatting sqref="I5">
    <cfRule type="expression" dxfId="251" priority="10">
      <formula>$K$5="Negativo"</formula>
    </cfRule>
  </conditionalFormatting>
  <conditionalFormatting sqref="S11:S12">
    <cfRule type="expression" dxfId="250" priority="9">
      <formula>$T$11="Negativo"</formula>
    </cfRule>
  </conditionalFormatting>
  <conditionalFormatting sqref="F40">
    <cfRule type="expression" dxfId="249" priority="6">
      <formula>$E40="Folga(DSR)"</formula>
    </cfRule>
    <cfRule type="expression" dxfId="248" priority="7">
      <formula>$E40="Feriado"</formula>
    </cfRule>
    <cfRule type="expression" dxfId="247" priority="8">
      <formula>$D40="Dom"</formula>
    </cfRule>
  </conditionalFormatting>
  <conditionalFormatting sqref="AJ7">
    <cfRule type="expression" dxfId="246" priority="3">
      <formula>$E7="Folga(DSR)"</formula>
    </cfRule>
    <cfRule type="expression" dxfId="245" priority="4">
      <formula>$E7="Feriado"</formula>
    </cfRule>
    <cfRule type="expression" dxfId="244" priority="5">
      <formula>$D7="Dom"</formula>
    </cfRule>
  </conditionalFormatting>
  <conditionalFormatting sqref="K8:K37">
    <cfRule type="expression" dxfId="243" priority="2">
      <formula>$M8&gt;0</formula>
    </cfRule>
  </conditionalFormatting>
  <conditionalFormatting sqref="K8:K37">
    <cfRule type="expression" dxfId="242"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8" width="16.59765625" customWidth="1"/>
    <col min="19" max="19" width="15.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Abr!S11</f>
        <v>0</v>
      </c>
      <c r="K5" s="2" t="str">
        <f>IF(Abr!T11="Negativo","Negativo","Positivo")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5</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SEX</v>
      </c>
      <c r="E8" s="9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Gerais'!$C$6,$W$7,Mai!C8)</f>
        <v>42125</v>
      </c>
      <c r="X8" s="23">
        <f>WEEKDAY(W8)</f>
        <v>6</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8" si="2">VLOOKUP(X9,$AB$8:$AC$14,2,0)</f>
        <v>SÁB</v>
      </c>
      <c r="E9" s="93" t="s">
        <v>191</v>
      </c>
      <c r="F9" s="62"/>
      <c r="G9" s="62"/>
      <c r="H9" s="62"/>
      <c r="I9" s="62"/>
      <c r="J9" s="10"/>
      <c r="K9" s="60">
        <f t="shared" ref="K9:K38"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Gerais'!$C$6,$W$7,Mai!C9)</f>
        <v>42126</v>
      </c>
      <c r="X9" s="23">
        <f t="shared" ref="X9:X38" si="5">WEEKDAY(W9)</f>
        <v>7</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DOM</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Gerais'!$C$6,$W$7,Mai!C10)</f>
        <v>42127</v>
      </c>
      <c r="X10" s="23">
        <f t="shared" si="5"/>
        <v>1</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SEG</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Gerais'!$C$6,$W$7,Mai!C11)</f>
        <v>42128</v>
      </c>
      <c r="X11" s="23">
        <f t="shared" si="5"/>
        <v>2</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TER</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Gerais'!$C$6,$W$7,Mai!C12)</f>
        <v>42129</v>
      </c>
      <c r="X12" s="23">
        <f t="shared" si="5"/>
        <v>3</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QUA</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Gerais'!$C$6,$W$7,Mai!C13)</f>
        <v>42130</v>
      </c>
      <c r="X13" s="23">
        <f t="shared" si="5"/>
        <v>4</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QUI</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Gerais'!$C$6,$W$7,Mai!C14)</f>
        <v>42131</v>
      </c>
      <c r="X14" s="23">
        <f t="shared" si="5"/>
        <v>5</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SEX</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Gerais'!$C$6,$W$7,Mai!C15)</f>
        <v>42132</v>
      </c>
      <c r="X15" s="23">
        <f t="shared" si="5"/>
        <v>6</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SÁB</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Gerais'!$C$6,$W$7,Mai!C16)</f>
        <v>42133</v>
      </c>
      <c r="X16" s="23">
        <f t="shared" si="5"/>
        <v>7</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DOM</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Gerais'!$C$6,$W$7,Mai!C17)</f>
        <v>42134</v>
      </c>
      <c r="X17" s="23">
        <f t="shared" si="5"/>
        <v>1</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SEG</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Gerais'!$C$6,$W$7,Mai!C18)</f>
        <v>42135</v>
      </c>
      <c r="X18" s="23">
        <f t="shared" si="5"/>
        <v>2</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TER</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Gerais'!$C$6,$W$7,Mai!C19)</f>
        <v>42136</v>
      </c>
      <c r="X19" s="23">
        <f t="shared" si="5"/>
        <v>3</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QUA</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Gerais'!$C$6,$W$7,Mai!C20)</f>
        <v>42137</v>
      </c>
      <c r="X20" s="23">
        <f t="shared" si="5"/>
        <v>4</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QUI</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Gerais'!$C$6,$W$7,Mai!C21)</f>
        <v>42138</v>
      </c>
      <c r="X21" s="23">
        <f t="shared" si="5"/>
        <v>5</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SEX</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Gerais'!$C$6,$W$7,Mai!C22)</f>
        <v>42139</v>
      </c>
      <c r="X22" s="23">
        <f t="shared" si="5"/>
        <v>6</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SÁB</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Gerais'!$C$6,$W$7,Mai!C23)</f>
        <v>42140</v>
      </c>
      <c r="X23" s="23">
        <f t="shared" si="5"/>
        <v>7</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DOM</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Gerais'!$C$6,$W$7,Mai!C24)</f>
        <v>42141</v>
      </c>
      <c r="X24" s="23">
        <f t="shared" si="5"/>
        <v>1</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SEG</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Gerais'!$C$6,$W$7,Mai!C25)</f>
        <v>42142</v>
      </c>
      <c r="X25" s="23">
        <f t="shared" si="5"/>
        <v>2</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TER</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Gerais'!$C$6,$W$7,Mai!C26)</f>
        <v>42143</v>
      </c>
      <c r="X26" s="23">
        <f t="shared" si="5"/>
        <v>3</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QUA</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Gerais'!$C$6,$W$7,Mai!C27)</f>
        <v>42144</v>
      </c>
      <c r="X27" s="23">
        <f t="shared" si="5"/>
        <v>4</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QUI</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Gerais'!$C$6,$W$7,Mai!C28)</f>
        <v>42145</v>
      </c>
      <c r="X28" s="23">
        <f t="shared" si="5"/>
        <v>5</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SEX</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Gerais'!$C$6,$W$7,Mai!C29)</f>
        <v>42146</v>
      </c>
      <c r="X29" s="23">
        <f t="shared" si="5"/>
        <v>6</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SÁB</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Gerais'!$C$6,$W$7,Mai!C30)</f>
        <v>42147</v>
      </c>
      <c r="X30" s="23">
        <f t="shared" si="5"/>
        <v>7</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DOM</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Gerais'!$C$6,$W$7,Mai!C31)</f>
        <v>42148</v>
      </c>
      <c r="X31" s="23">
        <f t="shared" si="5"/>
        <v>1</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SEG</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Gerais'!$C$6,$W$7,Mai!C32)</f>
        <v>42149</v>
      </c>
      <c r="X32" s="23">
        <f t="shared" si="5"/>
        <v>2</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TER</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Gerais'!$C$6,$W$7,Mai!C33)</f>
        <v>42150</v>
      </c>
      <c r="X33" s="23">
        <f t="shared" si="5"/>
        <v>3</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QUA</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Gerais'!$C$6,$W$7,Mai!C34)</f>
        <v>42151</v>
      </c>
      <c r="X34" s="23">
        <f t="shared" si="5"/>
        <v>4</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67">
        <v>28</v>
      </c>
      <c r="D35" s="67" t="str">
        <f t="shared" si="2"/>
        <v>QUI</v>
      </c>
      <c r="E35" s="93" t="s">
        <v>191</v>
      </c>
      <c r="F35" s="64"/>
      <c r="G35" s="64"/>
      <c r="H35" s="64"/>
      <c r="I35" s="64"/>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Gerais'!$C$6,$W$7,Mai!C35)</f>
        <v>42152</v>
      </c>
      <c r="X35" s="23">
        <f t="shared" si="5"/>
        <v>5</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SEX</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Gerais'!$C$6,$W$7,Mai!C36)</f>
        <v>42153</v>
      </c>
      <c r="X36" s="23">
        <f t="shared" si="5"/>
        <v>6</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SÁB</v>
      </c>
      <c r="E37" s="93"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Gerais'!$C$6,$W$7,Mai!C37)</f>
        <v>42154</v>
      </c>
      <c r="X37" s="23">
        <f t="shared" si="5"/>
        <v>7</v>
      </c>
      <c r="AD37" s="27">
        <f t="shared" si="0"/>
        <v>0</v>
      </c>
      <c r="AE37" s="27">
        <f>VLOOKUP(D37,'P Gerais'!$C$23:$N$29,12,0)</f>
        <v>0</v>
      </c>
      <c r="AF37" s="27">
        <f t="shared" si="6"/>
        <v>0</v>
      </c>
      <c r="AG37" s="27">
        <f t="shared" si="7"/>
        <v>1</v>
      </c>
      <c r="AH37" s="27">
        <f t="shared" si="8"/>
        <v>0</v>
      </c>
      <c r="AI37" s="27">
        <f t="shared" si="9"/>
        <v>0</v>
      </c>
      <c r="AJ37" s="27">
        <f t="shared" si="11"/>
        <v>0</v>
      </c>
      <c r="AK37" s="27">
        <f>IF(AND(I37&gt;$AK$7,I37&gt;AL37),I37-AL37,$AF$7)</f>
        <v>0</v>
      </c>
      <c r="AL37" s="224">
        <f>VLOOKUP(D37,'P Gerais'!$C$23:$I$29,7,FALSE)</f>
        <v>0</v>
      </c>
    </row>
    <row r="38" spans="1:40" ht="15" customHeight="1" x14ac:dyDescent="0.2">
      <c r="C38" s="59">
        <v>31</v>
      </c>
      <c r="D38" s="59" t="str">
        <f t="shared" si="2"/>
        <v>DOM</v>
      </c>
      <c r="E38" s="61" t="s">
        <v>191</v>
      </c>
      <c r="F38" s="62"/>
      <c r="G38" s="62"/>
      <c r="H38" s="62"/>
      <c r="I38" s="62"/>
      <c r="J38" s="10"/>
      <c r="K38" s="60">
        <f t="shared" si="3"/>
        <v>0</v>
      </c>
      <c r="L38" s="51"/>
      <c r="M38" s="60">
        <f>IF(E38="Falta Justificada",0,IF(E38="Feriado",0,IF(E38="Folga(DSR)",0,IF(VLOOKUP(D38,'P Gerais'!$C$23:$M$29,11,0)-K38&gt;0,VLOOKUP(D38,'P Gerais'!$C$23:$M$29,11,0)-K38,0))))</f>
        <v>0</v>
      </c>
      <c r="N38" s="51"/>
      <c r="O38" s="60">
        <f>IF(E38="Feriado",IF(F38&gt;I38,(I38+1-F38)-(H38-G38),(I38-F38)-(H38-G38)),IF(E38="Folga(DSR)",IF(F38&gt;I38,(I38+1-F38)-(H38-G38),(I38-F38)-(H38-G38)),IF(E38="Falta Justificada",IF(F38&gt;I38,(I38+1-F38)-(H38-G38),(I38-F38)-(H38-G38)),IF(VLOOKUP(D38,'P Gerais'!$C$23:$M$29,11,0)-K38&lt;0,ABS(VLOOKUP(D38,'P Gerais'!$C$23:$M$29,11,0)-K38),0))))</f>
        <v>0</v>
      </c>
      <c r="P38" s="2">
        <f t="shared" si="4"/>
        <v>0</v>
      </c>
      <c r="W38" s="225">
        <f>DATE('P Gerais'!$C$6,$W$7,Mai!C38)</f>
        <v>42155</v>
      </c>
      <c r="X38" s="23">
        <f t="shared" si="5"/>
        <v>1</v>
      </c>
      <c r="AD38" s="27"/>
      <c r="AE38" s="27"/>
      <c r="AF38" s="27">
        <f t="shared" si="6"/>
        <v>0</v>
      </c>
      <c r="AG38" s="27"/>
      <c r="AH38" s="27"/>
      <c r="AI38" s="27">
        <f t="shared" si="9"/>
        <v>0</v>
      </c>
      <c r="AJ38" s="27"/>
      <c r="AK38" s="27">
        <f>IF(AND(I38&gt;$AK$7,I38&gt;AL38),I38-AL38,$AF$7)</f>
        <v>0</v>
      </c>
      <c r="AL38" s="224">
        <f>VLOOKUP(D38,'P Gerais'!$C$23:$I$29,7,FALSE)</f>
        <v>0</v>
      </c>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Gerais'!I16+'P Gerais'!I16*'P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2">SUMIF($D$8:$D$38,B42,$O$8:$O$38)-SUMIFS($K$8:$K$38,$D$8:$D$38,B42,$E$8:$E$38,"Feriado")-SUMIFS($K$8:$K$38,$D$8:$D$38,B42,$E$8:$E$38,"Folga(DSR)")-SUMIFS($K$8:$K$38,$D$8:$D$38,B42,$E$8:$E$38,"Falta Justificada")-SUMIFS($AJ$8:$AJ$38,$D$8:$D$38,B42,$E$8:$E$38,"Normal")</f>
        <v>0</v>
      </c>
      <c r="G42" s="26">
        <f>'P Gerais'!$C$36</f>
        <v>0</v>
      </c>
      <c r="H42" s="16">
        <f t="shared" ref="H42:H47" si="13">$K$40*(1+G42)*(F42*24)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2"/>
        <v>0</v>
      </c>
      <c r="G43" s="26">
        <f>'P Gerais'!$C$36</f>
        <v>0</v>
      </c>
      <c r="H43" s="16">
        <f t="shared" si="13"/>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2"/>
        <v>0</v>
      </c>
      <c r="G44" s="26">
        <f>'P Gerais'!$C$36</f>
        <v>0</v>
      </c>
      <c r="H44" s="16">
        <f t="shared" si="13"/>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2"/>
        <v>0</v>
      </c>
      <c r="G45" s="26">
        <f>'P Gerais'!$C$36</f>
        <v>0</v>
      </c>
      <c r="H45" s="16">
        <f t="shared" si="13"/>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2"/>
        <v>0</v>
      </c>
      <c r="G46" s="26">
        <f>'P Gerais'!E36</f>
        <v>0</v>
      </c>
      <c r="H46" s="16">
        <f t="shared" si="13"/>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2"/>
        <v>0</v>
      </c>
      <c r="G47" s="26">
        <f>'P Gerais'!F36</f>
        <v>0</v>
      </c>
      <c r="H47" s="16">
        <f t="shared" si="13"/>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241" priority="29" operator="containsText" text="Dom">
      <formula>NOT(ISERROR(SEARCH("Dom",D8)))</formula>
    </cfRule>
    <cfRule type="containsText" dxfId="240" priority="30" operator="containsText" text="Sáb">
      <formula>NOT(ISERROR(SEARCH("Sáb",D8)))</formula>
    </cfRule>
  </conditionalFormatting>
  <conditionalFormatting sqref="S13:S14">
    <cfRule type="expression" dxfId="239" priority="22">
      <formula>$S$15&gt;$S$17</formula>
    </cfRule>
  </conditionalFormatting>
  <conditionalFormatting sqref="M8:M38">
    <cfRule type="expression" dxfId="238" priority="21">
      <formula>$M8&gt;0</formula>
    </cfRule>
  </conditionalFormatting>
  <conditionalFormatting sqref="O8:O38">
    <cfRule type="expression" dxfId="237" priority="20">
      <formula>$O8&gt;0</formula>
    </cfRule>
  </conditionalFormatting>
  <conditionalFormatting sqref="F8:I38">
    <cfRule type="expression" dxfId="236" priority="17">
      <formula>$E8="Folga(DSR)"</formula>
    </cfRule>
    <cfRule type="expression" dxfId="235" priority="18">
      <formula>$E8="Feriado"</formula>
    </cfRule>
    <cfRule type="expression" dxfId="234" priority="19">
      <formula>$D8="Dom"</formula>
    </cfRule>
  </conditionalFormatting>
  <conditionalFormatting sqref="E38">
    <cfRule type="expression" dxfId="233" priority="14">
      <formula>$E38="Folga(DSR)"</formula>
    </cfRule>
    <cfRule type="expression" dxfId="232" priority="15">
      <formula>$E38="Feriado"</formula>
    </cfRule>
    <cfRule type="expression" dxfId="231" priority="16">
      <formula>$D38="Dom"</formula>
    </cfRule>
  </conditionalFormatting>
  <conditionalFormatting sqref="I5">
    <cfRule type="expression" dxfId="230" priority="13">
      <formula>$K$5="Negativo"</formula>
    </cfRule>
  </conditionalFormatting>
  <conditionalFormatting sqref="S11:S12">
    <cfRule type="expression" dxfId="229" priority="12">
      <formula>$T$11="Negativo"</formula>
    </cfRule>
  </conditionalFormatting>
  <conditionalFormatting sqref="E8:E37">
    <cfRule type="expression" dxfId="228" priority="9">
      <formula>$E8="Folga(DSR)"</formula>
    </cfRule>
    <cfRule type="expression" dxfId="227" priority="10">
      <formula>$E8="Feriado"</formula>
    </cfRule>
    <cfRule type="expression" dxfId="226" priority="11">
      <formula>$D8="Dom"</formula>
    </cfRule>
  </conditionalFormatting>
  <conditionalFormatting sqref="F40">
    <cfRule type="expression" dxfId="225" priority="6">
      <formula>$E40="Folga(DSR)"</formula>
    </cfRule>
    <cfRule type="expression" dxfId="224" priority="7">
      <formula>$E40="Feriado"</formula>
    </cfRule>
    <cfRule type="expression" dxfId="223" priority="8">
      <formula>$D40="Dom"</formula>
    </cfRule>
  </conditionalFormatting>
  <conditionalFormatting sqref="AJ7">
    <cfRule type="expression" dxfId="222" priority="3">
      <formula>$E7="Folga(DSR)"</formula>
    </cfRule>
    <cfRule type="expression" dxfId="221" priority="4">
      <formula>$E7="Feriado"</formula>
    </cfRule>
    <cfRule type="expression" dxfId="220" priority="5">
      <formula>$D7="Dom"</formula>
    </cfRule>
  </conditionalFormatting>
  <conditionalFormatting sqref="K8:K38">
    <cfRule type="expression" dxfId="219" priority="2">
      <formula>$M8&gt;0</formula>
    </cfRule>
  </conditionalFormatting>
  <conditionalFormatting sqref="K8:K38">
    <cfRule type="expression" dxfId="218"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E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57" width="8.796875" style="53"/>
  </cols>
  <sheetData>
    <row r="1" spans="1:57"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56"/>
      <c r="AP1" s="56"/>
      <c r="AQ1" s="56"/>
      <c r="AR1" s="56"/>
      <c r="AS1" s="56"/>
      <c r="AT1" s="56"/>
      <c r="AU1" s="56"/>
      <c r="AV1" s="56"/>
      <c r="AW1" s="56"/>
      <c r="AX1" s="56"/>
      <c r="AY1" s="56"/>
      <c r="AZ1" s="56"/>
      <c r="BA1" s="56"/>
      <c r="BB1" s="56"/>
      <c r="BC1" s="56"/>
      <c r="BD1" s="56"/>
      <c r="BE1" s="56"/>
    </row>
    <row r="2" spans="1:57"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56"/>
      <c r="AP2" s="56"/>
      <c r="AQ2" s="56"/>
      <c r="AR2" s="56"/>
      <c r="AS2" s="56"/>
      <c r="AT2" s="56"/>
      <c r="AU2" s="56"/>
      <c r="AV2" s="56"/>
      <c r="AW2" s="56"/>
      <c r="AX2" s="56"/>
      <c r="AY2" s="56"/>
      <c r="AZ2" s="56"/>
      <c r="BA2" s="56"/>
      <c r="BB2" s="56"/>
      <c r="BC2" s="56"/>
      <c r="BD2" s="56"/>
      <c r="BE2" s="56"/>
    </row>
    <row r="3" spans="1:57"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56"/>
      <c r="AP3" s="56"/>
      <c r="AQ3" s="56"/>
      <c r="AR3" s="56"/>
      <c r="AS3" s="56"/>
      <c r="AT3" s="56"/>
      <c r="AU3" s="56"/>
      <c r="AV3" s="56"/>
      <c r="AW3" s="56"/>
      <c r="AX3" s="56"/>
      <c r="AY3" s="56"/>
      <c r="AZ3" s="56"/>
      <c r="BA3" s="56"/>
      <c r="BB3" s="56"/>
      <c r="BC3" s="56"/>
      <c r="BD3" s="56"/>
      <c r="BE3" s="56"/>
    </row>
    <row r="4" spans="1:57" ht="30" customHeight="1" x14ac:dyDescent="0.2">
      <c r="M4" s="14"/>
    </row>
    <row r="5" spans="1:57" ht="30" customHeight="1" x14ac:dyDescent="0.2">
      <c r="C5" s="173" t="s">
        <v>189</v>
      </c>
      <c r="D5" s="173"/>
      <c r="E5" s="173"/>
      <c r="F5" s="173"/>
      <c r="G5" s="173"/>
      <c r="H5" s="173"/>
      <c r="I5" s="112">
        <f>Mai!S11</f>
        <v>0</v>
      </c>
      <c r="K5" s="2" t="str">
        <f>IF(Mai!T11="Negativo","Negativo","Positivo")</f>
        <v>Positivo</v>
      </c>
      <c r="S5" s="2">
        <f>IF(S17&gt;'P Gerais'!G6/10,1,0)</f>
        <v>0</v>
      </c>
      <c r="AI5" s="27"/>
      <c r="AJ5" s="27"/>
    </row>
    <row r="6" spans="1:57" ht="7.75" customHeight="1" x14ac:dyDescent="0.2">
      <c r="K6" s="12"/>
      <c r="M6" s="11"/>
      <c r="O6" s="11"/>
    </row>
    <row r="7" spans="1:57"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6</v>
      </c>
      <c r="AD7" s="23" t="s">
        <v>194</v>
      </c>
      <c r="AF7" s="222">
        <v>0</v>
      </c>
      <c r="AG7" s="27">
        <v>1</v>
      </c>
      <c r="AH7" s="27">
        <v>0.45833333333333331</v>
      </c>
      <c r="AI7" s="27">
        <v>0.20833333333333334</v>
      </c>
      <c r="AJ7" s="223">
        <v>0.75</v>
      </c>
      <c r="AK7" s="27">
        <v>0.91666666666666663</v>
      </c>
      <c r="AL7" s="224"/>
    </row>
    <row r="8" spans="1:57" ht="15" customHeight="1" x14ac:dyDescent="0.2">
      <c r="C8" s="59">
        <v>1</v>
      </c>
      <c r="D8" s="59" t="str">
        <f>VLOOKUP(X8,$AB$8:$AC$14,2,0)</f>
        <v>SEG</v>
      </c>
      <c r="E8" s="93" t="s">
        <v>210</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Gerais'!$C$6,$W$7,Jun!C8)</f>
        <v>42156</v>
      </c>
      <c r="X8" s="23">
        <f>WEEKDAY(W8)</f>
        <v>2</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57" ht="15" customHeight="1" x14ac:dyDescent="0.2">
      <c r="C9" s="59">
        <v>2</v>
      </c>
      <c r="D9" s="59" t="str">
        <f t="shared" ref="D9:D37" si="2">VLOOKUP(X9,$AB$8:$AC$14,2,0)</f>
        <v>TER</v>
      </c>
      <c r="E9" s="93" t="s">
        <v>191</v>
      </c>
      <c r="F9" s="62"/>
      <c r="G9" s="62"/>
      <c r="H9" s="62"/>
      <c r="I9" s="62"/>
      <c r="J9" s="10"/>
      <c r="K9" s="60">
        <f t="shared" ref="K9:K37"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Gerais'!$C$6,$W$7,Jun!C9)</f>
        <v>42157</v>
      </c>
      <c r="X9" s="23">
        <f t="shared" ref="X9:X37" si="5">WEEKDAY(W9)</f>
        <v>3</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57" ht="15" customHeight="1" x14ac:dyDescent="0.2">
      <c r="C10" s="59">
        <v>3</v>
      </c>
      <c r="D10" s="59" t="str">
        <f t="shared" si="2"/>
        <v>QUA</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Gerais'!$C$6,$W$7,Jun!C10)</f>
        <v>42158</v>
      </c>
      <c r="X10" s="23">
        <f t="shared" si="5"/>
        <v>4</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57" ht="15" customHeight="1" x14ac:dyDescent="0.2">
      <c r="C11" s="59">
        <v>4</v>
      </c>
      <c r="D11" s="59" t="str">
        <f t="shared" si="2"/>
        <v>QUI</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Gerais'!$C$6,$W$7,Jun!C11)</f>
        <v>42159</v>
      </c>
      <c r="X11" s="23">
        <f t="shared" si="5"/>
        <v>5</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57" ht="15" customHeight="1" x14ac:dyDescent="0.2">
      <c r="C12" s="59">
        <v>5</v>
      </c>
      <c r="D12" s="59" t="str">
        <f t="shared" si="2"/>
        <v>SEX</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Gerais'!$C$6,$W$7,Jun!C12)</f>
        <v>42160</v>
      </c>
      <c r="X12" s="23">
        <f t="shared" si="5"/>
        <v>6</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57" ht="15" customHeight="1" x14ac:dyDescent="0.2">
      <c r="C13" s="59">
        <v>6</v>
      </c>
      <c r="D13" s="59" t="str">
        <f t="shared" si="2"/>
        <v>SÁB</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Gerais'!$C$6,$W$7,Jun!C13)</f>
        <v>42161</v>
      </c>
      <c r="X13" s="23">
        <f t="shared" si="5"/>
        <v>7</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57" ht="15" customHeight="1" x14ac:dyDescent="0.2">
      <c r="C14" s="59">
        <v>7</v>
      </c>
      <c r="D14" s="59" t="str">
        <f t="shared" si="2"/>
        <v>DOM</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Gerais'!$C$6,$W$7,Jun!C14)</f>
        <v>42162</v>
      </c>
      <c r="X14" s="23">
        <f t="shared" si="5"/>
        <v>1</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57" ht="15" customHeight="1" x14ac:dyDescent="0.2">
      <c r="C15" s="59">
        <v>8</v>
      </c>
      <c r="D15" s="59" t="str">
        <f t="shared" si="2"/>
        <v>SEG</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Gerais'!$C$6,$W$7,Jun!C15)</f>
        <v>42163</v>
      </c>
      <c r="X15" s="23">
        <f t="shared" si="5"/>
        <v>2</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57" ht="15" customHeight="1" x14ac:dyDescent="0.2">
      <c r="C16" s="59">
        <v>9</v>
      </c>
      <c r="D16" s="59" t="str">
        <f t="shared" si="2"/>
        <v>TER</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Gerais'!$C$6,$W$7,Jun!C16)</f>
        <v>42164</v>
      </c>
      <c r="X16" s="23">
        <f t="shared" si="5"/>
        <v>3</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QUA</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Gerais'!$C$6,$W$7,Jun!C17)</f>
        <v>42165</v>
      </c>
      <c r="X17" s="23">
        <f t="shared" si="5"/>
        <v>4</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QUI</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Gerais'!$C$6,$W$7,Jun!C18)</f>
        <v>42166</v>
      </c>
      <c r="X18" s="23">
        <f t="shared" si="5"/>
        <v>5</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SEX</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Gerais'!$C$6,$W$7,Jun!C19)</f>
        <v>42167</v>
      </c>
      <c r="X19" s="23">
        <f t="shared" si="5"/>
        <v>6</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SÁB</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Gerais'!$C$6,$W$7,Jun!C20)</f>
        <v>42168</v>
      </c>
      <c r="X20" s="23">
        <f t="shared" si="5"/>
        <v>7</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DOM</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Gerais'!$C$6,$W$7,Jun!C21)</f>
        <v>42169</v>
      </c>
      <c r="X21" s="23">
        <f t="shared" si="5"/>
        <v>1</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SEG</v>
      </c>
      <c r="E22" s="137"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Gerais'!$C$6,$W$7,Jun!C22)</f>
        <v>42170</v>
      </c>
      <c r="X22" s="23">
        <f t="shared" si="5"/>
        <v>2</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TER</v>
      </c>
      <c r="E23" s="137"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Gerais'!$C$6,$W$7,Jun!C23)</f>
        <v>42171</v>
      </c>
      <c r="X23" s="23">
        <f t="shared" si="5"/>
        <v>3</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QUA</v>
      </c>
      <c r="E24" s="137"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Gerais'!$C$6,$W$7,Jun!C24)</f>
        <v>42172</v>
      </c>
      <c r="X24" s="23">
        <f t="shared" si="5"/>
        <v>4</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QUI</v>
      </c>
      <c r="E25" s="137"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Gerais'!$C$6,$W$7,Jun!C25)</f>
        <v>42173</v>
      </c>
      <c r="X25" s="23">
        <f t="shared" si="5"/>
        <v>5</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SEX</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Gerais'!$C$6,$W$7,Jun!C26)</f>
        <v>42174</v>
      </c>
      <c r="X26" s="23">
        <f t="shared" si="5"/>
        <v>6</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SÁB</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Gerais'!$C$6,$W$7,Jun!C27)</f>
        <v>42175</v>
      </c>
      <c r="X27" s="23">
        <f t="shared" si="5"/>
        <v>7</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DOM</v>
      </c>
      <c r="E28" s="152"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Gerais'!$C$6,$W$7,Jun!C28)</f>
        <v>42176</v>
      </c>
      <c r="X28" s="23">
        <f t="shared" si="5"/>
        <v>1</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SEG</v>
      </c>
      <c r="E29" s="152"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Gerais'!$C$6,$W$7,Jun!C29)</f>
        <v>42177</v>
      </c>
      <c r="X29" s="23">
        <f t="shared" si="5"/>
        <v>2</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TER</v>
      </c>
      <c r="E30" s="152"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Gerais'!$C$6,$W$7,Jun!C30)</f>
        <v>42178</v>
      </c>
      <c r="X30" s="23">
        <f t="shared" si="5"/>
        <v>3</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QUA</v>
      </c>
      <c r="E31" s="152"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Gerais'!$C$6,$W$7,Jun!C31)</f>
        <v>42179</v>
      </c>
      <c r="X31" s="23">
        <f t="shared" si="5"/>
        <v>4</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QUI</v>
      </c>
      <c r="E32" s="152"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Gerais'!$C$6,$W$7,Jun!C32)</f>
        <v>42180</v>
      </c>
      <c r="X32" s="23">
        <f t="shared" si="5"/>
        <v>5</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SEX</v>
      </c>
      <c r="E33" s="152"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Gerais'!$C$6,$W$7,Jun!C33)</f>
        <v>42181</v>
      </c>
      <c r="X33" s="23">
        <f t="shared" si="5"/>
        <v>6</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SÁB</v>
      </c>
      <c r="E34" s="152"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Gerais'!$C$6,$W$7,Jun!C34)</f>
        <v>42182</v>
      </c>
      <c r="X34" s="23">
        <f t="shared" si="5"/>
        <v>7</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DOM</v>
      </c>
      <c r="E35" s="152"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Gerais'!$C$6,$W$7,Jun!C35)</f>
        <v>42183</v>
      </c>
      <c r="X35" s="23">
        <f t="shared" si="5"/>
        <v>1</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SEG</v>
      </c>
      <c r="E36" s="152"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Gerais'!$C$6,$W$7,Jun!C36)</f>
        <v>42184</v>
      </c>
      <c r="X36" s="23">
        <f t="shared" si="5"/>
        <v>2</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TER</v>
      </c>
      <c r="E37" s="152"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Gerais'!$C$6,$W$7,Jun!C37)</f>
        <v>42185</v>
      </c>
      <c r="X37" s="23">
        <f t="shared" si="5"/>
        <v>3</v>
      </c>
      <c r="AD37" s="27">
        <f t="shared" si="0"/>
        <v>0</v>
      </c>
      <c r="AE37" s="27">
        <f>VLOOKUP(D37,'P Gerais'!$C$23:$N$29,12,0)</f>
        <v>0</v>
      </c>
      <c r="AF37" s="27">
        <f t="shared" si="6"/>
        <v>0</v>
      </c>
      <c r="AG37" s="27">
        <f t="shared" si="7"/>
        <v>1</v>
      </c>
      <c r="AH37" s="27">
        <f t="shared" si="8"/>
        <v>0</v>
      </c>
      <c r="AI37" s="27">
        <f t="shared" si="9"/>
        <v>0</v>
      </c>
      <c r="AJ37" s="27">
        <f t="shared" si="11"/>
        <v>0</v>
      </c>
      <c r="AK37" s="27">
        <f t="shared" ref="AK37:AK38" si="12">IF(AND(I37&gt;$AK$7,I37&gt;AL37),I37-AL37,$AF$7)</f>
        <v>0</v>
      </c>
      <c r="AL37" s="224">
        <f>VLOOKUP(D37,'P Gerais'!$C$23:$I$29,7,FALSE)</f>
        <v>0</v>
      </c>
    </row>
    <row r="38" spans="1:40" ht="15" customHeight="1" x14ac:dyDescent="0.2">
      <c r="C38" s="15"/>
      <c r="D38" s="15"/>
      <c r="E38" s="69"/>
      <c r="F38" s="70"/>
      <c r="G38" s="70"/>
      <c r="H38" s="70"/>
      <c r="I38" s="70"/>
      <c r="J38" s="18"/>
      <c r="K38" s="63"/>
      <c r="L38" s="52"/>
      <c r="N38" s="52"/>
      <c r="O38" s="63"/>
      <c r="P38" s="2">
        <f t="shared" si="4"/>
        <v>0</v>
      </c>
      <c r="W38" s="225"/>
      <c r="AD38" s="27"/>
      <c r="AE38" s="27"/>
      <c r="AF38" s="27">
        <f t="shared" si="6"/>
        <v>0</v>
      </c>
      <c r="AG38" s="27"/>
      <c r="AH38" s="27"/>
      <c r="AI38" s="27">
        <f t="shared" si="9"/>
        <v>0</v>
      </c>
      <c r="AJ38" s="27"/>
      <c r="AK38" s="27"/>
      <c r="AL38" s="224"/>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27"/>
      <c r="AL39" s="23"/>
      <c r="AM39" s="23"/>
      <c r="AN39" s="133"/>
    </row>
    <row r="40" spans="1:40" s="2" customFormat="1" ht="30" customHeight="1" x14ac:dyDescent="0.2">
      <c r="A40" s="9"/>
      <c r="C40" s="23"/>
      <c r="D40" s="23"/>
      <c r="E40" s="23"/>
      <c r="F40" s="28"/>
      <c r="G40" s="24">
        <v>4.1666666666666664E-2</v>
      </c>
      <c r="H40" s="2">
        <f>'P Gerais'!I17+'P Gerais'!I17*'P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57" s="53" customFormat="1" ht="30" customHeight="1" x14ac:dyDescent="0.2">
      <c r="A81" s="132"/>
      <c r="T81" s="133"/>
      <c r="U81" s="23"/>
      <c r="V81" s="23"/>
      <c r="W81" s="23"/>
      <c r="X81" s="23"/>
      <c r="Y81" s="23"/>
      <c r="Z81" s="23"/>
      <c r="AA81" s="23"/>
      <c r="AB81" s="23"/>
      <c r="AC81" s="23"/>
      <c r="AD81" s="23"/>
      <c r="AE81" s="23"/>
      <c r="AF81" s="23"/>
      <c r="AG81" s="23"/>
      <c r="AH81" s="23"/>
      <c r="AI81" s="23"/>
      <c r="AJ81" s="23"/>
      <c r="AK81" s="23"/>
      <c r="AL81" s="23"/>
      <c r="AM81" s="23"/>
      <c r="AN81" s="133"/>
    </row>
    <row r="82" spans="1:57" s="53" customFormat="1" ht="30" customHeight="1" x14ac:dyDescent="0.2">
      <c r="A82" s="132"/>
      <c r="T82" s="133"/>
      <c r="U82" s="23"/>
      <c r="V82" s="23"/>
      <c r="W82" s="23"/>
      <c r="X82" s="23"/>
      <c r="Y82" s="23"/>
      <c r="Z82" s="23"/>
      <c r="AA82" s="23"/>
      <c r="AB82" s="23"/>
      <c r="AC82" s="23"/>
      <c r="AD82" s="23"/>
      <c r="AE82" s="23"/>
      <c r="AF82" s="23"/>
      <c r="AG82" s="23"/>
      <c r="AH82" s="23"/>
      <c r="AI82" s="23"/>
      <c r="AJ82" s="23"/>
      <c r="AK82" s="23"/>
      <c r="AL82" s="23"/>
      <c r="AM82" s="23"/>
      <c r="AN82" s="133"/>
    </row>
    <row r="83" spans="1:57" s="53" customFormat="1" ht="30" customHeight="1" x14ac:dyDescent="0.2">
      <c r="A83" s="132"/>
      <c r="T83" s="133"/>
      <c r="U83" s="23"/>
      <c r="V83" s="23"/>
      <c r="W83" s="23"/>
      <c r="X83" s="23"/>
      <c r="Y83" s="23"/>
      <c r="Z83" s="23"/>
      <c r="AA83" s="23"/>
      <c r="AB83" s="23"/>
      <c r="AC83" s="23"/>
      <c r="AD83" s="23"/>
      <c r="AE83" s="23"/>
      <c r="AF83" s="23"/>
      <c r="AG83" s="23"/>
      <c r="AH83" s="23"/>
      <c r="AI83" s="23"/>
      <c r="AJ83" s="23"/>
      <c r="AK83" s="23"/>
      <c r="AL83" s="23"/>
      <c r="AM83" s="23"/>
      <c r="AN83" s="133"/>
    </row>
    <row r="84" spans="1:57" s="53" customFormat="1" ht="30" customHeight="1" x14ac:dyDescent="0.2">
      <c r="A84" s="132"/>
      <c r="T84" s="133"/>
      <c r="U84" s="23"/>
      <c r="V84" s="23"/>
      <c r="W84" s="23"/>
      <c r="X84" s="23"/>
      <c r="Y84" s="23"/>
      <c r="Z84" s="23"/>
      <c r="AA84" s="23"/>
      <c r="AB84" s="23"/>
      <c r="AC84" s="23"/>
      <c r="AD84" s="23"/>
      <c r="AE84" s="23"/>
      <c r="AF84" s="23"/>
      <c r="AG84" s="23"/>
      <c r="AH84" s="23"/>
      <c r="AI84" s="23"/>
      <c r="AJ84" s="23"/>
      <c r="AK84" s="23"/>
      <c r="AL84" s="23"/>
      <c r="AM84" s="23"/>
      <c r="AN84" s="133"/>
    </row>
    <row r="85" spans="1:57" s="53" customFormat="1" ht="30" customHeight="1" x14ac:dyDescent="0.2">
      <c r="A85" s="132"/>
      <c r="T85" s="133"/>
      <c r="U85" s="23"/>
      <c r="V85" s="23"/>
      <c r="W85" s="23"/>
      <c r="X85" s="23"/>
      <c r="Y85" s="23"/>
      <c r="Z85" s="23"/>
      <c r="AA85" s="23"/>
      <c r="AB85" s="23"/>
      <c r="AC85" s="23"/>
      <c r="AD85" s="23"/>
      <c r="AE85" s="23"/>
      <c r="AF85" s="23"/>
      <c r="AG85" s="23"/>
      <c r="AH85" s="23"/>
      <c r="AI85" s="23"/>
      <c r="AJ85" s="23"/>
      <c r="AK85" s="23"/>
      <c r="AL85" s="23"/>
      <c r="AM85" s="23"/>
      <c r="AN85" s="133"/>
    </row>
    <row r="86" spans="1:57" s="53" customFormat="1" ht="30" customHeight="1" x14ac:dyDescent="0.2">
      <c r="A86" s="132"/>
      <c r="T86" s="133"/>
      <c r="U86" s="23"/>
      <c r="V86" s="23"/>
      <c r="W86" s="23"/>
      <c r="X86" s="23"/>
      <c r="Y86" s="23"/>
      <c r="Z86" s="23"/>
      <c r="AA86" s="23"/>
      <c r="AB86" s="23"/>
      <c r="AC86" s="23"/>
      <c r="AD86" s="23"/>
      <c r="AE86" s="23"/>
      <c r="AF86" s="23"/>
      <c r="AG86" s="23"/>
      <c r="AH86" s="23"/>
      <c r="AI86" s="23"/>
      <c r="AJ86" s="23"/>
      <c r="AK86" s="23"/>
      <c r="AL86" s="23"/>
      <c r="AM86" s="23"/>
      <c r="AN86" s="133"/>
    </row>
    <row r="87" spans="1:57" s="53" customFormat="1" ht="30" customHeight="1" x14ac:dyDescent="0.2">
      <c r="A87" s="132"/>
      <c r="T87" s="133"/>
      <c r="U87" s="23"/>
      <c r="V87" s="23"/>
      <c r="W87" s="23"/>
      <c r="X87" s="23"/>
      <c r="Y87" s="23"/>
      <c r="Z87" s="23"/>
      <c r="AA87" s="23"/>
      <c r="AB87" s="23"/>
      <c r="AC87" s="23"/>
      <c r="AD87" s="23"/>
      <c r="AE87" s="23"/>
      <c r="AF87" s="23"/>
      <c r="AG87" s="23"/>
      <c r="AH87" s="23"/>
      <c r="AI87" s="23"/>
      <c r="AJ87" s="23"/>
      <c r="AK87" s="23"/>
      <c r="AL87" s="23"/>
      <c r="AM87" s="23"/>
      <c r="AN87" s="133"/>
    </row>
    <row r="88" spans="1:57"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c r="AO88" s="53"/>
      <c r="AP88" s="53"/>
      <c r="AQ88" s="53"/>
      <c r="AR88" s="53"/>
      <c r="AS88" s="53"/>
      <c r="AT88" s="53"/>
      <c r="AU88" s="53"/>
      <c r="AV88" s="53"/>
      <c r="AW88" s="53"/>
      <c r="AX88" s="53"/>
      <c r="AY88" s="53"/>
      <c r="AZ88" s="53"/>
      <c r="BA88" s="53"/>
      <c r="BB88" s="53"/>
      <c r="BC88" s="53"/>
      <c r="BD88" s="53"/>
      <c r="BE88" s="53"/>
    </row>
    <row r="89" spans="1:57"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c r="AO89" s="53"/>
      <c r="AP89" s="53"/>
      <c r="AQ89" s="53"/>
      <c r="AR89" s="53"/>
      <c r="AS89" s="53"/>
      <c r="AT89" s="53"/>
      <c r="AU89" s="53"/>
      <c r="AV89" s="53"/>
      <c r="AW89" s="53"/>
      <c r="AX89" s="53"/>
      <c r="AY89" s="53"/>
      <c r="AZ89" s="53"/>
      <c r="BA89" s="53"/>
      <c r="BB89" s="53"/>
      <c r="BC89" s="53"/>
      <c r="BD89" s="53"/>
      <c r="BE89" s="53"/>
    </row>
    <row r="90" spans="1:57"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c r="AO90" s="53"/>
      <c r="AP90" s="53"/>
      <c r="AQ90" s="53"/>
      <c r="AR90" s="53"/>
      <c r="AS90" s="53"/>
      <c r="AT90" s="53"/>
      <c r="AU90" s="53"/>
      <c r="AV90" s="53"/>
      <c r="AW90" s="53"/>
      <c r="AX90" s="53"/>
      <c r="AY90" s="53"/>
      <c r="AZ90" s="53"/>
      <c r="BA90" s="53"/>
      <c r="BB90" s="53"/>
      <c r="BC90" s="53"/>
      <c r="BD90" s="53"/>
      <c r="BE90" s="53"/>
    </row>
    <row r="91" spans="1:57"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c r="AO91" s="53"/>
      <c r="AP91" s="53"/>
      <c r="AQ91" s="53"/>
      <c r="AR91" s="53"/>
      <c r="AS91" s="53"/>
      <c r="AT91" s="53"/>
      <c r="AU91" s="53"/>
      <c r="AV91" s="53"/>
      <c r="AW91" s="53"/>
      <c r="AX91" s="53"/>
      <c r="AY91" s="53"/>
      <c r="AZ91" s="53"/>
      <c r="BA91" s="53"/>
      <c r="BB91" s="53"/>
      <c r="BC91" s="53"/>
      <c r="BD91" s="53"/>
      <c r="BE91" s="53"/>
    </row>
    <row r="92" spans="1:57" ht="15" x14ac:dyDescent="0.2"/>
    <row r="93" spans="1:57" ht="15" x14ac:dyDescent="0.2"/>
    <row r="94" spans="1:57" ht="15" x14ac:dyDescent="0.2"/>
    <row r="95" spans="1:57" ht="15" x14ac:dyDescent="0.2"/>
    <row r="96" spans="1:57"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217" priority="32" operator="containsText" text="Dom">
      <formula>NOT(ISERROR(SEARCH("Dom",D8)))</formula>
    </cfRule>
    <cfRule type="containsText" dxfId="216" priority="33" operator="containsText" text="Sáb">
      <formula>NOT(ISERROR(SEARCH("Sáb",D8)))</formula>
    </cfRule>
  </conditionalFormatting>
  <conditionalFormatting sqref="F40">
    <cfRule type="expression" dxfId="215" priority="29">
      <formula>$E40="Folga(DSR)"</formula>
    </cfRule>
    <cfRule type="expression" dxfId="214" priority="30">
      <formula>$E40="Feriado"</formula>
    </cfRule>
    <cfRule type="expression" dxfId="213" priority="31">
      <formula>$D40="Dom"</formula>
    </cfRule>
  </conditionalFormatting>
  <conditionalFormatting sqref="S13:S14">
    <cfRule type="expression" dxfId="212" priority="25">
      <formula>$S$15&gt;$S$17</formula>
    </cfRule>
  </conditionalFormatting>
  <conditionalFormatting sqref="M8:M37 K38">
    <cfRule type="expression" dxfId="211" priority="24">
      <formula>$M8&gt;0</formula>
    </cfRule>
  </conditionalFormatting>
  <conditionalFormatting sqref="O8:O38 K38">
    <cfRule type="expression" dxfId="210" priority="23">
      <formula>$O8&gt;0</formula>
    </cfRule>
  </conditionalFormatting>
  <conditionalFormatting sqref="F8:I27 F38:I38">
    <cfRule type="expression" dxfId="209" priority="20">
      <formula>$E8="Folga(DSR)"</formula>
    </cfRule>
    <cfRule type="expression" dxfId="208" priority="21">
      <formula>$E8="Feriado"</formula>
    </cfRule>
    <cfRule type="expression" dxfId="207" priority="22">
      <formula>$D8="Dom"</formula>
    </cfRule>
  </conditionalFormatting>
  <conditionalFormatting sqref="E38">
    <cfRule type="expression" dxfId="206" priority="17">
      <formula>$E38="Folga(DSR)"</formula>
    </cfRule>
    <cfRule type="expression" dxfId="205" priority="18">
      <formula>$E38="Feriado"</formula>
    </cfRule>
    <cfRule type="expression" dxfId="204" priority="19">
      <formula>$D38="Dom"</formula>
    </cfRule>
  </conditionalFormatting>
  <conditionalFormatting sqref="I5">
    <cfRule type="expression" dxfId="203" priority="16">
      <formula>$K$5="Negativo"</formula>
    </cfRule>
  </conditionalFormatting>
  <conditionalFormatting sqref="S11:S12">
    <cfRule type="expression" dxfId="202" priority="15">
      <formula>$T$11="Negativo"</formula>
    </cfRule>
  </conditionalFormatting>
  <conditionalFormatting sqref="E8:E27">
    <cfRule type="expression" dxfId="201" priority="12">
      <formula>$E8="Folga(DSR)"</formula>
    </cfRule>
    <cfRule type="expression" dxfId="200" priority="13">
      <formula>$E8="Feriado"</formula>
    </cfRule>
    <cfRule type="expression" dxfId="199" priority="14">
      <formula>$D8="Dom"</formula>
    </cfRule>
  </conditionalFormatting>
  <conditionalFormatting sqref="AJ7">
    <cfRule type="expression" dxfId="198" priority="9">
      <formula>$E7="Folga(DSR)"</formula>
    </cfRule>
    <cfRule type="expression" dxfId="197" priority="10">
      <formula>$E7="Feriado"</formula>
    </cfRule>
    <cfRule type="expression" dxfId="196" priority="11">
      <formula>$D7="Dom"</formula>
    </cfRule>
  </conditionalFormatting>
  <conditionalFormatting sqref="F28:I37">
    <cfRule type="expression" dxfId="195" priority="6">
      <formula>$E28="Folga(DSR)"</formula>
    </cfRule>
    <cfRule type="expression" dxfId="194" priority="7">
      <formula>$E28="Feriado"</formula>
    </cfRule>
    <cfRule type="expression" dxfId="193" priority="8">
      <formula>$D28="Dom"</formula>
    </cfRule>
  </conditionalFormatting>
  <conditionalFormatting sqref="E28:E37">
    <cfRule type="expression" dxfId="192" priority="3">
      <formula>$E28="Folga(DSR)"</formula>
    </cfRule>
    <cfRule type="expression" dxfId="191" priority="4">
      <formula>$E28="Feriado"</formula>
    </cfRule>
    <cfRule type="expression" dxfId="190" priority="5">
      <formula>$D28="Dom"</formula>
    </cfRule>
  </conditionalFormatting>
  <conditionalFormatting sqref="K8:K37">
    <cfRule type="expression" dxfId="189" priority="2">
      <formula>$M8&gt;0</formula>
    </cfRule>
  </conditionalFormatting>
  <conditionalFormatting sqref="K8:K37">
    <cfRule type="expression" dxfId="188"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Jun!S11</f>
        <v>0</v>
      </c>
      <c r="K5" s="2" t="str">
        <f>IF(Jun!T11="Negativo","Negativo","Positivo")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7</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QUA</v>
      </c>
      <c r="E8" s="9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Gerais'!$C$6,$W$7,Jul!C8)</f>
        <v>42186</v>
      </c>
      <c r="X8" s="23">
        <f>WEEKDAY(W8)</f>
        <v>4</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8" si="2">VLOOKUP(X9,$AB$8:$AC$14,2,0)</f>
        <v>QUI</v>
      </c>
      <c r="E9" s="93" t="s">
        <v>191</v>
      </c>
      <c r="F9" s="62"/>
      <c r="G9" s="62"/>
      <c r="H9" s="62"/>
      <c r="I9" s="62"/>
      <c r="J9" s="10"/>
      <c r="K9" s="60">
        <f t="shared" ref="K9:K38"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Gerais'!$C$6,$W$7,Jul!C9)</f>
        <v>42187</v>
      </c>
      <c r="X9" s="23">
        <f t="shared" ref="X9:X38" si="5">WEEKDAY(W9)</f>
        <v>5</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SEX</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Gerais'!$C$6,$W$7,Jul!C10)</f>
        <v>42188</v>
      </c>
      <c r="X10" s="23">
        <f t="shared" si="5"/>
        <v>6</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SÁB</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Gerais'!$C$6,$W$7,Jul!C11)</f>
        <v>42189</v>
      </c>
      <c r="X11" s="23">
        <f t="shared" si="5"/>
        <v>7</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DOM</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Gerais'!$C$6,$W$7,Jul!C12)</f>
        <v>42190</v>
      </c>
      <c r="X12" s="23">
        <f t="shared" si="5"/>
        <v>1</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SEG</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Gerais'!$C$6,$W$7,Jul!C13)</f>
        <v>42191</v>
      </c>
      <c r="X13" s="23">
        <f t="shared" si="5"/>
        <v>2</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TER</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Gerais'!$C$6,$W$7,Jul!C14)</f>
        <v>42192</v>
      </c>
      <c r="X14" s="23">
        <f t="shared" si="5"/>
        <v>3</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QUA</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Gerais'!$C$6,$W$7,Jul!C15)</f>
        <v>42193</v>
      </c>
      <c r="X15" s="23">
        <f t="shared" si="5"/>
        <v>4</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QUI</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Gerais'!$C$6,$W$7,Jul!C16)</f>
        <v>42194</v>
      </c>
      <c r="X16" s="23">
        <f t="shared" si="5"/>
        <v>5</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SEX</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Gerais'!$C$6,$W$7,Jul!C17)</f>
        <v>42195</v>
      </c>
      <c r="X17" s="23">
        <f t="shared" si="5"/>
        <v>6</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SÁB</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Gerais'!$C$6,$W$7,Jul!C18)</f>
        <v>42196</v>
      </c>
      <c r="X18" s="23">
        <f t="shared" si="5"/>
        <v>7</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DOM</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Gerais'!$C$6,$W$7,Jul!C19)</f>
        <v>42197</v>
      </c>
      <c r="X19" s="23">
        <f t="shared" si="5"/>
        <v>1</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SEG</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Gerais'!$C$6,$W$7,Jul!C20)</f>
        <v>42198</v>
      </c>
      <c r="X20" s="23">
        <f t="shared" si="5"/>
        <v>2</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TER</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Gerais'!$C$6,$W$7,Jul!C21)</f>
        <v>42199</v>
      </c>
      <c r="X21" s="23">
        <f t="shared" si="5"/>
        <v>3</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QUA</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Gerais'!$C$6,$W$7,Jul!C22)</f>
        <v>42200</v>
      </c>
      <c r="X22" s="23">
        <f t="shared" si="5"/>
        <v>4</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QUI</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Gerais'!$C$6,$W$7,Jul!C23)</f>
        <v>42201</v>
      </c>
      <c r="X23" s="23">
        <f t="shared" si="5"/>
        <v>5</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SEX</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Gerais'!$C$6,$W$7,Jul!C24)</f>
        <v>42202</v>
      </c>
      <c r="X24" s="23">
        <f t="shared" si="5"/>
        <v>6</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SÁB</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Gerais'!$C$6,$W$7,Jul!C25)</f>
        <v>42203</v>
      </c>
      <c r="X25" s="23">
        <f t="shared" si="5"/>
        <v>7</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DOM</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Gerais'!$C$6,$W$7,Jul!C26)</f>
        <v>42204</v>
      </c>
      <c r="X26" s="23">
        <f t="shared" si="5"/>
        <v>1</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SEG</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Gerais'!$C$6,$W$7,Jul!C27)</f>
        <v>42205</v>
      </c>
      <c r="X27" s="23">
        <f t="shared" si="5"/>
        <v>2</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TER</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Gerais'!$C$6,$W$7,Jul!C28)</f>
        <v>42206</v>
      </c>
      <c r="X28" s="23">
        <f t="shared" si="5"/>
        <v>3</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QUA</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Gerais'!$C$6,$W$7,Jul!C29)</f>
        <v>42207</v>
      </c>
      <c r="X29" s="23">
        <f t="shared" si="5"/>
        <v>4</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QUI</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Gerais'!$C$6,$W$7,Jul!C30)</f>
        <v>42208</v>
      </c>
      <c r="X30" s="23">
        <f t="shared" si="5"/>
        <v>5</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SEX</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Gerais'!$C$6,$W$7,Jul!C31)</f>
        <v>42209</v>
      </c>
      <c r="X31" s="23">
        <f t="shared" si="5"/>
        <v>6</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SÁB</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Gerais'!$C$6,$W$7,Jul!C32)</f>
        <v>42210</v>
      </c>
      <c r="X32" s="23">
        <f t="shared" si="5"/>
        <v>7</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DOM</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Gerais'!$C$6,$W$7,Jul!C33)</f>
        <v>42211</v>
      </c>
      <c r="X33" s="23">
        <f t="shared" si="5"/>
        <v>1</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SEG</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Gerais'!$C$6,$W$7,Jul!C34)</f>
        <v>42212</v>
      </c>
      <c r="X34" s="23">
        <f t="shared" si="5"/>
        <v>2</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TER</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Gerais'!$C$6,$W$7,Jul!C35)</f>
        <v>42213</v>
      </c>
      <c r="X35" s="23">
        <f t="shared" si="5"/>
        <v>3</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QUA</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Gerais'!$C$6,$W$7,Jul!C36)</f>
        <v>42214</v>
      </c>
      <c r="X36" s="23">
        <f t="shared" si="5"/>
        <v>4</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QUI</v>
      </c>
      <c r="E37" s="93"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Gerais'!$C$6,$W$7,Jul!C37)</f>
        <v>42215</v>
      </c>
      <c r="X37" s="23">
        <f t="shared" si="5"/>
        <v>5</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59">
        <v>31</v>
      </c>
      <c r="D38" s="59" t="str">
        <f t="shared" si="2"/>
        <v>SEX</v>
      </c>
      <c r="E38" s="61" t="s">
        <v>191</v>
      </c>
      <c r="F38" s="62"/>
      <c r="G38" s="62"/>
      <c r="H38" s="62"/>
      <c r="I38" s="62"/>
      <c r="J38" s="10"/>
      <c r="K38" s="60">
        <f t="shared" si="3"/>
        <v>0</v>
      </c>
      <c r="L38" s="51"/>
      <c r="M38" s="60">
        <f>IF(E38="Falta Justificada",0,IF(E38="Feriado",0,IF(E38="Folga(DSR)",0,IF(VLOOKUP(D38,'P Gerais'!$C$23:$M$29,11,0)-K38&gt;0,VLOOKUP(D38,'P Gerais'!$C$23:$M$29,11,0)-K38,0))))</f>
        <v>0</v>
      </c>
      <c r="N38" s="51"/>
      <c r="O38" s="60">
        <f>IF(E38="Feriado",IF(F38&gt;I38,(I38+1-F38)-(H38-G38),(I38-F38)-(H38-G38)),IF(E38="Folga(DSR)",IF(F38&gt;I38,(I38+1-F38)-(H38-G38),(I38-F38)-(H38-G38)),IF(E38="Falta Justificada",IF(F38&gt;I38,(I38+1-F38)-(H38-G38),(I38-F38)-(H38-G38)),IF(VLOOKUP(D38,'P Gerais'!$C$23:$M$29,11,0)-K38&lt;0,ABS(VLOOKUP(D38,'P Gerais'!$C$23:$M$29,11,0)-K38),0))))</f>
        <v>0</v>
      </c>
      <c r="P38" s="2">
        <f t="shared" si="4"/>
        <v>0</v>
      </c>
      <c r="W38" s="225">
        <f>DATE('P Gerais'!$C$6,$W$7,Jul!C38)</f>
        <v>42216</v>
      </c>
      <c r="X38" s="23">
        <f t="shared" si="5"/>
        <v>6</v>
      </c>
      <c r="AD38" s="27"/>
      <c r="AE38" s="27"/>
      <c r="AF38" s="27">
        <f t="shared" si="6"/>
        <v>0</v>
      </c>
      <c r="AG38" s="27"/>
      <c r="AH38" s="27"/>
      <c r="AI38" s="27">
        <f t="shared" si="9"/>
        <v>0</v>
      </c>
      <c r="AJ38" s="27"/>
      <c r="AK38" s="27">
        <f t="shared" ref="AK38" si="12">IF(AND(I38&gt;$AK$7,I38&gt;AL38),I38-AL38,$AF$7)</f>
        <v>0</v>
      </c>
      <c r="AL38" s="224">
        <f>VLOOKUP(D38,'P Gerais'!$C$23:$I$29,7,FALSE)</f>
        <v>0</v>
      </c>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Gerais'!I18+'P Gerais'!I18*'P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187" priority="29" operator="containsText" text="Dom">
      <formula>NOT(ISERROR(SEARCH("Dom",D8)))</formula>
    </cfRule>
    <cfRule type="containsText" dxfId="186" priority="30" operator="containsText" text="Sáb">
      <formula>NOT(ISERROR(SEARCH("Sáb",D8)))</formula>
    </cfRule>
  </conditionalFormatting>
  <conditionalFormatting sqref="S13:S14">
    <cfRule type="expression" dxfId="185" priority="22">
      <formula>$S$15&gt;$S$17</formula>
    </cfRule>
  </conditionalFormatting>
  <conditionalFormatting sqref="M8:M38">
    <cfRule type="expression" dxfId="184" priority="21">
      <formula>$M8&gt;0</formula>
    </cfRule>
  </conditionalFormatting>
  <conditionalFormatting sqref="O8:O38">
    <cfRule type="expression" dxfId="183" priority="20">
      <formula>$O8&gt;0</formula>
    </cfRule>
  </conditionalFormatting>
  <conditionalFormatting sqref="F8:I38">
    <cfRule type="expression" dxfId="182" priority="17">
      <formula>$E8="Folga(DSR)"</formula>
    </cfRule>
    <cfRule type="expression" dxfId="181" priority="18">
      <formula>$E8="Feriado"</formula>
    </cfRule>
    <cfRule type="expression" dxfId="180" priority="19">
      <formula>$D8="Dom"</formula>
    </cfRule>
  </conditionalFormatting>
  <conditionalFormatting sqref="E38">
    <cfRule type="expression" dxfId="179" priority="14">
      <formula>$E38="Folga(DSR)"</formula>
    </cfRule>
    <cfRule type="expression" dxfId="178" priority="15">
      <formula>$E38="Feriado"</formula>
    </cfRule>
    <cfRule type="expression" dxfId="177" priority="16">
      <formula>$D38="Dom"</formula>
    </cfRule>
  </conditionalFormatting>
  <conditionalFormatting sqref="I5">
    <cfRule type="expression" dxfId="176" priority="13">
      <formula>$K$5="Negativo"</formula>
    </cfRule>
  </conditionalFormatting>
  <conditionalFormatting sqref="S11:S12">
    <cfRule type="expression" dxfId="175" priority="12">
      <formula>$T$11="Negativo"</formula>
    </cfRule>
  </conditionalFormatting>
  <conditionalFormatting sqref="E8:E37">
    <cfRule type="expression" dxfId="174" priority="9">
      <formula>$E8="Folga(DSR)"</formula>
    </cfRule>
    <cfRule type="expression" dxfId="173" priority="10">
      <formula>$E8="Feriado"</formula>
    </cfRule>
    <cfRule type="expression" dxfId="172" priority="11">
      <formula>$D8="Dom"</formula>
    </cfRule>
  </conditionalFormatting>
  <conditionalFormatting sqref="F40">
    <cfRule type="expression" dxfId="171" priority="6">
      <formula>$E40="Folga(DSR)"</formula>
    </cfRule>
    <cfRule type="expression" dxfId="170" priority="7">
      <formula>$E40="Feriado"</formula>
    </cfRule>
    <cfRule type="expression" dxfId="169" priority="8">
      <formula>$D40="Dom"</formula>
    </cfRule>
  </conditionalFormatting>
  <conditionalFormatting sqref="AJ7">
    <cfRule type="expression" dxfId="168" priority="3">
      <formula>$E7="Folga(DSR)"</formula>
    </cfRule>
    <cfRule type="expression" dxfId="167" priority="4">
      <formula>$E7="Feriado"</formula>
    </cfRule>
    <cfRule type="expression" dxfId="166" priority="5">
      <formula>$D7="Dom"</formula>
    </cfRule>
  </conditionalFormatting>
  <conditionalFormatting sqref="K8:K38">
    <cfRule type="expression" dxfId="165" priority="2">
      <formula>$M8&gt;0</formula>
    </cfRule>
  </conditionalFormatting>
  <conditionalFormatting sqref="K8:K38">
    <cfRule type="expression" dxfId="164"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Jul!S11</f>
        <v>0</v>
      </c>
      <c r="K5" s="2" t="str">
        <f>IF(Jul!T11="Negativo","Negativo","Positivo")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8</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SÁB</v>
      </c>
      <c r="E8" s="9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Gerais'!$C$6,$W$7,Ago!C8)</f>
        <v>42217</v>
      </c>
      <c r="X8" s="23">
        <f>WEEKDAY(W8)</f>
        <v>7</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8" si="2">VLOOKUP(X9,$AB$8:$AC$14,2,0)</f>
        <v>DOM</v>
      </c>
      <c r="E9" s="93" t="s">
        <v>191</v>
      </c>
      <c r="F9" s="62"/>
      <c r="G9" s="62"/>
      <c r="H9" s="62"/>
      <c r="I9" s="62"/>
      <c r="J9" s="10"/>
      <c r="K9" s="60">
        <f t="shared" ref="K9:K38"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Gerais'!$C$6,$W$7,Ago!C9)</f>
        <v>42218</v>
      </c>
      <c r="X9" s="23">
        <f t="shared" ref="X9:X38" si="5">WEEKDAY(W9)</f>
        <v>1</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SEG</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Gerais'!$C$6,$W$7,Ago!C10)</f>
        <v>42219</v>
      </c>
      <c r="X10" s="23">
        <f t="shared" si="5"/>
        <v>2</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TER</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Gerais'!$C$6,$W$7,Ago!C11)</f>
        <v>42220</v>
      </c>
      <c r="X11" s="23">
        <f t="shared" si="5"/>
        <v>3</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QUA</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Gerais'!$C$6,$W$7,Ago!C12)</f>
        <v>42221</v>
      </c>
      <c r="X12" s="23">
        <f t="shared" si="5"/>
        <v>4</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QUI</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Gerais'!$C$6,$W$7,Ago!C13)</f>
        <v>42222</v>
      </c>
      <c r="X13" s="23">
        <f t="shared" si="5"/>
        <v>5</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SEX</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Gerais'!$C$6,$W$7,Ago!C14)</f>
        <v>42223</v>
      </c>
      <c r="X14" s="23">
        <f t="shared" si="5"/>
        <v>6</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SÁB</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Gerais'!$C$6,$W$7,Ago!C15)</f>
        <v>42224</v>
      </c>
      <c r="X15" s="23">
        <f t="shared" si="5"/>
        <v>7</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DOM</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Gerais'!$C$6,$W$7,Ago!C16)</f>
        <v>42225</v>
      </c>
      <c r="X16" s="23">
        <f t="shared" si="5"/>
        <v>1</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SEG</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Gerais'!$C$6,$W$7,Ago!C17)</f>
        <v>42226</v>
      </c>
      <c r="X17" s="23">
        <f t="shared" si="5"/>
        <v>2</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TER</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Gerais'!$C$6,$W$7,Ago!C18)</f>
        <v>42227</v>
      </c>
      <c r="X18" s="23">
        <f t="shared" si="5"/>
        <v>3</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QUA</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Gerais'!$C$6,$W$7,Ago!C19)</f>
        <v>42228</v>
      </c>
      <c r="X19" s="23">
        <f t="shared" si="5"/>
        <v>4</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QUI</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Gerais'!$C$6,$W$7,Ago!C20)</f>
        <v>42229</v>
      </c>
      <c r="X20" s="23">
        <f t="shared" si="5"/>
        <v>5</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SEX</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Gerais'!$C$6,$W$7,Ago!C21)</f>
        <v>42230</v>
      </c>
      <c r="X21" s="23">
        <f t="shared" si="5"/>
        <v>6</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SÁB</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Gerais'!$C$6,$W$7,Ago!C22)</f>
        <v>42231</v>
      </c>
      <c r="X22" s="23">
        <f t="shared" si="5"/>
        <v>7</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DOM</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Gerais'!$C$6,$W$7,Ago!C23)</f>
        <v>42232</v>
      </c>
      <c r="X23" s="23">
        <f t="shared" si="5"/>
        <v>1</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SEG</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Gerais'!$C$6,$W$7,Ago!C24)</f>
        <v>42233</v>
      </c>
      <c r="X24" s="23">
        <f t="shared" si="5"/>
        <v>2</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TER</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Gerais'!$C$6,$W$7,Ago!C25)</f>
        <v>42234</v>
      </c>
      <c r="X25" s="23">
        <f t="shared" si="5"/>
        <v>3</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QUA</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Gerais'!$C$6,$W$7,Ago!C26)</f>
        <v>42235</v>
      </c>
      <c r="X26" s="23">
        <f t="shared" si="5"/>
        <v>4</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QUI</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Gerais'!$C$6,$W$7,Ago!C27)</f>
        <v>42236</v>
      </c>
      <c r="X27" s="23">
        <f t="shared" si="5"/>
        <v>5</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SEX</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Gerais'!$C$6,$W$7,Ago!C28)</f>
        <v>42237</v>
      </c>
      <c r="X28" s="23">
        <f t="shared" si="5"/>
        <v>6</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SÁB</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Gerais'!$C$6,$W$7,Ago!C29)</f>
        <v>42238</v>
      </c>
      <c r="X29" s="23">
        <f t="shared" si="5"/>
        <v>7</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DOM</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Gerais'!$C$6,$W$7,Ago!C30)</f>
        <v>42239</v>
      </c>
      <c r="X30" s="23">
        <f t="shared" si="5"/>
        <v>1</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SEG</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Gerais'!$C$6,$W$7,Ago!C31)</f>
        <v>42240</v>
      </c>
      <c r="X31" s="23">
        <f t="shared" si="5"/>
        <v>2</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TER</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Gerais'!$C$6,$W$7,Ago!C32)</f>
        <v>42241</v>
      </c>
      <c r="X32" s="23">
        <f t="shared" si="5"/>
        <v>3</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QUA</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Gerais'!$C$6,$W$7,Ago!C33)</f>
        <v>42242</v>
      </c>
      <c r="X33" s="23">
        <f t="shared" si="5"/>
        <v>4</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QUI</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Gerais'!$C$6,$W$7,Ago!C34)</f>
        <v>42243</v>
      </c>
      <c r="X34" s="23">
        <f t="shared" si="5"/>
        <v>5</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SEX</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Gerais'!$C$6,$W$7,Ago!C35)</f>
        <v>42244</v>
      </c>
      <c r="X35" s="23">
        <f t="shared" si="5"/>
        <v>6</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SÁB</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Gerais'!$C$6,$W$7,Ago!C36)</f>
        <v>42245</v>
      </c>
      <c r="X36" s="23">
        <f t="shared" si="5"/>
        <v>7</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DOM</v>
      </c>
      <c r="E37" s="93"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Gerais'!$C$6,$W$7,Ago!C37)</f>
        <v>42246</v>
      </c>
      <c r="X37" s="23">
        <f t="shared" si="5"/>
        <v>1</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59">
        <v>31</v>
      </c>
      <c r="D38" s="59" t="str">
        <f t="shared" si="2"/>
        <v>SEG</v>
      </c>
      <c r="E38" s="61" t="s">
        <v>191</v>
      </c>
      <c r="F38" s="62"/>
      <c r="G38" s="62"/>
      <c r="H38" s="62"/>
      <c r="I38" s="62"/>
      <c r="J38" s="10"/>
      <c r="K38" s="60">
        <f t="shared" si="3"/>
        <v>0</v>
      </c>
      <c r="L38" s="51"/>
      <c r="M38" s="60">
        <f>IF(E38="Falta Justificada",0,IF(E38="Feriado",0,IF(E38="Folga(DSR)",0,IF(VLOOKUP(D38,'P Gerais'!$C$23:$M$29,11,0)-K38&gt;0,VLOOKUP(D38,'P Gerais'!$C$23:$M$29,11,0)-K38,0))))</f>
        <v>0</v>
      </c>
      <c r="N38" s="51"/>
      <c r="O38" s="60">
        <f>IF(E38="Feriado",IF(F38&gt;I38,(I38+1-F38)-(H38-G38),(I38-F38)-(H38-G38)),IF(E38="Folga(DSR)",IF(F38&gt;I38,(I38+1-F38)-(H38-G38),(I38-F38)-(H38-G38)),IF(E38="Falta Justificada",IF(F38&gt;I38,(I38+1-F38)-(H38-G38),(I38-F38)-(H38-G38)),IF(VLOOKUP(D38,'P Gerais'!$C$23:$M$29,11,0)-K38&lt;0,ABS(VLOOKUP(D38,'P Gerais'!$C$23:$M$29,11,0)-K38),0))))</f>
        <v>0</v>
      </c>
      <c r="P38" s="2">
        <f t="shared" si="4"/>
        <v>0</v>
      </c>
      <c r="W38" s="225">
        <f>DATE('P Gerais'!$C$6,$W$7,Ago!C38)</f>
        <v>42247</v>
      </c>
      <c r="X38" s="23">
        <f t="shared" si="5"/>
        <v>2</v>
      </c>
      <c r="AD38" s="27"/>
      <c r="AE38" s="27"/>
      <c r="AF38" s="27">
        <f t="shared" si="6"/>
        <v>0</v>
      </c>
      <c r="AG38" s="27"/>
      <c r="AH38" s="27"/>
      <c r="AI38" s="27">
        <f t="shared" si="9"/>
        <v>0</v>
      </c>
      <c r="AJ38" s="27"/>
      <c r="AK38" s="27">
        <f t="shared" ref="AK38:AK39" si="12">IF(AND(I38&gt;$AK$7,I38&gt;AL38),I38-AL38,$AF$7)</f>
        <v>0</v>
      </c>
      <c r="AL38" s="224">
        <f>VLOOKUP(D38,'P Gerais'!$C$23:$I$29,7,FALSE)</f>
        <v>0</v>
      </c>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Gerais'!I19+'P Gerais'!I19*'P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163" priority="29" operator="containsText" text="Dom">
      <formula>NOT(ISERROR(SEARCH("Dom",D8)))</formula>
    </cfRule>
    <cfRule type="containsText" dxfId="162" priority="30" operator="containsText" text="Sáb">
      <formula>NOT(ISERROR(SEARCH("Sáb",D8)))</formula>
    </cfRule>
  </conditionalFormatting>
  <conditionalFormatting sqref="S13:S14">
    <cfRule type="expression" dxfId="161" priority="22">
      <formula>$S$15&gt;$S$17</formula>
    </cfRule>
  </conditionalFormatting>
  <conditionalFormatting sqref="M8:M38">
    <cfRule type="expression" dxfId="160" priority="21">
      <formula>$M8&gt;0</formula>
    </cfRule>
  </conditionalFormatting>
  <conditionalFormatting sqref="O8:O38">
    <cfRule type="expression" dxfId="159" priority="20">
      <formula>$O8&gt;0</formula>
    </cfRule>
  </conditionalFormatting>
  <conditionalFormatting sqref="F8:I38">
    <cfRule type="expression" dxfId="158" priority="17">
      <formula>$E8="Folga(DSR)"</formula>
    </cfRule>
    <cfRule type="expression" dxfId="157" priority="18">
      <formula>$E8="Feriado"</formula>
    </cfRule>
    <cfRule type="expression" dxfId="156" priority="19">
      <formula>$D8="Dom"</formula>
    </cfRule>
  </conditionalFormatting>
  <conditionalFormatting sqref="E38">
    <cfRule type="expression" dxfId="155" priority="14">
      <formula>$E38="Folga(DSR)"</formula>
    </cfRule>
    <cfRule type="expression" dxfId="154" priority="15">
      <formula>$E38="Feriado"</formula>
    </cfRule>
    <cfRule type="expression" dxfId="153" priority="16">
      <formula>$D38="Dom"</formula>
    </cfRule>
  </conditionalFormatting>
  <conditionalFormatting sqref="I5">
    <cfRule type="expression" dxfId="152" priority="13">
      <formula>$K$5="Negativo"</formula>
    </cfRule>
  </conditionalFormatting>
  <conditionalFormatting sqref="S11:S12">
    <cfRule type="expression" dxfId="151" priority="12">
      <formula>$T$11="Negativo"</formula>
    </cfRule>
  </conditionalFormatting>
  <conditionalFormatting sqref="E8:E37">
    <cfRule type="expression" dxfId="150" priority="9">
      <formula>$E8="Folga(DSR)"</formula>
    </cfRule>
    <cfRule type="expression" dxfId="149" priority="10">
      <formula>$E8="Feriado"</formula>
    </cfRule>
    <cfRule type="expression" dxfId="148" priority="11">
      <formula>$D8="Dom"</formula>
    </cfRule>
  </conditionalFormatting>
  <conditionalFormatting sqref="F40">
    <cfRule type="expression" dxfId="147" priority="6">
      <formula>$E40="Folga(DSR)"</formula>
    </cfRule>
    <cfRule type="expression" dxfId="146" priority="7">
      <formula>$E40="Feriado"</formula>
    </cfRule>
    <cfRule type="expression" dxfId="145" priority="8">
      <formula>$D40="Dom"</formula>
    </cfRule>
  </conditionalFormatting>
  <conditionalFormatting sqref="AJ7">
    <cfRule type="expression" dxfId="144" priority="3">
      <formula>$E7="Folga(DSR)"</formula>
    </cfRule>
    <cfRule type="expression" dxfId="143" priority="4">
      <formula>$E7="Feriado"</formula>
    </cfRule>
    <cfRule type="expression" dxfId="142" priority="5">
      <formula>$D7="Dom"</formula>
    </cfRule>
  </conditionalFormatting>
  <conditionalFormatting sqref="K8:K38">
    <cfRule type="expression" dxfId="141" priority="2">
      <formula>$M8&gt;0</formula>
    </cfRule>
  </conditionalFormatting>
  <conditionalFormatting sqref="K8:K38">
    <cfRule type="expression" dxfId="140"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topLeftCell="E1"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Ago!S11</f>
        <v>0</v>
      </c>
      <c r="K5" s="2" t="str">
        <f>IF(Ago!T11="Negativo","Negativo","Positivo")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9</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TER</v>
      </c>
      <c r="E8" s="9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Gerais'!$C$6,$W$7,Set!C8)</f>
        <v>42248</v>
      </c>
      <c r="X8" s="23">
        <f>WEEKDAY(W8)</f>
        <v>3</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7" si="2">VLOOKUP(X9,$AB$8:$AC$14,2,0)</f>
        <v>QUA</v>
      </c>
      <c r="E9" s="93" t="s">
        <v>191</v>
      </c>
      <c r="F9" s="62"/>
      <c r="G9" s="62"/>
      <c r="H9" s="62"/>
      <c r="I9" s="62"/>
      <c r="J9" s="10"/>
      <c r="K9" s="60">
        <f t="shared" ref="K9:K37"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Gerais'!$C$6,$W$7,Set!C9)</f>
        <v>42249</v>
      </c>
      <c r="X9" s="23">
        <f t="shared" ref="X9:X37" si="5">WEEKDAY(W9)</f>
        <v>4</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QUI</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Gerais'!$C$6,$W$7,Set!C10)</f>
        <v>42250</v>
      </c>
      <c r="X10" s="23">
        <f t="shared" si="5"/>
        <v>5</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SEX</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Gerais'!$C$6,$W$7,Set!C11)</f>
        <v>42251</v>
      </c>
      <c r="X11" s="23">
        <f t="shared" si="5"/>
        <v>6</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SÁB</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Gerais'!$C$6,$W$7,Set!C12)</f>
        <v>42252</v>
      </c>
      <c r="X12" s="23">
        <f t="shared" si="5"/>
        <v>7</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DOM</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Gerais'!$C$6,$W$7,Set!C13)</f>
        <v>42253</v>
      </c>
      <c r="X13" s="23">
        <f t="shared" si="5"/>
        <v>1</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SEG</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Gerais'!$C$6,$W$7,Set!C14)</f>
        <v>42254</v>
      </c>
      <c r="X14" s="23">
        <f t="shared" si="5"/>
        <v>2</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TER</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Gerais'!$C$6,$W$7,Set!C15)</f>
        <v>42255</v>
      </c>
      <c r="X15" s="23">
        <f t="shared" si="5"/>
        <v>3</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QUA</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Gerais'!$C$6,$W$7,Set!C16)</f>
        <v>42256</v>
      </c>
      <c r="X16" s="23">
        <f t="shared" si="5"/>
        <v>4</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QUI</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Gerais'!$C$6,$W$7,Set!C17)</f>
        <v>42257</v>
      </c>
      <c r="X17" s="23">
        <f t="shared" si="5"/>
        <v>5</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SEX</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Gerais'!$C$6,$W$7,Set!C18)</f>
        <v>42258</v>
      </c>
      <c r="X18" s="23">
        <f t="shared" si="5"/>
        <v>6</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SÁB</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Gerais'!$C$6,$W$7,Set!C19)</f>
        <v>42259</v>
      </c>
      <c r="X19" s="23">
        <f t="shared" si="5"/>
        <v>7</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DOM</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Gerais'!$C$6,$W$7,Set!C20)</f>
        <v>42260</v>
      </c>
      <c r="X20" s="23">
        <f t="shared" si="5"/>
        <v>1</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SEG</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Gerais'!$C$6,$W$7,Set!C21)</f>
        <v>42261</v>
      </c>
      <c r="X21" s="23">
        <f t="shared" si="5"/>
        <v>2</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TER</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Gerais'!$C$6,$W$7,Set!C22)</f>
        <v>42262</v>
      </c>
      <c r="X22" s="23">
        <f t="shared" si="5"/>
        <v>3</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QUA</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Gerais'!$C$6,$W$7,Set!C23)</f>
        <v>42263</v>
      </c>
      <c r="X23" s="23">
        <f t="shared" si="5"/>
        <v>4</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QUI</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Gerais'!$C$6,$W$7,Set!C24)</f>
        <v>42264</v>
      </c>
      <c r="X24" s="23">
        <f t="shared" si="5"/>
        <v>5</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SEX</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Gerais'!$C$6,$W$7,Set!C25)</f>
        <v>42265</v>
      </c>
      <c r="X25" s="23">
        <f t="shared" si="5"/>
        <v>6</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SÁB</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Gerais'!$C$6,$W$7,Set!C26)</f>
        <v>42266</v>
      </c>
      <c r="X26" s="23">
        <f t="shared" si="5"/>
        <v>7</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DOM</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Gerais'!$C$6,$W$7,Set!C27)</f>
        <v>42267</v>
      </c>
      <c r="X27" s="23">
        <f t="shared" si="5"/>
        <v>1</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SEG</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Gerais'!$C$6,$W$7,Set!C28)</f>
        <v>42268</v>
      </c>
      <c r="X28" s="23">
        <f t="shared" si="5"/>
        <v>2</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TER</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Gerais'!$C$6,$W$7,Set!C29)</f>
        <v>42269</v>
      </c>
      <c r="X29" s="23">
        <f t="shared" si="5"/>
        <v>3</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QUA</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Gerais'!$C$6,$W$7,Set!C30)</f>
        <v>42270</v>
      </c>
      <c r="X30" s="23">
        <f t="shared" si="5"/>
        <v>4</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QUI</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Gerais'!$C$6,$W$7,Set!C31)</f>
        <v>42271</v>
      </c>
      <c r="X31" s="23">
        <f t="shared" si="5"/>
        <v>5</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SEX</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Gerais'!$C$6,$W$7,Set!C32)</f>
        <v>42272</v>
      </c>
      <c r="X32" s="23">
        <f t="shared" si="5"/>
        <v>6</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SÁB</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Gerais'!$C$6,$W$7,Set!C33)</f>
        <v>42273</v>
      </c>
      <c r="X33" s="23">
        <f t="shared" si="5"/>
        <v>7</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DOM</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Gerais'!$C$6,$W$7,Set!C34)</f>
        <v>42274</v>
      </c>
      <c r="X34" s="23">
        <f t="shared" si="5"/>
        <v>1</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SEG</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Gerais'!$C$6,$W$7,Set!C35)</f>
        <v>42275</v>
      </c>
      <c r="X35" s="23">
        <f t="shared" si="5"/>
        <v>2</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TER</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Gerais'!$C$6,$W$7,Set!C36)</f>
        <v>42276</v>
      </c>
      <c r="X36" s="23">
        <f t="shared" si="5"/>
        <v>3</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QUA</v>
      </c>
      <c r="E37" s="93"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Gerais'!$C$6,$W$7,Set!C37)</f>
        <v>42277</v>
      </c>
      <c r="X37" s="23">
        <f t="shared" si="5"/>
        <v>4</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15"/>
      <c r="D38" s="15"/>
      <c r="E38" s="65"/>
      <c r="F38" s="66"/>
      <c r="G38" s="66"/>
      <c r="H38" s="66"/>
      <c r="I38" s="66"/>
      <c r="J38" s="18"/>
      <c r="K38" s="63"/>
      <c r="L38" s="52"/>
      <c r="N38" s="52"/>
      <c r="O38" s="63"/>
      <c r="P38" s="2">
        <f t="shared" si="4"/>
        <v>0</v>
      </c>
      <c r="W38" s="225"/>
      <c r="AD38" s="27"/>
      <c r="AE38" s="27"/>
      <c r="AF38" s="27">
        <f t="shared" si="6"/>
        <v>0</v>
      </c>
      <c r="AG38" s="27"/>
      <c r="AH38" s="27"/>
      <c r="AI38" s="27">
        <f t="shared" si="9"/>
        <v>0</v>
      </c>
      <c r="AJ38" s="27"/>
      <c r="AK38" s="27"/>
      <c r="AL38" s="224"/>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Gerais'!L16+'P Gerais'!L16*'P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2">SUMIF($D$8:$D$38,B42,$O$8:$O$38)-SUMIFS($K$8:$K$38,$D$8:$D$38,B42,$E$8:$E$38,"Feriado")-SUMIFS($K$8:$K$38,$D$8:$D$38,B42,$E$8:$E$38,"Folga(DSR)")-SUMIFS($K$8:$K$38,$D$8:$D$38,B42,$E$8:$E$38,"Falta Justificada")-SUMIFS($AJ$8:$AJ$38,$D$8:$D$38,B42,$E$8:$E$38,"Normal")</f>
        <v>0</v>
      </c>
      <c r="G42" s="26">
        <f>'P Gerais'!$C$36</f>
        <v>0</v>
      </c>
      <c r="H42" s="16">
        <f t="shared" ref="H42:H47" si="13">$K$40*(1+G42)*(F42*24)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2"/>
        <v>0</v>
      </c>
      <c r="G43" s="26">
        <f>'P Gerais'!$C$36</f>
        <v>0</v>
      </c>
      <c r="H43" s="16">
        <f t="shared" si="13"/>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2"/>
        <v>0</v>
      </c>
      <c r="G44" s="26">
        <f>'P Gerais'!$C$36</f>
        <v>0</v>
      </c>
      <c r="H44" s="16">
        <f t="shared" si="13"/>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2"/>
        <v>0</v>
      </c>
      <c r="G45" s="26">
        <f>'P Gerais'!$C$36</f>
        <v>0</v>
      </c>
      <c r="H45" s="16">
        <f t="shared" si="13"/>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2"/>
        <v>0</v>
      </c>
      <c r="G46" s="26">
        <f>'P Gerais'!E36</f>
        <v>0</v>
      </c>
      <c r="H46" s="16">
        <f t="shared" si="13"/>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2"/>
        <v>0</v>
      </c>
      <c r="G47" s="26">
        <f>'P Gerais'!F36</f>
        <v>0</v>
      </c>
      <c r="H47" s="16">
        <f t="shared" si="13"/>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139" priority="29" operator="containsText" text="Dom">
      <formula>NOT(ISERROR(SEARCH("Dom",D8)))</formula>
    </cfRule>
    <cfRule type="containsText" dxfId="138" priority="30" operator="containsText" text="Sáb">
      <formula>NOT(ISERROR(SEARCH("Sáb",D8)))</formula>
    </cfRule>
  </conditionalFormatting>
  <conditionalFormatting sqref="S13:S14">
    <cfRule type="expression" dxfId="137" priority="22">
      <formula>$S$15&gt;$S$17</formula>
    </cfRule>
  </conditionalFormatting>
  <conditionalFormatting sqref="M8:M37 K38">
    <cfRule type="expression" dxfId="136" priority="21">
      <formula>$M8&gt;0</formula>
    </cfRule>
  </conditionalFormatting>
  <conditionalFormatting sqref="O8:O38 K38">
    <cfRule type="expression" dxfId="135" priority="20">
      <formula>$O8&gt;0</formula>
    </cfRule>
  </conditionalFormatting>
  <conditionalFormatting sqref="F8:I38">
    <cfRule type="expression" dxfId="134" priority="17">
      <formula>$E8="Folga(DSR)"</formula>
    </cfRule>
    <cfRule type="expression" dxfId="133" priority="18">
      <formula>$E8="Feriado"</formula>
    </cfRule>
    <cfRule type="expression" dxfId="132" priority="19">
      <formula>$D8="Dom"</formula>
    </cfRule>
  </conditionalFormatting>
  <conditionalFormatting sqref="E38">
    <cfRule type="expression" dxfId="131" priority="14">
      <formula>$E38="Folga(DSR)"</formula>
    </cfRule>
    <cfRule type="expression" dxfId="130" priority="15">
      <formula>$E38="Feriado"</formula>
    </cfRule>
    <cfRule type="expression" dxfId="129" priority="16">
      <formula>$D38="Dom"</formula>
    </cfRule>
  </conditionalFormatting>
  <conditionalFormatting sqref="I5">
    <cfRule type="expression" dxfId="128" priority="13">
      <formula>$K$5="Negativo"</formula>
    </cfRule>
  </conditionalFormatting>
  <conditionalFormatting sqref="S11:S12">
    <cfRule type="expression" dxfId="127" priority="12">
      <formula>$T$11="Negativo"</formula>
    </cfRule>
  </conditionalFormatting>
  <conditionalFormatting sqref="E8:E37">
    <cfRule type="expression" dxfId="126" priority="9">
      <formula>$E8="Folga(DSR)"</formula>
    </cfRule>
    <cfRule type="expression" dxfId="125" priority="10">
      <formula>$E8="Feriado"</formula>
    </cfRule>
    <cfRule type="expression" dxfId="124" priority="11">
      <formula>$D8="Dom"</formula>
    </cfRule>
  </conditionalFormatting>
  <conditionalFormatting sqref="F40">
    <cfRule type="expression" dxfId="123" priority="6">
      <formula>$E40="Folga(DSR)"</formula>
    </cfRule>
    <cfRule type="expression" dxfId="122" priority="7">
      <formula>$E40="Feriado"</formula>
    </cfRule>
    <cfRule type="expression" dxfId="121" priority="8">
      <formula>$D40="Dom"</formula>
    </cfRule>
  </conditionalFormatting>
  <conditionalFormatting sqref="AJ7">
    <cfRule type="expression" dxfId="120" priority="3">
      <formula>$E7="Folga(DSR)"</formula>
    </cfRule>
    <cfRule type="expression" dxfId="119" priority="4">
      <formula>$E7="Feriado"</formula>
    </cfRule>
    <cfRule type="expression" dxfId="118" priority="5">
      <formula>$D7="Dom"</formula>
    </cfRule>
  </conditionalFormatting>
  <conditionalFormatting sqref="K8:K37">
    <cfRule type="expression" dxfId="117" priority="2">
      <formula>$M8&gt;0</formula>
    </cfRule>
  </conditionalFormatting>
  <conditionalFormatting sqref="K8:K37">
    <cfRule type="expression" dxfId="116"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zoomScale="90" zoomScaleNormal="90" zoomScalePageLayoutView="90" workbookViewId="0">
      <selection activeCell="G11" sqref="G11"/>
    </sheetView>
  </sheetViews>
  <sheetFormatPr baseColWidth="10" defaultColWidth="8.796875" defaultRowHeight="0" customHeight="1" zeroHeight="1" x14ac:dyDescent="0.2"/>
  <cols>
    <col min="1" max="1" width="27.59765625" style="132" customWidth="1"/>
    <col min="2" max="2" width="3.59765625" style="53" customWidth="1"/>
    <col min="3" max="3" width="9.796875" style="53" customWidth="1"/>
    <col min="4" max="4" width="8.59765625" style="53" customWidth="1"/>
    <col min="5" max="5" width="14.796875" style="53" customWidth="1"/>
    <col min="6" max="6" width="15.3984375" style="53" customWidth="1"/>
    <col min="7" max="9" width="11.19921875" style="53" customWidth="1"/>
    <col min="10" max="10" width="1.59765625" style="53" customWidth="1"/>
    <col min="11" max="11" width="13.3984375" style="53" customWidth="1"/>
    <col min="12" max="12" width="1.59765625" style="53" customWidth="1"/>
    <col min="13" max="13" width="13.3984375" style="53" customWidth="1"/>
    <col min="14" max="14" width="1.59765625" style="53" customWidth="1"/>
    <col min="15" max="15" width="13.3984375" style="53" customWidth="1"/>
    <col min="16" max="16" width="1.59765625" style="53" customWidth="1"/>
    <col min="17" max="19" width="16.59765625" style="53"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45"/>
    <col min="41" max="16384"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45"/>
      <c r="AO1" s="56"/>
      <c r="AP1" s="56"/>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45"/>
      <c r="AO2" s="56"/>
      <c r="AP2" s="56"/>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45"/>
      <c r="AO3" s="56"/>
      <c r="AP3" s="56"/>
      <c r="AQ3" s="22"/>
      <c r="AR3" s="22"/>
      <c r="AS3" s="56"/>
      <c r="AT3" s="56"/>
    </row>
    <row r="4" spans="1:46" customFormat="1" ht="30" customHeight="1" x14ac:dyDescent="0.2">
      <c r="A4" s="1"/>
      <c r="M4" s="14"/>
      <c r="T4" s="133"/>
      <c r="U4" s="23"/>
      <c r="V4" s="23"/>
      <c r="W4" s="23"/>
      <c r="X4" s="23"/>
      <c r="Y4" s="23"/>
      <c r="Z4" s="23"/>
      <c r="AA4" s="23"/>
      <c r="AB4" s="23"/>
      <c r="AC4" s="23"/>
      <c r="AD4" s="23"/>
      <c r="AE4" s="23"/>
      <c r="AF4" s="23"/>
      <c r="AG4" s="23"/>
      <c r="AH4" s="23"/>
      <c r="AI4" s="23"/>
      <c r="AJ4" s="23"/>
      <c r="AK4" s="23"/>
      <c r="AL4" s="23"/>
      <c r="AM4" s="23"/>
      <c r="AN4" s="145"/>
      <c r="AO4" s="53"/>
      <c r="AP4" s="53"/>
      <c r="AQ4" s="2"/>
      <c r="AR4" s="2"/>
      <c r="AS4" s="53"/>
      <c r="AT4" s="53"/>
    </row>
    <row r="5" spans="1:46" customFormat="1" ht="30" customHeight="1" x14ac:dyDescent="0.2">
      <c r="A5" s="1"/>
      <c r="C5" s="173" t="s">
        <v>189</v>
      </c>
      <c r="D5" s="173"/>
      <c r="E5" s="173"/>
      <c r="F5" s="173"/>
      <c r="G5" s="173"/>
      <c r="H5" s="173"/>
      <c r="I5" s="112">
        <f>Set!S11</f>
        <v>0</v>
      </c>
      <c r="K5" s="2" t="str">
        <f>IF(Set!T11="Negativo","Negativo","Positivo")</f>
        <v>Positivo</v>
      </c>
      <c r="S5" s="2">
        <f>IF(S17&gt;'P Gerais'!G6/10,1,0)</f>
        <v>0</v>
      </c>
      <c r="T5" s="133"/>
      <c r="U5" s="23"/>
      <c r="V5" s="23"/>
      <c r="W5" s="23"/>
      <c r="X5" s="23"/>
      <c r="Y5" s="23"/>
      <c r="Z5" s="23"/>
      <c r="AA5" s="23"/>
      <c r="AB5" s="23"/>
      <c r="AC5" s="23"/>
      <c r="AD5" s="23"/>
      <c r="AE5" s="23"/>
      <c r="AF5" s="23"/>
      <c r="AG5" s="23"/>
      <c r="AH5" s="23"/>
      <c r="AI5" s="27"/>
      <c r="AJ5" s="27"/>
      <c r="AK5" s="23"/>
      <c r="AL5" s="23"/>
      <c r="AM5" s="23"/>
      <c r="AN5" s="145"/>
      <c r="AO5" s="53"/>
      <c r="AP5" s="53"/>
      <c r="AQ5" s="2"/>
      <c r="AR5" s="2"/>
      <c r="AS5" s="53"/>
      <c r="AT5" s="53"/>
    </row>
    <row r="6" spans="1:46" customFormat="1" ht="7.75" customHeight="1" x14ac:dyDescent="0.2">
      <c r="A6" s="1"/>
      <c r="K6" s="12"/>
      <c r="M6" s="11"/>
      <c r="O6" s="11"/>
      <c r="T6" s="133"/>
      <c r="U6" s="23"/>
      <c r="V6" s="23"/>
      <c r="W6" s="23"/>
      <c r="X6" s="23"/>
      <c r="Y6" s="23"/>
      <c r="Z6" s="23"/>
      <c r="AA6" s="23"/>
      <c r="AB6" s="23"/>
      <c r="AC6" s="23"/>
      <c r="AD6" s="23"/>
      <c r="AE6" s="23"/>
      <c r="AF6" s="23"/>
      <c r="AG6" s="23"/>
      <c r="AH6" s="23"/>
      <c r="AI6" s="23"/>
      <c r="AJ6" s="23"/>
      <c r="AK6" s="23"/>
      <c r="AL6" s="23"/>
      <c r="AM6" s="23"/>
      <c r="AN6" s="145"/>
      <c r="AO6" s="53"/>
      <c r="AP6" s="53"/>
      <c r="AQ6" s="2"/>
      <c r="AR6" s="2"/>
      <c r="AS6" s="53"/>
      <c r="AT6" s="53"/>
    </row>
    <row r="7" spans="1:46" customFormat="1" ht="15" customHeight="1" x14ac:dyDescent="0.2">
      <c r="A7" s="1"/>
      <c r="C7" s="168" t="s">
        <v>64</v>
      </c>
      <c r="D7" s="168"/>
      <c r="E7" s="59" t="s">
        <v>72</v>
      </c>
      <c r="F7" s="59" t="s">
        <v>0</v>
      </c>
      <c r="G7" s="168" t="s">
        <v>73</v>
      </c>
      <c r="H7" s="168"/>
      <c r="I7" s="59" t="s">
        <v>74</v>
      </c>
      <c r="K7" s="59" t="s">
        <v>75</v>
      </c>
      <c r="M7" s="59" t="s">
        <v>76</v>
      </c>
      <c r="O7" s="59" t="s">
        <v>77</v>
      </c>
      <c r="P7" s="13">
        <v>8.3333333333333329E-2</v>
      </c>
      <c r="Q7" s="168" t="s">
        <v>78</v>
      </c>
      <c r="R7" s="168"/>
      <c r="S7" s="168"/>
      <c r="T7" s="133"/>
      <c r="U7" s="23"/>
      <c r="V7" s="23"/>
      <c r="W7" s="23">
        <v>10</v>
      </c>
      <c r="X7" s="23"/>
      <c r="Y7" s="23"/>
      <c r="Z7" s="23"/>
      <c r="AA7" s="23"/>
      <c r="AB7" s="23"/>
      <c r="AC7" s="23"/>
      <c r="AD7" s="23" t="s">
        <v>194</v>
      </c>
      <c r="AE7" s="23"/>
      <c r="AF7" s="222">
        <v>0</v>
      </c>
      <c r="AG7" s="27">
        <v>1</v>
      </c>
      <c r="AH7" s="27">
        <v>0.45833333333333331</v>
      </c>
      <c r="AI7" s="27">
        <v>0.20833333333333334</v>
      </c>
      <c r="AJ7" s="223">
        <v>0.75</v>
      </c>
      <c r="AK7" s="27">
        <v>0.91666666666666663</v>
      </c>
      <c r="AL7" s="224"/>
      <c r="AM7" s="23"/>
      <c r="AN7" s="145"/>
      <c r="AO7" s="53"/>
      <c r="AP7" s="53"/>
      <c r="AQ7" s="2"/>
      <c r="AR7" s="2"/>
      <c r="AS7" s="53"/>
      <c r="AT7" s="53"/>
    </row>
    <row r="8" spans="1:46" customFormat="1" ht="15" customHeight="1" x14ac:dyDescent="0.2">
      <c r="A8" s="1"/>
      <c r="C8" s="59">
        <v>1</v>
      </c>
      <c r="D8" s="59" t="str">
        <f>VLOOKUP(X8,$AB$8:$AC$14,2,0)</f>
        <v>QUI</v>
      </c>
      <c r="E8" s="15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T8" s="133"/>
      <c r="U8" s="23"/>
      <c r="V8" s="23"/>
      <c r="W8" s="225">
        <f>DATE('P Gerais'!$C$6,$W$7,Out!C8)</f>
        <v>42278</v>
      </c>
      <c r="X8" s="23">
        <f>WEEKDAY(W8)</f>
        <v>5</v>
      </c>
      <c r="Y8" s="23"/>
      <c r="Z8" s="23"/>
      <c r="AA8" s="23"/>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IF(F8=I8,$AF$7,IF(F8&gt;=$AJ$7,O8,$AF$7))</f>
        <v>0</v>
      </c>
      <c r="AK8" s="27">
        <f>IF(AND(I8&gt;$AK$7,I8&gt;AL8),I8-AL8,$AF$7)</f>
        <v>0</v>
      </c>
      <c r="AL8" s="224">
        <f>VLOOKUP(D8,'P Gerais'!$C$23:$I$29,7,FALSE)</f>
        <v>0</v>
      </c>
      <c r="AM8" s="23"/>
      <c r="AN8" s="145"/>
      <c r="AO8" s="53"/>
      <c r="AP8" s="53"/>
      <c r="AQ8" s="2"/>
      <c r="AR8" s="2"/>
      <c r="AS8" s="53"/>
      <c r="AT8" s="53"/>
    </row>
    <row r="9" spans="1:46" customFormat="1" ht="15" customHeight="1" x14ac:dyDescent="0.2">
      <c r="A9" s="1"/>
      <c r="C9" s="59">
        <v>2</v>
      </c>
      <c r="D9" s="59" t="str">
        <f t="shared" ref="D9:D38" si="1">VLOOKUP(X9,$AB$8:$AC$14,2,0)</f>
        <v>SEX</v>
      </c>
      <c r="E9" s="153" t="s">
        <v>191</v>
      </c>
      <c r="F9" s="62"/>
      <c r="G9" s="62"/>
      <c r="H9" s="62"/>
      <c r="I9" s="62"/>
      <c r="J9" s="10"/>
      <c r="K9" s="60">
        <f t="shared" ref="K9:K38" si="2">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3">IF(O9&gt;$P$7,1,0)</f>
        <v>0</v>
      </c>
      <c r="Q9" s="175" t="s">
        <v>79</v>
      </c>
      <c r="R9" s="175"/>
      <c r="S9" s="172">
        <f>SUM(K8:K38)</f>
        <v>0</v>
      </c>
      <c r="T9" s="133"/>
      <c r="U9" s="23"/>
      <c r="V9" s="23"/>
      <c r="W9" s="225">
        <f>DATE('P Gerais'!$C$6,$W$7,Out!C9)</f>
        <v>42279</v>
      </c>
      <c r="X9" s="23">
        <f t="shared" ref="X9:X38" si="4">WEEKDAY(W9)</f>
        <v>6</v>
      </c>
      <c r="Y9" s="23"/>
      <c r="Z9" s="23"/>
      <c r="AA9" s="23"/>
      <c r="AB9" s="23">
        <v>2</v>
      </c>
      <c r="AC9" s="15" t="s">
        <v>44</v>
      </c>
      <c r="AD9" s="27">
        <f t="shared" si="0"/>
        <v>0</v>
      </c>
      <c r="AE9" s="27">
        <f>VLOOKUP(D9,'P Gerais'!$C$23:$N$29,12,0)</f>
        <v>0</v>
      </c>
      <c r="AF9" s="27">
        <f t="shared" ref="AF9:AF38" si="5">IF(AE9-AD9&lt;0,0,IF(OR(G9="",G9=0),0,AE9-AD9))</f>
        <v>0</v>
      </c>
      <c r="AG9" s="27">
        <f t="shared" ref="AG9:AG37" si="6">($AG$7-I9)+F9</f>
        <v>1</v>
      </c>
      <c r="AH9" s="27">
        <f t="shared" ref="AH9:AH37" si="7">IF(AG9&lt;$AH$7,$AH$7-AG9,$AF$7)</f>
        <v>0</v>
      </c>
      <c r="AI9" s="27">
        <f t="shared" ref="AI9:AI38" si="8">IF(F9=I9,$AF$7,IF(F9&lt;$AI$7,$AI$7-F9,$AF$7))</f>
        <v>0</v>
      </c>
      <c r="AJ9" s="27">
        <f t="shared" ref="AJ8:AJ21" si="9">IF(F9=I9,$AF$7,IF(F9&gt;=$AJ$7,O9,$AF$7))</f>
        <v>0</v>
      </c>
      <c r="AK9" s="27">
        <f t="shared" ref="AK8:AK37" si="10">IF(AND(I9&gt;$AK$7,I9&gt;AL9),I9-AL9,$AF$7)</f>
        <v>0</v>
      </c>
      <c r="AL9" s="224">
        <f>VLOOKUP(D9,'P Gerais'!$C$23:$I$29,7,FALSE)</f>
        <v>0</v>
      </c>
      <c r="AM9" s="23"/>
      <c r="AN9" s="145"/>
      <c r="AO9" s="53"/>
      <c r="AP9" s="53"/>
      <c r="AQ9" s="2"/>
      <c r="AR9" s="2"/>
      <c r="AS9" s="53"/>
      <c r="AT9" s="53"/>
    </row>
    <row r="10" spans="1:46" customFormat="1" ht="15" customHeight="1" x14ac:dyDescent="0.2">
      <c r="A10" s="1"/>
      <c r="C10" s="59">
        <v>3</v>
      </c>
      <c r="D10" s="59" t="str">
        <f t="shared" si="1"/>
        <v>SÁB</v>
      </c>
      <c r="E10" s="153" t="s">
        <v>191</v>
      </c>
      <c r="F10" s="62"/>
      <c r="G10" s="62"/>
      <c r="H10" s="62"/>
      <c r="I10" s="62"/>
      <c r="J10" s="10"/>
      <c r="K10" s="60">
        <f t="shared" si="2"/>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3"/>
        <v>0</v>
      </c>
      <c r="Q10" s="175"/>
      <c r="R10" s="175"/>
      <c r="S10" s="172"/>
      <c r="T10" s="133"/>
      <c r="U10" s="23"/>
      <c r="V10" s="23"/>
      <c r="W10" s="225">
        <f>DATE('P Gerais'!$C$6,$W$7,Out!C10)</f>
        <v>42280</v>
      </c>
      <c r="X10" s="23">
        <f t="shared" si="4"/>
        <v>7</v>
      </c>
      <c r="Y10" s="23"/>
      <c r="Z10" s="23"/>
      <c r="AA10" s="23"/>
      <c r="AB10" s="23">
        <v>3</v>
      </c>
      <c r="AC10" s="15" t="s">
        <v>45</v>
      </c>
      <c r="AD10" s="27">
        <f t="shared" si="0"/>
        <v>0</v>
      </c>
      <c r="AE10" s="27">
        <f>VLOOKUP(D10,'P Gerais'!$C$23:$N$29,12,0)</f>
        <v>0</v>
      </c>
      <c r="AF10" s="27">
        <f t="shared" si="5"/>
        <v>0</v>
      </c>
      <c r="AG10" s="27">
        <f t="shared" si="6"/>
        <v>1</v>
      </c>
      <c r="AH10" s="27">
        <f t="shared" si="7"/>
        <v>0</v>
      </c>
      <c r="AI10" s="27">
        <f t="shared" si="8"/>
        <v>0</v>
      </c>
      <c r="AJ10" s="27">
        <f t="shared" si="9"/>
        <v>0</v>
      </c>
      <c r="AK10" s="27">
        <f>IF(AND(I10&gt;$AK$7,I10&gt;AL10),I10-AL10,$AF$7)</f>
        <v>0</v>
      </c>
      <c r="AL10" s="224">
        <f>VLOOKUP(D10,'P Gerais'!$C$23:$I$29,7,FALSE)</f>
        <v>0</v>
      </c>
      <c r="AM10" s="23"/>
      <c r="AN10" s="145"/>
      <c r="AO10" s="53"/>
      <c r="AP10" s="53"/>
      <c r="AQ10" s="2"/>
      <c r="AR10" s="2"/>
      <c r="AS10" s="53"/>
      <c r="AT10" s="53"/>
    </row>
    <row r="11" spans="1:46" customFormat="1" ht="15" customHeight="1" x14ac:dyDescent="0.2">
      <c r="A11" s="1"/>
      <c r="C11" s="59">
        <v>4</v>
      </c>
      <c r="D11" s="59" t="str">
        <f t="shared" si="1"/>
        <v>DOM</v>
      </c>
      <c r="E11" s="153" t="s">
        <v>191</v>
      </c>
      <c r="F11" s="62"/>
      <c r="G11" s="62"/>
      <c r="H11" s="62"/>
      <c r="I11" s="62"/>
      <c r="J11" s="10"/>
      <c r="K11" s="60">
        <f t="shared" si="2"/>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3"/>
        <v>0</v>
      </c>
      <c r="Q11" s="175" t="s">
        <v>80</v>
      </c>
      <c r="R11" s="175"/>
      <c r="S11" s="172">
        <f>IF(K5="Negativo",ABS(-I5+S17-S15),ABS(I5+S17-S15))</f>
        <v>0</v>
      </c>
      <c r="T11" s="133" t="str">
        <f>IF(S15&gt;S17+IF(K5="Negativo",-I5,I5),"Negativo","Positivo")</f>
        <v>Positivo</v>
      </c>
      <c r="U11" s="23"/>
      <c r="V11" s="23"/>
      <c r="W11" s="225">
        <f>DATE('P Gerais'!$C$6,$W$7,Out!C11)</f>
        <v>42281</v>
      </c>
      <c r="X11" s="23">
        <f t="shared" si="4"/>
        <v>1</v>
      </c>
      <c r="Y11" s="23"/>
      <c r="Z11" s="23"/>
      <c r="AA11" s="23"/>
      <c r="AB11" s="23">
        <v>4</v>
      </c>
      <c r="AC11" s="15" t="s">
        <v>46</v>
      </c>
      <c r="AD11" s="27">
        <f t="shared" si="0"/>
        <v>0</v>
      </c>
      <c r="AE11" s="27">
        <f>VLOOKUP(D11,'P Gerais'!$C$23:$N$29,12,0)</f>
        <v>0</v>
      </c>
      <c r="AF11" s="27">
        <f t="shared" si="5"/>
        <v>0</v>
      </c>
      <c r="AG11" s="27">
        <f t="shared" si="6"/>
        <v>1</v>
      </c>
      <c r="AH11" s="27">
        <f t="shared" si="7"/>
        <v>0</v>
      </c>
      <c r="AI11" s="27">
        <f t="shared" si="8"/>
        <v>0</v>
      </c>
      <c r="AJ11" s="27">
        <f t="shared" si="9"/>
        <v>0</v>
      </c>
      <c r="AK11" s="27">
        <f t="shared" si="10"/>
        <v>0</v>
      </c>
      <c r="AL11" s="224">
        <f>VLOOKUP(D11,'P Gerais'!$C$23:$I$29,7,FALSE)</f>
        <v>0</v>
      </c>
      <c r="AM11" s="23"/>
      <c r="AN11" s="145"/>
      <c r="AO11" s="53"/>
      <c r="AP11" s="53"/>
      <c r="AQ11" s="2"/>
      <c r="AR11" s="2"/>
      <c r="AS11" s="53"/>
      <c r="AT11" s="53"/>
    </row>
    <row r="12" spans="1:46" customFormat="1" ht="15" customHeight="1" x14ac:dyDescent="0.2">
      <c r="A12" s="1"/>
      <c r="C12" s="59">
        <v>5</v>
      </c>
      <c r="D12" s="59" t="str">
        <f t="shared" si="1"/>
        <v>SEG</v>
      </c>
      <c r="E12" s="153" t="s">
        <v>191</v>
      </c>
      <c r="F12" s="62"/>
      <c r="G12" s="62"/>
      <c r="H12" s="62"/>
      <c r="I12" s="62"/>
      <c r="J12" s="10"/>
      <c r="K12" s="60">
        <f t="shared" si="2"/>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3"/>
        <v>0</v>
      </c>
      <c r="Q12" s="175"/>
      <c r="R12" s="175"/>
      <c r="S12" s="172"/>
      <c r="T12" s="133"/>
      <c r="U12" s="23"/>
      <c r="V12" s="23"/>
      <c r="W12" s="225">
        <f>DATE('P Gerais'!$C$6,$W$7,Out!C12)</f>
        <v>42282</v>
      </c>
      <c r="X12" s="23">
        <f t="shared" si="4"/>
        <v>2</v>
      </c>
      <c r="Y12" s="23"/>
      <c r="Z12" s="23"/>
      <c r="AA12" s="23"/>
      <c r="AB12" s="23">
        <v>5</v>
      </c>
      <c r="AC12" s="15" t="s">
        <v>47</v>
      </c>
      <c r="AD12" s="27">
        <f t="shared" si="0"/>
        <v>0</v>
      </c>
      <c r="AE12" s="27">
        <f>VLOOKUP(D12,'P Gerais'!$C$23:$N$29,12,0)</f>
        <v>0</v>
      </c>
      <c r="AF12" s="27">
        <f t="shared" si="5"/>
        <v>0</v>
      </c>
      <c r="AG12" s="27">
        <f t="shared" si="6"/>
        <v>1</v>
      </c>
      <c r="AH12" s="27">
        <f t="shared" si="7"/>
        <v>0</v>
      </c>
      <c r="AI12" s="27">
        <f t="shared" si="8"/>
        <v>0</v>
      </c>
      <c r="AJ12" s="27">
        <f t="shared" si="9"/>
        <v>0</v>
      </c>
      <c r="AK12" s="27">
        <f t="shared" si="10"/>
        <v>0</v>
      </c>
      <c r="AL12" s="224">
        <f>VLOOKUP(D12,'P Gerais'!$C$23:$I$29,7,FALSE)</f>
        <v>0</v>
      </c>
      <c r="AM12" s="23"/>
      <c r="AN12" s="145"/>
      <c r="AO12" s="53"/>
      <c r="AP12" s="53"/>
      <c r="AQ12" s="2"/>
      <c r="AR12" s="2"/>
      <c r="AS12" s="53"/>
      <c r="AT12" s="53"/>
    </row>
    <row r="13" spans="1:46" customFormat="1" ht="15" customHeight="1" x14ac:dyDescent="0.2">
      <c r="A13" s="1"/>
      <c r="C13" s="59">
        <v>6</v>
      </c>
      <c r="D13" s="59" t="str">
        <f t="shared" si="1"/>
        <v>TER</v>
      </c>
      <c r="E13" s="153" t="s">
        <v>191</v>
      </c>
      <c r="F13" s="62"/>
      <c r="G13" s="62"/>
      <c r="H13" s="62"/>
      <c r="I13" s="62"/>
      <c r="J13" s="10"/>
      <c r="K13" s="60">
        <f t="shared" si="2"/>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3"/>
        <v>0</v>
      </c>
      <c r="Q13" s="179" t="s">
        <v>193</v>
      </c>
      <c r="R13" s="180"/>
      <c r="S13" s="172">
        <f>IF(S15&gt;=S17,(S15)-S17,(S17-S15))</f>
        <v>0</v>
      </c>
      <c r="T13" s="133" t="str">
        <f>IF(S15&gt;S17,"Negativo","Positivo")</f>
        <v>Positivo</v>
      </c>
      <c r="U13" s="23"/>
      <c r="V13" s="23"/>
      <c r="W13" s="225">
        <f>DATE('P Gerais'!$C$6,$W$7,Out!C13)</f>
        <v>42283</v>
      </c>
      <c r="X13" s="23">
        <f t="shared" si="4"/>
        <v>3</v>
      </c>
      <c r="Y13" s="23"/>
      <c r="Z13" s="23"/>
      <c r="AA13" s="23"/>
      <c r="AB13" s="23">
        <v>6</v>
      </c>
      <c r="AC13" s="15" t="s">
        <v>48</v>
      </c>
      <c r="AD13" s="27">
        <f t="shared" si="0"/>
        <v>0</v>
      </c>
      <c r="AE13" s="27">
        <f>VLOOKUP(D13,'P Gerais'!$C$23:$N$29,12,0)</f>
        <v>0</v>
      </c>
      <c r="AF13" s="27">
        <f t="shared" si="5"/>
        <v>0</v>
      </c>
      <c r="AG13" s="27">
        <f t="shared" si="6"/>
        <v>1</v>
      </c>
      <c r="AH13" s="27">
        <f t="shared" si="7"/>
        <v>0</v>
      </c>
      <c r="AI13" s="27">
        <f t="shared" si="8"/>
        <v>0</v>
      </c>
      <c r="AJ13" s="27">
        <f t="shared" si="9"/>
        <v>0</v>
      </c>
      <c r="AK13" s="27">
        <f t="shared" si="10"/>
        <v>0</v>
      </c>
      <c r="AL13" s="224">
        <f>VLOOKUP(D13,'P Gerais'!$C$23:$I$29,7,FALSE)</f>
        <v>0</v>
      </c>
      <c r="AM13" s="23"/>
      <c r="AN13" s="145"/>
      <c r="AO13" s="53"/>
      <c r="AP13" s="53"/>
      <c r="AQ13" s="2"/>
      <c r="AR13" s="2"/>
      <c r="AS13" s="53"/>
      <c r="AT13" s="53"/>
    </row>
    <row r="14" spans="1:46" customFormat="1" ht="15" customHeight="1" x14ac:dyDescent="0.2">
      <c r="A14" s="1"/>
      <c r="C14" s="59">
        <v>7</v>
      </c>
      <c r="D14" s="59" t="str">
        <f t="shared" si="1"/>
        <v>QUA</v>
      </c>
      <c r="E14" s="153" t="s">
        <v>191</v>
      </c>
      <c r="F14" s="62"/>
      <c r="G14" s="62"/>
      <c r="H14" s="62"/>
      <c r="I14" s="62"/>
      <c r="J14" s="10"/>
      <c r="K14" s="60">
        <f t="shared" si="2"/>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3"/>
        <v>0</v>
      </c>
      <c r="Q14" s="181"/>
      <c r="R14" s="182"/>
      <c r="S14" s="172"/>
      <c r="T14" s="133"/>
      <c r="U14" s="23"/>
      <c r="V14" s="23"/>
      <c r="W14" s="225">
        <f>DATE('P Gerais'!$C$6,$W$7,Out!C14)</f>
        <v>42284</v>
      </c>
      <c r="X14" s="23">
        <f t="shared" si="4"/>
        <v>4</v>
      </c>
      <c r="Y14" s="23"/>
      <c r="Z14" s="23"/>
      <c r="AA14" s="23"/>
      <c r="AB14" s="23">
        <v>7</v>
      </c>
      <c r="AC14" s="15" t="s">
        <v>49</v>
      </c>
      <c r="AD14" s="27">
        <f t="shared" si="0"/>
        <v>0</v>
      </c>
      <c r="AE14" s="27">
        <f>VLOOKUP(D14,'P Gerais'!$C$23:$N$29,12,0)</f>
        <v>0</v>
      </c>
      <c r="AF14" s="27">
        <f t="shared" si="5"/>
        <v>0</v>
      </c>
      <c r="AG14" s="27">
        <f t="shared" si="6"/>
        <v>1</v>
      </c>
      <c r="AH14" s="27">
        <f t="shared" si="7"/>
        <v>0</v>
      </c>
      <c r="AI14" s="27">
        <f t="shared" si="8"/>
        <v>0</v>
      </c>
      <c r="AJ14" s="27">
        <f t="shared" si="9"/>
        <v>0</v>
      </c>
      <c r="AK14" s="27">
        <f t="shared" si="10"/>
        <v>0</v>
      </c>
      <c r="AL14" s="224">
        <f>VLOOKUP(D14,'P Gerais'!$C$23:$I$29,7,FALSE)</f>
        <v>0</v>
      </c>
      <c r="AM14" s="23"/>
      <c r="AN14" s="145"/>
      <c r="AO14" s="53"/>
      <c r="AP14" s="53"/>
      <c r="AQ14" s="2"/>
      <c r="AR14" s="2"/>
      <c r="AS14" s="53"/>
      <c r="AT14" s="53"/>
    </row>
    <row r="15" spans="1:46" customFormat="1" ht="15" customHeight="1" x14ac:dyDescent="0.2">
      <c r="A15" s="1"/>
      <c r="C15" s="59">
        <v>8</v>
      </c>
      <c r="D15" s="59" t="str">
        <f t="shared" si="1"/>
        <v>QUI</v>
      </c>
      <c r="E15" s="153" t="s">
        <v>191</v>
      </c>
      <c r="F15" s="62"/>
      <c r="G15" s="62"/>
      <c r="H15" s="62"/>
      <c r="I15" s="62"/>
      <c r="J15" s="10"/>
      <c r="K15" s="60">
        <f t="shared" si="2"/>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3"/>
        <v>0</v>
      </c>
      <c r="Q15" s="175" t="s">
        <v>82</v>
      </c>
      <c r="R15" s="175"/>
      <c r="S15" s="172">
        <f>SUM(M8:M38)</f>
        <v>0</v>
      </c>
      <c r="T15" s="133"/>
      <c r="U15" s="23"/>
      <c r="V15" s="23"/>
      <c r="W15" s="225">
        <f>DATE('P Gerais'!$C$6,$W$7,Out!C15)</f>
        <v>42285</v>
      </c>
      <c r="X15" s="23">
        <f t="shared" si="4"/>
        <v>5</v>
      </c>
      <c r="Y15" s="23"/>
      <c r="Z15" s="23"/>
      <c r="AA15" s="23"/>
      <c r="AB15" s="23"/>
      <c r="AC15" s="23"/>
      <c r="AD15" s="27">
        <f t="shared" si="0"/>
        <v>0</v>
      </c>
      <c r="AE15" s="27">
        <f>VLOOKUP(D15,'P Gerais'!$C$23:$N$29,12,0)</f>
        <v>0</v>
      </c>
      <c r="AF15" s="27">
        <f t="shared" si="5"/>
        <v>0</v>
      </c>
      <c r="AG15" s="27">
        <f t="shared" si="6"/>
        <v>1</v>
      </c>
      <c r="AH15" s="27">
        <f t="shared" si="7"/>
        <v>0</v>
      </c>
      <c r="AI15" s="27">
        <f t="shared" si="8"/>
        <v>0</v>
      </c>
      <c r="AJ15" s="27">
        <f t="shared" si="9"/>
        <v>0</v>
      </c>
      <c r="AK15" s="27">
        <f t="shared" si="10"/>
        <v>0</v>
      </c>
      <c r="AL15" s="224">
        <f>VLOOKUP(D15,'P Gerais'!$C$23:$I$29,7,FALSE)</f>
        <v>0</v>
      </c>
      <c r="AM15" s="23"/>
      <c r="AN15" s="145"/>
      <c r="AO15" s="53"/>
      <c r="AP15" s="53"/>
      <c r="AQ15" s="2"/>
      <c r="AR15" s="2"/>
      <c r="AS15" s="53"/>
      <c r="AT15" s="53"/>
    </row>
    <row r="16" spans="1:46" customFormat="1" ht="15" customHeight="1" x14ac:dyDescent="0.2">
      <c r="A16" s="1"/>
      <c r="C16" s="59">
        <v>9</v>
      </c>
      <c r="D16" s="59" t="str">
        <f t="shared" si="1"/>
        <v>SEX</v>
      </c>
      <c r="E16" s="153" t="s">
        <v>191</v>
      </c>
      <c r="F16" s="62"/>
      <c r="G16" s="62"/>
      <c r="H16" s="62"/>
      <c r="I16" s="62"/>
      <c r="J16" s="10"/>
      <c r="K16" s="60">
        <f t="shared" si="2"/>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3"/>
        <v>0</v>
      </c>
      <c r="Q16" s="175"/>
      <c r="R16" s="175"/>
      <c r="S16" s="172"/>
      <c r="T16" s="133"/>
      <c r="U16" s="23"/>
      <c r="V16" s="23"/>
      <c r="W16" s="225">
        <f>DATE('P Gerais'!$C$6,$W$7,Out!C16)</f>
        <v>42286</v>
      </c>
      <c r="X16" s="23">
        <f t="shared" si="4"/>
        <v>6</v>
      </c>
      <c r="Y16" s="23"/>
      <c r="Z16" s="23"/>
      <c r="AA16" s="23"/>
      <c r="AB16" s="23"/>
      <c r="AC16" s="23"/>
      <c r="AD16" s="27">
        <f t="shared" si="0"/>
        <v>0</v>
      </c>
      <c r="AE16" s="27">
        <f>VLOOKUP(D16,'P Gerais'!$C$23:$N$29,12,0)</f>
        <v>0</v>
      </c>
      <c r="AF16" s="27">
        <f t="shared" si="5"/>
        <v>0</v>
      </c>
      <c r="AG16" s="27">
        <f t="shared" si="6"/>
        <v>1</v>
      </c>
      <c r="AH16" s="27">
        <f t="shared" si="7"/>
        <v>0</v>
      </c>
      <c r="AI16" s="27">
        <f t="shared" si="8"/>
        <v>0</v>
      </c>
      <c r="AJ16" s="27">
        <f t="shared" si="9"/>
        <v>0</v>
      </c>
      <c r="AK16" s="27">
        <f t="shared" si="10"/>
        <v>0</v>
      </c>
      <c r="AL16" s="224">
        <f>VLOOKUP(D16,'P Gerais'!$C$23:$I$29,7,FALSE)</f>
        <v>0</v>
      </c>
      <c r="AM16" s="23"/>
      <c r="AN16" s="145"/>
      <c r="AO16" s="53"/>
      <c r="AP16" s="53"/>
      <c r="AQ16" s="2"/>
      <c r="AR16" s="2"/>
      <c r="AS16" s="53"/>
      <c r="AT16" s="53"/>
    </row>
    <row r="17" spans="1:46" customFormat="1" ht="15" customHeight="1" x14ac:dyDescent="0.2">
      <c r="A17" s="1"/>
      <c r="C17" s="59">
        <v>10</v>
      </c>
      <c r="D17" s="59" t="str">
        <f t="shared" si="1"/>
        <v>SÁB</v>
      </c>
      <c r="E17" s="153" t="s">
        <v>191</v>
      </c>
      <c r="F17" s="62"/>
      <c r="G17" s="62"/>
      <c r="H17" s="62"/>
      <c r="I17" s="62"/>
      <c r="J17" s="10"/>
      <c r="K17" s="60">
        <f t="shared" si="2"/>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3"/>
        <v>0</v>
      </c>
      <c r="Q17" s="175" t="s">
        <v>81</v>
      </c>
      <c r="R17" s="175"/>
      <c r="S17" s="172">
        <f>SUM(O8:O38)</f>
        <v>0</v>
      </c>
      <c r="T17" s="133"/>
      <c r="U17" s="23"/>
      <c r="V17" s="23"/>
      <c r="W17" s="225">
        <f>DATE('P Gerais'!$C$6,$W$7,Out!C17)</f>
        <v>42287</v>
      </c>
      <c r="X17" s="23">
        <f t="shared" si="4"/>
        <v>7</v>
      </c>
      <c r="Y17" s="23"/>
      <c r="Z17" s="23"/>
      <c r="AA17" s="23"/>
      <c r="AB17" s="23"/>
      <c r="AC17" s="23"/>
      <c r="AD17" s="27">
        <f t="shared" si="0"/>
        <v>0</v>
      </c>
      <c r="AE17" s="27">
        <f>VLOOKUP(D17,'P Gerais'!$C$23:$N$29,12,0)</f>
        <v>0</v>
      </c>
      <c r="AF17" s="27">
        <f t="shared" si="5"/>
        <v>0</v>
      </c>
      <c r="AG17" s="27">
        <f t="shared" si="6"/>
        <v>1</v>
      </c>
      <c r="AH17" s="27">
        <f t="shared" si="7"/>
        <v>0</v>
      </c>
      <c r="AI17" s="27">
        <f t="shared" si="8"/>
        <v>0</v>
      </c>
      <c r="AJ17" s="27">
        <f t="shared" si="9"/>
        <v>0</v>
      </c>
      <c r="AK17" s="27">
        <f t="shared" si="10"/>
        <v>0</v>
      </c>
      <c r="AL17" s="224">
        <f>VLOOKUP(D17,'P Gerais'!$C$23:$I$29,7,FALSE)</f>
        <v>0</v>
      </c>
      <c r="AM17" s="23"/>
      <c r="AN17" s="145"/>
      <c r="AO17" s="53"/>
      <c r="AP17" s="53"/>
      <c r="AQ17" s="2"/>
      <c r="AR17" s="2"/>
      <c r="AS17" s="53"/>
      <c r="AT17" s="53"/>
    </row>
    <row r="18" spans="1:46" customFormat="1" ht="15" customHeight="1" x14ac:dyDescent="0.2">
      <c r="A18" s="1"/>
      <c r="C18" s="59">
        <v>11</v>
      </c>
      <c r="D18" s="59" t="str">
        <f t="shared" si="1"/>
        <v>DOM</v>
      </c>
      <c r="E18" s="153" t="s">
        <v>191</v>
      </c>
      <c r="F18" s="62"/>
      <c r="G18" s="62"/>
      <c r="H18" s="62"/>
      <c r="I18" s="62"/>
      <c r="J18" s="10"/>
      <c r="K18" s="60">
        <f t="shared" si="2"/>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3"/>
        <v>0</v>
      </c>
      <c r="Q18" s="175"/>
      <c r="R18" s="175"/>
      <c r="S18" s="172"/>
      <c r="T18" s="133"/>
      <c r="U18" s="23"/>
      <c r="V18" s="23"/>
      <c r="W18" s="225">
        <f>DATE('P Gerais'!$C$6,$W$7,Out!C18)</f>
        <v>42288</v>
      </c>
      <c r="X18" s="23">
        <f t="shared" si="4"/>
        <v>1</v>
      </c>
      <c r="Y18" s="23"/>
      <c r="Z18" s="23"/>
      <c r="AA18" s="23"/>
      <c r="AB18" s="23"/>
      <c r="AC18" s="23"/>
      <c r="AD18" s="27">
        <f t="shared" si="0"/>
        <v>0</v>
      </c>
      <c r="AE18" s="27">
        <f>VLOOKUP(D18,'P Gerais'!$C$23:$N$29,12,0)</f>
        <v>0</v>
      </c>
      <c r="AF18" s="27">
        <f t="shared" si="5"/>
        <v>0</v>
      </c>
      <c r="AG18" s="27">
        <f t="shared" si="6"/>
        <v>1</v>
      </c>
      <c r="AH18" s="27">
        <f t="shared" si="7"/>
        <v>0</v>
      </c>
      <c r="AI18" s="27">
        <f t="shared" si="8"/>
        <v>0</v>
      </c>
      <c r="AJ18" s="27">
        <f t="shared" si="9"/>
        <v>0</v>
      </c>
      <c r="AK18" s="27">
        <f t="shared" si="10"/>
        <v>0</v>
      </c>
      <c r="AL18" s="224">
        <f>VLOOKUP(D18,'P Gerais'!$C$23:$I$29,7,FALSE)</f>
        <v>0</v>
      </c>
      <c r="AM18" s="23"/>
      <c r="AN18" s="145"/>
      <c r="AO18" s="53"/>
      <c r="AP18" s="53"/>
      <c r="AQ18" s="2"/>
      <c r="AR18" s="2"/>
      <c r="AS18" s="53"/>
      <c r="AT18" s="53"/>
    </row>
    <row r="19" spans="1:46" customFormat="1" ht="15" customHeight="1" x14ac:dyDescent="0.2">
      <c r="A19" s="1"/>
      <c r="C19" s="59">
        <v>12</v>
      </c>
      <c r="D19" s="59" t="str">
        <f t="shared" si="1"/>
        <v>SEG</v>
      </c>
      <c r="E19" s="153" t="s">
        <v>191</v>
      </c>
      <c r="F19" s="62"/>
      <c r="G19" s="62"/>
      <c r="H19" s="62"/>
      <c r="I19" s="62"/>
      <c r="J19" s="10"/>
      <c r="K19" s="60">
        <f t="shared" si="2"/>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3"/>
        <v>0</v>
      </c>
      <c r="Q19" s="175" t="s">
        <v>83</v>
      </c>
      <c r="R19" s="175"/>
      <c r="S19" s="177">
        <f>F54</f>
        <v>0</v>
      </c>
      <c r="T19" s="133"/>
      <c r="U19" s="23"/>
      <c r="V19" s="23"/>
      <c r="W19" s="225">
        <f>DATE('P Gerais'!$C$6,$W$7,Out!C19)</f>
        <v>42289</v>
      </c>
      <c r="X19" s="23">
        <f t="shared" si="4"/>
        <v>2</v>
      </c>
      <c r="Y19" s="23"/>
      <c r="Z19" s="23"/>
      <c r="AA19" s="23"/>
      <c r="AB19" s="23"/>
      <c r="AC19" s="23"/>
      <c r="AD19" s="27">
        <f t="shared" si="0"/>
        <v>0</v>
      </c>
      <c r="AE19" s="27">
        <f>VLOOKUP(D19,'P Gerais'!$C$23:$N$29,12,0)</f>
        <v>0</v>
      </c>
      <c r="AF19" s="27">
        <f t="shared" si="5"/>
        <v>0</v>
      </c>
      <c r="AG19" s="27">
        <f t="shared" si="6"/>
        <v>1</v>
      </c>
      <c r="AH19" s="27">
        <f t="shared" si="7"/>
        <v>0</v>
      </c>
      <c r="AI19" s="27">
        <f t="shared" si="8"/>
        <v>0</v>
      </c>
      <c r="AJ19" s="27">
        <f t="shared" si="9"/>
        <v>0</v>
      </c>
      <c r="AK19" s="27">
        <f t="shared" si="10"/>
        <v>0</v>
      </c>
      <c r="AL19" s="224">
        <f>VLOOKUP(D19,'P Gerais'!$C$23:$I$29,7,FALSE)</f>
        <v>0</v>
      </c>
      <c r="AM19" s="23"/>
      <c r="AN19" s="145"/>
      <c r="AO19" s="53"/>
      <c r="AP19" s="53"/>
      <c r="AQ19" s="2"/>
      <c r="AR19" s="2"/>
      <c r="AS19" s="53"/>
      <c r="AT19" s="53"/>
    </row>
    <row r="20" spans="1:46" customFormat="1" ht="15" customHeight="1" x14ac:dyDescent="0.2">
      <c r="A20" s="1"/>
      <c r="C20" s="59">
        <v>13</v>
      </c>
      <c r="D20" s="59" t="str">
        <f t="shared" si="1"/>
        <v>TER</v>
      </c>
      <c r="E20" s="153" t="s">
        <v>191</v>
      </c>
      <c r="F20" s="62"/>
      <c r="G20" s="62"/>
      <c r="H20" s="62"/>
      <c r="I20" s="62"/>
      <c r="J20" s="10"/>
      <c r="K20" s="60">
        <f t="shared" si="2"/>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3"/>
        <v>0</v>
      </c>
      <c r="Q20" s="175"/>
      <c r="R20" s="175"/>
      <c r="S20" s="177"/>
      <c r="T20" s="133"/>
      <c r="U20" s="23"/>
      <c r="V20" s="23"/>
      <c r="W20" s="225">
        <f>DATE('P Gerais'!$C$6,$W$7,Out!C20)</f>
        <v>42290</v>
      </c>
      <c r="X20" s="23">
        <f t="shared" si="4"/>
        <v>3</v>
      </c>
      <c r="Y20" s="23"/>
      <c r="Z20" s="23"/>
      <c r="AA20" s="23"/>
      <c r="AB20" s="23"/>
      <c r="AC20" s="23"/>
      <c r="AD20" s="27">
        <f t="shared" si="0"/>
        <v>0</v>
      </c>
      <c r="AE20" s="27">
        <f>VLOOKUP(D20,'P Gerais'!$C$23:$N$29,12,0)</f>
        <v>0</v>
      </c>
      <c r="AF20" s="27">
        <f t="shared" si="5"/>
        <v>0</v>
      </c>
      <c r="AG20" s="27">
        <f t="shared" si="6"/>
        <v>1</v>
      </c>
      <c r="AH20" s="27">
        <f t="shared" si="7"/>
        <v>0</v>
      </c>
      <c r="AI20" s="27">
        <f t="shared" si="8"/>
        <v>0</v>
      </c>
      <c r="AJ20" s="27">
        <f t="shared" si="9"/>
        <v>0</v>
      </c>
      <c r="AK20" s="27">
        <f t="shared" si="10"/>
        <v>0</v>
      </c>
      <c r="AL20" s="224">
        <f>VLOOKUP(D20,'P Gerais'!$C$23:$I$29,7,FALSE)</f>
        <v>0</v>
      </c>
      <c r="AM20" s="23"/>
      <c r="AN20" s="145"/>
      <c r="AO20" s="53"/>
      <c r="AP20" s="53"/>
      <c r="AQ20" s="2"/>
      <c r="AR20" s="2"/>
      <c r="AS20" s="53"/>
      <c r="AT20" s="53"/>
    </row>
    <row r="21" spans="1:46" customFormat="1" ht="15" customHeight="1" x14ac:dyDescent="0.2">
      <c r="A21" s="1"/>
      <c r="C21" s="59">
        <v>14</v>
      </c>
      <c r="D21" s="59" t="str">
        <f t="shared" si="1"/>
        <v>QUA</v>
      </c>
      <c r="E21" s="153" t="s">
        <v>191</v>
      </c>
      <c r="F21" s="62"/>
      <c r="G21" s="62"/>
      <c r="H21" s="62"/>
      <c r="I21" s="62"/>
      <c r="J21" s="10"/>
      <c r="K21" s="60">
        <f t="shared" si="2"/>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3"/>
        <v>0</v>
      </c>
      <c r="T21" s="133"/>
      <c r="U21" s="23"/>
      <c r="V21" s="23"/>
      <c r="W21" s="225">
        <f>DATE('P Gerais'!$C$6,$W$7,Out!C21)</f>
        <v>42291</v>
      </c>
      <c r="X21" s="23">
        <f t="shared" si="4"/>
        <v>4</v>
      </c>
      <c r="Y21" s="23"/>
      <c r="Z21" s="23"/>
      <c r="AA21" s="23"/>
      <c r="AB21" s="23"/>
      <c r="AC21" s="23"/>
      <c r="AD21" s="27">
        <f t="shared" si="0"/>
        <v>0</v>
      </c>
      <c r="AE21" s="27">
        <f>VLOOKUP(D21,'P Gerais'!$C$23:$N$29,12,0)</f>
        <v>0</v>
      </c>
      <c r="AF21" s="27">
        <f t="shared" si="5"/>
        <v>0</v>
      </c>
      <c r="AG21" s="27">
        <f t="shared" si="6"/>
        <v>1</v>
      </c>
      <c r="AH21" s="27">
        <f t="shared" si="7"/>
        <v>0</v>
      </c>
      <c r="AI21" s="27">
        <f t="shared" si="8"/>
        <v>0</v>
      </c>
      <c r="AJ21" s="27">
        <f t="shared" si="9"/>
        <v>0</v>
      </c>
      <c r="AK21" s="27">
        <f t="shared" si="10"/>
        <v>0</v>
      </c>
      <c r="AL21" s="224">
        <f>VLOOKUP(D21,'P Gerais'!$C$23:$I$29,7,FALSE)</f>
        <v>0</v>
      </c>
      <c r="AM21" s="23"/>
      <c r="AN21" s="145"/>
      <c r="AO21" s="53"/>
      <c r="AP21" s="53"/>
      <c r="AQ21" s="2"/>
      <c r="AR21" s="2"/>
      <c r="AS21" s="53"/>
      <c r="AT21" s="53"/>
    </row>
    <row r="22" spans="1:46" customFormat="1" ht="15" customHeight="1" x14ac:dyDescent="0.2">
      <c r="A22" s="1"/>
      <c r="C22" s="59">
        <v>15</v>
      </c>
      <c r="D22" s="59" t="str">
        <f t="shared" si="1"/>
        <v>QUI</v>
      </c>
      <c r="E22" s="153" t="s">
        <v>191</v>
      </c>
      <c r="F22" s="62"/>
      <c r="G22" s="62"/>
      <c r="H22" s="62"/>
      <c r="I22" s="62"/>
      <c r="J22" s="10"/>
      <c r="K22" s="60">
        <f t="shared" si="2"/>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3"/>
        <v>0</v>
      </c>
      <c r="T22" s="133"/>
      <c r="U22" s="23"/>
      <c r="V22" s="23"/>
      <c r="W22" s="225">
        <f>DATE('P Gerais'!$C$6,$W$7,Out!C22)</f>
        <v>42292</v>
      </c>
      <c r="X22" s="23">
        <f t="shared" si="4"/>
        <v>5</v>
      </c>
      <c r="Y22" s="23"/>
      <c r="Z22" s="23"/>
      <c r="AA22" s="23"/>
      <c r="AB22" s="23"/>
      <c r="AC22" s="23"/>
      <c r="AD22" s="27">
        <f t="shared" si="0"/>
        <v>0</v>
      </c>
      <c r="AE22" s="27">
        <f>VLOOKUP(D22,'P Gerais'!$C$23:$N$29,12,0)</f>
        <v>0</v>
      </c>
      <c r="AF22" s="27">
        <f t="shared" si="5"/>
        <v>0</v>
      </c>
      <c r="AG22" s="27">
        <f t="shared" si="6"/>
        <v>1</v>
      </c>
      <c r="AH22" s="27">
        <f t="shared" si="7"/>
        <v>0</v>
      </c>
      <c r="AI22" s="27">
        <f>IF(F22=I22,$AF$7,IF(F22&lt;$AI$7,$AI$7-F22,$AF$7))</f>
        <v>0</v>
      </c>
      <c r="AJ22" s="27">
        <f>IF(F22=I22,$AF$7,IF(F22&gt;=$AJ$7,O22,$AF$7))</f>
        <v>0</v>
      </c>
      <c r="AK22" s="27">
        <f t="shared" si="10"/>
        <v>0</v>
      </c>
      <c r="AL22" s="224">
        <f>VLOOKUP(D22,'P Gerais'!$C$23:$I$29,7,FALSE)</f>
        <v>0</v>
      </c>
      <c r="AM22" s="23"/>
      <c r="AN22" s="145"/>
      <c r="AO22" s="53"/>
      <c r="AP22" s="53"/>
      <c r="AQ22" s="2"/>
      <c r="AR22" s="2"/>
      <c r="AS22" s="53"/>
      <c r="AT22" s="53"/>
    </row>
    <row r="23" spans="1:46" customFormat="1" ht="15" customHeight="1" x14ac:dyDescent="0.2">
      <c r="A23" s="1"/>
      <c r="C23" s="59">
        <v>16</v>
      </c>
      <c r="D23" s="59" t="str">
        <f t="shared" si="1"/>
        <v>SEX</v>
      </c>
      <c r="E23" s="153" t="s">
        <v>191</v>
      </c>
      <c r="F23" s="62"/>
      <c r="G23" s="62"/>
      <c r="H23" s="62"/>
      <c r="I23" s="62"/>
      <c r="J23" s="10"/>
      <c r="K23" s="60">
        <f t="shared" si="2"/>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3"/>
        <v>0</v>
      </c>
      <c r="Q23" s="178" t="s">
        <v>77</v>
      </c>
      <c r="R23" s="178"/>
      <c r="S23" s="178"/>
      <c r="T23" s="133"/>
      <c r="U23" s="23"/>
      <c r="V23" s="23"/>
      <c r="W23" s="225">
        <f>DATE('P Gerais'!$C$6,$W$7,Out!C23)</f>
        <v>42293</v>
      </c>
      <c r="X23" s="23">
        <f t="shared" si="4"/>
        <v>6</v>
      </c>
      <c r="Y23" s="23"/>
      <c r="Z23" s="23"/>
      <c r="AA23" s="23"/>
      <c r="AB23" s="23"/>
      <c r="AC23" s="23"/>
      <c r="AD23" s="27">
        <f t="shared" si="0"/>
        <v>0</v>
      </c>
      <c r="AE23" s="27">
        <f>VLOOKUP(D23,'P Gerais'!$C$23:$N$29,12,0)</f>
        <v>0</v>
      </c>
      <c r="AF23" s="27">
        <f t="shared" si="5"/>
        <v>0</v>
      </c>
      <c r="AG23" s="27">
        <f t="shared" si="6"/>
        <v>1</v>
      </c>
      <c r="AH23" s="27">
        <f t="shared" si="7"/>
        <v>0</v>
      </c>
      <c r="AI23" s="27">
        <f t="shared" si="8"/>
        <v>0</v>
      </c>
      <c r="AJ23" s="27">
        <f t="shared" ref="AJ23:AJ37" si="11">IF(F23=I23,$AF$7,IF(F23&gt;=$AJ$7,O23,$AF$7))</f>
        <v>0</v>
      </c>
      <c r="AK23" s="27">
        <f t="shared" si="10"/>
        <v>0</v>
      </c>
      <c r="AL23" s="224">
        <f>VLOOKUP(D23,'P Gerais'!$C$23:$I$29,7,FALSE)</f>
        <v>0</v>
      </c>
      <c r="AM23" s="23"/>
      <c r="AN23" s="145"/>
      <c r="AO23" s="53"/>
      <c r="AP23" s="53"/>
      <c r="AQ23" s="2"/>
      <c r="AR23" s="2"/>
      <c r="AS23" s="53"/>
      <c r="AT23" s="53"/>
    </row>
    <row r="24" spans="1:46" customFormat="1" ht="15" customHeight="1" x14ac:dyDescent="0.2">
      <c r="A24" s="1"/>
      <c r="C24" s="59">
        <v>17</v>
      </c>
      <c r="D24" s="59" t="str">
        <f t="shared" si="1"/>
        <v>SÁB</v>
      </c>
      <c r="E24" s="153" t="s">
        <v>191</v>
      </c>
      <c r="F24" s="62"/>
      <c r="G24" s="62"/>
      <c r="H24" s="62"/>
      <c r="I24" s="62"/>
      <c r="J24" s="10"/>
      <c r="K24" s="60">
        <f t="shared" si="2"/>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3"/>
        <v>0</v>
      </c>
      <c r="Q24" s="178"/>
      <c r="R24" s="178"/>
      <c r="S24" s="178"/>
      <c r="T24" s="133"/>
      <c r="U24" s="23"/>
      <c r="V24" s="23"/>
      <c r="W24" s="225">
        <f>DATE('P Gerais'!$C$6,$W$7,Out!C24)</f>
        <v>42294</v>
      </c>
      <c r="X24" s="23">
        <f t="shared" si="4"/>
        <v>7</v>
      </c>
      <c r="Y24" s="23"/>
      <c r="Z24" s="23"/>
      <c r="AA24" s="23"/>
      <c r="AB24" s="23"/>
      <c r="AC24" s="23"/>
      <c r="AD24" s="27">
        <f t="shared" si="0"/>
        <v>0</v>
      </c>
      <c r="AE24" s="27">
        <f>VLOOKUP(D24,'P Gerais'!$C$23:$N$29,12,0)</f>
        <v>0</v>
      </c>
      <c r="AF24" s="27">
        <f t="shared" si="5"/>
        <v>0</v>
      </c>
      <c r="AG24" s="27">
        <f t="shared" si="6"/>
        <v>1</v>
      </c>
      <c r="AH24" s="27">
        <f t="shared" si="7"/>
        <v>0</v>
      </c>
      <c r="AI24" s="27">
        <f t="shared" si="8"/>
        <v>0</v>
      </c>
      <c r="AJ24" s="27">
        <f t="shared" si="11"/>
        <v>0</v>
      </c>
      <c r="AK24" s="27">
        <f t="shared" si="10"/>
        <v>0</v>
      </c>
      <c r="AL24" s="224">
        <f>VLOOKUP(D24,'P Gerais'!$C$23:$I$29,7,FALSE)</f>
        <v>0</v>
      </c>
      <c r="AM24" s="23"/>
      <c r="AN24" s="145"/>
      <c r="AO24" s="53"/>
      <c r="AP24" s="53"/>
      <c r="AQ24" s="2"/>
      <c r="AR24" s="2"/>
      <c r="AS24" s="53"/>
      <c r="AT24" s="53"/>
    </row>
    <row r="25" spans="1:46" customFormat="1" ht="15" customHeight="1" x14ac:dyDescent="0.2">
      <c r="A25" s="1"/>
      <c r="C25" s="59">
        <v>18</v>
      </c>
      <c r="D25" s="59" t="str">
        <f t="shared" si="1"/>
        <v>DOM</v>
      </c>
      <c r="E25" s="153" t="s">
        <v>191</v>
      </c>
      <c r="F25" s="62"/>
      <c r="G25" s="62"/>
      <c r="H25" s="62"/>
      <c r="I25" s="62"/>
      <c r="J25" s="10"/>
      <c r="K25" s="60">
        <f t="shared" si="2"/>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3"/>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U25" s="23"/>
      <c r="V25" s="23"/>
      <c r="W25" s="225">
        <f>DATE('P Gerais'!$C$6,$W$7,Out!C25)</f>
        <v>42295</v>
      </c>
      <c r="X25" s="23">
        <f t="shared" si="4"/>
        <v>1</v>
      </c>
      <c r="Y25" s="23"/>
      <c r="Z25" s="23"/>
      <c r="AA25" s="23"/>
      <c r="AB25" s="23"/>
      <c r="AC25" s="23"/>
      <c r="AD25" s="27">
        <f t="shared" si="0"/>
        <v>0</v>
      </c>
      <c r="AE25" s="27">
        <f>VLOOKUP(D25,'P Gerais'!$C$23:$N$29,12,0)</f>
        <v>0</v>
      </c>
      <c r="AF25" s="27">
        <f t="shared" si="5"/>
        <v>0</v>
      </c>
      <c r="AG25" s="27">
        <f t="shared" si="6"/>
        <v>1</v>
      </c>
      <c r="AH25" s="27">
        <f t="shared" si="7"/>
        <v>0</v>
      </c>
      <c r="AI25" s="27">
        <f t="shared" si="8"/>
        <v>0</v>
      </c>
      <c r="AJ25" s="27">
        <f t="shared" si="11"/>
        <v>0</v>
      </c>
      <c r="AK25" s="27">
        <f t="shared" si="10"/>
        <v>0</v>
      </c>
      <c r="AL25" s="224">
        <f>VLOOKUP(D25,'P Gerais'!$C$23:$I$29,7,FALSE)</f>
        <v>0</v>
      </c>
      <c r="AM25" s="23"/>
      <c r="AN25" s="145"/>
      <c r="AO25" s="53"/>
      <c r="AP25" s="53"/>
      <c r="AQ25" s="2"/>
      <c r="AR25" s="2"/>
      <c r="AS25" s="53"/>
      <c r="AT25" s="53"/>
    </row>
    <row r="26" spans="1:46" customFormat="1" ht="15" customHeight="1" x14ac:dyDescent="0.2">
      <c r="A26" s="1"/>
      <c r="C26" s="59">
        <v>19</v>
      </c>
      <c r="D26" s="59" t="str">
        <f t="shared" si="1"/>
        <v>SEG</v>
      </c>
      <c r="E26" s="153" t="s">
        <v>191</v>
      </c>
      <c r="F26" s="62"/>
      <c r="G26" s="62"/>
      <c r="H26" s="62"/>
      <c r="I26" s="62"/>
      <c r="J26" s="10"/>
      <c r="K26" s="60">
        <f t="shared" si="2"/>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3"/>
        <v>0</v>
      </c>
      <c r="Q26" s="176"/>
      <c r="R26" s="176"/>
      <c r="S26" s="176"/>
      <c r="T26" s="133"/>
      <c r="U26" s="23"/>
      <c r="V26" s="23"/>
      <c r="W26" s="225">
        <f>DATE('P Gerais'!$C$6,$W$7,Out!C26)</f>
        <v>42296</v>
      </c>
      <c r="X26" s="23">
        <f t="shared" si="4"/>
        <v>2</v>
      </c>
      <c r="Y26" s="23"/>
      <c r="Z26" s="23"/>
      <c r="AA26" s="23"/>
      <c r="AB26" s="23"/>
      <c r="AC26" s="23"/>
      <c r="AD26" s="27">
        <f t="shared" si="0"/>
        <v>0</v>
      </c>
      <c r="AE26" s="27">
        <f>VLOOKUP(D26,'P Gerais'!$C$23:$N$29,12,0)</f>
        <v>0</v>
      </c>
      <c r="AF26" s="27">
        <f t="shared" si="5"/>
        <v>0</v>
      </c>
      <c r="AG26" s="27">
        <f t="shared" si="6"/>
        <v>1</v>
      </c>
      <c r="AH26" s="27">
        <f t="shared" si="7"/>
        <v>0</v>
      </c>
      <c r="AI26" s="27">
        <f t="shared" si="8"/>
        <v>0</v>
      </c>
      <c r="AJ26" s="27">
        <f t="shared" si="11"/>
        <v>0</v>
      </c>
      <c r="AK26" s="27">
        <f t="shared" si="10"/>
        <v>0</v>
      </c>
      <c r="AL26" s="224">
        <f>VLOOKUP(D26,'P Gerais'!$C$23:$I$29,7,FALSE)</f>
        <v>0</v>
      </c>
      <c r="AM26" s="23"/>
      <c r="AN26" s="145"/>
      <c r="AO26" s="53"/>
      <c r="AP26" s="53"/>
      <c r="AQ26" s="2"/>
      <c r="AR26" s="2"/>
      <c r="AS26" s="53"/>
      <c r="AT26" s="53"/>
    </row>
    <row r="27" spans="1:46" customFormat="1" ht="15" customHeight="1" x14ac:dyDescent="0.2">
      <c r="A27" s="1"/>
      <c r="C27" s="59">
        <v>20</v>
      </c>
      <c r="D27" s="59" t="str">
        <f t="shared" si="1"/>
        <v>TER</v>
      </c>
      <c r="E27" s="153" t="s">
        <v>191</v>
      </c>
      <c r="F27" s="62"/>
      <c r="G27" s="62"/>
      <c r="H27" s="62"/>
      <c r="I27" s="62"/>
      <c r="J27" s="10"/>
      <c r="K27" s="60">
        <f t="shared" si="2"/>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3"/>
        <v>0</v>
      </c>
      <c r="Q27" s="176"/>
      <c r="R27" s="176"/>
      <c r="S27" s="176"/>
      <c r="T27" s="133"/>
      <c r="U27" s="23"/>
      <c r="V27" s="23"/>
      <c r="W27" s="225">
        <f>DATE('P Gerais'!$C$6,$W$7,Out!C27)</f>
        <v>42297</v>
      </c>
      <c r="X27" s="23">
        <f t="shared" si="4"/>
        <v>3</v>
      </c>
      <c r="Y27" s="23"/>
      <c r="Z27" s="23"/>
      <c r="AA27" s="23"/>
      <c r="AB27" s="23"/>
      <c r="AC27" s="23"/>
      <c r="AD27" s="27">
        <f t="shared" si="0"/>
        <v>0</v>
      </c>
      <c r="AE27" s="27">
        <f>VLOOKUP(D27,'P Gerais'!$C$23:$N$29,12,0)</f>
        <v>0</v>
      </c>
      <c r="AF27" s="27">
        <f t="shared" si="5"/>
        <v>0</v>
      </c>
      <c r="AG27" s="27">
        <f t="shared" si="6"/>
        <v>1</v>
      </c>
      <c r="AH27" s="27">
        <f t="shared" si="7"/>
        <v>0</v>
      </c>
      <c r="AI27" s="27">
        <f t="shared" si="8"/>
        <v>0</v>
      </c>
      <c r="AJ27" s="27">
        <f t="shared" si="11"/>
        <v>0</v>
      </c>
      <c r="AK27" s="27">
        <f t="shared" si="10"/>
        <v>0</v>
      </c>
      <c r="AL27" s="224">
        <f>VLOOKUP(D27,'P Gerais'!$C$23:$I$29,7,FALSE)</f>
        <v>0</v>
      </c>
      <c r="AM27" s="23"/>
      <c r="AN27" s="145"/>
      <c r="AO27" s="53"/>
      <c r="AP27" s="53"/>
      <c r="AQ27" s="2"/>
      <c r="AR27" s="2"/>
      <c r="AS27" s="53"/>
      <c r="AT27" s="53"/>
    </row>
    <row r="28" spans="1:46" customFormat="1" ht="15" customHeight="1" x14ac:dyDescent="0.2">
      <c r="A28" s="1"/>
      <c r="C28" s="59">
        <v>21</v>
      </c>
      <c r="D28" s="59" t="str">
        <f t="shared" si="1"/>
        <v>QUA</v>
      </c>
      <c r="E28" s="153" t="s">
        <v>191</v>
      </c>
      <c r="F28" s="62"/>
      <c r="G28" s="62"/>
      <c r="H28" s="62"/>
      <c r="I28" s="62"/>
      <c r="J28" s="10"/>
      <c r="K28" s="60">
        <f t="shared" si="2"/>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3"/>
        <v>0</v>
      </c>
      <c r="Q28" s="176"/>
      <c r="R28" s="176"/>
      <c r="S28" s="176"/>
      <c r="T28" s="133"/>
      <c r="U28" s="23"/>
      <c r="V28" s="23"/>
      <c r="W28" s="225">
        <f>DATE('P Gerais'!$C$6,$W$7,Out!C28)</f>
        <v>42298</v>
      </c>
      <c r="X28" s="23">
        <f t="shared" si="4"/>
        <v>4</v>
      </c>
      <c r="Y28" s="23"/>
      <c r="Z28" s="23"/>
      <c r="AA28" s="23"/>
      <c r="AB28" s="23"/>
      <c r="AC28" s="23"/>
      <c r="AD28" s="27">
        <f t="shared" si="0"/>
        <v>0</v>
      </c>
      <c r="AE28" s="27">
        <f>VLOOKUP(D28,'P Gerais'!$C$23:$N$29,12,0)</f>
        <v>0</v>
      </c>
      <c r="AF28" s="27">
        <f t="shared" si="5"/>
        <v>0</v>
      </c>
      <c r="AG28" s="27">
        <f t="shared" si="6"/>
        <v>1</v>
      </c>
      <c r="AH28" s="27">
        <f t="shared" si="7"/>
        <v>0</v>
      </c>
      <c r="AI28" s="27">
        <f t="shared" si="8"/>
        <v>0</v>
      </c>
      <c r="AJ28" s="27">
        <f t="shared" si="11"/>
        <v>0</v>
      </c>
      <c r="AK28" s="27">
        <f t="shared" si="10"/>
        <v>0</v>
      </c>
      <c r="AL28" s="224">
        <f>VLOOKUP(D28,'P Gerais'!$C$23:$I$29,7,FALSE)</f>
        <v>0</v>
      </c>
      <c r="AM28" s="23"/>
      <c r="AN28" s="145"/>
      <c r="AO28" s="53"/>
      <c r="AP28" s="53"/>
      <c r="AQ28" s="2"/>
      <c r="AR28" s="2"/>
      <c r="AS28" s="53"/>
      <c r="AT28" s="53"/>
    </row>
    <row r="29" spans="1:46" customFormat="1" ht="15" customHeight="1" x14ac:dyDescent="0.2">
      <c r="A29" s="1"/>
      <c r="C29" s="59">
        <v>22</v>
      </c>
      <c r="D29" s="59" t="str">
        <f t="shared" si="1"/>
        <v>QUI</v>
      </c>
      <c r="E29" s="153" t="s">
        <v>191</v>
      </c>
      <c r="F29" s="62"/>
      <c r="G29" s="62"/>
      <c r="H29" s="62"/>
      <c r="I29" s="62"/>
      <c r="J29" s="10"/>
      <c r="K29" s="60">
        <f t="shared" si="2"/>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3"/>
        <v>0</v>
      </c>
      <c r="Q29" s="176"/>
      <c r="R29" s="176"/>
      <c r="S29" s="176"/>
      <c r="T29" s="133"/>
      <c r="U29" s="23"/>
      <c r="V29" s="23"/>
      <c r="W29" s="225">
        <f>DATE('P Gerais'!$C$6,$W$7,Out!C29)</f>
        <v>42299</v>
      </c>
      <c r="X29" s="23">
        <f t="shared" si="4"/>
        <v>5</v>
      </c>
      <c r="Y29" s="23"/>
      <c r="Z29" s="23"/>
      <c r="AA29" s="23"/>
      <c r="AB29" s="23"/>
      <c r="AC29" s="23"/>
      <c r="AD29" s="27">
        <f t="shared" si="0"/>
        <v>0</v>
      </c>
      <c r="AE29" s="27">
        <f>VLOOKUP(D29,'P Gerais'!$C$23:$N$29,12,0)</f>
        <v>0</v>
      </c>
      <c r="AF29" s="27">
        <f t="shared" si="5"/>
        <v>0</v>
      </c>
      <c r="AG29" s="27">
        <f t="shared" si="6"/>
        <v>1</v>
      </c>
      <c r="AH29" s="27">
        <f t="shared" si="7"/>
        <v>0</v>
      </c>
      <c r="AI29" s="27">
        <f t="shared" si="8"/>
        <v>0</v>
      </c>
      <c r="AJ29" s="27">
        <f t="shared" si="11"/>
        <v>0</v>
      </c>
      <c r="AK29" s="27">
        <f t="shared" si="10"/>
        <v>0</v>
      </c>
      <c r="AL29" s="224">
        <f>VLOOKUP(D29,'P Gerais'!$C$23:$I$29,7,FALSE)</f>
        <v>0</v>
      </c>
      <c r="AM29" s="23"/>
      <c r="AN29" s="145"/>
      <c r="AO29" s="53"/>
      <c r="AP29" s="53"/>
      <c r="AQ29" s="2"/>
      <c r="AR29" s="2"/>
      <c r="AS29" s="53"/>
      <c r="AT29" s="53"/>
    </row>
    <row r="30" spans="1:46" customFormat="1" ht="15" customHeight="1" x14ac:dyDescent="0.2">
      <c r="A30" s="1"/>
      <c r="C30" s="59">
        <v>23</v>
      </c>
      <c r="D30" s="59" t="str">
        <f t="shared" si="1"/>
        <v>SEX</v>
      </c>
      <c r="E30" s="153" t="s">
        <v>191</v>
      </c>
      <c r="F30" s="62"/>
      <c r="G30" s="62"/>
      <c r="H30" s="62"/>
      <c r="I30" s="62"/>
      <c r="J30" s="10"/>
      <c r="K30" s="60">
        <f t="shared" si="2"/>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3"/>
        <v>0</v>
      </c>
      <c r="Q30" s="176"/>
      <c r="R30" s="176"/>
      <c r="S30" s="176"/>
      <c r="T30" s="133"/>
      <c r="U30" s="23"/>
      <c r="V30" s="23"/>
      <c r="W30" s="225">
        <f>DATE('P Gerais'!$C$6,$W$7,Out!C30)</f>
        <v>42300</v>
      </c>
      <c r="X30" s="23">
        <f t="shared" si="4"/>
        <v>6</v>
      </c>
      <c r="Y30" s="23"/>
      <c r="Z30" s="23"/>
      <c r="AA30" s="23"/>
      <c r="AB30" s="23"/>
      <c r="AC30" s="23"/>
      <c r="AD30" s="27">
        <f t="shared" si="0"/>
        <v>0</v>
      </c>
      <c r="AE30" s="27">
        <f>VLOOKUP(D30,'P Gerais'!$C$23:$N$29,12,0)</f>
        <v>0</v>
      </c>
      <c r="AF30" s="27">
        <f t="shared" si="5"/>
        <v>0</v>
      </c>
      <c r="AG30" s="27">
        <f t="shared" si="6"/>
        <v>1</v>
      </c>
      <c r="AH30" s="27">
        <f t="shared" si="7"/>
        <v>0</v>
      </c>
      <c r="AI30" s="27">
        <f t="shared" si="8"/>
        <v>0</v>
      </c>
      <c r="AJ30" s="27">
        <f t="shared" si="11"/>
        <v>0</v>
      </c>
      <c r="AK30" s="27">
        <f t="shared" si="10"/>
        <v>0</v>
      </c>
      <c r="AL30" s="224">
        <f>VLOOKUP(D30,'P Gerais'!$C$23:$I$29,7,FALSE)</f>
        <v>0</v>
      </c>
      <c r="AM30" s="23"/>
      <c r="AN30" s="145"/>
      <c r="AO30" s="53"/>
      <c r="AP30" s="53"/>
      <c r="AQ30" s="2"/>
      <c r="AR30" s="2"/>
      <c r="AS30" s="53"/>
      <c r="AT30" s="53"/>
    </row>
    <row r="31" spans="1:46" customFormat="1" ht="15" customHeight="1" x14ac:dyDescent="0.2">
      <c r="A31" s="1"/>
      <c r="C31" s="59">
        <v>24</v>
      </c>
      <c r="D31" s="59" t="str">
        <f t="shared" si="1"/>
        <v>SÁB</v>
      </c>
      <c r="E31" s="153" t="s">
        <v>191</v>
      </c>
      <c r="F31" s="62"/>
      <c r="G31" s="62"/>
      <c r="H31" s="62"/>
      <c r="I31" s="62"/>
      <c r="J31" s="10"/>
      <c r="K31" s="60">
        <f t="shared" si="2"/>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3"/>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T31" s="133"/>
      <c r="U31" s="23"/>
      <c r="V31" s="23"/>
      <c r="W31" s="225">
        <f>DATE('P Gerais'!$C$6,$W$7,Out!C31)</f>
        <v>42301</v>
      </c>
      <c r="X31" s="23">
        <f t="shared" si="4"/>
        <v>7</v>
      </c>
      <c r="Y31" s="23"/>
      <c r="Z31" s="23"/>
      <c r="AA31" s="23"/>
      <c r="AB31" s="23"/>
      <c r="AC31" s="23"/>
      <c r="AD31" s="27">
        <f t="shared" si="0"/>
        <v>0</v>
      </c>
      <c r="AE31" s="27">
        <f>VLOOKUP(D31,'P Gerais'!$C$23:$N$29,12,0)</f>
        <v>0</v>
      </c>
      <c r="AF31" s="27">
        <f t="shared" si="5"/>
        <v>0</v>
      </c>
      <c r="AG31" s="27">
        <f t="shared" si="6"/>
        <v>1</v>
      </c>
      <c r="AH31" s="27">
        <f t="shared" si="7"/>
        <v>0</v>
      </c>
      <c r="AI31" s="27">
        <f t="shared" si="8"/>
        <v>0</v>
      </c>
      <c r="AJ31" s="27">
        <f t="shared" si="11"/>
        <v>0</v>
      </c>
      <c r="AK31" s="27">
        <f t="shared" si="10"/>
        <v>0</v>
      </c>
      <c r="AL31" s="224">
        <f>VLOOKUP(D31,'P Gerais'!$C$23:$I$29,7,FALSE)</f>
        <v>0</v>
      </c>
      <c r="AM31" s="23"/>
      <c r="AN31" s="145"/>
      <c r="AO31" s="53"/>
      <c r="AP31" s="53"/>
      <c r="AQ31" s="2"/>
      <c r="AR31" s="2"/>
      <c r="AS31" s="53"/>
      <c r="AT31" s="53"/>
    </row>
    <row r="32" spans="1:46" customFormat="1" ht="15" customHeight="1" x14ac:dyDescent="0.2">
      <c r="A32" s="1"/>
      <c r="C32" s="59">
        <v>25</v>
      </c>
      <c r="D32" s="59" t="str">
        <f t="shared" si="1"/>
        <v>DOM</v>
      </c>
      <c r="E32" s="153" t="s">
        <v>191</v>
      </c>
      <c r="F32" s="62"/>
      <c r="G32" s="62"/>
      <c r="H32" s="62"/>
      <c r="I32" s="62"/>
      <c r="J32" s="10"/>
      <c r="K32" s="60">
        <f t="shared" si="2"/>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3"/>
        <v>0</v>
      </c>
      <c r="Q32" s="176"/>
      <c r="R32" s="176"/>
      <c r="S32" s="176"/>
      <c r="T32" s="133"/>
      <c r="U32" s="23"/>
      <c r="V32" s="23"/>
      <c r="W32" s="225">
        <f>DATE('P Gerais'!$C$6,$W$7,Out!C32)</f>
        <v>42302</v>
      </c>
      <c r="X32" s="23">
        <f t="shared" si="4"/>
        <v>1</v>
      </c>
      <c r="Y32" s="23"/>
      <c r="Z32" s="23"/>
      <c r="AA32" s="23"/>
      <c r="AB32" s="23"/>
      <c r="AC32" s="23"/>
      <c r="AD32" s="27">
        <f t="shared" si="0"/>
        <v>0</v>
      </c>
      <c r="AE32" s="27">
        <f>VLOOKUP(D32,'P Gerais'!$C$23:$N$29,12,0)</f>
        <v>0</v>
      </c>
      <c r="AF32" s="27">
        <f t="shared" si="5"/>
        <v>0</v>
      </c>
      <c r="AG32" s="27">
        <f t="shared" si="6"/>
        <v>1</v>
      </c>
      <c r="AH32" s="27">
        <f t="shared" si="7"/>
        <v>0</v>
      </c>
      <c r="AI32" s="27">
        <f t="shared" si="8"/>
        <v>0</v>
      </c>
      <c r="AJ32" s="27">
        <f t="shared" si="11"/>
        <v>0</v>
      </c>
      <c r="AK32" s="27">
        <f t="shared" si="10"/>
        <v>0</v>
      </c>
      <c r="AL32" s="224">
        <f>VLOOKUP(D32,'P Gerais'!$C$23:$I$29,7,FALSE)</f>
        <v>0</v>
      </c>
      <c r="AM32" s="23"/>
      <c r="AN32" s="145"/>
      <c r="AO32" s="53"/>
      <c r="AP32" s="53"/>
      <c r="AQ32" s="2"/>
      <c r="AR32" s="2"/>
      <c r="AS32" s="53"/>
      <c r="AT32" s="53"/>
    </row>
    <row r="33" spans="1:46" customFormat="1" ht="15" customHeight="1" x14ac:dyDescent="0.2">
      <c r="A33" s="1"/>
      <c r="C33" s="59">
        <v>26</v>
      </c>
      <c r="D33" s="59" t="str">
        <f t="shared" si="1"/>
        <v>SEG</v>
      </c>
      <c r="E33" s="153" t="s">
        <v>191</v>
      </c>
      <c r="F33" s="62"/>
      <c r="G33" s="62"/>
      <c r="H33" s="62"/>
      <c r="I33" s="62"/>
      <c r="J33" s="10"/>
      <c r="K33" s="60">
        <f t="shared" si="2"/>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3"/>
        <v>0</v>
      </c>
      <c r="Q33" s="176"/>
      <c r="R33" s="176"/>
      <c r="S33" s="176"/>
      <c r="T33" s="133"/>
      <c r="U33" s="23"/>
      <c r="V33" s="23"/>
      <c r="W33" s="225">
        <f>DATE('P Gerais'!$C$6,$W$7,Out!C33)</f>
        <v>42303</v>
      </c>
      <c r="X33" s="23">
        <f t="shared" si="4"/>
        <v>2</v>
      </c>
      <c r="Y33" s="23"/>
      <c r="Z33" s="23"/>
      <c r="AA33" s="23"/>
      <c r="AB33" s="23"/>
      <c r="AC33" s="23"/>
      <c r="AD33" s="27">
        <f t="shared" si="0"/>
        <v>0</v>
      </c>
      <c r="AE33" s="27">
        <f>VLOOKUP(D33,'P Gerais'!$C$23:$N$29,12,0)</f>
        <v>0</v>
      </c>
      <c r="AF33" s="27">
        <f t="shared" si="5"/>
        <v>0</v>
      </c>
      <c r="AG33" s="27">
        <f t="shared" si="6"/>
        <v>1</v>
      </c>
      <c r="AH33" s="27">
        <f t="shared" si="7"/>
        <v>0</v>
      </c>
      <c r="AI33" s="27">
        <f t="shared" si="8"/>
        <v>0</v>
      </c>
      <c r="AJ33" s="27">
        <f t="shared" si="11"/>
        <v>0</v>
      </c>
      <c r="AK33" s="27">
        <f t="shared" si="10"/>
        <v>0</v>
      </c>
      <c r="AL33" s="224">
        <f>VLOOKUP(D33,'P Gerais'!$C$23:$I$29,7,FALSE)</f>
        <v>0</v>
      </c>
      <c r="AM33" s="23"/>
      <c r="AN33" s="145"/>
      <c r="AO33" s="53"/>
      <c r="AP33" s="53"/>
      <c r="AQ33" s="2"/>
      <c r="AR33" s="2"/>
      <c r="AS33" s="53"/>
      <c r="AT33" s="53"/>
    </row>
    <row r="34" spans="1:46" customFormat="1" ht="15" customHeight="1" x14ac:dyDescent="0.2">
      <c r="A34" s="1"/>
      <c r="C34" s="59">
        <v>27</v>
      </c>
      <c r="D34" s="59" t="str">
        <f t="shared" si="1"/>
        <v>TER</v>
      </c>
      <c r="E34" s="153" t="s">
        <v>191</v>
      </c>
      <c r="F34" s="62"/>
      <c r="G34" s="62"/>
      <c r="H34" s="62"/>
      <c r="I34" s="62"/>
      <c r="J34" s="10"/>
      <c r="K34" s="60">
        <f t="shared" si="2"/>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3"/>
        <v>0</v>
      </c>
      <c r="Q34" s="176"/>
      <c r="R34" s="176"/>
      <c r="S34" s="176"/>
      <c r="T34" s="133"/>
      <c r="U34" s="23"/>
      <c r="V34" s="23"/>
      <c r="W34" s="225">
        <f>DATE('P Gerais'!$C$6,$W$7,Out!C34)</f>
        <v>42304</v>
      </c>
      <c r="X34" s="23">
        <f t="shared" si="4"/>
        <v>3</v>
      </c>
      <c r="Y34" s="23"/>
      <c r="Z34" s="23"/>
      <c r="AA34" s="23"/>
      <c r="AB34" s="23"/>
      <c r="AC34" s="23"/>
      <c r="AD34" s="27">
        <f t="shared" si="0"/>
        <v>0</v>
      </c>
      <c r="AE34" s="27">
        <f>VLOOKUP(D34,'P Gerais'!$C$23:$N$29,12,0)</f>
        <v>0</v>
      </c>
      <c r="AF34" s="27">
        <f t="shared" si="5"/>
        <v>0</v>
      </c>
      <c r="AG34" s="27">
        <f t="shared" si="6"/>
        <v>1</v>
      </c>
      <c r="AH34" s="27">
        <f t="shared" si="7"/>
        <v>0</v>
      </c>
      <c r="AI34" s="27">
        <f t="shared" si="8"/>
        <v>0</v>
      </c>
      <c r="AJ34" s="27">
        <f t="shared" si="11"/>
        <v>0</v>
      </c>
      <c r="AK34" s="27">
        <f t="shared" si="10"/>
        <v>0</v>
      </c>
      <c r="AL34" s="224">
        <f>VLOOKUP(D34,'P Gerais'!$C$23:$I$29,7,FALSE)</f>
        <v>0</v>
      </c>
      <c r="AM34" s="23"/>
      <c r="AN34" s="145"/>
      <c r="AO34" s="53"/>
      <c r="AP34" s="53"/>
      <c r="AQ34" s="2"/>
      <c r="AR34" s="2"/>
      <c r="AS34" s="53"/>
      <c r="AT34" s="53"/>
    </row>
    <row r="35" spans="1:46" customFormat="1" ht="15" customHeight="1" x14ac:dyDescent="0.2">
      <c r="A35" s="1"/>
      <c r="C35" s="59">
        <v>28</v>
      </c>
      <c r="D35" s="59" t="str">
        <f t="shared" si="1"/>
        <v>QUA</v>
      </c>
      <c r="E35" s="153" t="s">
        <v>191</v>
      </c>
      <c r="F35" s="62"/>
      <c r="G35" s="62"/>
      <c r="H35" s="62"/>
      <c r="I35" s="62"/>
      <c r="J35" s="10"/>
      <c r="K35" s="60">
        <f t="shared" si="2"/>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3"/>
        <v>0</v>
      </c>
      <c r="Q35" s="176"/>
      <c r="R35" s="176"/>
      <c r="S35" s="176"/>
      <c r="T35" s="133"/>
      <c r="U35" s="23"/>
      <c r="V35" s="23"/>
      <c r="W35" s="225">
        <f>DATE('P Gerais'!$C$6,$W$7,Out!C35)</f>
        <v>42305</v>
      </c>
      <c r="X35" s="23">
        <f t="shared" si="4"/>
        <v>4</v>
      </c>
      <c r="Y35" s="23"/>
      <c r="Z35" s="23"/>
      <c r="AA35" s="23"/>
      <c r="AB35" s="23"/>
      <c r="AC35" s="23"/>
      <c r="AD35" s="27">
        <f t="shared" si="0"/>
        <v>0</v>
      </c>
      <c r="AE35" s="27">
        <f>VLOOKUP(D35,'P Gerais'!$C$23:$N$29,12,0)</f>
        <v>0</v>
      </c>
      <c r="AF35" s="27">
        <f t="shared" si="5"/>
        <v>0</v>
      </c>
      <c r="AG35" s="27">
        <f t="shared" si="6"/>
        <v>1</v>
      </c>
      <c r="AH35" s="27">
        <f t="shared" si="7"/>
        <v>0</v>
      </c>
      <c r="AI35" s="27">
        <f t="shared" si="8"/>
        <v>0</v>
      </c>
      <c r="AJ35" s="27">
        <f t="shared" si="11"/>
        <v>0</v>
      </c>
      <c r="AK35" s="27">
        <f t="shared" si="10"/>
        <v>0</v>
      </c>
      <c r="AL35" s="224">
        <f>VLOOKUP(D35,'P Gerais'!$C$23:$I$29,7,FALSE)</f>
        <v>0</v>
      </c>
      <c r="AM35" s="23"/>
      <c r="AN35" s="145"/>
      <c r="AO35" s="53"/>
      <c r="AP35" s="53"/>
      <c r="AQ35" s="2"/>
      <c r="AR35" s="2"/>
      <c r="AS35" s="53"/>
      <c r="AT35" s="53"/>
    </row>
    <row r="36" spans="1:46" customFormat="1" ht="15" customHeight="1" x14ac:dyDescent="0.2">
      <c r="A36" s="1"/>
      <c r="C36" s="59">
        <v>29</v>
      </c>
      <c r="D36" s="59" t="str">
        <f t="shared" si="1"/>
        <v>QUI</v>
      </c>
      <c r="E36" s="153" t="s">
        <v>191</v>
      </c>
      <c r="F36" s="62"/>
      <c r="G36" s="62"/>
      <c r="H36" s="62"/>
      <c r="I36" s="62"/>
      <c r="J36" s="10"/>
      <c r="K36" s="60">
        <f t="shared" si="2"/>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3"/>
        <v>0</v>
      </c>
      <c r="Q36" s="176"/>
      <c r="R36" s="176"/>
      <c r="S36" s="176"/>
      <c r="T36" s="133"/>
      <c r="U36" s="23"/>
      <c r="V36" s="23"/>
      <c r="W36" s="225">
        <f>DATE('P Gerais'!$C$6,$W$7,Out!C36)</f>
        <v>42306</v>
      </c>
      <c r="X36" s="23">
        <f t="shared" si="4"/>
        <v>5</v>
      </c>
      <c r="Y36" s="23"/>
      <c r="Z36" s="23"/>
      <c r="AA36" s="23"/>
      <c r="AB36" s="23"/>
      <c r="AC36" s="23"/>
      <c r="AD36" s="27">
        <f t="shared" si="0"/>
        <v>0</v>
      </c>
      <c r="AE36" s="27">
        <f>VLOOKUP(D36,'P Gerais'!$C$23:$N$29,12,0)</f>
        <v>0</v>
      </c>
      <c r="AF36" s="27">
        <f t="shared" si="5"/>
        <v>0</v>
      </c>
      <c r="AG36" s="27">
        <f t="shared" si="6"/>
        <v>1</v>
      </c>
      <c r="AH36" s="27">
        <f t="shared" si="7"/>
        <v>0</v>
      </c>
      <c r="AI36" s="27">
        <f t="shared" si="8"/>
        <v>0</v>
      </c>
      <c r="AJ36" s="27">
        <f t="shared" si="11"/>
        <v>0</v>
      </c>
      <c r="AK36" s="27">
        <f t="shared" si="10"/>
        <v>0</v>
      </c>
      <c r="AL36" s="224">
        <f>VLOOKUP(D36,'P Gerais'!$C$23:$I$29,7,FALSE)</f>
        <v>0</v>
      </c>
      <c r="AM36" s="23"/>
      <c r="AN36" s="145"/>
      <c r="AO36" s="53"/>
      <c r="AP36" s="53"/>
      <c r="AQ36" s="2"/>
      <c r="AR36" s="2"/>
      <c r="AS36" s="53"/>
      <c r="AT36" s="53"/>
    </row>
    <row r="37" spans="1:46" customFormat="1" ht="15" customHeight="1" x14ac:dyDescent="0.2">
      <c r="A37" s="1"/>
      <c r="C37" s="59">
        <v>30</v>
      </c>
      <c r="D37" s="59" t="str">
        <f t="shared" si="1"/>
        <v>SEX</v>
      </c>
      <c r="E37" s="153" t="s">
        <v>191</v>
      </c>
      <c r="F37" s="62"/>
      <c r="G37" s="62"/>
      <c r="H37" s="62"/>
      <c r="I37" s="62"/>
      <c r="J37" s="10"/>
      <c r="K37" s="60">
        <f t="shared" si="2"/>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3"/>
        <v>0</v>
      </c>
      <c r="T37" s="133"/>
      <c r="U37" s="23"/>
      <c r="V37" s="23"/>
      <c r="W37" s="225">
        <f>DATE('P Gerais'!$C$6,$W$7,Out!C37)</f>
        <v>42307</v>
      </c>
      <c r="X37" s="23">
        <f t="shared" si="4"/>
        <v>6</v>
      </c>
      <c r="Y37" s="23"/>
      <c r="Z37" s="23"/>
      <c r="AA37" s="23"/>
      <c r="AB37" s="23"/>
      <c r="AC37" s="23"/>
      <c r="AD37" s="27">
        <f t="shared" si="0"/>
        <v>0</v>
      </c>
      <c r="AE37" s="27">
        <f>VLOOKUP(D37,'P Gerais'!$C$23:$N$29,12,0)</f>
        <v>0</v>
      </c>
      <c r="AF37" s="27">
        <f t="shared" si="5"/>
        <v>0</v>
      </c>
      <c r="AG37" s="27">
        <f t="shared" si="6"/>
        <v>1</v>
      </c>
      <c r="AH37" s="27">
        <f t="shared" si="7"/>
        <v>0</v>
      </c>
      <c r="AI37" s="27">
        <f t="shared" si="8"/>
        <v>0</v>
      </c>
      <c r="AJ37" s="27">
        <f t="shared" si="11"/>
        <v>0</v>
      </c>
      <c r="AK37" s="27">
        <f t="shared" si="10"/>
        <v>0</v>
      </c>
      <c r="AL37" s="224">
        <f>VLOOKUP(D37,'P Gerais'!$C$23:$I$29,7,FALSE)</f>
        <v>0</v>
      </c>
      <c r="AM37" s="23"/>
      <c r="AN37" s="145"/>
      <c r="AO37" s="53"/>
      <c r="AP37" s="53"/>
      <c r="AQ37" s="2"/>
      <c r="AR37" s="2"/>
      <c r="AS37" s="53"/>
      <c r="AT37" s="53"/>
    </row>
    <row r="38" spans="1:46" customFormat="1" ht="15" customHeight="1" x14ac:dyDescent="0.2">
      <c r="A38" s="1"/>
      <c r="C38" s="59">
        <v>31</v>
      </c>
      <c r="D38" s="59" t="str">
        <f t="shared" si="1"/>
        <v>SÁB</v>
      </c>
      <c r="E38" s="153" t="s">
        <v>191</v>
      </c>
      <c r="F38" s="62"/>
      <c r="G38" s="62"/>
      <c r="H38" s="62"/>
      <c r="I38" s="62"/>
      <c r="J38" s="10"/>
      <c r="K38" s="60">
        <f t="shared" si="2"/>
        <v>0</v>
      </c>
      <c r="L38" s="51"/>
      <c r="M38" s="60">
        <f>IF(E38="Falta Justificada",0,IF(E38="Feriado",0,IF(E38="Folga(DSR)",0,IF(VLOOKUP(D38,'P Gerais'!$C$23:$M$29,11,0)-K38&gt;0,VLOOKUP(D38,'P Gerais'!$C$23:$M$29,11,0)-K38,0))))</f>
        <v>0</v>
      </c>
      <c r="N38" s="51"/>
      <c r="O38" s="60">
        <f>IF(E38="Feriado",IF(F38&gt;I38,(I38+1-F38)-(H38-G38),(I38-F38)-(H38-G38)),IF(E38="Folga(DSR)",IF(F38&gt;I38,(I38+1-F38)-(H38-G38),(I38-F38)-(H38-G38)),IF(E38="Falta Justificada",IF(F38&gt;I38,(I38+1-F38)-(H38-G38),(I38-F38)-(H38-G38)),IF(VLOOKUP(D38,'P Gerais'!$C$23:$M$29,11,0)-K38&lt;0,ABS(VLOOKUP(D38,'P Gerais'!$C$23:$M$29,11,0)-K38),0))))</f>
        <v>0</v>
      </c>
      <c r="P38" s="2">
        <f t="shared" si="3"/>
        <v>0</v>
      </c>
      <c r="T38" s="133"/>
      <c r="U38" s="23"/>
      <c r="V38" s="23"/>
      <c r="W38" s="225">
        <f>DATE('P Gerais'!$C$6,$W$7,Out!C38)</f>
        <v>42308</v>
      </c>
      <c r="X38" s="23">
        <f t="shared" si="4"/>
        <v>7</v>
      </c>
      <c r="Y38" s="23"/>
      <c r="Z38" s="23"/>
      <c r="AA38" s="23"/>
      <c r="AB38" s="23"/>
      <c r="AC38" s="23"/>
      <c r="AD38" s="27">
        <f t="shared" ref="AD38" si="12">H38-G38</f>
        <v>0</v>
      </c>
      <c r="AE38" s="27">
        <f>VLOOKUP(D38,'P Gerais'!$C$23:$N$29,12,0)</f>
        <v>0</v>
      </c>
      <c r="AF38" s="27">
        <f t="shared" ref="AF38" si="13">IF(AE38-AD38&lt;0,0,IF(OR(G38="",G38=0),0,AE38-AD38))</f>
        <v>0</v>
      </c>
      <c r="AG38" s="27">
        <f t="shared" ref="AG38" si="14">($AG$7-I38)+F38</f>
        <v>1</v>
      </c>
      <c r="AH38" s="27">
        <f t="shared" ref="AH38" si="15">IF(AG38&lt;$AH$7,$AH$7-AG38,$AF$7)</f>
        <v>0</v>
      </c>
      <c r="AI38" s="27">
        <f t="shared" ref="AI38" si="16">IF(F38=I38,$AF$7,IF(F38&lt;$AI$7,$AI$7-F38,$AF$7))</f>
        <v>0</v>
      </c>
      <c r="AJ38" s="27">
        <f t="shared" ref="AJ38" si="17">IF(F38=I38,$AF$7,IF(F38&gt;=$AJ$7,O38,$AF$7))</f>
        <v>0</v>
      </c>
      <c r="AK38" s="27">
        <f t="shared" ref="AK38" si="18">IF(AND(I38&gt;$AK$7,I38&gt;AL38),I38-AL38,$AF$7)</f>
        <v>0</v>
      </c>
      <c r="AL38" s="224">
        <f>VLOOKUP(D38,'P Gerais'!$C$23:$I$29,7,FALSE)</f>
        <v>0</v>
      </c>
      <c r="AM38" s="23"/>
      <c r="AN38" s="145"/>
      <c r="AO38" s="53"/>
      <c r="AP38" s="53"/>
      <c r="AQ38" s="2"/>
      <c r="AR38" s="2"/>
      <c r="AS38" s="53"/>
      <c r="AT38" s="53"/>
    </row>
    <row r="39" spans="1:46"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6" s="2" customFormat="1" ht="30" customHeight="1" x14ac:dyDescent="0.2">
      <c r="A40" s="9"/>
      <c r="C40" s="23"/>
      <c r="D40" s="23"/>
      <c r="E40" s="23"/>
      <c r="F40" s="28"/>
      <c r="G40" s="24">
        <v>4.1666666666666664E-2</v>
      </c>
      <c r="H40" s="2">
        <f>'P Gerais'!L17+'P Gerais'!L17*'P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6"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6" s="2" customFormat="1" ht="30" customHeight="1" x14ac:dyDescent="0.2">
      <c r="A42" s="9"/>
      <c r="B42" s="2" t="s">
        <v>67</v>
      </c>
      <c r="C42" s="174" t="s">
        <v>102</v>
      </c>
      <c r="D42" s="174"/>
      <c r="E42" s="174"/>
      <c r="F42" s="25">
        <f t="shared" ref="F42:F47" si="19">SUMIF($D$8:$D$38,B42,$O$8:$O$38)-SUMIFS($K$8:$K$38,$D$8:$D$38,B42,$E$8:$E$38,"Feriado")-SUMIFS($K$8:$K$38,$D$8:$D$38,B42,$E$8:$E$38,"Folga(DSR)")-SUMIFS($K$8:$K$38,$D$8:$D$38,B42,$E$8:$E$38,"Falta Justificada")-SUMIFS($AJ$8:$AJ$38,$D$8:$D$38,B42,$E$8:$E$38,"Normal")</f>
        <v>0</v>
      </c>
      <c r="G42" s="26">
        <f>'P Gerais'!$C$36</f>
        <v>0</v>
      </c>
      <c r="H42" s="16">
        <f t="shared" ref="H42:H47" si="20">$K$40*(1+G42)*(F42*24)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6" s="2" customFormat="1" ht="30" customHeight="1" x14ac:dyDescent="0.2">
      <c r="A43" s="9"/>
      <c r="B43" s="2" t="s">
        <v>68</v>
      </c>
      <c r="C43" s="174" t="s">
        <v>103</v>
      </c>
      <c r="D43" s="174"/>
      <c r="E43" s="174"/>
      <c r="F43" s="25">
        <f t="shared" si="19"/>
        <v>0</v>
      </c>
      <c r="G43" s="26">
        <f>'P Gerais'!$C$36</f>
        <v>0</v>
      </c>
      <c r="H43" s="16">
        <f t="shared" si="20"/>
        <v>0</v>
      </c>
      <c r="T43" s="133"/>
      <c r="U43" s="23"/>
      <c r="V43" s="23"/>
      <c r="W43" s="23"/>
      <c r="X43" s="23"/>
      <c r="Y43" s="23"/>
      <c r="Z43" s="23"/>
      <c r="AA43" s="23"/>
      <c r="AB43" s="23"/>
      <c r="AC43" s="23"/>
      <c r="AD43" s="23"/>
      <c r="AE43" s="23"/>
      <c r="AF43" s="23"/>
      <c r="AG43" s="23"/>
      <c r="AH43" s="23"/>
      <c r="AI43" s="23"/>
      <c r="AJ43" s="23"/>
      <c r="AK43" s="23"/>
      <c r="AL43" s="23"/>
      <c r="AM43" s="23"/>
      <c r="AN43" s="133"/>
    </row>
    <row r="44" spans="1:46" s="2" customFormat="1" ht="30" customHeight="1" x14ac:dyDescent="0.2">
      <c r="A44" s="9"/>
      <c r="B44" s="2" t="s">
        <v>69</v>
      </c>
      <c r="C44" s="174" t="s">
        <v>104</v>
      </c>
      <c r="D44" s="174"/>
      <c r="E44" s="174"/>
      <c r="F44" s="25">
        <f t="shared" si="19"/>
        <v>0</v>
      </c>
      <c r="G44" s="26">
        <f>'P Gerais'!$C$36</f>
        <v>0</v>
      </c>
      <c r="H44" s="16">
        <f t="shared" si="20"/>
        <v>0</v>
      </c>
      <c r="T44" s="133"/>
      <c r="U44" s="23"/>
      <c r="V44" s="23"/>
      <c r="W44" s="23"/>
      <c r="X44" s="23"/>
      <c r="Y44" s="23"/>
      <c r="Z44" s="23"/>
      <c r="AA44" s="23"/>
      <c r="AB44" s="23"/>
      <c r="AC44" s="23"/>
      <c r="AD44" s="23"/>
      <c r="AE44" s="23"/>
      <c r="AF44" s="23"/>
      <c r="AG44" s="23"/>
      <c r="AH44" s="23"/>
      <c r="AI44" s="23"/>
      <c r="AJ44" s="23"/>
      <c r="AK44" s="23"/>
      <c r="AL44" s="23"/>
      <c r="AM44" s="23"/>
      <c r="AN44" s="133"/>
    </row>
    <row r="45" spans="1:46" s="2" customFormat="1" ht="30" customHeight="1" x14ac:dyDescent="0.2">
      <c r="A45" s="9"/>
      <c r="B45" s="2" t="s">
        <v>70</v>
      </c>
      <c r="C45" s="174" t="s">
        <v>105</v>
      </c>
      <c r="D45" s="174"/>
      <c r="E45" s="174"/>
      <c r="F45" s="25">
        <f t="shared" si="19"/>
        <v>0</v>
      </c>
      <c r="G45" s="26">
        <f>'P Gerais'!$C$36</f>
        <v>0</v>
      </c>
      <c r="H45" s="16">
        <f t="shared" si="20"/>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6" s="2" customFormat="1" ht="30" customHeight="1" x14ac:dyDescent="0.2">
      <c r="A46" s="9"/>
      <c r="B46" s="2" t="s">
        <v>71</v>
      </c>
      <c r="C46" s="174" t="s">
        <v>108</v>
      </c>
      <c r="D46" s="174"/>
      <c r="E46" s="174"/>
      <c r="F46" s="25">
        <f t="shared" si="19"/>
        <v>0</v>
      </c>
      <c r="G46" s="26">
        <f>'P Gerais'!E36</f>
        <v>0</v>
      </c>
      <c r="H46" s="16">
        <f t="shared" si="20"/>
        <v>0</v>
      </c>
      <c r="T46" s="133"/>
      <c r="U46" s="23"/>
      <c r="V46" s="23"/>
      <c r="W46" s="23"/>
      <c r="X46" s="23"/>
      <c r="Y46" s="23"/>
      <c r="Z46" s="23"/>
      <c r="AA46" s="23"/>
      <c r="AB46" s="23"/>
      <c r="AC46" s="23"/>
      <c r="AD46" s="23"/>
      <c r="AE46" s="23"/>
      <c r="AF46" s="23"/>
      <c r="AG46" s="23"/>
      <c r="AH46" s="23"/>
      <c r="AI46" s="23"/>
      <c r="AJ46" s="23"/>
      <c r="AK46" s="23"/>
      <c r="AL46" s="23"/>
      <c r="AM46" s="23"/>
      <c r="AN46" s="133"/>
    </row>
    <row r="47" spans="1:46" s="2" customFormat="1" ht="30" customHeight="1" x14ac:dyDescent="0.2">
      <c r="A47" s="9"/>
      <c r="B47" s="2" t="s">
        <v>65</v>
      </c>
      <c r="C47" s="174" t="s">
        <v>107</v>
      </c>
      <c r="D47" s="174"/>
      <c r="E47" s="174"/>
      <c r="F47" s="25">
        <f t="shared" si="19"/>
        <v>0</v>
      </c>
      <c r="G47" s="26">
        <f>'P Gerais'!F36</f>
        <v>0</v>
      </c>
      <c r="H47" s="16">
        <f t="shared" si="20"/>
        <v>0</v>
      </c>
      <c r="T47" s="133"/>
      <c r="U47" s="23"/>
      <c r="V47" s="23"/>
      <c r="W47" s="23"/>
      <c r="X47" s="23"/>
      <c r="Y47" s="23"/>
      <c r="Z47" s="23"/>
      <c r="AA47" s="23"/>
      <c r="AB47" s="23"/>
      <c r="AC47" s="23"/>
      <c r="AD47" s="23"/>
      <c r="AE47" s="23"/>
      <c r="AF47" s="23"/>
      <c r="AG47" s="23"/>
      <c r="AH47" s="23"/>
      <c r="AI47" s="23"/>
      <c r="AJ47" s="23"/>
      <c r="AK47" s="23"/>
      <c r="AL47" s="23"/>
      <c r="AM47" s="23"/>
      <c r="AN47" s="133"/>
    </row>
    <row r="48" spans="1:46"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ht="30" customHeight="1" x14ac:dyDescent="0.2"/>
    <row r="71" spans="1:40" ht="30" customHeight="1" x14ac:dyDescent="0.2"/>
    <row r="72" spans="1:40" ht="30" customHeight="1" x14ac:dyDescent="0.2"/>
    <row r="73" spans="1:40" ht="30" customHeight="1" x14ac:dyDescent="0.2"/>
    <row r="74" spans="1:40" ht="30" customHeight="1" x14ac:dyDescent="0.2"/>
    <row r="75" spans="1:40" ht="30" customHeight="1" x14ac:dyDescent="0.2"/>
    <row r="76" spans="1:40" ht="30" customHeight="1" x14ac:dyDescent="0.2"/>
    <row r="77" spans="1:40" ht="30" customHeight="1" x14ac:dyDescent="0.2"/>
    <row r="78" spans="1:40" ht="30" customHeight="1" x14ac:dyDescent="0.2"/>
    <row r="79" spans="1:40" ht="30" customHeight="1" x14ac:dyDescent="0.2"/>
    <row r="80" spans="1:4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15" x14ac:dyDescent="0.2"/>
    <row r="90" ht="15" x14ac:dyDescent="0.2"/>
    <row r="91" ht="15" x14ac:dyDescent="0.2"/>
    <row r="92" ht="15" x14ac:dyDescent="0.2"/>
    <row r="93" ht="15" x14ac:dyDescent="0.2"/>
    <row r="94" ht="15" x14ac:dyDescent="0.2"/>
    <row r="95" ht="15" x14ac:dyDescent="0.2"/>
    <row r="96"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115" priority="41" operator="containsText" text="Dom">
      <formula>NOT(ISERROR(SEARCH("Dom",D8)))</formula>
    </cfRule>
    <cfRule type="containsText" dxfId="114" priority="42" operator="containsText" text="Sáb">
      <formula>NOT(ISERROR(SEARCH("Sáb",D8)))</formula>
    </cfRule>
  </conditionalFormatting>
  <conditionalFormatting sqref="S13:S14">
    <cfRule type="expression" dxfId="113" priority="34">
      <formula>$S$15&gt;$S$17</formula>
    </cfRule>
  </conditionalFormatting>
  <conditionalFormatting sqref="M8:M38">
    <cfRule type="expression" dxfId="112" priority="33">
      <formula>$M8&gt;0</formula>
    </cfRule>
  </conditionalFormatting>
  <conditionalFormatting sqref="O8:O38">
    <cfRule type="expression" dxfId="111" priority="32">
      <formula>$O8&gt;0</formula>
    </cfRule>
  </conditionalFormatting>
  <conditionalFormatting sqref="I5">
    <cfRule type="expression" dxfId="104" priority="25">
      <formula>$K$5="Negativo"</formula>
    </cfRule>
  </conditionalFormatting>
  <conditionalFormatting sqref="S11:S12">
    <cfRule type="expression" dxfId="103" priority="24">
      <formula>$T$11="Negativo"</formula>
    </cfRule>
  </conditionalFormatting>
  <conditionalFormatting sqref="AJ7">
    <cfRule type="expression" dxfId="102" priority="15">
      <formula>$E7="Folga(DSR)"</formula>
    </cfRule>
    <cfRule type="expression" dxfId="101" priority="16">
      <formula>$E7="Feriado"</formula>
    </cfRule>
    <cfRule type="expression" dxfId="100" priority="17">
      <formula>$D7="Dom"</formula>
    </cfRule>
  </conditionalFormatting>
  <conditionalFormatting sqref="F40">
    <cfRule type="expression" dxfId="99" priority="18">
      <formula>$E40="Folga(DSR)"</formula>
    </cfRule>
    <cfRule type="expression" dxfId="98" priority="19">
      <formula>$E40="Feriado"</formula>
    </cfRule>
    <cfRule type="expression" dxfId="97" priority="20">
      <formula>$D40="Dom"</formula>
    </cfRule>
  </conditionalFormatting>
  <conditionalFormatting sqref="K8:K38">
    <cfRule type="expression" dxfId="87" priority="8">
      <formula>$M8&gt;0</formula>
    </cfRule>
  </conditionalFormatting>
  <conditionalFormatting sqref="K8:K38">
    <cfRule type="expression" dxfId="86" priority="7">
      <formula>$O8&gt;0</formula>
    </cfRule>
  </conditionalFormatting>
  <conditionalFormatting sqref="E8:E38">
    <cfRule type="expression" dxfId="14" priority="4">
      <formula>$E8="Folga(DSR)"</formula>
    </cfRule>
    <cfRule type="expression" dxfId="13" priority="5">
      <formula>$E8="Feriado"</formula>
    </cfRule>
    <cfRule type="expression" dxfId="12" priority="6">
      <formula>$D8="Dom"</formula>
    </cfRule>
  </conditionalFormatting>
  <conditionalFormatting sqref="F8:I38">
    <cfRule type="expression" dxfId="8" priority="1">
      <formula>$E8="Folga(DSR)"</formula>
    </cfRule>
    <cfRule type="expression" dxfId="7" priority="2">
      <formula>$E8="Feriado"</formula>
    </cfRule>
    <cfRule type="expression" dxfId="6" priority="3">
      <formula>$D8="Dom"</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Out!S11</f>
        <v>0</v>
      </c>
      <c r="K5" s="2" t="str">
        <f>IF(Out!T11="Negativo","Negativo","Positivo")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11</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DOM</v>
      </c>
      <c r="E8" s="9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V8" s="23">
        <f t="shared" ref="V8:V37" si="0">MONTH(W8)</f>
        <v>11</v>
      </c>
      <c r="W8" s="225">
        <f>DATE('P Gerais'!$C$6,$W$7,Nov!C8)</f>
        <v>42309</v>
      </c>
      <c r="X8" s="23">
        <f>WEEKDAY(W8)</f>
        <v>1</v>
      </c>
      <c r="AB8" s="23">
        <v>1</v>
      </c>
      <c r="AC8" s="15" t="s">
        <v>50</v>
      </c>
      <c r="AD8" s="27">
        <f t="shared" ref="AD8:AD37" si="1">H8-G8</f>
        <v>0</v>
      </c>
      <c r="AE8" s="27">
        <f>VLOOKUP(D8,'P Gerais'!$C$23:$N$29,12,0)</f>
        <v>0</v>
      </c>
      <c r="AF8" s="27">
        <f>IF(AE8-AD8&lt;0,0,IF(OR(G8="",G8=0),0,AE8-AD8))</f>
        <v>0</v>
      </c>
      <c r="AG8" s="27">
        <f>($AG$7-I8)+F8</f>
        <v>1</v>
      </c>
      <c r="AH8" s="27">
        <f>IF(AG8&lt;$AH$7,$AH$7-AG8,$AF$7)</f>
        <v>0</v>
      </c>
      <c r="AI8" s="27">
        <f>IF(F8=I8,$AF$7,IF(F8&lt;$AI$7,$AI$7-F8,$AF$7))</f>
        <v>0</v>
      </c>
      <c r="AJ8" s="27">
        <f t="shared" ref="AJ8:AJ21" si="2">IF(F8=I8,$AF$7,IF(F8&gt;=$AJ$7,O8,$AF$7))</f>
        <v>0</v>
      </c>
      <c r="AK8" s="27">
        <f>IF(AND(I8&gt;$AK$7,I8&gt;AL8),I8-AL8,$AF$7)</f>
        <v>0</v>
      </c>
      <c r="AL8" s="224">
        <f>VLOOKUP(D8,'P Gerais'!$C$23:$I$29,7,FALSE)</f>
        <v>0</v>
      </c>
    </row>
    <row r="9" spans="1:46" ht="15" customHeight="1" x14ac:dyDescent="0.2">
      <c r="C9" s="59">
        <v>2</v>
      </c>
      <c r="D9" s="59" t="str">
        <f t="shared" ref="D9:D37" si="3">VLOOKUP(X9,$AB$8:$AC$14,2,0)</f>
        <v>SEG</v>
      </c>
      <c r="E9" s="93" t="s">
        <v>191</v>
      </c>
      <c r="F9" s="62"/>
      <c r="G9" s="62"/>
      <c r="H9" s="62"/>
      <c r="I9" s="62"/>
      <c r="J9" s="10"/>
      <c r="K9" s="60">
        <f t="shared" ref="K9:K37" si="4">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5">IF(O9&gt;$P$7,1,0)</f>
        <v>0</v>
      </c>
      <c r="Q9" s="175" t="s">
        <v>79</v>
      </c>
      <c r="R9" s="175"/>
      <c r="S9" s="172">
        <f>SUM(K8:K38)</f>
        <v>0</v>
      </c>
      <c r="V9" s="23">
        <f t="shared" si="0"/>
        <v>11</v>
      </c>
      <c r="W9" s="225">
        <f>DATE('P Gerais'!$C$6,$W$7,Nov!C9)</f>
        <v>42310</v>
      </c>
      <c r="X9" s="23">
        <f t="shared" ref="X9:X37" si="6">WEEKDAY(W9)</f>
        <v>2</v>
      </c>
      <c r="AB9" s="23">
        <v>2</v>
      </c>
      <c r="AC9" s="15" t="s">
        <v>44</v>
      </c>
      <c r="AD9" s="27">
        <f t="shared" si="1"/>
        <v>0</v>
      </c>
      <c r="AE9" s="27">
        <f>VLOOKUP(D9,'P Gerais'!$C$23:$N$29,12,0)</f>
        <v>0</v>
      </c>
      <c r="AF9" s="27">
        <f t="shared" ref="AF9:AF38" si="7">IF(AE9-AD9&lt;0,0,IF(OR(G9="",G9=0),0,AE9-AD9))</f>
        <v>0</v>
      </c>
      <c r="AG9" s="27">
        <f t="shared" ref="AG9:AG37" si="8">($AG$7-I9)+F9</f>
        <v>1</v>
      </c>
      <c r="AH9" s="27">
        <f t="shared" ref="AH9:AH37" si="9">IF(AG9&lt;$AH$7,$AH$7-AG9,$AF$7)</f>
        <v>0</v>
      </c>
      <c r="AI9" s="27">
        <f t="shared" ref="AI9:AI38" si="10">IF(F9=I9,$AF$7,IF(F9&lt;$AI$7,$AI$7-F9,$AF$7))</f>
        <v>0</v>
      </c>
      <c r="AJ9" s="27">
        <f t="shared" si="2"/>
        <v>0</v>
      </c>
      <c r="AK9" s="27">
        <f t="shared" ref="AK9:AK37" si="11">IF(AND(I9&gt;$AK$7,I9&gt;AL9),I9-AL9,$AF$7)</f>
        <v>0</v>
      </c>
      <c r="AL9" s="224">
        <f>VLOOKUP(D9,'P Gerais'!$C$23:$I$29,7,FALSE)</f>
        <v>0</v>
      </c>
    </row>
    <row r="10" spans="1:46" ht="15" customHeight="1" x14ac:dyDescent="0.2">
      <c r="C10" s="59">
        <v>3</v>
      </c>
      <c r="D10" s="59" t="str">
        <f t="shared" si="3"/>
        <v>TER</v>
      </c>
      <c r="E10" s="93" t="s">
        <v>191</v>
      </c>
      <c r="F10" s="62"/>
      <c r="G10" s="62"/>
      <c r="H10" s="62"/>
      <c r="I10" s="62"/>
      <c r="J10" s="10"/>
      <c r="K10" s="60">
        <f t="shared" si="4"/>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5"/>
        <v>0</v>
      </c>
      <c r="Q10" s="175"/>
      <c r="R10" s="175"/>
      <c r="S10" s="172"/>
      <c r="V10" s="23">
        <f t="shared" si="0"/>
        <v>11</v>
      </c>
      <c r="W10" s="225">
        <f>DATE('P Gerais'!$C$6,$W$7,Nov!C10)</f>
        <v>42311</v>
      </c>
      <c r="X10" s="23">
        <f t="shared" si="6"/>
        <v>3</v>
      </c>
      <c r="AB10" s="23">
        <v>3</v>
      </c>
      <c r="AC10" s="15" t="s">
        <v>45</v>
      </c>
      <c r="AD10" s="27">
        <f t="shared" si="1"/>
        <v>0</v>
      </c>
      <c r="AE10" s="27">
        <f>VLOOKUP(D10,'P Gerais'!$C$23:$N$29,12,0)</f>
        <v>0</v>
      </c>
      <c r="AF10" s="27">
        <f t="shared" si="7"/>
        <v>0</v>
      </c>
      <c r="AG10" s="27">
        <f t="shared" si="8"/>
        <v>1</v>
      </c>
      <c r="AH10" s="27">
        <f t="shared" si="9"/>
        <v>0</v>
      </c>
      <c r="AI10" s="27">
        <f t="shared" si="10"/>
        <v>0</v>
      </c>
      <c r="AJ10" s="27">
        <f t="shared" si="2"/>
        <v>0</v>
      </c>
      <c r="AK10" s="27">
        <f>IF(AND(I10&gt;$AK$7,I10&gt;AL10),I10-AL10,$AF$7)</f>
        <v>0</v>
      </c>
      <c r="AL10" s="224">
        <f>VLOOKUP(D10,'P Gerais'!$C$23:$I$29,7,FALSE)</f>
        <v>0</v>
      </c>
    </row>
    <row r="11" spans="1:46" ht="15" customHeight="1" x14ac:dyDescent="0.2">
      <c r="C11" s="59">
        <v>4</v>
      </c>
      <c r="D11" s="59" t="str">
        <f t="shared" si="3"/>
        <v>QUA</v>
      </c>
      <c r="E11" s="93" t="s">
        <v>191</v>
      </c>
      <c r="F11" s="62"/>
      <c r="G11" s="62"/>
      <c r="H11" s="62"/>
      <c r="I11" s="62"/>
      <c r="J11" s="10"/>
      <c r="K11" s="60">
        <f t="shared" si="4"/>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5"/>
        <v>0</v>
      </c>
      <c r="Q11" s="175" t="s">
        <v>80</v>
      </c>
      <c r="R11" s="175"/>
      <c r="S11" s="172">
        <f>IF(K5="Negativo",ABS(-I5+S17-S15),ABS(I5+S17-S15))</f>
        <v>0</v>
      </c>
      <c r="T11" s="133" t="str">
        <f>IF(S15&gt;S17+IF(K5="Negativo",-I5,I5),"Negativo","Positivo")</f>
        <v>Positivo</v>
      </c>
      <c r="V11" s="23">
        <f t="shared" si="0"/>
        <v>11</v>
      </c>
      <c r="W11" s="225">
        <f>DATE('P Gerais'!$C$6,$W$7,Nov!C11)</f>
        <v>42312</v>
      </c>
      <c r="X11" s="23">
        <f t="shared" si="6"/>
        <v>4</v>
      </c>
      <c r="AB11" s="23">
        <v>4</v>
      </c>
      <c r="AC11" s="15" t="s">
        <v>46</v>
      </c>
      <c r="AD11" s="27">
        <f t="shared" si="1"/>
        <v>0</v>
      </c>
      <c r="AE11" s="27">
        <f>VLOOKUP(D11,'P Gerais'!$C$23:$N$29,12,0)</f>
        <v>0</v>
      </c>
      <c r="AF11" s="27">
        <f t="shared" si="7"/>
        <v>0</v>
      </c>
      <c r="AG11" s="27">
        <f t="shared" si="8"/>
        <v>1</v>
      </c>
      <c r="AH11" s="27">
        <f t="shared" si="9"/>
        <v>0</v>
      </c>
      <c r="AI11" s="27">
        <f t="shared" si="10"/>
        <v>0</v>
      </c>
      <c r="AJ11" s="27">
        <f t="shared" si="2"/>
        <v>0</v>
      </c>
      <c r="AK11" s="27">
        <f t="shared" si="11"/>
        <v>0</v>
      </c>
      <c r="AL11" s="224">
        <f>VLOOKUP(D11,'P Gerais'!$C$23:$I$29,7,FALSE)</f>
        <v>0</v>
      </c>
    </row>
    <row r="12" spans="1:46" ht="15" customHeight="1" x14ac:dyDescent="0.2">
      <c r="C12" s="59">
        <v>5</v>
      </c>
      <c r="D12" s="59" t="str">
        <f t="shared" si="3"/>
        <v>QUI</v>
      </c>
      <c r="E12" s="93" t="s">
        <v>191</v>
      </c>
      <c r="F12" s="62"/>
      <c r="G12" s="62"/>
      <c r="H12" s="62"/>
      <c r="I12" s="62"/>
      <c r="J12" s="10"/>
      <c r="K12" s="60">
        <f t="shared" si="4"/>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5"/>
        <v>0</v>
      </c>
      <c r="Q12" s="175"/>
      <c r="R12" s="175"/>
      <c r="S12" s="172"/>
      <c r="V12" s="23">
        <f t="shared" si="0"/>
        <v>11</v>
      </c>
      <c r="W12" s="225">
        <f>DATE('P Gerais'!$C$6,$W$7,Nov!C12)</f>
        <v>42313</v>
      </c>
      <c r="X12" s="23">
        <f t="shared" si="6"/>
        <v>5</v>
      </c>
      <c r="AB12" s="23">
        <v>5</v>
      </c>
      <c r="AC12" s="15" t="s">
        <v>47</v>
      </c>
      <c r="AD12" s="27">
        <f t="shared" si="1"/>
        <v>0</v>
      </c>
      <c r="AE12" s="27">
        <f>VLOOKUP(D12,'P Gerais'!$C$23:$N$29,12,0)</f>
        <v>0</v>
      </c>
      <c r="AF12" s="27">
        <f t="shared" si="7"/>
        <v>0</v>
      </c>
      <c r="AG12" s="27">
        <f t="shared" si="8"/>
        <v>1</v>
      </c>
      <c r="AH12" s="27">
        <f t="shared" si="9"/>
        <v>0</v>
      </c>
      <c r="AI12" s="27">
        <f t="shared" si="10"/>
        <v>0</v>
      </c>
      <c r="AJ12" s="27">
        <f t="shared" si="2"/>
        <v>0</v>
      </c>
      <c r="AK12" s="27">
        <f t="shared" si="11"/>
        <v>0</v>
      </c>
      <c r="AL12" s="224">
        <f>VLOOKUP(D12,'P Gerais'!$C$23:$I$29,7,FALSE)</f>
        <v>0</v>
      </c>
    </row>
    <row r="13" spans="1:46" ht="15" customHeight="1" x14ac:dyDescent="0.2">
      <c r="C13" s="59">
        <v>6</v>
      </c>
      <c r="D13" s="59" t="str">
        <f t="shared" si="3"/>
        <v>SEX</v>
      </c>
      <c r="E13" s="93" t="s">
        <v>191</v>
      </c>
      <c r="F13" s="62"/>
      <c r="G13" s="62"/>
      <c r="H13" s="62"/>
      <c r="I13" s="62"/>
      <c r="J13" s="10"/>
      <c r="K13" s="60">
        <f t="shared" si="4"/>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5"/>
        <v>0</v>
      </c>
      <c r="Q13" s="179" t="s">
        <v>193</v>
      </c>
      <c r="R13" s="180"/>
      <c r="S13" s="172">
        <f>IF(S15&gt;=S17,(S15)-S17,(S17-S15))</f>
        <v>0</v>
      </c>
      <c r="T13" s="133" t="str">
        <f>IF(S15&gt;S17,"Negativo","Positivo")</f>
        <v>Positivo</v>
      </c>
      <c r="V13" s="23">
        <f t="shared" si="0"/>
        <v>11</v>
      </c>
      <c r="W13" s="225">
        <f>DATE('P Gerais'!$C$6,$W$7,Nov!C13)</f>
        <v>42314</v>
      </c>
      <c r="X13" s="23">
        <f t="shared" si="6"/>
        <v>6</v>
      </c>
      <c r="AB13" s="23">
        <v>6</v>
      </c>
      <c r="AC13" s="15" t="s">
        <v>48</v>
      </c>
      <c r="AD13" s="27">
        <f t="shared" si="1"/>
        <v>0</v>
      </c>
      <c r="AE13" s="27">
        <f>VLOOKUP(D13,'P Gerais'!$C$23:$N$29,12,0)</f>
        <v>0</v>
      </c>
      <c r="AF13" s="27">
        <f t="shared" si="7"/>
        <v>0</v>
      </c>
      <c r="AG13" s="27">
        <f t="shared" si="8"/>
        <v>1</v>
      </c>
      <c r="AH13" s="27">
        <f t="shared" si="9"/>
        <v>0</v>
      </c>
      <c r="AI13" s="27">
        <f t="shared" si="10"/>
        <v>0</v>
      </c>
      <c r="AJ13" s="27">
        <f t="shared" si="2"/>
        <v>0</v>
      </c>
      <c r="AK13" s="27">
        <f t="shared" si="11"/>
        <v>0</v>
      </c>
      <c r="AL13" s="224">
        <f>VLOOKUP(D13,'P Gerais'!$C$23:$I$29,7,FALSE)</f>
        <v>0</v>
      </c>
    </row>
    <row r="14" spans="1:46" ht="15" customHeight="1" x14ac:dyDescent="0.2">
      <c r="C14" s="59">
        <v>7</v>
      </c>
      <c r="D14" s="59" t="str">
        <f t="shared" si="3"/>
        <v>SÁB</v>
      </c>
      <c r="E14" s="93" t="s">
        <v>191</v>
      </c>
      <c r="F14" s="62"/>
      <c r="G14" s="62"/>
      <c r="H14" s="62"/>
      <c r="I14" s="62"/>
      <c r="J14" s="10"/>
      <c r="K14" s="60">
        <f t="shared" si="4"/>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5"/>
        <v>0</v>
      </c>
      <c r="Q14" s="181"/>
      <c r="R14" s="182"/>
      <c r="S14" s="172"/>
      <c r="V14" s="23">
        <f t="shared" si="0"/>
        <v>11</v>
      </c>
      <c r="W14" s="225">
        <f>DATE('P Gerais'!$C$6,$W$7,Nov!C14)</f>
        <v>42315</v>
      </c>
      <c r="X14" s="23">
        <f t="shared" si="6"/>
        <v>7</v>
      </c>
      <c r="AB14" s="23">
        <v>7</v>
      </c>
      <c r="AC14" s="15" t="s">
        <v>49</v>
      </c>
      <c r="AD14" s="27">
        <f t="shared" si="1"/>
        <v>0</v>
      </c>
      <c r="AE14" s="27">
        <f>VLOOKUP(D14,'P Gerais'!$C$23:$N$29,12,0)</f>
        <v>0</v>
      </c>
      <c r="AF14" s="27">
        <f t="shared" si="7"/>
        <v>0</v>
      </c>
      <c r="AG14" s="27">
        <f t="shared" si="8"/>
        <v>1</v>
      </c>
      <c r="AH14" s="27">
        <f t="shared" si="9"/>
        <v>0</v>
      </c>
      <c r="AI14" s="27">
        <f t="shared" si="10"/>
        <v>0</v>
      </c>
      <c r="AJ14" s="27">
        <f t="shared" si="2"/>
        <v>0</v>
      </c>
      <c r="AK14" s="27">
        <f t="shared" si="11"/>
        <v>0</v>
      </c>
      <c r="AL14" s="224">
        <f>VLOOKUP(D14,'P Gerais'!$C$23:$I$29,7,FALSE)</f>
        <v>0</v>
      </c>
    </row>
    <row r="15" spans="1:46" ht="15" customHeight="1" x14ac:dyDescent="0.2">
      <c r="C15" s="59">
        <v>8</v>
      </c>
      <c r="D15" s="59" t="str">
        <f t="shared" si="3"/>
        <v>DOM</v>
      </c>
      <c r="E15" s="93" t="s">
        <v>191</v>
      </c>
      <c r="F15" s="62"/>
      <c r="G15" s="62"/>
      <c r="H15" s="62"/>
      <c r="I15" s="62"/>
      <c r="J15" s="10"/>
      <c r="K15" s="60">
        <f t="shared" si="4"/>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5"/>
        <v>0</v>
      </c>
      <c r="Q15" s="175" t="s">
        <v>82</v>
      </c>
      <c r="R15" s="175"/>
      <c r="S15" s="172">
        <f>SUM(M8:M38)</f>
        <v>0</v>
      </c>
      <c r="V15" s="23">
        <f t="shared" si="0"/>
        <v>11</v>
      </c>
      <c r="W15" s="225">
        <f>DATE('P Gerais'!$C$6,$W$7,Nov!C15)</f>
        <v>42316</v>
      </c>
      <c r="X15" s="23">
        <f t="shared" si="6"/>
        <v>1</v>
      </c>
      <c r="AD15" s="27">
        <f t="shared" si="1"/>
        <v>0</v>
      </c>
      <c r="AE15" s="27">
        <f>VLOOKUP(D15,'P Gerais'!$C$23:$N$29,12,0)</f>
        <v>0</v>
      </c>
      <c r="AF15" s="27">
        <f t="shared" si="7"/>
        <v>0</v>
      </c>
      <c r="AG15" s="27">
        <f t="shared" si="8"/>
        <v>1</v>
      </c>
      <c r="AH15" s="27">
        <f t="shared" si="9"/>
        <v>0</v>
      </c>
      <c r="AI15" s="27">
        <f t="shared" si="10"/>
        <v>0</v>
      </c>
      <c r="AJ15" s="27">
        <f t="shared" si="2"/>
        <v>0</v>
      </c>
      <c r="AK15" s="27">
        <f t="shared" si="11"/>
        <v>0</v>
      </c>
      <c r="AL15" s="224">
        <f>VLOOKUP(D15,'P Gerais'!$C$23:$I$29,7,FALSE)</f>
        <v>0</v>
      </c>
    </row>
    <row r="16" spans="1:46" ht="15" customHeight="1" x14ac:dyDescent="0.2">
      <c r="C16" s="59">
        <v>9</v>
      </c>
      <c r="D16" s="59" t="str">
        <f t="shared" si="3"/>
        <v>SEG</v>
      </c>
      <c r="E16" s="93" t="s">
        <v>191</v>
      </c>
      <c r="F16" s="62"/>
      <c r="G16" s="62"/>
      <c r="H16" s="62"/>
      <c r="I16" s="62"/>
      <c r="J16" s="10"/>
      <c r="K16" s="60">
        <f t="shared" si="4"/>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5"/>
        <v>0</v>
      </c>
      <c r="Q16" s="175"/>
      <c r="R16" s="175"/>
      <c r="S16" s="172"/>
      <c r="V16" s="23">
        <f t="shared" si="0"/>
        <v>11</v>
      </c>
      <c r="W16" s="225">
        <f>DATE('P Gerais'!$C$6,$W$7,Nov!C16)</f>
        <v>42317</v>
      </c>
      <c r="X16" s="23">
        <f t="shared" si="6"/>
        <v>2</v>
      </c>
      <c r="AD16" s="27">
        <f t="shared" si="1"/>
        <v>0</v>
      </c>
      <c r="AE16" s="27">
        <f>VLOOKUP(D16,'P Gerais'!$C$23:$N$29,12,0)</f>
        <v>0</v>
      </c>
      <c r="AF16" s="27">
        <f t="shared" si="7"/>
        <v>0</v>
      </c>
      <c r="AG16" s="27">
        <f t="shared" si="8"/>
        <v>1</v>
      </c>
      <c r="AH16" s="27">
        <f t="shared" si="9"/>
        <v>0</v>
      </c>
      <c r="AI16" s="27">
        <f t="shared" si="10"/>
        <v>0</v>
      </c>
      <c r="AJ16" s="27">
        <f t="shared" si="2"/>
        <v>0</v>
      </c>
      <c r="AK16" s="27">
        <f t="shared" si="11"/>
        <v>0</v>
      </c>
      <c r="AL16" s="224">
        <f>VLOOKUP(D16,'P Gerais'!$C$23:$I$29,7,FALSE)</f>
        <v>0</v>
      </c>
    </row>
    <row r="17" spans="3:38" ht="15" customHeight="1" x14ac:dyDescent="0.2">
      <c r="C17" s="59">
        <v>10</v>
      </c>
      <c r="D17" s="59" t="str">
        <f t="shared" si="3"/>
        <v>TER</v>
      </c>
      <c r="E17" s="93" t="s">
        <v>191</v>
      </c>
      <c r="F17" s="62"/>
      <c r="G17" s="62"/>
      <c r="H17" s="62"/>
      <c r="I17" s="62"/>
      <c r="J17" s="10"/>
      <c r="K17" s="60">
        <f t="shared" si="4"/>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5"/>
        <v>0</v>
      </c>
      <c r="Q17" s="175" t="s">
        <v>81</v>
      </c>
      <c r="R17" s="175"/>
      <c r="S17" s="172">
        <f>SUM(O8:O38)</f>
        <v>0</v>
      </c>
      <c r="V17" s="23">
        <f t="shared" si="0"/>
        <v>11</v>
      </c>
      <c r="W17" s="225">
        <f>DATE('P Gerais'!$C$6,$W$7,Nov!C17)</f>
        <v>42318</v>
      </c>
      <c r="X17" s="23">
        <f t="shared" si="6"/>
        <v>3</v>
      </c>
      <c r="AD17" s="27">
        <f t="shared" si="1"/>
        <v>0</v>
      </c>
      <c r="AE17" s="27">
        <f>VLOOKUP(D17,'P Gerais'!$C$23:$N$29,12,0)</f>
        <v>0</v>
      </c>
      <c r="AF17" s="27">
        <f t="shared" si="7"/>
        <v>0</v>
      </c>
      <c r="AG17" s="27">
        <f t="shared" si="8"/>
        <v>1</v>
      </c>
      <c r="AH17" s="27">
        <f t="shared" si="9"/>
        <v>0</v>
      </c>
      <c r="AI17" s="27">
        <f t="shared" si="10"/>
        <v>0</v>
      </c>
      <c r="AJ17" s="27">
        <f t="shared" si="2"/>
        <v>0</v>
      </c>
      <c r="AK17" s="27">
        <f t="shared" si="11"/>
        <v>0</v>
      </c>
      <c r="AL17" s="224">
        <f>VLOOKUP(D17,'P Gerais'!$C$23:$I$29,7,FALSE)</f>
        <v>0</v>
      </c>
    </row>
    <row r="18" spans="3:38" ht="15" customHeight="1" x14ac:dyDescent="0.2">
      <c r="C18" s="59">
        <v>11</v>
      </c>
      <c r="D18" s="59" t="str">
        <f t="shared" si="3"/>
        <v>QUA</v>
      </c>
      <c r="E18" s="93" t="s">
        <v>191</v>
      </c>
      <c r="F18" s="62"/>
      <c r="G18" s="62"/>
      <c r="H18" s="62"/>
      <c r="I18" s="62"/>
      <c r="J18" s="10"/>
      <c r="K18" s="60">
        <f t="shared" si="4"/>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5"/>
        <v>0</v>
      </c>
      <c r="Q18" s="175"/>
      <c r="R18" s="175"/>
      <c r="S18" s="172"/>
      <c r="V18" s="23">
        <f t="shared" si="0"/>
        <v>11</v>
      </c>
      <c r="W18" s="225">
        <f>DATE('P Gerais'!$C$6,$W$7,Nov!C18)</f>
        <v>42319</v>
      </c>
      <c r="X18" s="23">
        <f t="shared" si="6"/>
        <v>4</v>
      </c>
      <c r="AD18" s="27">
        <f t="shared" si="1"/>
        <v>0</v>
      </c>
      <c r="AE18" s="27">
        <f>VLOOKUP(D18,'P Gerais'!$C$23:$N$29,12,0)</f>
        <v>0</v>
      </c>
      <c r="AF18" s="27">
        <f t="shared" si="7"/>
        <v>0</v>
      </c>
      <c r="AG18" s="27">
        <f t="shared" si="8"/>
        <v>1</v>
      </c>
      <c r="AH18" s="27">
        <f t="shared" si="9"/>
        <v>0</v>
      </c>
      <c r="AI18" s="27">
        <f t="shared" si="10"/>
        <v>0</v>
      </c>
      <c r="AJ18" s="27">
        <f t="shared" si="2"/>
        <v>0</v>
      </c>
      <c r="AK18" s="27">
        <f t="shared" si="11"/>
        <v>0</v>
      </c>
      <c r="AL18" s="224">
        <f>VLOOKUP(D18,'P Gerais'!$C$23:$I$29,7,FALSE)</f>
        <v>0</v>
      </c>
    </row>
    <row r="19" spans="3:38" ht="15" customHeight="1" x14ac:dyDescent="0.2">
      <c r="C19" s="59">
        <v>12</v>
      </c>
      <c r="D19" s="59" t="str">
        <f t="shared" si="3"/>
        <v>QUI</v>
      </c>
      <c r="E19" s="93" t="s">
        <v>191</v>
      </c>
      <c r="F19" s="62"/>
      <c r="G19" s="62"/>
      <c r="H19" s="62"/>
      <c r="I19" s="62"/>
      <c r="J19" s="10"/>
      <c r="K19" s="60">
        <f t="shared" si="4"/>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5"/>
        <v>0</v>
      </c>
      <c r="Q19" s="175" t="s">
        <v>83</v>
      </c>
      <c r="R19" s="175"/>
      <c r="S19" s="177">
        <f>F54</f>
        <v>0</v>
      </c>
      <c r="V19" s="23">
        <f t="shared" si="0"/>
        <v>11</v>
      </c>
      <c r="W19" s="225">
        <f>DATE('P Gerais'!$C$6,$W$7,Nov!C19)</f>
        <v>42320</v>
      </c>
      <c r="X19" s="23">
        <f t="shared" si="6"/>
        <v>5</v>
      </c>
      <c r="AD19" s="27">
        <f t="shared" si="1"/>
        <v>0</v>
      </c>
      <c r="AE19" s="27">
        <f>VLOOKUP(D19,'P Gerais'!$C$23:$N$29,12,0)</f>
        <v>0</v>
      </c>
      <c r="AF19" s="27">
        <f t="shared" si="7"/>
        <v>0</v>
      </c>
      <c r="AG19" s="27">
        <f t="shared" si="8"/>
        <v>1</v>
      </c>
      <c r="AH19" s="27">
        <f t="shared" si="9"/>
        <v>0</v>
      </c>
      <c r="AI19" s="27">
        <f t="shared" si="10"/>
        <v>0</v>
      </c>
      <c r="AJ19" s="27">
        <f t="shared" si="2"/>
        <v>0</v>
      </c>
      <c r="AK19" s="27">
        <f t="shared" si="11"/>
        <v>0</v>
      </c>
      <c r="AL19" s="224">
        <f>VLOOKUP(D19,'P Gerais'!$C$23:$I$29,7,FALSE)</f>
        <v>0</v>
      </c>
    </row>
    <row r="20" spans="3:38" ht="15" customHeight="1" x14ac:dyDescent="0.2">
      <c r="C20" s="59">
        <v>13</v>
      </c>
      <c r="D20" s="59" t="str">
        <f t="shared" si="3"/>
        <v>SEX</v>
      </c>
      <c r="E20" s="93" t="s">
        <v>191</v>
      </c>
      <c r="F20" s="62"/>
      <c r="G20" s="62"/>
      <c r="H20" s="62"/>
      <c r="I20" s="62"/>
      <c r="J20" s="10"/>
      <c r="K20" s="60">
        <f t="shared" si="4"/>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5"/>
        <v>0</v>
      </c>
      <c r="Q20" s="175"/>
      <c r="R20" s="175"/>
      <c r="S20" s="177"/>
      <c r="V20" s="23">
        <f t="shared" si="0"/>
        <v>11</v>
      </c>
      <c r="W20" s="225">
        <f>DATE('P Gerais'!$C$6,$W$7,Nov!C20)</f>
        <v>42321</v>
      </c>
      <c r="X20" s="23">
        <f t="shared" si="6"/>
        <v>6</v>
      </c>
      <c r="AD20" s="27">
        <f t="shared" si="1"/>
        <v>0</v>
      </c>
      <c r="AE20" s="27">
        <f>VLOOKUP(D20,'P Gerais'!$C$23:$N$29,12,0)</f>
        <v>0</v>
      </c>
      <c r="AF20" s="27">
        <f t="shared" si="7"/>
        <v>0</v>
      </c>
      <c r="AG20" s="27">
        <f t="shared" si="8"/>
        <v>1</v>
      </c>
      <c r="AH20" s="27">
        <f t="shared" si="9"/>
        <v>0</v>
      </c>
      <c r="AI20" s="27">
        <f t="shared" si="10"/>
        <v>0</v>
      </c>
      <c r="AJ20" s="27">
        <f t="shared" si="2"/>
        <v>0</v>
      </c>
      <c r="AK20" s="27">
        <f t="shared" si="11"/>
        <v>0</v>
      </c>
      <c r="AL20" s="224">
        <f>VLOOKUP(D20,'P Gerais'!$C$23:$I$29,7,FALSE)</f>
        <v>0</v>
      </c>
    </row>
    <row r="21" spans="3:38" ht="15" customHeight="1" x14ac:dyDescent="0.2">
      <c r="C21" s="59">
        <v>14</v>
      </c>
      <c r="D21" s="59" t="str">
        <f t="shared" si="3"/>
        <v>SÁB</v>
      </c>
      <c r="E21" s="93" t="s">
        <v>191</v>
      </c>
      <c r="F21" s="62"/>
      <c r="G21" s="62"/>
      <c r="H21" s="62"/>
      <c r="I21" s="62"/>
      <c r="J21" s="10"/>
      <c r="K21" s="60">
        <f t="shared" si="4"/>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5"/>
        <v>0</v>
      </c>
      <c r="V21" s="23">
        <f t="shared" si="0"/>
        <v>11</v>
      </c>
      <c r="W21" s="225">
        <f>DATE('P Gerais'!$C$6,$W$7,Nov!C21)</f>
        <v>42322</v>
      </c>
      <c r="X21" s="23">
        <f t="shared" si="6"/>
        <v>7</v>
      </c>
      <c r="AD21" s="27">
        <f t="shared" si="1"/>
        <v>0</v>
      </c>
      <c r="AE21" s="27">
        <f>VLOOKUP(D21,'P Gerais'!$C$23:$N$29,12,0)</f>
        <v>0</v>
      </c>
      <c r="AF21" s="27">
        <f t="shared" si="7"/>
        <v>0</v>
      </c>
      <c r="AG21" s="27">
        <f t="shared" si="8"/>
        <v>1</v>
      </c>
      <c r="AH21" s="27">
        <f t="shared" si="9"/>
        <v>0</v>
      </c>
      <c r="AI21" s="27">
        <f t="shared" si="10"/>
        <v>0</v>
      </c>
      <c r="AJ21" s="27">
        <f t="shared" si="2"/>
        <v>0</v>
      </c>
      <c r="AK21" s="27">
        <f t="shared" si="11"/>
        <v>0</v>
      </c>
      <c r="AL21" s="224">
        <f>VLOOKUP(D21,'P Gerais'!$C$23:$I$29,7,FALSE)</f>
        <v>0</v>
      </c>
    </row>
    <row r="22" spans="3:38" ht="15" customHeight="1" x14ac:dyDescent="0.2">
      <c r="C22" s="59">
        <v>15</v>
      </c>
      <c r="D22" s="59" t="str">
        <f t="shared" si="3"/>
        <v>DOM</v>
      </c>
      <c r="E22" s="93" t="s">
        <v>191</v>
      </c>
      <c r="F22" s="62"/>
      <c r="G22" s="62"/>
      <c r="H22" s="62"/>
      <c r="I22" s="62"/>
      <c r="J22" s="10"/>
      <c r="K22" s="60">
        <f t="shared" si="4"/>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5"/>
        <v>0</v>
      </c>
      <c r="V22" s="23">
        <f t="shared" si="0"/>
        <v>11</v>
      </c>
      <c r="W22" s="225">
        <f>DATE('P Gerais'!$C$6,$W$7,Nov!C22)</f>
        <v>42323</v>
      </c>
      <c r="X22" s="23">
        <f t="shared" si="6"/>
        <v>1</v>
      </c>
      <c r="AD22" s="27">
        <f t="shared" si="1"/>
        <v>0</v>
      </c>
      <c r="AE22" s="27">
        <f>VLOOKUP(D22,'P Gerais'!$C$23:$N$29,12,0)</f>
        <v>0</v>
      </c>
      <c r="AF22" s="27">
        <f t="shared" si="7"/>
        <v>0</v>
      </c>
      <c r="AG22" s="27">
        <f t="shared" si="8"/>
        <v>1</v>
      </c>
      <c r="AH22" s="27">
        <f t="shared" si="9"/>
        <v>0</v>
      </c>
      <c r="AI22" s="27">
        <f>IF(F22=I22,$AF$7,IF(F22&lt;$AI$7,$AI$7-F22,$AF$7))</f>
        <v>0</v>
      </c>
      <c r="AJ22" s="27">
        <f>IF(F22=I22,$AF$7,IF(F22&gt;=$AJ$7,O22,$AF$7))</f>
        <v>0</v>
      </c>
      <c r="AK22" s="27">
        <f t="shared" si="11"/>
        <v>0</v>
      </c>
      <c r="AL22" s="224">
        <f>VLOOKUP(D22,'P Gerais'!$C$23:$I$29,7,FALSE)</f>
        <v>0</v>
      </c>
    </row>
    <row r="23" spans="3:38" ht="15" customHeight="1" x14ac:dyDescent="0.2">
      <c r="C23" s="59">
        <v>16</v>
      </c>
      <c r="D23" s="59" t="str">
        <f t="shared" si="3"/>
        <v>SEG</v>
      </c>
      <c r="E23" s="93" t="s">
        <v>191</v>
      </c>
      <c r="F23" s="62"/>
      <c r="G23" s="62"/>
      <c r="H23" s="62"/>
      <c r="I23" s="62"/>
      <c r="J23" s="10"/>
      <c r="K23" s="60">
        <f t="shared" si="4"/>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5"/>
        <v>0</v>
      </c>
      <c r="Q23" s="178" t="s">
        <v>77</v>
      </c>
      <c r="R23" s="178"/>
      <c r="S23" s="178"/>
      <c r="V23" s="23">
        <f t="shared" si="0"/>
        <v>11</v>
      </c>
      <c r="W23" s="225">
        <f>DATE('P Gerais'!$C$6,$W$7,Nov!C23)</f>
        <v>42324</v>
      </c>
      <c r="X23" s="23">
        <f t="shared" si="6"/>
        <v>2</v>
      </c>
      <c r="AD23" s="27">
        <f t="shared" si="1"/>
        <v>0</v>
      </c>
      <c r="AE23" s="27">
        <f>VLOOKUP(D23,'P Gerais'!$C$23:$N$29,12,0)</f>
        <v>0</v>
      </c>
      <c r="AF23" s="27">
        <f t="shared" si="7"/>
        <v>0</v>
      </c>
      <c r="AG23" s="27">
        <f t="shared" si="8"/>
        <v>1</v>
      </c>
      <c r="AH23" s="27">
        <f t="shared" si="9"/>
        <v>0</v>
      </c>
      <c r="AI23" s="27">
        <f t="shared" si="10"/>
        <v>0</v>
      </c>
      <c r="AJ23" s="27">
        <f t="shared" ref="AJ23:AJ37" si="12">IF(F23=I23,$AF$7,IF(F23&gt;=$AJ$7,O23,$AF$7))</f>
        <v>0</v>
      </c>
      <c r="AK23" s="27">
        <f t="shared" si="11"/>
        <v>0</v>
      </c>
      <c r="AL23" s="224">
        <f>VLOOKUP(D23,'P Gerais'!$C$23:$I$29,7,FALSE)</f>
        <v>0</v>
      </c>
    </row>
    <row r="24" spans="3:38" ht="15" customHeight="1" x14ac:dyDescent="0.2">
      <c r="C24" s="59">
        <v>17</v>
      </c>
      <c r="D24" s="59" t="str">
        <f t="shared" si="3"/>
        <v>TER</v>
      </c>
      <c r="E24" s="93" t="s">
        <v>191</v>
      </c>
      <c r="F24" s="62"/>
      <c r="G24" s="62"/>
      <c r="H24" s="62"/>
      <c r="I24" s="62"/>
      <c r="J24" s="10"/>
      <c r="K24" s="60">
        <f t="shared" si="4"/>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5"/>
        <v>0</v>
      </c>
      <c r="Q24" s="178"/>
      <c r="R24" s="178"/>
      <c r="S24" s="178"/>
      <c r="V24" s="23">
        <f t="shared" si="0"/>
        <v>11</v>
      </c>
      <c r="W24" s="225">
        <f>DATE('P Gerais'!$C$6,$W$7,Nov!C24)</f>
        <v>42325</v>
      </c>
      <c r="X24" s="23">
        <f t="shared" si="6"/>
        <v>3</v>
      </c>
      <c r="AD24" s="27">
        <f t="shared" si="1"/>
        <v>0</v>
      </c>
      <c r="AE24" s="27">
        <f>VLOOKUP(D24,'P Gerais'!$C$23:$N$29,12,0)</f>
        <v>0</v>
      </c>
      <c r="AF24" s="27">
        <f t="shared" si="7"/>
        <v>0</v>
      </c>
      <c r="AG24" s="27">
        <f t="shared" si="8"/>
        <v>1</v>
      </c>
      <c r="AH24" s="27">
        <f t="shared" si="9"/>
        <v>0</v>
      </c>
      <c r="AI24" s="27">
        <f t="shared" si="10"/>
        <v>0</v>
      </c>
      <c r="AJ24" s="27">
        <f t="shared" si="12"/>
        <v>0</v>
      </c>
      <c r="AK24" s="27">
        <f t="shared" si="11"/>
        <v>0</v>
      </c>
      <c r="AL24" s="224">
        <f>VLOOKUP(D24,'P Gerais'!$C$23:$I$29,7,FALSE)</f>
        <v>0</v>
      </c>
    </row>
    <row r="25" spans="3:38" ht="15" customHeight="1" x14ac:dyDescent="0.2">
      <c r="C25" s="59">
        <v>18</v>
      </c>
      <c r="D25" s="59" t="str">
        <f t="shared" si="3"/>
        <v>QUA</v>
      </c>
      <c r="E25" s="93" t="s">
        <v>191</v>
      </c>
      <c r="F25" s="62"/>
      <c r="G25" s="62"/>
      <c r="H25" s="62"/>
      <c r="I25" s="62"/>
      <c r="J25" s="10"/>
      <c r="K25" s="60">
        <f t="shared" si="4"/>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5"/>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V25" s="23">
        <f t="shared" si="0"/>
        <v>11</v>
      </c>
      <c r="W25" s="225">
        <f>DATE('P Gerais'!$C$6,$W$7,Nov!C25)</f>
        <v>42326</v>
      </c>
      <c r="X25" s="23">
        <f t="shared" si="6"/>
        <v>4</v>
      </c>
      <c r="AD25" s="27">
        <f t="shared" si="1"/>
        <v>0</v>
      </c>
      <c r="AE25" s="27">
        <f>VLOOKUP(D25,'P Gerais'!$C$23:$N$29,12,0)</f>
        <v>0</v>
      </c>
      <c r="AF25" s="27">
        <f t="shared" si="7"/>
        <v>0</v>
      </c>
      <c r="AG25" s="27">
        <f t="shared" si="8"/>
        <v>1</v>
      </c>
      <c r="AH25" s="27">
        <f t="shared" si="9"/>
        <v>0</v>
      </c>
      <c r="AI25" s="27">
        <f t="shared" si="10"/>
        <v>0</v>
      </c>
      <c r="AJ25" s="27">
        <f t="shared" si="12"/>
        <v>0</v>
      </c>
      <c r="AK25" s="27">
        <f t="shared" si="11"/>
        <v>0</v>
      </c>
      <c r="AL25" s="224">
        <f>VLOOKUP(D25,'P Gerais'!$C$23:$I$29,7,FALSE)</f>
        <v>0</v>
      </c>
    </row>
    <row r="26" spans="3:38" ht="15" customHeight="1" x14ac:dyDescent="0.2">
      <c r="C26" s="59">
        <v>19</v>
      </c>
      <c r="D26" s="59" t="str">
        <f t="shared" si="3"/>
        <v>QUI</v>
      </c>
      <c r="E26" s="93" t="s">
        <v>191</v>
      </c>
      <c r="F26" s="62"/>
      <c r="G26" s="62"/>
      <c r="H26" s="62"/>
      <c r="I26" s="62"/>
      <c r="J26" s="10"/>
      <c r="K26" s="60">
        <f t="shared" si="4"/>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5"/>
        <v>0</v>
      </c>
      <c r="Q26" s="176"/>
      <c r="R26" s="176"/>
      <c r="S26" s="176"/>
      <c r="V26" s="23">
        <f t="shared" si="0"/>
        <v>11</v>
      </c>
      <c r="W26" s="225">
        <f>DATE('P Gerais'!$C$6,$W$7,Nov!C26)</f>
        <v>42327</v>
      </c>
      <c r="X26" s="23">
        <f t="shared" si="6"/>
        <v>5</v>
      </c>
      <c r="AD26" s="27">
        <f t="shared" si="1"/>
        <v>0</v>
      </c>
      <c r="AE26" s="27">
        <f>VLOOKUP(D26,'P Gerais'!$C$23:$N$29,12,0)</f>
        <v>0</v>
      </c>
      <c r="AF26" s="27">
        <f t="shared" si="7"/>
        <v>0</v>
      </c>
      <c r="AG26" s="27">
        <f t="shared" si="8"/>
        <v>1</v>
      </c>
      <c r="AH26" s="27">
        <f t="shared" si="9"/>
        <v>0</v>
      </c>
      <c r="AI26" s="27">
        <f t="shared" si="10"/>
        <v>0</v>
      </c>
      <c r="AJ26" s="27">
        <f t="shared" si="12"/>
        <v>0</v>
      </c>
      <c r="AK26" s="27">
        <f t="shared" si="11"/>
        <v>0</v>
      </c>
      <c r="AL26" s="224">
        <f>VLOOKUP(D26,'P Gerais'!$C$23:$I$29,7,FALSE)</f>
        <v>0</v>
      </c>
    </row>
    <row r="27" spans="3:38" ht="15" customHeight="1" x14ac:dyDescent="0.2">
      <c r="C27" s="59">
        <v>20</v>
      </c>
      <c r="D27" s="59" t="str">
        <f t="shared" si="3"/>
        <v>SEX</v>
      </c>
      <c r="E27" s="93" t="s">
        <v>191</v>
      </c>
      <c r="F27" s="62"/>
      <c r="G27" s="62"/>
      <c r="H27" s="62"/>
      <c r="I27" s="62"/>
      <c r="J27" s="10"/>
      <c r="K27" s="60">
        <f t="shared" si="4"/>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5"/>
        <v>0</v>
      </c>
      <c r="Q27" s="176"/>
      <c r="R27" s="176"/>
      <c r="S27" s="176"/>
      <c r="V27" s="23">
        <f t="shared" si="0"/>
        <v>11</v>
      </c>
      <c r="W27" s="225">
        <f>DATE('P Gerais'!$C$6,$W$7,Nov!C27)</f>
        <v>42328</v>
      </c>
      <c r="X27" s="23">
        <f t="shared" si="6"/>
        <v>6</v>
      </c>
      <c r="AD27" s="27">
        <f t="shared" si="1"/>
        <v>0</v>
      </c>
      <c r="AE27" s="27">
        <f>VLOOKUP(D27,'P Gerais'!$C$23:$N$29,12,0)</f>
        <v>0</v>
      </c>
      <c r="AF27" s="27">
        <f t="shared" si="7"/>
        <v>0</v>
      </c>
      <c r="AG27" s="27">
        <f t="shared" si="8"/>
        <v>1</v>
      </c>
      <c r="AH27" s="27">
        <f t="shared" si="9"/>
        <v>0</v>
      </c>
      <c r="AI27" s="27">
        <f t="shared" si="10"/>
        <v>0</v>
      </c>
      <c r="AJ27" s="27">
        <f t="shared" si="12"/>
        <v>0</v>
      </c>
      <c r="AK27" s="27">
        <f t="shared" si="11"/>
        <v>0</v>
      </c>
      <c r="AL27" s="224">
        <f>VLOOKUP(D27,'P Gerais'!$C$23:$I$29,7,FALSE)</f>
        <v>0</v>
      </c>
    </row>
    <row r="28" spans="3:38" ht="15" customHeight="1" x14ac:dyDescent="0.2">
      <c r="C28" s="59">
        <v>21</v>
      </c>
      <c r="D28" s="59" t="str">
        <f t="shared" si="3"/>
        <v>SÁB</v>
      </c>
      <c r="E28" s="93" t="s">
        <v>191</v>
      </c>
      <c r="F28" s="62"/>
      <c r="G28" s="62"/>
      <c r="H28" s="62"/>
      <c r="I28" s="62"/>
      <c r="J28" s="10"/>
      <c r="K28" s="60">
        <f t="shared" si="4"/>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5"/>
        <v>0</v>
      </c>
      <c r="Q28" s="176"/>
      <c r="R28" s="176"/>
      <c r="S28" s="176"/>
      <c r="V28" s="23">
        <f t="shared" si="0"/>
        <v>11</v>
      </c>
      <c r="W28" s="225">
        <f>DATE('P Gerais'!$C$6,$W$7,Nov!C28)</f>
        <v>42329</v>
      </c>
      <c r="X28" s="23">
        <f t="shared" si="6"/>
        <v>7</v>
      </c>
      <c r="AD28" s="27">
        <f t="shared" si="1"/>
        <v>0</v>
      </c>
      <c r="AE28" s="27">
        <f>VLOOKUP(D28,'P Gerais'!$C$23:$N$29,12,0)</f>
        <v>0</v>
      </c>
      <c r="AF28" s="27">
        <f t="shared" si="7"/>
        <v>0</v>
      </c>
      <c r="AG28" s="27">
        <f t="shared" si="8"/>
        <v>1</v>
      </c>
      <c r="AH28" s="27">
        <f t="shared" si="9"/>
        <v>0</v>
      </c>
      <c r="AI28" s="27">
        <f t="shared" si="10"/>
        <v>0</v>
      </c>
      <c r="AJ28" s="27">
        <f t="shared" si="12"/>
        <v>0</v>
      </c>
      <c r="AK28" s="27">
        <f t="shared" si="11"/>
        <v>0</v>
      </c>
      <c r="AL28" s="224">
        <f>VLOOKUP(D28,'P Gerais'!$C$23:$I$29,7,FALSE)</f>
        <v>0</v>
      </c>
    </row>
    <row r="29" spans="3:38" ht="15" customHeight="1" x14ac:dyDescent="0.2">
      <c r="C29" s="59">
        <v>22</v>
      </c>
      <c r="D29" s="59" t="str">
        <f t="shared" si="3"/>
        <v>DOM</v>
      </c>
      <c r="E29" s="93" t="s">
        <v>191</v>
      </c>
      <c r="F29" s="62"/>
      <c r="G29" s="62"/>
      <c r="H29" s="62"/>
      <c r="I29" s="62"/>
      <c r="J29" s="10"/>
      <c r="K29" s="60">
        <f t="shared" si="4"/>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5"/>
        <v>0</v>
      </c>
      <c r="Q29" s="176"/>
      <c r="R29" s="176"/>
      <c r="S29" s="176"/>
      <c r="V29" s="23">
        <f t="shared" si="0"/>
        <v>11</v>
      </c>
      <c r="W29" s="225">
        <f>DATE('P Gerais'!$C$6,$W$7,Nov!C29)</f>
        <v>42330</v>
      </c>
      <c r="X29" s="23">
        <f t="shared" si="6"/>
        <v>1</v>
      </c>
      <c r="AD29" s="27">
        <f t="shared" si="1"/>
        <v>0</v>
      </c>
      <c r="AE29" s="27">
        <f>VLOOKUP(D29,'P Gerais'!$C$23:$N$29,12,0)</f>
        <v>0</v>
      </c>
      <c r="AF29" s="27">
        <f t="shared" si="7"/>
        <v>0</v>
      </c>
      <c r="AG29" s="27">
        <f t="shared" si="8"/>
        <v>1</v>
      </c>
      <c r="AH29" s="27">
        <f t="shared" si="9"/>
        <v>0</v>
      </c>
      <c r="AI29" s="27">
        <f t="shared" si="10"/>
        <v>0</v>
      </c>
      <c r="AJ29" s="27">
        <f t="shared" si="12"/>
        <v>0</v>
      </c>
      <c r="AK29" s="27">
        <f t="shared" si="11"/>
        <v>0</v>
      </c>
      <c r="AL29" s="224">
        <f>VLOOKUP(D29,'P Gerais'!$C$23:$I$29,7,FALSE)</f>
        <v>0</v>
      </c>
    </row>
    <row r="30" spans="3:38" ht="15" customHeight="1" x14ac:dyDescent="0.2">
      <c r="C30" s="59">
        <v>23</v>
      </c>
      <c r="D30" s="59" t="str">
        <f t="shared" si="3"/>
        <v>SEG</v>
      </c>
      <c r="E30" s="93" t="s">
        <v>191</v>
      </c>
      <c r="F30" s="62"/>
      <c r="G30" s="62"/>
      <c r="H30" s="62"/>
      <c r="I30" s="62"/>
      <c r="J30" s="10"/>
      <c r="K30" s="60">
        <f t="shared" si="4"/>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5"/>
        <v>0</v>
      </c>
      <c r="Q30" s="176"/>
      <c r="R30" s="176"/>
      <c r="S30" s="176"/>
      <c r="V30" s="23">
        <f t="shared" si="0"/>
        <v>11</v>
      </c>
      <c r="W30" s="225">
        <f>DATE('P Gerais'!$C$6,$W$7,Nov!C30)</f>
        <v>42331</v>
      </c>
      <c r="X30" s="23">
        <f t="shared" si="6"/>
        <v>2</v>
      </c>
      <c r="AD30" s="27">
        <f t="shared" si="1"/>
        <v>0</v>
      </c>
      <c r="AE30" s="27">
        <f>VLOOKUP(D30,'P Gerais'!$C$23:$N$29,12,0)</f>
        <v>0</v>
      </c>
      <c r="AF30" s="27">
        <f t="shared" si="7"/>
        <v>0</v>
      </c>
      <c r="AG30" s="27">
        <f t="shared" si="8"/>
        <v>1</v>
      </c>
      <c r="AH30" s="27">
        <f t="shared" si="9"/>
        <v>0</v>
      </c>
      <c r="AI30" s="27">
        <f t="shared" si="10"/>
        <v>0</v>
      </c>
      <c r="AJ30" s="27">
        <f t="shared" si="12"/>
        <v>0</v>
      </c>
      <c r="AK30" s="27">
        <f t="shared" si="11"/>
        <v>0</v>
      </c>
      <c r="AL30" s="224">
        <f>VLOOKUP(D30,'P Gerais'!$C$23:$I$29,7,FALSE)</f>
        <v>0</v>
      </c>
    </row>
    <row r="31" spans="3:38" ht="15" customHeight="1" x14ac:dyDescent="0.2">
      <c r="C31" s="59">
        <v>24</v>
      </c>
      <c r="D31" s="59" t="str">
        <f t="shared" si="3"/>
        <v>TER</v>
      </c>
      <c r="E31" s="93" t="s">
        <v>191</v>
      </c>
      <c r="F31" s="62"/>
      <c r="G31" s="62"/>
      <c r="H31" s="62"/>
      <c r="I31" s="62"/>
      <c r="J31" s="10"/>
      <c r="K31" s="60">
        <f t="shared" si="4"/>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5"/>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V31" s="23">
        <f t="shared" si="0"/>
        <v>11</v>
      </c>
      <c r="W31" s="225">
        <f>DATE('P Gerais'!$C$6,$W$7,Nov!C31)</f>
        <v>42332</v>
      </c>
      <c r="X31" s="23">
        <f t="shared" si="6"/>
        <v>3</v>
      </c>
      <c r="AD31" s="27">
        <f t="shared" si="1"/>
        <v>0</v>
      </c>
      <c r="AE31" s="27">
        <f>VLOOKUP(D31,'P Gerais'!$C$23:$N$29,12,0)</f>
        <v>0</v>
      </c>
      <c r="AF31" s="27">
        <f t="shared" si="7"/>
        <v>0</v>
      </c>
      <c r="AG31" s="27">
        <f t="shared" si="8"/>
        <v>1</v>
      </c>
      <c r="AH31" s="27">
        <f t="shared" si="9"/>
        <v>0</v>
      </c>
      <c r="AI31" s="27">
        <f t="shared" si="10"/>
        <v>0</v>
      </c>
      <c r="AJ31" s="27">
        <f t="shared" si="12"/>
        <v>0</v>
      </c>
      <c r="AK31" s="27">
        <f t="shared" si="11"/>
        <v>0</v>
      </c>
      <c r="AL31" s="224">
        <f>VLOOKUP(D31,'P Gerais'!$C$23:$I$29,7,FALSE)</f>
        <v>0</v>
      </c>
    </row>
    <row r="32" spans="3:38" ht="15" customHeight="1" x14ac:dyDescent="0.2">
      <c r="C32" s="59">
        <v>25</v>
      </c>
      <c r="D32" s="59" t="str">
        <f t="shared" si="3"/>
        <v>QUA</v>
      </c>
      <c r="E32" s="93" t="s">
        <v>191</v>
      </c>
      <c r="F32" s="62"/>
      <c r="G32" s="62"/>
      <c r="H32" s="62"/>
      <c r="I32" s="62"/>
      <c r="J32" s="10"/>
      <c r="K32" s="60">
        <f t="shared" si="4"/>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5"/>
        <v>0</v>
      </c>
      <c r="Q32" s="176"/>
      <c r="R32" s="176"/>
      <c r="S32" s="176"/>
      <c r="V32" s="23">
        <f t="shared" si="0"/>
        <v>11</v>
      </c>
      <c r="W32" s="225">
        <f>DATE('P Gerais'!$C$6,$W$7,Nov!C32)</f>
        <v>42333</v>
      </c>
      <c r="X32" s="23">
        <f t="shared" si="6"/>
        <v>4</v>
      </c>
      <c r="AD32" s="27">
        <f t="shared" si="1"/>
        <v>0</v>
      </c>
      <c r="AE32" s="27">
        <f>VLOOKUP(D32,'P Gerais'!$C$23:$N$29,12,0)</f>
        <v>0</v>
      </c>
      <c r="AF32" s="27">
        <f t="shared" si="7"/>
        <v>0</v>
      </c>
      <c r="AG32" s="27">
        <f t="shared" si="8"/>
        <v>1</v>
      </c>
      <c r="AH32" s="27">
        <f t="shared" si="9"/>
        <v>0</v>
      </c>
      <c r="AI32" s="27">
        <f t="shared" si="10"/>
        <v>0</v>
      </c>
      <c r="AJ32" s="27">
        <f t="shared" si="12"/>
        <v>0</v>
      </c>
      <c r="AK32" s="27">
        <f t="shared" si="11"/>
        <v>0</v>
      </c>
      <c r="AL32" s="224">
        <f>VLOOKUP(D32,'P Gerais'!$C$23:$I$29,7,FALSE)</f>
        <v>0</v>
      </c>
    </row>
    <row r="33" spans="1:40" ht="15" customHeight="1" x14ac:dyDescent="0.2">
      <c r="C33" s="59">
        <v>26</v>
      </c>
      <c r="D33" s="59" t="str">
        <f t="shared" si="3"/>
        <v>QUI</v>
      </c>
      <c r="E33" s="93" t="s">
        <v>191</v>
      </c>
      <c r="F33" s="62"/>
      <c r="G33" s="62"/>
      <c r="H33" s="62"/>
      <c r="I33" s="62"/>
      <c r="J33" s="10"/>
      <c r="K33" s="60">
        <f t="shared" si="4"/>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5"/>
        <v>0</v>
      </c>
      <c r="Q33" s="176"/>
      <c r="R33" s="176"/>
      <c r="S33" s="176"/>
      <c r="V33" s="23">
        <f t="shared" si="0"/>
        <v>11</v>
      </c>
      <c r="W33" s="225">
        <f>DATE('P Gerais'!$C$6,$W$7,Nov!C33)</f>
        <v>42334</v>
      </c>
      <c r="X33" s="23">
        <f t="shared" si="6"/>
        <v>5</v>
      </c>
      <c r="AD33" s="27">
        <f t="shared" si="1"/>
        <v>0</v>
      </c>
      <c r="AE33" s="27">
        <f>VLOOKUP(D33,'P Gerais'!$C$23:$N$29,12,0)</f>
        <v>0</v>
      </c>
      <c r="AF33" s="27">
        <f t="shared" si="7"/>
        <v>0</v>
      </c>
      <c r="AG33" s="27">
        <f t="shared" si="8"/>
        <v>1</v>
      </c>
      <c r="AH33" s="27">
        <f t="shared" si="9"/>
        <v>0</v>
      </c>
      <c r="AI33" s="27">
        <f t="shared" si="10"/>
        <v>0</v>
      </c>
      <c r="AJ33" s="27">
        <f t="shared" si="12"/>
        <v>0</v>
      </c>
      <c r="AK33" s="27">
        <f t="shared" si="11"/>
        <v>0</v>
      </c>
      <c r="AL33" s="224">
        <f>VLOOKUP(D33,'P Gerais'!$C$23:$I$29,7,FALSE)</f>
        <v>0</v>
      </c>
    </row>
    <row r="34" spans="1:40" ht="15" customHeight="1" x14ac:dyDescent="0.2">
      <c r="C34" s="59">
        <v>27</v>
      </c>
      <c r="D34" s="59" t="str">
        <f t="shared" si="3"/>
        <v>SEX</v>
      </c>
      <c r="E34" s="93" t="s">
        <v>191</v>
      </c>
      <c r="F34" s="62"/>
      <c r="G34" s="62"/>
      <c r="H34" s="62"/>
      <c r="I34" s="62"/>
      <c r="J34" s="10"/>
      <c r="K34" s="60">
        <f t="shared" si="4"/>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5"/>
        <v>0</v>
      </c>
      <c r="Q34" s="176"/>
      <c r="R34" s="176"/>
      <c r="S34" s="176"/>
      <c r="V34" s="23">
        <f t="shared" si="0"/>
        <v>11</v>
      </c>
      <c r="W34" s="225">
        <f>DATE('P Gerais'!$C$6,$W$7,Nov!C34)</f>
        <v>42335</v>
      </c>
      <c r="X34" s="23">
        <f t="shared" si="6"/>
        <v>6</v>
      </c>
      <c r="AD34" s="27">
        <f t="shared" si="1"/>
        <v>0</v>
      </c>
      <c r="AE34" s="27">
        <f>VLOOKUP(D34,'P Gerais'!$C$23:$N$29,12,0)</f>
        <v>0</v>
      </c>
      <c r="AF34" s="27">
        <f t="shared" si="7"/>
        <v>0</v>
      </c>
      <c r="AG34" s="27">
        <f t="shared" si="8"/>
        <v>1</v>
      </c>
      <c r="AH34" s="27">
        <f t="shared" si="9"/>
        <v>0</v>
      </c>
      <c r="AI34" s="27">
        <f t="shared" si="10"/>
        <v>0</v>
      </c>
      <c r="AJ34" s="27">
        <f t="shared" si="12"/>
        <v>0</v>
      </c>
      <c r="AK34" s="27">
        <f t="shared" si="11"/>
        <v>0</v>
      </c>
      <c r="AL34" s="224">
        <f>VLOOKUP(D34,'P Gerais'!$C$23:$I$29,7,FALSE)</f>
        <v>0</v>
      </c>
    </row>
    <row r="35" spans="1:40" ht="15" customHeight="1" x14ac:dyDescent="0.2">
      <c r="C35" s="59">
        <v>28</v>
      </c>
      <c r="D35" s="59" t="str">
        <f t="shared" si="3"/>
        <v>SÁB</v>
      </c>
      <c r="E35" s="93" t="s">
        <v>191</v>
      </c>
      <c r="F35" s="62"/>
      <c r="G35" s="62"/>
      <c r="H35" s="62"/>
      <c r="I35" s="62"/>
      <c r="J35" s="10"/>
      <c r="K35" s="60">
        <f t="shared" si="4"/>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5"/>
        <v>0</v>
      </c>
      <c r="Q35" s="176"/>
      <c r="R35" s="176"/>
      <c r="S35" s="176"/>
      <c r="V35" s="23">
        <f t="shared" si="0"/>
        <v>11</v>
      </c>
      <c r="W35" s="225">
        <f>DATE('P Gerais'!$C$6,$W$7,Nov!C35)</f>
        <v>42336</v>
      </c>
      <c r="X35" s="23">
        <f t="shared" si="6"/>
        <v>7</v>
      </c>
      <c r="AD35" s="27">
        <f t="shared" si="1"/>
        <v>0</v>
      </c>
      <c r="AE35" s="27">
        <f>VLOOKUP(D35,'P Gerais'!$C$23:$N$29,12,0)</f>
        <v>0</v>
      </c>
      <c r="AF35" s="27">
        <f t="shared" si="7"/>
        <v>0</v>
      </c>
      <c r="AG35" s="27">
        <f t="shared" si="8"/>
        <v>1</v>
      </c>
      <c r="AH35" s="27">
        <f t="shared" si="9"/>
        <v>0</v>
      </c>
      <c r="AI35" s="27">
        <f t="shared" si="10"/>
        <v>0</v>
      </c>
      <c r="AJ35" s="27">
        <f t="shared" si="12"/>
        <v>0</v>
      </c>
      <c r="AK35" s="27">
        <f t="shared" si="11"/>
        <v>0</v>
      </c>
      <c r="AL35" s="224">
        <f>VLOOKUP(D35,'P Gerais'!$C$23:$I$29,7,FALSE)</f>
        <v>0</v>
      </c>
    </row>
    <row r="36" spans="1:40" ht="15" customHeight="1" x14ac:dyDescent="0.2">
      <c r="C36" s="59">
        <v>29</v>
      </c>
      <c r="D36" s="59" t="str">
        <f t="shared" si="3"/>
        <v>DOM</v>
      </c>
      <c r="E36" s="93" t="s">
        <v>191</v>
      </c>
      <c r="F36" s="62"/>
      <c r="G36" s="62"/>
      <c r="H36" s="62"/>
      <c r="I36" s="62"/>
      <c r="J36" s="10"/>
      <c r="K36" s="60">
        <f t="shared" si="4"/>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5"/>
        <v>0</v>
      </c>
      <c r="Q36" s="176"/>
      <c r="R36" s="176"/>
      <c r="S36" s="176"/>
      <c r="V36" s="23">
        <f t="shared" si="0"/>
        <v>11</v>
      </c>
      <c r="W36" s="225">
        <f>DATE('P Gerais'!$C$6,$W$7,Nov!C36)</f>
        <v>42337</v>
      </c>
      <c r="X36" s="23">
        <f t="shared" si="6"/>
        <v>1</v>
      </c>
      <c r="AD36" s="27">
        <f t="shared" si="1"/>
        <v>0</v>
      </c>
      <c r="AE36" s="27">
        <f>VLOOKUP(D36,'P Gerais'!$C$23:$N$29,12,0)</f>
        <v>0</v>
      </c>
      <c r="AF36" s="27">
        <f t="shared" si="7"/>
        <v>0</v>
      </c>
      <c r="AG36" s="27">
        <f t="shared" si="8"/>
        <v>1</v>
      </c>
      <c r="AH36" s="27">
        <f t="shared" si="9"/>
        <v>0</v>
      </c>
      <c r="AI36" s="27">
        <f t="shared" si="10"/>
        <v>0</v>
      </c>
      <c r="AJ36" s="27">
        <f t="shared" si="12"/>
        <v>0</v>
      </c>
      <c r="AK36" s="27">
        <f t="shared" si="11"/>
        <v>0</v>
      </c>
      <c r="AL36" s="224">
        <f>VLOOKUP(D36,'P Gerais'!$C$23:$I$29,7,FALSE)</f>
        <v>0</v>
      </c>
    </row>
    <row r="37" spans="1:40" ht="15" customHeight="1" x14ac:dyDescent="0.2">
      <c r="C37" s="59">
        <v>30</v>
      </c>
      <c r="D37" s="59" t="str">
        <f t="shared" si="3"/>
        <v>SEG</v>
      </c>
      <c r="E37" s="93" t="s">
        <v>191</v>
      </c>
      <c r="F37" s="62"/>
      <c r="G37" s="62"/>
      <c r="H37" s="62"/>
      <c r="I37" s="62"/>
      <c r="J37" s="10"/>
      <c r="K37" s="60">
        <f t="shared" si="4"/>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5"/>
        <v>0</v>
      </c>
      <c r="V37" s="23">
        <f t="shared" si="0"/>
        <v>11</v>
      </c>
      <c r="W37" s="225">
        <f>DATE('P Gerais'!$C$6,$W$7,Nov!C37)</f>
        <v>42338</v>
      </c>
      <c r="X37" s="23">
        <f t="shared" si="6"/>
        <v>2</v>
      </c>
      <c r="AD37" s="27">
        <f t="shared" si="1"/>
        <v>0</v>
      </c>
      <c r="AE37" s="27">
        <f>VLOOKUP(D37,'P Gerais'!$C$23:$N$29,12,0)</f>
        <v>0</v>
      </c>
      <c r="AF37" s="27">
        <f t="shared" si="7"/>
        <v>0</v>
      </c>
      <c r="AG37" s="27">
        <f t="shared" si="8"/>
        <v>1</v>
      </c>
      <c r="AH37" s="27">
        <f t="shared" si="9"/>
        <v>0</v>
      </c>
      <c r="AI37" s="27">
        <f t="shared" si="10"/>
        <v>0</v>
      </c>
      <c r="AJ37" s="27">
        <f t="shared" si="12"/>
        <v>0</v>
      </c>
      <c r="AK37" s="27">
        <f t="shared" si="11"/>
        <v>0</v>
      </c>
      <c r="AL37" s="224">
        <f>VLOOKUP(D37,'P Gerais'!$C$23:$I$29,7,FALSE)</f>
        <v>0</v>
      </c>
    </row>
    <row r="38" spans="1:40" ht="15" customHeight="1" x14ac:dyDescent="0.2">
      <c r="C38" s="15"/>
      <c r="D38" s="15"/>
      <c r="E38" s="65"/>
      <c r="F38" s="66"/>
      <c r="G38" s="66"/>
      <c r="H38" s="66"/>
      <c r="I38" s="66"/>
      <c r="J38" s="18"/>
      <c r="K38" s="63"/>
      <c r="L38" s="52"/>
      <c r="N38" s="52"/>
      <c r="O38" s="63"/>
      <c r="P38" s="2">
        <f t="shared" si="5"/>
        <v>0</v>
      </c>
      <c r="V38" s="23">
        <f>MONTH(W38)</f>
        <v>1</v>
      </c>
      <c r="W38" s="225"/>
      <c r="AD38" s="27"/>
      <c r="AE38" s="27"/>
      <c r="AF38" s="27">
        <f t="shared" si="7"/>
        <v>0</v>
      </c>
      <c r="AG38" s="27"/>
      <c r="AH38" s="27"/>
      <c r="AI38" s="27">
        <f t="shared" si="10"/>
        <v>0</v>
      </c>
      <c r="AJ38" s="27"/>
      <c r="AK38" s="27"/>
      <c r="AL38" s="224"/>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Gerais'!L18+'P Gerais'!L18*'P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85" priority="29" operator="containsText" text="Dom">
      <formula>NOT(ISERROR(SEARCH("Dom",D8)))</formula>
    </cfRule>
    <cfRule type="containsText" dxfId="84" priority="30" operator="containsText" text="Sáb">
      <formula>NOT(ISERROR(SEARCH("Sáb",D8)))</formula>
    </cfRule>
  </conditionalFormatting>
  <conditionalFormatting sqref="S13:S14">
    <cfRule type="expression" dxfId="83" priority="22">
      <formula>$S$15&gt;$S$17</formula>
    </cfRule>
  </conditionalFormatting>
  <conditionalFormatting sqref="M8:M37 K38">
    <cfRule type="expression" dxfId="82" priority="21">
      <formula>$M8&gt;0</formula>
    </cfRule>
  </conditionalFormatting>
  <conditionalFormatting sqref="O8:O38 K38">
    <cfRule type="expression" dxfId="81" priority="20">
      <formula>$O8&gt;0</formula>
    </cfRule>
  </conditionalFormatting>
  <conditionalFormatting sqref="F8:I38">
    <cfRule type="expression" dxfId="80" priority="17">
      <formula>$E8="Folga(DSR)"</formula>
    </cfRule>
    <cfRule type="expression" dxfId="79" priority="18">
      <formula>$E8="Feriado"</formula>
    </cfRule>
    <cfRule type="expression" dxfId="78" priority="19">
      <formula>$D8="Dom"</formula>
    </cfRule>
  </conditionalFormatting>
  <conditionalFormatting sqref="E38">
    <cfRule type="expression" dxfId="77" priority="14">
      <formula>$E38="Folga(DSR)"</formula>
    </cfRule>
    <cfRule type="expression" dxfId="76" priority="15">
      <formula>$E38="Feriado"</formula>
    </cfRule>
    <cfRule type="expression" dxfId="75" priority="16">
      <formula>$D38="Dom"</formula>
    </cfRule>
  </conditionalFormatting>
  <conditionalFormatting sqref="I5">
    <cfRule type="expression" dxfId="74" priority="13">
      <formula>$K$5="Negativo"</formula>
    </cfRule>
  </conditionalFormatting>
  <conditionalFormatting sqref="S11:S12">
    <cfRule type="expression" dxfId="73" priority="12">
      <formula>$T$11="Negativo"</formula>
    </cfRule>
  </conditionalFormatting>
  <conditionalFormatting sqref="E8:E37">
    <cfRule type="expression" dxfId="72" priority="9">
      <formula>$E8="Folga(DSR)"</formula>
    </cfRule>
    <cfRule type="expression" dxfId="71" priority="10">
      <formula>$E8="Feriado"</formula>
    </cfRule>
    <cfRule type="expression" dxfId="70" priority="11">
      <formula>$D8="Dom"</formula>
    </cfRule>
  </conditionalFormatting>
  <conditionalFormatting sqref="F40">
    <cfRule type="expression" dxfId="69" priority="6">
      <formula>$E40="Folga(DSR)"</formula>
    </cfRule>
    <cfRule type="expression" dxfId="68" priority="7">
      <formula>$E40="Feriado"</formula>
    </cfRule>
    <cfRule type="expression" dxfId="67" priority="8">
      <formula>$D40="Dom"</formula>
    </cfRule>
  </conditionalFormatting>
  <conditionalFormatting sqref="AJ7">
    <cfRule type="expression" dxfId="66" priority="3">
      <formula>$E7="Folga(DSR)"</formula>
    </cfRule>
    <cfRule type="expression" dxfId="65" priority="4">
      <formula>$E7="Feriado"</formula>
    </cfRule>
    <cfRule type="expression" dxfId="64" priority="5">
      <formula>$D7="Dom"</formula>
    </cfRule>
  </conditionalFormatting>
  <conditionalFormatting sqref="K8:K37">
    <cfRule type="expression" dxfId="63" priority="2">
      <formula>$M8&gt;0</formula>
    </cfRule>
  </conditionalFormatting>
  <conditionalFormatting sqref="K8:K37">
    <cfRule type="expression" dxfId="62"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T101"/>
  <sheetViews>
    <sheetView showGridLines="0" zoomScale="90" zoomScaleNormal="90" zoomScalePageLayoutView="90" workbookViewId="0">
      <selection activeCell="E17" sqref="E17"/>
    </sheetView>
  </sheetViews>
  <sheetFormatPr baseColWidth="10" defaultColWidth="8.796875" defaultRowHeight="0" customHeight="1" zeroHeight="1" x14ac:dyDescent="0.2"/>
  <cols>
    <col min="1" max="1" width="27.59765625" style="1" customWidth="1"/>
    <col min="2" max="2" width="3.59765625" customWidth="1"/>
    <col min="3" max="3" width="9.796875" customWidth="1"/>
    <col min="4" max="4" width="8.59765625" customWidth="1"/>
    <col min="5" max="5" width="14.796875" customWidth="1"/>
    <col min="6" max="6" width="15.3984375" customWidth="1"/>
    <col min="7" max="9" width="11.19921875" customWidth="1"/>
    <col min="10" max="10" width="1.59765625" customWidth="1"/>
    <col min="11" max="11" width="13.3984375" customWidth="1"/>
    <col min="12" max="12" width="1.59765625" customWidth="1"/>
    <col min="13" max="13" width="13.3984375" customWidth="1"/>
    <col min="14" max="14" width="1.59765625" customWidth="1"/>
    <col min="15" max="15" width="13.3984375" customWidth="1"/>
    <col min="16" max="16" width="1.59765625" customWidth="1"/>
    <col min="17" max="19" width="16.59765625" customWidth="1"/>
    <col min="20" max="20" width="8.796875" style="133"/>
    <col min="21" max="22" width="8.796875" style="23"/>
    <col min="23" max="23" width="11.3984375" style="23" bestFit="1" customWidth="1"/>
    <col min="24" max="33" width="8.796875" style="23"/>
    <col min="34" max="34" width="13.59765625" style="23" customWidth="1"/>
    <col min="35" max="36" width="8.796875" style="23"/>
    <col min="37" max="37" width="10" style="23" bestFit="1" customWidth="1"/>
    <col min="38" max="38" width="9.3984375" style="23" bestFit="1" customWidth="1"/>
    <col min="39" max="39" width="8.796875" style="23"/>
    <col min="40" max="40" width="8.796875" style="133"/>
    <col min="41" max="44" width="8.796875" style="2"/>
    <col min="45" max="46" width="8.796875" style="53"/>
  </cols>
  <sheetData>
    <row r="1" spans="1:46" s="3" customFormat="1" ht="34" customHeight="1" x14ac:dyDescent="0.3">
      <c r="A1" s="130" t="s">
        <v>192</v>
      </c>
      <c r="C1" s="4" t="s">
        <v>30</v>
      </c>
      <c r="T1" s="133"/>
      <c r="U1" s="23"/>
      <c r="V1" s="23"/>
      <c r="W1" s="23"/>
      <c r="X1" s="23"/>
      <c r="Y1" s="23"/>
      <c r="Z1" s="23"/>
      <c r="AA1" s="23"/>
      <c r="AB1" s="23"/>
      <c r="AC1" s="23"/>
      <c r="AD1" s="23"/>
      <c r="AE1" s="23"/>
      <c r="AF1" s="23"/>
      <c r="AG1" s="23"/>
      <c r="AH1" s="23"/>
      <c r="AI1" s="23"/>
      <c r="AJ1" s="23"/>
      <c r="AK1" s="23"/>
      <c r="AL1" s="23"/>
      <c r="AM1" s="23"/>
      <c r="AN1" s="133"/>
      <c r="AO1" s="22"/>
      <c r="AP1" s="22"/>
      <c r="AQ1" s="22"/>
      <c r="AR1" s="22"/>
      <c r="AS1" s="56"/>
      <c r="AT1" s="56"/>
    </row>
    <row r="2" spans="1:46" s="3" customFormat="1" ht="21.25" customHeight="1" x14ac:dyDescent="0.2">
      <c r="A2" s="1"/>
      <c r="T2" s="133"/>
      <c r="U2" s="23"/>
      <c r="V2" s="23"/>
      <c r="W2" s="23"/>
      <c r="X2" s="23"/>
      <c r="Y2" s="23"/>
      <c r="Z2" s="23"/>
      <c r="AA2" s="23"/>
      <c r="AB2" s="23"/>
      <c r="AC2" s="23"/>
      <c r="AD2" s="23"/>
      <c r="AE2" s="23"/>
      <c r="AF2" s="23"/>
      <c r="AG2" s="23"/>
      <c r="AH2" s="23"/>
      <c r="AI2" s="23"/>
      <c r="AJ2" s="23"/>
      <c r="AK2" s="23"/>
      <c r="AL2" s="23"/>
      <c r="AM2" s="23"/>
      <c r="AN2" s="133"/>
      <c r="AO2" s="22"/>
      <c r="AP2" s="22"/>
      <c r="AQ2" s="22"/>
      <c r="AR2" s="22"/>
      <c r="AS2" s="56"/>
      <c r="AT2" s="56"/>
    </row>
    <row r="3" spans="1:46" s="3" customFormat="1" ht="21.25" customHeight="1" x14ac:dyDescent="0.2">
      <c r="A3" s="1"/>
      <c r="T3" s="133"/>
      <c r="U3" s="23"/>
      <c r="V3" s="23"/>
      <c r="W3" s="23"/>
      <c r="X3" s="23"/>
      <c r="Y3" s="23"/>
      <c r="Z3" s="23"/>
      <c r="AA3" s="23"/>
      <c r="AB3" s="23"/>
      <c r="AC3" s="23"/>
      <c r="AD3" s="23"/>
      <c r="AE3" s="23"/>
      <c r="AF3" s="23"/>
      <c r="AG3" s="23"/>
      <c r="AH3" s="23"/>
      <c r="AI3" s="23"/>
      <c r="AJ3" s="23"/>
      <c r="AK3" s="23"/>
      <c r="AL3" s="23"/>
      <c r="AM3" s="23"/>
      <c r="AN3" s="133"/>
      <c r="AO3" s="22"/>
      <c r="AP3" s="22"/>
      <c r="AQ3" s="22"/>
      <c r="AR3" s="22"/>
      <c r="AS3" s="56"/>
      <c r="AT3" s="56"/>
    </row>
    <row r="4" spans="1:46" ht="30" customHeight="1" x14ac:dyDescent="0.2">
      <c r="M4" s="14"/>
    </row>
    <row r="5" spans="1:46" ht="30" customHeight="1" x14ac:dyDescent="0.2">
      <c r="C5" s="173" t="s">
        <v>189</v>
      </c>
      <c r="D5" s="173"/>
      <c r="E5" s="173"/>
      <c r="F5" s="173"/>
      <c r="G5" s="173"/>
      <c r="H5" s="173"/>
      <c r="I5" s="112">
        <f>Nov!S11</f>
        <v>0</v>
      </c>
      <c r="K5" s="2" t="str">
        <f>IF(Nov!T11="Negativo","Negativo","Positivo")</f>
        <v>Positivo</v>
      </c>
      <c r="S5" s="2">
        <f>IF(S17&gt;'P Gerais'!G6/10,1,0)</f>
        <v>0</v>
      </c>
      <c r="AI5" s="27"/>
      <c r="AJ5" s="27"/>
    </row>
    <row r="6" spans="1:46" ht="7.75" customHeight="1" x14ac:dyDescent="0.2">
      <c r="K6" s="12"/>
      <c r="M6" s="11"/>
      <c r="O6" s="11"/>
    </row>
    <row r="7" spans="1:46" ht="15" customHeight="1" x14ac:dyDescent="0.2">
      <c r="C7" s="168" t="s">
        <v>64</v>
      </c>
      <c r="D7" s="168"/>
      <c r="E7" s="59" t="s">
        <v>72</v>
      </c>
      <c r="F7" s="59" t="s">
        <v>0</v>
      </c>
      <c r="G7" s="168" t="s">
        <v>73</v>
      </c>
      <c r="H7" s="168"/>
      <c r="I7" s="59" t="s">
        <v>74</v>
      </c>
      <c r="K7" s="59" t="s">
        <v>75</v>
      </c>
      <c r="M7" s="59" t="s">
        <v>76</v>
      </c>
      <c r="O7" s="59" t="s">
        <v>77</v>
      </c>
      <c r="P7" s="13">
        <v>8.3333333333333329E-2</v>
      </c>
      <c r="Q7" s="168" t="s">
        <v>78</v>
      </c>
      <c r="R7" s="168"/>
      <c r="S7" s="168"/>
      <c r="W7" s="23">
        <v>12</v>
      </c>
      <c r="AD7" s="23" t="s">
        <v>194</v>
      </c>
      <c r="AF7" s="222">
        <v>0</v>
      </c>
      <c r="AG7" s="27">
        <v>1</v>
      </c>
      <c r="AH7" s="27">
        <v>0.45833333333333331</v>
      </c>
      <c r="AI7" s="27">
        <v>0.20833333333333334</v>
      </c>
      <c r="AJ7" s="223">
        <v>0.75</v>
      </c>
      <c r="AK7" s="27">
        <v>0.91666666666666663</v>
      </c>
      <c r="AL7" s="224"/>
    </row>
    <row r="8" spans="1:46" ht="15" customHeight="1" x14ac:dyDescent="0.2">
      <c r="C8" s="59">
        <v>1</v>
      </c>
      <c r="D8" s="59" t="str">
        <f>VLOOKUP(X8,$AB$8:$AC$14,2,0)</f>
        <v>TER</v>
      </c>
      <c r="E8" s="93" t="s">
        <v>191</v>
      </c>
      <c r="F8" s="62"/>
      <c r="G8" s="62"/>
      <c r="H8" s="62"/>
      <c r="I8" s="62"/>
      <c r="J8" s="10"/>
      <c r="K8" s="60">
        <f>IF(ABS(((F8-1)-G8)+(H8-I8))&gt;=1,ABS(((F8-1)-G8)+(H8-I8))-1,ABS(((F8-1)-G8)+(H8-I8)))</f>
        <v>0</v>
      </c>
      <c r="L8" s="51"/>
      <c r="M8" s="60">
        <f>IF(E8="Falta Justificada",0,IF(E8="Feriado",0,IF(E8="Folga(DSR)",0,IF(VLOOKUP(D8,'P Gerais'!$C$23:$M$29,11,0)-K8&gt;0,VLOOKUP(D8,'P Gerais'!$C$23:$M$29,11,0)-K8,0))))</f>
        <v>0</v>
      </c>
      <c r="N8" s="51"/>
      <c r="O8" s="60">
        <f>IF(E8="Feriado",IF(F8&gt;I8,(I8+1-F8)-(H8-G8),(I8-F8)-(H8-G8)),IF(E8="Folga(DSR)",IF(F8&gt;I8,(I8+1-F8)-(H8-G8),(I8-F8)-(H8-G8)),IF(E8="Falta Justificada",IF(F8&gt;I8,(I8+1-F8)-(H8-G8),(I8-F8)-(H8-G8)),IF(VLOOKUP(D8,'P Gerais'!$C$23:$M$29,11,0)-K8&lt;0,ABS(VLOOKUP(D8,'P Gerais'!$C$23:$M$29,11,0)-K8),0))))</f>
        <v>0</v>
      </c>
      <c r="P8" s="2">
        <f>IF(O8&gt;$P$7,1,0)</f>
        <v>0</v>
      </c>
      <c r="Q8" s="168"/>
      <c r="R8" s="168"/>
      <c r="S8" s="168"/>
      <c r="W8" s="225">
        <f>DATE('P Gerais'!$C$6,$W$7,Dez!C8)</f>
        <v>42339</v>
      </c>
      <c r="X8" s="23">
        <f>WEEKDAY(W8)</f>
        <v>3</v>
      </c>
      <c r="AB8" s="23">
        <v>1</v>
      </c>
      <c r="AC8" s="15" t="s">
        <v>50</v>
      </c>
      <c r="AD8" s="27">
        <f t="shared" ref="AD8:AD37" si="0">H8-G8</f>
        <v>0</v>
      </c>
      <c r="AE8" s="27">
        <f>VLOOKUP(D8,'P Gerais'!$C$23:$N$29,12,0)</f>
        <v>0</v>
      </c>
      <c r="AF8" s="27">
        <f>IF(AE8-AD8&lt;0,0,IF(OR(G8="",G8=0),0,AE8-AD8))</f>
        <v>0</v>
      </c>
      <c r="AG8" s="27">
        <f>($AG$7-I8)+F8</f>
        <v>1</v>
      </c>
      <c r="AH8" s="27">
        <f>IF(AG8&lt;$AH$7,$AH$7-AG8,$AF$7)</f>
        <v>0</v>
      </c>
      <c r="AI8" s="27">
        <f>IF(F8=I8,$AF$7,IF(F8&lt;$AI$7,$AI$7-F8,$AF$7))</f>
        <v>0</v>
      </c>
      <c r="AJ8" s="27">
        <f t="shared" ref="AJ8:AJ21" si="1">IF(F8=I8,$AF$7,IF(F8&gt;=$AJ$7,O8,$AF$7))</f>
        <v>0</v>
      </c>
      <c r="AK8" s="27">
        <f>IF(AND(I8&gt;$AK$7,I8&gt;AL8),I8-AL8,$AF$7)</f>
        <v>0</v>
      </c>
      <c r="AL8" s="224">
        <f>VLOOKUP(D8,'P Gerais'!$C$23:$I$29,7,FALSE)</f>
        <v>0</v>
      </c>
    </row>
    <row r="9" spans="1:46" ht="15" customHeight="1" x14ac:dyDescent="0.2">
      <c r="C9" s="59">
        <v>2</v>
      </c>
      <c r="D9" s="59" t="str">
        <f t="shared" ref="D9:D38" si="2">VLOOKUP(X9,$AB$8:$AC$14,2,0)</f>
        <v>QUA</v>
      </c>
      <c r="E9" s="93" t="s">
        <v>191</v>
      </c>
      <c r="F9" s="62"/>
      <c r="G9" s="62"/>
      <c r="H9" s="62"/>
      <c r="I9" s="62"/>
      <c r="J9" s="10"/>
      <c r="K9" s="60">
        <f t="shared" ref="K9:K38" si="3">IF(ABS(((F9-1)-G9)+(H9-I9))&gt;=1,ABS(((F9-1)-G9)+(H9-I9))-1,ABS(((F9-1)-G9)+(H9-I9)))</f>
        <v>0</v>
      </c>
      <c r="L9" s="51"/>
      <c r="M9" s="60">
        <f>IF(E9="Falta Justificada",0,IF(E9="Feriado",0,IF(E9="Folga(DSR)",0,IF(VLOOKUP(D9,'P Gerais'!$C$23:$M$29,11,0)-K9&gt;0,VLOOKUP(D9,'P Gerais'!$C$23:$M$29,11,0)-K9,0))))</f>
        <v>0</v>
      </c>
      <c r="N9" s="51"/>
      <c r="O9" s="60">
        <f>IF(E9="Feriado",IF(F9&gt;I9,(I9+1-F9)-(H9-G9),(I9-F9)-(H9-G9)),IF(E9="Folga(DSR)",IF(F9&gt;I9,(I9+1-F9)-(H9-G9),(I9-F9)-(H9-G9)),IF(E9="Falta Justificada",IF(F9&gt;I9,(I9+1-F9)-(H9-G9),(I9-F9)-(H9-G9)),IF(VLOOKUP(D9,'P Gerais'!$C$23:$M$29,11,0)-K9&lt;0,ABS(VLOOKUP(D9,'P Gerais'!$C$23:$M$29,11,0)-K9),0))))</f>
        <v>0</v>
      </c>
      <c r="P9" s="2">
        <f t="shared" ref="P9:P38" si="4">IF(O9&gt;$P$7,1,0)</f>
        <v>0</v>
      </c>
      <c r="Q9" s="175" t="s">
        <v>79</v>
      </c>
      <c r="R9" s="175"/>
      <c r="S9" s="172">
        <f>SUM(K8:K38)</f>
        <v>0</v>
      </c>
      <c r="W9" s="225">
        <f>DATE('P Gerais'!$C$6,$W$7,Dez!C9)</f>
        <v>42340</v>
      </c>
      <c r="X9" s="23">
        <f t="shared" ref="X9:X38" si="5">WEEKDAY(W9)</f>
        <v>4</v>
      </c>
      <c r="AB9" s="23">
        <v>2</v>
      </c>
      <c r="AC9" s="15" t="s">
        <v>44</v>
      </c>
      <c r="AD9" s="27">
        <f t="shared" si="0"/>
        <v>0</v>
      </c>
      <c r="AE9" s="27">
        <f>VLOOKUP(D9,'P Gerais'!$C$23:$N$29,12,0)</f>
        <v>0</v>
      </c>
      <c r="AF9" s="27">
        <f t="shared" ref="AF9:AF38" si="6">IF(AE9-AD9&lt;0,0,IF(OR(G9="",G9=0),0,AE9-AD9))</f>
        <v>0</v>
      </c>
      <c r="AG9" s="27">
        <f t="shared" ref="AG9:AG37" si="7">($AG$7-I9)+F9</f>
        <v>1</v>
      </c>
      <c r="AH9" s="27">
        <f t="shared" ref="AH9:AH37" si="8">IF(AG9&lt;$AH$7,$AH$7-AG9,$AF$7)</f>
        <v>0</v>
      </c>
      <c r="AI9" s="27">
        <f t="shared" ref="AI9:AI38" si="9">IF(F9=I9,$AF$7,IF(F9&lt;$AI$7,$AI$7-F9,$AF$7))</f>
        <v>0</v>
      </c>
      <c r="AJ9" s="27">
        <f t="shared" si="1"/>
        <v>0</v>
      </c>
      <c r="AK9" s="27">
        <f t="shared" ref="AK9:AK37" si="10">IF(AND(I9&gt;$AK$7,I9&gt;AL9),I9-AL9,$AF$7)</f>
        <v>0</v>
      </c>
      <c r="AL9" s="224">
        <f>VLOOKUP(D9,'P Gerais'!$C$23:$I$29,7,FALSE)</f>
        <v>0</v>
      </c>
    </row>
    <row r="10" spans="1:46" ht="15" customHeight="1" x14ac:dyDescent="0.2">
      <c r="C10" s="59">
        <v>3</v>
      </c>
      <c r="D10" s="59" t="str">
        <f t="shared" si="2"/>
        <v>QUI</v>
      </c>
      <c r="E10" s="93" t="s">
        <v>191</v>
      </c>
      <c r="F10" s="62"/>
      <c r="G10" s="62"/>
      <c r="H10" s="62"/>
      <c r="I10" s="62"/>
      <c r="J10" s="10"/>
      <c r="K10" s="60">
        <f t="shared" si="3"/>
        <v>0</v>
      </c>
      <c r="L10" s="51"/>
      <c r="M10" s="60">
        <f>IF(E10="Falta Justificada",0,IF(E10="Feriado",0,IF(E10="Folga(DSR)",0,IF(VLOOKUP(D10,'P Gerais'!$C$23:$M$29,11,0)-K10&gt;0,VLOOKUP(D10,'P Gerais'!$C$23:$M$29,11,0)-K10,0))))</f>
        <v>0</v>
      </c>
      <c r="N10" s="51"/>
      <c r="O10" s="60">
        <f>IF(E10="Feriado",IF(F10&gt;I10,(I10+1-F10)-(H10-G10),(I10-F10)-(H10-G10)),IF(E10="Folga(DSR)",IF(F10&gt;I10,(I10+1-F10)-(H10-G10),(I10-F10)-(H10-G10)),IF(E10="Falta Justificada",IF(F10&gt;I10,(I10+1-F10)-(H10-G10),(I10-F10)-(H10-G10)),IF(VLOOKUP(D10,'P Gerais'!$C$23:$M$29,11,0)-K10&lt;0,ABS(VLOOKUP(D10,'P Gerais'!$C$23:$M$29,11,0)-K10),0))))</f>
        <v>0</v>
      </c>
      <c r="P10" s="2">
        <f t="shared" si="4"/>
        <v>0</v>
      </c>
      <c r="Q10" s="175"/>
      <c r="R10" s="175"/>
      <c r="S10" s="172"/>
      <c r="W10" s="225">
        <f>DATE('P Gerais'!$C$6,$W$7,Dez!C10)</f>
        <v>42341</v>
      </c>
      <c r="X10" s="23">
        <f t="shared" si="5"/>
        <v>5</v>
      </c>
      <c r="AB10" s="23">
        <v>3</v>
      </c>
      <c r="AC10" s="15" t="s">
        <v>45</v>
      </c>
      <c r="AD10" s="27">
        <f t="shared" si="0"/>
        <v>0</v>
      </c>
      <c r="AE10" s="27">
        <f>VLOOKUP(D10,'P Gerais'!$C$23:$N$29,12,0)</f>
        <v>0</v>
      </c>
      <c r="AF10" s="27">
        <f t="shared" si="6"/>
        <v>0</v>
      </c>
      <c r="AG10" s="27">
        <f t="shared" si="7"/>
        <v>1</v>
      </c>
      <c r="AH10" s="27">
        <f t="shared" si="8"/>
        <v>0</v>
      </c>
      <c r="AI10" s="27">
        <f t="shared" si="9"/>
        <v>0</v>
      </c>
      <c r="AJ10" s="27">
        <f t="shared" si="1"/>
        <v>0</v>
      </c>
      <c r="AK10" s="27">
        <f>IF(AND(I10&gt;$AK$7,I10&gt;AL10),I10-AL10,$AF$7)</f>
        <v>0</v>
      </c>
      <c r="AL10" s="224">
        <f>VLOOKUP(D10,'P Gerais'!$C$23:$I$29,7,FALSE)</f>
        <v>0</v>
      </c>
    </row>
    <row r="11" spans="1:46" ht="15" customHeight="1" x14ac:dyDescent="0.2">
      <c r="C11" s="59">
        <v>4</v>
      </c>
      <c r="D11" s="59" t="str">
        <f t="shared" si="2"/>
        <v>SEX</v>
      </c>
      <c r="E11" s="93" t="s">
        <v>191</v>
      </c>
      <c r="F11" s="62"/>
      <c r="G11" s="62"/>
      <c r="H11" s="62"/>
      <c r="I11" s="62"/>
      <c r="J11" s="10"/>
      <c r="K11" s="60">
        <f t="shared" si="3"/>
        <v>0</v>
      </c>
      <c r="L11" s="51"/>
      <c r="M11" s="60">
        <f>IF(E11="Falta Justificada",0,IF(E11="Feriado",0,IF(E11="Folga(DSR)",0,IF(VLOOKUP(D11,'P Gerais'!$C$23:$M$29,11,0)-K11&gt;0,VLOOKUP(D11,'P Gerais'!$C$23:$M$29,11,0)-K11,0))))</f>
        <v>0</v>
      </c>
      <c r="N11" s="51"/>
      <c r="O11" s="60">
        <f>IF(E11="Feriado",IF(F11&gt;I11,(I11+1-F11)-(H11-G11),(I11-F11)-(H11-G11)),IF(E11="Folga(DSR)",IF(F11&gt;I11,(I11+1-F11)-(H11-G11),(I11-F11)-(H11-G11)),IF(E11="Falta Justificada",IF(F11&gt;I11,(I11+1-F11)-(H11-G11),(I11-F11)-(H11-G11)),IF(VLOOKUP(D11,'P Gerais'!$C$23:$M$29,11,0)-K11&lt;0,ABS(VLOOKUP(D11,'P Gerais'!$C$23:$M$29,11,0)-K11),0))))</f>
        <v>0</v>
      </c>
      <c r="P11" s="2">
        <f t="shared" si="4"/>
        <v>0</v>
      </c>
      <c r="Q11" s="175" t="s">
        <v>80</v>
      </c>
      <c r="R11" s="175"/>
      <c r="S11" s="172">
        <f>IF(K5="Negativo",ABS(-I5+S17-S15),ABS(I5+S17-S15))</f>
        <v>0</v>
      </c>
      <c r="T11" s="133" t="str">
        <f>IF(S15&gt;S17+IF(K5="Negativo",-I5,I5),"Negativo","Positivo")</f>
        <v>Positivo</v>
      </c>
      <c r="W11" s="225">
        <f>DATE('P Gerais'!$C$6,$W$7,Dez!C11)</f>
        <v>42342</v>
      </c>
      <c r="X11" s="23">
        <f t="shared" si="5"/>
        <v>6</v>
      </c>
      <c r="AB11" s="23">
        <v>4</v>
      </c>
      <c r="AC11" s="15" t="s">
        <v>46</v>
      </c>
      <c r="AD11" s="27">
        <f t="shared" si="0"/>
        <v>0</v>
      </c>
      <c r="AE11" s="27">
        <f>VLOOKUP(D11,'P Gerais'!$C$23:$N$29,12,0)</f>
        <v>0</v>
      </c>
      <c r="AF11" s="27">
        <f t="shared" si="6"/>
        <v>0</v>
      </c>
      <c r="AG11" s="27">
        <f t="shared" si="7"/>
        <v>1</v>
      </c>
      <c r="AH11" s="27">
        <f t="shared" si="8"/>
        <v>0</v>
      </c>
      <c r="AI11" s="27">
        <f t="shared" si="9"/>
        <v>0</v>
      </c>
      <c r="AJ11" s="27">
        <f t="shared" si="1"/>
        <v>0</v>
      </c>
      <c r="AK11" s="27">
        <f t="shared" si="10"/>
        <v>0</v>
      </c>
      <c r="AL11" s="224">
        <f>VLOOKUP(D11,'P Gerais'!$C$23:$I$29,7,FALSE)</f>
        <v>0</v>
      </c>
    </row>
    <row r="12" spans="1:46" ht="15" customHeight="1" x14ac:dyDescent="0.2">
      <c r="C12" s="59">
        <v>5</v>
      </c>
      <c r="D12" s="59" t="str">
        <f t="shared" si="2"/>
        <v>SÁB</v>
      </c>
      <c r="E12" s="93" t="s">
        <v>191</v>
      </c>
      <c r="F12" s="62"/>
      <c r="G12" s="62"/>
      <c r="H12" s="62"/>
      <c r="I12" s="62"/>
      <c r="J12" s="10"/>
      <c r="K12" s="60">
        <f t="shared" si="3"/>
        <v>0</v>
      </c>
      <c r="L12" s="51"/>
      <c r="M12" s="60">
        <f>IF(E12="Falta Justificada",0,IF(E12="Feriado",0,IF(E12="Folga(DSR)",0,IF(VLOOKUP(D12,'P Gerais'!$C$23:$M$29,11,0)-K12&gt;0,VLOOKUP(D12,'P Gerais'!$C$23:$M$29,11,0)-K12,0))))</f>
        <v>0</v>
      </c>
      <c r="N12" s="51"/>
      <c r="O12" s="60">
        <f>IF(E12="Feriado",IF(F12&gt;I12,(I12+1-F12)-(H12-G12),(I12-F12)-(H12-G12)),IF(E12="Folga(DSR)",IF(F12&gt;I12,(I12+1-F12)-(H12-G12),(I12-F12)-(H12-G12)),IF(E12="Falta Justificada",IF(F12&gt;I12,(I12+1-F12)-(H12-G12),(I12-F12)-(H12-G12)),IF(VLOOKUP(D12,'P Gerais'!$C$23:$M$29,11,0)-K12&lt;0,ABS(VLOOKUP(D12,'P Gerais'!$C$23:$M$29,11,0)-K12),0))))</f>
        <v>0</v>
      </c>
      <c r="P12" s="2">
        <f t="shared" si="4"/>
        <v>0</v>
      </c>
      <c r="Q12" s="175"/>
      <c r="R12" s="175"/>
      <c r="S12" s="172"/>
      <c r="W12" s="225">
        <f>DATE('P Gerais'!$C$6,$W$7,Dez!C12)</f>
        <v>42343</v>
      </c>
      <c r="X12" s="23">
        <f t="shared" si="5"/>
        <v>7</v>
      </c>
      <c r="AB12" s="23">
        <v>5</v>
      </c>
      <c r="AC12" s="15" t="s">
        <v>47</v>
      </c>
      <c r="AD12" s="27">
        <f t="shared" si="0"/>
        <v>0</v>
      </c>
      <c r="AE12" s="27">
        <f>VLOOKUP(D12,'P Gerais'!$C$23:$N$29,12,0)</f>
        <v>0</v>
      </c>
      <c r="AF12" s="27">
        <f t="shared" si="6"/>
        <v>0</v>
      </c>
      <c r="AG12" s="27">
        <f t="shared" si="7"/>
        <v>1</v>
      </c>
      <c r="AH12" s="27">
        <f t="shared" si="8"/>
        <v>0</v>
      </c>
      <c r="AI12" s="27">
        <f t="shared" si="9"/>
        <v>0</v>
      </c>
      <c r="AJ12" s="27">
        <f t="shared" si="1"/>
        <v>0</v>
      </c>
      <c r="AK12" s="27">
        <f t="shared" si="10"/>
        <v>0</v>
      </c>
      <c r="AL12" s="224">
        <f>VLOOKUP(D12,'P Gerais'!$C$23:$I$29,7,FALSE)</f>
        <v>0</v>
      </c>
    </row>
    <row r="13" spans="1:46" ht="15" customHeight="1" x14ac:dyDescent="0.2">
      <c r="C13" s="59">
        <v>6</v>
      </c>
      <c r="D13" s="59" t="str">
        <f t="shared" si="2"/>
        <v>DOM</v>
      </c>
      <c r="E13" s="93" t="s">
        <v>191</v>
      </c>
      <c r="F13" s="62"/>
      <c r="G13" s="62"/>
      <c r="H13" s="62"/>
      <c r="I13" s="62"/>
      <c r="J13" s="10"/>
      <c r="K13" s="60">
        <f t="shared" si="3"/>
        <v>0</v>
      </c>
      <c r="L13" s="51"/>
      <c r="M13" s="60">
        <f>IF(E13="Falta Justificada",0,IF(E13="Feriado",0,IF(E13="Folga(DSR)",0,IF(VLOOKUP(D13,'P Gerais'!$C$23:$M$29,11,0)-K13&gt;0,VLOOKUP(D13,'P Gerais'!$C$23:$M$29,11,0)-K13,0))))</f>
        <v>0</v>
      </c>
      <c r="N13" s="51"/>
      <c r="O13" s="60">
        <f>IF(E13="Feriado",IF(F13&gt;I13,(I13+1-F13)-(H13-G13),(I13-F13)-(H13-G13)),IF(E13="Folga(DSR)",IF(F13&gt;I13,(I13+1-F13)-(H13-G13),(I13-F13)-(H13-G13)),IF(E13="Falta Justificada",IF(F13&gt;I13,(I13+1-F13)-(H13-G13),(I13-F13)-(H13-G13)),IF(VLOOKUP(D13,'P Gerais'!$C$23:$M$29,11,0)-K13&lt;0,ABS(VLOOKUP(D13,'P Gerais'!$C$23:$M$29,11,0)-K13),0))))</f>
        <v>0</v>
      </c>
      <c r="P13" s="2">
        <f t="shared" si="4"/>
        <v>0</v>
      </c>
      <c r="Q13" s="179" t="s">
        <v>193</v>
      </c>
      <c r="R13" s="180"/>
      <c r="S13" s="172">
        <f>IF(S15&gt;=S17,(S15)-S17,(S17-S15))</f>
        <v>0</v>
      </c>
      <c r="T13" s="133" t="str">
        <f>IF(S15&gt;S17,"Negativo","Positivo")</f>
        <v>Positivo</v>
      </c>
      <c r="W13" s="225">
        <f>DATE('P Gerais'!$C$6,$W$7,Dez!C13)</f>
        <v>42344</v>
      </c>
      <c r="X13" s="23">
        <f t="shared" si="5"/>
        <v>1</v>
      </c>
      <c r="AB13" s="23">
        <v>6</v>
      </c>
      <c r="AC13" s="15" t="s">
        <v>48</v>
      </c>
      <c r="AD13" s="27">
        <f t="shared" si="0"/>
        <v>0</v>
      </c>
      <c r="AE13" s="27">
        <f>VLOOKUP(D13,'P Gerais'!$C$23:$N$29,12,0)</f>
        <v>0</v>
      </c>
      <c r="AF13" s="27">
        <f t="shared" si="6"/>
        <v>0</v>
      </c>
      <c r="AG13" s="27">
        <f t="shared" si="7"/>
        <v>1</v>
      </c>
      <c r="AH13" s="27">
        <f t="shared" si="8"/>
        <v>0</v>
      </c>
      <c r="AI13" s="27">
        <f t="shared" si="9"/>
        <v>0</v>
      </c>
      <c r="AJ13" s="27">
        <f t="shared" si="1"/>
        <v>0</v>
      </c>
      <c r="AK13" s="27">
        <f t="shared" si="10"/>
        <v>0</v>
      </c>
      <c r="AL13" s="224">
        <f>VLOOKUP(D13,'P Gerais'!$C$23:$I$29,7,FALSE)</f>
        <v>0</v>
      </c>
    </row>
    <row r="14" spans="1:46" ht="15" customHeight="1" x14ac:dyDescent="0.2">
      <c r="C14" s="59">
        <v>7</v>
      </c>
      <c r="D14" s="59" t="str">
        <f t="shared" si="2"/>
        <v>SEG</v>
      </c>
      <c r="E14" s="93" t="s">
        <v>191</v>
      </c>
      <c r="F14" s="62"/>
      <c r="G14" s="62"/>
      <c r="H14" s="62"/>
      <c r="I14" s="62"/>
      <c r="J14" s="10"/>
      <c r="K14" s="60">
        <f t="shared" si="3"/>
        <v>0</v>
      </c>
      <c r="L14" s="51"/>
      <c r="M14" s="60">
        <f>IF(E14="Falta Justificada",0,IF(E14="Feriado",0,IF(E14="Folga(DSR)",0,IF(VLOOKUP(D14,'P Gerais'!$C$23:$M$29,11,0)-K14&gt;0,VLOOKUP(D14,'P Gerais'!$C$23:$M$29,11,0)-K14,0))))</f>
        <v>0</v>
      </c>
      <c r="N14" s="51"/>
      <c r="O14" s="60">
        <f>IF(E14="Feriado",IF(F14&gt;I14,(I14+1-F14)-(H14-G14),(I14-F14)-(H14-G14)),IF(E14="Folga(DSR)",IF(F14&gt;I14,(I14+1-F14)-(H14-G14),(I14-F14)-(H14-G14)),IF(E14="Falta Justificada",IF(F14&gt;I14,(I14+1-F14)-(H14-G14),(I14-F14)-(H14-G14)),IF(VLOOKUP(D14,'P Gerais'!$C$23:$M$29,11,0)-K14&lt;0,ABS(VLOOKUP(D14,'P Gerais'!$C$23:$M$29,11,0)-K14),0))))</f>
        <v>0</v>
      </c>
      <c r="P14" s="2">
        <f t="shared" si="4"/>
        <v>0</v>
      </c>
      <c r="Q14" s="181"/>
      <c r="R14" s="182"/>
      <c r="S14" s="172"/>
      <c r="W14" s="225">
        <f>DATE('P Gerais'!$C$6,$W$7,Dez!C14)</f>
        <v>42345</v>
      </c>
      <c r="X14" s="23">
        <f t="shared" si="5"/>
        <v>2</v>
      </c>
      <c r="AB14" s="23">
        <v>7</v>
      </c>
      <c r="AC14" s="15" t="s">
        <v>49</v>
      </c>
      <c r="AD14" s="27">
        <f t="shared" si="0"/>
        <v>0</v>
      </c>
      <c r="AE14" s="27">
        <f>VLOOKUP(D14,'P Gerais'!$C$23:$N$29,12,0)</f>
        <v>0</v>
      </c>
      <c r="AF14" s="27">
        <f t="shared" si="6"/>
        <v>0</v>
      </c>
      <c r="AG14" s="27">
        <f t="shared" si="7"/>
        <v>1</v>
      </c>
      <c r="AH14" s="27">
        <f t="shared" si="8"/>
        <v>0</v>
      </c>
      <c r="AI14" s="27">
        <f t="shared" si="9"/>
        <v>0</v>
      </c>
      <c r="AJ14" s="27">
        <f t="shared" si="1"/>
        <v>0</v>
      </c>
      <c r="AK14" s="27">
        <f t="shared" si="10"/>
        <v>0</v>
      </c>
      <c r="AL14" s="224">
        <f>VLOOKUP(D14,'P Gerais'!$C$23:$I$29,7,FALSE)</f>
        <v>0</v>
      </c>
    </row>
    <row r="15" spans="1:46" ht="15" customHeight="1" x14ac:dyDescent="0.2">
      <c r="C15" s="59">
        <v>8</v>
      </c>
      <c r="D15" s="59" t="str">
        <f t="shared" si="2"/>
        <v>TER</v>
      </c>
      <c r="E15" s="93" t="s">
        <v>191</v>
      </c>
      <c r="F15" s="62"/>
      <c r="G15" s="62"/>
      <c r="H15" s="62"/>
      <c r="I15" s="62"/>
      <c r="J15" s="10"/>
      <c r="K15" s="60">
        <f t="shared" si="3"/>
        <v>0</v>
      </c>
      <c r="L15" s="51"/>
      <c r="M15" s="60">
        <f>IF(E15="Falta Justificada",0,IF(E15="Feriado",0,IF(E15="Folga(DSR)",0,IF(VLOOKUP(D15,'P Gerais'!$C$23:$M$29,11,0)-K15&gt;0,VLOOKUP(D15,'P Gerais'!$C$23:$M$29,11,0)-K15,0))))</f>
        <v>0</v>
      </c>
      <c r="N15" s="51"/>
      <c r="O15" s="60">
        <f>IF(E15="Feriado",IF(F15&gt;I15,(I15+1-F15)-(H15-G15),(I15-F15)-(H15-G15)),IF(E15="Folga(DSR)",IF(F15&gt;I15,(I15+1-F15)-(H15-G15),(I15-F15)-(H15-G15)),IF(E15="Falta Justificada",IF(F15&gt;I15,(I15+1-F15)-(H15-G15),(I15-F15)-(H15-G15)),IF(VLOOKUP(D15,'P Gerais'!$C$23:$M$29,11,0)-K15&lt;0,ABS(VLOOKUP(D15,'P Gerais'!$C$23:$M$29,11,0)-K15),0))))</f>
        <v>0</v>
      </c>
      <c r="P15" s="2">
        <f t="shared" si="4"/>
        <v>0</v>
      </c>
      <c r="Q15" s="175" t="s">
        <v>82</v>
      </c>
      <c r="R15" s="175"/>
      <c r="S15" s="172">
        <f>SUM(M8:M38)</f>
        <v>0</v>
      </c>
      <c r="W15" s="225">
        <f>DATE('P Gerais'!$C$6,$W$7,Dez!C15)</f>
        <v>42346</v>
      </c>
      <c r="X15" s="23">
        <f t="shared" si="5"/>
        <v>3</v>
      </c>
      <c r="AD15" s="27">
        <f t="shared" si="0"/>
        <v>0</v>
      </c>
      <c r="AE15" s="27">
        <f>VLOOKUP(D15,'P Gerais'!$C$23:$N$29,12,0)</f>
        <v>0</v>
      </c>
      <c r="AF15" s="27">
        <f t="shared" si="6"/>
        <v>0</v>
      </c>
      <c r="AG15" s="27">
        <f t="shared" si="7"/>
        <v>1</v>
      </c>
      <c r="AH15" s="27">
        <f t="shared" si="8"/>
        <v>0</v>
      </c>
      <c r="AI15" s="27">
        <f t="shared" si="9"/>
        <v>0</v>
      </c>
      <c r="AJ15" s="27">
        <f t="shared" si="1"/>
        <v>0</v>
      </c>
      <c r="AK15" s="27">
        <f t="shared" si="10"/>
        <v>0</v>
      </c>
      <c r="AL15" s="224">
        <f>VLOOKUP(D15,'P Gerais'!$C$23:$I$29,7,FALSE)</f>
        <v>0</v>
      </c>
    </row>
    <row r="16" spans="1:46" ht="15" customHeight="1" x14ac:dyDescent="0.2">
      <c r="C16" s="59">
        <v>9</v>
      </c>
      <c r="D16" s="59" t="str">
        <f t="shared" si="2"/>
        <v>QUA</v>
      </c>
      <c r="E16" s="93" t="s">
        <v>191</v>
      </c>
      <c r="F16" s="62"/>
      <c r="G16" s="62"/>
      <c r="H16" s="62"/>
      <c r="I16" s="62"/>
      <c r="J16" s="10"/>
      <c r="K16" s="60">
        <f t="shared" si="3"/>
        <v>0</v>
      </c>
      <c r="L16" s="51"/>
      <c r="M16" s="60">
        <f>IF(E16="Falta Justificada",0,IF(E16="Feriado",0,IF(E16="Folga(DSR)",0,IF(VLOOKUP(D16,'P Gerais'!$C$23:$M$29,11,0)-K16&gt;0,VLOOKUP(D16,'P Gerais'!$C$23:$M$29,11,0)-K16,0))))</f>
        <v>0</v>
      </c>
      <c r="N16" s="51"/>
      <c r="O16" s="60">
        <f>IF(E16="Feriado",IF(F16&gt;I16,(I16+1-F16)-(H16-G16),(I16-F16)-(H16-G16)),IF(E16="Folga(DSR)",IF(F16&gt;I16,(I16+1-F16)-(H16-G16),(I16-F16)-(H16-G16)),IF(E16="Falta Justificada",IF(F16&gt;I16,(I16+1-F16)-(H16-G16),(I16-F16)-(H16-G16)),IF(VLOOKUP(D16,'P Gerais'!$C$23:$M$29,11,0)-K16&lt;0,ABS(VLOOKUP(D16,'P Gerais'!$C$23:$M$29,11,0)-K16),0))))</f>
        <v>0</v>
      </c>
      <c r="P16" s="2">
        <f t="shared" si="4"/>
        <v>0</v>
      </c>
      <c r="Q16" s="175"/>
      <c r="R16" s="175"/>
      <c r="S16" s="172"/>
      <c r="W16" s="225">
        <f>DATE('P Gerais'!$C$6,$W$7,Dez!C16)</f>
        <v>42347</v>
      </c>
      <c r="X16" s="23">
        <f t="shared" si="5"/>
        <v>4</v>
      </c>
      <c r="AD16" s="27">
        <f t="shared" si="0"/>
        <v>0</v>
      </c>
      <c r="AE16" s="27">
        <f>VLOOKUP(D16,'P Gerais'!$C$23:$N$29,12,0)</f>
        <v>0</v>
      </c>
      <c r="AF16" s="27">
        <f t="shared" si="6"/>
        <v>0</v>
      </c>
      <c r="AG16" s="27">
        <f t="shared" si="7"/>
        <v>1</v>
      </c>
      <c r="AH16" s="27">
        <f t="shared" si="8"/>
        <v>0</v>
      </c>
      <c r="AI16" s="27">
        <f t="shared" si="9"/>
        <v>0</v>
      </c>
      <c r="AJ16" s="27">
        <f t="shared" si="1"/>
        <v>0</v>
      </c>
      <c r="AK16" s="27">
        <f t="shared" si="10"/>
        <v>0</v>
      </c>
      <c r="AL16" s="224">
        <f>VLOOKUP(D16,'P Gerais'!$C$23:$I$29,7,FALSE)</f>
        <v>0</v>
      </c>
    </row>
    <row r="17" spans="3:38" ht="15" customHeight="1" x14ac:dyDescent="0.2">
      <c r="C17" s="59">
        <v>10</v>
      </c>
      <c r="D17" s="59" t="str">
        <f t="shared" si="2"/>
        <v>QUI</v>
      </c>
      <c r="E17" s="93" t="s">
        <v>191</v>
      </c>
      <c r="F17" s="62"/>
      <c r="G17" s="62"/>
      <c r="H17" s="62"/>
      <c r="I17" s="62"/>
      <c r="J17" s="10"/>
      <c r="K17" s="60">
        <f t="shared" si="3"/>
        <v>0</v>
      </c>
      <c r="L17" s="51"/>
      <c r="M17" s="60">
        <f>IF(E17="Falta Justificada",0,IF(E17="Feriado",0,IF(E17="Folga(DSR)",0,IF(VLOOKUP(D17,'P Gerais'!$C$23:$M$29,11,0)-K17&gt;0,VLOOKUP(D17,'P Gerais'!$C$23:$M$29,11,0)-K17,0))))</f>
        <v>0</v>
      </c>
      <c r="N17" s="51"/>
      <c r="O17" s="60">
        <f>IF(E17="Feriado",IF(F17&gt;I17,(I17+1-F17)-(H17-G17),(I17-F17)-(H17-G17)),IF(E17="Folga(DSR)",IF(F17&gt;I17,(I17+1-F17)-(H17-G17),(I17-F17)-(H17-G17)),IF(E17="Falta Justificada",IF(F17&gt;I17,(I17+1-F17)-(H17-G17),(I17-F17)-(H17-G17)),IF(VLOOKUP(D17,'P Gerais'!$C$23:$M$29,11,0)-K17&lt;0,ABS(VLOOKUP(D17,'P Gerais'!$C$23:$M$29,11,0)-K17),0))))</f>
        <v>0</v>
      </c>
      <c r="P17" s="2">
        <f t="shared" si="4"/>
        <v>0</v>
      </c>
      <c r="Q17" s="175" t="s">
        <v>81</v>
      </c>
      <c r="R17" s="175"/>
      <c r="S17" s="172">
        <f>SUM(O8:O38)</f>
        <v>0</v>
      </c>
      <c r="W17" s="225">
        <f>DATE('P Gerais'!$C$6,$W$7,Dez!C17)</f>
        <v>42348</v>
      </c>
      <c r="X17" s="23">
        <f t="shared" si="5"/>
        <v>5</v>
      </c>
      <c r="AD17" s="27">
        <f t="shared" si="0"/>
        <v>0</v>
      </c>
      <c r="AE17" s="27">
        <f>VLOOKUP(D17,'P Gerais'!$C$23:$N$29,12,0)</f>
        <v>0</v>
      </c>
      <c r="AF17" s="27">
        <f t="shared" si="6"/>
        <v>0</v>
      </c>
      <c r="AG17" s="27">
        <f t="shared" si="7"/>
        <v>1</v>
      </c>
      <c r="AH17" s="27">
        <f t="shared" si="8"/>
        <v>0</v>
      </c>
      <c r="AI17" s="27">
        <f t="shared" si="9"/>
        <v>0</v>
      </c>
      <c r="AJ17" s="27">
        <f t="shared" si="1"/>
        <v>0</v>
      </c>
      <c r="AK17" s="27">
        <f t="shared" si="10"/>
        <v>0</v>
      </c>
      <c r="AL17" s="224">
        <f>VLOOKUP(D17,'P Gerais'!$C$23:$I$29,7,FALSE)</f>
        <v>0</v>
      </c>
    </row>
    <row r="18" spans="3:38" ht="15" customHeight="1" x14ac:dyDescent="0.2">
      <c r="C18" s="59">
        <v>11</v>
      </c>
      <c r="D18" s="59" t="str">
        <f t="shared" si="2"/>
        <v>SEX</v>
      </c>
      <c r="E18" s="93" t="s">
        <v>191</v>
      </c>
      <c r="F18" s="62"/>
      <c r="G18" s="62"/>
      <c r="H18" s="62"/>
      <c r="I18" s="62"/>
      <c r="J18" s="10"/>
      <c r="K18" s="60">
        <f t="shared" si="3"/>
        <v>0</v>
      </c>
      <c r="L18" s="51"/>
      <c r="M18" s="60">
        <f>IF(E18="Falta Justificada",0,IF(E18="Feriado",0,IF(E18="Folga(DSR)",0,IF(VLOOKUP(D18,'P Gerais'!$C$23:$M$29,11,0)-K18&gt;0,VLOOKUP(D18,'P Gerais'!$C$23:$M$29,11,0)-K18,0))))</f>
        <v>0</v>
      </c>
      <c r="N18" s="51"/>
      <c r="O18" s="60">
        <f>IF(E18="Feriado",IF(F18&gt;I18,(I18+1-F18)-(H18-G18),(I18-F18)-(H18-G18)),IF(E18="Folga(DSR)",IF(F18&gt;I18,(I18+1-F18)-(H18-G18),(I18-F18)-(H18-G18)),IF(E18="Falta Justificada",IF(F18&gt;I18,(I18+1-F18)-(H18-G18),(I18-F18)-(H18-G18)),IF(VLOOKUP(D18,'P Gerais'!$C$23:$M$29,11,0)-K18&lt;0,ABS(VLOOKUP(D18,'P Gerais'!$C$23:$M$29,11,0)-K18),0))))</f>
        <v>0</v>
      </c>
      <c r="P18" s="2">
        <f t="shared" si="4"/>
        <v>0</v>
      </c>
      <c r="Q18" s="175"/>
      <c r="R18" s="175"/>
      <c r="S18" s="172"/>
      <c r="W18" s="225">
        <f>DATE('P Gerais'!$C$6,$W$7,Dez!C18)</f>
        <v>42349</v>
      </c>
      <c r="X18" s="23">
        <f t="shared" si="5"/>
        <v>6</v>
      </c>
      <c r="AD18" s="27">
        <f t="shared" si="0"/>
        <v>0</v>
      </c>
      <c r="AE18" s="27">
        <f>VLOOKUP(D18,'P Gerais'!$C$23:$N$29,12,0)</f>
        <v>0</v>
      </c>
      <c r="AF18" s="27">
        <f t="shared" si="6"/>
        <v>0</v>
      </c>
      <c r="AG18" s="27">
        <f t="shared" si="7"/>
        <v>1</v>
      </c>
      <c r="AH18" s="27">
        <f t="shared" si="8"/>
        <v>0</v>
      </c>
      <c r="AI18" s="27">
        <f t="shared" si="9"/>
        <v>0</v>
      </c>
      <c r="AJ18" s="27">
        <f t="shared" si="1"/>
        <v>0</v>
      </c>
      <c r="AK18" s="27">
        <f t="shared" si="10"/>
        <v>0</v>
      </c>
      <c r="AL18" s="224">
        <f>VLOOKUP(D18,'P Gerais'!$C$23:$I$29,7,FALSE)</f>
        <v>0</v>
      </c>
    </row>
    <row r="19" spans="3:38" ht="15" customHeight="1" x14ac:dyDescent="0.2">
      <c r="C19" s="59">
        <v>12</v>
      </c>
      <c r="D19" s="59" t="str">
        <f t="shared" si="2"/>
        <v>SÁB</v>
      </c>
      <c r="E19" s="93" t="s">
        <v>191</v>
      </c>
      <c r="F19" s="62"/>
      <c r="G19" s="62"/>
      <c r="H19" s="62"/>
      <c r="I19" s="62"/>
      <c r="J19" s="10"/>
      <c r="K19" s="60">
        <f t="shared" si="3"/>
        <v>0</v>
      </c>
      <c r="L19" s="51"/>
      <c r="M19" s="60">
        <f>IF(E19="Falta Justificada",0,IF(E19="Feriado",0,IF(E19="Folga(DSR)",0,IF(VLOOKUP(D19,'P Gerais'!$C$23:$M$29,11,0)-K19&gt;0,VLOOKUP(D19,'P Gerais'!$C$23:$M$29,11,0)-K19,0))))</f>
        <v>0</v>
      </c>
      <c r="N19" s="51"/>
      <c r="O19" s="60">
        <f>IF(E19="Feriado",IF(F19&gt;I19,(I19+1-F19)-(H19-G19),(I19-F19)-(H19-G19)),IF(E19="Folga(DSR)",IF(F19&gt;I19,(I19+1-F19)-(H19-G19),(I19-F19)-(H19-G19)),IF(E19="Falta Justificada",IF(F19&gt;I19,(I19+1-F19)-(H19-G19),(I19-F19)-(H19-G19)),IF(VLOOKUP(D19,'P Gerais'!$C$23:$M$29,11,0)-K19&lt;0,ABS(VLOOKUP(D19,'P Gerais'!$C$23:$M$29,11,0)-K19),0))))</f>
        <v>0</v>
      </c>
      <c r="P19" s="2">
        <f t="shared" si="4"/>
        <v>0</v>
      </c>
      <c r="Q19" s="175" t="s">
        <v>83</v>
      </c>
      <c r="R19" s="175"/>
      <c r="S19" s="177">
        <f>F54</f>
        <v>0</v>
      </c>
      <c r="W19" s="225">
        <f>DATE('P Gerais'!$C$6,$W$7,Dez!C19)</f>
        <v>42350</v>
      </c>
      <c r="X19" s="23">
        <f t="shared" si="5"/>
        <v>7</v>
      </c>
      <c r="AD19" s="27">
        <f t="shared" si="0"/>
        <v>0</v>
      </c>
      <c r="AE19" s="27">
        <f>VLOOKUP(D19,'P Gerais'!$C$23:$N$29,12,0)</f>
        <v>0</v>
      </c>
      <c r="AF19" s="27">
        <f t="shared" si="6"/>
        <v>0</v>
      </c>
      <c r="AG19" s="27">
        <f t="shared" si="7"/>
        <v>1</v>
      </c>
      <c r="AH19" s="27">
        <f t="shared" si="8"/>
        <v>0</v>
      </c>
      <c r="AI19" s="27">
        <f t="shared" si="9"/>
        <v>0</v>
      </c>
      <c r="AJ19" s="27">
        <f t="shared" si="1"/>
        <v>0</v>
      </c>
      <c r="AK19" s="27">
        <f t="shared" si="10"/>
        <v>0</v>
      </c>
      <c r="AL19" s="224">
        <f>VLOOKUP(D19,'P Gerais'!$C$23:$I$29,7,FALSE)</f>
        <v>0</v>
      </c>
    </row>
    <row r="20" spans="3:38" ht="15" customHeight="1" x14ac:dyDescent="0.2">
      <c r="C20" s="59">
        <v>13</v>
      </c>
      <c r="D20" s="59" t="str">
        <f t="shared" si="2"/>
        <v>DOM</v>
      </c>
      <c r="E20" s="93" t="s">
        <v>191</v>
      </c>
      <c r="F20" s="62"/>
      <c r="G20" s="62"/>
      <c r="H20" s="62"/>
      <c r="I20" s="62"/>
      <c r="J20" s="10"/>
      <c r="K20" s="60">
        <f t="shared" si="3"/>
        <v>0</v>
      </c>
      <c r="L20" s="51"/>
      <c r="M20" s="60">
        <f>IF(E20="Falta Justificada",0,IF(E20="Feriado",0,IF(E20="Folga(DSR)",0,IF(VLOOKUP(D20,'P Gerais'!$C$23:$M$29,11,0)-K20&gt;0,VLOOKUP(D20,'P Gerais'!$C$23:$M$29,11,0)-K20,0))))</f>
        <v>0</v>
      </c>
      <c r="N20" s="51"/>
      <c r="O20" s="60">
        <f>IF(E20="Feriado",IF(F20&gt;I20,(I20+1-F20)-(H20-G20),(I20-F20)-(H20-G20)),IF(E20="Folga(DSR)",IF(F20&gt;I20,(I20+1-F20)-(H20-G20),(I20-F20)-(H20-G20)),IF(E20="Falta Justificada",IF(F20&gt;I20,(I20+1-F20)-(H20-G20),(I20-F20)-(H20-G20)),IF(VLOOKUP(D20,'P Gerais'!$C$23:$M$29,11,0)-K20&lt;0,ABS(VLOOKUP(D20,'P Gerais'!$C$23:$M$29,11,0)-K20),0))))</f>
        <v>0</v>
      </c>
      <c r="P20" s="2">
        <f t="shared" si="4"/>
        <v>0</v>
      </c>
      <c r="Q20" s="175"/>
      <c r="R20" s="175"/>
      <c r="S20" s="177"/>
      <c r="W20" s="225">
        <f>DATE('P Gerais'!$C$6,$W$7,Dez!C20)</f>
        <v>42351</v>
      </c>
      <c r="X20" s="23">
        <f t="shared" si="5"/>
        <v>1</v>
      </c>
      <c r="AD20" s="27">
        <f t="shared" si="0"/>
        <v>0</v>
      </c>
      <c r="AE20" s="27">
        <f>VLOOKUP(D20,'P Gerais'!$C$23:$N$29,12,0)</f>
        <v>0</v>
      </c>
      <c r="AF20" s="27">
        <f t="shared" si="6"/>
        <v>0</v>
      </c>
      <c r="AG20" s="27">
        <f t="shared" si="7"/>
        <v>1</v>
      </c>
      <c r="AH20" s="27">
        <f t="shared" si="8"/>
        <v>0</v>
      </c>
      <c r="AI20" s="27">
        <f t="shared" si="9"/>
        <v>0</v>
      </c>
      <c r="AJ20" s="27">
        <f t="shared" si="1"/>
        <v>0</v>
      </c>
      <c r="AK20" s="27">
        <f t="shared" si="10"/>
        <v>0</v>
      </c>
      <c r="AL20" s="224">
        <f>VLOOKUP(D20,'P Gerais'!$C$23:$I$29,7,FALSE)</f>
        <v>0</v>
      </c>
    </row>
    <row r="21" spans="3:38" ht="15" customHeight="1" x14ac:dyDescent="0.2">
      <c r="C21" s="59">
        <v>14</v>
      </c>
      <c r="D21" s="59" t="str">
        <f t="shared" si="2"/>
        <v>SEG</v>
      </c>
      <c r="E21" s="93" t="s">
        <v>191</v>
      </c>
      <c r="F21" s="62"/>
      <c r="G21" s="62"/>
      <c r="H21" s="62"/>
      <c r="I21" s="62"/>
      <c r="J21" s="10"/>
      <c r="K21" s="60">
        <f t="shared" si="3"/>
        <v>0</v>
      </c>
      <c r="L21" s="51"/>
      <c r="M21" s="60">
        <f>IF(E21="Falta Justificada",0,IF(E21="Feriado",0,IF(E21="Folga(DSR)",0,IF(VLOOKUP(D21,'P Gerais'!$C$23:$M$29,11,0)-K21&gt;0,VLOOKUP(D21,'P Gerais'!$C$23:$M$29,11,0)-K21,0))))</f>
        <v>0</v>
      </c>
      <c r="N21" s="51"/>
      <c r="O21" s="60">
        <f>IF(E21="Feriado",IF(F21&gt;I21,(I21+1-F21)-(H21-G21),(I21-F21)-(H21-G21)),IF(E21="Folga(DSR)",IF(F21&gt;I21,(I21+1-F21)-(H21-G21),(I21-F21)-(H21-G21)),IF(E21="Falta Justificada",IF(F21&gt;I21,(I21+1-F21)-(H21-G21),(I21-F21)-(H21-G21)),IF(VLOOKUP(D21,'P Gerais'!$C$23:$M$29,11,0)-K21&lt;0,ABS(VLOOKUP(D21,'P Gerais'!$C$23:$M$29,11,0)-K21),0))))</f>
        <v>0</v>
      </c>
      <c r="P21" s="2">
        <f t="shared" si="4"/>
        <v>0</v>
      </c>
      <c r="W21" s="225">
        <f>DATE('P Gerais'!$C$6,$W$7,Dez!C21)</f>
        <v>42352</v>
      </c>
      <c r="X21" s="23">
        <f t="shared" si="5"/>
        <v>2</v>
      </c>
      <c r="AD21" s="27">
        <f t="shared" si="0"/>
        <v>0</v>
      </c>
      <c r="AE21" s="27">
        <f>VLOOKUP(D21,'P Gerais'!$C$23:$N$29,12,0)</f>
        <v>0</v>
      </c>
      <c r="AF21" s="27">
        <f t="shared" si="6"/>
        <v>0</v>
      </c>
      <c r="AG21" s="27">
        <f t="shared" si="7"/>
        <v>1</v>
      </c>
      <c r="AH21" s="27">
        <f t="shared" si="8"/>
        <v>0</v>
      </c>
      <c r="AI21" s="27">
        <f t="shared" si="9"/>
        <v>0</v>
      </c>
      <c r="AJ21" s="27">
        <f t="shared" si="1"/>
        <v>0</v>
      </c>
      <c r="AK21" s="27">
        <f t="shared" si="10"/>
        <v>0</v>
      </c>
      <c r="AL21" s="224">
        <f>VLOOKUP(D21,'P Gerais'!$C$23:$I$29,7,FALSE)</f>
        <v>0</v>
      </c>
    </row>
    <row r="22" spans="3:38" ht="15" customHeight="1" x14ac:dyDescent="0.2">
      <c r="C22" s="59">
        <v>15</v>
      </c>
      <c r="D22" s="59" t="str">
        <f t="shared" si="2"/>
        <v>TER</v>
      </c>
      <c r="E22" s="93" t="s">
        <v>191</v>
      </c>
      <c r="F22" s="62"/>
      <c r="G22" s="62"/>
      <c r="H22" s="62"/>
      <c r="I22" s="62"/>
      <c r="J22" s="10"/>
      <c r="K22" s="60">
        <f t="shared" si="3"/>
        <v>0</v>
      </c>
      <c r="L22" s="51"/>
      <c r="M22" s="60">
        <f>IF(E22="Falta Justificada",0,IF(E22="Feriado",0,IF(E22="Folga(DSR)",0,IF(VLOOKUP(D22,'P Gerais'!$C$23:$M$29,11,0)-K22&gt;0,VLOOKUP(D22,'P Gerais'!$C$23:$M$29,11,0)-K22,0))))</f>
        <v>0</v>
      </c>
      <c r="N22" s="51"/>
      <c r="O22" s="60">
        <f>IF(E22="Feriado",IF(F22&gt;I22,(I22+1-F22)-(H22-G22),(I22-F22)-(H22-G22)),IF(E22="Folga(DSR)",IF(F22&gt;I22,(I22+1-F22)-(H22-G22),(I22-F22)-(H22-G22)),IF(E22="Falta Justificada",IF(F22&gt;I22,(I22+1-F22)-(H22-G22),(I22-F22)-(H22-G22)),IF(VLOOKUP(D22,'P Gerais'!$C$23:$M$29,11,0)-K22&lt;0,ABS(VLOOKUP(D22,'P Gerais'!$C$23:$M$29,11,0)-K22),0))))</f>
        <v>0</v>
      </c>
      <c r="P22" s="2">
        <f t="shared" si="4"/>
        <v>0</v>
      </c>
      <c r="W22" s="225">
        <f>DATE('P Gerais'!$C$6,$W$7,Dez!C22)</f>
        <v>42353</v>
      </c>
      <c r="X22" s="23">
        <f t="shared" si="5"/>
        <v>3</v>
      </c>
      <c r="AD22" s="27">
        <f t="shared" si="0"/>
        <v>0</v>
      </c>
      <c r="AE22" s="27">
        <f>VLOOKUP(D22,'P Gerais'!$C$23:$N$29,12,0)</f>
        <v>0</v>
      </c>
      <c r="AF22" s="27">
        <f t="shared" si="6"/>
        <v>0</v>
      </c>
      <c r="AG22" s="27">
        <f t="shared" si="7"/>
        <v>1</v>
      </c>
      <c r="AH22" s="27">
        <f t="shared" si="8"/>
        <v>0</v>
      </c>
      <c r="AI22" s="27">
        <f>IF(F22=I22,$AF$7,IF(F22&lt;$AI$7,$AI$7-F22,$AF$7))</f>
        <v>0</v>
      </c>
      <c r="AJ22" s="27">
        <f>IF(F22=I22,$AF$7,IF(F22&gt;=$AJ$7,O22,$AF$7))</f>
        <v>0</v>
      </c>
      <c r="AK22" s="27">
        <f t="shared" si="10"/>
        <v>0</v>
      </c>
      <c r="AL22" s="224">
        <f>VLOOKUP(D22,'P Gerais'!$C$23:$I$29,7,FALSE)</f>
        <v>0</v>
      </c>
    </row>
    <row r="23" spans="3:38" ht="15" customHeight="1" x14ac:dyDescent="0.2">
      <c r="C23" s="59">
        <v>16</v>
      </c>
      <c r="D23" s="59" t="str">
        <f t="shared" si="2"/>
        <v>QUA</v>
      </c>
      <c r="E23" s="93" t="s">
        <v>191</v>
      </c>
      <c r="F23" s="62"/>
      <c r="G23" s="62"/>
      <c r="H23" s="62"/>
      <c r="I23" s="62"/>
      <c r="J23" s="10"/>
      <c r="K23" s="60">
        <f t="shared" si="3"/>
        <v>0</v>
      </c>
      <c r="L23" s="51"/>
      <c r="M23" s="60">
        <f>IF(E23="Falta Justificada",0,IF(E23="Feriado",0,IF(E23="Folga(DSR)",0,IF(VLOOKUP(D23,'P Gerais'!$C$23:$M$29,11,0)-K23&gt;0,VLOOKUP(D23,'P Gerais'!$C$23:$M$29,11,0)-K23,0))))</f>
        <v>0</v>
      </c>
      <c r="N23" s="51"/>
      <c r="O23" s="60">
        <f>IF(E23="Feriado",IF(F23&gt;I23,(I23+1-F23)-(H23-G23),(I23-F23)-(H23-G23)),IF(E23="Folga(DSR)",IF(F23&gt;I23,(I23+1-F23)-(H23-G23),(I23-F23)-(H23-G23)),IF(E23="Falta Justificada",IF(F23&gt;I23,(I23+1-F23)-(H23-G23),(I23-F23)-(H23-G23)),IF(VLOOKUP(D23,'P Gerais'!$C$23:$M$29,11,0)-K23&lt;0,ABS(VLOOKUP(D23,'P Gerais'!$C$23:$M$29,11,0)-K23),0))))</f>
        <v>0</v>
      </c>
      <c r="P23" s="2">
        <f t="shared" si="4"/>
        <v>0</v>
      </c>
      <c r="Q23" s="178" t="s">
        <v>77</v>
      </c>
      <c r="R23" s="178"/>
      <c r="S23" s="178"/>
      <c r="W23" s="225">
        <f>DATE('P Gerais'!$C$6,$W$7,Dez!C23)</f>
        <v>42354</v>
      </c>
      <c r="X23" s="23">
        <f t="shared" si="5"/>
        <v>4</v>
      </c>
      <c r="AD23" s="27">
        <f t="shared" si="0"/>
        <v>0</v>
      </c>
      <c r="AE23" s="27">
        <f>VLOOKUP(D23,'P Gerais'!$C$23:$N$29,12,0)</f>
        <v>0</v>
      </c>
      <c r="AF23" s="27">
        <f t="shared" si="6"/>
        <v>0</v>
      </c>
      <c r="AG23" s="27">
        <f t="shared" si="7"/>
        <v>1</v>
      </c>
      <c r="AH23" s="27">
        <f t="shared" si="8"/>
        <v>0</v>
      </c>
      <c r="AI23" s="27">
        <f t="shared" si="9"/>
        <v>0</v>
      </c>
      <c r="AJ23" s="27">
        <f t="shared" ref="AJ23:AJ37" si="11">IF(F23=I23,$AF$7,IF(F23&gt;=$AJ$7,O23,$AF$7))</f>
        <v>0</v>
      </c>
      <c r="AK23" s="27">
        <f t="shared" si="10"/>
        <v>0</v>
      </c>
      <c r="AL23" s="224">
        <f>VLOOKUP(D23,'P Gerais'!$C$23:$I$29,7,FALSE)</f>
        <v>0</v>
      </c>
    </row>
    <row r="24" spans="3:38" ht="15" customHeight="1" x14ac:dyDescent="0.2">
      <c r="C24" s="59">
        <v>17</v>
      </c>
      <c r="D24" s="59" t="str">
        <f t="shared" si="2"/>
        <v>QUI</v>
      </c>
      <c r="E24" s="93" t="s">
        <v>191</v>
      </c>
      <c r="F24" s="62"/>
      <c r="G24" s="62"/>
      <c r="H24" s="62"/>
      <c r="I24" s="62"/>
      <c r="J24" s="10"/>
      <c r="K24" s="60">
        <f t="shared" si="3"/>
        <v>0</v>
      </c>
      <c r="L24" s="51"/>
      <c r="M24" s="60">
        <f>IF(E24="Falta Justificada",0,IF(E24="Feriado",0,IF(E24="Folga(DSR)",0,IF(VLOOKUP(D24,'P Gerais'!$C$23:$M$29,11,0)-K24&gt;0,VLOOKUP(D24,'P Gerais'!$C$23:$M$29,11,0)-K24,0))))</f>
        <v>0</v>
      </c>
      <c r="N24" s="51"/>
      <c r="O24" s="60">
        <f>IF(E24="Feriado",IF(F24&gt;I24,(I24+1-F24)-(H24-G24),(I24-F24)-(H24-G24)),IF(E24="Folga(DSR)",IF(F24&gt;I24,(I24+1-F24)-(H24-G24),(I24-F24)-(H24-G24)),IF(E24="Falta Justificada",IF(F24&gt;I24,(I24+1-F24)-(H24-G24),(I24-F24)-(H24-G24)),IF(VLOOKUP(D24,'P Gerais'!$C$23:$M$29,11,0)-K24&lt;0,ABS(VLOOKUP(D24,'P Gerais'!$C$23:$M$29,11,0)-K24),0))))</f>
        <v>0</v>
      </c>
      <c r="P24" s="2">
        <f t="shared" si="4"/>
        <v>0</v>
      </c>
      <c r="Q24" s="178"/>
      <c r="R24" s="178"/>
      <c r="S24" s="178"/>
      <c r="W24" s="225">
        <f>DATE('P Gerais'!$C$6,$W$7,Dez!C24)</f>
        <v>42355</v>
      </c>
      <c r="X24" s="23">
        <f t="shared" si="5"/>
        <v>5</v>
      </c>
      <c r="AD24" s="27">
        <f t="shared" si="0"/>
        <v>0</v>
      </c>
      <c r="AE24" s="27">
        <f>VLOOKUP(D24,'P Gerais'!$C$23:$N$29,12,0)</f>
        <v>0</v>
      </c>
      <c r="AF24" s="27">
        <f t="shared" si="6"/>
        <v>0</v>
      </c>
      <c r="AG24" s="27">
        <f t="shared" si="7"/>
        <v>1</v>
      </c>
      <c r="AH24" s="27">
        <f t="shared" si="8"/>
        <v>0</v>
      </c>
      <c r="AI24" s="27">
        <f t="shared" si="9"/>
        <v>0</v>
      </c>
      <c r="AJ24" s="27">
        <f t="shared" si="11"/>
        <v>0</v>
      </c>
      <c r="AK24" s="27">
        <f t="shared" si="10"/>
        <v>0</v>
      </c>
      <c r="AL24" s="224">
        <f>VLOOKUP(D24,'P Gerais'!$C$23:$I$29,7,FALSE)</f>
        <v>0</v>
      </c>
    </row>
    <row r="25" spans="3:38" ht="15" customHeight="1" x14ac:dyDescent="0.2">
      <c r="C25" s="59">
        <v>18</v>
      </c>
      <c r="D25" s="59" t="str">
        <f t="shared" si="2"/>
        <v>SEX</v>
      </c>
      <c r="E25" s="93" t="s">
        <v>191</v>
      </c>
      <c r="F25" s="62"/>
      <c r="G25" s="62"/>
      <c r="H25" s="62"/>
      <c r="I25" s="62"/>
      <c r="J25" s="10"/>
      <c r="K25" s="60">
        <f t="shared" si="3"/>
        <v>0</v>
      </c>
      <c r="L25" s="51"/>
      <c r="M25" s="60">
        <f>IF(E25="Falta Justificada",0,IF(E25="Feriado",0,IF(E25="Folga(DSR)",0,IF(VLOOKUP(D25,'P Gerais'!$C$23:$M$29,11,0)-K25&gt;0,VLOOKUP(D25,'P Gerais'!$C$23:$M$29,11,0)-K25,0))))</f>
        <v>0</v>
      </c>
      <c r="N25" s="51"/>
      <c r="O25" s="60">
        <f>IF(E25="Feriado",IF(F25&gt;I25,(I25+1-F25)-(H25-G25),(I25-F25)-(H25-G25)),IF(E25="Folga(DSR)",IF(F25&gt;I25,(I25+1-F25)-(H25-G25),(I25-F25)-(H25-G25)),IF(E25="Falta Justificada",IF(F25&gt;I25,(I25+1-F25)-(H25-G25),(I25-F25)-(H25-G25)),IF(VLOOKUP(D25,'P Gerais'!$C$23:$M$29,11,0)-K25&lt;0,ABS(VLOOKUP(D25,'P Gerais'!$C$23:$M$29,11,0)-K25),0))))</f>
        <v>0</v>
      </c>
      <c r="P25" s="2">
        <f t="shared" si="4"/>
        <v>0</v>
      </c>
      <c r="Q25" s="176" t="str">
        <f>IF(SUM(P8:P38)&gt;0,"Segundo o art 59 da CLT, o máximo de horas extras permitidas por dia são 2(duas). Reveja as horas lançadas se deseja estar de acordo com as leis trabalhistas em vigor no Brasil.","Parabéns!! Todas os dias estão dentro do limite de duas horas extras estipuladas pela CLT.")</f>
        <v>Parabéns!! Todas os dias estão dentro do limite de duas horas extras estipuladas pela CLT.</v>
      </c>
      <c r="R25" s="176"/>
      <c r="S25" s="176"/>
      <c r="T25" s="133">
        <f>IF(SUM(P8:P38)&gt;0,1,0)</f>
        <v>0</v>
      </c>
      <c r="W25" s="225">
        <f>DATE('P Gerais'!$C$6,$W$7,Dez!C25)</f>
        <v>42356</v>
      </c>
      <c r="X25" s="23">
        <f t="shared" si="5"/>
        <v>6</v>
      </c>
      <c r="AD25" s="27">
        <f t="shared" si="0"/>
        <v>0</v>
      </c>
      <c r="AE25" s="27">
        <f>VLOOKUP(D25,'P Gerais'!$C$23:$N$29,12,0)</f>
        <v>0</v>
      </c>
      <c r="AF25" s="27">
        <f t="shared" si="6"/>
        <v>0</v>
      </c>
      <c r="AG25" s="27">
        <f t="shared" si="7"/>
        <v>1</v>
      </c>
      <c r="AH25" s="27">
        <f t="shared" si="8"/>
        <v>0</v>
      </c>
      <c r="AI25" s="27">
        <f t="shared" si="9"/>
        <v>0</v>
      </c>
      <c r="AJ25" s="27">
        <f t="shared" si="11"/>
        <v>0</v>
      </c>
      <c r="AK25" s="27">
        <f t="shared" si="10"/>
        <v>0</v>
      </c>
      <c r="AL25" s="224">
        <f>VLOOKUP(D25,'P Gerais'!$C$23:$I$29,7,FALSE)</f>
        <v>0</v>
      </c>
    </row>
    <row r="26" spans="3:38" ht="15" customHeight="1" x14ac:dyDescent="0.2">
      <c r="C26" s="59">
        <v>19</v>
      </c>
      <c r="D26" s="59" t="str">
        <f t="shared" si="2"/>
        <v>SÁB</v>
      </c>
      <c r="E26" s="93" t="s">
        <v>191</v>
      </c>
      <c r="F26" s="62"/>
      <c r="G26" s="62"/>
      <c r="H26" s="62"/>
      <c r="I26" s="62"/>
      <c r="J26" s="10"/>
      <c r="K26" s="60">
        <f t="shared" si="3"/>
        <v>0</v>
      </c>
      <c r="L26" s="51"/>
      <c r="M26" s="60">
        <f>IF(E26="Falta Justificada",0,IF(E26="Feriado",0,IF(E26="Folga(DSR)",0,IF(VLOOKUP(D26,'P Gerais'!$C$23:$M$29,11,0)-K26&gt;0,VLOOKUP(D26,'P Gerais'!$C$23:$M$29,11,0)-K26,0))))</f>
        <v>0</v>
      </c>
      <c r="N26" s="51"/>
      <c r="O26" s="60">
        <f>IF(E26="Feriado",IF(F26&gt;I26,(I26+1-F26)-(H26-G26),(I26-F26)-(H26-G26)),IF(E26="Folga(DSR)",IF(F26&gt;I26,(I26+1-F26)-(H26-G26),(I26-F26)-(H26-G26)),IF(E26="Falta Justificada",IF(F26&gt;I26,(I26+1-F26)-(H26-G26),(I26-F26)-(H26-G26)),IF(VLOOKUP(D26,'P Gerais'!$C$23:$M$29,11,0)-K26&lt;0,ABS(VLOOKUP(D26,'P Gerais'!$C$23:$M$29,11,0)-K26),0))))</f>
        <v>0</v>
      </c>
      <c r="P26" s="2">
        <f t="shared" si="4"/>
        <v>0</v>
      </c>
      <c r="Q26" s="176"/>
      <c r="R26" s="176"/>
      <c r="S26" s="176"/>
      <c r="W26" s="225">
        <f>DATE('P Gerais'!$C$6,$W$7,Dez!C26)</f>
        <v>42357</v>
      </c>
      <c r="X26" s="23">
        <f t="shared" si="5"/>
        <v>7</v>
      </c>
      <c r="AD26" s="27">
        <f t="shared" si="0"/>
        <v>0</v>
      </c>
      <c r="AE26" s="27">
        <f>VLOOKUP(D26,'P Gerais'!$C$23:$N$29,12,0)</f>
        <v>0</v>
      </c>
      <c r="AF26" s="27">
        <f t="shared" si="6"/>
        <v>0</v>
      </c>
      <c r="AG26" s="27">
        <f t="shared" si="7"/>
        <v>1</v>
      </c>
      <c r="AH26" s="27">
        <f t="shared" si="8"/>
        <v>0</v>
      </c>
      <c r="AI26" s="27">
        <f t="shared" si="9"/>
        <v>0</v>
      </c>
      <c r="AJ26" s="27">
        <f t="shared" si="11"/>
        <v>0</v>
      </c>
      <c r="AK26" s="27">
        <f t="shared" si="10"/>
        <v>0</v>
      </c>
      <c r="AL26" s="224">
        <f>VLOOKUP(D26,'P Gerais'!$C$23:$I$29,7,FALSE)</f>
        <v>0</v>
      </c>
    </row>
    <row r="27" spans="3:38" ht="15" customHeight="1" x14ac:dyDescent="0.2">
      <c r="C27" s="59">
        <v>20</v>
      </c>
      <c r="D27" s="59" t="str">
        <f t="shared" si="2"/>
        <v>DOM</v>
      </c>
      <c r="E27" s="93" t="s">
        <v>191</v>
      </c>
      <c r="F27" s="62"/>
      <c r="G27" s="62"/>
      <c r="H27" s="62"/>
      <c r="I27" s="62"/>
      <c r="J27" s="10"/>
      <c r="K27" s="60">
        <f t="shared" si="3"/>
        <v>0</v>
      </c>
      <c r="L27" s="51"/>
      <c r="M27" s="60">
        <f>IF(E27="Falta Justificada",0,IF(E27="Feriado",0,IF(E27="Folga(DSR)",0,IF(VLOOKUP(D27,'P Gerais'!$C$23:$M$29,11,0)-K27&gt;0,VLOOKUP(D27,'P Gerais'!$C$23:$M$29,11,0)-K27,0))))</f>
        <v>0</v>
      </c>
      <c r="N27" s="51"/>
      <c r="O27" s="60">
        <f>IF(E27="Feriado",IF(F27&gt;I27,(I27+1-F27)-(H27-G27),(I27-F27)-(H27-G27)),IF(E27="Folga(DSR)",IF(F27&gt;I27,(I27+1-F27)-(H27-G27),(I27-F27)-(H27-G27)),IF(E27="Falta Justificada",IF(F27&gt;I27,(I27+1-F27)-(H27-G27),(I27-F27)-(H27-G27)),IF(VLOOKUP(D27,'P Gerais'!$C$23:$M$29,11,0)-K27&lt;0,ABS(VLOOKUP(D27,'P Gerais'!$C$23:$M$29,11,0)-K27),0))))</f>
        <v>0</v>
      </c>
      <c r="P27" s="2">
        <f t="shared" si="4"/>
        <v>0</v>
      </c>
      <c r="Q27" s="176"/>
      <c r="R27" s="176"/>
      <c r="S27" s="176"/>
      <c r="W27" s="225">
        <f>DATE('P Gerais'!$C$6,$W$7,Dez!C27)</f>
        <v>42358</v>
      </c>
      <c r="X27" s="23">
        <f t="shared" si="5"/>
        <v>1</v>
      </c>
      <c r="AD27" s="27">
        <f t="shared" si="0"/>
        <v>0</v>
      </c>
      <c r="AE27" s="27">
        <f>VLOOKUP(D27,'P Gerais'!$C$23:$N$29,12,0)</f>
        <v>0</v>
      </c>
      <c r="AF27" s="27">
        <f t="shared" si="6"/>
        <v>0</v>
      </c>
      <c r="AG27" s="27">
        <f t="shared" si="7"/>
        <v>1</v>
      </c>
      <c r="AH27" s="27">
        <f t="shared" si="8"/>
        <v>0</v>
      </c>
      <c r="AI27" s="27">
        <f t="shared" si="9"/>
        <v>0</v>
      </c>
      <c r="AJ27" s="27">
        <f t="shared" si="11"/>
        <v>0</v>
      </c>
      <c r="AK27" s="27">
        <f t="shared" si="10"/>
        <v>0</v>
      </c>
      <c r="AL27" s="224">
        <f>VLOOKUP(D27,'P Gerais'!$C$23:$I$29,7,FALSE)</f>
        <v>0</v>
      </c>
    </row>
    <row r="28" spans="3:38" ht="15" customHeight="1" x14ac:dyDescent="0.2">
      <c r="C28" s="59">
        <v>21</v>
      </c>
      <c r="D28" s="59" t="str">
        <f t="shared" si="2"/>
        <v>SEG</v>
      </c>
      <c r="E28" s="93" t="s">
        <v>191</v>
      </c>
      <c r="F28" s="62"/>
      <c r="G28" s="62"/>
      <c r="H28" s="62"/>
      <c r="I28" s="62"/>
      <c r="J28" s="10"/>
      <c r="K28" s="60">
        <f t="shared" si="3"/>
        <v>0</v>
      </c>
      <c r="L28" s="51"/>
      <c r="M28" s="60">
        <f>IF(E28="Falta Justificada",0,IF(E28="Feriado",0,IF(E28="Folga(DSR)",0,IF(VLOOKUP(D28,'P Gerais'!$C$23:$M$29,11,0)-K28&gt;0,VLOOKUP(D28,'P Gerais'!$C$23:$M$29,11,0)-K28,0))))</f>
        <v>0</v>
      </c>
      <c r="N28" s="51"/>
      <c r="O28" s="60">
        <f>IF(E28="Feriado",IF(F28&gt;I28,(I28+1-F28)-(H28-G28),(I28-F28)-(H28-G28)),IF(E28="Folga(DSR)",IF(F28&gt;I28,(I28+1-F28)-(H28-G28),(I28-F28)-(H28-G28)),IF(E28="Falta Justificada",IF(F28&gt;I28,(I28+1-F28)-(H28-G28),(I28-F28)-(H28-G28)),IF(VLOOKUP(D28,'P Gerais'!$C$23:$M$29,11,0)-K28&lt;0,ABS(VLOOKUP(D28,'P Gerais'!$C$23:$M$29,11,0)-K28),0))))</f>
        <v>0</v>
      </c>
      <c r="P28" s="2">
        <f t="shared" si="4"/>
        <v>0</v>
      </c>
      <c r="Q28" s="176"/>
      <c r="R28" s="176"/>
      <c r="S28" s="176"/>
      <c r="W28" s="225">
        <f>DATE('P Gerais'!$C$6,$W$7,Dez!C28)</f>
        <v>42359</v>
      </c>
      <c r="X28" s="23">
        <f t="shared" si="5"/>
        <v>2</v>
      </c>
      <c r="AD28" s="27">
        <f t="shared" si="0"/>
        <v>0</v>
      </c>
      <c r="AE28" s="27">
        <f>VLOOKUP(D28,'P Gerais'!$C$23:$N$29,12,0)</f>
        <v>0</v>
      </c>
      <c r="AF28" s="27">
        <f t="shared" si="6"/>
        <v>0</v>
      </c>
      <c r="AG28" s="27">
        <f t="shared" si="7"/>
        <v>1</v>
      </c>
      <c r="AH28" s="27">
        <f t="shared" si="8"/>
        <v>0</v>
      </c>
      <c r="AI28" s="27">
        <f t="shared" si="9"/>
        <v>0</v>
      </c>
      <c r="AJ28" s="27">
        <f t="shared" si="11"/>
        <v>0</v>
      </c>
      <c r="AK28" s="27">
        <f t="shared" si="10"/>
        <v>0</v>
      </c>
      <c r="AL28" s="224">
        <f>VLOOKUP(D28,'P Gerais'!$C$23:$I$29,7,FALSE)</f>
        <v>0</v>
      </c>
    </row>
    <row r="29" spans="3:38" ht="15" customHeight="1" x14ac:dyDescent="0.2">
      <c r="C29" s="59">
        <v>22</v>
      </c>
      <c r="D29" s="59" t="str">
        <f t="shared" si="2"/>
        <v>TER</v>
      </c>
      <c r="E29" s="93" t="s">
        <v>191</v>
      </c>
      <c r="F29" s="62"/>
      <c r="G29" s="62"/>
      <c r="H29" s="62"/>
      <c r="I29" s="62"/>
      <c r="J29" s="10"/>
      <c r="K29" s="60">
        <f t="shared" si="3"/>
        <v>0</v>
      </c>
      <c r="L29" s="51"/>
      <c r="M29" s="60">
        <f>IF(E29="Falta Justificada",0,IF(E29="Feriado",0,IF(E29="Folga(DSR)",0,IF(VLOOKUP(D29,'P Gerais'!$C$23:$M$29,11,0)-K29&gt;0,VLOOKUP(D29,'P Gerais'!$C$23:$M$29,11,0)-K29,0))))</f>
        <v>0</v>
      </c>
      <c r="N29" s="51"/>
      <c r="O29" s="60">
        <f>IF(E29="Feriado",IF(F29&gt;I29,(I29+1-F29)-(H29-G29),(I29-F29)-(H29-G29)),IF(E29="Folga(DSR)",IF(F29&gt;I29,(I29+1-F29)-(H29-G29),(I29-F29)-(H29-G29)),IF(E29="Falta Justificada",IF(F29&gt;I29,(I29+1-F29)-(H29-G29),(I29-F29)-(H29-G29)),IF(VLOOKUP(D29,'P Gerais'!$C$23:$M$29,11,0)-K29&lt;0,ABS(VLOOKUP(D29,'P Gerais'!$C$23:$M$29,11,0)-K29),0))))</f>
        <v>0</v>
      </c>
      <c r="P29" s="2">
        <f t="shared" si="4"/>
        <v>0</v>
      </c>
      <c r="Q29" s="176"/>
      <c r="R29" s="176"/>
      <c r="S29" s="176"/>
      <c r="W29" s="225">
        <f>DATE('P Gerais'!$C$6,$W$7,Dez!C29)</f>
        <v>42360</v>
      </c>
      <c r="X29" s="23">
        <f t="shared" si="5"/>
        <v>3</v>
      </c>
      <c r="AD29" s="27">
        <f t="shared" si="0"/>
        <v>0</v>
      </c>
      <c r="AE29" s="27">
        <f>VLOOKUP(D29,'P Gerais'!$C$23:$N$29,12,0)</f>
        <v>0</v>
      </c>
      <c r="AF29" s="27">
        <f t="shared" si="6"/>
        <v>0</v>
      </c>
      <c r="AG29" s="27">
        <f t="shared" si="7"/>
        <v>1</v>
      </c>
      <c r="AH29" s="27">
        <f t="shared" si="8"/>
        <v>0</v>
      </c>
      <c r="AI29" s="27">
        <f t="shared" si="9"/>
        <v>0</v>
      </c>
      <c r="AJ29" s="27">
        <f t="shared" si="11"/>
        <v>0</v>
      </c>
      <c r="AK29" s="27">
        <f t="shared" si="10"/>
        <v>0</v>
      </c>
      <c r="AL29" s="224">
        <f>VLOOKUP(D29,'P Gerais'!$C$23:$I$29,7,FALSE)</f>
        <v>0</v>
      </c>
    </row>
    <row r="30" spans="3:38" ht="15" customHeight="1" x14ac:dyDescent="0.2">
      <c r="C30" s="59">
        <v>23</v>
      </c>
      <c r="D30" s="59" t="str">
        <f t="shared" si="2"/>
        <v>QUA</v>
      </c>
      <c r="E30" s="93" t="s">
        <v>191</v>
      </c>
      <c r="F30" s="62"/>
      <c r="G30" s="62"/>
      <c r="H30" s="62"/>
      <c r="I30" s="62"/>
      <c r="J30" s="10"/>
      <c r="K30" s="60">
        <f t="shared" si="3"/>
        <v>0</v>
      </c>
      <c r="L30" s="51"/>
      <c r="M30" s="60">
        <f>IF(E30="Falta Justificada",0,IF(E30="Feriado",0,IF(E30="Folga(DSR)",0,IF(VLOOKUP(D30,'P Gerais'!$C$23:$M$29,11,0)-K30&gt;0,VLOOKUP(D30,'P Gerais'!$C$23:$M$29,11,0)-K30,0))))</f>
        <v>0</v>
      </c>
      <c r="N30" s="51"/>
      <c r="O30" s="60">
        <f>IF(E30="Feriado",IF(F30&gt;I30,(I30+1-F30)-(H30-G30),(I30-F30)-(H30-G30)),IF(E30="Folga(DSR)",IF(F30&gt;I30,(I30+1-F30)-(H30-G30),(I30-F30)-(H30-G30)),IF(E30="Falta Justificada",IF(F30&gt;I30,(I30+1-F30)-(H30-G30),(I30-F30)-(H30-G30)),IF(VLOOKUP(D30,'P Gerais'!$C$23:$M$29,11,0)-K30&lt;0,ABS(VLOOKUP(D30,'P Gerais'!$C$23:$M$29,11,0)-K30),0))))</f>
        <v>0</v>
      </c>
      <c r="P30" s="2">
        <f t="shared" si="4"/>
        <v>0</v>
      </c>
      <c r="Q30" s="176"/>
      <c r="R30" s="176"/>
      <c r="S30" s="176"/>
      <c r="W30" s="225">
        <f>DATE('P Gerais'!$C$6,$W$7,Dez!C30)</f>
        <v>42361</v>
      </c>
      <c r="X30" s="23">
        <f t="shared" si="5"/>
        <v>4</v>
      </c>
      <c r="AD30" s="27">
        <f t="shared" si="0"/>
        <v>0</v>
      </c>
      <c r="AE30" s="27">
        <f>VLOOKUP(D30,'P Gerais'!$C$23:$N$29,12,0)</f>
        <v>0</v>
      </c>
      <c r="AF30" s="27">
        <f t="shared" si="6"/>
        <v>0</v>
      </c>
      <c r="AG30" s="27">
        <f t="shared" si="7"/>
        <v>1</v>
      </c>
      <c r="AH30" s="27">
        <f t="shared" si="8"/>
        <v>0</v>
      </c>
      <c r="AI30" s="27">
        <f t="shared" si="9"/>
        <v>0</v>
      </c>
      <c r="AJ30" s="27">
        <f t="shared" si="11"/>
        <v>0</v>
      </c>
      <c r="AK30" s="27">
        <f t="shared" si="10"/>
        <v>0</v>
      </c>
      <c r="AL30" s="224">
        <f>VLOOKUP(D30,'P Gerais'!$C$23:$I$29,7,FALSE)</f>
        <v>0</v>
      </c>
    </row>
    <row r="31" spans="3:38" ht="15" customHeight="1" x14ac:dyDescent="0.2">
      <c r="C31" s="59">
        <v>24</v>
      </c>
      <c r="D31" s="59" t="str">
        <f t="shared" si="2"/>
        <v>QUI</v>
      </c>
      <c r="E31" s="93" t="s">
        <v>191</v>
      </c>
      <c r="F31" s="62"/>
      <c r="G31" s="62"/>
      <c r="H31" s="62"/>
      <c r="I31" s="62"/>
      <c r="J31" s="10"/>
      <c r="K31" s="60">
        <f t="shared" si="3"/>
        <v>0</v>
      </c>
      <c r="L31" s="51"/>
      <c r="M31" s="60">
        <f>IF(E31="Falta Justificada",0,IF(E31="Feriado",0,IF(E31="Folga(DSR)",0,IF(VLOOKUP(D31,'P Gerais'!$C$23:$M$29,11,0)-K31&gt;0,VLOOKUP(D31,'P Gerais'!$C$23:$M$29,11,0)-K31,0))))</f>
        <v>0</v>
      </c>
      <c r="N31" s="51"/>
      <c r="O31" s="60">
        <f>IF(E31="Feriado",IF(F31&gt;I31,(I31+1-F31)-(H31-G31),(I31-F31)-(H31-G31)),IF(E31="Folga(DSR)",IF(F31&gt;I31,(I31+1-F31)-(H31-G31),(I31-F31)-(H31-G31)),IF(E31="Falta Justificada",IF(F31&gt;I31,(I31+1-F31)-(H31-G31),(I31-F31)-(H31-G31)),IF(VLOOKUP(D31,'P Gerais'!$C$23:$M$29,11,0)-K31&lt;0,ABS(VLOOKUP(D31,'P Gerais'!$C$23:$M$29,11,0)-K31),0))))</f>
        <v>0</v>
      </c>
      <c r="P31" s="2">
        <f t="shared" si="4"/>
        <v>0</v>
      </c>
      <c r="Q31" s="176" t="str">
        <f>IF(COUNTIF(E8:E38,"Folga(DSR)")&lt;MAX(C8:C38)/7,"O mês não está contemplando um DSR(Descanso Semanal Remunerado) por semana. Isso pode se configurar uma irregularidade segundo as leis trabalhistas.","Parabéns!! Sua folha de pagamento contempla uma DSR por semana conforme a lei trabalhista.")</f>
        <v>O mês não está contemplando um DSR(Descanso Semanal Remunerado) por semana. Isso pode se configurar uma irregularidade segundo as leis trabalhistas.</v>
      </c>
      <c r="R31" s="176"/>
      <c r="S31" s="176"/>
      <c r="W31" s="225">
        <f>DATE('P Gerais'!$C$6,$W$7,Dez!C31)</f>
        <v>42362</v>
      </c>
      <c r="X31" s="23">
        <f t="shared" si="5"/>
        <v>5</v>
      </c>
      <c r="AD31" s="27">
        <f t="shared" si="0"/>
        <v>0</v>
      </c>
      <c r="AE31" s="27">
        <f>VLOOKUP(D31,'P Gerais'!$C$23:$N$29,12,0)</f>
        <v>0</v>
      </c>
      <c r="AF31" s="27">
        <f t="shared" si="6"/>
        <v>0</v>
      </c>
      <c r="AG31" s="27">
        <f t="shared" si="7"/>
        <v>1</v>
      </c>
      <c r="AH31" s="27">
        <f t="shared" si="8"/>
        <v>0</v>
      </c>
      <c r="AI31" s="27">
        <f t="shared" si="9"/>
        <v>0</v>
      </c>
      <c r="AJ31" s="27">
        <f t="shared" si="11"/>
        <v>0</v>
      </c>
      <c r="AK31" s="27">
        <f t="shared" si="10"/>
        <v>0</v>
      </c>
      <c r="AL31" s="224">
        <f>VLOOKUP(D31,'P Gerais'!$C$23:$I$29,7,FALSE)</f>
        <v>0</v>
      </c>
    </row>
    <row r="32" spans="3:38" ht="15" customHeight="1" x14ac:dyDescent="0.2">
      <c r="C32" s="59">
        <v>25</v>
      </c>
      <c r="D32" s="59" t="str">
        <f t="shared" si="2"/>
        <v>SEX</v>
      </c>
      <c r="E32" s="93" t="s">
        <v>191</v>
      </c>
      <c r="F32" s="62"/>
      <c r="G32" s="62"/>
      <c r="H32" s="62"/>
      <c r="I32" s="62"/>
      <c r="J32" s="10"/>
      <c r="K32" s="60">
        <f t="shared" si="3"/>
        <v>0</v>
      </c>
      <c r="L32" s="51"/>
      <c r="M32" s="60">
        <f>IF(E32="Falta Justificada",0,IF(E32="Feriado",0,IF(E32="Folga(DSR)",0,IF(VLOOKUP(D32,'P Gerais'!$C$23:$M$29,11,0)-K32&gt;0,VLOOKUP(D32,'P Gerais'!$C$23:$M$29,11,0)-K32,0))))</f>
        <v>0</v>
      </c>
      <c r="N32" s="51"/>
      <c r="O32" s="60">
        <f>IF(E32="Feriado",IF(F32&gt;I32,(I32+1-F32)-(H32-G32),(I32-F32)-(H32-G32)),IF(E32="Folga(DSR)",IF(F32&gt;I32,(I32+1-F32)-(H32-G32),(I32-F32)-(H32-G32)),IF(E32="Falta Justificada",IF(F32&gt;I32,(I32+1-F32)-(H32-G32),(I32-F32)-(H32-G32)),IF(VLOOKUP(D32,'P Gerais'!$C$23:$M$29,11,0)-K32&lt;0,ABS(VLOOKUP(D32,'P Gerais'!$C$23:$M$29,11,0)-K32),0))))</f>
        <v>0</v>
      </c>
      <c r="P32" s="2">
        <f t="shared" si="4"/>
        <v>0</v>
      </c>
      <c r="Q32" s="176"/>
      <c r="R32" s="176"/>
      <c r="S32" s="176"/>
      <c r="W32" s="225">
        <f>DATE('P Gerais'!$C$6,$W$7,Dez!C32)</f>
        <v>42363</v>
      </c>
      <c r="X32" s="23">
        <f t="shared" si="5"/>
        <v>6</v>
      </c>
      <c r="AD32" s="27">
        <f t="shared" si="0"/>
        <v>0</v>
      </c>
      <c r="AE32" s="27">
        <f>VLOOKUP(D32,'P Gerais'!$C$23:$N$29,12,0)</f>
        <v>0</v>
      </c>
      <c r="AF32" s="27">
        <f t="shared" si="6"/>
        <v>0</v>
      </c>
      <c r="AG32" s="27">
        <f t="shared" si="7"/>
        <v>1</v>
      </c>
      <c r="AH32" s="27">
        <f t="shared" si="8"/>
        <v>0</v>
      </c>
      <c r="AI32" s="27">
        <f t="shared" si="9"/>
        <v>0</v>
      </c>
      <c r="AJ32" s="27">
        <f t="shared" si="11"/>
        <v>0</v>
      </c>
      <c r="AK32" s="27">
        <f t="shared" si="10"/>
        <v>0</v>
      </c>
      <c r="AL32" s="224">
        <f>VLOOKUP(D32,'P Gerais'!$C$23:$I$29,7,FALSE)</f>
        <v>0</v>
      </c>
    </row>
    <row r="33" spans="1:40" ht="15" customHeight="1" x14ac:dyDescent="0.2">
      <c r="C33" s="59">
        <v>26</v>
      </c>
      <c r="D33" s="59" t="str">
        <f t="shared" si="2"/>
        <v>SÁB</v>
      </c>
      <c r="E33" s="93" t="s">
        <v>191</v>
      </c>
      <c r="F33" s="62"/>
      <c r="G33" s="62"/>
      <c r="H33" s="62"/>
      <c r="I33" s="62"/>
      <c r="J33" s="10"/>
      <c r="K33" s="60">
        <f t="shared" si="3"/>
        <v>0</v>
      </c>
      <c r="L33" s="51"/>
      <c r="M33" s="60">
        <f>IF(E33="Falta Justificada",0,IF(E33="Feriado",0,IF(E33="Folga(DSR)",0,IF(VLOOKUP(D33,'P Gerais'!$C$23:$M$29,11,0)-K33&gt;0,VLOOKUP(D33,'P Gerais'!$C$23:$M$29,11,0)-K33,0))))</f>
        <v>0</v>
      </c>
      <c r="N33" s="51"/>
      <c r="O33" s="60">
        <f>IF(E33="Feriado",IF(F33&gt;I33,(I33+1-F33)-(H33-G33),(I33-F33)-(H33-G33)),IF(E33="Folga(DSR)",IF(F33&gt;I33,(I33+1-F33)-(H33-G33),(I33-F33)-(H33-G33)),IF(E33="Falta Justificada",IF(F33&gt;I33,(I33+1-F33)-(H33-G33),(I33-F33)-(H33-G33)),IF(VLOOKUP(D33,'P Gerais'!$C$23:$M$29,11,0)-K33&lt;0,ABS(VLOOKUP(D33,'P Gerais'!$C$23:$M$29,11,0)-K33),0))))</f>
        <v>0</v>
      </c>
      <c r="P33" s="2">
        <f t="shared" si="4"/>
        <v>0</v>
      </c>
      <c r="Q33" s="176"/>
      <c r="R33" s="176"/>
      <c r="S33" s="176"/>
      <c r="W33" s="225">
        <f>DATE('P Gerais'!$C$6,$W$7,Dez!C33)</f>
        <v>42364</v>
      </c>
      <c r="X33" s="23">
        <f t="shared" si="5"/>
        <v>7</v>
      </c>
      <c r="AD33" s="27">
        <f t="shared" si="0"/>
        <v>0</v>
      </c>
      <c r="AE33" s="27">
        <f>VLOOKUP(D33,'P Gerais'!$C$23:$N$29,12,0)</f>
        <v>0</v>
      </c>
      <c r="AF33" s="27">
        <f t="shared" si="6"/>
        <v>0</v>
      </c>
      <c r="AG33" s="27">
        <f t="shared" si="7"/>
        <v>1</v>
      </c>
      <c r="AH33" s="27">
        <f t="shared" si="8"/>
        <v>0</v>
      </c>
      <c r="AI33" s="27">
        <f t="shared" si="9"/>
        <v>0</v>
      </c>
      <c r="AJ33" s="27">
        <f t="shared" si="11"/>
        <v>0</v>
      </c>
      <c r="AK33" s="27">
        <f t="shared" si="10"/>
        <v>0</v>
      </c>
      <c r="AL33" s="224">
        <f>VLOOKUP(D33,'P Gerais'!$C$23:$I$29,7,FALSE)</f>
        <v>0</v>
      </c>
    </row>
    <row r="34" spans="1:40" ht="15" customHeight="1" x14ac:dyDescent="0.2">
      <c r="C34" s="59">
        <v>27</v>
      </c>
      <c r="D34" s="59" t="str">
        <f t="shared" si="2"/>
        <v>DOM</v>
      </c>
      <c r="E34" s="93" t="s">
        <v>191</v>
      </c>
      <c r="F34" s="62"/>
      <c r="G34" s="62"/>
      <c r="H34" s="62"/>
      <c r="I34" s="62"/>
      <c r="J34" s="10"/>
      <c r="K34" s="60">
        <f t="shared" si="3"/>
        <v>0</v>
      </c>
      <c r="L34" s="51"/>
      <c r="M34" s="60">
        <f>IF(E34="Falta Justificada",0,IF(E34="Feriado",0,IF(E34="Folga(DSR)",0,IF(VLOOKUP(D34,'P Gerais'!$C$23:$M$29,11,0)-K34&gt;0,VLOOKUP(D34,'P Gerais'!$C$23:$M$29,11,0)-K34,0))))</f>
        <v>0</v>
      </c>
      <c r="N34" s="51"/>
      <c r="O34" s="60">
        <f>IF(E34="Feriado",IF(F34&gt;I34,(I34+1-F34)-(H34-G34),(I34-F34)-(H34-G34)),IF(E34="Folga(DSR)",IF(F34&gt;I34,(I34+1-F34)-(H34-G34),(I34-F34)-(H34-G34)),IF(E34="Falta Justificada",IF(F34&gt;I34,(I34+1-F34)-(H34-G34),(I34-F34)-(H34-G34)),IF(VLOOKUP(D34,'P Gerais'!$C$23:$M$29,11,0)-K34&lt;0,ABS(VLOOKUP(D34,'P Gerais'!$C$23:$M$29,11,0)-K34),0))))</f>
        <v>0</v>
      </c>
      <c r="P34" s="2">
        <f t="shared" si="4"/>
        <v>0</v>
      </c>
      <c r="Q34" s="176"/>
      <c r="R34" s="176"/>
      <c r="S34" s="176"/>
      <c r="W34" s="225">
        <f>DATE('P Gerais'!$C$6,$W$7,Dez!C34)</f>
        <v>42365</v>
      </c>
      <c r="X34" s="23">
        <f t="shared" si="5"/>
        <v>1</v>
      </c>
      <c r="AD34" s="27">
        <f t="shared" si="0"/>
        <v>0</v>
      </c>
      <c r="AE34" s="27">
        <f>VLOOKUP(D34,'P Gerais'!$C$23:$N$29,12,0)</f>
        <v>0</v>
      </c>
      <c r="AF34" s="27">
        <f t="shared" si="6"/>
        <v>0</v>
      </c>
      <c r="AG34" s="27">
        <f t="shared" si="7"/>
        <v>1</v>
      </c>
      <c r="AH34" s="27">
        <f t="shared" si="8"/>
        <v>0</v>
      </c>
      <c r="AI34" s="27">
        <f t="shared" si="9"/>
        <v>0</v>
      </c>
      <c r="AJ34" s="27">
        <f t="shared" si="11"/>
        <v>0</v>
      </c>
      <c r="AK34" s="27">
        <f t="shared" si="10"/>
        <v>0</v>
      </c>
      <c r="AL34" s="224">
        <f>VLOOKUP(D34,'P Gerais'!$C$23:$I$29,7,FALSE)</f>
        <v>0</v>
      </c>
    </row>
    <row r="35" spans="1:40" ht="15" customHeight="1" x14ac:dyDescent="0.2">
      <c r="C35" s="59">
        <v>28</v>
      </c>
      <c r="D35" s="59" t="str">
        <f t="shared" si="2"/>
        <v>SEG</v>
      </c>
      <c r="E35" s="93" t="s">
        <v>191</v>
      </c>
      <c r="F35" s="62"/>
      <c r="G35" s="62"/>
      <c r="H35" s="62"/>
      <c r="I35" s="62"/>
      <c r="J35" s="10"/>
      <c r="K35" s="60">
        <f t="shared" si="3"/>
        <v>0</v>
      </c>
      <c r="L35" s="51"/>
      <c r="M35" s="60">
        <f>IF(E35="Falta Justificada",0,IF(E35="Feriado",0,IF(E35="Folga(DSR)",0,IF(VLOOKUP(D35,'P Gerais'!$C$23:$M$29,11,0)-K35&gt;0,VLOOKUP(D35,'P Gerais'!$C$23:$M$29,11,0)-K35,0))))</f>
        <v>0</v>
      </c>
      <c r="N35" s="51"/>
      <c r="O35" s="60">
        <f>IF(E35="Feriado",IF(F35&gt;I35,(I35+1-F35)-(H35-G35),(I35-F35)-(H35-G35)),IF(E35="Folga(DSR)",IF(F35&gt;I35,(I35+1-F35)-(H35-G35),(I35-F35)-(H35-G35)),IF(E35="Falta Justificada",IF(F35&gt;I35,(I35+1-F35)-(H35-G35),(I35-F35)-(H35-G35)),IF(VLOOKUP(D35,'P Gerais'!$C$23:$M$29,11,0)-K35&lt;0,ABS(VLOOKUP(D35,'P Gerais'!$C$23:$M$29,11,0)-K35),0))))</f>
        <v>0</v>
      </c>
      <c r="P35" s="2">
        <f t="shared" si="4"/>
        <v>0</v>
      </c>
      <c r="Q35" s="176"/>
      <c r="R35" s="176"/>
      <c r="S35" s="176"/>
      <c r="W35" s="225">
        <f>DATE('P Gerais'!$C$6,$W$7,Dez!C35)</f>
        <v>42366</v>
      </c>
      <c r="X35" s="23">
        <f t="shared" si="5"/>
        <v>2</v>
      </c>
      <c r="AD35" s="27">
        <f t="shared" si="0"/>
        <v>0</v>
      </c>
      <c r="AE35" s="27">
        <f>VLOOKUP(D35,'P Gerais'!$C$23:$N$29,12,0)</f>
        <v>0</v>
      </c>
      <c r="AF35" s="27">
        <f t="shared" si="6"/>
        <v>0</v>
      </c>
      <c r="AG35" s="27">
        <f t="shared" si="7"/>
        <v>1</v>
      </c>
      <c r="AH35" s="27">
        <f t="shared" si="8"/>
        <v>0</v>
      </c>
      <c r="AI35" s="27">
        <f t="shared" si="9"/>
        <v>0</v>
      </c>
      <c r="AJ35" s="27">
        <f t="shared" si="11"/>
        <v>0</v>
      </c>
      <c r="AK35" s="27">
        <f t="shared" si="10"/>
        <v>0</v>
      </c>
      <c r="AL35" s="224">
        <f>VLOOKUP(D35,'P Gerais'!$C$23:$I$29,7,FALSE)</f>
        <v>0</v>
      </c>
    </row>
    <row r="36" spans="1:40" ht="15" customHeight="1" x14ac:dyDescent="0.2">
      <c r="C36" s="59">
        <v>29</v>
      </c>
      <c r="D36" s="59" t="str">
        <f t="shared" si="2"/>
        <v>TER</v>
      </c>
      <c r="E36" s="93" t="s">
        <v>191</v>
      </c>
      <c r="F36" s="62"/>
      <c r="G36" s="62"/>
      <c r="H36" s="62"/>
      <c r="I36" s="62"/>
      <c r="J36" s="10"/>
      <c r="K36" s="60">
        <f t="shared" si="3"/>
        <v>0</v>
      </c>
      <c r="L36" s="51"/>
      <c r="M36" s="60">
        <f>IF(E36="Falta Justificada",0,IF(E36="Feriado",0,IF(E36="Folga(DSR)",0,IF(VLOOKUP(D36,'P Gerais'!$C$23:$M$29,11,0)-K36&gt;0,VLOOKUP(D36,'P Gerais'!$C$23:$M$29,11,0)-K36,0))))</f>
        <v>0</v>
      </c>
      <c r="N36" s="51"/>
      <c r="O36" s="60">
        <f>IF(E36="Feriado",IF(F36&gt;I36,(I36+1-F36)-(H36-G36),(I36-F36)-(H36-G36)),IF(E36="Folga(DSR)",IF(F36&gt;I36,(I36+1-F36)-(H36-G36),(I36-F36)-(H36-G36)),IF(E36="Falta Justificada",IF(F36&gt;I36,(I36+1-F36)-(H36-G36),(I36-F36)-(H36-G36)),IF(VLOOKUP(D36,'P Gerais'!$C$23:$M$29,11,0)-K36&lt;0,ABS(VLOOKUP(D36,'P Gerais'!$C$23:$M$29,11,0)-K36),0))))</f>
        <v>0</v>
      </c>
      <c r="P36" s="2">
        <f t="shared" si="4"/>
        <v>0</v>
      </c>
      <c r="Q36" s="176"/>
      <c r="R36" s="176"/>
      <c r="S36" s="176"/>
      <c r="W36" s="225">
        <f>DATE('P Gerais'!$C$6,$W$7,Dez!C36)</f>
        <v>42367</v>
      </c>
      <c r="X36" s="23">
        <f t="shared" si="5"/>
        <v>3</v>
      </c>
      <c r="AD36" s="27">
        <f t="shared" si="0"/>
        <v>0</v>
      </c>
      <c r="AE36" s="27">
        <f>VLOOKUP(D36,'P Gerais'!$C$23:$N$29,12,0)</f>
        <v>0</v>
      </c>
      <c r="AF36" s="27">
        <f t="shared" si="6"/>
        <v>0</v>
      </c>
      <c r="AG36" s="27">
        <f t="shared" si="7"/>
        <v>1</v>
      </c>
      <c r="AH36" s="27">
        <f t="shared" si="8"/>
        <v>0</v>
      </c>
      <c r="AI36" s="27">
        <f t="shared" si="9"/>
        <v>0</v>
      </c>
      <c r="AJ36" s="27">
        <f t="shared" si="11"/>
        <v>0</v>
      </c>
      <c r="AK36" s="27">
        <f t="shared" si="10"/>
        <v>0</v>
      </c>
      <c r="AL36" s="224">
        <f>VLOOKUP(D36,'P Gerais'!$C$23:$I$29,7,FALSE)</f>
        <v>0</v>
      </c>
    </row>
    <row r="37" spans="1:40" ht="15" customHeight="1" x14ac:dyDescent="0.2">
      <c r="C37" s="59">
        <v>30</v>
      </c>
      <c r="D37" s="59" t="str">
        <f t="shared" si="2"/>
        <v>QUA</v>
      </c>
      <c r="E37" s="93" t="s">
        <v>191</v>
      </c>
      <c r="F37" s="62"/>
      <c r="G37" s="62"/>
      <c r="H37" s="62"/>
      <c r="I37" s="62"/>
      <c r="J37" s="10"/>
      <c r="K37" s="60">
        <f t="shared" si="3"/>
        <v>0</v>
      </c>
      <c r="L37" s="51"/>
      <c r="M37" s="60">
        <f>IF(E37="Falta Justificada",0,IF(E37="Feriado",0,IF(E37="Folga(DSR)",0,IF(VLOOKUP(D37,'P Gerais'!$C$23:$M$29,11,0)-K37&gt;0,VLOOKUP(D37,'P Gerais'!$C$23:$M$29,11,0)-K37,0))))</f>
        <v>0</v>
      </c>
      <c r="N37" s="51"/>
      <c r="O37" s="60">
        <f>IF(E37="Feriado",IF(F37&gt;I37,(I37+1-F37)-(H37-G37),(I37-F37)-(H37-G37)),IF(E37="Folga(DSR)",IF(F37&gt;I37,(I37+1-F37)-(H37-G37),(I37-F37)-(H37-G37)),IF(E37="Falta Justificada",IF(F37&gt;I37,(I37+1-F37)-(H37-G37),(I37-F37)-(H37-G37)),IF(VLOOKUP(D37,'P Gerais'!$C$23:$M$29,11,0)-K37&lt;0,ABS(VLOOKUP(D37,'P Gerais'!$C$23:$M$29,11,0)-K37),0))))</f>
        <v>0</v>
      </c>
      <c r="P37" s="2">
        <f t="shared" si="4"/>
        <v>0</v>
      </c>
      <c r="W37" s="225">
        <f>DATE('P Gerais'!$C$6,$W$7,Dez!C37)</f>
        <v>42368</v>
      </c>
      <c r="X37" s="23">
        <f t="shared" si="5"/>
        <v>4</v>
      </c>
      <c r="AD37" s="27">
        <f t="shared" si="0"/>
        <v>0</v>
      </c>
      <c r="AE37" s="27">
        <f>VLOOKUP(D37,'P Gerais'!$C$23:$N$29,12,0)</f>
        <v>0</v>
      </c>
      <c r="AF37" s="27">
        <f t="shared" si="6"/>
        <v>0</v>
      </c>
      <c r="AG37" s="27">
        <f t="shared" si="7"/>
        <v>1</v>
      </c>
      <c r="AH37" s="27">
        <f t="shared" si="8"/>
        <v>0</v>
      </c>
      <c r="AI37" s="27">
        <f t="shared" si="9"/>
        <v>0</v>
      </c>
      <c r="AJ37" s="27">
        <f t="shared" si="11"/>
        <v>0</v>
      </c>
      <c r="AK37" s="27">
        <f t="shared" si="10"/>
        <v>0</v>
      </c>
      <c r="AL37" s="224">
        <f>VLOOKUP(D37,'P Gerais'!$C$23:$I$29,7,FALSE)</f>
        <v>0</v>
      </c>
    </row>
    <row r="38" spans="1:40" ht="15" customHeight="1" x14ac:dyDescent="0.2">
      <c r="C38" s="59">
        <v>31</v>
      </c>
      <c r="D38" s="59" t="str">
        <f t="shared" si="2"/>
        <v>QUI</v>
      </c>
      <c r="E38" s="93" t="s">
        <v>191</v>
      </c>
      <c r="F38" s="62"/>
      <c r="G38" s="62"/>
      <c r="H38" s="62"/>
      <c r="I38" s="62"/>
      <c r="J38" s="10"/>
      <c r="K38" s="60">
        <f t="shared" si="3"/>
        <v>0</v>
      </c>
      <c r="L38" s="51"/>
      <c r="M38" s="60">
        <f>IF(E38="Falta Justificada",0,IF(E38="Feriado",0,IF(E38="Folga(DSR)",0,IF(VLOOKUP(D38,'P Gerais'!$C$23:$M$29,11,0)-K38&gt;0,VLOOKUP(D38,'P Gerais'!$C$23:$M$29,11,0)-K38,0))))</f>
        <v>0</v>
      </c>
      <c r="N38" s="51"/>
      <c r="O38" s="60">
        <f>IF(E38="Feriado",IF(F38&gt;I38,(I38+1-F38)-(H38-G38),(I38-F38)-(H38-G38)),IF(E38="Folga(DSR)",IF(F38&gt;I38,(I38+1-F38)-(H38-G38),(I38-F38)-(H38-G38)),IF(E38="Falta Justificada",IF(F38&gt;I38,(I38+1-F38)-(H38-G38),(I38-F38)-(H38-G38)),IF(VLOOKUP(D38,'P Gerais'!$C$23:$M$29,11,0)-K38&lt;0,ABS(VLOOKUP(D38,'P Gerais'!$C$23:$M$29,11,0)-K38),0))))</f>
        <v>0</v>
      </c>
      <c r="P38" s="2">
        <f t="shared" si="4"/>
        <v>0</v>
      </c>
      <c r="W38" s="225">
        <f>DATE('P Gerais'!$C$6,$W$7,Dez!C38)</f>
        <v>42369</v>
      </c>
      <c r="X38" s="23">
        <f t="shared" si="5"/>
        <v>5</v>
      </c>
      <c r="AD38" s="27"/>
      <c r="AE38" s="27"/>
      <c r="AF38" s="27">
        <f t="shared" si="6"/>
        <v>0</v>
      </c>
      <c r="AG38" s="27"/>
      <c r="AH38" s="27"/>
      <c r="AI38" s="27">
        <f t="shared" si="9"/>
        <v>0</v>
      </c>
      <c r="AJ38" s="27"/>
      <c r="AK38" s="27">
        <f t="shared" ref="AK38:AK39" si="12">IF(AND(I38&gt;$AK$7,I38&gt;AL38),I38-AL38,$AF$7)</f>
        <v>0</v>
      </c>
      <c r="AL38" s="224">
        <f>VLOOKUP(D38,'P Gerais'!$C$23:$I$29,7,FALSE)</f>
        <v>0</v>
      </c>
    </row>
    <row r="39" spans="1:40" s="2" customFormat="1" ht="30" customHeight="1" x14ac:dyDescent="0.2">
      <c r="A39" s="9"/>
      <c r="T39" s="133"/>
      <c r="U39" s="23"/>
      <c r="V39" s="23"/>
      <c r="W39" s="23"/>
      <c r="X39" s="23"/>
      <c r="Y39" s="23"/>
      <c r="Z39" s="23"/>
      <c r="AA39" s="23"/>
      <c r="AB39" s="23"/>
      <c r="AC39" s="23"/>
      <c r="AD39" s="23"/>
      <c r="AE39" s="23"/>
      <c r="AF39" s="23"/>
      <c r="AG39" s="23"/>
      <c r="AH39" s="23"/>
      <c r="AI39" s="23"/>
      <c r="AJ39" s="23"/>
      <c r="AK39" s="27"/>
      <c r="AL39" s="224"/>
      <c r="AM39" s="23"/>
      <c r="AN39" s="133"/>
    </row>
    <row r="40" spans="1:40" s="2" customFormat="1" ht="30" customHeight="1" x14ac:dyDescent="0.2">
      <c r="A40" s="9"/>
      <c r="C40" s="23"/>
      <c r="D40" s="23"/>
      <c r="E40" s="23"/>
      <c r="F40" s="28"/>
      <c r="G40" s="24">
        <v>4.1666666666666664E-2</v>
      </c>
      <c r="H40" s="2">
        <f>'P Gerais'!L19+'P Gerais'!L19*'P Gerais'!L36</f>
        <v>0</v>
      </c>
      <c r="I40" s="2">
        <f>'P Gerais'!G6</f>
        <v>220</v>
      </c>
      <c r="K40" s="17">
        <f>H40/I40</f>
        <v>0</v>
      </c>
      <c r="T40" s="133"/>
      <c r="U40" s="23"/>
      <c r="V40" s="23"/>
      <c r="W40" s="23"/>
      <c r="X40" s="23"/>
      <c r="Y40" s="23"/>
      <c r="Z40" s="23"/>
      <c r="AA40" s="23"/>
      <c r="AB40" s="23"/>
      <c r="AC40" s="23"/>
      <c r="AD40" s="23"/>
      <c r="AE40" s="23"/>
      <c r="AF40" s="23"/>
      <c r="AG40" s="23"/>
      <c r="AH40" s="23"/>
      <c r="AI40" s="23"/>
      <c r="AJ40" s="23"/>
      <c r="AK40" s="23"/>
      <c r="AL40" s="23"/>
      <c r="AM40" s="23"/>
      <c r="AN40" s="133"/>
    </row>
    <row r="41" spans="1:40" s="2" customFormat="1" ht="30" customHeight="1" x14ac:dyDescent="0.2">
      <c r="A41" s="9"/>
      <c r="B41" s="2" t="s">
        <v>66</v>
      </c>
      <c r="C41" s="174" t="s">
        <v>101</v>
      </c>
      <c r="D41" s="174"/>
      <c r="E41" s="174"/>
      <c r="F41" s="25">
        <f>SUMIF($D$8:$D$38,B41,$O$8:$O$38)-SUMIFS($K$8:$K$38,$D$8:$D$38,B41,$E$8:$E$38,"Feriado")-SUMIFS($K$8:$K$38,$D$8:$D$38,B41,$E$8:$E$38,"Folga(DSR)")-SUMIFS($K$8:$K$38,$D$8:$D$38,B41,$E$8:$E$38,"Falta Justificada")-SUMIFS($AJ$8:$AJ$38,$D$8:$D$38,B41,$E$8:$E$38,"Normal")</f>
        <v>0</v>
      </c>
      <c r="G41" s="26">
        <f>'P Gerais'!$C$36</f>
        <v>0</v>
      </c>
      <c r="H41" s="16">
        <f>$K$40*(1+G41)*(F41*24)</f>
        <v>0</v>
      </c>
      <c r="T41" s="133"/>
      <c r="U41" s="23"/>
      <c r="V41" s="23"/>
      <c r="W41" s="23"/>
      <c r="X41" s="23"/>
      <c r="Y41" s="23"/>
      <c r="Z41" s="23"/>
      <c r="AA41" s="23"/>
      <c r="AB41" s="23"/>
      <c r="AC41" s="23"/>
      <c r="AD41" s="23"/>
      <c r="AE41" s="23"/>
      <c r="AF41" s="23"/>
      <c r="AG41" s="23"/>
      <c r="AH41" s="23"/>
      <c r="AI41" s="23"/>
      <c r="AJ41" s="23"/>
      <c r="AK41" s="23"/>
      <c r="AL41" s="23"/>
      <c r="AM41" s="23"/>
      <c r="AN41" s="133"/>
    </row>
    <row r="42" spans="1:40" s="2" customFormat="1" ht="30" customHeight="1" x14ac:dyDescent="0.2">
      <c r="A42" s="9"/>
      <c r="B42" s="2" t="s">
        <v>67</v>
      </c>
      <c r="C42" s="174" t="s">
        <v>102</v>
      </c>
      <c r="D42" s="174"/>
      <c r="E42" s="174"/>
      <c r="F42" s="25">
        <f t="shared" ref="F42:F47" si="13">SUMIF($D$8:$D$38,B42,$O$8:$O$38)-SUMIFS($K$8:$K$38,$D$8:$D$38,B42,$E$8:$E$38,"Feriado")-SUMIFS($K$8:$K$38,$D$8:$D$38,B42,$E$8:$E$38,"Folga(DSR)")-SUMIFS($K$8:$K$38,$D$8:$D$38,B42,$E$8:$E$38,"Falta Justificada")-SUMIFS($AJ$8:$AJ$38,$D$8:$D$38,B42,$E$8:$E$38,"Normal")</f>
        <v>0</v>
      </c>
      <c r="G42" s="26">
        <f>'P Gerais'!$C$36</f>
        <v>0</v>
      </c>
      <c r="H42" s="16">
        <f t="shared" ref="H42:H47" si="14">$K$40*(1+G42)*(F42*24)</f>
        <v>0</v>
      </c>
      <c r="T42" s="133"/>
      <c r="U42" s="23"/>
      <c r="V42" s="23"/>
      <c r="W42" s="23"/>
      <c r="X42" s="23"/>
      <c r="Y42" s="23"/>
      <c r="Z42" s="23"/>
      <c r="AA42" s="23"/>
      <c r="AB42" s="23"/>
      <c r="AC42" s="23"/>
      <c r="AD42" s="23"/>
      <c r="AE42" s="23"/>
      <c r="AF42" s="23"/>
      <c r="AG42" s="23"/>
      <c r="AH42" s="23"/>
      <c r="AI42" s="23"/>
      <c r="AJ42" s="23"/>
      <c r="AK42" s="23"/>
      <c r="AL42" s="23"/>
      <c r="AM42" s="23"/>
      <c r="AN42" s="133"/>
    </row>
    <row r="43" spans="1:40" s="2" customFormat="1" ht="30" customHeight="1" x14ac:dyDescent="0.2">
      <c r="A43" s="9"/>
      <c r="B43" s="2" t="s">
        <v>68</v>
      </c>
      <c r="C43" s="174" t="s">
        <v>103</v>
      </c>
      <c r="D43" s="174"/>
      <c r="E43" s="174"/>
      <c r="F43" s="25">
        <f t="shared" si="13"/>
        <v>0</v>
      </c>
      <c r="G43" s="26">
        <f>'P Gerais'!$C$36</f>
        <v>0</v>
      </c>
      <c r="H43" s="16">
        <f t="shared" si="14"/>
        <v>0</v>
      </c>
      <c r="T43" s="133"/>
      <c r="U43" s="23"/>
      <c r="V43" s="23"/>
      <c r="W43" s="23"/>
      <c r="X43" s="23"/>
      <c r="Y43" s="23"/>
      <c r="Z43" s="23"/>
      <c r="AA43" s="23"/>
      <c r="AB43" s="23"/>
      <c r="AC43" s="23"/>
      <c r="AD43" s="23"/>
      <c r="AE43" s="23"/>
      <c r="AF43" s="23"/>
      <c r="AG43" s="23"/>
      <c r="AH43" s="23"/>
      <c r="AI43" s="23"/>
      <c r="AJ43" s="23"/>
      <c r="AK43" s="23"/>
      <c r="AL43" s="23"/>
      <c r="AM43" s="23"/>
      <c r="AN43" s="133"/>
    </row>
    <row r="44" spans="1:40" s="2" customFormat="1" ht="30" customHeight="1" x14ac:dyDescent="0.2">
      <c r="A44" s="9"/>
      <c r="B44" s="2" t="s">
        <v>69</v>
      </c>
      <c r="C44" s="174" t="s">
        <v>104</v>
      </c>
      <c r="D44" s="174"/>
      <c r="E44" s="174"/>
      <c r="F44" s="25">
        <f t="shared" si="13"/>
        <v>0</v>
      </c>
      <c r="G44" s="26">
        <f>'P Gerais'!$C$36</f>
        <v>0</v>
      </c>
      <c r="H44" s="16">
        <f t="shared" si="14"/>
        <v>0</v>
      </c>
      <c r="T44" s="133"/>
      <c r="U44" s="23"/>
      <c r="V44" s="23"/>
      <c r="W44" s="23"/>
      <c r="X44" s="23"/>
      <c r="Y44" s="23"/>
      <c r="Z44" s="23"/>
      <c r="AA44" s="23"/>
      <c r="AB44" s="23"/>
      <c r="AC44" s="23"/>
      <c r="AD44" s="23"/>
      <c r="AE44" s="23"/>
      <c r="AF44" s="23"/>
      <c r="AG44" s="23"/>
      <c r="AH44" s="23"/>
      <c r="AI44" s="23"/>
      <c r="AJ44" s="23"/>
      <c r="AK44" s="23"/>
      <c r="AL44" s="23"/>
      <c r="AM44" s="23"/>
      <c r="AN44" s="133"/>
    </row>
    <row r="45" spans="1:40" s="2" customFormat="1" ht="30" customHeight="1" x14ac:dyDescent="0.2">
      <c r="A45" s="9"/>
      <c r="B45" s="2" t="s">
        <v>70</v>
      </c>
      <c r="C45" s="174" t="s">
        <v>105</v>
      </c>
      <c r="D45" s="174"/>
      <c r="E45" s="174"/>
      <c r="F45" s="25">
        <f t="shared" si="13"/>
        <v>0</v>
      </c>
      <c r="G45" s="26">
        <f>'P Gerais'!$C$36</f>
        <v>0</v>
      </c>
      <c r="H45" s="16">
        <f t="shared" si="14"/>
        <v>0</v>
      </c>
      <c r="M45" s="113"/>
      <c r="T45" s="133"/>
      <c r="U45" s="23"/>
      <c r="V45" s="23"/>
      <c r="W45" s="23"/>
      <c r="X45" s="23"/>
      <c r="Y45" s="23"/>
      <c r="Z45" s="23"/>
      <c r="AA45" s="23"/>
      <c r="AB45" s="23"/>
      <c r="AC45" s="23"/>
      <c r="AD45" s="23"/>
      <c r="AE45" s="23"/>
      <c r="AF45" s="23"/>
      <c r="AG45" s="23"/>
      <c r="AH45" s="23"/>
      <c r="AI45" s="23"/>
      <c r="AJ45" s="23"/>
      <c r="AK45" s="23"/>
      <c r="AL45" s="23"/>
      <c r="AM45" s="23"/>
      <c r="AN45" s="133"/>
    </row>
    <row r="46" spans="1:40" s="2" customFormat="1" ht="30" customHeight="1" x14ac:dyDescent="0.2">
      <c r="A46" s="9"/>
      <c r="B46" s="2" t="s">
        <v>71</v>
      </c>
      <c r="C46" s="174" t="s">
        <v>108</v>
      </c>
      <c r="D46" s="174"/>
      <c r="E46" s="174"/>
      <c r="F46" s="25">
        <f t="shared" si="13"/>
        <v>0</v>
      </c>
      <c r="G46" s="26">
        <f>'P Gerais'!E36</f>
        <v>0</v>
      </c>
      <c r="H46" s="16">
        <f t="shared" si="14"/>
        <v>0</v>
      </c>
      <c r="T46" s="133"/>
      <c r="U46" s="23"/>
      <c r="V46" s="23"/>
      <c r="W46" s="23"/>
      <c r="X46" s="23"/>
      <c r="Y46" s="23"/>
      <c r="Z46" s="23"/>
      <c r="AA46" s="23"/>
      <c r="AB46" s="23"/>
      <c r="AC46" s="23"/>
      <c r="AD46" s="23"/>
      <c r="AE46" s="23"/>
      <c r="AF46" s="23"/>
      <c r="AG46" s="23"/>
      <c r="AH46" s="23"/>
      <c r="AI46" s="23"/>
      <c r="AJ46" s="23"/>
      <c r="AK46" s="23"/>
      <c r="AL46" s="23"/>
      <c r="AM46" s="23"/>
      <c r="AN46" s="133"/>
    </row>
    <row r="47" spans="1:40" s="2" customFormat="1" ht="30" customHeight="1" x14ac:dyDescent="0.2">
      <c r="A47" s="9"/>
      <c r="B47" s="2" t="s">
        <v>65</v>
      </c>
      <c r="C47" s="174" t="s">
        <v>107</v>
      </c>
      <c r="D47" s="174"/>
      <c r="E47" s="174"/>
      <c r="F47" s="25">
        <f t="shared" si="13"/>
        <v>0</v>
      </c>
      <c r="G47" s="26">
        <f>'P Gerais'!F36</f>
        <v>0</v>
      </c>
      <c r="H47" s="16">
        <f t="shared" si="14"/>
        <v>0</v>
      </c>
      <c r="T47" s="133"/>
      <c r="U47" s="23"/>
      <c r="V47" s="23"/>
      <c r="W47" s="23"/>
      <c r="X47" s="23"/>
      <c r="Y47" s="23"/>
      <c r="Z47" s="23"/>
      <c r="AA47" s="23"/>
      <c r="AB47" s="23"/>
      <c r="AC47" s="23"/>
      <c r="AD47" s="23"/>
      <c r="AE47" s="23"/>
      <c r="AF47" s="23"/>
      <c r="AG47" s="23"/>
      <c r="AH47" s="23"/>
      <c r="AI47" s="23"/>
      <c r="AJ47" s="23"/>
      <c r="AK47" s="23"/>
      <c r="AL47" s="23"/>
      <c r="AM47" s="23"/>
      <c r="AN47" s="133"/>
    </row>
    <row r="48" spans="1:40" s="2" customFormat="1" ht="30" customHeight="1" x14ac:dyDescent="0.2">
      <c r="A48" s="9"/>
      <c r="C48" s="174" t="s">
        <v>106</v>
      </c>
      <c r="D48" s="174"/>
      <c r="E48" s="174"/>
      <c r="F48" s="25">
        <f>SUMIF($E$8:$E$38,"Feriado",O8:O38)</f>
        <v>0</v>
      </c>
      <c r="G48" s="26">
        <f>'P Gerais'!K36</f>
        <v>0</v>
      </c>
      <c r="H48" s="16">
        <f>$K$40*(1+G48)*(F48*24)</f>
        <v>0</v>
      </c>
      <c r="T48" s="133"/>
      <c r="U48" s="23"/>
      <c r="V48" s="23"/>
      <c r="W48" s="23"/>
      <c r="X48" s="23"/>
      <c r="Y48" s="23"/>
      <c r="Z48" s="23"/>
      <c r="AA48" s="23"/>
      <c r="AB48" s="23"/>
      <c r="AC48" s="23"/>
      <c r="AD48" s="23"/>
      <c r="AE48" s="23"/>
      <c r="AF48" s="23"/>
      <c r="AG48" s="23"/>
      <c r="AH48" s="23"/>
      <c r="AI48" s="23"/>
      <c r="AJ48" s="23"/>
      <c r="AK48" s="23"/>
      <c r="AL48" s="23"/>
      <c r="AM48" s="23"/>
      <c r="AN48" s="133"/>
    </row>
    <row r="49" spans="1:40" s="2" customFormat="1" ht="30" customHeight="1" x14ac:dyDescent="0.2">
      <c r="A49" s="9"/>
      <c r="C49" s="174" t="s">
        <v>109</v>
      </c>
      <c r="D49" s="174"/>
      <c r="E49" s="174"/>
      <c r="F49" s="25">
        <f>SUMIF($E$8:$E$38,"Folga(DSR)",O8:O38)</f>
        <v>0</v>
      </c>
      <c r="G49" s="26">
        <f>'P Gerais'!I36</f>
        <v>0</v>
      </c>
      <c r="H49" s="16">
        <f>$K$40*(1+G49)*(F49*24)</f>
        <v>0</v>
      </c>
      <c r="T49" s="133"/>
      <c r="U49" s="23"/>
      <c r="V49" s="23"/>
      <c r="W49" s="23"/>
      <c r="X49" s="23"/>
      <c r="Y49" s="23"/>
      <c r="Z49" s="23"/>
      <c r="AA49" s="23"/>
      <c r="AB49" s="23"/>
      <c r="AC49" s="23"/>
      <c r="AD49" s="23"/>
      <c r="AE49" s="23"/>
      <c r="AF49" s="23"/>
      <c r="AG49" s="23"/>
      <c r="AH49" s="23"/>
      <c r="AI49" s="23"/>
      <c r="AJ49" s="23"/>
      <c r="AK49" s="23"/>
      <c r="AL49" s="23"/>
      <c r="AM49" s="23"/>
      <c r="AN49" s="133"/>
    </row>
    <row r="50" spans="1:40" s="2" customFormat="1" ht="30" customHeight="1" x14ac:dyDescent="0.2">
      <c r="A50" s="9"/>
      <c r="C50" s="174" t="s">
        <v>110</v>
      </c>
      <c r="D50" s="174"/>
      <c r="E50" s="174"/>
      <c r="F50" s="25">
        <f>SUM(AF8:AF38)</f>
        <v>0</v>
      </c>
      <c r="G50" s="26">
        <f>'P Gerais'!C39</f>
        <v>0</v>
      </c>
      <c r="H50" s="16">
        <f>$K$40*(1+G50)*(F50*24)</f>
        <v>0</v>
      </c>
      <c r="T50" s="133"/>
      <c r="U50" s="23"/>
      <c r="V50" s="23"/>
      <c r="W50" s="23"/>
      <c r="X50" s="23"/>
      <c r="Y50" s="23"/>
      <c r="Z50" s="23"/>
      <c r="AA50" s="23"/>
      <c r="AB50" s="23"/>
      <c r="AC50" s="23"/>
      <c r="AD50" s="23"/>
      <c r="AE50" s="23"/>
      <c r="AF50" s="23"/>
      <c r="AG50" s="23"/>
      <c r="AH50" s="23"/>
      <c r="AI50" s="23"/>
      <c r="AJ50" s="23"/>
      <c r="AK50" s="23"/>
      <c r="AL50" s="23"/>
      <c r="AM50" s="23"/>
      <c r="AN50" s="133"/>
    </row>
    <row r="51" spans="1:40" s="2" customFormat="1" ht="30" customHeight="1" x14ac:dyDescent="0.2">
      <c r="A51" s="9"/>
      <c r="C51" s="174" t="s">
        <v>111</v>
      </c>
      <c r="D51" s="174"/>
      <c r="E51" s="174"/>
      <c r="F51" s="25">
        <f>SUM(AH8:AH38)</f>
        <v>0</v>
      </c>
      <c r="G51" s="26">
        <f>'P Gerais'!H39</f>
        <v>0</v>
      </c>
      <c r="H51" s="16">
        <f>$K$40*(1+G51)*(F51*24)</f>
        <v>0</v>
      </c>
      <c r="T51" s="133"/>
      <c r="U51" s="23"/>
      <c r="V51" s="23"/>
      <c r="W51" s="23"/>
      <c r="X51" s="23"/>
      <c r="Y51" s="23"/>
      <c r="Z51" s="23"/>
      <c r="AA51" s="23"/>
      <c r="AB51" s="23"/>
      <c r="AC51" s="23"/>
      <c r="AD51" s="23"/>
      <c r="AE51" s="23"/>
      <c r="AF51" s="23"/>
      <c r="AG51" s="23"/>
      <c r="AH51" s="23"/>
      <c r="AI51" s="23"/>
      <c r="AJ51" s="23"/>
      <c r="AK51" s="23"/>
      <c r="AL51" s="23"/>
      <c r="AM51" s="23"/>
      <c r="AN51" s="133"/>
    </row>
    <row r="52" spans="1:40" s="2" customFormat="1" ht="30" customHeight="1" x14ac:dyDescent="0.2">
      <c r="A52" s="9"/>
      <c r="C52" s="183" t="s">
        <v>112</v>
      </c>
      <c r="D52" s="174"/>
      <c r="E52" s="174"/>
      <c r="F52" s="25">
        <f>(SUM(AI8:AK38)/7)*8</f>
        <v>0</v>
      </c>
      <c r="G52" s="26">
        <f>'P Gerais'!H36</f>
        <v>0</v>
      </c>
      <c r="H52" s="16">
        <f>$K$40*(1+G52)*(F52*24)</f>
        <v>0</v>
      </c>
      <c r="T52" s="133"/>
      <c r="U52" s="23"/>
      <c r="V52" s="23"/>
      <c r="W52" s="23"/>
      <c r="X52" s="23"/>
      <c r="Y52" s="23"/>
      <c r="Z52" s="23"/>
      <c r="AA52" s="23"/>
      <c r="AB52" s="23"/>
      <c r="AC52" s="23"/>
      <c r="AD52" s="23"/>
      <c r="AE52" s="23"/>
      <c r="AF52" s="23"/>
      <c r="AG52" s="23"/>
      <c r="AH52" s="23"/>
      <c r="AI52" s="23"/>
      <c r="AJ52" s="23"/>
      <c r="AK52" s="23"/>
      <c r="AL52" s="23"/>
      <c r="AM52" s="23"/>
      <c r="AN52" s="133"/>
    </row>
    <row r="53" spans="1:40" s="2" customFormat="1" ht="30" customHeight="1" x14ac:dyDescent="0.2">
      <c r="A53" s="9"/>
      <c r="C53" s="174" t="s">
        <v>113</v>
      </c>
      <c r="D53" s="174"/>
      <c r="E53" s="174"/>
      <c r="F53" s="25">
        <f>S13</f>
        <v>0</v>
      </c>
      <c r="G53" s="23"/>
      <c r="T53" s="133"/>
      <c r="U53" s="23"/>
      <c r="V53" s="23"/>
      <c r="W53" s="23"/>
      <c r="X53" s="23"/>
      <c r="Y53" s="23"/>
      <c r="Z53" s="23"/>
      <c r="AA53" s="23"/>
      <c r="AB53" s="23"/>
      <c r="AC53" s="23"/>
      <c r="AD53" s="23"/>
      <c r="AE53" s="23"/>
      <c r="AF53" s="23"/>
      <c r="AG53" s="23"/>
      <c r="AH53" s="23"/>
      <c r="AI53" s="23"/>
      <c r="AJ53" s="23"/>
      <c r="AK53" s="23"/>
      <c r="AL53" s="23"/>
      <c r="AM53" s="23"/>
      <c r="AN53" s="133"/>
    </row>
    <row r="54" spans="1:40" s="2" customFormat="1" ht="30" customHeight="1" x14ac:dyDescent="0.2">
      <c r="A54" s="9"/>
      <c r="C54" s="174" t="s">
        <v>114</v>
      </c>
      <c r="D54" s="174"/>
      <c r="E54" s="174"/>
      <c r="F54" s="29">
        <f>SUM(H41:H52)</f>
        <v>0</v>
      </c>
      <c r="G54" s="23"/>
      <c r="T54" s="133"/>
      <c r="U54" s="23"/>
      <c r="V54" s="23"/>
      <c r="W54" s="23"/>
      <c r="X54" s="23"/>
      <c r="Y54" s="23"/>
      <c r="Z54" s="23"/>
      <c r="AA54" s="23"/>
      <c r="AB54" s="23"/>
      <c r="AC54" s="23"/>
      <c r="AD54" s="23"/>
      <c r="AE54" s="23"/>
      <c r="AF54" s="23"/>
      <c r="AG54" s="23"/>
      <c r="AH54" s="23"/>
      <c r="AI54" s="23"/>
      <c r="AJ54" s="23"/>
      <c r="AK54" s="23"/>
      <c r="AL54" s="23"/>
      <c r="AM54" s="23"/>
      <c r="AN54" s="133"/>
    </row>
    <row r="55" spans="1:40" s="2" customFormat="1" ht="30" customHeight="1" x14ac:dyDescent="0.2">
      <c r="A55" s="9"/>
      <c r="C55" s="174" t="s">
        <v>115</v>
      </c>
      <c r="D55" s="174"/>
      <c r="E55" s="174"/>
      <c r="F55" s="29">
        <f>H40+F54</f>
        <v>0</v>
      </c>
      <c r="G55" s="23"/>
      <c r="T55" s="133"/>
      <c r="U55" s="23"/>
      <c r="V55" s="23"/>
      <c r="W55" s="23"/>
      <c r="X55" s="23"/>
      <c r="Y55" s="23"/>
      <c r="Z55" s="23"/>
      <c r="AA55" s="23"/>
      <c r="AB55" s="23"/>
      <c r="AC55" s="23"/>
      <c r="AD55" s="23"/>
      <c r="AE55" s="23"/>
      <c r="AF55" s="23"/>
      <c r="AG55" s="23"/>
      <c r="AH55" s="23"/>
      <c r="AI55" s="23"/>
      <c r="AJ55" s="23"/>
      <c r="AK55" s="23"/>
      <c r="AL55" s="23"/>
      <c r="AM55" s="23"/>
      <c r="AN55" s="133"/>
    </row>
    <row r="56" spans="1:40" s="2" customFormat="1" ht="30" customHeight="1" x14ac:dyDescent="0.2">
      <c r="A56" s="9"/>
      <c r="C56" s="23"/>
      <c r="D56" s="23"/>
      <c r="E56" s="23"/>
      <c r="F56" s="27">
        <f>S15</f>
        <v>0</v>
      </c>
      <c r="G56" s="23"/>
      <c r="T56" s="133"/>
      <c r="U56" s="23"/>
      <c r="V56" s="23"/>
      <c r="W56" s="23"/>
      <c r="X56" s="23"/>
      <c r="Y56" s="23"/>
      <c r="Z56" s="23"/>
      <c r="AA56" s="23"/>
      <c r="AB56" s="23"/>
      <c r="AC56" s="23"/>
      <c r="AD56" s="23"/>
      <c r="AE56" s="23"/>
      <c r="AF56" s="23"/>
      <c r="AG56" s="23"/>
      <c r="AH56" s="23"/>
      <c r="AI56" s="23"/>
      <c r="AJ56" s="23"/>
      <c r="AK56" s="23"/>
      <c r="AL56" s="23"/>
      <c r="AM56" s="23"/>
      <c r="AN56" s="133"/>
    </row>
    <row r="57" spans="1:40" s="2" customFormat="1" ht="30" customHeight="1" x14ac:dyDescent="0.2">
      <c r="A57" s="9"/>
      <c r="C57" s="23"/>
      <c r="D57" s="23"/>
      <c r="E57" s="23"/>
      <c r="F57" s="27">
        <f>S17</f>
        <v>0</v>
      </c>
      <c r="G57" s="23"/>
      <c r="T57" s="133"/>
      <c r="U57" s="23"/>
      <c r="V57" s="23"/>
      <c r="W57" s="23"/>
      <c r="X57" s="23"/>
      <c r="Y57" s="23"/>
      <c r="Z57" s="23"/>
      <c r="AA57" s="23"/>
      <c r="AB57" s="23"/>
      <c r="AC57" s="23"/>
      <c r="AD57" s="23"/>
      <c r="AE57" s="23"/>
      <c r="AF57" s="23"/>
      <c r="AG57" s="23"/>
      <c r="AH57" s="23"/>
      <c r="AI57" s="23"/>
      <c r="AJ57" s="23"/>
      <c r="AK57" s="23"/>
      <c r="AL57" s="23"/>
      <c r="AM57" s="23"/>
      <c r="AN57" s="133"/>
    </row>
    <row r="58" spans="1:40" s="2" customFormat="1" ht="30" customHeight="1" x14ac:dyDescent="0.2">
      <c r="A58" s="9"/>
      <c r="C58" s="23"/>
      <c r="D58" s="23"/>
      <c r="E58" s="23"/>
      <c r="F58" s="23"/>
      <c r="G58" s="23"/>
      <c r="T58" s="133"/>
      <c r="U58" s="23"/>
      <c r="V58" s="23"/>
      <c r="W58" s="23"/>
      <c r="X58" s="23"/>
      <c r="Y58" s="23"/>
      <c r="Z58" s="23"/>
      <c r="AA58" s="23"/>
      <c r="AB58" s="23"/>
      <c r="AC58" s="23"/>
      <c r="AD58" s="23"/>
      <c r="AE58" s="23"/>
      <c r="AF58" s="23"/>
      <c r="AG58" s="23"/>
      <c r="AH58" s="23"/>
      <c r="AI58" s="23"/>
      <c r="AJ58" s="23"/>
      <c r="AK58" s="23"/>
      <c r="AL58" s="23"/>
      <c r="AM58" s="23"/>
      <c r="AN58" s="133"/>
    </row>
    <row r="59" spans="1:40" s="2" customFormat="1" ht="30" customHeight="1" x14ac:dyDescent="0.2">
      <c r="A59" s="9"/>
      <c r="T59" s="133"/>
      <c r="U59" s="23"/>
      <c r="V59" s="23"/>
      <c r="W59" s="23"/>
      <c r="X59" s="23"/>
      <c r="Y59" s="23"/>
      <c r="Z59" s="23"/>
      <c r="AA59" s="23"/>
      <c r="AB59" s="23"/>
      <c r="AC59" s="23"/>
      <c r="AD59" s="23"/>
      <c r="AE59" s="23"/>
      <c r="AF59" s="23"/>
      <c r="AG59" s="23"/>
      <c r="AH59" s="23"/>
      <c r="AI59" s="23"/>
      <c r="AJ59" s="23"/>
      <c r="AK59" s="23"/>
      <c r="AL59" s="23"/>
      <c r="AM59" s="23"/>
      <c r="AN59" s="133"/>
    </row>
    <row r="60" spans="1:40" s="2" customFormat="1" ht="30" customHeight="1" x14ac:dyDescent="0.2">
      <c r="A60" s="9"/>
      <c r="T60" s="133"/>
      <c r="U60" s="23"/>
      <c r="V60" s="23"/>
      <c r="W60" s="23"/>
      <c r="X60" s="23"/>
      <c r="Y60" s="23"/>
      <c r="Z60" s="23"/>
      <c r="AA60" s="23"/>
      <c r="AB60" s="23"/>
      <c r="AC60" s="23"/>
      <c r="AD60" s="23"/>
      <c r="AE60" s="23"/>
      <c r="AF60" s="23"/>
      <c r="AG60" s="23"/>
      <c r="AH60" s="23"/>
      <c r="AI60" s="23"/>
      <c r="AJ60" s="23"/>
      <c r="AK60" s="23"/>
      <c r="AL60" s="23"/>
      <c r="AM60" s="23"/>
      <c r="AN60" s="133"/>
    </row>
    <row r="61" spans="1:40" s="2" customFormat="1" ht="30" customHeight="1" x14ac:dyDescent="0.2">
      <c r="A61" s="9"/>
      <c r="T61" s="133"/>
      <c r="U61" s="23"/>
      <c r="V61" s="23"/>
      <c r="W61" s="23"/>
      <c r="X61" s="23"/>
      <c r="Y61" s="23"/>
      <c r="Z61" s="23"/>
      <c r="AA61" s="23"/>
      <c r="AB61" s="23"/>
      <c r="AC61" s="23"/>
      <c r="AD61" s="23"/>
      <c r="AE61" s="23"/>
      <c r="AF61" s="23"/>
      <c r="AG61" s="23"/>
      <c r="AH61" s="23"/>
      <c r="AI61" s="23"/>
      <c r="AJ61" s="23"/>
      <c r="AK61" s="23"/>
      <c r="AL61" s="23"/>
      <c r="AM61" s="23"/>
      <c r="AN61" s="133"/>
    </row>
    <row r="62" spans="1:40" s="2" customFormat="1" ht="30" customHeight="1" x14ac:dyDescent="0.2">
      <c r="A62" s="9"/>
      <c r="T62" s="133"/>
      <c r="U62" s="23"/>
      <c r="V62" s="23"/>
      <c r="W62" s="23"/>
      <c r="X62" s="23"/>
      <c r="Y62" s="23"/>
      <c r="Z62" s="23"/>
      <c r="AA62" s="23"/>
      <c r="AB62" s="23"/>
      <c r="AC62" s="23"/>
      <c r="AD62" s="23"/>
      <c r="AE62" s="23"/>
      <c r="AF62" s="23"/>
      <c r="AG62" s="23"/>
      <c r="AH62" s="23"/>
      <c r="AI62" s="23"/>
      <c r="AJ62" s="23"/>
      <c r="AK62" s="23"/>
      <c r="AL62" s="23"/>
      <c r="AM62" s="23"/>
      <c r="AN62" s="133"/>
    </row>
    <row r="63" spans="1:40" s="2" customFormat="1" ht="30" customHeight="1" x14ac:dyDescent="0.2">
      <c r="A63" s="9"/>
      <c r="T63" s="133"/>
      <c r="U63" s="23"/>
      <c r="V63" s="23"/>
      <c r="W63" s="23"/>
      <c r="X63" s="23"/>
      <c r="Y63" s="23"/>
      <c r="Z63" s="23"/>
      <c r="AA63" s="23"/>
      <c r="AB63" s="23"/>
      <c r="AC63" s="23"/>
      <c r="AD63" s="23"/>
      <c r="AE63" s="23"/>
      <c r="AF63" s="23"/>
      <c r="AG63" s="23"/>
      <c r="AH63" s="23"/>
      <c r="AI63" s="23"/>
      <c r="AJ63" s="23"/>
      <c r="AK63" s="23"/>
      <c r="AL63" s="23"/>
      <c r="AM63" s="23"/>
      <c r="AN63" s="133"/>
    </row>
    <row r="64" spans="1:40" s="2" customFormat="1" ht="30" customHeight="1" x14ac:dyDescent="0.2">
      <c r="A64" s="9"/>
      <c r="T64" s="133"/>
      <c r="U64" s="23"/>
      <c r="V64" s="23"/>
      <c r="W64" s="23"/>
      <c r="X64" s="23"/>
      <c r="Y64" s="23"/>
      <c r="Z64" s="23"/>
      <c r="AA64" s="23"/>
      <c r="AB64" s="23"/>
      <c r="AC64" s="23"/>
      <c r="AD64" s="23"/>
      <c r="AE64" s="23"/>
      <c r="AF64" s="23"/>
      <c r="AG64" s="23"/>
      <c r="AH64" s="23"/>
      <c r="AI64" s="23"/>
      <c r="AJ64" s="23"/>
      <c r="AK64" s="23"/>
      <c r="AL64" s="23"/>
      <c r="AM64" s="23"/>
      <c r="AN64" s="133"/>
    </row>
    <row r="65" spans="1:40" s="2" customFormat="1" ht="30" customHeight="1" x14ac:dyDescent="0.2">
      <c r="A65" s="9"/>
      <c r="T65" s="133"/>
      <c r="U65" s="23"/>
      <c r="V65" s="23"/>
      <c r="W65" s="23"/>
      <c r="X65" s="23"/>
      <c r="Y65" s="23"/>
      <c r="Z65" s="23"/>
      <c r="AA65" s="23"/>
      <c r="AB65" s="23"/>
      <c r="AC65" s="23"/>
      <c r="AD65" s="23"/>
      <c r="AE65" s="23"/>
      <c r="AF65" s="23"/>
      <c r="AG65" s="23"/>
      <c r="AH65" s="23"/>
      <c r="AI65" s="23"/>
      <c r="AJ65" s="23"/>
      <c r="AK65" s="23"/>
      <c r="AL65" s="23"/>
      <c r="AM65" s="23"/>
      <c r="AN65" s="133"/>
    </row>
    <row r="66" spans="1:40" s="2" customFormat="1" ht="30" customHeight="1" x14ac:dyDescent="0.2">
      <c r="A66" s="9"/>
      <c r="T66" s="133"/>
      <c r="U66" s="23"/>
      <c r="V66" s="23"/>
      <c r="W66" s="23"/>
      <c r="X66" s="23"/>
      <c r="Y66" s="23"/>
      <c r="Z66" s="23"/>
      <c r="AA66" s="23"/>
      <c r="AB66" s="23"/>
      <c r="AC66" s="23"/>
      <c r="AD66" s="23"/>
      <c r="AE66" s="23"/>
      <c r="AF66" s="23"/>
      <c r="AG66" s="23"/>
      <c r="AH66" s="23"/>
      <c r="AI66" s="23"/>
      <c r="AJ66" s="23"/>
      <c r="AK66" s="23"/>
      <c r="AL66" s="23"/>
      <c r="AM66" s="23"/>
      <c r="AN66" s="133"/>
    </row>
    <row r="67" spans="1:40" s="2" customFormat="1" ht="30" customHeight="1" x14ac:dyDescent="0.2">
      <c r="A67" s="9"/>
      <c r="T67" s="133"/>
      <c r="U67" s="23"/>
      <c r="V67" s="23"/>
      <c r="W67" s="23"/>
      <c r="X67" s="23"/>
      <c r="Y67" s="23"/>
      <c r="Z67" s="23"/>
      <c r="AA67" s="23"/>
      <c r="AB67" s="23"/>
      <c r="AC67" s="23"/>
      <c r="AD67" s="23"/>
      <c r="AE67" s="23"/>
      <c r="AF67" s="23"/>
      <c r="AG67" s="23"/>
      <c r="AH67" s="23"/>
      <c r="AI67" s="23"/>
      <c r="AJ67" s="23"/>
      <c r="AK67" s="23"/>
      <c r="AL67" s="23"/>
      <c r="AM67" s="23"/>
      <c r="AN67" s="133"/>
    </row>
    <row r="68" spans="1:40" s="2" customFormat="1" ht="30" customHeight="1" x14ac:dyDescent="0.2">
      <c r="A68" s="9"/>
      <c r="T68" s="133"/>
      <c r="U68" s="23"/>
      <c r="V68" s="23"/>
      <c r="W68" s="23"/>
      <c r="X68" s="23"/>
      <c r="Y68" s="23"/>
      <c r="Z68" s="23"/>
      <c r="AA68" s="23"/>
      <c r="AB68" s="23"/>
      <c r="AC68" s="23"/>
      <c r="AD68" s="23"/>
      <c r="AE68" s="23"/>
      <c r="AF68" s="23"/>
      <c r="AG68" s="23"/>
      <c r="AH68" s="23"/>
      <c r="AI68" s="23"/>
      <c r="AJ68" s="23"/>
      <c r="AK68" s="23"/>
      <c r="AL68" s="23"/>
      <c r="AM68" s="23"/>
      <c r="AN68" s="133"/>
    </row>
    <row r="69" spans="1:40" s="2" customFormat="1" ht="30" customHeight="1" x14ac:dyDescent="0.2">
      <c r="A69" s="9"/>
      <c r="T69" s="133"/>
      <c r="U69" s="23"/>
      <c r="V69" s="23"/>
      <c r="W69" s="23"/>
      <c r="X69" s="23"/>
      <c r="Y69" s="23"/>
      <c r="Z69" s="23"/>
      <c r="AA69" s="23"/>
      <c r="AB69" s="23"/>
      <c r="AC69" s="23"/>
      <c r="AD69" s="23"/>
      <c r="AE69" s="23"/>
      <c r="AF69" s="23"/>
      <c r="AG69" s="23"/>
      <c r="AH69" s="23"/>
      <c r="AI69" s="23"/>
      <c r="AJ69" s="23"/>
      <c r="AK69" s="23"/>
      <c r="AL69" s="23"/>
      <c r="AM69" s="23"/>
      <c r="AN69" s="133"/>
    </row>
    <row r="70" spans="1:40" s="2" customFormat="1" ht="30" customHeight="1" x14ac:dyDescent="0.2">
      <c r="A70" s="9"/>
      <c r="T70" s="133"/>
      <c r="U70" s="23"/>
      <c r="V70" s="23"/>
      <c r="W70" s="23"/>
      <c r="X70" s="23"/>
      <c r="Y70" s="23"/>
      <c r="Z70" s="23"/>
      <c r="AA70" s="23"/>
      <c r="AB70" s="23"/>
      <c r="AC70" s="23"/>
      <c r="AD70" s="23"/>
      <c r="AE70" s="23"/>
      <c r="AF70" s="23"/>
      <c r="AG70" s="23"/>
      <c r="AH70" s="23"/>
      <c r="AI70" s="23"/>
      <c r="AJ70" s="23"/>
      <c r="AK70" s="23"/>
      <c r="AL70" s="23"/>
      <c r="AM70" s="23"/>
      <c r="AN70" s="133"/>
    </row>
    <row r="71" spans="1:40" s="2" customFormat="1" ht="30" customHeight="1" x14ac:dyDescent="0.2">
      <c r="A71" s="9"/>
      <c r="T71" s="133"/>
      <c r="U71" s="23"/>
      <c r="V71" s="23"/>
      <c r="W71" s="23"/>
      <c r="X71" s="23"/>
      <c r="Y71" s="23"/>
      <c r="Z71" s="23"/>
      <c r="AA71" s="23"/>
      <c r="AB71" s="23"/>
      <c r="AC71" s="23"/>
      <c r="AD71" s="23"/>
      <c r="AE71" s="23"/>
      <c r="AF71" s="23"/>
      <c r="AG71" s="23"/>
      <c r="AH71" s="23"/>
      <c r="AI71" s="23"/>
      <c r="AJ71" s="23"/>
      <c r="AK71" s="23"/>
      <c r="AL71" s="23"/>
      <c r="AM71" s="23"/>
      <c r="AN71" s="133"/>
    </row>
    <row r="72" spans="1:40" s="2" customFormat="1" ht="30" customHeight="1" x14ac:dyDescent="0.2">
      <c r="A72" s="9"/>
      <c r="T72" s="133"/>
      <c r="U72" s="23"/>
      <c r="V72" s="23"/>
      <c r="W72" s="23"/>
      <c r="X72" s="23"/>
      <c r="Y72" s="23"/>
      <c r="Z72" s="23"/>
      <c r="AA72" s="23"/>
      <c r="AB72" s="23"/>
      <c r="AC72" s="23"/>
      <c r="AD72" s="23"/>
      <c r="AE72" s="23"/>
      <c r="AF72" s="23"/>
      <c r="AG72" s="23"/>
      <c r="AH72" s="23"/>
      <c r="AI72" s="23"/>
      <c r="AJ72" s="23"/>
      <c r="AK72" s="23"/>
      <c r="AL72" s="23"/>
      <c r="AM72" s="23"/>
      <c r="AN72" s="133"/>
    </row>
    <row r="73" spans="1:40" s="2" customFormat="1" ht="30" customHeight="1" x14ac:dyDescent="0.2">
      <c r="A73" s="9"/>
      <c r="T73" s="133"/>
      <c r="U73" s="23"/>
      <c r="V73" s="23"/>
      <c r="W73" s="23"/>
      <c r="X73" s="23"/>
      <c r="Y73" s="23"/>
      <c r="Z73" s="23"/>
      <c r="AA73" s="23"/>
      <c r="AB73" s="23"/>
      <c r="AC73" s="23"/>
      <c r="AD73" s="23"/>
      <c r="AE73" s="23"/>
      <c r="AF73" s="23"/>
      <c r="AG73" s="23"/>
      <c r="AH73" s="23"/>
      <c r="AI73" s="23"/>
      <c r="AJ73" s="23"/>
      <c r="AK73" s="23"/>
      <c r="AL73" s="23"/>
      <c r="AM73" s="23"/>
      <c r="AN73" s="133"/>
    </row>
    <row r="74" spans="1:40" s="2" customFormat="1" ht="30" customHeight="1" x14ac:dyDescent="0.2">
      <c r="A74" s="9"/>
      <c r="T74" s="133"/>
      <c r="U74" s="23"/>
      <c r="V74" s="23"/>
      <c r="W74" s="23"/>
      <c r="X74" s="23"/>
      <c r="Y74" s="23"/>
      <c r="Z74" s="23"/>
      <c r="AA74" s="23"/>
      <c r="AB74" s="23"/>
      <c r="AC74" s="23"/>
      <c r="AD74" s="23"/>
      <c r="AE74" s="23"/>
      <c r="AF74" s="23"/>
      <c r="AG74" s="23"/>
      <c r="AH74" s="23"/>
      <c r="AI74" s="23"/>
      <c r="AJ74" s="23"/>
      <c r="AK74" s="23"/>
      <c r="AL74" s="23"/>
      <c r="AM74" s="23"/>
      <c r="AN74" s="133"/>
    </row>
    <row r="75" spans="1:40" s="53" customFormat="1" ht="30" customHeight="1" x14ac:dyDescent="0.2">
      <c r="A75" s="132"/>
      <c r="T75" s="133"/>
      <c r="U75" s="23"/>
      <c r="V75" s="23"/>
      <c r="W75" s="23"/>
      <c r="X75" s="23"/>
      <c r="Y75" s="23"/>
      <c r="Z75" s="23"/>
      <c r="AA75" s="23"/>
      <c r="AB75" s="23"/>
      <c r="AC75" s="23"/>
      <c r="AD75" s="23"/>
      <c r="AE75" s="23"/>
      <c r="AF75" s="23"/>
      <c r="AG75" s="23"/>
      <c r="AH75" s="23"/>
      <c r="AI75" s="23"/>
      <c r="AJ75" s="23"/>
      <c r="AK75" s="23"/>
      <c r="AL75" s="23"/>
      <c r="AM75" s="23"/>
      <c r="AN75" s="145"/>
    </row>
    <row r="76" spans="1:40" s="53" customFormat="1" ht="30" customHeight="1" x14ac:dyDescent="0.2">
      <c r="A76" s="132"/>
      <c r="T76" s="133"/>
      <c r="U76" s="23"/>
      <c r="V76" s="23"/>
      <c r="W76" s="23"/>
      <c r="X76" s="23"/>
      <c r="Y76" s="23"/>
      <c r="Z76" s="23"/>
      <c r="AA76" s="23"/>
      <c r="AB76" s="23"/>
      <c r="AC76" s="23"/>
      <c r="AD76" s="23"/>
      <c r="AE76" s="23"/>
      <c r="AF76" s="23"/>
      <c r="AG76" s="23"/>
      <c r="AH76" s="23"/>
      <c r="AI76" s="23"/>
      <c r="AJ76" s="23"/>
      <c r="AK76" s="23"/>
      <c r="AL76" s="23"/>
      <c r="AM76" s="23"/>
      <c r="AN76" s="145"/>
    </row>
    <row r="77" spans="1:40" s="53" customFormat="1" ht="30" customHeight="1" x14ac:dyDescent="0.2">
      <c r="A77" s="132"/>
      <c r="T77" s="133"/>
      <c r="U77" s="23"/>
      <c r="V77" s="23"/>
      <c r="W77" s="23"/>
      <c r="X77" s="23"/>
      <c r="Y77" s="23"/>
      <c r="Z77" s="23"/>
      <c r="AA77" s="23"/>
      <c r="AB77" s="23"/>
      <c r="AC77" s="23"/>
      <c r="AD77" s="23"/>
      <c r="AE77" s="23"/>
      <c r="AF77" s="23"/>
      <c r="AG77" s="23"/>
      <c r="AH77" s="23"/>
      <c r="AI77" s="23"/>
      <c r="AJ77" s="23"/>
      <c r="AK77" s="23"/>
      <c r="AL77" s="23"/>
      <c r="AM77" s="23"/>
      <c r="AN77" s="145"/>
    </row>
    <row r="78" spans="1:40" s="53" customFormat="1" ht="30" customHeight="1" x14ac:dyDescent="0.2">
      <c r="A78" s="132"/>
      <c r="T78" s="133"/>
      <c r="U78" s="23"/>
      <c r="V78" s="23"/>
      <c r="W78" s="23"/>
      <c r="X78" s="23"/>
      <c r="Y78" s="23"/>
      <c r="Z78" s="23"/>
      <c r="AA78" s="23"/>
      <c r="AB78" s="23"/>
      <c r="AC78" s="23"/>
      <c r="AD78" s="23"/>
      <c r="AE78" s="23"/>
      <c r="AF78" s="23"/>
      <c r="AG78" s="23"/>
      <c r="AH78" s="23"/>
      <c r="AI78" s="23"/>
      <c r="AJ78" s="23"/>
      <c r="AK78" s="23"/>
      <c r="AL78" s="23"/>
      <c r="AM78" s="23"/>
      <c r="AN78" s="145"/>
    </row>
    <row r="79" spans="1:40" s="53" customFormat="1" ht="30" customHeight="1" x14ac:dyDescent="0.2">
      <c r="A79" s="132"/>
      <c r="T79" s="133"/>
      <c r="U79" s="23"/>
      <c r="V79" s="23"/>
      <c r="W79" s="23"/>
      <c r="X79" s="23"/>
      <c r="Y79" s="23"/>
      <c r="Z79" s="23"/>
      <c r="AA79" s="23"/>
      <c r="AB79" s="23"/>
      <c r="AC79" s="23"/>
      <c r="AD79" s="23"/>
      <c r="AE79" s="23"/>
      <c r="AF79" s="23"/>
      <c r="AG79" s="23"/>
      <c r="AH79" s="23"/>
      <c r="AI79" s="23"/>
      <c r="AJ79" s="23"/>
      <c r="AK79" s="23"/>
      <c r="AL79" s="23"/>
      <c r="AM79" s="23"/>
      <c r="AN79" s="145"/>
    </row>
    <row r="80" spans="1:40" s="53" customFormat="1" ht="30" customHeight="1" x14ac:dyDescent="0.2">
      <c r="A80" s="132"/>
      <c r="T80" s="133"/>
      <c r="U80" s="23"/>
      <c r="V80" s="23"/>
      <c r="W80" s="23"/>
      <c r="X80" s="23"/>
      <c r="Y80" s="23"/>
      <c r="Z80" s="23"/>
      <c r="AA80" s="23"/>
      <c r="AB80" s="23"/>
      <c r="AC80" s="23"/>
      <c r="AD80" s="23"/>
      <c r="AE80" s="23"/>
      <c r="AF80" s="23"/>
      <c r="AG80" s="23"/>
      <c r="AH80" s="23"/>
      <c r="AI80" s="23"/>
      <c r="AJ80" s="23"/>
      <c r="AK80" s="23"/>
      <c r="AL80" s="23"/>
      <c r="AM80" s="23"/>
      <c r="AN80" s="145"/>
    </row>
    <row r="81" spans="1:40" s="2" customFormat="1" ht="30" customHeight="1" x14ac:dyDescent="0.2">
      <c r="A81" s="9"/>
      <c r="T81" s="133"/>
      <c r="U81" s="23"/>
      <c r="V81" s="23"/>
      <c r="W81" s="23"/>
      <c r="X81" s="23"/>
      <c r="Y81" s="23"/>
      <c r="Z81" s="23"/>
      <c r="AA81" s="23"/>
      <c r="AB81" s="23"/>
      <c r="AC81" s="23"/>
      <c r="AD81" s="23"/>
      <c r="AE81" s="23"/>
      <c r="AF81" s="23"/>
      <c r="AG81" s="23"/>
      <c r="AH81" s="23"/>
      <c r="AI81" s="23"/>
      <c r="AJ81" s="23"/>
      <c r="AK81" s="23"/>
      <c r="AL81" s="23"/>
      <c r="AM81" s="23"/>
      <c r="AN81" s="133"/>
    </row>
    <row r="82" spans="1:40" s="2" customFormat="1" ht="30" customHeight="1" x14ac:dyDescent="0.2">
      <c r="A82" s="9"/>
      <c r="T82" s="133"/>
      <c r="U82" s="23"/>
      <c r="V82" s="23"/>
      <c r="W82" s="23"/>
      <c r="X82" s="23"/>
      <c r="Y82" s="23"/>
      <c r="Z82" s="23"/>
      <c r="AA82" s="23"/>
      <c r="AB82" s="23"/>
      <c r="AC82" s="23"/>
      <c r="AD82" s="23"/>
      <c r="AE82" s="23"/>
      <c r="AF82" s="23"/>
      <c r="AG82" s="23"/>
      <c r="AH82" s="23"/>
      <c r="AI82" s="23"/>
      <c r="AJ82" s="23"/>
      <c r="AK82" s="23"/>
      <c r="AL82" s="23"/>
      <c r="AM82" s="23"/>
      <c r="AN82" s="133"/>
    </row>
    <row r="83" spans="1:40" s="2" customFormat="1" ht="30" customHeight="1" x14ac:dyDescent="0.2">
      <c r="A83" s="9"/>
      <c r="T83" s="133"/>
      <c r="U83" s="23"/>
      <c r="V83" s="23"/>
      <c r="W83" s="23"/>
      <c r="X83" s="23"/>
      <c r="Y83" s="23"/>
      <c r="Z83" s="23"/>
      <c r="AA83" s="23"/>
      <c r="AB83" s="23"/>
      <c r="AC83" s="23"/>
      <c r="AD83" s="23"/>
      <c r="AE83" s="23"/>
      <c r="AF83" s="23"/>
      <c r="AG83" s="23"/>
      <c r="AH83" s="23"/>
      <c r="AI83" s="23"/>
      <c r="AJ83" s="23"/>
      <c r="AK83" s="23"/>
      <c r="AL83" s="23"/>
      <c r="AM83" s="23"/>
      <c r="AN83" s="133"/>
    </row>
    <row r="84" spans="1:40" s="2" customFormat="1" ht="30" customHeight="1" x14ac:dyDescent="0.2">
      <c r="A84" s="9"/>
      <c r="T84" s="133"/>
      <c r="U84" s="23"/>
      <c r="V84" s="23"/>
      <c r="W84" s="23"/>
      <c r="X84" s="23"/>
      <c r="Y84" s="23"/>
      <c r="Z84" s="23"/>
      <c r="AA84" s="23"/>
      <c r="AB84" s="23"/>
      <c r="AC84" s="23"/>
      <c r="AD84" s="23"/>
      <c r="AE84" s="23"/>
      <c r="AF84" s="23"/>
      <c r="AG84" s="23"/>
      <c r="AH84" s="23"/>
      <c r="AI84" s="23"/>
      <c r="AJ84" s="23"/>
      <c r="AK84" s="23"/>
      <c r="AL84" s="23"/>
      <c r="AM84" s="23"/>
      <c r="AN84" s="133"/>
    </row>
    <row r="85" spans="1:40" s="2" customFormat="1" ht="30" customHeight="1" x14ac:dyDescent="0.2">
      <c r="A85" s="9"/>
      <c r="T85" s="133"/>
      <c r="U85" s="23"/>
      <c r="V85" s="23"/>
      <c r="W85" s="23"/>
      <c r="X85" s="23"/>
      <c r="Y85" s="23"/>
      <c r="Z85" s="23"/>
      <c r="AA85" s="23"/>
      <c r="AB85" s="23"/>
      <c r="AC85" s="23"/>
      <c r="AD85" s="23"/>
      <c r="AE85" s="23"/>
      <c r="AF85" s="23"/>
      <c r="AG85" s="23"/>
      <c r="AH85" s="23"/>
      <c r="AI85" s="23"/>
      <c r="AJ85" s="23"/>
      <c r="AK85" s="23"/>
      <c r="AL85" s="23"/>
      <c r="AM85" s="23"/>
      <c r="AN85" s="133"/>
    </row>
    <row r="86" spans="1:40" s="2" customFormat="1" ht="30" customHeight="1" x14ac:dyDescent="0.2">
      <c r="A86" s="9"/>
      <c r="T86" s="133"/>
      <c r="U86" s="23"/>
      <c r="V86" s="23"/>
      <c r="W86" s="23"/>
      <c r="X86" s="23"/>
      <c r="Y86" s="23"/>
      <c r="Z86" s="23"/>
      <c r="AA86" s="23"/>
      <c r="AB86" s="23"/>
      <c r="AC86" s="23"/>
      <c r="AD86" s="23"/>
      <c r="AE86" s="23"/>
      <c r="AF86" s="23"/>
      <c r="AG86" s="23"/>
      <c r="AH86" s="23"/>
      <c r="AI86" s="23"/>
      <c r="AJ86" s="23"/>
      <c r="AK86" s="23"/>
      <c r="AL86" s="23"/>
      <c r="AM86" s="23"/>
      <c r="AN86" s="133"/>
    </row>
    <row r="87" spans="1:40" s="2" customFormat="1" ht="30" customHeight="1" x14ac:dyDescent="0.2">
      <c r="A87" s="9"/>
      <c r="T87" s="133"/>
      <c r="U87" s="23"/>
      <c r="V87" s="23"/>
      <c r="W87" s="23"/>
      <c r="X87" s="23"/>
      <c r="Y87" s="23"/>
      <c r="Z87" s="23"/>
      <c r="AA87" s="23"/>
      <c r="AB87" s="23"/>
      <c r="AC87" s="23"/>
      <c r="AD87" s="23"/>
      <c r="AE87" s="23"/>
      <c r="AF87" s="23"/>
      <c r="AG87" s="23"/>
      <c r="AH87" s="23"/>
      <c r="AI87" s="23"/>
      <c r="AJ87" s="23"/>
      <c r="AK87" s="23"/>
      <c r="AL87" s="23"/>
      <c r="AM87" s="23"/>
      <c r="AN87" s="133"/>
    </row>
    <row r="88" spans="1:40" s="2" customFormat="1" ht="30" customHeight="1" x14ac:dyDescent="0.2">
      <c r="A88" s="9"/>
      <c r="T88" s="133"/>
      <c r="U88" s="23"/>
      <c r="V88" s="23"/>
      <c r="W88" s="23"/>
      <c r="X88" s="23"/>
      <c r="Y88" s="23"/>
      <c r="Z88" s="23"/>
      <c r="AA88" s="23"/>
      <c r="AB88" s="23"/>
      <c r="AC88" s="23"/>
      <c r="AD88" s="23"/>
      <c r="AE88" s="23"/>
      <c r="AF88" s="23"/>
      <c r="AG88" s="23"/>
      <c r="AH88" s="23"/>
      <c r="AI88" s="23"/>
      <c r="AJ88" s="23"/>
      <c r="AK88" s="23"/>
      <c r="AL88" s="23"/>
      <c r="AM88" s="23"/>
      <c r="AN88" s="133"/>
    </row>
    <row r="89" spans="1:40" s="2" customFormat="1" ht="15" x14ac:dyDescent="0.2">
      <c r="A89" s="9"/>
      <c r="T89" s="133"/>
      <c r="U89" s="23"/>
      <c r="V89" s="23"/>
      <c r="W89" s="23"/>
      <c r="X89" s="23"/>
      <c r="Y89" s="23"/>
      <c r="Z89" s="23"/>
      <c r="AA89" s="23"/>
      <c r="AB89" s="23"/>
      <c r="AC89" s="23"/>
      <c r="AD89" s="23"/>
      <c r="AE89" s="23"/>
      <c r="AF89" s="23"/>
      <c r="AG89" s="23"/>
      <c r="AH89" s="23"/>
      <c r="AI89" s="23"/>
      <c r="AJ89" s="23"/>
      <c r="AK89" s="23"/>
      <c r="AL89" s="23"/>
      <c r="AM89" s="23"/>
      <c r="AN89" s="133"/>
    </row>
    <row r="90" spans="1:40" s="2" customFormat="1" ht="15" x14ac:dyDescent="0.2">
      <c r="A90" s="9"/>
      <c r="T90" s="133"/>
      <c r="U90" s="23"/>
      <c r="V90" s="23"/>
      <c r="W90" s="23"/>
      <c r="X90" s="23"/>
      <c r="Y90" s="23"/>
      <c r="Z90" s="23"/>
      <c r="AA90" s="23"/>
      <c r="AB90" s="23"/>
      <c r="AC90" s="23"/>
      <c r="AD90" s="23"/>
      <c r="AE90" s="23"/>
      <c r="AF90" s="23"/>
      <c r="AG90" s="23"/>
      <c r="AH90" s="23"/>
      <c r="AI90" s="23"/>
      <c r="AJ90" s="23"/>
      <c r="AK90" s="23"/>
      <c r="AL90" s="23"/>
      <c r="AM90" s="23"/>
      <c r="AN90" s="133"/>
    </row>
    <row r="91" spans="1:40" s="2" customFormat="1" ht="15" x14ac:dyDescent="0.2">
      <c r="A91" s="9"/>
      <c r="T91" s="133"/>
      <c r="U91" s="23"/>
      <c r="V91" s="23"/>
      <c r="W91" s="23"/>
      <c r="X91" s="23"/>
      <c r="Y91" s="23"/>
      <c r="Z91" s="23"/>
      <c r="AA91" s="23"/>
      <c r="AB91" s="23"/>
      <c r="AC91" s="23"/>
      <c r="AD91" s="23"/>
      <c r="AE91" s="23"/>
      <c r="AF91" s="23"/>
      <c r="AG91" s="23"/>
      <c r="AH91" s="23"/>
      <c r="AI91" s="23"/>
      <c r="AJ91" s="23"/>
      <c r="AK91" s="23"/>
      <c r="AL91" s="23"/>
      <c r="AM91" s="23"/>
      <c r="AN91" s="133"/>
    </row>
    <row r="92" spans="1:40" ht="15" x14ac:dyDescent="0.2"/>
    <row r="93" spans="1:40" ht="15" x14ac:dyDescent="0.2"/>
    <row r="94" spans="1:40" ht="15" x14ac:dyDescent="0.2"/>
    <row r="95" spans="1:40" ht="15" x14ac:dyDescent="0.2"/>
    <row r="96" spans="1:40" ht="15" x14ac:dyDescent="0.2"/>
    <row r="97" ht="15" x14ac:dyDescent="0.2"/>
    <row r="98" ht="15" x14ac:dyDescent="0.2"/>
    <row r="99" ht="15" x14ac:dyDescent="0.2"/>
    <row r="100" ht="15" x14ac:dyDescent="0.2"/>
    <row r="101" ht="15" x14ac:dyDescent="0.2"/>
  </sheetData>
  <sheetProtection sheet="1" objects="1" scenarios="1" selectLockedCells="1"/>
  <mergeCells count="34">
    <mergeCell ref="C55:E55"/>
    <mergeCell ref="C46:E46"/>
    <mergeCell ref="C47:E47"/>
    <mergeCell ref="C48:E48"/>
    <mergeCell ref="C49:E49"/>
    <mergeCell ref="C50:E50"/>
    <mergeCell ref="C51:E51"/>
    <mergeCell ref="C52:E52"/>
    <mergeCell ref="C53:E53"/>
    <mergeCell ref="C54:E54"/>
    <mergeCell ref="S17:S18"/>
    <mergeCell ref="Q19:R20"/>
    <mergeCell ref="S19:S20"/>
    <mergeCell ref="Q23:S24"/>
    <mergeCell ref="Q25:S30"/>
    <mergeCell ref="Q17:R18"/>
    <mergeCell ref="C43:E43"/>
    <mergeCell ref="C44:E44"/>
    <mergeCell ref="C45:E45"/>
    <mergeCell ref="Q31:S36"/>
    <mergeCell ref="C41:E41"/>
    <mergeCell ref="C42:E42"/>
    <mergeCell ref="Q11:R12"/>
    <mergeCell ref="S11:S12"/>
    <mergeCell ref="Q13:R14"/>
    <mergeCell ref="S13:S14"/>
    <mergeCell ref="Q15:R16"/>
    <mergeCell ref="S15:S16"/>
    <mergeCell ref="C5:H5"/>
    <mergeCell ref="C7:D7"/>
    <mergeCell ref="G7:H7"/>
    <mergeCell ref="Q7:S8"/>
    <mergeCell ref="Q9:R10"/>
    <mergeCell ref="S9:S10"/>
  </mergeCells>
  <conditionalFormatting sqref="D8:D38">
    <cfRule type="containsText" dxfId="61" priority="29" operator="containsText" text="Dom">
      <formula>NOT(ISERROR(SEARCH("Dom",D8)))</formula>
    </cfRule>
    <cfRule type="containsText" dxfId="60" priority="30" operator="containsText" text="Sáb">
      <formula>NOT(ISERROR(SEARCH("Sáb",D8)))</formula>
    </cfRule>
  </conditionalFormatting>
  <conditionalFormatting sqref="S13:S14">
    <cfRule type="expression" dxfId="59" priority="22">
      <formula>$S$15&gt;$S$17</formula>
    </cfRule>
  </conditionalFormatting>
  <conditionalFormatting sqref="M8:M38">
    <cfRule type="expression" dxfId="58" priority="21">
      <formula>$M8&gt;0</formula>
    </cfRule>
  </conditionalFormatting>
  <conditionalFormatting sqref="O8:O38">
    <cfRule type="expression" dxfId="57" priority="20">
      <formula>$O8&gt;0</formula>
    </cfRule>
  </conditionalFormatting>
  <conditionalFormatting sqref="F8:I38">
    <cfRule type="expression" dxfId="56" priority="17">
      <formula>$E8="Folga(DSR)"</formula>
    </cfRule>
    <cfRule type="expression" dxfId="55" priority="18">
      <formula>$E8="Feriado"</formula>
    </cfRule>
    <cfRule type="expression" dxfId="54" priority="19">
      <formula>$D8="Dom"</formula>
    </cfRule>
  </conditionalFormatting>
  <conditionalFormatting sqref="I5">
    <cfRule type="expression" dxfId="53" priority="13">
      <formula>$K$5="Negativo"</formula>
    </cfRule>
  </conditionalFormatting>
  <conditionalFormatting sqref="S11:S12">
    <cfRule type="expression" dxfId="52" priority="12">
      <formula>$T$11="Negativo"</formula>
    </cfRule>
  </conditionalFormatting>
  <conditionalFormatting sqref="E8:E38">
    <cfRule type="expression" dxfId="51" priority="9">
      <formula>$E8="Folga(DSR)"</formula>
    </cfRule>
    <cfRule type="expression" dxfId="50" priority="10">
      <formula>$E8="Feriado"</formula>
    </cfRule>
    <cfRule type="expression" dxfId="49" priority="11">
      <formula>$D8="Dom"</formula>
    </cfRule>
  </conditionalFormatting>
  <conditionalFormatting sqref="F40">
    <cfRule type="expression" dxfId="48" priority="6">
      <formula>$E40="Folga(DSR)"</formula>
    </cfRule>
    <cfRule type="expression" dxfId="47" priority="7">
      <formula>$E40="Feriado"</formula>
    </cfRule>
    <cfRule type="expression" dxfId="46" priority="8">
      <formula>$D40="Dom"</formula>
    </cfRule>
  </conditionalFormatting>
  <conditionalFormatting sqref="AJ7">
    <cfRule type="expression" dxfId="45" priority="3">
      <formula>$E7="Folga(DSR)"</formula>
    </cfRule>
    <cfRule type="expression" dxfId="44" priority="4">
      <formula>$E7="Feriado"</formula>
    </cfRule>
    <cfRule type="expression" dxfId="43" priority="5">
      <formula>$D7="Dom"</formula>
    </cfRule>
  </conditionalFormatting>
  <conditionalFormatting sqref="K8:K38">
    <cfRule type="expression" dxfId="42" priority="2">
      <formula>$M8&gt;0</formula>
    </cfRule>
  </conditionalFormatting>
  <conditionalFormatting sqref="K8:K38">
    <cfRule type="expression" dxfId="41" priority="1">
      <formula>$O8&gt;0</formula>
    </cfRule>
  </conditionalFormatting>
  <dataValidations count="1">
    <dataValidation type="list" allowBlank="1" showInputMessage="1" showErrorMessage="1" sqref="E8:E38">
      <formula1>"Normal,Feriado,Folga(DSR),Falta Justificada"</formula1>
    </dataValidation>
  </dataValidations>
  <pageMargins left="0.511811024" right="0.511811024" top="0.78740157499999996" bottom="0.78740157499999996" header="0.31496062000000002" footer="0.31496062000000002"/>
  <pageSetup paperSize="9" orientation="portrait"/>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Plan4" enableFormatConditionsCalculation="0"/>
  <dimension ref="A1:X102"/>
  <sheetViews>
    <sheetView showGridLines="0" zoomScale="90" zoomScaleNormal="90" zoomScalePageLayoutView="90" workbookViewId="0">
      <selection activeCell="F21" sqref="F21"/>
    </sheetView>
  </sheetViews>
  <sheetFormatPr baseColWidth="10" defaultColWidth="8.796875" defaultRowHeight="15" zeroHeight="1" x14ac:dyDescent="0.2"/>
  <cols>
    <col min="1" max="1" width="27.59765625" style="1" customWidth="1"/>
    <col min="2" max="2" width="3.796875" customWidth="1"/>
    <col min="4" max="4" width="14.3984375" customWidth="1"/>
    <col min="5" max="5" width="17.3984375" customWidth="1"/>
    <col min="6" max="6" width="14.3984375" customWidth="1"/>
    <col min="7" max="8" width="14.3984375" style="20" customWidth="1"/>
    <col min="9" max="10" width="16.796875" style="20" customWidth="1"/>
    <col min="11" max="12" width="16.19921875" style="20" customWidth="1"/>
    <col min="13" max="13" width="18.3984375" style="20" customWidth="1"/>
    <col min="14" max="14" width="18" style="20" customWidth="1"/>
    <col min="15" max="15" width="12.59765625" style="20" bestFit="1" customWidth="1"/>
    <col min="16" max="16" width="12.59765625" style="2" bestFit="1" customWidth="1"/>
    <col min="17" max="21" width="12.59765625" style="20" bestFit="1" customWidth="1"/>
    <col min="22" max="22" width="8.796875" style="20"/>
  </cols>
  <sheetData>
    <row r="1" spans="1:22" s="3" customFormat="1" ht="34" customHeight="1" x14ac:dyDescent="0.3">
      <c r="A1" s="130" t="s">
        <v>192</v>
      </c>
      <c r="C1" s="4" t="s">
        <v>96</v>
      </c>
      <c r="G1" s="114"/>
      <c r="H1" s="114"/>
      <c r="I1" s="114"/>
      <c r="J1" s="114"/>
      <c r="K1" s="114"/>
      <c r="L1" s="114"/>
      <c r="M1" s="114"/>
      <c r="N1" s="114"/>
      <c r="O1" s="114"/>
      <c r="P1" s="22"/>
      <c r="Q1" s="114"/>
      <c r="R1" s="114"/>
      <c r="S1" s="114"/>
      <c r="T1" s="114"/>
      <c r="U1" s="114"/>
      <c r="V1" s="114"/>
    </row>
    <row r="2" spans="1:22" s="3" customFormat="1" ht="21.25" customHeight="1" x14ac:dyDescent="0.2">
      <c r="A2" s="1"/>
      <c r="G2" s="114"/>
      <c r="H2" s="114"/>
      <c r="I2" s="114"/>
      <c r="J2" s="114"/>
      <c r="K2" s="114"/>
      <c r="L2" s="114"/>
      <c r="M2" s="114"/>
      <c r="N2" s="114"/>
      <c r="O2" s="114"/>
      <c r="P2" s="22"/>
      <c r="Q2" s="114"/>
      <c r="R2" s="114"/>
      <c r="S2" s="114"/>
      <c r="T2" s="114"/>
      <c r="U2" s="114"/>
      <c r="V2" s="114"/>
    </row>
    <row r="3" spans="1:22" s="3" customFormat="1" ht="21.25" customHeight="1" x14ac:dyDescent="0.2">
      <c r="A3" s="1"/>
      <c r="G3" s="114"/>
      <c r="H3" s="114"/>
      <c r="I3" s="114"/>
      <c r="J3" s="114"/>
      <c r="K3" s="114"/>
      <c r="L3" s="114"/>
      <c r="M3" s="114"/>
      <c r="N3" s="114"/>
      <c r="O3" s="114"/>
      <c r="P3" s="22"/>
      <c r="Q3" s="114"/>
      <c r="R3" s="114"/>
      <c r="S3" s="114"/>
      <c r="T3" s="114"/>
      <c r="U3" s="114"/>
      <c r="V3" s="114"/>
    </row>
    <row r="4" spans="1:22" ht="10" customHeight="1" x14ac:dyDescent="0.2">
      <c r="C4" s="14"/>
    </row>
    <row r="5" spans="1:22" ht="10" customHeight="1" x14ac:dyDescent="0.2"/>
    <row r="6" spans="1:22" ht="30" customHeight="1" x14ac:dyDescent="0.2">
      <c r="C6" s="59" t="s">
        <v>97</v>
      </c>
      <c r="D6" s="73" t="s">
        <v>199</v>
      </c>
      <c r="E6" s="73" t="s">
        <v>200</v>
      </c>
      <c r="F6" s="73" t="s">
        <v>201</v>
      </c>
      <c r="G6" s="73" t="s">
        <v>77</v>
      </c>
      <c r="H6" s="73" t="s">
        <v>76</v>
      </c>
      <c r="I6" s="73" t="s">
        <v>100</v>
      </c>
      <c r="J6" s="73" t="s">
        <v>99</v>
      </c>
      <c r="K6" s="73" t="s">
        <v>98</v>
      </c>
      <c r="L6" s="123" t="s">
        <v>202</v>
      </c>
      <c r="M6" s="123" t="s">
        <v>203</v>
      </c>
      <c r="N6" s="123" t="s">
        <v>205</v>
      </c>
      <c r="P6" s="121" t="s">
        <v>204</v>
      </c>
    </row>
    <row r="7" spans="1:22" ht="30" customHeight="1" x14ac:dyDescent="0.2">
      <c r="C7" s="59" t="s">
        <v>84</v>
      </c>
      <c r="D7" s="74">
        <f t="shared" ref="D7:D18" si="0">IFERROR(K7/E7,"")</f>
        <v>0</v>
      </c>
      <c r="E7" s="75">
        <f>'P Gerais'!$G$6</f>
        <v>220</v>
      </c>
      <c r="F7" s="76">
        <f>Lanc!$S$9</f>
        <v>0</v>
      </c>
      <c r="G7" s="122">
        <f>J70</f>
        <v>0</v>
      </c>
      <c r="H7" s="76">
        <f>J69</f>
        <v>0</v>
      </c>
      <c r="I7" s="115">
        <f>Lanc!I5</f>
        <v>0</v>
      </c>
      <c r="J7" s="116">
        <f>IF(P7="Negativo",ABS(G7-H7-I7),ABS(G7-H7+I7))</f>
        <v>0</v>
      </c>
      <c r="K7" s="117">
        <f>'P Gerais'!$F16*(1+'P Gerais'!$L$36)</f>
        <v>0</v>
      </c>
      <c r="L7" s="117">
        <f>J68-K7</f>
        <v>0</v>
      </c>
      <c r="M7" s="117">
        <f>(H7*24)*D7</f>
        <v>0</v>
      </c>
      <c r="N7" s="117">
        <f>K7+L7-M7</f>
        <v>0</v>
      </c>
      <c r="P7" s="2" t="str">
        <f>IF(Lanc!$K$5="Horas devidas","Negativo","Positivo")</f>
        <v>Positivo</v>
      </c>
    </row>
    <row r="8" spans="1:22" ht="30" customHeight="1" x14ac:dyDescent="0.2">
      <c r="C8" s="59" t="s">
        <v>85</v>
      </c>
      <c r="D8" s="74">
        <f t="shared" si="0"/>
        <v>0</v>
      </c>
      <c r="E8" s="75">
        <f>'P Gerais'!$G$6</f>
        <v>220</v>
      </c>
      <c r="F8" s="76">
        <f>Fev!$S$9</f>
        <v>0</v>
      </c>
      <c r="G8" s="122">
        <f>K70</f>
        <v>0</v>
      </c>
      <c r="H8" s="76">
        <f>K69</f>
        <v>0</v>
      </c>
      <c r="I8" s="116">
        <f>J7</f>
        <v>0</v>
      </c>
      <c r="J8" s="116">
        <f>IF(P8="Negativo",ABS(G8-H8-I8),ABS(G8-H8+I8))</f>
        <v>0</v>
      </c>
      <c r="K8" s="117">
        <f>'P Gerais'!$F17*(1+'P Gerais'!$L$36)</f>
        <v>0</v>
      </c>
      <c r="L8" s="117">
        <f>K68-K8</f>
        <v>0</v>
      </c>
      <c r="M8" s="117">
        <f t="shared" ref="M8:M18" si="1">(H8*24)*D8</f>
        <v>0</v>
      </c>
      <c r="N8" s="117">
        <f t="shared" ref="N8:N18" si="2">K8+L8-M8</f>
        <v>0</v>
      </c>
      <c r="P8" s="2" t="str">
        <f>IF(Fev!$K$5="Negativo","Negativo","Positivo")</f>
        <v>Positivo</v>
      </c>
    </row>
    <row r="9" spans="1:22" ht="30" customHeight="1" x14ac:dyDescent="0.2">
      <c r="C9" s="59" t="s">
        <v>86</v>
      </c>
      <c r="D9" s="74">
        <f t="shared" si="0"/>
        <v>0</v>
      </c>
      <c r="E9" s="75">
        <f>'P Gerais'!$G$6</f>
        <v>220</v>
      </c>
      <c r="F9" s="76">
        <f>Mar!$S$9</f>
        <v>0</v>
      </c>
      <c r="G9" s="122">
        <f>L70</f>
        <v>0</v>
      </c>
      <c r="H9" s="76">
        <f>L69</f>
        <v>0</v>
      </c>
      <c r="I9" s="116">
        <f>J8</f>
        <v>0</v>
      </c>
      <c r="J9" s="116">
        <f>IF(P9="Negativo",ABS(G9-H9-I9),ABS(G9-H9+I9))</f>
        <v>0</v>
      </c>
      <c r="K9" s="117">
        <f>'P Gerais'!$F18*(1+'P Gerais'!$L$36)</f>
        <v>0</v>
      </c>
      <c r="L9" s="117">
        <f>L68-K9</f>
        <v>0</v>
      </c>
      <c r="M9" s="117">
        <f t="shared" si="1"/>
        <v>0</v>
      </c>
      <c r="N9" s="117">
        <f t="shared" si="2"/>
        <v>0</v>
      </c>
      <c r="P9" s="2" t="str">
        <f>IF(Mar!$K$5="Negativo","Negativo","Positivo")</f>
        <v>Positivo</v>
      </c>
    </row>
    <row r="10" spans="1:22" ht="30" customHeight="1" x14ac:dyDescent="0.2">
      <c r="C10" s="59" t="s">
        <v>87</v>
      </c>
      <c r="D10" s="74">
        <f t="shared" si="0"/>
        <v>0</v>
      </c>
      <c r="E10" s="75">
        <f>'P Gerais'!$G$6</f>
        <v>220</v>
      </c>
      <c r="F10" s="76">
        <f>Abr!$S$9</f>
        <v>0</v>
      </c>
      <c r="G10" s="122">
        <f>M70</f>
        <v>0</v>
      </c>
      <c r="H10" s="76">
        <f>M69</f>
        <v>0</v>
      </c>
      <c r="I10" s="116">
        <f t="shared" ref="I10:I17" si="3">J9</f>
        <v>0</v>
      </c>
      <c r="J10" s="116">
        <f t="shared" ref="J10:J17" si="4">IF(P10="Negativo",ABS(G10-H10-I10),ABS(G10-H10+I10))</f>
        <v>0</v>
      </c>
      <c r="K10" s="117">
        <f>'P Gerais'!$F19*(1+'P Gerais'!$L$36)</f>
        <v>0</v>
      </c>
      <c r="L10" s="117">
        <f>M68-K10</f>
        <v>0</v>
      </c>
      <c r="M10" s="117">
        <f t="shared" si="1"/>
        <v>0</v>
      </c>
      <c r="N10" s="117">
        <f t="shared" si="2"/>
        <v>0</v>
      </c>
      <c r="P10" s="2" t="str">
        <f>IF(Abr!$K$5="Negativo","Negativo","Positivo")</f>
        <v>Positivo</v>
      </c>
    </row>
    <row r="11" spans="1:22" ht="30" customHeight="1" x14ac:dyDescent="0.2">
      <c r="C11" s="59" t="s">
        <v>88</v>
      </c>
      <c r="D11" s="74">
        <f t="shared" si="0"/>
        <v>0</v>
      </c>
      <c r="E11" s="75">
        <f>'P Gerais'!$G$6</f>
        <v>220</v>
      </c>
      <c r="F11" s="76">
        <f>Mai!$S$9</f>
        <v>0</v>
      </c>
      <c r="G11" s="122">
        <f>N70</f>
        <v>0</v>
      </c>
      <c r="H11" s="76">
        <f>N69</f>
        <v>0</v>
      </c>
      <c r="I11" s="116">
        <f t="shared" si="3"/>
        <v>0</v>
      </c>
      <c r="J11" s="116">
        <f t="shared" si="4"/>
        <v>0</v>
      </c>
      <c r="K11" s="117">
        <f>'P Gerais'!$I16*(1+'P Gerais'!$L$36)</f>
        <v>0</v>
      </c>
      <c r="L11" s="117">
        <f>N68-K11</f>
        <v>0</v>
      </c>
      <c r="M11" s="117">
        <f t="shared" si="1"/>
        <v>0</v>
      </c>
      <c r="N11" s="117">
        <f t="shared" si="2"/>
        <v>0</v>
      </c>
      <c r="P11" s="2" t="str">
        <f>IF(Mai!$K$5="Negativo","Negativo","Positivo")</f>
        <v>Positivo</v>
      </c>
    </row>
    <row r="12" spans="1:22" ht="30" customHeight="1" x14ac:dyDescent="0.2">
      <c r="C12" s="59" t="s">
        <v>89</v>
      </c>
      <c r="D12" s="74">
        <f t="shared" si="0"/>
        <v>0</v>
      </c>
      <c r="E12" s="75">
        <f>'P Gerais'!$G$6</f>
        <v>220</v>
      </c>
      <c r="F12" s="76">
        <f>Jun!$S$9</f>
        <v>0</v>
      </c>
      <c r="G12" s="122">
        <f>O70</f>
        <v>0</v>
      </c>
      <c r="H12" s="76">
        <f>O69</f>
        <v>0</v>
      </c>
      <c r="I12" s="116">
        <f t="shared" si="3"/>
        <v>0</v>
      </c>
      <c r="J12" s="116">
        <f t="shared" si="4"/>
        <v>0</v>
      </c>
      <c r="K12" s="117">
        <f>'P Gerais'!$I17*(1+'P Gerais'!$L$36)</f>
        <v>0</v>
      </c>
      <c r="L12" s="117">
        <f>O68-K12</f>
        <v>0</v>
      </c>
      <c r="M12" s="117">
        <f t="shared" si="1"/>
        <v>0</v>
      </c>
      <c r="N12" s="117">
        <f t="shared" si="2"/>
        <v>0</v>
      </c>
      <c r="P12" s="2" t="str">
        <f>IF(Jun!$K$5="Negativo","Negativo","Positivo")</f>
        <v>Positivo</v>
      </c>
    </row>
    <row r="13" spans="1:22" ht="30" customHeight="1" x14ac:dyDescent="0.2">
      <c r="C13" s="59" t="s">
        <v>90</v>
      </c>
      <c r="D13" s="74">
        <f t="shared" si="0"/>
        <v>0</v>
      </c>
      <c r="E13" s="75">
        <f>'P Gerais'!$G$6</f>
        <v>220</v>
      </c>
      <c r="F13" s="76">
        <f>Jul!$S$9</f>
        <v>0</v>
      </c>
      <c r="G13" s="122">
        <f>P70</f>
        <v>0</v>
      </c>
      <c r="H13" s="76">
        <f>P69</f>
        <v>0</v>
      </c>
      <c r="I13" s="116">
        <f t="shared" si="3"/>
        <v>0</v>
      </c>
      <c r="J13" s="116">
        <f t="shared" si="4"/>
        <v>0</v>
      </c>
      <c r="K13" s="117">
        <f>'P Gerais'!$I18*(1+'P Gerais'!$L$36)</f>
        <v>0</v>
      </c>
      <c r="L13" s="117">
        <f>P68-K13</f>
        <v>0</v>
      </c>
      <c r="M13" s="117">
        <f t="shared" si="1"/>
        <v>0</v>
      </c>
      <c r="N13" s="117">
        <f t="shared" si="2"/>
        <v>0</v>
      </c>
      <c r="P13" s="2" t="str">
        <f>IF(Jul!$K$5="Negativo","Negativo","Positivo")</f>
        <v>Positivo</v>
      </c>
    </row>
    <row r="14" spans="1:22" ht="30" customHeight="1" x14ac:dyDescent="0.2">
      <c r="C14" s="59" t="s">
        <v>91</v>
      </c>
      <c r="D14" s="74">
        <f t="shared" si="0"/>
        <v>0</v>
      </c>
      <c r="E14" s="75">
        <f>'P Gerais'!$G$6</f>
        <v>220</v>
      </c>
      <c r="F14" s="76">
        <f>Ago!$S$9</f>
        <v>0</v>
      </c>
      <c r="G14" s="122">
        <f>Q70</f>
        <v>0</v>
      </c>
      <c r="H14" s="76">
        <f>Q69</f>
        <v>0</v>
      </c>
      <c r="I14" s="116">
        <f t="shared" si="3"/>
        <v>0</v>
      </c>
      <c r="J14" s="116">
        <f t="shared" si="4"/>
        <v>0</v>
      </c>
      <c r="K14" s="117">
        <f>'P Gerais'!$I19*(1+'P Gerais'!$L$36)</f>
        <v>0</v>
      </c>
      <c r="L14" s="117">
        <f>Q68-K14</f>
        <v>0</v>
      </c>
      <c r="M14" s="117">
        <f t="shared" si="1"/>
        <v>0</v>
      </c>
      <c r="N14" s="117">
        <f t="shared" si="2"/>
        <v>0</v>
      </c>
      <c r="P14" s="2" t="str">
        <f>IF(Ago!$K$5="Negativo","Negativo","Positivo")</f>
        <v>Positivo</v>
      </c>
    </row>
    <row r="15" spans="1:22" ht="30" customHeight="1" x14ac:dyDescent="0.2">
      <c r="C15" s="59" t="s">
        <v>92</v>
      </c>
      <c r="D15" s="74">
        <f t="shared" si="0"/>
        <v>0</v>
      </c>
      <c r="E15" s="75">
        <f>'P Gerais'!$G$6</f>
        <v>220</v>
      </c>
      <c r="F15" s="76">
        <f>Set!$S$9</f>
        <v>0</v>
      </c>
      <c r="G15" s="122">
        <f>R70</f>
        <v>0</v>
      </c>
      <c r="H15" s="76">
        <f>R69</f>
        <v>0</v>
      </c>
      <c r="I15" s="116">
        <f t="shared" si="3"/>
        <v>0</v>
      </c>
      <c r="J15" s="116">
        <f t="shared" si="4"/>
        <v>0</v>
      </c>
      <c r="K15" s="117">
        <f>'P Gerais'!$L16*(1+'P Gerais'!$L$36)</f>
        <v>0</v>
      </c>
      <c r="L15" s="117">
        <f>R68-K15</f>
        <v>0</v>
      </c>
      <c r="M15" s="117">
        <f t="shared" si="1"/>
        <v>0</v>
      </c>
      <c r="N15" s="117">
        <f t="shared" si="2"/>
        <v>0</v>
      </c>
      <c r="P15" s="2" t="str">
        <f>IF(Set!$K$5="Negativo","Negativo","Positivo")</f>
        <v>Positivo</v>
      </c>
    </row>
    <row r="16" spans="1:22" ht="30" customHeight="1" x14ac:dyDescent="0.2">
      <c r="C16" s="59" t="s">
        <v>93</v>
      </c>
      <c r="D16" s="74">
        <f t="shared" si="0"/>
        <v>0</v>
      </c>
      <c r="E16" s="75">
        <f>'P Gerais'!$G$6</f>
        <v>220</v>
      </c>
      <c r="F16" s="76">
        <f>Out!$S$9</f>
        <v>0</v>
      </c>
      <c r="G16" s="122">
        <f>S70</f>
        <v>0</v>
      </c>
      <c r="H16" s="76">
        <f>S69</f>
        <v>0</v>
      </c>
      <c r="I16" s="116">
        <f t="shared" si="3"/>
        <v>0</v>
      </c>
      <c r="J16" s="116">
        <f t="shared" si="4"/>
        <v>0</v>
      </c>
      <c r="K16" s="117">
        <f>'P Gerais'!$L17*(1+'P Gerais'!$L$36)</f>
        <v>0</v>
      </c>
      <c r="L16" s="117">
        <f>S68-K16</f>
        <v>0</v>
      </c>
      <c r="M16" s="117">
        <f t="shared" si="1"/>
        <v>0</v>
      </c>
      <c r="N16" s="117">
        <f t="shared" si="2"/>
        <v>0</v>
      </c>
      <c r="P16" s="2" t="str">
        <f>IF(Out!$K$5="Negativo","Negativo","Positivo")</f>
        <v>Positivo</v>
      </c>
    </row>
    <row r="17" spans="3:24" ht="30" customHeight="1" x14ac:dyDescent="0.2">
      <c r="C17" s="59" t="s">
        <v>94</v>
      </c>
      <c r="D17" s="74">
        <f t="shared" si="0"/>
        <v>0</v>
      </c>
      <c r="E17" s="75">
        <f>'P Gerais'!$G$6</f>
        <v>220</v>
      </c>
      <c r="F17" s="76">
        <f>Nov!$S$9</f>
        <v>0</v>
      </c>
      <c r="G17" s="122">
        <f>T70</f>
        <v>0</v>
      </c>
      <c r="H17" s="76">
        <f>T69</f>
        <v>0</v>
      </c>
      <c r="I17" s="116">
        <f t="shared" si="3"/>
        <v>0</v>
      </c>
      <c r="J17" s="116">
        <f t="shared" si="4"/>
        <v>0</v>
      </c>
      <c r="K17" s="117">
        <f>'P Gerais'!$L18*(1+'P Gerais'!$L$36)</f>
        <v>0</v>
      </c>
      <c r="L17" s="117">
        <f>T68-K17</f>
        <v>0</v>
      </c>
      <c r="M17" s="117">
        <f t="shared" si="1"/>
        <v>0</v>
      </c>
      <c r="N17" s="117">
        <f t="shared" si="2"/>
        <v>0</v>
      </c>
      <c r="P17" s="2" t="str">
        <f>IF(Nov!$K$5="Negativo","Negativo","Positivo")</f>
        <v>Positivo</v>
      </c>
    </row>
    <row r="18" spans="3:24" ht="30" customHeight="1" x14ac:dyDescent="0.2">
      <c r="C18" s="59" t="s">
        <v>95</v>
      </c>
      <c r="D18" s="74">
        <f t="shared" si="0"/>
        <v>0</v>
      </c>
      <c r="E18" s="75">
        <f>'P Gerais'!$G$6</f>
        <v>220</v>
      </c>
      <c r="F18" s="76">
        <f>Dez!$S$9</f>
        <v>0</v>
      </c>
      <c r="G18" s="122">
        <f>U70</f>
        <v>0</v>
      </c>
      <c r="H18" s="76">
        <f>U69</f>
        <v>0</v>
      </c>
      <c r="I18" s="116">
        <f>J17</f>
        <v>0</v>
      </c>
      <c r="J18" s="116">
        <f>IF(P18="Negativo",ABS(G18-H18-I18),ABS(G18-H18+I18))</f>
        <v>0</v>
      </c>
      <c r="K18" s="117">
        <f>'P Gerais'!$L19*(1+'P Gerais'!$L$36)</f>
        <v>0</v>
      </c>
      <c r="L18" s="117">
        <f>U68-K18</f>
        <v>0</v>
      </c>
      <c r="M18" s="117">
        <f t="shared" si="1"/>
        <v>0</v>
      </c>
      <c r="N18" s="117">
        <f t="shared" si="2"/>
        <v>0</v>
      </c>
      <c r="P18" s="2" t="str">
        <f>IF(Dez!$K$5="Negativo","Negativo","Positivo")</f>
        <v>Positivo</v>
      </c>
    </row>
    <row r="19" spans="3:24" ht="7.75" customHeight="1" x14ac:dyDescent="0.2"/>
    <row r="20" spans="3:24" ht="30" customHeight="1" x14ac:dyDescent="0.2">
      <c r="C20" s="47" t="s">
        <v>130</v>
      </c>
      <c r="G20" s="53"/>
      <c r="H20" s="53"/>
      <c r="I20" s="53"/>
      <c r="J20" s="53"/>
      <c r="K20" s="53"/>
      <c r="L20" s="53"/>
      <c r="M20" s="53"/>
      <c r="N20" s="53"/>
      <c r="O20" s="53"/>
      <c r="P20" s="53"/>
      <c r="Q20" s="53"/>
    </row>
    <row r="21" spans="3:24" ht="30" customHeight="1" x14ac:dyDescent="0.2">
      <c r="C21" s="173" t="s">
        <v>117</v>
      </c>
      <c r="D21" s="173"/>
      <c r="E21" s="173"/>
      <c r="F21" s="78" t="s">
        <v>126</v>
      </c>
      <c r="G21" s="53"/>
      <c r="H21" s="53"/>
      <c r="I21" s="53"/>
      <c r="J21" s="53"/>
      <c r="K21" s="53"/>
      <c r="L21" s="53"/>
      <c r="M21" s="53"/>
      <c r="N21" s="53"/>
      <c r="O21" s="53"/>
      <c r="P21" s="53"/>
      <c r="Q21" s="53"/>
      <c r="W21" s="20"/>
      <c r="X21" s="20"/>
    </row>
    <row r="22" spans="3:24" ht="7.75" customHeight="1" x14ac:dyDescent="0.2">
      <c r="G22" s="53"/>
      <c r="H22" s="53"/>
      <c r="I22" s="53"/>
      <c r="J22" s="53"/>
      <c r="K22" s="53"/>
      <c r="L22" s="53"/>
      <c r="M22" s="53"/>
      <c r="N22" s="53"/>
      <c r="O22" s="53"/>
      <c r="P22" s="53"/>
      <c r="Q22" s="53"/>
      <c r="W22" s="20"/>
      <c r="X22" s="20"/>
    </row>
    <row r="23" spans="3:24" ht="30" customHeight="1" x14ac:dyDescent="0.2">
      <c r="C23" s="185" t="s">
        <v>101</v>
      </c>
      <c r="D23" s="185"/>
      <c r="E23" s="185"/>
      <c r="F23" s="119">
        <f>HLOOKUP(F21,$I$53:$U$68,2,0)</f>
        <v>0</v>
      </c>
      <c r="G23" s="53"/>
      <c r="H23" s="53"/>
      <c r="I23" s="53"/>
      <c r="J23" s="53"/>
      <c r="K23" s="53"/>
      <c r="L23" s="53"/>
      <c r="M23" s="53"/>
      <c r="N23" s="53"/>
      <c r="O23" s="53"/>
      <c r="P23" s="53"/>
      <c r="Q23" s="53"/>
      <c r="W23" s="20"/>
      <c r="X23" s="20"/>
    </row>
    <row r="24" spans="3:24" ht="7.75" customHeight="1" x14ac:dyDescent="0.2">
      <c r="G24" s="53"/>
      <c r="H24" s="53"/>
      <c r="I24" s="53"/>
      <c r="J24" s="53"/>
      <c r="K24" s="53"/>
      <c r="L24" s="53"/>
      <c r="M24" s="53"/>
      <c r="N24" s="53"/>
      <c r="O24" s="53"/>
      <c r="P24" s="53"/>
      <c r="Q24" s="53"/>
      <c r="W24" s="20"/>
      <c r="X24" s="20"/>
    </row>
    <row r="25" spans="3:24" ht="30" customHeight="1" x14ac:dyDescent="0.2">
      <c r="C25" s="185" t="s">
        <v>102</v>
      </c>
      <c r="D25" s="185"/>
      <c r="E25" s="185"/>
      <c r="F25" s="119">
        <f>HLOOKUP(F21,$I$53:$U$68,3,0)</f>
        <v>0</v>
      </c>
      <c r="G25" s="53"/>
      <c r="H25" s="53"/>
      <c r="I25" s="53"/>
      <c r="J25" s="53"/>
      <c r="K25" s="53"/>
      <c r="L25" s="53"/>
      <c r="M25" s="53"/>
      <c r="N25" s="53"/>
      <c r="O25" s="53"/>
      <c r="P25" s="53"/>
      <c r="Q25" s="53"/>
      <c r="W25" s="20"/>
      <c r="X25" s="20"/>
    </row>
    <row r="26" spans="3:24" ht="7.75" customHeight="1" x14ac:dyDescent="0.2">
      <c r="G26" s="53"/>
      <c r="H26" s="53"/>
      <c r="I26" s="53"/>
      <c r="J26" s="53"/>
      <c r="K26" s="53"/>
      <c r="L26" s="53"/>
      <c r="M26" s="53"/>
      <c r="N26" s="53"/>
      <c r="O26" s="53"/>
      <c r="P26" s="53"/>
      <c r="Q26" s="53"/>
      <c r="W26" s="20"/>
      <c r="X26" s="20"/>
    </row>
    <row r="27" spans="3:24" ht="30" customHeight="1" x14ac:dyDescent="0.2">
      <c r="C27" s="185" t="s">
        <v>103</v>
      </c>
      <c r="D27" s="185"/>
      <c r="E27" s="185"/>
      <c r="F27" s="119">
        <f>HLOOKUP(F21,$I$53:$U$68,4,0)</f>
        <v>0</v>
      </c>
      <c r="G27" s="53"/>
      <c r="H27" s="53"/>
      <c r="I27" s="53"/>
      <c r="J27" s="53"/>
      <c r="K27" s="53"/>
      <c r="L27" s="53"/>
      <c r="M27" s="53"/>
      <c r="N27" s="53"/>
      <c r="O27" s="53"/>
      <c r="P27" s="53"/>
      <c r="Q27" s="53"/>
      <c r="W27" s="20"/>
      <c r="X27" s="20"/>
    </row>
    <row r="28" spans="3:24" ht="7.75" customHeight="1" x14ac:dyDescent="0.2">
      <c r="G28" s="53"/>
      <c r="H28" s="53"/>
      <c r="I28" s="53"/>
      <c r="J28" s="53"/>
      <c r="K28" s="53"/>
      <c r="L28" s="53"/>
      <c r="M28" s="53"/>
      <c r="N28" s="53"/>
      <c r="O28" s="53"/>
      <c r="P28" s="53"/>
      <c r="Q28" s="53"/>
      <c r="W28" s="20"/>
      <c r="X28" s="20"/>
    </row>
    <row r="29" spans="3:24" ht="30" customHeight="1" x14ac:dyDescent="0.2">
      <c r="C29" s="185" t="s">
        <v>104</v>
      </c>
      <c r="D29" s="185"/>
      <c r="E29" s="185"/>
      <c r="F29" s="119">
        <f>HLOOKUP(F21,$I$53:$U$68,5,0)</f>
        <v>0</v>
      </c>
      <c r="G29" s="53"/>
      <c r="H29" s="53"/>
      <c r="I29" s="53"/>
      <c r="J29" s="53"/>
      <c r="K29" s="53"/>
      <c r="L29" s="53"/>
      <c r="M29" s="53"/>
      <c r="N29" s="53"/>
      <c r="O29" s="53"/>
      <c r="P29" s="53"/>
      <c r="Q29" s="53"/>
      <c r="W29" s="20"/>
      <c r="X29" s="20"/>
    </row>
    <row r="30" spans="3:24" ht="7.75" customHeight="1" x14ac:dyDescent="0.2">
      <c r="G30" s="53"/>
      <c r="H30" s="53"/>
      <c r="I30" s="53"/>
      <c r="J30" s="53"/>
      <c r="K30" s="53"/>
      <c r="L30" s="53"/>
      <c r="M30" s="53"/>
      <c r="N30" s="53"/>
      <c r="O30" s="53"/>
      <c r="P30" s="53"/>
      <c r="Q30" s="53"/>
      <c r="W30" s="20"/>
      <c r="X30" s="20"/>
    </row>
    <row r="31" spans="3:24" ht="30" customHeight="1" x14ac:dyDescent="0.2">
      <c r="C31" s="185" t="s">
        <v>105</v>
      </c>
      <c r="D31" s="185"/>
      <c r="E31" s="185"/>
      <c r="F31" s="119">
        <f>HLOOKUP(F21,$I$53:$U$68,6,0)</f>
        <v>0</v>
      </c>
      <c r="G31" s="53"/>
      <c r="H31" s="53"/>
      <c r="I31" s="53"/>
      <c r="J31" s="53"/>
      <c r="K31" s="53"/>
      <c r="L31" s="53"/>
      <c r="M31" s="53"/>
      <c r="N31" s="53"/>
      <c r="O31" s="53"/>
      <c r="P31" s="53"/>
      <c r="Q31" s="53"/>
      <c r="W31" s="20"/>
      <c r="X31" s="20"/>
    </row>
    <row r="32" spans="3:24" ht="7.75" customHeight="1" x14ac:dyDescent="0.2">
      <c r="G32" s="53"/>
      <c r="H32" s="53"/>
      <c r="I32" s="53"/>
      <c r="J32" s="53"/>
      <c r="K32" s="53"/>
      <c r="L32" s="53"/>
      <c r="M32" s="53"/>
      <c r="N32" s="53"/>
      <c r="O32" s="53"/>
      <c r="P32" s="53"/>
      <c r="Q32" s="53"/>
      <c r="W32" s="20"/>
      <c r="X32" s="20"/>
    </row>
    <row r="33" spans="3:24" ht="30" customHeight="1" x14ac:dyDescent="0.2">
      <c r="C33" s="185" t="s">
        <v>108</v>
      </c>
      <c r="D33" s="185"/>
      <c r="E33" s="185"/>
      <c r="F33" s="119">
        <f>HLOOKUP(F21,$I$53:$U$68,7,0)</f>
        <v>0</v>
      </c>
      <c r="G33" s="53"/>
      <c r="H33" s="53"/>
      <c r="I33" s="53"/>
      <c r="J33" s="53"/>
      <c r="K33" s="53"/>
      <c r="L33" s="53"/>
      <c r="M33" s="53"/>
      <c r="N33" s="53"/>
      <c r="O33" s="53"/>
      <c r="P33" s="53"/>
      <c r="Q33" s="53"/>
      <c r="W33" s="20"/>
      <c r="X33" s="20"/>
    </row>
    <row r="34" spans="3:24" ht="7.75" customHeight="1" x14ac:dyDescent="0.2">
      <c r="G34" s="53"/>
      <c r="H34" s="53"/>
      <c r="I34" s="53"/>
      <c r="J34" s="53"/>
      <c r="K34" s="53"/>
      <c r="L34" s="53"/>
      <c r="M34" s="53"/>
      <c r="N34" s="53"/>
      <c r="O34" s="53"/>
      <c r="P34" s="53"/>
      <c r="Q34" s="53"/>
      <c r="W34" s="20"/>
      <c r="X34" s="20"/>
    </row>
    <row r="35" spans="3:24" ht="30" customHeight="1" x14ac:dyDescent="0.2">
      <c r="C35" s="185" t="s">
        <v>107</v>
      </c>
      <c r="D35" s="185"/>
      <c r="E35" s="185"/>
      <c r="F35" s="119">
        <f>HLOOKUP(F21,$I$53:$U$68,8,0)</f>
        <v>0</v>
      </c>
      <c r="G35" s="53"/>
      <c r="H35" s="53"/>
      <c r="I35" s="53"/>
      <c r="J35" s="53"/>
      <c r="K35" s="53"/>
      <c r="L35" s="53"/>
      <c r="M35" s="53"/>
      <c r="N35" s="53"/>
      <c r="O35" s="53"/>
      <c r="P35" s="53"/>
      <c r="Q35" s="53"/>
      <c r="W35" s="20"/>
      <c r="X35" s="20"/>
    </row>
    <row r="36" spans="3:24" ht="7.75" customHeight="1" x14ac:dyDescent="0.2">
      <c r="G36" s="53"/>
      <c r="H36" s="53"/>
      <c r="I36" s="53"/>
      <c r="J36" s="53"/>
      <c r="K36" s="53"/>
      <c r="L36" s="53"/>
      <c r="M36" s="53"/>
      <c r="N36" s="53"/>
      <c r="O36" s="53"/>
      <c r="P36" s="53"/>
      <c r="Q36" s="53"/>
      <c r="W36" s="20"/>
      <c r="X36" s="20"/>
    </row>
    <row r="37" spans="3:24" ht="30" customHeight="1" x14ac:dyDescent="0.2">
      <c r="C37" s="185" t="s">
        <v>106</v>
      </c>
      <c r="D37" s="185"/>
      <c r="E37" s="185"/>
      <c r="F37" s="119">
        <f>HLOOKUP(F21,$I$53:$U$68,9,0)</f>
        <v>0</v>
      </c>
      <c r="G37" s="53"/>
      <c r="H37" s="53"/>
      <c r="I37" s="53"/>
      <c r="J37" s="53"/>
      <c r="K37" s="53"/>
      <c r="L37" s="53"/>
      <c r="M37" s="53"/>
      <c r="N37" s="53"/>
      <c r="O37" s="53"/>
      <c r="P37" s="53"/>
      <c r="Q37" s="53"/>
      <c r="W37" s="20"/>
      <c r="X37" s="20"/>
    </row>
    <row r="38" spans="3:24" ht="7.75" customHeight="1" x14ac:dyDescent="0.2">
      <c r="G38" s="53"/>
      <c r="H38" s="53"/>
      <c r="I38" s="53"/>
      <c r="J38" s="53"/>
      <c r="K38" s="53"/>
      <c r="L38" s="53"/>
      <c r="M38" s="53"/>
      <c r="N38" s="53"/>
      <c r="O38" s="53"/>
      <c r="P38" s="53"/>
      <c r="Q38" s="53"/>
      <c r="W38" s="20"/>
      <c r="X38" s="20"/>
    </row>
    <row r="39" spans="3:24" ht="30" customHeight="1" x14ac:dyDescent="0.2">
      <c r="C39" s="185" t="s">
        <v>187</v>
      </c>
      <c r="D39" s="185"/>
      <c r="E39" s="185"/>
      <c r="F39" s="119">
        <f>HLOOKUP(F21,$I$53:$U$68,10,0)</f>
        <v>0</v>
      </c>
      <c r="G39" s="53"/>
      <c r="H39" s="53"/>
      <c r="I39" s="53"/>
      <c r="J39" s="53"/>
      <c r="K39" s="53"/>
      <c r="L39" s="53"/>
      <c r="M39" s="53"/>
      <c r="N39" s="53"/>
      <c r="O39" s="53"/>
      <c r="P39" s="53"/>
      <c r="Q39" s="53"/>
      <c r="W39" s="20"/>
      <c r="X39" s="20"/>
    </row>
    <row r="40" spans="3:24" ht="7.75" customHeight="1" x14ac:dyDescent="0.2">
      <c r="G40" s="53"/>
      <c r="H40" s="53"/>
      <c r="I40" s="124"/>
      <c r="J40" s="124"/>
      <c r="K40" s="124"/>
      <c r="L40" s="124"/>
      <c r="M40" s="124"/>
      <c r="N40" s="124"/>
      <c r="O40" s="124"/>
      <c r="P40" s="124"/>
      <c r="Q40" s="124"/>
      <c r="R40" s="19"/>
      <c r="S40" s="19"/>
      <c r="T40" s="19"/>
      <c r="U40" s="19"/>
      <c r="W40" s="20"/>
      <c r="X40" s="20"/>
    </row>
    <row r="41" spans="3:24" ht="30" customHeight="1" x14ac:dyDescent="0.2">
      <c r="C41" s="185" t="s">
        <v>188</v>
      </c>
      <c r="D41" s="185"/>
      <c r="E41" s="185"/>
      <c r="F41" s="119">
        <f>HLOOKUP(F21,$I$53:$U$68,11,0)</f>
        <v>0</v>
      </c>
      <c r="G41" s="53"/>
      <c r="H41" s="53"/>
      <c r="I41" s="53"/>
      <c r="J41" s="53"/>
      <c r="K41" s="53"/>
      <c r="L41" s="53"/>
      <c r="M41" s="53"/>
      <c r="N41" s="53"/>
      <c r="O41" s="53"/>
      <c r="P41" s="53"/>
      <c r="Q41" s="53"/>
      <c r="W41" s="20"/>
      <c r="X41" s="20"/>
    </row>
    <row r="42" spans="3:24" ht="7.75" customHeight="1" x14ac:dyDescent="0.2">
      <c r="G42" s="53"/>
      <c r="H42" s="53"/>
      <c r="I42" s="53"/>
      <c r="J42" s="53"/>
      <c r="K42" s="53"/>
      <c r="L42" s="53"/>
      <c r="M42" s="53"/>
      <c r="N42" s="53"/>
      <c r="O42" s="53"/>
      <c r="P42" s="53"/>
      <c r="Q42" s="53"/>
      <c r="W42" s="20"/>
      <c r="X42" s="20"/>
    </row>
    <row r="43" spans="3:24" ht="30" customHeight="1" x14ac:dyDescent="0.2">
      <c r="C43" s="185" t="s">
        <v>110</v>
      </c>
      <c r="D43" s="185"/>
      <c r="E43" s="185"/>
      <c r="F43" s="119">
        <f>HLOOKUP(F21,$I$53:$U$68,12,0)</f>
        <v>0</v>
      </c>
      <c r="G43" s="53"/>
      <c r="H43" s="53"/>
      <c r="I43" s="53"/>
      <c r="J43" s="53"/>
      <c r="K43" s="53"/>
      <c r="L43" s="53"/>
      <c r="M43" s="53"/>
      <c r="N43" s="53"/>
      <c r="O43" s="53"/>
      <c r="P43" s="53"/>
      <c r="Q43" s="53"/>
      <c r="W43" s="20"/>
      <c r="X43" s="20"/>
    </row>
    <row r="44" spans="3:24" ht="7.75" customHeight="1" x14ac:dyDescent="0.2">
      <c r="G44" s="53"/>
      <c r="H44" s="53"/>
      <c r="I44" s="53"/>
      <c r="J44" s="53"/>
      <c r="K44" s="53"/>
      <c r="L44" s="53"/>
      <c r="M44" s="53"/>
      <c r="N44" s="53"/>
      <c r="O44" s="53"/>
      <c r="P44" s="53"/>
      <c r="Q44" s="53"/>
      <c r="W44" s="20"/>
      <c r="X44" s="20"/>
    </row>
    <row r="45" spans="3:24" ht="30" customHeight="1" x14ac:dyDescent="0.2">
      <c r="C45" s="186" t="s">
        <v>112</v>
      </c>
      <c r="D45" s="185"/>
      <c r="E45" s="185"/>
      <c r="F45" s="119">
        <f>HLOOKUP(F21,$I$53:$U$68,13,0)</f>
        <v>0</v>
      </c>
      <c r="G45" s="53"/>
      <c r="H45" s="53"/>
      <c r="I45" s="53"/>
      <c r="J45" s="53"/>
      <c r="K45" s="53"/>
      <c r="L45" s="53"/>
      <c r="M45" s="53"/>
      <c r="N45" s="53"/>
      <c r="O45" s="53"/>
      <c r="P45" s="53"/>
      <c r="Q45" s="53"/>
      <c r="W45" s="20"/>
      <c r="X45" s="20"/>
    </row>
    <row r="46" spans="3:24" ht="7.75" customHeight="1" x14ac:dyDescent="0.2">
      <c r="G46" s="53"/>
      <c r="H46" s="53"/>
      <c r="I46" s="53"/>
      <c r="J46" s="53"/>
      <c r="K46" s="53"/>
      <c r="L46" s="53"/>
      <c r="M46" s="53"/>
      <c r="N46" s="53"/>
      <c r="O46" s="53"/>
      <c r="P46" s="53"/>
      <c r="Q46" s="53"/>
      <c r="W46" s="20"/>
      <c r="X46" s="20"/>
    </row>
    <row r="47" spans="3:24" ht="30" customHeight="1" x14ac:dyDescent="0.2">
      <c r="C47" s="185" t="s">
        <v>113</v>
      </c>
      <c r="D47" s="185"/>
      <c r="E47" s="185"/>
      <c r="F47" s="119">
        <f>HLOOKUP(F21,$I$53:$U$68,14,0)</f>
        <v>0</v>
      </c>
      <c r="G47" s="53"/>
      <c r="H47" s="53"/>
      <c r="I47" s="53"/>
      <c r="J47" s="53"/>
      <c r="K47" s="53"/>
      <c r="L47" s="53"/>
      <c r="M47" s="53"/>
      <c r="N47" s="53"/>
      <c r="O47" s="53"/>
      <c r="P47" s="53"/>
      <c r="Q47" s="53"/>
      <c r="W47" s="20"/>
      <c r="X47" s="20"/>
    </row>
    <row r="48" spans="3:24" ht="7.75" customHeight="1" x14ac:dyDescent="0.2">
      <c r="G48" s="53"/>
      <c r="H48" s="53"/>
      <c r="I48" s="53"/>
      <c r="J48" s="53"/>
      <c r="K48" s="53"/>
      <c r="L48" s="53"/>
      <c r="M48" s="53"/>
      <c r="N48" s="53"/>
      <c r="O48" s="53"/>
      <c r="P48" s="53"/>
      <c r="Q48" s="53"/>
      <c r="W48" s="20"/>
      <c r="X48" s="20"/>
    </row>
    <row r="49" spans="1:24" ht="30" customHeight="1" x14ac:dyDescent="0.2">
      <c r="C49" s="185" t="s">
        <v>114</v>
      </c>
      <c r="D49" s="185"/>
      <c r="E49" s="185"/>
      <c r="F49" s="118">
        <f>HLOOKUP(F21,$I$53:$U$68,15,0)</f>
        <v>0</v>
      </c>
      <c r="G49" s="53"/>
      <c r="H49" s="53"/>
      <c r="I49" s="53"/>
      <c r="J49" s="53"/>
      <c r="K49" s="53"/>
      <c r="L49" s="53"/>
      <c r="M49" s="53"/>
      <c r="N49" s="53"/>
      <c r="O49" s="53"/>
      <c r="P49" s="53"/>
      <c r="Q49" s="53"/>
      <c r="W49" s="20"/>
      <c r="X49" s="20"/>
    </row>
    <row r="50" spans="1:24" ht="7.75" customHeight="1" x14ac:dyDescent="0.2">
      <c r="G50" s="53"/>
      <c r="H50" s="53"/>
      <c r="I50" s="53"/>
      <c r="J50" s="53"/>
      <c r="K50" s="53"/>
      <c r="L50" s="53"/>
      <c r="M50" s="53"/>
      <c r="N50" s="53"/>
      <c r="O50" s="53"/>
      <c r="P50" s="53"/>
      <c r="Q50" s="53"/>
      <c r="W50" s="20"/>
      <c r="X50" s="20"/>
    </row>
    <row r="51" spans="1:24" ht="30" customHeight="1" x14ac:dyDescent="0.2">
      <c r="C51" s="185" t="s">
        <v>115</v>
      </c>
      <c r="D51" s="185"/>
      <c r="E51" s="185"/>
      <c r="F51" s="118">
        <f>HLOOKUP(F21,$I$53:$U$68,16,0)</f>
        <v>0</v>
      </c>
      <c r="G51" s="53"/>
      <c r="H51" s="53"/>
      <c r="I51" s="53"/>
      <c r="J51" s="53"/>
      <c r="K51" s="53"/>
      <c r="L51" s="53"/>
      <c r="M51" s="53"/>
      <c r="N51" s="53"/>
      <c r="O51" s="53"/>
      <c r="P51" s="53"/>
      <c r="Q51" s="53"/>
      <c r="W51" s="20"/>
      <c r="X51" s="20"/>
    </row>
    <row r="52" spans="1:24" s="2" customFormat="1" ht="30" customHeight="1" x14ac:dyDescent="0.2">
      <c r="A52" s="9"/>
      <c r="F52" s="13">
        <f>HLOOKUP(F21,$I$53:$U$70,17,0)</f>
        <v>0</v>
      </c>
      <c r="G52" s="53"/>
      <c r="H52" s="53"/>
      <c r="I52" s="53"/>
      <c r="J52" s="53"/>
      <c r="K52" s="53"/>
      <c r="L52" s="53"/>
      <c r="M52" s="53"/>
      <c r="N52" s="53"/>
      <c r="O52" s="53"/>
      <c r="P52" s="53"/>
    </row>
    <row r="53" spans="1:24" s="2" customFormat="1" ht="30" customHeight="1" x14ac:dyDescent="0.2">
      <c r="A53" s="9"/>
      <c r="F53" s="13">
        <f>HLOOKUP(F21,$I$53:$U$70,18,0)</f>
        <v>0</v>
      </c>
      <c r="I53" s="23" t="s">
        <v>97</v>
      </c>
      <c r="J53" s="23" t="s">
        <v>116</v>
      </c>
      <c r="K53" s="23" t="s">
        <v>118</v>
      </c>
      <c r="L53" s="23" t="s">
        <v>119</v>
      </c>
      <c r="M53" s="23" t="s">
        <v>120</v>
      </c>
      <c r="N53" s="23" t="s">
        <v>121</v>
      </c>
      <c r="O53" s="23" t="s">
        <v>122</v>
      </c>
      <c r="P53" s="23" t="s">
        <v>123</v>
      </c>
      <c r="Q53" s="23" t="s">
        <v>124</v>
      </c>
      <c r="R53" s="23" t="s">
        <v>125</v>
      </c>
      <c r="S53" s="23" t="s">
        <v>126</v>
      </c>
      <c r="T53" s="23" t="s">
        <v>127</v>
      </c>
      <c r="U53" s="23" t="s">
        <v>128</v>
      </c>
    </row>
    <row r="54" spans="1:24" s="2" customFormat="1" ht="30" customHeight="1" x14ac:dyDescent="0.2">
      <c r="A54" s="9"/>
      <c r="I54" s="228" t="s">
        <v>101</v>
      </c>
      <c r="J54" s="25">
        <f>Lanc!F41</f>
        <v>0</v>
      </c>
      <c r="K54" s="25">
        <f>Fev!F41</f>
        <v>0</v>
      </c>
      <c r="L54" s="25">
        <f>Mar!F41</f>
        <v>0</v>
      </c>
      <c r="M54" s="25">
        <f>Abr!F41</f>
        <v>0</v>
      </c>
      <c r="N54" s="25">
        <f>Mai!F41</f>
        <v>0</v>
      </c>
      <c r="O54" s="25">
        <f>Jun!F41</f>
        <v>0</v>
      </c>
      <c r="P54" s="25">
        <f>Jul!F41</f>
        <v>0</v>
      </c>
      <c r="Q54" s="25">
        <f>Ago!F41</f>
        <v>0</v>
      </c>
      <c r="R54" s="25">
        <f>Set!F41</f>
        <v>0</v>
      </c>
      <c r="S54" s="25">
        <f>Out!F41</f>
        <v>0</v>
      </c>
      <c r="T54" s="25">
        <f>Nov!F41</f>
        <v>0</v>
      </c>
      <c r="U54" s="25">
        <f>Dez!F41</f>
        <v>0</v>
      </c>
    </row>
    <row r="55" spans="1:24" s="2" customFormat="1" ht="30" customHeight="1" x14ac:dyDescent="0.2">
      <c r="A55" s="9"/>
      <c r="I55" s="228" t="s">
        <v>102</v>
      </c>
      <c r="J55" s="25">
        <f>Lanc!F42</f>
        <v>0</v>
      </c>
      <c r="K55" s="25">
        <f>Fev!F42</f>
        <v>0</v>
      </c>
      <c r="L55" s="25">
        <f>Mar!F42</f>
        <v>0</v>
      </c>
      <c r="M55" s="25">
        <f>Abr!F42</f>
        <v>0</v>
      </c>
      <c r="N55" s="25">
        <f>Mai!F42</f>
        <v>0</v>
      </c>
      <c r="O55" s="25">
        <f>Jun!F42</f>
        <v>0</v>
      </c>
      <c r="P55" s="25">
        <f>Jul!F42</f>
        <v>0</v>
      </c>
      <c r="Q55" s="25">
        <f>Ago!F42</f>
        <v>0</v>
      </c>
      <c r="R55" s="25">
        <f>Set!F42</f>
        <v>0</v>
      </c>
      <c r="S55" s="25">
        <f>Out!F42</f>
        <v>0</v>
      </c>
      <c r="T55" s="25">
        <f>Nov!F42</f>
        <v>0</v>
      </c>
      <c r="U55" s="25">
        <f>Dez!F42</f>
        <v>0</v>
      </c>
    </row>
    <row r="56" spans="1:24" s="2" customFormat="1" ht="30" customHeight="1" x14ac:dyDescent="0.2">
      <c r="A56" s="9"/>
      <c r="I56" s="228" t="s">
        <v>103</v>
      </c>
      <c r="J56" s="25">
        <f>Lanc!F43</f>
        <v>0</v>
      </c>
      <c r="K56" s="25">
        <f>Fev!F43</f>
        <v>0</v>
      </c>
      <c r="L56" s="25">
        <f>Mar!F43</f>
        <v>0</v>
      </c>
      <c r="M56" s="25">
        <f>Abr!F43</f>
        <v>0</v>
      </c>
      <c r="N56" s="25">
        <f>Mai!F43</f>
        <v>0</v>
      </c>
      <c r="O56" s="25">
        <f>Jun!F43</f>
        <v>0</v>
      </c>
      <c r="P56" s="25">
        <f>Jul!F43</f>
        <v>0</v>
      </c>
      <c r="Q56" s="25">
        <f>Ago!F43</f>
        <v>0</v>
      </c>
      <c r="R56" s="25">
        <f>Set!F43</f>
        <v>0</v>
      </c>
      <c r="S56" s="25">
        <f>Out!F43</f>
        <v>0</v>
      </c>
      <c r="T56" s="25">
        <f>Nov!F43</f>
        <v>0</v>
      </c>
      <c r="U56" s="25">
        <f>Dez!F43</f>
        <v>0</v>
      </c>
    </row>
    <row r="57" spans="1:24" s="2" customFormat="1" ht="30" customHeight="1" x14ac:dyDescent="0.2">
      <c r="A57" s="9"/>
      <c r="I57" s="228" t="s">
        <v>104</v>
      </c>
      <c r="J57" s="25">
        <f>Lanc!F44</f>
        <v>0</v>
      </c>
      <c r="K57" s="25">
        <f>Fev!F44</f>
        <v>0</v>
      </c>
      <c r="L57" s="25">
        <f>Mar!F44</f>
        <v>0</v>
      </c>
      <c r="M57" s="25">
        <f>Abr!F44</f>
        <v>0</v>
      </c>
      <c r="N57" s="25">
        <f>Mai!F44</f>
        <v>0</v>
      </c>
      <c r="O57" s="25">
        <f>Jun!F44</f>
        <v>0</v>
      </c>
      <c r="P57" s="25">
        <f>Jul!F44</f>
        <v>0</v>
      </c>
      <c r="Q57" s="25">
        <f>Ago!F44</f>
        <v>0</v>
      </c>
      <c r="R57" s="25">
        <f>Set!F44</f>
        <v>0</v>
      </c>
      <c r="S57" s="25">
        <f>Out!F44</f>
        <v>0</v>
      </c>
      <c r="T57" s="25">
        <f>Nov!F44</f>
        <v>0</v>
      </c>
      <c r="U57" s="25">
        <f>Dez!F44</f>
        <v>0</v>
      </c>
    </row>
    <row r="58" spans="1:24" s="2" customFormat="1" ht="30" customHeight="1" x14ac:dyDescent="0.2">
      <c r="A58" s="9"/>
      <c r="I58" s="228" t="s">
        <v>105</v>
      </c>
      <c r="J58" s="25">
        <f>Lanc!F45</f>
        <v>0</v>
      </c>
      <c r="K58" s="25">
        <f>Fev!F45</f>
        <v>0</v>
      </c>
      <c r="L58" s="25">
        <f>Mar!F45</f>
        <v>0</v>
      </c>
      <c r="M58" s="25">
        <f>Abr!F45</f>
        <v>0</v>
      </c>
      <c r="N58" s="25">
        <f>Mai!F45</f>
        <v>0</v>
      </c>
      <c r="O58" s="25">
        <f>Jun!F45</f>
        <v>0</v>
      </c>
      <c r="P58" s="25">
        <f>Jul!F45</f>
        <v>0</v>
      </c>
      <c r="Q58" s="25">
        <f>Ago!F45</f>
        <v>0</v>
      </c>
      <c r="R58" s="25">
        <f>Set!F45</f>
        <v>0</v>
      </c>
      <c r="S58" s="25">
        <f>Out!F45</f>
        <v>0</v>
      </c>
      <c r="T58" s="25">
        <f>Nov!F45</f>
        <v>0</v>
      </c>
      <c r="U58" s="25">
        <f>Dez!F45</f>
        <v>0</v>
      </c>
    </row>
    <row r="59" spans="1:24" s="2" customFormat="1" ht="30" customHeight="1" x14ac:dyDescent="0.2">
      <c r="A59" s="9"/>
      <c r="I59" s="228" t="s">
        <v>108</v>
      </c>
      <c r="J59" s="25">
        <f>Lanc!F46</f>
        <v>0</v>
      </c>
      <c r="K59" s="25">
        <f>Fev!F46</f>
        <v>0</v>
      </c>
      <c r="L59" s="25">
        <f>Mar!F46</f>
        <v>0</v>
      </c>
      <c r="M59" s="25">
        <f>Abr!F46</f>
        <v>0</v>
      </c>
      <c r="N59" s="25">
        <f>Mai!F46</f>
        <v>0</v>
      </c>
      <c r="O59" s="25">
        <f>Jun!F46</f>
        <v>0</v>
      </c>
      <c r="P59" s="25">
        <f>Jul!F46</f>
        <v>0</v>
      </c>
      <c r="Q59" s="25">
        <f>Ago!F46</f>
        <v>0</v>
      </c>
      <c r="R59" s="25">
        <f>Set!F46</f>
        <v>0</v>
      </c>
      <c r="S59" s="25">
        <f>Out!F46</f>
        <v>0</v>
      </c>
      <c r="T59" s="25">
        <f>Nov!F46</f>
        <v>0</v>
      </c>
      <c r="U59" s="25">
        <f>Dez!F46</f>
        <v>0</v>
      </c>
    </row>
    <row r="60" spans="1:24" s="2" customFormat="1" ht="30" customHeight="1" x14ac:dyDescent="0.2">
      <c r="A60" s="9"/>
      <c r="I60" s="228" t="s">
        <v>107</v>
      </c>
      <c r="J60" s="25">
        <f>Lanc!F47</f>
        <v>0</v>
      </c>
      <c r="K60" s="25">
        <f>Fev!F47</f>
        <v>0</v>
      </c>
      <c r="L60" s="25">
        <f>Mar!F47</f>
        <v>0</v>
      </c>
      <c r="M60" s="25">
        <f>Abr!F47</f>
        <v>0</v>
      </c>
      <c r="N60" s="25">
        <f>Mai!F47</f>
        <v>0</v>
      </c>
      <c r="O60" s="25">
        <f>Jun!F47</f>
        <v>0</v>
      </c>
      <c r="P60" s="25">
        <f>Jul!F47</f>
        <v>0</v>
      </c>
      <c r="Q60" s="25">
        <f>Ago!F47</f>
        <v>0</v>
      </c>
      <c r="R60" s="25">
        <f>Set!F47</f>
        <v>0</v>
      </c>
      <c r="S60" s="25">
        <f>Out!F47</f>
        <v>0</v>
      </c>
      <c r="T60" s="25">
        <f>Nov!F47</f>
        <v>0</v>
      </c>
      <c r="U60" s="25">
        <f>Dez!F47</f>
        <v>0</v>
      </c>
    </row>
    <row r="61" spans="1:24" s="2" customFormat="1" ht="30" customHeight="1" x14ac:dyDescent="0.2">
      <c r="A61" s="9"/>
      <c r="I61" s="228" t="s">
        <v>106</v>
      </c>
      <c r="J61" s="25">
        <f>Lanc!F48</f>
        <v>0</v>
      </c>
      <c r="K61" s="25">
        <f>Fev!F48</f>
        <v>0</v>
      </c>
      <c r="L61" s="25">
        <f>Mar!F48</f>
        <v>0</v>
      </c>
      <c r="M61" s="25">
        <f>Abr!F48</f>
        <v>0</v>
      </c>
      <c r="N61" s="25">
        <f>Mai!F48</f>
        <v>0</v>
      </c>
      <c r="O61" s="25">
        <f>Jun!F48</f>
        <v>0</v>
      </c>
      <c r="P61" s="25">
        <f>Jul!F48</f>
        <v>0</v>
      </c>
      <c r="Q61" s="25">
        <f>Ago!F48</f>
        <v>0</v>
      </c>
      <c r="R61" s="25">
        <f>Set!F48</f>
        <v>0</v>
      </c>
      <c r="S61" s="25">
        <f>Out!F48</f>
        <v>0</v>
      </c>
      <c r="T61" s="25">
        <f>Nov!F48</f>
        <v>0</v>
      </c>
      <c r="U61" s="25">
        <f>Dez!F48</f>
        <v>0</v>
      </c>
    </row>
    <row r="62" spans="1:24" s="2" customFormat="1" ht="30" customHeight="1" x14ac:dyDescent="0.2">
      <c r="A62" s="9"/>
      <c r="I62" s="228" t="s">
        <v>109</v>
      </c>
      <c r="J62" s="25">
        <f>Lanc!F49</f>
        <v>0</v>
      </c>
      <c r="K62" s="25">
        <f>Fev!F49</f>
        <v>0</v>
      </c>
      <c r="L62" s="25">
        <f>Mar!F49</f>
        <v>0</v>
      </c>
      <c r="M62" s="25">
        <f>Abr!F49</f>
        <v>0</v>
      </c>
      <c r="N62" s="25">
        <f>Mai!F49</f>
        <v>0</v>
      </c>
      <c r="O62" s="25">
        <f>Jun!F49</f>
        <v>0</v>
      </c>
      <c r="P62" s="25">
        <f>Jul!F49</f>
        <v>0</v>
      </c>
      <c r="Q62" s="25">
        <f>Ago!F49</f>
        <v>0</v>
      </c>
      <c r="R62" s="25">
        <f>Set!F49</f>
        <v>0</v>
      </c>
      <c r="S62" s="25">
        <f>Out!F49</f>
        <v>0</v>
      </c>
      <c r="T62" s="25">
        <f>Nov!F49</f>
        <v>0</v>
      </c>
      <c r="U62" s="25">
        <f>Dez!F49</f>
        <v>0</v>
      </c>
    </row>
    <row r="63" spans="1:24" s="2" customFormat="1" ht="30" customHeight="1" x14ac:dyDescent="0.2">
      <c r="A63" s="9"/>
      <c r="I63" s="228" t="s">
        <v>110</v>
      </c>
      <c r="J63" s="25">
        <f>Lanc!F50</f>
        <v>0</v>
      </c>
      <c r="K63" s="25">
        <f>Fev!F50</f>
        <v>0</v>
      </c>
      <c r="L63" s="25">
        <f>Mar!F50</f>
        <v>0</v>
      </c>
      <c r="M63" s="25">
        <f>Abr!F50</f>
        <v>0</v>
      </c>
      <c r="N63" s="25">
        <f>Mai!F50</f>
        <v>0</v>
      </c>
      <c r="O63" s="25">
        <f>Jun!F50</f>
        <v>0</v>
      </c>
      <c r="P63" s="25">
        <f>Jul!F50</f>
        <v>0</v>
      </c>
      <c r="Q63" s="25">
        <f>Ago!F50</f>
        <v>0</v>
      </c>
      <c r="R63" s="25">
        <f>Set!F50</f>
        <v>0</v>
      </c>
      <c r="S63" s="25">
        <f>Out!F50</f>
        <v>0</v>
      </c>
      <c r="T63" s="25">
        <f>Nov!F50</f>
        <v>0</v>
      </c>
      <c r="U63" s="25">
        <f>Dez!F50</f>
        <v>0</v>
      </c>
      <c r="V63" s="13">
        <f>SUM(J63:U63)</f>
        <v>0</v>
      </c>
    </row>
    <row r="64" spans="1:24" s="2" customFormat="1" ht="30" customHeight="1" x14ac:dyDescent="0.2">
      <c r="A64" s="9"/>
      <c r="I64" s="228" t="s">
        <v>198</v>
      </c>
      <c r="J64" s="25">
        <f>Lanc!F51</f>
        <v>0</v>
      </c>
      <c r="K64" s="25">
        <f>Fev!F51</f>
        <v>0</v>
      </c>
      <c r="L64" s="25">
        <f>Mar!F51</f>
        <v>0</v>
      </c>
      <c r="M64" s="25">
        <f>Abr!F51</f>
        <v>0</v>
      </c>
      <c r="N64" s="25">
        <f>Mai!F51</f>
        <v>0</v>
      </c>
      <c r="O64" s="25">
        <f>Jun!F51</f>
        <v>0</v>
      </c>
      <c r="P64" s="25">
        <f>Jul!F51</f>
        <v>0</v>
      </c>
      <c r="Q64" s="25">
        <f>Ago!F51</f>
        <v>0</v>
      </c>
      <c r="R64" s="25">
        <f>Set!F51</f>
        <v>0</v>
      </c>
      <c r="S64" s="25">
        <f>Out!F51</f>
        <v>0</v>
      </c>
      <c r="T64" s="25">
        <f>Nov!F51</f>
        <v>0</v>
      </c>
      <c r="U64" s="25">
        <f>Dez!F51</f>
        <v>0</v>
      </c>
      <c r="V64" s="13">
        <f>SUM(J64:U64)</f>
        <v>0</v>
      </c>
    </row>
    <row r="65" spans="1:22" s="2" customFormat="1" ht="30" customHeight="1" x14ac:dyDescent="0.2">
      <c r="A65" s="9"/>
      <c r="I65" s="229" t="s">
        <v>112</v>
      </c>
      <c r="J65" s="25">
        <f>Lanc!F52</f>
        <v>0</v>
      </c>
      <c r="K65" s="25">
        <f>Fev!F52</f>
        <v>0</v>
      </c>
      <c r="L65" s="25">
        <f>Mar!F52</f>
        <v>0</v>
      </c>
      <c r="M65" s="25">
        <f>Abr!F52</f>
        <v>0</v>
      </c>
      <c r="N65" s="25">
        <f>Mai!F52</f>
        <v>0</v>
      </c>
      <c r="O65" s="25">
        <f>Jun!F52</f>
        <v>0</v>
      </c>
      <c r="P65" s="25">
        <f>Jul!F52</f>
        <v>0</v>
      </c>
      <c r="Q65" s="25">
        <f>Ago!F52</f>
        <v>0</v>
      </c>
      <c r="R65" s="25">
        <f>Set!F52</f>
        <v>0</v>
      </c>
      <c r="S65" s="25">
        <f>Out!F52</f>
        <v>0</v>
      </c>
      <c r="T65" s="25">
        <f>Nov!F52</f>
        <v>0</v>
      </c>
      <c r="U65" s="25">
        <f>Dez!F52</f>
        <v>0</v>
      </c>
      <c r="V65" s="13"/>
    </row>
    <row r="66" spans="1:22" s="2" customFormat="1" ht="30" customHeight="1" x14ac:dyDescent="0.2">
      <c r="A66" s="9"/>
      <c r="I66" s="228" t="s">
        <v>113</v>
      </c>
      <c r="J66" s="25">
        <f>Lanc!F53</f>
        <v>0</v>
      </c>
      <c r="K66" s="25">
        <f>Fev!F53</f>
        <v>0</v>
      </c>
      <c r="L66" s="25">
        <f>Mar!F53</f>
        <v>0</v>
      </c>
      <c r="M66" s="25">
        <f>Abr!F53</f>
        <v>0</v>
      </c>
      <c r="N66" s="25">
        <f>Mai!F53</f>
        <v>0</v>
      </c>
      <c r="O66" s="25">
        <f>Jun!F53</f>
        <v>0</v>
      </c>
      <c r="P66" s="25">
        <f>Jul!F53</f>
        <v>0</v>
      </c>
      <c r="Q66" s="25">
        <f>Ago!F53</f>
        <v>0</v>
      </c>
      <c r="R66" s="25">
        <f>Set!F53</f>
        <v>0</v>
      </c>
      <c r="S66" s="25">
        <f>Out!F53</f>
        <v>0</v>
      </c>
      <c r="T66" s="25">
        <f>Nov!F53</f>
        <v>0</v>
      </c>
      <c r="U66" s="25">
        <f>Dez!F53</f>
        <v>0</v>
      </c>
      <c r="V66" s="13"/>
    </row>
    <row r="67" spans="1:22" s="2" customFormat="1" ht="30" customHeight="1" x14ac:dyDescent="0.2">
      <c r="A67" s="9"/>
      <c r="I67" s="228" t="s">
        <v>114</v>
      </c>
      <c r="J67" s="127">
        <f>Lanc!F54</f>
        <v>0</v>
      </c>
      <c r="K67" s="127">
        <f>Fev!F54</f>
        <v>0</v>
      </c>
      <c r="L67" s="127">
        <f>Mar!F54</f>
        <v>0</v>
      </c>
      <c r="M67" s="127">
        <f>Abr!F54</f>
        <v>0</v>
      </c>
      <c r="N67" s="127">
        <f>Mai!F54</f>
        <v>0</v>
      </c>
      <c r="O67" s="127">
        <f>Jun!F54</f>
        <v>0</v>
      </c>
      <c r="P67" s="127">
        <f>Jul!F54</f>
        <v>0</v>
      </c>
      <c r="Q67" s="127">
        <f>Ago!F54</f>
        <v>0</v>
      </c>
      <c r="R67" s="127">
        <f>Set!F54</f>
        <v>0</v>
      </c>
      <c r="S67" s="127">
        <f>Out!F54</f>
        <v>0</v>
      </c>
      <c r="T67" s="127">
        <f>Nov!F54</f>
        <v>0</v>
      </c>
      <c r="U67" s="127">
        <f>Dez!F54</f>
        <v>0</v>
      </c>
      <c r="V67" s="13"/>
    </row>
    <row r="68" spans="1:22" s="2" customFormat="1" ht="30" customHeight="1" x14ac:dyDescent="0.2">
      <c r="A68" s="9"/>
      <c r="I68" s="228" t="s">
        <v>115</v>
      </c>
      <c r="J68" s="127">
        <f>Lanc!F55</f>
        <v>0</v>
      </c>
      <c r="K68" s="127">
        <f>Fev!F55</f>
        <v>0</v>
      </c>
      <c r="L68" s="127">
        <f>Mar!F55</f>
        <v>0</v>
      </c>
      <c r="M68" s="127">
        <f>Abr!F55</f>
        <v>0</v>
      </c>
      <c r="N68" s="127">
        <f>Mai!F55</f>
        <v>0</v>
      </c>
      <c r="O68" s="127">
        <f>Jun!F55</f>
        <v>0</v>
      </c>
      <c r="P68" s="127">
        <f>Jul!F55</f>
        <v>0</v>
      </c>
      <c r="Q68" s="127">
        <f>Ago!F55</f>
        <v>0</v>
      </c>
      <c r="R68" s="127">
        <f>Set!F55</f>
        <v>0</v>
      </c>
      <c r="S68" s="127">
        <f>Out!F55</f>
        <v>0</v>
      </c>
      <c r="T68" s="127">
        <f>Nov!F55</f>
        <v>0</v>
      </c>
      <c r="U68" s="127">
        <f>Dez!F55</f>
        <v>0</v>
      </c>
      <c r="V68" s="13"/>
    </row>
    <row r="69" spans="1:22" s="2" customFormat="1" ht="30" customHeight="1" x14ac:dyDescent="0.2">
      <c r="A69" s="9"/>
      <c r="I69" s="23"/>
      <c r="J69" s="128">
        <f>Lanc!F56</f>
        <v>0</v>
      </c>
      <c r="K69" s="128">
        <f>Fev!F56</f>
        <v>0</v>
      </c>
      <c r="L69" s="230">
        <f>Mar!F56</f>
        <v>0</v>
      </c>
      <c r="M69" s="128">
        <f>Abr!F56</f>
        <v>0</v>
      </c>
      <c r="N69" s="128">
        <f>Mai!F56</f>
        <v>0</v>
      </c>
      <c r="O69" s="128">
        <f>Jun!F56</f>
        <v>0</v>
      </c>
      <c r="P69" s="128">
        <f>Jul!F56</f>
        <v>0</v>
      </c>
      <c r="Q69" s="128">
        <f>Ago!F56</f>
        <v>0</v>
      </c>
      <c r="R69" s="128">
        <f>Set!F56</f>
        <v>0</v>
      </c>
      <c r="S69" s="128">
        <f>Out!F56</f>
        <v>0</v>
      </c>
      <c r="T69" s="128">
        <f>Nov!F56</f>
        <v>0</v>
      </c>
      <c r="U69" s="128">
        <f>Dez!F56</f>
        <v>0</v>
      </c>
      <c r="V69" s="13"/>
    </row>
    <row r="70" spans="1:22" s="2" customFormat="1" ht="30" customHeight="1" x14ac:dyDescent="0.2">
      <c r="A70" s="9"/>
      <c r="I70" s="23"/>
      <c r="J70" s="128">
        <f>Lanc!F57</f>
        <v>0</v>
      </c>
      <c r="K70" s="128">
        <f>Fev!F57</f>
        <v>0</v>
      </c>
      <c r="L70" s="128">
        <f>Mar!F57</f>
        <v>0</v>
      </c>
      <c r="M70" s="128">
        <f>Abr!F57</f>
        <v>0</v>
      </c>
      <c r="N70" s="128">
        <f>Mai!F57</f>
        <v>0</v>
      </c>
      <c r="O70" s="128">
        <f>Jun!F57</f>
        <v>0</v>
      </c>
      <c r="P70" s="128">
        <f>Jul!F57</f>
        <v>0</v>
      </c>
      <c r="Q70" s="128">
        <f>Ago!F57</f>
        <v>0</v>
      </c>
      <c r="R70" s="128">
        <f>Set!F57</f>
        <v>0</v>
      </c>
      <c r="S70" s="128">
        <f>Out!F57</f>
        <v>0</v>
      </c>
      <c r="T70" s="128">
        <f>Nov!F57</f>
        <v>0</v>
      </c>
      <c r="U70" s="128">
        <f>Dez!F57</f>
        <v>0</v>
      </c>
      <c r="V70" s="13"/>
    </row>
    <row r="71" spans="1:22" s="2" customFormat="1" ht="30" customHeight="1" x14ac:dyDescent="0.2">
      <c r="A71" s="9"/>
    </row>
    <row r="72" spans="1:22" s="2" customFormat="1" ht="30" customHeight="1" x14ac:dyDescent="0.2">
      <c r="A72" s="9"/>
      <c r="G72" s="53"/>
      <c r="H72" s="53"/>
      <c r="I72" s="53"/>
      <c r="J72" s="53"/>
      <c r="K72" s="53"/>
      <c r="L72" s="53"/>
      <c r="M72" s="53"/>
      <c r="N72" s="53"/>
      <c r="O72" s="53"/>
      <c r="P72" s="53"/>
    </row>
    <row r="73" spans="1:22" s="2" customFormat="1" ht="30" customHeight="1" x14ac:dyDescent="0.2">
      <c r="A73" s="9"/>
      <c r="G73" s="53"/>
      <c r="H73" s="53"/>
      <c r="I73" s="53"/>
      <c r="J73" s="53"/>
      <c r="K73" s="53"/>
      <c r="L73" s="53"/>
      <c r="M73" s="53"/>
      <c r="N73" s="53"/>
      <c r="O73" s="53"/>
      <c r="P73" s="53"/>
    </row>
    <row r="74" spans="1:22" s="2" customFormat="1" ht="30" customHeight="1" x14ac:dyDescent="0.2">
      <c r="A74" s="9"/>
      <c r="G74" s="53"/>
      <c r="H74" s="53"/>
      <c r="I74" s="53"/>
      <c r="J74" s="53"/>
      <c r="K74" s="53"/>
      <c r="L74" s="53"/>
      <c r="M74" s="53"/>
      <c r="N74" s="53"/>
      <c r="O74" s="53"/>
      <c r="P74" s="53"/>
    </row>
    <row r="75" spans="1:22" s="2" customFormat="1" ht="30" customHeight="1" x14ac:dyDescent="0.2">
      <c r="A75" s="9"/>
      <c r="G75" s="53"/>
      <c r="H75" s="53"/>
      <c r="I75" s="53"/>
      <c r="J75" s="53"/>
      <c r="K75" s="53"/>
      <c r="L75" s="53"/>
      <c r="M75" s="53"/>
      <c r="N75" s="53"/>
      <c r="O75" s="53"/>
      <c r="P75" s="53"/>
    </row>
    <row r="76" spans="1:22" s="2" customFormat="1" ht="30" customHeight="1" x14ac:dyDescent="0.2">
      <c r="A76" s="9"/>
      <c r="G76" s="53"/>
      <c r="H76" s="53"/>
      <c r="I76" s="53"/>
      <c r="J76" s="53"/>
      <c r="K76" s="53"/>
      <c r="L76" s="53"/>
      <c r="M76" s="53"/>
      <c r="N76" s="53"/>
      <c r="O76" s="53"/>
      <c r="P76" s="53"/>
    </row>
    <row r="77" spans="1:22" s="2" customFormat="1" ht="30" customHeight="1" x14ac:dyDescent="0.2">
      <c r="A77" s="9"/>
      <c r="G77" s="53"/>
      <c r="H77" s="53"/>
      <c r="I77" s="53"/>
      <c r="J77" s="53"/>
      <c r="K77" s="53"/>
      <c r="L77" s="53"/>
      <c r="M77" s="53"/>
      <c r="N77" s="53"/>
      <c r="O77" s="53"/>
      <c r="P77" s="53"/>
    </row>
    <row r="78" spans="1:22" s="2" customFormat="1" ht="30" customHeight="1" x14ac:dyDescent="0.2">
      <c r="A78" s="9"/>
      <c r="G78" s="53"/>
      <c r="H78" s="53"/>
      <c r="I78" s="53"/>
      <c r="J78" s="53"/>
      <c r="K78" s="53"/>
      <c r="L78" s="53"/>
      <c r="M78" s="53"/>
      <c r="N78" s="53"/>
      <c r="O78" s="53"/>
      <c r="P78" s="53"/>
    </row>
    <row r="79" spans="1:22" s="2" customFormat="1" ht="30" customHeight="1" x14ac:dyDescent="0.2">
      <c r="A79" s="9"/>
      <c r="G79" s="53"/>
      <c r="H79" s="53"/>
      <c r="I79" s="53"/>
      <c r="J79" s="53"/>
      <c r="K79" s="53"/>
      <c r="L79" s="53"/>
      <c r="M79" s="53"/>
      <c r="N79" s="53"/>
      <c r="O79" s="53"/>
      <c r="P79" s="53"/>
    </row>
    <row r="80" spans="1:22" s="2" customFormat="1" ht="30" customHeight="1" x14ac:dyDescent="0.2">
      <c r="A80" s="9"/>
      <c r="G80" s="53"/>
      <c r="H80" s="53"/>
      <c r="I80" s="53"/>
      <c r="J80" s="53"/>
      <c r="K80" s="53"/>
      <c r="L80" s="53"/>
      <c r="M80" s="53"/>
      <c r="N80" s="53"/>
      <c r="O80" s="53"/>
      <c r="P80" s="53"/>
    </row>
    <row r="81" spans="1:16" s="2" customFormat="1" ht="30" customHeight="1" x14ac:dyDescent="0.2">
      <c r="A81" s="9"/>
      <c r="G81" s="53"/>
      <c r="H81" s="53"/>
      <c r="I81" s="53"/>
      <c r="J81" s="53"/>
      <c r="K81" s="53"/>
      <c r="L81" s="53"/>
      <c r="M81" s="53"/>
      <c r="N81" s="53"/>
      <c r="O81" s="53"/>
      <c r="P81" s="53"/>
    </row>
    <row r="82" spans="1:16" s="2" customFormat="1" ht="30" customHeight="1" x14ac:dyDescent="0.2">
      <c r="A82" s="9"/>
      <c r="G82" s="53"/>
      <c r="H82" s="53"/>
      <c r="I82" s="53"/>
      <c r="J82" s="53"/>
      <c r="K82" s="53"/>
      <c r="L82" s="53"/>
      <c r="M82" s="53"/>
      <c r="N82" s="53"/>
      <c r="O82" s="53"/>
      <c r="P82" s="53"/>
    </row>
    <row r="83" spans="1:16" s="2" customFormat="1" ht="30" customHeight="1" x14ac:dyDescent="0.2">
      <c r="A83" s="9"/>
    </row>
    <row r="84" spans="1:16" s="2" customFormat="1" ht="30" customHeight="1" x14ac:dyDescent="0.2">
      <c r="A84" s="9"/>
    </row>
    <row r="85" spans="1:16" s="2" customFormat="1" ht="30" customHeight="1" x14ac:dyDescent="0.2">
      <c r="A85" s="9"/>
    </row>
    <row r="86" spans="1:16" s="2" customFormat="1" ht="30" customHeight="1" x14ac:dyDescent="0.2">
      <c r="A86" s="9"/>
    </row>
    <row r="87" spans="1:16" s="2" customFormat="1" ht="30" customHeight="1" x14ac:dyDescent="0.2">
      <c r="A87" s="9"/>
    </row>
    <row r="88" spans="1:16" s="2" customFormat="1" ht="30" customHeight="1" x14ac:dyDescent="0.2">
      <c r="A88" s="9"/>
    </row>
    <row r="89" spans="1:16" s="2" customFormat="1" ht="30" customHeight="1" x14ac:dyDescent="0.2">
      <c r="A89" s="9"/>
    </row>
    <row r="90" spans="1:16" s="2" customFormat="1" ht="30" customHeight="1" x14ac:dyDescent="0.2">
      <c r="A90" s="9"/>
    </row>
    <row r="91" spans="1:16" s="2" customFormat="1" ht="30" customHeight="1" x14ac:dyDescent="0.2">
      <c r="A91" s="9"/>
    </row>
    <row r="92" spans="1:16" s="2" customFormat="1" ht="30" customHeight="1" x14ac:dyDescent="0.2">
      <c r="A92" s="9"/>
    </row>
    <row r="93" spans="1:16" s="2" customFormat="1" ht="30" customHeight="1" x14ac:dyDescent="0.2">
      <c r="A93" s="9"/>
    </row>
    <row r="94" spans="1:16" s="2" customFormat="1" ht="30" customHeight="1" x14ac:dyDescent="0.2">
      <c r="A94" s="9"/>
    </row>
    <row r="95" spans="1:16" s="2" customFormat="1" ht="30" customHeight="1" x14ac:dyDescent="0.2">
      <c r="A95" s="9"/>
    </row>
    <row r="96" spans="1:16" s="2" customFormat="1" ht="30" customHeight="1" x14ac:dyDescent="0.2">
      <c r="A96" s="9"/>
    </row>
    <row r="97" spans="8:24" ht="30" customHeight="1" x14ac:dyDescent="0.2">
      <c r="H97" s="53"/>
      <c r="I97" s="53"/>
      <c r="J97" s="53"/>
      <c r="K97" s="53"/>
      <c r="L97" s="53"/>
      <c r="M97" s="53"/>
      <c r="N97" s="53"/>
      <c r="O97" s="53"/>
      <c r="Q97" s="53"/>
      <c r="W97" s="20"/>
      <c r="X97" s="20"/>
    </row>
    <row r="98" spans="8:24" ht="30" customHeight="1" x14ac:dyDescent="0.2">
      <c r="W98" s="20"/>
      <c r="X98" s="20"/>
    </row>
    <row r="99" spans="8:24" ht="30" customHeight="1" x14ac:dyDescent="0.2"/>
    <row r="100" spans="8:24" ht="30" customHeight="1" x14ac:dyDescent="0.2"/>
    <row r="101" spans="8:24" ht="30" customHeight="1" x14ac:dyDescent="0.2"/>
    <row r="102" spans="8:24" ht="30" customHeight="1" x14ac:dyDescent="0.2"/>
  </sheetData>
  <sheetProtection sheet="1" objects="1" scenarios="1" selectLockedCells="1"/>
  <mergeCells count="16">
    <mergeCell ref="C21:E21"/>
    <mergeCell ref="C49:E49"/>
    <mergeCell ref="C51:E51"/>
    <mergeCell ref="C37:E37"/>
    <mergeCell ref="C43:E43"/>
    <mergeCell ref="C33:E33"/>
    <mergeCell ref="C35:E35"/>
    <mergeCell ref="C39:E39"/>
    <mergeCell ref="C41:E41"/>
    <mergeCell ref="C45:E45"/>
    <mergeCell ref="C47:E47"/>
    <mergeCell ref="C31:E31"/>
    <mergeCell ref="C23:E23"/>
    <mergeCell ref="C25:E25"/>
    <mergeCell ref="C27:E27"/>
    <mergeCell ref="C29:E29"/>
  </mergeCells>
  <conditionalFormatting sqref="F47">
    <cfRule type="expression" dxfId="40" priority="25">
      <formula>$F$52&gt;$F$53</formula>
    </cfRule>
  </conditionalFormatting>
  <conditionalFormatting sqref="I7">
    <cfRule type="expression" dxfId="39" priority="24">
      <formula>$P$7="Negativo"</formula>
    </cfRule>
  </conditionalFormatting>
  <conditionalFormatting sqref="I8">
    <cfRule type="expression" dxfId="38" priority="23">
      <formula>$P$8="Negativo"</formula>
    </cfRule>
  </conditionalFormatting>
  <conditionalFormatting sqref="I9">
    <cfRule type="expression" dxfId="37" priority="22">
      <formula>$P$9="Negativo"</formula>
    </cfRule>
  </conditionalFormatting>
  <conditionalFormatting sqref="I10">
    <cfRule type="expression" dxfId="36" priority="21">
      <formula>$P$10="Negativo"</formula>
    </cfRule>
  </conditionalFormatting>
  <conditionalFormatting sqref="I11">
    <cfRule type="expression" dxfId="35" priority="20">
      <formula>$P$11="Negativo"</formula>
    </cfRule>
  </conditionalFormatting>
  <conditionalFormatting sqref="I12:I18">
    <cfRule type="expression" dxfId="34" priority="19">
      <formula>$P$12="Negativo"</formula>
    </cfRule>
  </conditionalFormatting>
  <conditionalFormatting sqref="J7">
    <cfRule type="expression" dxfId="33" priority="12">
      <formula>$P$8="Negativo"</formula>
    </cfRule>
  </conditionalFormatting>
  <conditionalFormatting sqref="J8">
    <cfRule type="expression" dxfId="32" priority="11">
      <formula>$P$9="Negativo"</formula>
    </cfRule>
  </conditionalFormatting>
  <conditionalFormatting sqref="J9">
    <cfRule type="expression" dxfId="31" priority="10">
      <formula>$P$10="Negativo"</formula>
    </cfRule>
  </conditionalFormatting>
  <conditionalFormatting sqref="J10">
    <cfRule type="expression" dxfId="30" priority="9">
      <formula>$P$11="Negativo"</formula>
    </cfRule>
  </conditionalFormatting>
  <conditionalFormatting sqref="J11:J18">
    <cfRule type="expression" dxfId="29" priority="8">
      <formula>$P$12="Negativo"</formula>
    </cfRule>
  </conditionalFormatting>
  <dataValidations count="1">
    <dataValidation type="list" allowBlank="1" showInputMessage="1" showErrorMessage="1" sqref="F21">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orientation="portrait"/>
  <drawing r:id="rId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5" enableFormatConditionsCalculation="0"/>
  <dimension ref="A1:C100"/>
  <sheetViews>
    <sheetView showGridLines="0" zoomScale="90" zoomScaleNormal="90" zoomScalePageLayoutView="90" workbookViewId="0"/>
  </sheetViews>
  <sheetFormatPr baseColWidth="10" defaultColWidth="8.796875" defaultRowHeight="15" zeroHeight="1" x14ac:dyDescent="0.2"/>
  <cols>
    <col min="1" max="1" width="27.59765625" style="1" customWidth="1"/>
    <col min="2" max="2" width="3.796875" customWidth="1"/>
  </cols>
  <sheetData>
    <row r="1" spans="1:3" s="3" customFormat="1" ht="34" customHeight="1" x14ac:dyDescent="0.3">
      <c r="A1" s="130" t="s">
        <v>192</v>
      </c>
      <c r="C1" s="4" t="s">
        <v>31</v>
      </c>
    </row>
    <row r="2" spans="1:3" s="3" customFormat="1" ht="21.25" customHeight="1" x14ac:dyDescent="0.2">
      <c r="A2" s="1"/>
    </row>
    <row r="3" spans="1:3" s="3" customFormat="1" ht="21.25" customHeight="1" x14ac:dyDescent="0.2">
      <c r="A3" s="1"/>
    </row>
    <row r="4" spans="1:3" ht="30" customHeight="1" x14ac:dyDescent="0.2"/>
    <row r="5" spans="1:3" ht="30" customHeight="1" x14ac:dyDescent="0.2"/>
    <row r="6" spans="1:3" ht="30" customHeight="1" x14ac:dyDescent="0.2"/>
    <row r="7" spans="1:3" ht="30" customHeight="1" x14ac:dyDescent="0.2"/>
    <row r="8" spans="1:3" ht="30" customHeight="1" x14ac:dyDescent="0.2"/>
    <row r="9" spans="1:3" ht="30" customHeight="1" x14ac:dyDescent="0.2"/>
    <row r="10" spans="1:3" ht="30" customHeight="1" x14ac:dyDescent="0.2"/>
    <row r="11" spans="1:3" ht="30" customHeight="1" x14ac:dyDescent="0.2"/>
    <row r="12" spans="1:3" ht="30" customHeight="1" x14ac:dyDescent="0.2"/>
    <row r="13" spans="1:3" ht="30" customHeight="1" x14ac:dyDescent="0.2"/>
    <row r="14" spans="1:3" ht="30" customHeight="1" x14ac:dyDescent="0.2"/>
    <row r="15" spans="1:3" ht="30" customHeight="1" x14ac:dyDescent="0.2"/>
    <row r="16" spans="1:3" ht="30" customHeight="1" x14ac:dyDescent="0.2"/>
    <row r="17" ht="30" customHeight="1" x14ac:dyDescent="0.2"/>
    <row r="18" ht="30" customHeight="1" x14ac:dyDescent="0.2"/>
    <row r="19" ht="30" customHeight="1" x14ac:dyDescent="0.2"/>
    <row r="20" ht="30" customHeight="1" x14ac:dyDescent="0.2"/>
    <row r="21" ht="30" customHeight="1" x14ac:dyDescent="0.2"/>
    <row r="22" ht="30" customHeight="1" x14ac:dyDescent="0.2"/>
    <row r="23" ht="30" customHeight="1" x14ac:dyDescent="0.2"/>
    <row r="24" ht="30" customHeight="1" x14ac:dyDescent="0.2"/>
    <row r="25" ht="30" customHeight="1" x14ac:dyDescent="0.2"/>
    <row r="26" ht="30" customHeight="1" x14ac:dyDescent="0.2"/>
    <row r="27" ht="30" customHeight="1" x14ac:dyDescent="0.2"/>
    <row r="28" ht="30" customHeight="1" x14ac:dyDescent="0.2"/>
    <row r="29" ht="30" customHeight="1" x14ac:dyDescent="0.2"/>
    <row r="30" ht="30" customHeight="1" x14ac:dyDescent="0.2"/>
    <row r="31" ht="30" customHeight="1" x14ac:dyDescent="0.2"/>
    <row r="32"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sheetData>
  <sheetProtection sheet="1" objects="1" scenarios="1" selectLockedCells="1"/>
  <pageMargins left="0.511811024" right="0.511811024" top="0.78740157499999996" bottom="0.78740157499999996" header="0.31496062000000002" footer="0.31496062000000002"/>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6" enableFormatConditionsCalculation="0"/>
  <dimension ref="A1:AC102"/>
  <sheetViews>
    <sheetView showGridLines="0" zoomScale="90" zoomScaleNormal="90" zoomScalePageLayoutView="90" workbookViewId="0">
      <selection activeCell="F10" sqref="F10"/>
    </sheetView>
  </sheetViews>
  <sheetFormatPr baseColWidth="10" defaultColWidth="8.796875" defaultRowHeight="15" zeroHeight="1" x14ac:dyDescent="0.2"/>
  <cols>
    <col min="1" max="1" width="27.59765625" style="1" customWidth="1"/>
    <col min="2" max="2" width="3.796875" customWidth="1"/>
    <col min="3" max="3" width="0.796875" customWidth="1"/>
    <col min="4" max="4" width="13" customWidth="1"/>
    <col min="5" max="5" width="23.3984375" customWidth="1"/>
    <col min="6" max="6" width="54.59765625" customWidth="1"/>
    <col min="7" max="29" width="8.796875" style="2"/>
  </cols>
  <sheetData>
    <row r="1" spans="1:29" s="3" customFormat="1" ht="34" customHeight="1" x14ac:dyDescent="0.3">
      <c r="A1" s="130" t="s">
        <v>192</v>
      </c>
      <c r="C1" s="4" t="s">
        <v>32</v>
      </c>
      <c r="G1" s="22"/>
      <c r="H1" s="22"/>
      <c r="I1" s="22"/>
      <c r="J1" s="22"/>
      <c r="K1" s="22"/>
      <c r="L1" s="22"/>
      <c r="M1" s="22"/>
      <c r="N1" s="22"/>
      <c r="O1" s="22"/>
      <c r="P1" s="22"/>
      <c r="Q1" s="22"/>
      <c r="R1" s="22"/>
      <c r="S1" s="22"/>
      <c r="T1" s="22"/>
      <c r="U1" s="22"/>
      <c r="V1" s="22"/>
      <c r="W1" s="22"/>
      <c r="X1" s="22"/>
      <c r="Y1" s="22"/>
      <c r="Z1" s="22"/>
      <c r="AA1" s="22"/>
      <c r="AB1" s="22"/>
      <c r="AC1" s="22"/>
    </row>
    <row r="2" spans="1:29" s="3" customFormat="1" ht="21.25" customHeight="1" x14ac:dyDescent="0.2">
      <c r="A2" s="1"/>
      <c r="G2" s="22"/>
      <c r="H2" s="22"/>
      <c r="I2" s="22"/>
      <c r="J2" s="22"/>
      <c r="K2" s="22"/>
      <c r="L2" s="22"/>
      <c r="M2" s="22"/>
      <c r="N2" s="22"/>
      <c r="O2" s="22"/>
      <c r="P2" s="22"/>
      <c r="Q2" s="22"/>
      <c r="R2" s="22"/>
      <c r="S2" s="22"/>
      <c r="T2" s="22"/>
      <c r="U2" s="22"/>
      <c r="V2" s="22"/>
      <c r="W2" s="22"/>
      <c r="X2" s="22"/>
      <c r="Y2" s="22"/>
      <c r="Z2" s="22"/>
      <c r="AA2" s="22"/>
      <c r="AB2" s="22"/>
      <c r="AC2" s="22"/>
    </row>
    <row r="3" spans="1:29" s="3" customFormat="1" ht="21.25" customHeight="1" x14ac:dyDescent="0.2">
      <c r="A3" s="1"/>
      <c r="G3" s="22"/>
      <c r="H3" s="22"/>
      <c r="I3" s="22"/>
      <c r="J3" s="22"/>
      <c r="K3" s="22"/>
      <c r="L3" s="22"/>
      <c r="M3" s="22"/>
      <c r="N3" s="22"/>
      <c r="O3" s="22"/>
      <c r="P3" s="22"/>
      <c r="Q3" s="22"/>
      <c r="R3" s="22"/>
      <c r="S3" s="22"/>
      <c r="T3" s="22"/>
      <c r="U3" s="22"/>
      <c r="V3" s="22"/>
      <c r="W3" s="22"/>
      <c r="X3" s="22"/>
      <c r="Y3" s="22"/>
      <c r="Z3" s="22"/>
      <c r="AA3" s="22"/>
      <c r="AB3" s="22"/>
      <c r="AC3" s="22"/>
    </row>
    <row r="4" spans="1:29" ht="30" customHeight="1" x14ac:dyDescent="0.2">
      <c r="H4" s="2" t="s">
        <v>116</v>
      </c>
      <c r="I4" s="2" t="s">
        <v>118</v>
      </c>
      <c r="J4" s="2" t="s">
        <v>119</v>
      </c>
      <c r="K4" s="2" t="s">
        <v>120</v>
      </c>
      <c r="L4" s="2" t="s">
        <v>121</v>
      </c>
      <c r="M4" s="2" t="s">
        <v>122</v>
      </c>
      <c r="N4" s="2" t="s">
        <v>123</v>
      </c>
      <c r="O4" s="2" t="s">
        <v>124</v>
      </c>
      <c r="P4" s="2" t="s">
        <v>125</v>
      </c>
      <c r="Q4" s="2" t="s">
        <v>126</v>
      </c>
      <c r="R4" s="2" t="s">
        <v>127</v>
      </c>
      <c r="S4" s="2" t="s">
        <v>128</v>
      </c>
    </row>
    <row r="5" spans="1:29" ht="70" customHeight="1" x14ac:dyDescent="0.2">
      <c r="D5" s="77" t="str">
        <f>IF(T5&gt;0,"!",":)")</f>
        <v>:)</v>
      </c>
      <c r="E5" s="187" t="str">
        <f>IF(D5="!","Atenção! Em alguns meses foram utilizadas horas extras diárias que ultrapassam o limite permitido por lei (2 horas diárias). Isso significa que você pode estar comentendo erros e estar sujeito a possíveis punições aplicadas pela fiscalização.","Parabéns! Todos os seus meses estão confrme as leis trabalhistas contidas na CLT.")</f>
        <v>Parabéns! Todos os seus meses estão confrme as leis trabalhistas contidas na CLT.</v>
      </c>
      <c r="F5" s="187"/>
      <c r="H5" s="2">
        <f>Lanc!T25</f>
        <v>0</v>
      </c>
      <c r="I5" s="2">
        <f>Fev!T25</f>
        <v>0</v>
      </c>
      <c r="J5" s="2">
        <f>Mar!T25</f>
        <v>0</v>
      </c>
      <c r="K5" s="2">
        <f>Abr!T25</f>
        <v>0</v>
      </c>
      <c r="L5" s="2">
        <f>Mai!T25</f>
        <v>0</v>
      </c>
      <c r="M5" s="2">
        <f>Jun!T25</f>
        <v>0</v>
      </c>
      <c r="N5" s="2">
        <f>Jul!T25</f>
        <v>0</v>
      </c>
      <c r="O5" s="2">
        <f>Ago!T25</f>
        <v>0</v>
      </c>
      <c r="P5" s="2">
        <f>Set!T25</f>
        <v>0</v>
      </c>
      <c r="Q5" s="2">
        <f>Out!T25</f>
        <v>0</v>
      </c>
      <c r="R5" s="2">
        <f>Nov!T25</f>
        <v>0</v>
      </c>
      <c r="S5" s="2">
        <f>Dez!T25</f>
        <v>0</v>
      </c>
      <c r="T5" s="2">
        <f>SUM(H5:S5)</f>
        <v>0</v>
      </c>
    </row>
    <row r="6" spans="1:29" ht="7.75" customHeight="1" x14ac:dyDescent="0.2"/>
    <row r="7" spans="1:29" ht="69" customHeight="1" x14ac:dyDescent="0.2">
      <c r="D7" s="77" t="str">
        <f>IF(T7&gt;0,"!",":)")</f>
        <v>:)</v>
      </c>
      <c r="E7" s="188" t="str">
        <f>IF(D7=":)","Parabéns! Seu volume de horas extras está abaixo de 10% em cada mês.  Caso esse volume ultrapasse o percentual é o caso de pensar em novas contratações."," Você está ultrapassando 10% do volume de horas extras em algum mês. Pense em novas contratações. Assim, evitará custos excessivos aumentando o volume de horas disponíveis a um custo possivelmente inferior.")</f>
        <v>Parabéns! Seu volume de horas extras está abaixo de 10% em cada mês.  Caso esse volume ultrapasse o percentual é o caso de pensar em novas contratações.</v>
      </c>
      <c r="F7" s="188"/>
      <c r="H7" s="58">
        <f>Lanc!S5</f>
        <v>0</v>
      </c>
      <c r="I7" s="58">
        <f>Fev!S5</f>
        <v>0</v>
      </c>
      <c r="J7" s="58">
        <f>Mar!S5</f>
        <v>0</v>
      </c>
      <c r="K7" s="58">
        <f>Abr!S5</f>
        <v>0</v>
      </c>
      <c r="L7" s="58">
        <f>Mai!S5</f>
        <v>0</v>
      </c>
      <c r="M7" s="58">
        <f>Jun!S5</f>
        <v>0</v>
      </c>
      <c r="N7" s="58">
        <f>Jul!S5</f>
        <v>0</v>
      </c>
      <c r="O7" s="58">
        <f>Ago!S5</f>
        <v>0</v>
      </c>
      <c r="P7" s="58">
        <f>Set!S5</f>
        <v>0</v>
      </c>
      <c r="Q7" s="58">
        <f>Out!S5</f>
        <v>0</v>
      </c>
      <c r="R7" s="58">
        <f>Nov!S5</f>
        <v>0</v>
      </c>
      <c r="S7" s="58">
        <f>Dez!S5</f>
        <v>0</v>
      </c>
      <c r="T7" s="58">
        <f>SUM(H7:S7)</f>
        <v>0</v>
      </c>
    </row>
    <row r="8" spans="1:29" ht="30" customHeight="1" x14ac:dyDescent="0.2">
      <c r="G8" s="2" t="s">
        <v>206</v>
      </c>
      <c r="H8" s="2">
        <f>Resul!J67</f>
        <v>0</v>
      </c>
      <c r="I8" s="2">
        <f>Resul!K67</f>
        <v>0</v>
      </c>
      <c r="J8" s="2">
        <f>Resul!L67</f>
        <v>0</v>
      </c>
      <c r="K8" s="2">
        <f>Resul!M67</f>
        <v>0</v>
      </c>
      <c r="L8" s="2">
        <f>Resul!N67</f>
        <v>0</v>
      </c>
      <c r="M8" s="2">
        <f>Resul!O67</f>
        <v>0</v>
      </c>
      <c r="N8" s="2">
        <f>Resul!P67</f>
        <v>0</v>
      </c>
      <c r="O8" s="2">
        <f>Resul!Q67</f>
        <v>0</v>
      </c>
      <c r="P8" s="2">
        <f>Resul!R67</f>
        <v>0</v>
      </c>
      <c r="Q8" s="2">
        <f>Resul!S67</f>
        <v>0</v>
      </c>
      <c r="R8" s="2">
        <f>Resul!T67</f>
        <v>0</v>
      </c>
      <c r="S8" s="2">
        <f>Resul!U67</f>
        <v>0</v>
      </c>
    </row>
    <row r="9" spans="1:29" ht="30" customHeight="1" x14ac:dyDescent="0.25">
      <c r="D9" s="30" t="s">
        <v>130</v>
      </c>
      <c r="G9" s="2" t="s">
        <v>207</v>
      </c>
      <c r="H9" s="2">
        <f>Resul!J68</f>
        <v>0</v>
      </c>
      <c r="I9" s="2">
        <f>Resul!K68</f>
        <v>0</v>
      </c>
      <c r="J9" s="2">
        <f>Resul!L68</f>
        <v>0</v>
      </c>
      <c r="K9" s="2">
        <f>Resul!M68</f>
        <v>0</v>
      </c>
      <c r="L9" s="2">
        <f>Resul!N68</f>
        <v>0</v>
      </c>
      <c r="M9" s="2">
        <f>Resul!O68</f>
        <v>0</v>
      </c>
      <c r="N9" s="2">
        <f>Resul!P68</f>
        <v>0</v>
      </c>
      <c r="O9" s="2">
        <f>Resul!Q68</f>
        <v>0</v>
      </c>
      <c r="P9" s="2">
        <f>Resul!R68</f>
        <v>0</v>
      </c>
      <c r="Q9" s="2">
        <f>Resul!S68</f>
        <v>0</v>
      </c>
      <c r="R9" s="2">
        <f>Resul!T68</f>
        <v>0</v>
      </c>
      <c r="S9" s="2">
        <f>Resul!U68</f>
        <v>0</v>
      </c>
    </row>
    <row r="10" spans="1:29" ht="30" customHeight="1" x14ac:dyDescent="0.2">
      <c r="D10" s="189" t="s">
        <v>131</v>
      </c>
      <c r="E10" s="189"/>
      <c r="F10" s="78" t="s">
        <v>120</v>
      </c>
      <c r="H10" s="2">
        <f>SUM(Resul!J54:J58)</f>
        <v>0</v>
      </c>
      <c r="I10" s="2">
        <f>SUM(Resul!K54:K58)</f>
        <v>0</v>
      </c>
      <c r="J10" s="2">
        <f>SUM(Resul!L54:L58)</f>
        <v>0</v>
      </c>
      <c r="K10" s="2">
        <f>SUM(Resul!M54:M58)</f>
        <v>0</v>
      </c>
      <c r="L10" s="2">
        <f>SUM(Resul!N54:N58)</f>
        <v>0</v>
      </c>
      <c r="M10" s="2">
        <f>SUM(Resul!O54:O58)</f>
        <v>0</v>
      </c>
      <c r="N10" s="2">
        <f>SUM(Resul!P54:P58)</f>
        <v>0</v>
      </c>
      <c r="O10" s="2">
        <f>SUM(Resul!Q54:Q58)</f>
        <v>0</v>
      </c>
      <c r="P10" s="2">
        <f>SUM(Resul!R54:R58)</f>
        <v>0</v>
      </c>
      <c r="Q10" s="2">
        <f>SUM(Resul!S54:S58)</f>
        <v>0</v>
      </c>
      <c r="R10" s="2">
        <f>SUM(Resul!T54:T58)</f>
        <v>0</v>
      </c>
      <c r="S10" s="2">
        <f>SUM(Resul!U54:U58)</f>
        <v>0</v>
      </c>
    </row>
    <row r="11" spans="1:29" ht="7.75" customHeight="1" x14ac:dyDescent="0.2">
      <c r="H11" s="2">
        <f>SUM(Resul!J59,Resul!J60,Resul!J61,Resul!J62,Resul!J65)</f>
        <v>0</v>
      </c>
      <c r="I11" s="2">
        <f>SUM(Resul!K59,Resul!K60,Resul!K61,Resul!K62,Resul!K65)</f>
        <v>0</v>
      </c>
      <c r="J11" s="2">
        <f>SUM(Resul!L59,Resul!L60,Resul!L61,Resul!L62,Resul!L65)</f>
        <v>0</v>
      </c>
      <c r="K11" s="2">
        <f>SUM(Resul!M59,Resul!M60,Resul!M61,Resul!M62,Resul!M65)</f>
        <v>0</v>
      </c>
      <c r="L11" s="2">
        <f>SUM(Resul!N59,Resul!N60,Resul!N61,Resul!N62,Resul!N65)</f>
        <v>0</v>
      </c>
      <c r="M11" s="2">
        <f>SUM(Resul!O59,Resul!O60,Resul!O61,Resul!O62,Resul!O65)</f>
        <v>0</v>
      </c>
      <c r="N11" s="2">
        <f>SUM(Resul!P59,Resul!P60,Resul!P61,Resul!P62,Resul!P65)</f>
        <v>0</v>
      </c>
      <c r="O11" s="2">
        <f>SUM(Resul!Q59,Resul!Q60,Resul!Q61,Resul!Q62,Resul!Q65)</f>
        <v>0</v>
      </c>
      <c r="P11" s="2">
        <f>SUM(Resul!R59,Resul!R60,Resul!R61,Resul!R62,Resul!R65)</f>
        <v>0</v>
      </c>
      <c r="Q11" s="2">
        <f>SUM(Resul!S59,Resul!S60,Resul!S61,Resul!S62,Resul!S65)</f>
        <v>0</v>
      </c>
      <c r="R11" s="2">
        <f>SUM(Resul!T59,Resul!T60,Resul!T61,Resul!T62,Resul!T65)</f>
        <v>0</v>
      </c>
      <c r="S11" s="2">
        <f>SUM(Resul!U59,Resul!U60,Resul!U61,Resul!U62,Resul!U65)</f>
        <v>0</v>
      </c>
    </row>
    <row r="12" spans="1:29" ht="67.75" customHeight="1" x14ac:dyDescent="0.2">
      <c r="D12" s="77" t="str">
        <f>IF(HLOOKUP(F10,H4:S7,2,0)&gt;0,":)","!")</f>
        <v>!</v>
      </c>
      <c r="E12" s="188" t="str">
        <f>IF(HLOOKUP(F10,H4:S7,2,0)&gt;0,"Neste mês o volume diário de horas extras foi quebrado. Verifique irregularidades e mantenha sua empresa regular.","O mês está correto. Foi respeitado o número de horas extras limite. Continue assim para evitar problemas com a fiscalização.")</f>
        <v>O mês está correto. Foi respeitado o número de horas extras limite. Continue assim para evitar problemas com a fiscalização.</v>
      </c>
      <c r="F12" s="188"/>
    </row>
    <row r="13" spans="1:29" ht="7.75" customHeight="1" x14ac:dyDescent="0.2"/>
    <row r="14" spans="1:29" ht="69.25" customHeight="1" x14ac:dyDescent="0.2">
      <c r="D14" s="79" t="e">
        <f>HLOOKUP(F10,H4:S9,5,0)/(HLOOKUP(F10,H4:S9,6,0)-HLOOKUP(F10,H4:S9,5,0))</f>
        <v>#DIV/0!</v>
      </c>
      <c r="E14" s="188" t="e">
        <f>IF(D14&lt;10%,"Esse foi o percentual do salário bruto pago com horas extras. Parabéns! Seu percentual está abaixo dos 10%. Mantenha esse valor para todos os meses.","Seu percentual desse mês foi superior a 10%. Comece a ponderar sobre aumentar a equipe. Você conseguirá a hora extra por um custo muito menor.")</f>
        <v>#DIV/0!</v>
      </c>
      <c r="F14" s="188"/>
    </row>
    <row r="15" spans="1:29" ht="7.75" customHeight="1" x14ac:dyDescent="0.2"/>
    <row r="16" spans="1:29" ht="66.25" customHeight="1" x14ac:dyDescent="0.2">
      <c r="D16" s="77" t="str">
        <f>IF(HLOOKUP(F10,H4:S11,7,0)&gt;HLOOKUP(F10,H4:S11,8,0),":)","!")</f>
        <v>!</v>
      </c>
      <c r="E16" s="188" t="str">
        <f>IF(D16="!","Atenção! A maior parte das horas extras está distribuída em horas com custo elevado. Evite o adicional noturno, domingos, feriados e DSR.","Ok! A maior parte das suas horas extras está aplicada em dias comuns sem remuneração extra.")</f>
        <v>Atenção! A maior parte das horas extras está distribuída em horas com custo elevado. Evite o adicional noturno, domingos, feriados e DSR.</v>
      </c>
      <c r="F16" s="188"/>
    </row>
    <row r="17" ht="30" customHeight="1" x14ac:dyDescent="0.2"/>
    <row r="18" ht="30" customHeight="1" x14ac:dyDescent="0.2"/>
    <row r="19" ht="30" customHeight="1" x14ac:dyDescent="0.2"/>
    <row r="20" ht="30" customHeight="1" x14ac:dyDescent="0.2"/>
    <row r="21" ht="30" customHeight="1" x14ac:dyDescent="0.2"/>
    <row r="22" ht="30" customHeight="1" x14ac:dyDescent="0.2"/>
    <row r="23" ht="30" customHeight="1" x14ac:dyDescent="0.2"/>
    <row r="24" ht="30" customHeight="1" x14ac:dyDescent="0.2"/>
    <row r="25" ht="30" customHeight="1" x14ac:dyDescent="0.2"/>
    <row r="26" ht="30" customHeight="1" x14ac:dyDescent="0.2"/>
    <row r="27" ht="30" customHeight="1" x14ac:dyDescent="0.2"/>
    <row r="28" ht="30" customHeight="1" x14ac:dyDescent="0.2"/>
    <row r="29" ht="30" customHeight="1" x14ac:dyDescent="0.2"/>
    <row r="30" ht="30" customHeight="1" x14ac:dyDescent="0.2"/>
    <row r="31" ht="30" customHeight="1" x14ac:dyDescent="0.2"/>
    <row r="32"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row r="101" ht="30" customHeight="1" x14ac:dyDescent="0.2"/>
    <row r="102" ht="30" customHeight="1" x14ac:dyDescent="0.2"/>
  </sheetData>
  <sheetProtection sheet="1" objects="1" scenarios="1" selectLockedCells="1"/>
  <mergeCells count="6">
    <mergeCell ref="E5:F5"/>
    <mergeCell ref="E7:F7"/>
    <mergeCell ref="E12:F12"/>
    <mergeCell ref="E14:F14"/>
    <mergeCell ref="E16:F16"/>
    <mergeCell ref="D10:E10"/>
  </mergeCells>
  <conditionalFormatting sqref="D5">
    <cfRule type="containsText" dxfId="28" priority="9" operator="containsText" text=":)">
      <formula>NOT(ISERROR(SEARCH(":)",D5)))</formula>
    </cfRule>
    <cfRule type="containsText" dxfId="27" priority="10" operator="containsText" text="!">
      <formula>NOT(ISERROR(SEARCH("!",D5)))</formula>
    </cfRule>
  </conditionalFormatting>
  <conditionalFormatting sqref="D7">
    <cfRule type="containsText" dxfId="26" priority="7" operator="containsText" text=":)">
      <formula>NOT(ISERROR(SEARCH(":)",D7)))</formula>
    </cfRule>
    <cfRule type="containsText" dxfId="25" priority="8" operator="containsText" text="!">
      <formula>NOT(ISERROR(SEARCH("!",D7)))</formula>
    </cfRule>
  </conditionalFormatting>
  <conditionalFormatting sqref="D16">
    <cfRule type="containsText" dxfId="24" priority="1" operator="containsText" text=":)">
      <formula>NOT(ISERROR(SEARCH(":)",D16)))</formula>
    </cfRule>
    <cfRule type="containsText" dxfId="23" priority="2" operator="containsText" text="!">
      <formula>NOT(ISERROR(SEARCH("!",D16)))</formula>
    </cfRule>
  </conditionalFormatting>
  <conditionalFormatting sqref="D12">
    <cfRule type="containsText" dxfId="22" priority="5" operator="containsText" text=":)">
      <formula>NOT(ISERROR(SEARCH(":)",D12)))</formula>
    </cfRule>
    <cfRule type="containsText" dxfId="21" priority="6" operator="containsText" text="!">
      <formula>NOT(ISERROR(SEARCH("!",D12)))</formula>
    </cfRule>
  </conditionalFormatting>
  <conditionalFormatting sqref="D14">
    <cfRule type="cellIs" dxfId="20" priority="3" operator="greaterThanOrEqual">
      <formula>0.1</formula>
    </cfRule>
    <cfRule type="cellIs" dxfId="19" priority="4" operator="lessThan">
      <formula>0.1</formula>
    </cfRule>
  </conditionalFormatting>
  <dataValidations count="1">
    <dataValidation type="list" allowBlank="1" showInputMessage="1" showErrorMessage="1" sqref="F10">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orientation="portrait"/>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7" enableFormatConditionsCalculation="0">
    <pageSetUpPr fitToPage="1"/>
  </sheetPr>
  <dimension ref="A1:P218"/>
  <sheetViews>
    <sheetView showGridLines="0" zoomScale="90" zoomScaleNormal="90" zoomScalePageLayoutView="90" workbookViewId="0"/>
  </sheetViews>
  <sheetFormatPr baseColWidth="10" defaultColWidth="8.796875" defaultRowHeight="15" customHeight="1" x14ac:dyDescent="0.2"/>
  <cols>
    <col min="1" max="1" width="27.59765625" style="1" customWidth="1"/>
    <col min="2" max="2" width="3.796875" customWidth="1"/>
    <col min="3" max="3" width="12" customWidth="1"/>
    <col min="4" max="8" width="15.59765625" customWidth="1"/>
    <col min="9" max="9" width="17.59765625" customWidth="1"/>
    <col min="10" max="11" width="15.59765625" customWidth="1"/>
    <col min="12" max="12" width="18.19921875" customWidth="1"/>
  </cols>
  <sheetData>
    <row r="1" spans="1:16" s="3" customFormat="1" ht="34" customHeight="1" x14ac:dyDescent="0.3">
      <c r="A1" s="130" t="s">
        <v>192</v>
      </c>
      <c r="C1" s="4" t="s">
        <v>33</v>
      </c>
    </row>
    <row r="2" spans="1:16" s="3" customFormat="1" ht="21.25" customHeight="1" x14ac:dyDescent="0.2">
      <c r="A2" s="1"/>
    </row>
    <row r="3" spans="1:16" s="3" customFormat="1" ht="21.25" customHeight="1" x14ac:dyDescent="0.2">
      <c r="A3" s="1"/>
    </row>
    <row r="4" spans="1:16" ht="30" customHeight="1" x14ac:dyDescent="0.2"/>
    <row r="5" spans="1:16" ht="47" x14ac:dyDescent="0.2">
      <c r="C5" s="35" t="s">
        <v>132</v>
      </c>
      <c r="D5" s="35"/>
      <c r="E5" s="35"/>
      <c r="F5" s="35"/>
      <c r="G5" s="35"/>
      <c r="H5" s="35"/>
      <c r="I5" s="35"/>
      <c r="J5" s="35"/>
      <c r="K5" s="35"/>
      <c r="L5" s="35"/>
      <c r="M5" s="35"/>
    </row>
    <row r="6" spans="1:16" ht="96" customHeight="1" x14ac:dyDescent="0.2">
      <c r="C6" s="196" t="s">
        <v>137</v>
      </c>
      <c r="D6" s="196"/>
      <c r="E6" s="196"/>
      <c r="F6" s="196"/>
      <c r="G6" s="196"/>
      <c r="H6" s="196"/>
      <c r="I6" s="196"/>
      <c r="J6" s="196"/>
      <c r="K6" s="31"/>
      <c r="L6" s="31"/>
      <c r="M6" s="31"/>
      <c r="N6" s="31"/>
      <c r="O6" s="31"/>
      <c r="P6" s="31"/>
    </row>
    <row r="7" spans="1:16" ht="47" x14ac:dyDescent="0.25">
      <c r="C7" s="32" t="s">
        <v>135</v>
      </c>
      <c r="D7" s="31"/>
      <c r="E7" s="31"/>
      <c r="F7" s="31"/>
      <c r="G7" s="31"/>
      <c r="H7" s="31"/>
      <c r="I7" s="31"/>
      <c r="J7" s="31"/>
      <c r="K7" s="31"/>
      <c r="L7" s="31"/>
      <c r="M7" s="31"/>
      <c r="N7" s="31"/>
      <c r="O7" s="31"/>
      <c r="P7" s="31"/>
    </row>
    <row r="8" spans="1:16" ht="61.75" customHeight="1" x14ac:dyDescent="0.2">
      <c r="C8" s="77" t="str">
        <f>Ale!D5</f>
        <v>:)</v>
      </c>
      <c r="D8" s="187" t="str">
        <f>Ale!E5</f>
        <v>Parabéns! Todos os seus meses estão confrme as leis trabalhistas contidas na CLT.</v>
      </c>
      <c r="E8" s="187"/>
      <c r="F8" s="187"/>
      <c r="G8" s="187"/>
      <c r="H8" s="187"/>
      <c r="I8" s="187"/>
      <c r="J8" s="31"/>
      <c r="K8" s="31"/>
      <c r="L8" s="31"/>
      <c r="M8" s="31"/>
      <c r="N8" s="31"/>
      <c r="O8" s="31"/>
      <c r="P8" s="31"/>
    </row>
    <row r="9" spans="1:16" ht="7.75" customHeight="1" x14ac:dyDescent="0.2">
      <c r="F9" s="31"/>
      <c r="G9" s="31"/>
      <c r="H9" s="31"/>
      <c r="I9" s="31"/>
      <c r="J9" s="31"/>
      <c r="K9" s="31"/>
      <c r="L9" s="31"/>
      <c r="M9" s="31"/>
      <c r="N9" s="31"/>
      <c r="O9" s="31"/>
      <c r="P9" s="31"/>
    </row>
    <row r="10" spans="1:16" ht="63" customHeight="1" x14ac:dyDescent="0.2">
      <c r="C10" s="80" t="str">
        <f>Ale!D7</f>
        <v>:)</v>
      </c>
      <c r="D10" s="187" t="str">
        <f>Ale!E7</f>
        <v>Parabéns! Seu volume de horas extras está abaixo de 10% em cada mês.  Caso esse volume ultrapasse o percentual é o caso de pensar em novas contratações.</v>
      </c>
      <c r="E10" s="187"/>
      <c r="F10" s="187"/>
      <c r="G10" s="187"/>
      <c r="H10" s="187"/>
      <c r="I10" s="187"/>
      <c r="J10" s="31"/>
      <c r="K10" s="31"/>
      <c r="L10" s="31"/>
      <c r="M10" s="31"/>
      <c r="N10" s="31"/>
      <c r="O10" s="31"/>
      <c r="P10" s="31"/>
    </row>
    <row r="11" spans="1:16" ht="30" customHeight="1" x14ac:dyDescent="0.2"/>
    <row r="12" spans="1:16" ht="30" customHeight="1" x14ac:dyDescent="0.25">
      <c r="C12" s="32" t="s">
        <v>133</v>
      </c>
    </row>
    <row r="13" spans="1:16" ht="30" customHeight="1" x14ac:dyDescent="0.2">
      <c r="C13" s="59" t="s">
        <v>97</v>
      </c>
      <c r="D13" s="73" t="str">
        <f>Resul!D6</f>
        <v>Valor Homem-Hora</v>
      </c>
      <c r="E13" s="73" t="str">
        <f>Resul!F6</f>
        <v>Horas  Trabalhadas</v>
      </c>
      <c r="F13" s="73" t="str">
        <f>Resul!G6</f>
        <v>Horas Extras</v>
      </c>
      <c r="G13" s="73" t="str">
        <f>Resul!H6</f>
        <v>Horas Devidas</v>
      </c>
      <c r="H13" s="73" t="str">
        <f>Resul!J6</f>
        <v>Banco de Horas_x000D_Final do Mês</v>
      </c>
      <c r="I13" s="73" t="str">
        <f>Resul!M6</f>
        <v>Valor de Descontos por Horas Devidas</v>
      </c>
      <c r="J13" s="73" t="str">
        <f>Resul!K6</f>
        <v>Salário Base_x000D_(sem hora extra)</v>
      </c>
      <c r="K13" s="73" t="str">
        <f>Resul!L6</f>
        <v>Valor de Horas Extras</v>
      </c>
      <c r="L13" s="125" t="str">
        <f>Resul!N6</f>
        <v>Salário com Valor das Horas Extras</v>
      </c>
    </row>
    <row r="14" spans="1:16" ht="30" customHeight="1" x14ac:dyDescent="0.2">
      <c r="C14" s="59" t="s">
        <v>84</v>
      </c>
      <c r="D14" s="74">
        <f>Resul!D7</f>
        <v>0</v>
      </c>
      <c r="E14" s="76">
        <f>Resul!F7</f>
        <v>0</v>
      </c>
      <c r="F14" s="76">
        <f>Resul!G7</f>
        <v>0</v>
      </c>
      <c r="G14" s="76">
        <f>Resul!H7</f>
        <v>0</v>
      </c>
      <c r="H14" s="76">
        <f>Resul!J7</f>
        <v>0</v>
      </c>
      <c r="I14" s="74">
        <f>Resul!M7</f>
        <v>0</v>
      </c>
      <c r="J14" s="74">
        <f>Resul!K7</f>
        <v>0</v>
      </c>
      <c r="K14" s="74">
        <f>Resul!L7</f>
        <v>0</v>
      </c>
      <c r="L14" s="74">
        <f>Resul!N7</f>
        <v>0</v>
      </c>
    </row>
    <row r="15" spans="1:16" ht="30" customHeight="1" x14ac:dyDescent="0.2">
      <c r="C15" s="59" t="s">
        <v>85</v>
      </c>
      <c r="D15" s="74">
        <f>Resul!D8</f>
        <v>0</v>
      </c>
      <c r="E15" s="76">
        <f>Resul!F8</f>
        <v>0</v>
      </c>
      <c r="F15" s="76">
        <f>Resul!G8</f>
        <v>0</v>
      </c>
      <c r="G15" s="76">
        <f>Resul!H8</f>
        <v>0</v>
      </c>
      <c r="H15" s="76">
        <f>Resul!J8</f>
        <v>0</v>
      </c>
      <c r="I15" s="74">
        <f>Resul!M8</f>
        <v>0</v>
      </c>
      <c r="J15" s="74">
        <f>Resul!K8</f>
        <v>0</v>
      </c>
      <c r="K15" s="74">
        <f>Resul!L8</f>
        <v>0</v>
      </c>
      <c r="L15" s="74">
        <f>Resul!N8</f>
        <v>0</v>
      </c>
    </row>
    <row r="16" spans="1:16" ht="30" customHeight="1" x14ac:dyDescent="0.2">
      <c r="C16" s="59" t="s">
        <v>86</v>
      </c>
      <c r="D16" s="74">
        <f>Resul!D9</f>
        <v>0</v>
      </c>
      <c r="E16" s="76">
        <f>Resul!F9</f>
        <v>0</v>
      </c>
      <c r="F16" s="76">
        <f>Resul!G9</f>
        <v>0</v>
      </c>
      <c r="G16" s="76">
        <f>Resul!H9</f>
        <v>0</v>
      </c>
      <c r="H16" s="76">
        <f>Resul!J9</f>
        <v>0</v>
      </c>
      <c r="I16" s="74">
        <f>Resul!M9</f>
        <v>0</v>
      </c>
      <c r="J16" s="74">
        <f>Resul!K9</f>
        <v>0</v>
      </c>
      <c r="K16" s="74">
        <f>Resul!L9</f>
        <v>0</v>
      </c>
      <c r="L16" s="74">
        <f>Resul!N9</f>
        <v>0</v>
      </c>
    </row>
    <row r="17" spans="3:12" ht="30" customHeight="1" x14ac:dyDescent="0.2">
      <c r="C17" s="59" t="s">
        <v>87</v>
      </c>
      <c r="D17" s="74">
        <f>Resul!D10</f>
        <v>0</v>
      </c>
      <c r="E17" s="76">
        <f>Resul!F10</f>
        <v>0</v>
      </c>
      <c r="F17" s="76">
        <f>Resul!G10</f>
        <v>0</v>
      </c>
      <c r="G17" s="76">
        <f>Resul!H10</f>
        <v>0</v>
      </c>
      <c r="H17" s="76">
        <f>Resul!J10</f>
        <v>0</v>
      </c>
      <c r="I17" s="74">
        <f>Resul!M10</f>
        <v>0</v>
      </c>
      <c r="J17" s="74">
        <f>Resul!K10</f>
        <v>0</v>
      </c>
      <c r="K17" s="74">
        <f>Resul!L10</f>
        <v>0</v>
      </c>
      <c r="L17" s="74">
        <f>Resul!N10</f>
        <v>0</v>
      </c>
    </row>
    <row r="18" spans="3:12" ht="30" customHeight="1" x14ac:dyDescent="0.2">
      <c r="C18" s="59" t="s">
        <v>88</v>
      </c>
      <c r="D18" s="74">
        <f>Resul!D11</f>
        <v>0</v>
      </c>
      <c r="E18" s="76">
        <f>Resul!F11</f>
        <v>0</v>
      </c>
      <c r="F18" s="76">
        <f>Resul!G11</f>
        <v>0</v>
      </c>
      <c r="G18" s="76">
        <f>Resul!H11</f>
        <v>0</v>
      </c>
      <c r="H18" s="76">
        <f>Resul!J11</f>
        <v>0</v>
      </c>
      <c r="I18" s="74">
        <f>Resul!M11</f>
        <v>0</v>
      </c>
      <c r="J18" s="74">
        <f>Resul!K11</f>
        <v>0</v>
      </c>
      <c r="K18" s="74">
        <f>Resul!L11</f>
        <v>0</v>
      </c>
      <c r="L18" s="74">
        <f>Resul!N11</f>
        <v>0</v>
      </c>
    </row>
    <row r="19" spans="3:12" ht="30" customHeight="1" x14ac:dyDescent="0.2">
      <c r="C19" s="59" t="s">
        <v>89</v>
      </c>
      <c r="D19" s="74">
        <f>Resul!D12</f>
        <v>0</v>
      </c>
      <c r="E19" s="76">
        <f>Resul!F12</f>
        <v>0</v>
      </c>
      <c r="F19" s="76">
        <f>Resul!G12</f>
        <v>0</v>
      </c>
      <c r="G19" s="76">
        <f>Resul!H12</f>
        <v>0</v>
      </c>
      <c r="H19" s="76">
        <f>Resul!J12</f>
        <v>0</v>
      </c>
      <c r="I19" s="74">
        <f>Resul!M12</f>
        <v>0</v>
      </c>
      <c r="J19" s="74">
        <f>Resul!K12</f>
        <v>0</v>
      </c>
      <c r="K19" s="74">
        <f>Resul!L12</f>
        <v>0</v>
      </c>
      <c r="L19" s="74">
        <f>Resul!N12</f>
        <v>0</v>
      </c>
    </row>
    <row r="20" spans="3:12" ht="30" customHeight="1" x14ac:dyDescent="0.2">
      <c r="C20" s="59" t="s">
        <v>90</v>
      </c>
      <c r="D20" s="74">
        <f>Resul!D13</f>
        <v>0</v>
      </c>
      <c r="E20" s="76">
        <f>Resul!F13</f>
        <v>0</v>
      </c>
      <c r="F20" s="76">
        <f>Resul!G13</f>
        <v>0</v>
      </c>
      <c r="G20" s="76">
        <f>Resul!H13</f>
        <v>0</v>
      </c>
      <c r="H20" s="76">
        <f>Resul!J13</f>
        <v>0</v>
      </c>
      <c r="I20" s="74">
        <f>Resul!M13</f>
        <v>0</v>
      </c>
      <c r="J20" s="74">
        <f>Resul!K13</f>
        <v>0</v>
      </c>
      <c r="K20" s="74">
        <f>Resul!L13</f>
        <v>0</v>
      </c>
      <c r="L20" s="74">
        <f>Resul!N13</f>
        <v>0</v>
      </c>
    </row>
    <row r="21" spans="3:12" ht="30" customHeight="1" x14ac:dyDescent="0.2">
      <c r="C21" s="59" t="s">
        <v>91</v>
      </c>
      <c r="D21" s="74">
        <f>Resul!D14</f>
        <v>0</v>
      </c>
      <c r="E21" s="76">
        <f>Resul!F14</f>
        <v>0</v>
      </c>
      <c r="F21" s="76">
        <f>Resul!G14</f>
        <v>0</v>
      </c>
      <c r="G21" s="76">
        <f>Resul!H14</f>
        <v>0</v>
      </c>
      <c r="H21" s="76">
        <f>Resul!J14</f>
        <v>0</v>
      </c>
      <c r="I21" s="74">
        <f>Resul!M14</f>
        <v>0</v>
      </c>
      <c r="J21" s="74">
        <f>Resul!K14</f>
        <v>0</v>
      </c>
      <c r="K21" s="74">
        <f>Resul!L14</f>
        <v>0</v>
      </c>
      <c r="L21" s="74">
        <f>Resul!N14</f>
        <v>0</v>
      </c>
    </row>
    <row r="22" spans="3:12" ht="30" customHeight="1" x14ac:dyDescent="0.2">
      <c r="C22" s="59" t="s">
        <v>92</v>
      </c>
      <c r="D22" s="74">
        <f>Resul!D15</f>
        <v>0</v>
      </c>
      <c r="E22" s="76">
        <f>Resul!F15</f>
        <v>0</v>
      </c>
      <c r="F22" s="76">
        <f>Resul!G15</f>
        <v>0</v>
      </c>
      <c r="G22" s="76">
        <f>Resul!H15</f>
        <v>0</v>
      </c>
      <c r="H22" s="76">
        <f>Resul!J15</f>
        <v>0</v>
      </c>
      <c r="I22" s="74">
        <f>Resul!M15</f>
        <v>0</v>
      </c>
      <c r="J22" s="74">
        <f>Resul!K15</f>
        <v>0</v>
      </c>
      <c r="K22" s="74">
        <f>Resul!L15</f>
        <v>0</v>
      </c>
      <c r="L22" s="74">
        <f>Resul!N15</f>
        <v>0</v>
      </c>
    </row>
    <row r="23" spans="3:12" ht="30" customHeight="1" x14ac:dyDescent="0.2">
      <c r="C23" s="59" t="s">
        <v>93</v>
      </c>
      <c r="D23" s="74">
        <f>Resul!D16</f>
        <v>0</v>
      </c>
      <c r="E23" s="76">
        <f>Resul!F16</f>
        <v>0</v>
      </c>
      <c r="F23" s="76">
        <f>Resul!G16</f>
        <v>0</v>
      </c>
      <c r="G23" s="76">
        <f>Resul!H16</f>
        <v>0</v>
      </c>
      <c r="H23" s="76">
        <f>Resul!J16</f>
        <v>0</v>
      </c>
      <c r="I23" s="74">
        <f>Resul!M16</f>
        <v>0</v>
      </c>
      <c r="J23" s="74">
        <f>Resul!K16</f>
        <v>0</v>
      </c>
      <c r="K23" s="74">
        <f>Resul!L16</f>
        <v>0</v>
      </c>
      <c r="L23" s="74">
        <f>Resul!N16</f>
        <v>0</v>
      </c>
    </row>
    <row r="24" spans="3:12" ht="30" customHeight="1" x14ac:dyDescent="0.2">
      <c r="C24" s="59" t="s">
        <v>94</v>
      </c>
      <c r="D24" s="74">
        <f>Resul!D17</f>
        <v>0</v>
      </c>
      <c r="E24" s="76">
        <f>Resul!F17</f>
        <v>0</v>
      </c>
      <c r="F24" s="76">
        <f>Resul!G17</f>
        <v>0</v>
      </c>
      <c r="G24" s="76">
        <f>Resul!H17</f>
        <v>0</v>
      </c>
      <c r="H24" s="76">
        <f>Resul!J17</f>
        <v>0</v>
      </c>
      <c r="I24" s="74">
        <f>Resul!M17</f>
        <v>0</v>
      </c>
      <c r="J24" s="74">
        <f>Resul!K17</f>
        <v>0</v>
      </c>
      <c r="K24" s="74">
        <f>Resul!L17</f>
        <v>0</v>
      </c>
      <c r="L24" s="74">
        <f>Resul!N17</f>
        <v>0</v>
      </c>
    </row>
    <row r="25" spans="3:12" ht="30" customHeight="1" x14ac:dyDescent="0.2">
      <c r="C25" s="59" t="s">
        <v>95</v>
      </c>
      <c r="D25" s="74">
        <f>Resul!D18</f>
        <v>0</v>
      </c>
      <c r="E25" s="76">
        <f>Resul!F18</f>
        <v>0</v>
      </c>
      <c r="F25" s="76">
        <f>Resul!G18</f>
        <v>0</v>
      </c>
      <c r="G25" s="76">
        <f>Resul!H18</f>
        <v>0</v>
      </c>
      <c r="H25" s="76">
        <f>Resul!J18</f>
        <v>0</v>
      </c>
      <c r="I25" s="74">
        <f>Resul!M18</f>
        <v>0</v>
      </c>
      <c r="J25" s="74">
        <f>Resul!K18</f>
        <v>0</v>
      </c>
      <c r="K25" s="74">
        <f>Resul!L18</f>
        <v>0</v>
      </c>
      <c r="L25" s="74">
        <f>Resul!N18</f>
        <v>0</v>
      </c>
    </row>
    <row r="26" spans="3:12" ht="30" customHeight="1" x14ac:dyDescent="0.2"/>
    <row r="27" spans="3:12" ht="30" customHeight="1" x14ac:dyDescent="0.25">
      <c r="C27" s="32" t="s">
        <v>134</v>
      </c>
    </row>
    <row r="28" spans="3:12" ht="15" customHeight="1" x14ac:dyDescent="0.2">
      <c r="C28" s="190" t="s">
        <v>97</v>
      </c>
      <c r="D28" s="191"/>
      <c r="E28" s="191"/>
      <c r="F28" s="81" t="s">
        <v>116</v>
      </c>
      <c r="H28" s="190" t="s">
        <v>97</v>
      </c>
      <c r="I28" s="191"/>
      <c r="J28" s="191"/>
      <c r="K28" s="81" t="s">
        <v>118</v>
      </c>
    </row>
    <row r="29" spans="3:12" ht="15" customHeight="1" x14ac:dyDescent="0.2">
      <c r="C29" s="82"/>
      <c r="D29" s="33"/>
      <c r="E29" s="33"/>
      <c r="F29" s="83"/>
      <c r="H29" s="82"/>
      <c r="I29" s="33"/>
      <c r="J29" s="33"/>
      <c r="K29" s="83"/>
    </row>
    <row r="30" spans="3:12" ht="15" customHeight="1" x14ac:dyDescent="0.2">
      <c r="C30" s="192" t="s">
        <v>101</v>
      </c>
      <c r="D30" s="193"/>
      <c r="E30" s="193"/>
      <c r="F30" s="84">
        <f>HLOOKUP(F28,Resul!$I$53:$U$68,2,0)</f>
        <v>0</v>
      </c>
      <c r="H30" s="192" t="s">
        <v>101</v>
      </c>
      <c r="I30" s="193"/>
      <c r="J30" s="193"/>
      <c r="K30" s="84">
        <f>HLOOKUP(K28,Resul!$I$53:$U$68,2,0)</f>
        <v>0</v>
      </c>
    </row>
    <row r="31" spans="3:12" ht="15" customHeight="1" x14ac:dyDescent="0.2">
      <c r="C31" s="82"/>
      <c r="D31" s="33"/>
      <c r="E31" s="33"/>
      <c r="F31" s="83"/>
      <c r="H31" s="82"/>
      <c r="I31" s="33"/>
      <c r="J31" s="33"/>
      <c r="K31" s="83"/>
    </row>
    <row r="32" spans="3:12" ht="15" customHeight="1" x14ac:dyDescent="0.2">
      <c r="C32" s="192" t="s">
        <v>102</v>
      </c>
      <c r="D32" s="193"/>
      <c r="E32" s="193"/>
      <c r="F32" s="84">
        <f>HLOOKUP(F28,Resul!$I$53:$U$68,3,0)</f>
        <v>0</v>
      </c>
      <c r="H32" s="192" t="s">
        <v>102</v>
      </c>
      <c r="I32" s="193"/>
      <c r="J32" s="193"/>
      <c r="K32" s="84">
        <f>HLOOKUP(K28,Resul!$I$53:$U$68,3,0)</f>
        <v>0</v>
      </c>
    </row>
    <row r="33" spans="3:11" ht="15" customHeight="1" x14ac:dyDescent="0.2">
      <c r="C33" s="82"/>
      <c r="D33" s="33"/>
      <c r="E33" s="33"/>
      <c r="F33" s="83"/>
      <c r="H33" s="82"/>
      <c r="I33" s="33"/>
      <c r="J33" s="33"/>
      <c r="K33" s="83"/>
    </row>
    <row r="34" spans="3:11" ht="15" customHeight="1" x14ac:dyDescent="0.2">
      <c r="C34" s="192" t="s">
        <v>103</v>
      </c>
      <c r="D34" s="193"/>
      <c r="E34" s="193"/>
      <c r="F34" s="84">
        <f>HLOOKUP(F28,Resul!$I$53:$U$68,4,0)</f>
        <v>0</v>
      </c>
      <c r="H34" s="192" t="s">
        <v>103</v>
      </c>
      <c r="I34" s="193"/>
      <c r="J34" s="193"/>
      <c r="K34" s="84">
        <f>HLOOKUP(K28,Resul!$I$53:$U$68,4,0)</f>
        <v>0</v>
      </c>
    </row>
    <row r="35" spans="3:11" ht="15" customHeight="1" x14ac:dyDescent="0.2">
      <c r="C35" s="82"/>
      <c r="D35" s="33"/>
      <c r="E35" s="33"/>
      <c r="F35" s="83"/>
      <c r="H35" s="82"/>
      <c r="I35" s="33"/>
      <c r="J35" s="33"/>
      <c r="K35" s="83"/>
    </row>
    <row r="36" spans="3:11" ht="15" customHeight="1" x14ac:dyDescent="0.2">
      <c r="C36" s="192" t="s">
        <v>104</v>
      </c>
      <c r="D36" s="193"/>
      <c r="E36" s="193"/>
      <c r="F36" s="84">
        <f>HLOOKUP(F28,Resul!$I$53:$U$68,5,0)</f>
        <v>0</v>
      </c>
      <c r="H36" s="192" t="s">
        <v>104</v>
      </c>
      <c r="I36" s="193"/>
      <c r="J36" s="193"/>
      <c r="K36" s="84">
        <f>HLOOKUP(K28,Resul!$I$53:$U$68,5,0)</f>
        <v>0</v>
      </c>
    </row>
    <row r="37" spans="3:11" ht="15" customHeight="1" x14ac:dyDescent="0.2">
      <c r="C37" s="82"/>
      <c r="D37" s="33"/>
      <c r="E37" s="33"/>
      <c r="F37" s="83"/>
      <c r="H37" s="82"/>
      <c r="I37" s="33"/>
      <c r="J37" s="33"/>
      <c r="K37" s="83"/>
    </row>
    <row r="38" spans="3:11" ht="15" customHeight="1" x14ac:dyDescent="0.2">
      <c r="C38" s="192" t="s">
        <v>105</v>
      </c>
      <c r="D38" s="193"/>
      <c r="E38" s="193"/>
      <c r="F38" s="84">
        <f>HLOOKUP(F28,Resul!$I$53:$U$68,6,0)</f>
        <v>0</v>
      </c>
      <c r="H38" s="192" t="s">
        <v>105</v>
      </c>
      <c r="I38" s="193"/>
      <c r="J38" s="193"/>
      <c r="K38" s="84">
        <f>HLOOKUP(K28,Resul!$I$53:$U$68,6,0)</f>
        <v>0</v>
      </c>
    </row>
    <row r="39" spans="3:11" ht="15" customHeight="1" x14ac:dyDescent="0.2">
      <c r="C39" s="82"/>
      <c r="D39" s="33"/>
      <c r="E39" s="33"/>
      <c r="F39" s="83"/>
      <c r="H39" s="82"/>
      <c r="I39" s="33"/>
      <c r="J39" s="33"/>
      <c r="K39" s="83"/>
    </row>
    <row r="40" spans="3:11" ht="15" customHeight="1" x14ac:dyDescent="0.2">
      <c r="C40" s="192" t="s">
        <v>108</v>
      </c>
      <c r="D40" s="193"/>
      <c r="E40" s="193"/>
      <c r="F40" s="84">
        <f>HLOOKUP(F28,Resul!$I$53:$U$68,7,0)</f>
        <v>0</v>
      </c>
      <c r="H40" s="192" t="s">
        <v>108</v>
      </c>
      <c r="I40" s="193"/>
      <c r="J40" s="193"/>
      <c r="K40" s="84">
        <f>HLOOKUP(K28,Resul!$I$53:$U$68,7,0)</f>
        <v>0</v>
      </c>
    </row>
    <row r="41" spans="3:11" ht="15" customHeight="1" x14ac:dyDescent="0.2">
      <c r="C41" s="82"/>
      <c r="D41" s="33"/>
      <c r="E41" s="33"/>
      <c r="F41" s="83"/>
      <c r="H41" s="82"/>
      <c r="I41" s="33"/>
      <c r="J41" s="33"/>
      <c r="K41" s="83"/>
    </row>
    <row r="42" spans="3:11" ht="15" customHeight="1" x14ac:dyDescent="0.2">
      <c r="C42" s="192" t="s">
        <v>107</v>
      </c>
      <c r="D42" s="193"/>
      <c r="E42" s="193"/>
      <c r="F42" s="84">
        <f>HLOOKUP(F28,Resul!$I$53:$U$68,8,0)</f>
        <v>0</v>
      </c>
      <c r="H42" s="192" t="s">
        <v>107</v>
      </c>
      <c r="I42" s="193"/>
      <c r="J42" s="193"/>
      <c r="K42" s="84">
        <f>HLOOKUP(K28,Resul!$I$53:$U$68,8,0)</f>
        <v>0</v>
      </c>
    </row>
    <row r="43" spans="3:11" ht="15" customHeight="1" x14ac:dyDescent="0.2">
      <c r="C43" s="82"/>
      <c r="D43" s="33"/>
      <c r="E43" s="33"/>
      <c r="F43" s="83"/>
      <c r="H43" s="82"/>
      <c r="I43" s="33"/>
      <c r="J43" s="33"/>
      <c r="K43" s="83"/>
    </row>
    <row r="44" spans="3:11" ht="15" customHeight="1" x14ac:dyDescent="0.2">
      <c r="C44" s="192" t="s">
        <v>106</v>
      </c>
      <c r="D44" s="193"/>
      <c r="E44" s="193"/>
      <c r="F44" s="84">
        <f>HLOOKUP(F28,Resul!$I$53:$U$68,9,0)</f>
        <v>0</v>
      </c>
      <c r="H44" s="192" t="s">
        <v>106</v>
      </c>
      <c r="I44" s="193"/>
      <c r="J44" s="193"/>
      <c r="K44" s="84">
        <f>HLOOKUP(K28,Resul!$I$53:$U$68,9,0)</f>
        <v>0</v>
      </c>
    </row>
    <row r="45" spans="3:11" ht="15" customHeight="1" x14ac:dyDescent="0.2">
      <c r="C45" s="82"/>
      <c r="D45" s="33"/>
      <c r="E45" s="33"/>
      <c r="F45" s="83"/>
      <c r="H45" s="82"/>
      <c r="I45" s="33"/>
      <c r="J45" s="33"/>
      <c r="K45" s="83"/>
    </row>
    <row r="46" spans="3:11" ht="15" customHeight="1" x14ac:dyDescent="0.2">
      <c r="C46" s="192" t="s">
        <v>109</v>
      </c>
      <c r="D46" s="193"/>
      <c r="E46" s="193"/>
      <c r="F46" s="84">
        <f>HLOOKUP(F28,Resul!$I$53:$U$68,10,0)</f>
        <v>0</v>
      </c>
      <c r="H46" s="192" t="s">
        <v>109</v>
      </c>
      <c r="I46" s="193"/>
      <c r="J46" s="193"/>
      <c r="K46" s="84">
        <f>HLOOKUP(K28,Resul!$I$53:$U$68,10,0)</f>
        <v>0</v>
      </c>
    </row>
    <row r="47" spans="3:11" ht="15" customHeight="1" x14ac:dyDescent="0.2">
      <c r="C47" s="82"/>
      <c r="D47" s="33"/>
      <c r="E47" s="33"/>
      <c r="F47" s="83"/>
      <c r="H47" s="82"/>
      <c r="I47" s="33"/>
      <c r="J47" s="33"/>
      <c r="K47" s="83"/>
    </row>
    <row r="48" spans="3:11" ht="15" customHeight="1" x14ac:dyDescent="0.2">
      <c r="C48" s="192" t="s">
        <v>110</v>
      </c>
      <c r="D48" s="193"/>
      <c r="E48" s="193"/>
      <c r="F48" s="84">
        <f>HLOOKUP(F28,Resul!$I$53:$U$68,11,0)</f>
        <v>0</v>
      </c>
      <c r="H48" s="192" t="s">
        <v>110</v>
      </c>
      <c r="I48" s="193"/>
      <c r="J48" s="193"/>
      <c r="K48" s="84">
        <f>HLOOKUP(K28,Resul!$I$53:$U$68,11,0)</f>
        <v>0</v>
      </c>
    </row>
    <row r="49" spans="3:11" ht="15" customHeight="1" x14ac:dyDescent="0.2">
      <c r="C49" s="82"/>
      <c r="D49" s="33"/>
      <c r="E49" s="33"/>
      <c r="F49" s="83"/>
      <c r="H49" s="82"/>
      <c r="I49" s="33"/>
      <c r="J49" s="33"/>
      <c r="K49" s="83"/>
    </row>
    <row r="50" spans="3:11" ht="15" customHeight="1" x14ac:dyDescent="0.2">
      <c r="C50" s="192" t="s">
        <v>111</v>
      </c>
      <c r="D50" s="193"/>
      <c r="E50" s="193"/>
      <c r="F50" s="84">
        <f>HLOOKUP(F28,Resul!$I$53:$U$68,12,0)</f>
        <v>0</v>
      </c>
      <c r="H50" s="192" t="s">
        <v>111</v>
      </c>
      <c r="I50" s="193"/>
      <c r="J50" s="193"/>
      <c r="K50" s="84">
        <f>HLOOKUP(K28,Resul!$I$53:$U$68,12,0)</f>
        <v>0</v>
      </c>
    </row>
    <row r="51" spans="3:11" ht="15" customHeight="1" x14ac:dyDescent="0.2">
      <c r="C51" s="82"/>
      <c r="D51" s="33"/>
      <c r="E51" s="33"/>
      <c r="F51" s="83"/>
      <c r="H51" s="82"/>
      <c r="I51" s="33"/>
      <c r="J51" s="33"/>
      <c r="K51" s="83"/>
    </row>
    <row r="52" spans="3:11" ht="15" customHeight="1" x14ac:dyDescent="0.2">
      <c r="C52" s="197" t="s">
        <v>112</v>
      </c>
      <c r="D52" s="193"/>
      <c r="E52" s="193"/>
      <c r="F52" s="84">
        <f>HLOOKUP(F28,Resul!$I$53:$U$68,13,0)</f>
        <v>0</v>
      </c>
      <c r="H52" s="197" t="s">
        <v>112</v>
      </c>
      <c r="I52" s="193"/>
      <c r="J52" s="193"/>
      <c r="K52" s="84">
        <f>HLOOKUP(K28,Resul!$I$53:$U$68,13,0)</f>
        <v>0</v>
      </c>
    </row>
    <row r="53" spans="3:11" ht="15" customHeight="1" x14ac:dyDescent="0.2">
      <c r="C53" s="82"/>
      <c r="D53" s="33"/>
      <c r="E53" s="33"/>
      <c r="F53" s="83"/>
      <c r="H53" s="82"/>
      <c r="I53" s="33"/>
      <c r="J53" s="33"/>
      <c r="K53" s="83"/>
    </row>
    <row r="54" spans="3:11" ht="15" customHeight="1" x14ac:dyDescent="0.2">
      <c r="C54" s="192" t="s">
        <v>113</v>
      </c>
      <c r="D54" s="193"/>
      <c r="E54" s="193"/>
      <c r="F54" s="84">
        <f>HLOOKUP(F28,Resul!$I$53:$U$68,14,0)</f>
        <v>0</v>
      </c>
      <c r="H54" s="192" t="s">
        <v>113</v>
      </c>
      <c r="I54" s="193"/>
      <c r="J54" s="193"/>
      <c r="K54" s="84">
        <f>HLOOKUP(K28,Resul!$I$53:$U$68,14,0)</f>
        <v>0</v>
      </c>
    </row>
    <row r="55" spans="3:11" ht="15" customHeight="1" x14ac:dyDescent="0.2">
      <c r="C55" s="85"/>
      <c r="D55" s="34"/>
      <c r="E55" s="34"/>
      <c r="F55" s="86"/>
      <c r="H55" s="85"/>
      <c r="I55" s="34"/>
      <c r="J55" s="34"/>
      <c r="K55" s="86"/>
    </row>
    <row r="56" spans="3:11" ht="15" customHeight="1" x14ac:dyDescent="0.2">
      <c r="C56" s="192" t="s">
        <v>114</v>
      </c>
      <c r="D56" s="193"/>
      <c r="E56" s="193"/>
      <c r="F56" s="87">
        <f>HLOOKUP(F28,Resul!$I$53:$U$68,15,0)</f>
        <v>0</v>
      </c>
      <c r="H56" s="192" t="s">
        <v>114</v>
      </c>
      <c r="I56" s="193"/>
      <c r="J56" s="193"/>
      <c r="K56" s="87">
        <f>HLOOKUP(K28,Resul!$I$53:$U$68,15,0)</f>
        <v>0</v>
      </c>
    </row>
    <row r="57" spans="3:11" ht="15" customHeight="1" x14ac:dyDescent="0.2">
      <c r="C57" s="82"/>
      <c r="D57" s="33"/>
      <c r="E57" s="33"/>
      <c r="F57" s="83"/>
      <c r="H57" s="82"/>
      <c r="I57" s="33"/>
      <c r="J57" s="33"/>
      <c r="K57" s="83"/>
    </row>
    <row r="58" spans="3:11" ht="15" customHeight="1" x14ac:dyDescent="0.2">
      <c r="C58" s="194" t="s">
        <v>115</v>
      </c>
      <c r="D58" s="195"/>
      <c r="E58" s="195"/>
      <c r="F58" s="88">
        <f>HLOOKUP(F28,Resul!$I$53:$U$68,16,0)</f>
        <v>0</v>
      </c>
      <c r="H58" s="194" t="s">
        <v>115</v>
      </c>
      <c r="I58" s="195"/>
      <c r="J58" s="195"/>
      <c r="K58" s="88">
        <f>HLOOKUP(K28,Resul!$I$53:$U$68,16,0)</f>
        <v>0</v>
      </c>
    </row>
    <row r="60" spans="3:11" ht="15" customHeight="1" x14ac:dyDescent="0.2">
      <c r="C60" s="190" t="s">
        <v>97</v>
      </c>
      <c r="D60" s="191"/>
      <c r="E60" s="191"/>
      <c r="F60" s="81" t="s">
        <v>119</v>
      </c>
      <c r="H60" s="190" t="s">
        <v>97</v>
      </c>
      <c r="I60" s="191"/>
      <c r="J60" s="191"/>
      <c r="K60" s="81" t="s">
        <v>120</v>
      </c>
    </row>
    <row r="61" spans="3:11" ht="15" customHeight="1" x14ac:dyDescent="0.2">
      <c r="C61" s="82"/>
      <c r="D61" s="33"/>
      <c r="E61" s="33"/>
      <c r="F61" s="83"/>
      <c r="H61" s="82"/>
      <c r="I61" s="33"/>
      <c r="J61" s="33"/>
      <c r="K61" s="83"/>
    </row>
    <row r="62" spans="3:11" ht="15" customHeight="1" x14ac:dyDescent="0.2">
      <c r="C62" s="192" t="s">
        <v>101</v>
      </c>
      <c r="D62" s="193"/>
      <c r="E62" s="193"/>
      <c r="F62" s="84">
        <f>HLOOKUP(F60,Resul!$I$53:$U$68,2,0)</f>
        <v>0</v>
      </c>
      <c r="H62" s="192" t="s">
        <v>101</v>
      </c>
      <c r="I62" s="193"/>
      <c r="J62" s="193"/>
      <c r="K62" s="84">
        <f>HLOOKUP(K60,Resul!$I$53:$U$68,2,0)</f>
        <v>0</v>
      </c>
    </row>
    <row r="63" spans="3:11" ht="15" customHeight="1" x14ac:dyDescent="0.2">
      <c r="C63" s="82"/>
      <c r="D63" s="33"/>
      <c r="E63" s="33"/>
      <c r="F63" s="83"/>
      <c r="H63" s="82"/>
      <c r="I63" s="33"/>
      <c r="J63" s="33"/>
      <c r="K63" s="83"/>
    </row>
    <row r="64" spans="3:11" ht="15" customHeight="1" x14ac:dyDescent="0.2">
      <c r="C64" s="192" t="s">
        <v>102</v>
      </c>
      <c r="D64" s="193"/>
      <c r="E64" s="193"/>
      <c r="F64" s="84">
        <f>HLOOKUP(F60,Resul!$I$53:$U$68,3,0)</f>
        <v>0</v>
      </c>
      <c r="H64" s="192" t="s">
        <v>102</v>
      </c>
      <c r="I64" s="193"/>
      <c r="J64" s="193"/>
      <c r="K64" s="84">
        <f>HLOOKUP(K60,Resul!$I$53:$U$68,3,0)</f>
        <v>0</v>
      </c>
    </row>
    <row r="65" spans="3:11" ht="15" customHeight="1" x14ac:dyDescent="0.2">
      <c r="C65" s="82"/>
      <c r="D65" s="33"/>
      <c r="E65" s="33"/>
      <c r="F65" s="83"/>
      <c r="H65" s="82"/>
      <c r="I65" s="33"/>
      <c r="J65" s="33"/>
      <c r="K65" s="83"/>
    </row>
    <row r="66" spans="3:11" ht="15" customHeight="1" x14ac:dyDescent="0.2">
      <c r="C66" s="192" t="s">
        <v>103</v>
      </c>
      <c r="D66" s="193"/>
      <c r="E66" s="193"/>
      <c r="F66" s="84">
        <f>HLOOKUP(F60,Resul!$I$53:$U$68,4,0)</f>
        <v>0</v>
      </c>
      <c r="H66" s="192" t="s">
        <v>103</v>
      </c>
      <c r="I66" s="193"/>
      <c r="J66" s="193"/>
      <c r="K66" s="84">
        <f>HLOOKUP(K60,Resul!$I$53:$U$68,4,0)</f>
        <v>0</v>
      </c>
    </row>
    <row r="67" spans="3:11" ht="15" customHeight="1" x14ac:dyDescent="0.2">
      <c r="C67" s="82"/>
      <c r="D67" s="33"/>
      <c r="E67" s="33"/>
      <c r="F67" s="83"/>
      <c r="H67" s="82"/>
      <c r="I67" s="33"/>
      <c r="J67" s="33"/>
      <c r="K67" s="83"/>
    </row>
    <row r="68" spans="3:11" ht="15" customHeight="1" x14ac:dyDescent="0.2">
      <c r="C68" s="192" t="s">
        <v>104</v>
      </c>
      <c r="D68" s="193"/>
      <c r="E68" s="193"/>
      <c r="F68" s="84">
        <f>HLOOKUP(F60,Resul!$I$53:$U$68,5,0)</f>
        <v>0</v>
      </c>
      <c r="H68" s="192" t="s">
        <v>104</v>
      </c>
      <c r="I68" s="193"/>
      <c r="J68" s="193"/>
      <c r="K68" s="84">
        <f>HLOOKUP(K60,Resul!$I$53:$U$68,5,0)</f>
        <v>0</v>
      </c>
    </row>
    <row r="69" spans="3:11" ht="15" customHeight="1" x14ac:dyDescent="0.2">
      <c r="C69" s="82"/>
      <c r="D69" s="33"/>
      <c r="E69" s="33"/>
      <c r="F69" s="83"/>
      <c r="H69" s="82"/>
      <c r="I69" s="33"/>
      <c r="J69" s="33"/>
      <c r="K69" s="83"/>
    </row>
    <row r="70" spans="3:11" ht="15" customHeight="1" x14ac:dyDescent="0.2">
      <c r="C70" s="192" t="s">
        <v>105</v>
      </c>
      <c r="D70" s="193"/>
      <c r="E70" s="193"/>
      <c r="F70" s="84">
        <f>HLOOKUP(F60,Resul!$I$53:$U$68,6,0)</f>
        <v>0</v>
      </c>
      <c r="H70" s="192" t="s">
        <v>105</v>
      </c>
      <c r="I70" s="193"/>
      <c r="J70" s="193"/>
      <c r="K70" s="84">
        <f>HLOOKUP(K60,Resul!$I$53:$U$68,6,0)</f>
        <v>0</v>
      </c>
    </row>
    <row r="71" spans="3:11" ht="15" customHeight="1" x14ac:dyDescent="0.2">
      <c r="C71" s="82"/>
      <c r="D71" s="33"/>
      <c r="E71" s="33"/>
      <c r="F71" s="83"/>
      <c r="H71" s="82"/>
      <c r="I71" s="33"/>
      <c r="J71" s="33"/>
      <c r="K71" s="83"/>
    </row>
    <row r="72" spans="3:11" ht="15" customHeight="1" x14ac:dyDescent="0.2">
      <c r="C72" s="192" t="s">
        <v>108</v>
      </c>
      <c r="D72" s="193"/>
      <c r="E72" s="193"/>
      <c r="F72" s="84">
        <f>HLOOKUP(F60,Resul!$I$53:$U$68,7,0)</f>
        <v>0</v>
      </c>
      <c r="H72" s="192" t="s">
        <v>108</v>
      </c>
      <c r="I72" s="193"/>
      <c r="J72" s="193"/>
      <c r="K72" s="84">
        <f>HLOOKUP(K60,Resul!$I$53:$U$68,7,0)</f>
        <v>0</v>
      </c>
    </row>
    <row r="73" spans="3:11" ht="15" customHeight="1" x14ac:dyDescent="0.2">
      <c r="C73" s="82"/>
      <c r="D73" s="33"/>
      <c r="E73" s="33"/>
      <c r="F73" s="83"/>
      <c r="H73" s="82"/>
      <c r="I73" s="33"/>
      <c r="J73" s="33"/>
      <c r="K73" s="83"/>
    </row>
    <row r="74" spans="3:11" ht="15" customHeight="1" x14ac:dyDescent="0.2">
      <c r="C74" s="192" t="s">
        <v>107</v>
      </c>
      <c r="D74" s="193"/>
      <c r="E74" s="193"/>
      <c r="F74" s="84">
        <f>HLOOKUP(F60,Resul!$I$53:$U$68,8,0)</f>
        <v>0</v>
      </c>
      <c r="H74" s="192" t="s">
        <v>107</v>
      </c>
      <c r="I74" s="193"/>
      <c r="J74" s="193"/>
      <c r="K74" s="84">
        <f>HLOOKUP(K60,Resul!$I$53:$U$68,8,0)</f>
        <v>0</v>
      </c>
    </row>
    <row r="75" spans="3:11" ht="15" customHeight="1" x14ac:dyDescent="0.2">
      <c r="C75" s="82"/>
      <c r="D75" s="33"/>
      <c r="E75" s="33"/>
      <c r="F75" s="83"/>
      <c r="H75" s="82"/>
      <c r="I75" s="33"/>
      <c r="J75" s="33"/>
      <c r="K75" s="83"/>
    </row>
    <row r="76" spans="3:11" ht="15" customHeight="1" x14ac:dyDescent="0.2">
      <c r="C76" s="192" t="s">
        <v>106</v>
      </c>
      <c r="D76" s="193"/>
      <c r="E76" s="193"/>
      <c r="F76" s="84">
        <f>HLOOKUP(F60,Resul!$I$53:$U$68,9,0)</f>
        <v>0</v>
      </c>
      <c r="H76" s="192" t="s">
        <v>106</v>
      </c>
      <c r="I76" s="193"/>
      <c r="J76" s="193"/>
      <c r="K76" s="84">
        <f>HLOOKUP(K60,Resul!$I$53:$U$68,9,0)</f>
        <v>0</v>
      </c>
    </row>
    <row r="77" spans="3:11" ht="15" customHeight="1" x14ac:dyDescent="0.2">
      <c r="C77" s="82"/>
      <c r="D77" s="33"/>
      <c r="E77" s="33"/>
      <c r="F77" s="83"/>
      <c r="H77" s="82"/>
      <c r="I77" s="33"/>
      <c r="J77" s="33"/>
      <c r="K77" s="83"/>
    </row>
    <row r="78" spans="3:11" ht="15" customHeight="1" x14ac:dyDescent="0.2">
      <c r="C78" s="192" t="s">
        <v>109</v>
      </c>
      <c r="D78" s="193"/>
      <c r="E78" s="193"/>
      <c r="F78" s="84">
        <f>HLOOKUP(F60,Resul!$I$53:$U$68,10,0)</f>
        <v>0</v>
      </c>
      <c r="H78" s="192" t="s">
        <v>109</v>
      </c>
      <c r="I78" s="193"/>
      <c r="J78" s="193"/>
      <c r="K78" s="84">
        <f>HLOOKUP(K60,Resul!$I$53:$U$68,10,0)</f>
        <v>0</v>
      </c>
    </row>
    <row r="79" spans="3:11" ht="15" customHeight="1" x14ac:dyDescent="0.2">
      <c r="C79" s="82"/>
      <c r="D79" s="33"/>
      <c r="E79" s="33"/>
      <c r="F79" s="83"/>
      <c r="H79" s="82"/>
      <c r="I79" s="33"/>
      <c r="J79" s="33"/>
      <c r="K79" s="83"/>
    </row>
    <row r="80" spans="3:11" ht="15" customHeight="1" x14ac:dyDescent="0.2">
      <c r="C80" s="192" t="s">
        <v>110</v>
      </c>
      <c r="D80" s="193"/>
      <c r="E80" s="193"/>
      <c r="F80" s="84">
        <f>HLOOKUP(F60,Resul!$I$53:$U$68,11,0)</f>
        <v>0</v>
      </c>
      <c r="H80" s="192" t="s">
        <v>110</v>
      </c>
      <c r="I80" s="193"/>
      <c r="J80" s="193"/>
      <c r="K80" s="84">
        <f>HLOOKUP(K60,Resul!$I$53:$U$68,11,0)</f>
        <v>0</v>
      </c>
    </row>
    <row r="81" spans="3:11" ht="15" customHeight="1" x14ac:dyDescent="0.2">
      <c r="C81" s="82"/>
      <c r="D81" s="33"/>
      <c r="E81" s="33"/>
      <c r="F81" s="83"/>
      <c r="H81" s="82"/>
      <c r="I81" s="33"/>
      <c r="J81" s="33"/>
      <c r="K81" s="83"/>
    </row>
    <row r="82" spans="3:11" ht="15" customHeight="1" x14ac:dyDescent="0.2">
      <c r="C82" s="192" t="s">
        <v>111</v>
      </c>
      <c r="D82" s="193"/>
      <c r="E82" s="193"/>
      <c r="F82" s="84">
        <f>HLOOKUP(F60,Resul!$I$53:$U$68,12,0)</f>
        <v>0</v>
      </c>
      <c r="H82" s="192" t="s">
        <v>111</v>
      </c>
      <c r="I82" s="193"/>
      <c r="J82" s="193"/>
      <c r="K82" s="84">
        <f>HLOOKUP(K60,Resul!$I$53:$U$68,12,0)</f>
        <v>0</v>
      </c>
    </row>
    <row r="83" spans="3:11" ht="15" customHeight="1" x14ac:dyDescent="0.2">
      <c r="C83" s="82"/>
      <c r="D83" s="33"/>
      <c r="E83" s="33"/>
      <c r="F83" s="83"/>
      <c r="H83" s="82"/>
      <c r="I83" s="33"/>
      <c r="J83" s="33"/>
      <c r="K83" s="83"/>
    </row>
    <row r="84" spans="3:11" ht="15" customHeight="1" x14ac:dyDescent="0.2">
      <c r="C84" s="197" t="s">
        <v>112</v>
      </c>
      <c r="D84" s="193"/>
      <c r="E84" s="193"/>
      <c r="F84" s="84">
        <f>HLOOKUP(F60,Resul!$I$53:$U$68,13,0)</f>
        <v>0</v>
      </c>
      <c r="H84" s="197" t="s">
        <v>112</v>
      </c>
      <c r="I84" s="193"/>
      <c r="J84" s="193"/>
      <c r="K84" s="84">
        <f>HLOOKUP(K60,Resul!$I$53:$U$68,13,0)</f>
        <v>0</v>
      </c>
    </row>
    <row r="85" spans="3:11" ht="15" customHeight="1" x14ac:dyDescent="0.2">
      <c r="C85" s="82"/>
      <c r="D85" s="33"/>
      <c r="E85" s="33"/>
      <c r="F85" s="83"/>
      <c r="H85" s="82"/>
      <c r="I85" s="33"/>
      <c r="J85" s="33"/>
      <c r="K85" s="83"/>
    </row>
    <row r="86" spans="3:11" ht="15" customHeight="1" x14ac:dyDescent="0.2">
      <c r="C86" s="192" t="s">
        <v>113</v>
      </c>
      <c r="D86" s="193"/>
      <c r="E86" s="193"/>
      <c r="F86" s="84">
        <f>HLOOKUP(F60,Resul!$I$53:$U$68,14,0)</f>
        <v>0</v>
      </c>
      <c r="H86" s="192" t="s">
        <v>113</v>
      </c>
      <c r="I86" s="193"/>
      <c r="J86" s="193"/>
      <c r="K86" s="84">
        <f>HLOOKUP(K60,Resul!$I$53:$U$68,14,0)</f>
        <v>0</v>
      </c>
    </row>
    <row r="87" spans="3:11" ht="15" customHeight="1" x14ac:dyDescent="0.2">
      <c r="C87" s="85"/>
      <c r="D87" s="34"/>
      <c r="E87" s="34"/>
      <c r="F87" s="86"/>
      <c r="H87" s="85"/>
      <c r="I87" s="34"/>
      <c r="J87" s="34"/>
      <c r="K87" s="86"/>
    </row>
    <row r="88" spans="3:11" ht="15" customHeight="1" x14ac:dyDescent="0.2">
      <c r="C88" s="192" t="s">
        <v>114</v>
      </c>
      <c r="D88" s="193"/>
      <c r="E88" s="193"/>
      <c r="F88" s="87">
        <f>HLOOKUP(F60,Resul!$I$53:$U$68,15,0)</f>
        <v>0</v>
      </c>
      <c r="H88" s="192" t="s">
        <v>114</v>
      </c>
      <c r="I88" s="193"/>
      <c r="J88" s="193"/>
      <c r="K88" s="87">
        <f>HLOOKUP(K60,Resul!$I$53:$U$68,15,0)</f>
        <v>0</v>
      </c>
    </row>
    <row r="89" spans="3:11" ht="15" customHeight="1" x14ac:dyDescent="0.2">
      <c r="C89" s="82"/>
      <c r="D89" s="33"/>
      <c r="E89" s="33"/>
      <c r="F89" s="83"/>
      <c r="H89" s="82"/>
      <c r="I89" s="33"/>
      <c r="J89" s="33"/>
      <c r="K89" s="83"/>
    </row>
    <row r="90" spans="3:11" ht="15" customHeight="1" x14ac:dyDescent="0.2">
      <c r="C90" s="194" t="s">
        <v>115</v>
      </c>
      <c r="D90" s="195"/>
      <c r="E90" s="195"/>
      <c r="F90" s="88">
        <f>HLOOKUP(F60,Resul!$I$53:$U$68,16,0)</f>
        <v>0</v>
      </c>
      <c r="H90" s="194" t="s">
        <v>115</v>
      </c>
      <c r="I90" s="195"/>
      <c r="J90" s="195"/>
      <c r="K90" s="88">
        <f>HLOOKUP(K60,Resul!$I$53:$U$68,16,0)</f>
        <v>0</v>
      </c>
    </row>
    <row r="92" spans="3:11" ht="15" customHeight="1" x14ac:dyDescent="0.2">
      <c r="C92" s="190" t="s">
        <v>97</v>
      </c>
      <c r="D92" s="191"/>
      <c r="E92" s="191"/>
      <c r="F92" s="81" t="s">
        <v>121</v>
      </c>
      <c r="H92" s="190" t="s">
        <v>97</v>
      </c>
      <c r="I92" s="191"/>
      <c r="J92" s="191"/>
      <c r="K92" s="81" t="s">
        <v>122</v>
      </c>
    </row>
    <row r="93" spans="3:11" ht="15" customHeight="1" x14ac:dyDescent="0.2">
      <c r="C93" s="82"/>
      <c r="D93" s="33"/>
      <c r="E93" s="33"/>
      <c r="F93" s="83"/>
      <c r="H93" s="82"/>
      <c r="I93" s="33"/>
      <c r="J93" s="33"/>
      <c r="K93" s="83"/>
    </row>
    <row r="94" spans="3:11" ht="15" customHeight="1" x14ac:dyDescent="0.2">
      <c r="C94" s="192" t="s">
        <v>101</v>
      </c>
      <c r="D94" s="193"/>
      <c r="E94" s="193"/>
      <c r="F94" s="84">
        <f>HLOOKUP(F92,Resul!$I$53:$U$68,2,0)</f>
        <v>0</v>
      </c>
      <c r="H94" s="192" t="s">
        <v>101</v>
      </c>
      <c r="I94" s="193"/>
      <c r="J94" s="193"/>
      <c r="K94" s="84">
        <f>HLOOKUP(K92,Resul!$I$53:$U$68,2,0)</f>
        <v>0</v>
      </c>
    </row>
    <row r="95" spans="3:11" ht="15" customHeight="1" x14ac:dyDescent="0.2">
      <c r="C95" s="82"/>
      <c r="D95" s="33"/>
      <c r="E95" s="33"/>
      <c r="F95" s="83"/>
      <c r="H95" s="82"/>
      <c r="I95" s="33"/>
      <c r="J95" s="33"/>
      <c r="K95" s="83"/>
    </row>
    <row r="96" spans="3:11" ht="15" customHeight="1" x14ac:dyDescent="0.2">
      <c r="C96" s="192" t="s">
        <v>102</v>
      </c>
      <c r="D96" s="193"/>
      <c r="E96" s="193"/>
      <c r="F96" s="84">
        <f>HLOOKUP(F92,Resul!$I$53:$U$68,3,0)</f>
        <v>0</v>
      </c>
      <c r="H96" s="192" t="s">
        <v>102</v>
      </c>
      <c r="I96" s="193"/>
      <c r="J96" s="193"/>
      <c r="K96" s="84">
        <f>HLOOKUP(K92,Resul!$I$53:$U$68,3,0)</f>
        <v>0</v>
      </c>
    </row>
    <row r="97" spans="3:11" ht="15" customHeight="1" x14ac:dyDescent="0.2">
      <c r="C97" s="82"/>
      <c r="D97" s="33"/>
      <c r="E97" s="33"/>
      <c r="F97" s="83"/>
      <c r="H97" s="82"/>
      <c r="I97" s="33"/>
      <c r="J97" s="33"/>
      <c r="K97" s="83"/>
    </row>
    <row r="98" spans="3:11" ht="15" customHeight="1" x14ac:dyDescent="0.2">
      <c r="C98" s="192" t="s">
        <v>103</v>
      </c>
      <c r="D98" s="193"/>
      <c r="E98" s="193"/>
      <c r="F98" s="84">
        <f>HLOOKUP(F92,Resul!$I$53:$U$68,4,0)</f>
        <v>0</v>
      </c>
      <c r="H98" s="192" t="s">
        <v>103</v>
      </c>
      <c r="I98" s="193"/>
      <c r="J98" s="193"/>
      <c r="K98" s="84">
        <f>HLOOKUP(K92,Resul!$I$53:$U$68,4,0)</f>
        <v>0</v>
      </c>
    </row>
    <row r="99" spans="3:11" ht="15" customHeight="1" x14ac:dyDescent="0.2">
      <c r="C99" s="82"/>
      <c r="D99" s="33"/>
      <c r="E99" s="33"/>
      <c r="F99" s="83"/>
      <c r="H99" s="82"/>
      <c r="I99" s="33"/>
      <c r="J99" s="33"/>
      <c r="K99" s="83"/>
    </row>
    <row r="100" spans="3:11" ht="15" customHeight="1" x14ac:dyDescent="0.2">
      <c r="C100" s="192" t="s">
        <v>104</v>
      </c>
      <c r="D100" s="193"/>
      <c r="E100" s="193"/>
      <c r="F100" s="84">
        <f>HLOOKUP(F92,Resul!$I$53:$U$68,5,0)</f>
        <v>0</v>
      </c>
      <c r="H100" s="192" t="s">
        <v>104</v>
      </c>
      <c r="I100" s="193"/>
      <c r="J100" s="193"/>
      <c r="K100" s="84">
        <f>HLOOKUP(K92,Resul!$I$53:$U$68,5,0)</f>
        <v>0</v>
      </c>
    </row>
    <row r="101" spans="3:11" ht="15" customHeight="1" x14ac:dyDescent="0.2">
      <c r="C101" s="82"/>
      <c r="D101" s="33"/>
      <c r="E101" s="33"/>
      <c r="F101" s="83"/>
      <c r="H101" s="82"/>
      <c r="I101" s="33"/>
      <c r="J101" s="33"/>
      <c r="K101" s="83"/>
    </row>
    <row r="102" spans="3:11" ht="15" customHeight="1" x14ac:dyDescent="0.2">
      <c r="C102" s="192" t="s">
        <v>105</v>
      </c>
      <c r="D102" s="193"/>
      <c r="E102" s="193"/>
      <c r="F102" s="84">
        <f>HLOOKUP(F92,Resul!$I$53:$U$68,6,0)</f>
        <v>0</v>
      </c>
      <c r="H102" s="192" t="s">
        <v>105</v>
      </c>
      <c r="I102" s="193"/>
      <c r="J102" s="193"/>
      <c r="K102" s="84">
        <f>HLOOKUP(K92,Resul!$I$53:$U$68,6,0)</f>
        <v>0</v>
      </c>
    </row>
    <row r="103" spans="3:11" ht="15" customHeight="1" x14ac:dyDescent="0.2">
      <c r="C103" s="82"/>
      <c r="D103" s="33"/>
      <c r="E103" s="33"/>
      <c r="F103" s="83"/>
      <c r="H103" s="82"/>
      <c r="I103" s="33"/>
      <c r="J103" s="33"/>
      <c r="K103" s="83"/>
    </row>
    <row r="104" spans="3:11" ht="15" customHeight="1" x14ac:dyDescent="0.2">
      <c r="C104" s="192" t="s">
        <v>108</v>
      </c>
      <c r="D104" s="193"/>
      <c r="E104" s="193"/>
      <c r="F104" s="84">
        <f>HLOOKUP(F92,Resul!$I$53:$U$68,7,0)</f>
        <v>0</v>
      </c>
      <c r="H104" s="192" t="s">
        <v>108</v>
      </c>
      <c r="I104" s="193"/>
      <c r="J104" s="193"/>
      <c r="K104" s="84">
        <f>HLOOKUP(K92,Resul!$I$53:$U$68,7,0)</f>
        <v>0</v>
      </c>
    </row>
    <row r="105" spans="3:11" ht="15" customHeight="1" x14ac:dyDescent="0.2">
      <c r="C105" s="82"/>
      <c r="D105" s="33"/>
      <c r="E105" s="33"/>
      <c r="F105" s="83"/>
      <c r="H105" s="82"/>
      <c r="I105" s="33"/>
      <c r="J105" s="33"/>
      <c r="K105" s="83"/>
    </row>
    <row r="106" spans="3:11" ht="15" customHeight="1" x14ac:dyDescent="0.2">
      <c r="C106" s="192" t="s">
        <v>107</v>
      </c>
      <c r="D106" s="193"/>
      <c r="E106" s="193"/>
      <c r="F106" s="84">
        <f>HLOOKUP(F92,Resul!$I$53:$U$68,8,0)</f>
        <v>0</v>
      </c>
      <c r="H106" s="192" t="s">
        <v>107</v>
      </c>
      <c r="I106" s="193"/>
      <c r="J106" s="193"/>
      <c r="K106" s="84">
        <f>HLOOKUP(K92,Resul!$I$53:$U$68,8,0)</f>
        <v>0</v>
      </c>
    </row>
    <row r="107" spans="3:11" ht="15" customHeight="1" x14ac:dyDescent="0.2">
      <c r="C107" s="82"/>
      <c r="D107" s="33"/>
      <c r="E107" s="33"/>
      <c r="F107" s="83"/>
      <c r="H107" s="82"/>
      <c r="I107" s="33"/>
      <c r="J107" s="33"/>
      <c r="K107" s="83"/>
    </row>
    <row r="108" spans="3:11" ht="15" customHeight="1" x14ac:dyDescent="0.2">
      <c r="C108" s="192" t="s">
        <v>106</v>
      </c>
      <c r="D108" s="193"/>
      <c r="E108" s="193"/>
      <c r="F108" s="84">
        <f>HLOOKUP(F92,Resul!$I$53:$U$68,9,0)</f>
        <v>0</v>
      </c>
      <c r="H108" s="192" t="s">
        <v>106</v>
      </c>
      <c r="I108" s="193"/>
      <c r="J108" s="193"/>
      <c r="K108" s="84">
        <f>HLOOKUP(K92,Resul!$I$53:$U$68,9,0)</f>
        <v>0</v>
      </c>
    </row>
    <row r="109" spans="3:11" ht="15" customHeight="1" x14ac:dyDescent="0.2">
      <c r="C109" s="82"/>
      <c r="D109" s="33"/>
      <c r="E109" s="33"/>
      <c r="F109" s="83"/>
      <c r="H109" s="82"/>
      <c r="I109" s="33"/>
      <c r="J109" s="33"/>
      <c r="K109" s="83"/>
    </row>
    <row r="110" spans="3:11" ht="15" customHeight="1" x14ac:dyDescent="0.2">
      <c r="C110" s="192" t="s">
        <v>109</v>
      </c>
      <c r="D110" s="193"/>
      <c r="E110" s="193"/>
      <c r="F110" s="84">
        <f>HLOOKUP(F92,Resul!$I$53:$U$68,10,0)</f>
        <v>0</v>
      </c>
      <c r="H110" s="192" t="s">
        <v>109</v>
      </c>
      <c r="I110" s="193"/>
      <c r="J110" s="193"/>
      <c r="K110" s="84">
        <f>HLOOKUP(K92,Resul!$I$53:$U$68,10,0)</f>
        <v>0</v>
      </c>
    </row>
    <row r="111" spans="3:11" ht="15" customHeight="1" x14ac:dyDescent="0.2">
      <c r="C111" s="82"/>
      <c r="D111" s="33"/>
      <c r="E111" s="33"/>
      <c r="F111" s="83"/>
      <c r="H111" s="82"/>
      <c r="I111" s="33"/>
      <c r="J111" s="33"/>
      <c r="K111" s="83"/>
    </row>
    <row r="112" spans="3:11" ht="15" customHeight="1" x14ac:dyDescent="0.2">
      <c r="C112" s="192" t="s">
        <v>110</v>
      </c>
      <c r="D112" s="193"/>
      <c r="E112" s="193"/>
      <c r="F112" s="84">
        <f>HLOOKUP(F92,Resul!$I$53:$U$68,11,0)</f>
        <v>0</v>
      </c>
      <c r="H112" s="192" t="s">
        <v>110</v>
      </c>
      <c r="I112" s="193"/>
      <c r="J112" s="193"/>
      <c r="K112" s="84">
        <f>HLOOKUP(K92,Resul!$I$53:$U$68,11,0)</f>
        <v>0</v>
      </c>
    </row>
    <row r="113" spans="3:11" ht="15" customHeight="1" x14ac:dyDescent="0.2">
      <c r="C113" s="82"/>
      <c r="D113" s="33"/>
      <c r="E113" s="33"/>
      <c r="F113" s="83"/>
      <c r="H113" s="82"/>
      <c r="I113" s="33"/>
      <c r="J113" s="33"/>
      <c r="K113" s="83"/>
    </row>
    <row r="114" spans="3:11" ht="15" customHeight="1" x14ac:dyDescent="0.2">
      <c r="C114" s="192" t="s">
        <v>111</v>
      </c>
      <c r="D114" s="193"/>
      <c r="E114" s="193"/>
      <c r="F114" s="84">
        <f>HLOOKUP(F92,Resul!$I$53:$U$68,12,0)</f>
        <v>0</v>
      </c>
      <c r="H114" s="192" t="s">
        <v>111</v>
      </c>
      <c r="I114" s="193"/>
      <c r="J114" s="193"/>
      <c r="K114" s="84">
        <f>HLOOKUP(K92,Resul!$I$53:$U$68,12,0)</f>
        <v>0</v>
      </c>
    </row>
    <row r="115" spans="3:11" ht="15" customHeight="1" x14ac:dyDescent="0.2">
      <c r="C115" s="82"/>
      <c r="D115" s="33"/>
      <c r="E115" s="33"/>
      <c r="F115" s="83"/>
      <c r="H115" s="82"/>
      <c r="I115" s="33"/>
      <c r="J115" s="33"/>
      <c r="K115" s="83"/>
    </row>
    <row r="116" spans="3:11" ht="15" customHeight="1" x14ac:dyDescent="0.2">
      <c r="C116" s="197" t="s">
        <v>112</v>
      </c>
      <c r="D116" s="193"/>
      <c r="E116" s="193"/>
      <c r="F116" s="84">
        <f>HLOOKUP(F92,Resul!$I$53:$U$68,13,0)</f>
        <v>0</v>
      </c>
      <c r="H116" s="197" t="s">
        <v>112</v>
      </c>
      <c r="I116" s="193"/>
      <c r="J116" s="193"/>
      <c r="K116" s="84">
        <f>HLOOKUP(K92,Resul!$I$53:$U$68,13,0)</f>
        <v>0</v>
      </c>
    </row>
    <row r="117" spans="3:11" ht="15" customHeight="1" x14ac:dyDescent="0.2">
      <c r="C117" s="82"/>
      <c r="D117" s="33"/>
      <c r="E117" s="33"/>
      <c r="F117" s="83"/>
      <c r="H117" s="82"/>
      <c r="I117" s="33"/>
      <c r="J117" s="33"/>
      <c r="K117" s="83"/>
    </row>
    <row r="118" spans="3:11" ht="15" customHeight="1" x14ac:dyDescent="0.2">
      <c r="C118" s="192" t="s">
        <v>113</v>
      </c>
      <c r="D118" s="193"/>
      <c r="E118" s="193"/>
      <c r="F118" s="84">
        <f>HLOOKUP(F92,Resul!$I$53:$U$68,14,0)</f>
        <v>0</v>
      </c>
      <c r="H118" s="192" t="s">
        <v>113</v>
      </c>
      <c r="I118" s="193"/>
      <c r="J118" s="193"/>
      <c r="K118" s="84">
        <f>HLOOKUP(K92,Resul!$I$53:$U$68,14,0)</f>
        <v>0</v>
      </c>
    </row>
    <row r="119" spans="3:11" ht="15" customHeight="1" x14ac:dyDescent="0.2">
      <c r="C119" s="85"/>
      <c r="D119" s="34"/>
      <c r="E119" s="34"/>
      <c r="F119" s="86"/>
      <c r="H119" s="85"/>
      <c r="I119" s="34"/>
      <c r="J119" s="34"/>
      <c r="K119" s="86"/>
    </row>
    <row r="120" spans="3:11" ht="15" customHeight="1" x14ac:dyDescent="0.2">
      <c r="C120" s="192" t="s">
        <v>114</v>
      </c>
      <c r="D120" s="193"/>
      <c r="E120" s="193"/>
      <c r="F120" s="87">
        <f>HLOOKUP(F92,Resul!$I$53:$U$68,15,0)</f>
        <v>0</v>
      </c>
      <c r="H120" s="192" t="s">
        <v>114</v>
      </c>
      <c r="I120" s="193"/>
      <c r="J120" s="193"/>
      <c r="K120" s="87">
        <f>HLOOKUP(K92,Resul!$I$53:$U$68,15,0)</f>
        <v>0</v>
      </c>
    </row>
    <row r="121" spans="3:11" ht="15" customHeight="1" x14ac:dyDescent="0.2">
      <c r="C121" s="82"/>
      <c r="D121" s="33"/>
      <c r="E121" s="33"/>
      <c r="F121" s="83"/>
      <c r="H121" s="82"/>
      <c r="I121" s="33"/>
      <c r="J121" s="33"/>
      <c r="K121" s="83"/>
    </row>
    <row r="122" spans="3:11" ht="15" customHeight="1" x14ac:dyDescent="0.2">
      <c r="C122" s="194" t="s">
        <v>115</v>
      </c>
      <c r="D122" s="195"/>
      <c r="E122" s="195"/>
      <c r="F122" s="88">
        <f>HLOOKUP(F92,Resul!$I$53:$U$68,16,0)</f>
        <v>0</v>
      </c>
      <c r="H122" s="194" t="s">
        <v>115</v>
      </c>
      <c r="I122" s="195"/>
      <c r="J122" s="195"/>
      <c r="K122" s="88">
        <f>HLOOKUP(K92,Resul!$I$53:$U$68,16,0)</f>
        <v>0</v>
      </c>
    </row>
    <row r="124" spans="3:11" ht="15" customHeight="1" x14ac:dyDescent="0.2">
      <c r="C124" s="190" t="s">
        <v>97</v>
      </c>
      <c r="D124" s="191"/>
      <c r="E124" s="191"/>
      <c r="F124" s="81" t="s">
        <v>123</v>
      </c>
      <c r="H124" s="190" t="s">
        <v>97</v>
      </c>
      <c r="I124" s="191"/>
      <c r="J124" s="191"/>
      <c r="K124" s="81" t="s">
        <v>124</v>
      </c>
    </row>
    <row r="125" spans="3:11" ht="15" customHeight="1" x14ac:dyDescent="0.2">
      <c r="C125" s="82"/>
      <c r="D125" s="33"/>
      <c r="E125" s="33"/>
      <c r="F125" s="83"/>
      <c r="H125" s="82"/>
      <c r="I125" s="33"/>
      <c r="J125" s="33"/>
      <c r="K125" s="83"/>
    </row>
    <row r="126" spans="3:11" ht="15" customHeight="1" x14ac:dyDescent="0.2">
      <c r="C126" s="192" t="s">
        <v>101</v>
      </c>
      <c r="D126" s="193"/>
      <c r="E126" s="193"/>
      <c r="F126" s="84">
        <f>HLOOKUP(F124,Resul!$I$53:$U$68,2,0)</f>
        <v>0</v>
      </c>
      <c r="H126" s="192" t="s">
        <v>101</v>
      </c>
      <c r="I126" s="193"/>
      <c r="J126" s="193"/>
      <c r="K126" s="84">
        <f>HLOOKUP(K124,Resul!$I$53:$U$68,2,0)</f>
        <v>0</v>
      </c>
    </row>
    <row r="127" spans="3:11" ht="15" customHeight="1" x14ac:dyDescent="0.2">
      <c r="C127" s="82"/>
      <c r="D127" s="33"/>
      <c r="E127" s="33"/>
      <c r="F127" s="83"/>
      <c r="H127" s="82"/>
      <c r="I127" s="33"/>
      <c r="J127" s="33"/>
      <c r="K127" s="83"/>
    </row>
    <row r="128" spans="3:11" ht="15" customHeight="1" x14ac:dyDescent="0.2">
      <c r="C128" s="192" t="s">
        <v>102</v>
      </c>
      <c r="D128" s="193"/>
      <c r="E128" s="193"/>
      <c r="F128" s="84">
        <f>HLOOKUP(F124,Resul!$I$53:$U$68,3,0)</f>
        <v>0</v>
      </c>
      <c r="H128" s="192" t="s">
        <v>102</v>
      </c>
      <c r="I128" s="193"/>
      <c r="J128" s="193"/>
      <c r="K128" s="84">
        <f>HLOOKUP(K124,Resul!$I$53:$U$68,3,0)</f>
        <v>0</v>
      </c>
    </row>
    <row r="129" spans="3:11" ht="15" customHeight="1" x14ac:dyDescent="0.2">
      <c r="C129" s="82"/>
      <c r="D129" s="33"/>
      <c r="E129" s="33"/>
      <c r="F129" s="83"/>
      <c r="H129" s="82"/>
      <c r="I129" s="33"/>
      <c r="J129" s="33"/>
      <c r="K129" s="83"/>
    </row>
    <row r="130" spans="3:11" ht="15" customHeight="1" x14ac:dyDescent="0.2">
      <c r="C130" s="192" t="s">
        <v>103</v>
      </c>
      <c r="D130" s="193"/>
      <c r="E130" s="193"/>
      <c r="F130" s="84">
        <f>HLOOKUP(F124,Resul!$I$53:$U$68,4,0)</f>
        <v>0</v>
      </c>
      <c r="H130" s="192" t="s">
        <v>103</v>
      </c>
      <c r="I130" s="193"/>
      <c r="J130" s="193"/>
      <c r="K130" s="84">
        <f>HLOOKUP(K124,Resul!$I$53:$U$68,4,0)</f>
        <v>0</v>
      </c>
    </row>
    <row r="131" spans="3:11" ht="15" customHeight="1" x14ac:dyDescent="0.2">
      <c r="C131" s="82"/>
      <c r="D131" s="33"/>
      <c r="E131" s="33"/>
      <c r="F131" s="83"/>
      <c r="H131" s="82"/>
      <c r="I131" s="33"/>
      <c r="J131" s="33"/>
      <c r="K131" s="83"/>
    </row>
    <row r="132" spans="3:11" ht="15" customHeight="1" x14ac:dyDescent="0.2">
      <c r="C132" s="192" t="s">
        <v>104</v>
      </c>
      <c r="D132" s="193"/>
      <c r="E132" s="193"/>
      <c r="F132" s="84">
        <f>HLOOKUP(F124,Resul!$I$53:$U$68,5,0)</f>
        <v>0</v>
      </c>
      <c r="H132" s="192" t="s">
        <v>104</v>
      </c>
      <c r="I132" s="193"/>
      <c r="J132" s="193"/>
      <c r="K132" s="84">
        <f>HLOOKUP(K124,Resul!$I$53:$U$68,5,0)</f>
        <v>0</v>
      </c>
    </row>
    <row r="133" spans="3:11" ht="15" customHeight="1" x14ac:dyDescent="0.2">
      <c r="C133" s="82"/>
      <c r="D133" s="33"/>
      <c r="E133" s="33"/>
      <c r="F133" s="83"/>
      <c r="H133" s="82"/>
      <c r="I133" s="33"/>
      <c r="J133" s="33"/>
      <c r="K133" s="83"/>
    </row>
    <row r="134" spans="3:11" ht="15" customHeight="1" x14ac:dyDescent="0.2">
      <c r="C134" s="192" t="s">
        <v>105</v>
      </c>
      <c r="D134" s="193"/>
      <c r="E134" s="193"/>
      <c r="F134" s="84">
        <f>HLOOKUP(F124,Resul!$I$53:$U$68,6,0)</f>
        <v>0</v>
      </c>
      <c r="H134" s="192" t="s">
        <v>105</v>
      </c>
      <c r="I134" s="193"/>
      <c r="J134" s="193"/>
      <c r="K134" s="84">
        <f>HLOOKUP(K124,Resul!$I$53:$U$68,6,0)</f>
        <v>0</v>
      </c>
    </row>
    <row r="135" spans="3:11" ht="15" customHeight="1" x14ac:dyDescent="0.2">
      <c r="C135" s="82"/>
      <c r="D135" s="33"/>
      <c r="E135" s="33"/>
      <c r="F135" s="83"/>
      <c r="H135" s="82"/>
      <c r="I135" s="33"/>
      <c r="J135" s="33"/>
      <c r="K135" s="83"/>
    </row>
    <row r="136" spans="3:11" ht="15" customHeight="1" x14ac:dyDescent="0.2">
      <c r="C136" s="192" t="s">
        <v>108</v>
      </c>
      <c r="D136" s="193"/>
      <c r="E136" s="193"/>
      <c r="F136" s="84">
        <f>HLOOKUP(F124,Resul!$I$53:$U$68,7,0)</f>
        <v>0</v>
      </c>
      <c r="H136" s="192" t="s">
        <v>108</v>
      </c>
      <c r="I136" s="193"/>
      <c r="J136" s="193"/>
      <c r="K136" s="84">
        <f>HLOOKUP(K124,Resul!$I$53:$U$68,7,0)</f>
        <v>0</v>
      </c>
    </row>
    <row r="137" spans="3:11" ht="15" customHeight="1" x14ac:dyDescent="0.2">
      <c r="C137" s="82"/>
      <c r="D137" s="33"/>
      <c r="E137" s="33"/>
      <c r="F137" s="83"/>
      <c r="H137" s="82"/>
      <c r="I137" s="33"/>
      <c r="J137" s="33"/>
      <c r="K137" s="83"/>
    </row>
    <row r="138" spans="3:11" ht="15" customHeight="1" x14ac:dyDescent="0.2">
      <c r="C138" s="192" t="s">
        <v>107</v>
      </c>
      <c r="D138" s="193"/>
      <c r="E138" s="193"/>
      <c r="F138" s="84">
        <f>HLOOKUP(F124,Resul!$I$53:$U$68,8,0)</f>
        <v>0</v>
      </c>
      <c r="H138" s="192" t="s">
        <v>107</v>
      </c>
      <c r="I138" s="193"/>
      <c r="J138" s="193"/>
      <c r="K138" s="84">
        <f>HLOOKUP(K124,Resul!$I$53:$U$68,8,0)</f>
        <v>0</v>
      </c>
    </row>
    <row r="139" spans="3:11" ht="15" customHeight="1" x14ac:dyDescent="0.2">
      <c r="C139" s="82"/>
      <c r="D139" s="33"/>
      <c r="E139" s="33"/>
      <c r="F139" s="83"/>
      <c r="H139" s="82"/>
      <c r="I139" s="33"/>
      <c r="J139" s="33"/>
      <c r="K139" s="83"/>
    </row>
    <row r="140" spans="3:11" ht="15" customHeight="1" x14ac:dyDescent="0.2">
      <c r="C140" s="192" t="s">
        <v>106</v>
      </c>
      <c r="D140" s="193"/>
      <c r="E140" s="193"/>
      <c r="F140" s="84">
        <f>HLOOKUP(F124,Resul!$I$53:$U$68,9,0)</f>
        <v>0</v>
      </c>
      <c r="H140" s="192" t="s">
        <v>106</v>
      </c>
      <c r="I140" s="193"/>
      <c r="J140" s="193"/>
      <c r="K140" s="84">
        <f>HLOOKUP(K124,Resul!$I$53:$U$68,9,0)</f>
        <v>0</v>
      </c>
    </row>
    <row r="141" spans="3:11" ht="15" customHeight="1" x14ac:dyDescent="0.2">
      <c r="C141" s="82"/>
      <c r="D141" s="33"/>
      <c r="E141" s="33"/>
      <c r="F141" s="83"/>
      <c r="H141" s="82"/>
      <c r="I141" s="33"/>
      <c r="J141" s="33"/>
      <c r="K141" s="83"/>
    </row>
    <row r="142" spans="3:11" ht="15" customHeight="1" x14ac:dyDescent="0.2">
      <c r="C142" s="192" t="s">
        <v>109</v>
      </c>
      <c r="D142" s="193"/>
      <c r="E142" s="193"/>
      <c r="F142" s="84">
        <f>HLOOKUP(F124,Resul!$I$53:$U$68,10,0)</f>
        <v>0</v>
      </c>
      <c r="H142" s="192" t="s">
        <v>109</v>
      </c>
      <c r="I142" s="193"/>
      <c r="J142" s="193"/>
      <c r="K142" s="84">
        <f>HLOOKUP(K124,Resul!$I$53:$U$68,10,0)</f>
        <v>0</v>
      </c>
    </row>
    <row r="143" spans="3:11" ht="15" customHeight="1" x14ac:dyDescent="0.2">
      <c r="C143" s="82"/>
      <c r="D143" s="33"/>
      <c r="E143" s="33"/>
      <c r="F143" s="83"/>
      <c r="H143" s="82"/>
      <c r="I143" s="33"/>
      <c r="J143" s="33"/>
      <c r="K143" s="83"/>
    </row>
    <row r="144" spans="3:11" ht="15" customHeight="1" x14ac:dyDescent="0.2">
      <c r="C144" s="192" t="s">
        <v>110</v>
      </c>
      <c r="D144" s="193"/>
      <c r="E144" s="193"/>
      <c r="F144" s="84">
        <f>HLOOKUP(F124,Resul!$I$53:$U$68,11,0)</f>
        <v>0</v>
      </c>
      <c r="H144" s="192" t="s">
        <v>110</v>
      </c>
      <c r="I144" s="193"/>
      <c r="J144" s="193"/>
      <c r="K144" s="84">
        <f>HLOOKUP(K124,Resul!$I$53:$U$68,11,0)</f>
        <v>0</v>
      </c>
    </row>
    <row r="145" spans="3:11" ht="15" customHeight="1" x14ac:dyDescent="0.2">
      <c r="C145" s="82"/>
      <c r="D145" s="33"/>
      <c r="E145" s="33"/>
      <c r="F145" s="83"/>
      <c r="H145" s="82"/>
      <c r="I145" s="33"/>
      <c r="J145" s="33"/>
      <c r="K145" s="83"/>
    </row>
    <row r="146" spans="3:11" ht="15" customHeight="1" x14ac:dyDescent="0.2">
      <c r="C146" s="192" t="s">
        <v>111</v>
      </c>
      <c r="D146" s="193"/>
      <c r="E146" s="193"/>
      <c r="F146" s="84">
        <f>HLOOKUP(F124,Resul!$I$53:$U$68,12,0)</f>
        <v>0</v>
      </c>
      <c r="H146" s="192" t="s">
        <v>111</v>
      </c>
      <c r="I146" s="193"/>
      <c r="J146" s="193"/>
      <c r="K146" s="84">
        <f>HLOOKUP(K124,Resul!$I$53:$U$68,12,0)</f>
        <v>0</v>
      </c>
    </row>
    <row r="147" spans="3:11" ht="15" customHeight="1" x14ac:dyDescent="0.2">
      <c r="C147" s="82"/>
      <c r="D147" s="33"/>
      <c r="E147" s="33"/>
      <c r="F147" s="83"/>
      <c r="H147" s="82"/>
      <c r="I147" s="33"/>
      <c r="J147" s="33"/>
      <c r="K147" s="83"/>
    </row>
    <row r="148" spans="3:11" ht="15" customHeight="1" x14ac:dyDescent="0.2">
      <c r="C148" s="197" t="s">
        <v>112</v>
      </c>
      <c r="D148" s="193"/>
      <c r="E148" s="193"/>
      <c r="F148" s="84">
        <f>HLOOKUP(F124,Resul!$I$53:$U$68,13,0)</f>
        <v>0</v>
      </c>
      <c r="H148" s="197" t="s">
        <v>112</v>
      </c>
      <c r="I148" s="193"/>
      <c r="J148" s="193"/>
      <c r="K148" s="84">
        <f>HLOOKUP(K124,Resul!$I$53:$U$68,13,0)</f>
        <v>0</v>
      </c>
    </row>
    <row r="149" spans="3:11" ht="15" customHeight="1" x14ac:dyDescent="0.2">
      <c r="C149" s="82"/>
      <c r="D149" s="33"/>
      <c r="E149" s="33"/>
      <c r="F149" s="83"/>
      <c r="H149" s="82"/>
      <c r="I149" s="33"/>
      <c r="J149" s="33"/>
      <c r="K149" s="83"/>
    </row>
    <row r="150" spans="3:11" ht="15" customHeight="1" x14ac:dyDescent="0.2">
      <c r="C150" s="192" t="s">
        <v>113</v>
      </c>
      <c r="D150" s="193"/>
      <c r="E150" s="193"/>
      <c r="F150" s="84">
        <f>HLOOKUP(F124,Resul!$I$53:$U$68,14,0)</f>
        <v>0</v>
      </c>
      <c r="H150" s="192" t="s">
        <v>113</v>
      </c>
      <c r="I150" s="193"/>
      <c r="J150" s="193"/>
      <c r="K150" s="84">
        <f>HLOOKUP(K124,Resul!$I$53:$U$68,14,0)</f>
        <v>0</v>
      </c>
    </row>
    <row r="151" spans="3:11" ht="15" customHeight="1" x14ac:dyDescent="0.2">
      <c r="C151" s="85"/>
      <c r="D151" s="34"/>
      <c r="E151" s="34"/>
      <c r="F151" s="86"/>
      <c r="H151" s="85"/>
      <c r="I151" s="34"/>
      <c r="J151" s="34"/>
      <c r="K151" s="86"/>
    </row>
    <row r="152" spans="3:11" ht="15" customHeight="1" x14ac:dyDescent="0.2">
      <c r="C152" s="192" t="s">
        <v>114</v>
      </c>
      <c r="D152" s="193"/>
      <c r="E152" s="193"/>
      <c r="F152" s="87">
        <f>HLOOKUP(F124,Resul!$I$53:$U$68,15,0)</f>
        <v>0</v>
      </c>
      <c r="H152" s="192" t="s">
        <v>114</v>
      </c>
      <c r="I152" s="193"/>
      <c r="J152" s="193"/>
      <c r="K152" s="87">
        <f>HLOOKUP(K124,Resul!$I$53:$U$68,15,0)</f>
        <v>0</v>
      </c>
    </row>
    <row r="153" spans="3:11" ht="15" customHeight="1" x14ac:dyDescent="0.2">
      <c r="C153" s="82"/>
      <c r="D153" s="33"/>
      <c r="E153" s="33"/>
      <c r="F153" s="83"/>
      <c r="H153" s="82"/>
      <c r="I153" s="33"/>
      <c r="J153" s="33"/>
      <c r="K153" s="83"/>
    </row>
    <row r="154" spans="3:11" ht="15" customHeight="1" x14ac:dyDescent="0.2">
      <c r="C154" s="194" t="s">
        <v>115</v>
      </c>
      <c r="D154" s="195"/>
      <c r="E154" s="195"/>
      <c r="F154" s="88">
        <f>HLOOKUP(F124,Resul!$I$53:$U$68,16,0)</f>
        <v>0</v>
      </c>
      <c r="H154" s="194" t="s">
        <v>115</v>
      </c>
      <c r="I154" s="195"/>
      <c r="J154" s="195"/>
      <c r="K154" s="88">
        <f>HLOOKUP(K124,Resul!$I$53:$U$68,16,0)</f>
        <v>0</v>
      </c>
    </row>
    <row r="156" spans="3:11" ht="15" customHeight="1" x14ac:dyDescent="0.2">
      <c r="C156" s="190" t="s">
        <v>97</v>
      </c>
      <c r="D156" s="191"/>
      <c r="E156" s="191"/>
      <c r="F156" s="81" t="s">
        <v>125</v>
      </c>
      <c r="H156" s="190" t="s">
        <v>97</v>
      </c>
      <c r="I156" s="191"/>
      <c r="J156" s="191"/>
      <c r="K156" s="81" t="s">
        <v>126</v>
      </c>
    </row>
    <row r="157" spans="3:11" ht="15" customHeight="1" x14ac:dyDescent="0.2">
      <c r="C157" s="82"/>
      <c r="D157" s="33"/>
      <c r="E157" s="33"/>
      <c r="F157" s="83"/>
      <c r="H157" s="82"/>
      <c r="I157" s="33"/>
      <c r="J157" s="33"/>
      <c r="K157" s="83"/>
    </row>
    <row r="158" spans="3:11" ht="15" customHeight="1" x14ac:dyDescent="0.2">
      <c r="C158" s="192" t="s">
        <v>101</v>
      </c>
      <c r="D158" s="193"/>
      <c r="E158" s="193"/>
      <c r="F158" s="84">
        <f>HLOOKUP(F156,Resul!$I$53:$U$68,2,0)</f>
        <v>0</v>
      </c>
      <c r="H158" s="192" t="s">
        <v>101</v>
      </c>
      <c r="I158" s="193"/>
      <c r="J158" s="193"/>
      <c r="K158" s="84">
        <f>HLOOKUP(K156,Resul!$I$53:$U$68,2,0)</f>
        <v>0</v>
      </c>
    </row>
    <row r="159" spans="3:11" ht="15" customHeight="1" x14ac:dyDescent="0.2">
      <c r="C159" s="82"/>
      <c r="D159" s="33"/>
      <c r="E159" s="33"/>
      <c r="F159" s="83"/>
      <c r="H159" s="82"/>
      <c r="I159" s="33"/>
      <c r="J159" s="33"/>
      <c r="K159" s="83"/>
    </row>
    <row r="160" spans="3:11" ht="15" customHeight="1" x14ac:dyDescent="0.2">
      <c r="C160" s="192" t="s">
        <v>102</v>
      </c>
      <c r="D160" s="193"/>
      <c r="E160" s="193"/>
      <c r="F160" s="84">
        <f>HLOOKUP(F156,Resul!$I$53:$U$68,3,0)</f>
        <v>0</v>
      </c>
      <c r="H160" s="192" t="s">
        <v>102</v>
      </c>
      <c r="I160" s="193"/>
      <c r="J160" s="193"/>
      <c r="K160" s="84">
        <f>HLOOKUP(K156,Resul!$I$53:$U$68,3,0)</f>
        <v>0</v>
      </c>
    </row>
    <row r="161" spans="3:11" ht="15" customHeight="1" x14ac:dyDescent="0.2">
      <c r="C161" s="82"/>
      <c r="D161" s="33"/>
      <c r="E161" s="33"/>
      <c r="F161" s="83"/>
      <c r="H161" s="82"/>
      <c r="I161" s="33"/>
      <c r="J161" s="33"/>
      <c r="K161" s="83"/>
    </row>
    <row r="162" spans="3:11" ht="15" customHeight="1" x14ac:dyDescent="0.2">
      <c r="C162" s="192" t="s">
        <v>103</v>
      </c>
      <c r="D162" s="193"/>
      <c r="E162" s="193"/>
      <c r="F162" s="84">
        <f>HLOOKUP(F156,Resul!$I$53:$U$68,4,0)</f>
        <v>0</v>
      </c>
      <c r="H162" s="192" t="s">
        <v>103</v>
      </c>
      <c r="I162" s="193"/>
      <c r="J162" s="193"/>
      <c r="K162" s="84">
        <f>HLOOKUP(K156,Resul!$I$53:$U$68,4,0)</f>
        <v>0</v>
      </c>
    </row>
    <row r="163" spans="3:11" ht="15" customHeight="1" x14ac:dyDescent="0.2">
      <c r="C163" s="82"/>
      <c r="D163" s="33"/>
      <c r="E163" s="33"/>
      <c r="F163" s="83"/>
      <c r="H163" s="82"/>
      <c r="I163" s="33"/>
      <c r="J163" s="33"/>
      <c r="K163" s="83"/>
    </row>
    <row r="164" spans="3:11" ht="15" customHeight="1" x14ac:dyDescent="0.2">
      <c r="C164" s="192" t="s">
        <v>104</v>
      </c>
      <c r="D164" s="193"/>
      <c r="E164" s="193"/>
      <c r="F164" s="84">
        <f>HLOOKUP(F156,Resul!$I$53:$U$68,5,0)</f>
        <v>0</v>
      </c>
      <c r="H164" s="192" t="s">
        <v>104</v>
      </c>
      <c r="I164" s="193"/>
      <c r="J164" s="193"/>
      <c r="K164" s="84">
        <f>HLOOKUP(K156,Resul!$I$53:$U$68,5,0)</f>
        <v>0</v>
      </c>
    </row>
    <row r="165" spans="3:11" ht="15" customHeight="1" x14ac:dyDescent="0.2">
      <c r="C165" s="82"/>
      <c r="D165" s="33"/>
      <c r="E165" s="33"/>
      <c r="F165" s="83"/>
      <c r="H165" s="82"/>
      <c r="I165" s="33"/>
      <c r="J165" s="33"/>
      <c r="K165" s="83"/>
    </row>
    <row r="166" spans="3:11" ht="15" customHeight="1" x14ac:dyDescent="0.2">
      <c r="C166" s="192" t="s">
        <v>105</v>
      </c>
      <c r="D166" s="193"/>
      <c r="E166" s="193"/>
      <c r="F166" s="84">
        <f>HLOOKUP(F156,Resul!$I$53:$U$68,6,0)</f>
        <v>0</v>
      </c>
      <c r="H166" s="192" t="s">
        <v>105</v>
      </c>
      <c r="I166" s="193"/>
      <c r="J166" s="193"/>
      <c r="K166" s="84">
        <f>HLOOKUP(K156,Resul!$I$53:$U$68,6,0)</f>
        <v>0</v>
      </c>
    </row>
    <row r="167" spans="3:11" ht="15" customHeight="1" x14ac:dyDescent="0.2">
      <c r="C167" s="82"/>
      <c r="D167" s="33"/>
      <c r="E167" s="33"/>
      <c r="F167" s="83"/>
      <c r="H167" s="82"/>
      <c r="I167" s="33"/>
      <c r="J167" s="33"/>
      <c r="K167" s="83"/>
    </row>
    <row r="168" spans="3:11" ht="15" customHeight="1" x14ac:dyDescent="0.2">
      <c r="C168" s="192" t="s">
        <v>108</v>
      </c>
      <c r="D168" s="193"/>
      <c r="E168" s="193"/>
      <c r="F168" s="84">
        <f>HLOOKUP(F156,Resul!$I$53:$U$68,7,0)</f>
        <v>0</v>
      </c>
      <c r="H168" s="192" t="s">
        <v>108</v>
      </c>
      <c r="I168" s="193"/>
      <c r="J168" s="193"/>
      <c r="K168" s="84">
        <f>HLOOKUP(K156,Resul!$I$53:$U$68,7,0)</f>
        <v>0</v>
      </c>
    </row>
    <row r="169" spans="3:11" ht="15" customHeight="1" x14ac:dyDescent="0.2">
      <c r="C169" s="82"/>
      <c r="D169" s="33"/>
      <c r="E169" s="33"/>
      <c r="F169" s="83"/>
      <c r="H169" s="82"/>
      <c r="I169" s="33"/>
      <c r="J169" s="33"/>
      <c r="K169" s="83"/>
    </row>
    <row r="170" spans="3:11" ht="15" customHeight="1" x14ac:dyDescent="0.2">
      <c r="C170" s="192" t="s">
        <v>107</v>
      </c>
      <c r="D170" s="193"/>
      <c r="E170" s="193"/>
      <c r="F170" s="84">
        <f>HLOOKUP(F156,Resul!$I$53:$U$68,8,0)</f>
        <v>0</v>
      </c>
      <c r="H170" s="192" t="s">
        <v>107</v>
      </c>
      <c r="I170" s="193"/>
      <c r="J170" s="193"/>
      <c r="K170" s="84">
        <f>HLOOKUP(K156,Resul!$I$53:$U$68,8,0)</f>
        <v>0</v>
      </c>
    </row>
    <row r="171" spans="3:11" ht="15" customHeight="1" x14ac:dyDescent="0.2">
      <c r="C171" s="82"/>
      <c r="D171" s="33"/>
      <c r="E171" s="33"/>
      <c r="F171" s="83"/>
      <c r="H171" s="82"/>
      <c r="I171" s="33"/>
      <c r="J171" s="33"/>
      <c r="K171" s="83"/>
    </row>
    <row r="172" spans="3:11" ht="15" customHeight="1" x14ac:dyDescent="0.2">
      <c r="C172" s="192" t="s">
        <v>106</v>
      </c>
      <c r="D172" s="193"/>
      <c r="E172" s="193"/>
      <c r="F172" s="84">
        <f>HLOOKUP(F156,Resul!$I$53:$U$68,9,0)</f>
        <v>0</v>
      </c>
      <c r="H172" s="192" t="s">
        <v>106</v>
      </c>
      <c r="I172" s="193"/>
      <c r="J172" s="193"/>
      <c r="K172" s="84">
        <f>HLOOKUP(K156,Resul!$I$53:$U$68,9,0)</f>
        <v>0</v>
      </c>
    </row>
    <row r="173" spans="3:11" ht="15" customHeight="1" x14ac:dyDescent="0.2">
      <c r="C173" s="82"/>
      <c r="D173" s="33"/>
      <c r="E173" s="33"/>
      <c r="F173" s="83"/>
      <c r="H173" s="82"/>
      <c r="I173" s="33"/>
      <c r="J173" s="33"/>
      <c r="K173" s="83"/>
    </row>
    <row r="174" spans="3:11" ht="15" customHeight="1" x14ac:dyDescent="0.2">
      <c r="C174" s="192" t="s">
        <v>109</v>
      </c>
      <c r="D174" s="193"/>
      <c r="E174" s="193"/>
      <c r="F174" s="84">
        <f>HLOOKUP(F156,Resul!$I$53:$U$68,10,0)</f>
        <v>0</v>
      </c>
      <c r="H174" s="192" t="s">
        <v>109</v>
      </c>
      <c r="I174" s="193"/>
      <c r="J174" s="193"/>
      <c r="K174" s="84">
        <f>HLOOKUP(K156,Resul!$I$53:$U$68,10,0)</f>
        <v>0</v>
      </c>
    </row>
    <row r="175" spans="3:11" ht="15" customHeight="1" x14ac:dyDescent="0.2">
      <c r="C175" s="82"/>
      <c r="D175" s="33"/>
      <c r="E175" s="33"/>
      <c r="F175" s="83"/>
      <c r="H175" s="82"/>
      <c r="I175" s="33"/>
      <c r="J175" s="33"/>
      <c r="K175" s="83"/>
    </row>
    <row r="176" spans="3:11" ht="15" customHeight="1" x14ac:dyDescent="0.2">
      <c r="C176" s="192" t="s">
        <v>110</v>
      </c>
      <c r="D176" s="193"/>
      <c r="E176" s="193"/>
      <c r="F176" s="84">
        <f>HLOOKUP(F156,Resul!$I$53:$U$68,11,0)</f>
        <v>0</v>
      </c>
      <c r="H176" s="192" t="s">
        <v>110</v>
      </c>
      <c r="I176" s="193"/>
      <c r="J176" s="193"/>
      <c r="K176" s="84">
        <f>HLOOKUP(K156,Resul!$I$53:$U$68,11,0)</f>
        <v>0</v>
      </c>
    </row>
    <row r="177" spans="3:11" ht="15" customHeight="1" x14ac:dyDescent="0.2">
      <c r="C177" s="82"/>
      <c r="D177" s="33"/>
      <c r="E177" s="33"/>
      <c r="F177" s="83"/>
      <c r="H177" s="82"/>
      <c r="I177" s="33"/>
      <c r="J177" s="33"/>
      <c r="K177" s="83"/>
    </row>
    <row r="178" spans="3:11" ht="15" customHeight="1" x14ac:dyDescent="0.2">
      <c r="C178" s="192" t="s">
        <v>111</v>
      </c>
      <c r="D178" s="193"/>
      <c r="E178" s="193"/>
      <c r="F178" s="84">
        <f>HLOOKUP(F156,Resul!$I$53:$U$68,12,0)</f>
        <v>0</v>
      </c>
      <c r="H178" s="192" t="s">
        <v>111</v>
      </c>
      <c r="I178" s="193"/>
      <c r="J178" s="193"/>
      <c r="K178" s="84">
        <f>HLOOKUP(K156,Resul!$I$53:$U$68,12,0)</f>
        <v>0</v>
      </c>
    </row>
    <row r="179" spans="3:11" ht="15" customHeight="1" x14ac:dyDescent="0.2">
      <c r="C179" s="82"/>
      <c r="D179" s="33"/>
      <c r="E179" s="33"/>
      <c r="F179" s="83"/>
      <c r="H179" s="82"/>
      <c r="I179" s="33"/>
      <c r="J179" s="33"/>
      <c r="K179" s="83"/>
    </row>
    <row r="180" spans="3:11" ht="15" customHeight="1" x14ac:dyDescent="0.2">
      <c r="C180" s="197" t="s">
        <v>112</v>
      </c>
      <c r="D180" s="193"/>
      <c r="E180" s="193"/>
      <c r="F180" s="84">
        <f>HLOOKUP(F156,Resul!$I$53:$U$68,13,0)</f>
        <v>0</v>
      </c>
      <c r="H180" s="197" t="s">
        <v>112</v>
      </c>
      <c r="I180" s="193"/>
      <c r="J180" s="193"/>
      <c r="K180" s="84">
        <f>HLOOKUP(K156,Resul!$I$53:$U$68,13,0)</f>
        <v>0</v>
      </c>
    </row>
    <row r="181" spans="3:11" ht="15" customHeight="1" x14ac:dyDescent="0.2">
      <c r="C181" s="82"/>
      <c r="D181" s="33"/>
      <c r="E181" s="33"/>
      <c r="F181" s="83"/>
      <c r="H181" s="82"/>
      <c r="I181" s="33"/>
      <c r="J181" s="33"/>
      <c r="K181" s="83"/>
    </row>
    <row r="182" spans="3:11" ht="15" customHeight="1" x14ac:dyDescent="0.2">
      <c r="C182" s="192" t="s">
        <v>113</v>
      </c>
      <c r="D182" s="193"/>
      <c r="E182" s="193"/>
      <c r="F182" s="84">
        <f>HLOOKUP(F156,Resul!$I$53:$U$68,14,0)</f>
        <v>0</v>
      </c>
      <c r="H182" s="192" t="s">
        <v>113</v>
      </c>
      <c r="I182" s="193"/>
      <c r="J182" s="193"/>
      <c r="K182" s="84">
        <f>HLOOKUP(K156,Resul!$I$53:$U$68,14,0)</f>
        <v>0</v>
      </c>
    </row>
    <row r="183" spans="3:11" ht="15" customHeight="1" x14ac:dyDescent="0.2">
      <c r="C183" s="85"/>
      <c r="D183" s="34"/>
      <c r="E183" s="34"/>
      <c r="F183" s="86"/>
      <c r="H183" s="85"/>
      <c r="I183" s="34"/>
      <c r="J183" s="34"/>
      <c r="K183" s="86"/>
    </row>
    <row r="184" spans="3:11" ht="15" customHeight="1" x14ac:dyDescent="0.2">
      <c r="C184" s="192" t="s">
        <v>114</v>
      </c>
      <c r="D184" s="193"/>
      <c r="E184" s="193"/>
      <c r="F184" s="87">
        <f>HLOOKUP(F156,Resul!$I$53:$U$68,15,0)</f>
        <v>0</v>
      </c>
      <c r="H184" s="192" t="s">
        <v>114</v>
      </c>
      <c r="I184" s="193"/>
      <c r="J184" s="193"/>
      <c r="K184" s="87">
        <f>HLOOKUP(K156,Resul!$I$53:$U$68,15,0)</f>
        <v>0</v>
      </c>
    </row>
    <row r="185" spans="3:11" ht="15" customHeight="1" x14ac:dyDescent="0.2">
      <c r="C185" s="82"/>
      <c r="D185" s="33"/>
      <c r="E185" s="33"/>
      <c r="F185" s="83"/>
      <c r="H185" s="82"/>
      <c r="I185" s="33"/>
      <c r="J185" s="33"/>
      <c r="K185" s="83"/>
    </row>
    <row r="186" spans="3:11" ht="15" customHeight="1" x14ac:dyDescent="0.2">
      <c r="C186" s="194" t="s">
        <v>115</v>
      </c>
      <c r="D186" s="195"/>
      <c r="E186" s="195"/>
      <c r="F186" s="88">
        <f>HLOOKUP(F156,Resul!$I$53:$U$68,16,0)</f>
        <v>0</v>
      </c>
      <c r="H186" s="194" t="s">
        <v>115</v>
      </c>
      <c r="I186" s="195"/>
      <c r="J186" s="195"/>
      <c r="K186" s="88">
        <f>HLOOKUP(K156,Resul!$I$53:$U$68,16,0)</f>
        <v>0</v>
      </c>
    </row>
    <row r="188" spans="3:11" ht="15" customHeight="1" x14ac:dyDescent="0.2">
      <c r="C188" s="190" t="s">
        <v>97</v>
      </c>
      <c r="D188" s="191"/>
      <c r="E188" s="191"/>
      <c r="F188" s="81" t="s">
        <v>127</v>
      </c>
      <c r="H188" s="190" t="s">
        <v>97</v>
      </c>
      <c r="I188" s="191"/>
      <c r="J188" s="191"/>
      <c r="K188" s="81" t="s">
        <v>128</v>
      </c>
    </row>
    <row r="189" spans="3:11" ht="15" customHeight="1" x14ac:dyDescent="0.2">
      <c r="C189" s="82"/>
      <c r="D189" s="33"/>
      <c r="E189" s="33"/>
      <c r="F189" s="83"/>
      <c r="H189" s="82"/>
      <c r="I189" s="33"/>
      <c r="J189" s="33"/>
      <c r="K189" s="83"/>
    </row>
    <row r="190" spans="3:11" ht="15" customHeight="1" x14ac:dyDescent="0.2">
      <c r="C190" s="192" t="s">
        <v>101</v>
      </c>
      <c r="D190" s="193"/>
      <c r="E190" s="193"/>
      <c r="F190" s="84">
        <f>HLOOKUP(F188,Resul!$I$53:$U$68,2,0)</f>
        <v>0</v>
      </c>
      <c r="H190" s="192" t="s">
        <v>101</v>
      </c>
      <c r="I190" s="193"/>
      <c r="J190" s="193"/>
      <c r="K190" s="84">
        <f>HLOOKUP(K188,Resul!$I$53:$U$68,2,0)</f>
        <v>0</v>
      </c>
    </row>
    <row r="191" spans="3:11" ht="15" customHeight="1" x14ac:dyDescent="0.2">
      <c r="C191" s="82"/>
      <c r="D191" s="33"/>
      <c r="E191" s="33"/>
      <c r="F191" s="83"/>
      <c r="H191" s="82"/>
      <c r="I191" s="33"/>
      <c r="J191" s="33"/>
      <c r="K191" s="83"/>
    </row>
    <row r="192" spans="3:11" ht="15" customHeight="1" x14ac:dyDescent="0.2">
      <c r="C192" s="192" t="s">
        <v>102</v>
      </c>
      <c r="D192" s="193"/>
      <c r="E192" s="193"/>
      <c r="F192" s="84">
        <f>HLOOKUP(F188,Resul!$I$53:$U$68,3,0)</f>
        <v>0</v>
      </c>
      <c r="H192" s="192" t="s">
        <v>102</v>
      </c>
      <c r="I192" s="193"/>
      <c r="J192" s="193"/>
      <c r="K192" s="84">
        <f>HLOOKUP(K188,Resul!$I$53:$U$68,3,0)</f>
        <v>0</v>
      </c>
    </row>
    <row r="193" spans="3:11" ht="15" customHeight="1" x14ac:dyDescent="0.2">
      <c r="C193" s="82"/>
      <c r="D193" s="33"/>
      <c r="E193" s="33"/>
      <c r="F193" s="83"/>
      <c r="H193" s="82"/>
      <c r="I193" s="33"/>
      <c r="J193" s="33"/>
      <c r="K193" s="83"/>
    </row>
    <row r="194" spans="3:11" ht="15" customHeight="1" x14ac:dyDescent="0.2">
      <c r="C194" s="192" t="s">
        <v>103</v>
      </c>
      <c r="D194" s="193"/>
      <c r="E194" s="193"/>
      <c r="F194" s="84">
        <f>HLOOKUP(F188,Resul!$I$53:$U$68,4,0)</f>
        <v>0</v>
      </c>
      <c r="H194" s="192" t="s">
        <v>103</v>
      </c>
      <c r="I194" s="193"/>
      <c r="J194" s="193"/>
      <c r="K194" s="84">
        <f>HLOOKUP(K188,Resul!$I$53:$U$68,4,0)</f>
        <v>0</v>
      </c>
    </row>
    <row r="195" spans="3:11" ht="15" customHeight="1" x14ac:dyDescent="0.2">
      <c r="C195" s="82"/>
      <c r="D195" s="33"/>
      <c r="E195" s="33"/>
      <c r="F195" s="83"/>
      <c r="H195" s="82"/>
      <c r="I195" s="33"/>
      <c r="J195" s="33"/>
      <c r="K195" s="83"/>
    </row>
    <row r="196" spans="3:11" ht="15" customHeight="1" x14ac:dyDescent="0.2">
      <c r="C196" s="192" t="s">
        <v>104</v>
      </c>
      <c r="D196" s="193"/>
      <c r="E196" s="193"/>
      <c r="F196" s="84">
        <f>HLOOKUP(F188,Resul!$I$53:$U$68,5,0)</f>
        <v>0</v>
      </c>
      <c r="H196" s="192" t="s">
        <v>104</v>
      </c>
      <c r="I196" s="193"/>
      <c r="J196" s="193"/>
      <c r="K196" s="84">
        <f>HLOOKUP(K188,Resul!$I$53:$U$68,5,0)</f>
        <v>0</v>
      </c>
    </row>
    <row r="197" spans="3:11" ht="15" customHeight="1" x14ac:dyDescent="0.2">
      <c r="C197" s="82"/>
      <c r="D197" s="33"/>
      <c r="E197" s="33"/>
      <c r="F197" s="83"/>
      <c r="H197" s="82"/>
      <c r="I197" s="33"/>
      <c r="J197" s="33"/>
      <c r="K197" s="83"/>
    </row>
    <row r="198" spans="3:11" ht="15" customHeight="1" x14ac:dyDescent="0.2">
      <c r="C198" s="192" t="s">
        <v>105</v>
      </c>
      <c r="D198" s="193"/>
      <c r="E198" s="193"/>
      <c r="F198" s="84">
        <f>HLOOKUP(F188,Resul!$I$53:$U$68,6,0)</f>
        <v>0</v>
      </c>
      <c r="H198" s="192" t="s">
        <v>105</v>
      </c>
      <c r="I198" s="193"/>
      <c r="J198" s="193"/>
      <c r="K198" s="84">
        <f>HLOOKUP(K188,Resul!$I$53:$U$68,6,0)</f>
        <v>0</v>
      </c>
    </row>
    <row r="199" spans="3:11" ht="15" customHeight="1" x14ac:dyDescent="0.2">
      <c r="C199" s="82"/>
      <c r="D199" s="33"/>
      <c r="E199" s="33"/>
      <c r="F199" s="83"/>
      <c r="H199" s="82"/>
      <c r="I199" s="33"/>
      <c r="J199" s="33"/>
      <c r="K199" s="83"/>
    </row>
    <row r="200" spans="3:11" ht="15" customHeight="1" x14ac:dyDescent="0.2">
      <c r="C200" s="192" t="s">
        <v>108</v>
      </c>
      <c r="D200" s="193"/>
      <c r="E200" s="193"/>
      <c r="F200" s="84">
        <f>HLOOKUP(F188,Resul!$I$53:$U$68,7,0)</f>
        <v>0</v>
      </c>
      <c r="H200" s="192" t="s">
        <v>108</v>
      </c>
      <c r="I200" s="193"/>
      <c r="J200" s="193"/>
      <c r="K200" s="84">
        <f>HLOOKUP(K188,Resul!$I$53:$U$68,7,0)</f>
        <v>0</v>
      </c>
    </row>
    <row r="201" spans="3:11" ht="15" customHeight="1" x14ac:dyDescent="0.2">
      <c r="C201" s="82"/>
      <c r="D201" s="33"/>
      <c r="E201" s="33"/>
      <c r="F201" s="83"/>
      <c r="H201" s="82"/>
      <c r="I201" s="33"/>
      <c r="J201" s="33"/>
      <c r="K201" s="83"/>
    </row>
    <row r="202" spans="3:11" ht="15" customHeight="1" x14ac:dyDescent="0.2">
      <c r="C202" s="192" t="s">
        <v>107</v>
      </c>
      <c r="D202" s="193"/>
      <c r="E202" s="193"/>
      <c r="F202" s="84">
        <f>HLOOKUP(F188,Resul!$I$53:$U$68,8,0)</f>
        <v>0</v>
      </c>
      <c r="H202" s="192" t="s">
        <v>107</v>
      </c>
      <c r="I202" s="193"/>
      <c r="J202" s="193"/>
      <c r="K202" s="84">
        <f>HLOOKUP(K188,Resul!$I$53:$U$68,8,0)</f>
        <v>0</v>
      </c>
    </row>
    <row r="203" spans="3:11" ht="15" customHeight="1" x14ac:dyDescent="0.2">
      <c r="C203" s="82"/>
      <c r="D203" s="33"/>
      <c r="E203" s="33"/>
      <c r="F203" s="83"/>
      <c r="H203" s="82"/>
      <c r="I203" s="33"/>
      <c r="J203" s="33"/>
      <c r="K203" s="83"/>
    </row>
    <row r="204" spans="3:11" ht="15" customHeight="1" x14ac:dyDescent="0.2">
      <c r="C204" s="192" t="s">
        <v>106</v>
      </c>
      <c r="D204" s="193"/>
      <c r="E204" s="193"/>
      <c r="F204" s="84">
        <f>HLOOKUP(F188,Resul!$I$53:$U$68,9,0)</f>
        <v>0</v>
      </c>
      <c r="H204" s="192" t="s">
        <v>106</v>
      </c>
      <c r="I204" s="193"/>
      <c r="J204" s="193"/>
      <c r="K204" s="84">
        <f>HLOOKUP(K188,Resul!$I$53:$U$68,9,0)</f>
        <v>0</v>
      </c>
    </row>
    <row r="205" spans="3:11" ht="15" customHeight="1" x14ac:dyDescent="0.2">
      <c r="C205" s="82"/>
      <c r="D205" s="33"/>
      <c r="E205" s="33"/>
      <c r="F205" s="83"/>
      <c r="H205" s="82"/>
      <c r="I205" s="33"/>
      <c r="J205" s="33"/>
      <c r="K205" s="83"/>
    </row>
    <row r="206" spans="3:11" ht="15" customHeight="1" x14ac:dyDescent="0.2">
      <c r="C206" s="192" t="s">
        <v>109</v>
      </c>
      <c r="D206" s="193"/>
      <c r="E206" s="193"/>
      <c r="F206" s="84">
        <f>HLOOKUP(F188,Resul!$I$53:$U$68,10,0)</f>
        <v>0</v>
      </c>
      <c r="H206" s="192" t="s">
        <v>109</v>
      </c>
      <c r="I206" s="193"/>
      <c r="J206" s="193"/>
      <c r="K206" s="84">
        <f>HLOOKUP(K188,Resul!$I$53:$U$68,10,0)</f>
        <v>0</v>
      </c>
    </row>
    <row r="207" spans="3:11" ht="15" customHeight="1" x14ac:dyDescent="0.2">
      <c r="C207" s="82"/>
      <c r="D207" s="33"/>
      <c r="E207" s="33"/>
      <c r="F207" s="83"/>
      <c r="H207" s="82"/>
      <c r="I207" s="33"/>
      <c r="J207" s="33"/>
      <c r="K207" s="83"/>
    </row>
    <row r="208" spans="3:11" ht="15" customHeight="1" x14ac:dyDescent="0.2">
      <c r="C208" s="192" t="s">
        <v>110</v>
      </c>
      <c r="D208" s="193"/>
      <c r="E208" s="193"/>
      <c r="F208" s="84">
        <f>HLOOKUP(F188,Resul!$I$53:$U$68,11,0)</f>
        <v>0</v>
      </c>
      <c r="H208" s="192" t="s">
        <v>110</v>
      </c>
      <c r="I208" s="193"/>
      <c r="J208" s="193"/>
      <c r="K208" s="84">
        <f>HLOOKUP(K188,Resul!$I$53:$U$68,11,0)</f>
        <v>0</v>
      </c>
    </row>
    <row r="209" spans="3:11" ht="15" customHeight="1" x14ac:dyDescent="0.2">
      <c r="C209" s="82"/>
      <c r="D209" s="33"/>
      <c r="E209" s="33"/>
      <c r="F209" s="83"/>
      <c r="H209" s="82"/>
      <c r="I209" s="33"/>
      <c r="J209" s="33"/>
      <c r="K209" s="83"/>
    </row>
    <row r="210" spans="3:11" ht="15" customHeight="1" x14ac:dyDescent="0.2">
      <c r="C210" s="192" t="s">
        <v>111</v>
      </c>
      <c r="D210" s="193"/>
      <c r="E210" s="193"/>
      <c r="F210" s="84">
        <f>HLOOKUP(F188,Resul!$I$53:$U$68,12,0)</f>
        <v>0</v>
      </c>
      <c r="H210" s="192" t="s">
        <v>111</v>
      </c>
      <c r="I210" s="193"/>
      <c r="J210" s="193"/>
      <c r="K210" s="84">
        <f>HLOOKUP(K188,Resul!$I$53:$U$68,12,0)</f>
        <v>0</v>
      </c>
    </row>
    <row r="211" spans="3:11" ht="15" customHeight="1" x14ac:dyDescent="0.2">
      <c r="C211" s="82"/>
      <c r="D211" s="33"/>
      <c r="E211" s="33"/>
      <c r="F211" s="83"/>
      <c r="H211" s="82"/>
      <c r="I211" s="33"/>
      <c r="J211" s="33"/>
      <c r="K211" s="83"/>
    </row>
    <row r="212" spans="3:11" ht="15" customHeight="1" x14ac:dyDescent="0.2">
      <c r="C212" s="197" t="s">
        <v>112</v>
      </c>
      <c r="D212" s="193"/>
      <c r="E212" s="193"/>
      <c r="F212" s="84">
        <f>HLOOKUP(F188,Resul!$I$53:$U$68,13,0)</f>
        <v>0</v>
      </c>
      <c r="H212" s="197" t="s">
        <v>112</v>
      </c>
      <c r="I212" s="193"/>
      <c r="J212" s="193"/>
      <c r="K212" s="84">
        <f>HLOOKUP(K188,Resul!$I$53:$U$68,13,0)</f>
        <v>0</v>
      </c>
    </row>
    <row r="213" spans="3:11" ht="15" customHeight="1" x14ac:dyDescent="0.2">
      <c r="C213" s="82"/>
      <c r="D213" s="33"/>
      <c r="E213" s="33"/>
      <c r="F213" s="83"/>
      <c r="H213" s="82"/>
      <c r="I213" s="33"/>
      <c r="J213" s="33"/>
      <c r="K213" s="83"/>
    </row>
    <row r="214" spans="3:11" ht="15" customHeight="1" x14ac:dyDescent="0.2">
      <c r="C214" s="192" t="s">
        <v>113</v>
      </c>
      <c r="D214" s="193"/>
      <c r="E214" s="193"/>
      <c r="F214" s="84">
        <f>HLOOKUP(F188,Resul!$I$53:$U$68,14,0)</f>
        <v>0</v>
      </c>
      <c r="H214" s="192" t="s">
        <v>113</v>
      </c>
      <c r="I214" s="193"/>
      <c r="J214" s="193"/>
      <c r="K214" s="84">
        <f>HLOOKUP(K188,Resul!$I$53:$U$68,14,0)</f>
        <v>0</v>
      </c>
    </row>
    <row r="215" spans="3:11" ht="15" customHeight="1" x14ac:dyDescent="0.2">
      <c r="C215" s="85"/>
      <c r="D215" s="34"/>
      <c r="E215" s="34"/>
      <c r="F215" s="86"/>
      <c r="H215" s="85"/>
      <c r="I215" s="34"/>
      <c r="J215" s="34"/>
      <c r="K215" s="86"/>
    </row>
    <row r="216" spans="3:11" ht="15" customHeight="1" x14ac:dyDescent="0.2">
      <c r="C216" s="192" t="s">
        <v>114</v>
      </c>
      <c r="D216" s="193"/>
      <c r="E216" s="193"/>
      <c r="F216" s="87">
        <f>HLOOKUP(F188,Resul!$I$53:$U$68,15,0)</f>
        <v>0</v>
      </c>
      <c r="H216" s="192" t="s">
        <v>114</v>
      </c>
      <c r="I216" s="193"/>
      <c r="J216" s="193"/>
      <c r="K216" s="87">
        <f>HLOOKUP(K188,Resul!$I$53:$U$68,15,0)</f>
        <v>0</v>
      </c>
    </row>
    <row r="217" spans="3:11" ht="15" customHeight="1" x14ac:dyDescent="0.2">
      <c r="C217" s="82"/>
      <c r="D217" s="33"/>
      <c r="E217" s="33"/>
      <c r="F217" s="83"/>
      <c r="H217" s="82"/>
      <c r="I217" s="33"/>
      <c r="J217" s="33"/>
      <c r="K217" s="83"/>
    </row>
    <row r="218" spans="3:11" ht="15" customHeight="1" x14ac:dyDescent="0.2">
      <c r="C218" s="194" t="s">
        <v>115</v>
      </c>
      <c r="D218" s="195"/>
      <c r="E218" s="195"/>
      <c r="F218" s="88">
        <f>HLOOKUP(F188,Resul!$I$53:$U$68,16,0)</f>
        <v>0</v>
      </c>
      <c r="H218" s="194" t="s">
        <v>115</v>
      </c>
      <c r="I218" s="195"/>
      <c r="J218" s="195"/>
      <c r="K218" s="88">
        <f>HLOOKUP(K188,Resul!$I$53:$U$68,16,0)</f>
        <v>0</v>
      </c>
    </row>
  </sheetData>
  <sheetProtection sheet="1" objects="1" scenarios="1" selectLockedCells="1"/>
  <mergeCells count="195">
    <mergeCell ref="C206:E206"/>
    <mergeCell ref="H206:J206"/>
    <mergeCell ref="C208:E208"/>
    <mergeCell ref="H208:J208"/>
    <mergeCell ref="C210:E210"/>
    <mergeCell ref="H210:J210"/>
    <mergeCell ref="C218:E218"/>
    <mergeCell ref="H218:J218"/>
    <mergeCell ref="C212:E212"/>
    <mergeCell ref="H212:J212"/>
    <mergeCell ref="C214:E214"/>
    <mergeCell ref="H214:J214"/>
    <mergeCell ref="C216:E216"/>
    <mergeCell ref="H216:J216"/>
    <mergeCell ref="C204:E204"/>
    <mergeCell ref="H204:J204"/>
    <mergeCell ref="C182:E182"/>
    <mergeCell ref="H182:J182"/>
    <mergeCell ref="C184:E184"/>
    <mergeCell ref="H184:J184"/>
    <mergeCell ref="C186:E186"/>
    <mergeCell ref="H186:J186"/>
    <mergeCell ref="C188:E188"/>
    <mergeCell ref="H188:J188"/>
    <mergeCell ref="C190:E190"/>
    <mergeCell ref="H190:J190"/>
    <mergeCell ref="C192:E192"/>
    <mergeCell ref="H192:J192"/>
    <mergeCell ref="C194:E194"/>
    <mergeCell ref="H194:J194"/>
    <mergeCell ref="C196:E196"/>
    <mergeCell ref="H196:J196"/>
    <mergeCell ref="C198:E198"/>
    <mergeCell ref="H198:J198"/>
    <mergeCell ref="C200:E200"/>
    <mergeCell ref="H200:J200"/>
    <mergeCell ref="C202:E202"/>
    <mergeCell ref="H202:J202"/>
    <mergeCell ref="C180:E180"/>
    <mergeCell ref="H180:J180"/>
    <mergeCell ref="C158:E158"/>
    <mergeCell ref="H158:J158"/>
    <mergeCell ref="C160:E160"/>
    <mergeCell ref="H160:J160"/>
    <mergeCell ref="C162:E162"/>
    <mergeCell ref="H162:J162"/>
    <mergeCell ref="C164:E164"/>
    <mergeCell ref="H164:J164"/>
    <mergeCell ref="C166:E166"/>
    <mergeCell ref="H166:J166"/>
    <mergeCell ref="C168:E168"/>
    <mergeCell ref="H168:J168"/>
    <mergeCell ref="C170:E170"/>
    <mergeCell ref="H170:J170"/>
    <mergeCell ref="C172:E172"/>
    <mergeCell ref="H172:J172"/>
    <mergeCell ref="C174:E174"/>
    <mergeCell ref="H174:J174"/>
    <mergeCell ref="C176:E176"/>
    <mergeCell ref="H176:J176"/>
    <mergeCell ref="C178:E178"/>
    <mergeCell ref="H178:J178"/>
    <mergeCell ref="C156:E156"/>
    <mergeCell ref="H156:J156"/>
    <mergeCell ref="C134:E134"/>
    <mergeCell ref="H134:J134"/>
    <mergeCell ref="C136:E136"/>
    <mergeCell ref="H136:J136"/>
    <mergeCell ref="C138:E138"/>
    <mergeCell ref="H138:J138"/>
    <mergeCell ref="C140:E140"/>
    <mergeCell ref="H140:J140"/>
    <mergeCell ref="C142:E142"/>
    <mergeCell ref="H142:J142"/>
    <mergeCell ref="C144:E144"/>
    <mergeCell ref="H144:J144"/>
    <mergeCell ref="C146:E146"/>
    <mergeCell ref="H146:J146"/>
    <mergeCell ref="C148:E148"/>
    <mergeCell ref="H148:J148"/>
    <mergeCell ref="C150:E150"/>
    <mergeCell ref="H150:J150"/>
    <mergeCell ref="C152:E152"/>
    <mergeCell ref="H152:J152"/>
    <mergeCell ref="C154:E154"/>
    <mergeCell ref="H154:J154"/>
    <mergeCell ref="C132:E132"/>
    <mergeCell ref="H132:J132"/>
    <mergeCell ref="C110:E110"/>
    <mergeCell ref="H110:J110"/>
    <mergeCell ref="C112:E112"/>
    <mergeCell ref="H112:J112"/>
    <mergeCell ref="C114:E114"/>
    <mergeCell ref="H114:J114"/>
    <mergeCell ref="C116:E116"/>
    <mergeCell ref="H116:J116"/>
    <mergeCell ref="C118:E118"/>
    <mergeCell ref="H118:J118"/>
    <mergeCell ref="C120:E120"/>
    <mergeCell ref="H120:J120"/>
    <mergeCell ref="C122:E122"/>
    <mergeCell ref="H122:J122"/>
    <mergeCell ref="C124:E124"/>
    <mergeCell ref="H124:J124"/>
    <mergeCell ref="C126:E126"/>
    <mergeCell ref="H126:J126"/>
    <mergeCell ref="C128:E128"/>
    <mergeCell ref="H128:J128"/>
    <mergeCell ref="C130:E130"/>
    <mergeCell ref="H130:J130"/>
    <mergeCell ref="C108:E108"/>
    <mergeCell ref="H108:J108"/>
    <mergeCell ref="C86:E86"/>
    <mergeCell ref="H86:J86"/>
    <mergeCell ref="C88:E88"/>
    <mergeCell ref="H88:J88"/>
    <mergeCell ref="C90:E90"/>
    <mergeCell ref="H90:J90"/>
    <mergeCell ref="C92:E92"/>
    <mergeCell ref="H92:J92"/>
    <mergeCell ref="C94:E94"/>
    <mergeCell ref="H94:J94"/>
    <mergeCell ref="C96:E96"/>
    <mergeCell ref="H96:J96"/>
    <mergeCell ref="C98:E98"/>
    <mergeCell ref="H98:J98"/>
    <mergeCell ref="C100:E100"/>
    <mergeCell ref="H100:J100"/>
    <mergeCell ref="C102:E102"/>
    <mergeCell ref="H102:J102"/>
    <mergeCell ref="C104:E104"/>
    <mergeCell ref="H104:J104"/>
    <mergeCell ref="C106:E106"/>
    <mergeCell ref="H106:J106"/>
    <mergeCell ref="C84:E84"/>
    <mergeCell ref="H84:J84"/>
    <mergeCell ref="C72:E72"/>
    <mergeCell ref="H72:J72"/>
    <mergeCell ref="C62:E62"/>
    <mergeCell ref="H62:J62"/>
    <mergeCell ref="C64:E64"/>
    <mergeCell ref="H64:J64"/>
    <mergeCell ref="C66:E66"/>
    <mergeCell ref="H66:J66"/>
    <mergeCell ref="C68:E68"/>
    <mergeCell ref="H68:J68"/>
    <mergeCell ref="C70:E70"/>
    <mergeCell ref="H70:J70"/>
    <mergeCell ref="C74:E74"/>
    <mergeCell ref="H74:J74"/>
    <mergeCell ref="C76:E76"/>
    <mergeCell ref="H76:J76"/>
    <mergeCell ref="C78:E78"/>
    <mergeCell ref="H78:J78"/>
    <mergeCell ref="C80:E80"/>
    <mergeCell ref="H80:J80"/>
    <mergeCell ref="C82:E82"/>
    <mergeCell ref="H82:J82"/>
    <mergeCell ref="C6:J6"/>
    <mergeCell ref="C28:E28"/>
    <mergeCell ref="H28:J28"/>
    <mergeCell ref="H30:J30"/>
    <mergeCell ref="C30:E30"/>
    <mergeCell ref="D8:I8"/>
    <mergeCell ref="D10:I10"/>
    <mergeCell ref="H52:J52"/>
    <mergeCell ref="H54:J54"/>
    <mergeCell ref="C52:E52"/>
    <mergeCell ref="C46:E46"/>
    <mergeCell ref="C48:E48"/>
    <mergeCell ref="C50:E50"/>
    <mergeCell ref="C40:E40"/>
    <mergeCell ref="C42:E42"/>
    <mergeCell ref="C44:E44"/>
    <mergeCell ref="C60:E60"/>
    <mergeCell ref="H60:J60"/>
    <mergeCell ref="C54:E54"/>
    <mergeCell ref="C56:E56"/>
    <mergeCell ref="C58:E58"/>
    <mergeCell ref="H50:J50"/>
    <mergeCell ref="H32:J32"/>
    <mergeCell ref="H34:J34"/>
    <mergeCell ref="H36:J36"/>
    <mergeCell ref="H38:J38"/>
    <mergeCell ref="C32:E32"/>
    <mergeCell ref="C34:E34"/>
    <mergeCell ref="C36:E36"/>
    <mergeCell ref="C38:E38"/>
    <mergeCell ref="H40:J40"/>
    <mergeCell ref="H42:J42"/>
    <mergeCell ref="H44:J44"/>
    <mergeCell ref="H46:J46"/>
    <mergeCell ref="H48:J48"/>
    <mergeCell ref="H56:J56"/>
    <mergeCell ref="H58:J58"/>
  </mergeCells>
  <conditionalFormatting sqref="C8">
    <cfRule type="containsText" dxfId="18" priority="30" operator="containsText" text=":)">
      <formula>NOT(ISERROR(SEARCH(":)",C8)))</formula>
    </cfRule>
    <cfRule type="containsText" dxfId="17" priority="31" operator="containsText" text="!">
      <formula>NOT(ISERROR(SEARCH("!",C8)))</formula>
    </cfRule>
  </conditionalFormatting>
  <conditionalFormatting sqref="C10">
    <cfRule type="containsText" dxfId="16" priority="28" operator="containsText" text=":)">
      <formula>NOT(ISERROR(SEARCH(":)",C10)))</formula>
    </cfRule>
    <cfRule type="containsText" dxfId="15" priority="29" operator="containsText" text="!">
      <formula>NOT(ISERROR(SEARCH("!",C10)))</formula>
    </cfRule>
  </conditionalFormatting>
  <dataValidations count="1">
    <dataValidation type="list" allowBlank="1" showInputMessage="1" showErrorMessage="1" sqref="F28 K28 F60 K60 F92 K92 F124 K124 F156 K156 F188 K188">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scale="88" fitToHeight="0" orientation="landscape"/>
  <rowBreaks count="7" manualBreakCount="7">
    <brk id="11" min="2" max="11" man="1"/>
    <brk id="26" min="2" max="11" man="1"/>
    <brk id="59" min="2" max="11" man="1"/>
    <brk id="91" min="2" max="11" man="1"/>
    <brk id="123" min="2" max="11" man="1"/>
    <brk id="155" min="2" max="11" man="1"/>
    <brk id="187" min="2" max="11" man="1"/>
  </rowBreaks>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8" enableFormatConditionsCalculation="0">
    <pageSetUpPr fitToPage="1"/>
  </sheetPr>
  <dimension ref="A1:U110"/>
  <sheetViews>
    <sheetView showGridLines="0" topLeftCell="A2" zoomScale="90" zoomScaleNormal="90" zoomScalePageLayoutView="90" workbookViewId="0">
      <selection activeCell="F8" sqref="F8"/>
    </sheetView>
  </sheetViews>
  <sheetFormatPr baseColWidth="10" defaultColWidth="8.796875" defaultRowHeight="15" zeroHeight="1" x14ac:dyDescent="0.2"/>
  <cols>
    <col min="1" max="1" width="27.59765625" style="1" customWidth="1"/>
    <col min="2" max="2" width="3.796875" customWidth="1"/>
    <col min="3" max="3" width="12" customWidth="1"/>
    <col min="4" max="9" width="14.3984375" customWidth="1"/>
    <col min="10" max="10" width="1.19921875" hidden="1" customWidth="1"/>
    <col min="11" max="11" width="14.3984375" customWidth="1"/>
    <col min="12" max="12" width="11" hidden="1" customWidth="1"/>
    <col min="13" max="13" width="14.3984375" customWidth="1"/>
    <col min="14" max="14" width="11" hidden="1" customWidth="1"/>
    <col min="15" max="15" width="14.3984375" customWidth="1"/>
    <col min="16" max="16" width="1.59765625" customWidth="1"/>
    <col min="17" max="21" width="6.59765625" customWidth="1"/>
  </cols>
  <sheetData>
    <row r="1" spans="1:15" s="3" customFormat="1" ht="34" customHeight="1" x14ac:dyDescent="0.3">
      <c r="A1" s="130" t="s">
        <v>192</v>
      </c>
      <c r="C1" s="4" t="s">
        <v>34</v>
      </c>
    </row>
    <row r="2" spans="1:15" s="3" customFormat="1" ht="21.25" customHeight="1" x14ac:dyDescent="0.2">
      <c r="A2" s="1"/>
    </row>
    <row r="3" spans="1:15" s="3" customFormat="1" ht="21.25" customHeight="1" x14ac:dyDescent="0.2">
      <c r="A3" s="1"/>
    </row>
    <row r="4" spans="1:15" ht="30" customHeight="1" x14ac:dyDescent="0.2"/>
    <row r="5" spans="1:15" ht="30" customHeight="1" x14ac:dyDescent="0.3">
      <c r="C5" s="36" t="str">
        <f>'P Gerais'!C6:E6&amp;" | FOLHA DE PONTO"</f>
        <v>2015 | FOLHA DE PONTO</v>
      </c>
    </row>
    <row r="6" spans="1:15" ht="30" customHeight="1" x14ac:dyDescent="0.45">
      <c r="C6" s="37">
        <f>'P Gerais'!F9</f>
        <v>0</v>
      </c>
    </row>
    <row r="7" spans="1:15" ht="7.75" customHeight="1" x14ac:dyDescent="0.2"/>
    <row r="8" spans="1:15" ht="30" customHeight="1" x14ac:dyDescent="0.2">
      <c r="C8" s="173" t="s">
        <v>136</v>
      </c>
      <c r="D8" s="173"/>
      <c r="E8" s="173"/>
      <c r="F8" s="78" t="s">
        <v>116</v>
      </c>
    </row>
    <row r="9" spans="1:15" ht="7.75" customHeight="1" x14ac:dyDescent="0.2"/>
    <row r="10" spans="1:15" ht="30" customHeight="1" x14ac:dyDescent="0.2">
      <c r="C10" s="161" t="s">
        <v>57</v>
      </c>
      <c r="D10" s="161"/>
      <c r="E10" s="161"/>
      <c r="F10" s="161"/>
      <c r="G10" s="161"/>
      <c r="H10" s="161"/>
      <c r="I10" s="161"/>
      <c r="J10" s="161"/>
      <c r="K10" s="161"/>
      <c r="L10" s="161"/>
      <c r="M10" s="161"/>
      <c r="N10" s="161"/>
      <c r="O10" s="161"/>
    </row>
    <row r="11" spans="1:15" ht="30" customHeight="1" x14ac:dyDescent="0.2">
      <c r="C11" s="99" t="str">
        <f>'P Gerais'!C10:E10</f>
        <v>Data de Admissão</v>
      </c>
      <c r="D11" s="100"/>
      <c r="E11" s="101">
        <f>'P Gerais'!F10</f>
        <v>0</v>
      </c>
      <c r="F11" s="100" t="str">
        <f>'P Gerais'!G5</f>
        <v>Horas Mensais</v>
      </c>
      <c r="G11" s="102">
        <f>'P Gerais'!G6</f>
        <v>220</v>
      </c>
      <c r="H11" s="214" t="s">
        <v>151</v>
      </c>
      <c r="I11" s="214"/>
      <c r="J11" s="214"/>
      <c r="K11" s="214"/>
      <c r="L11" s="214"/>
      <c r="M11" s="214"/>
      <c r="N11" s="103"/>
      <c r="O11" s="104"/>
    </row>
    <row r="12" spans="1:15" ht="30" customHeight="1" x14ac:dyDescent="0.2">
      <c r="C12" s="105" t="str">
        <f>'P Gerais'!C11:E11</f>
        <v>Departamento</v>
      </c>
      <c r="D12" s="39"/>
      <c r="E12" s="40">
        <f>'P Gerais'!F11</f>
        <v>0</v>
      </c>
      <c r="F12" s="39" t="s">
        <v>150</v>
      </c>
      <c r="G12" s="41">
        <f>'P Gerais'!F16</f>
        <v>0</v>
      </c>
      <c r="H12" s="46" t="s">
        <v>66</v>
      </c>
      <c r="I12" s="42" t="str">
        <f>TEXT('P Gerais'!E23,"h:mm;@")&amp;" às "&amp;TEXT('P Gerais'!I23,"h:mm;@")</f>
        <v>0:00 às 0:00</v>
      </c>
      <c r="J12" s="42"/>
      <c r="K12" s="46" t="s">
        <v>70</v>
      </c>
      <c r="L12" s="42"/>
      <c r="M12" s="42" t="str">
        <f>TEXT('P Gerais'!E27,"h:mm;@")&amp;" às "&amp;TEXT('P Gerais'!I27,"h:mm;@")</f>
        <v>0:00 às 0:00</v>
      </c>
      <c r="N12" s="42"/>
      <c r="O12" s="106"/>
    </row>
    <row r="13" spans="1:15" ht="30" customHeight="1" x14ac:dyDescent="0.2">
      <c r="C13" s="105" t="str">
        <f>'P Gerais'!C12:E12</f>
        <v>Seção</v>
      </c>
      <c r="D13" s="39"/>
      <c r="E13" s="40">
        <f>'P Gerais'!F12</f>
        <v>0</v>
      </c>
      <c r="F13" s="42"/>
      <c r="G13" s="42"/>
      <c r="H13" s="46" t="s">
        <v>67</v>
      </c>
      <c r="I13" s="42" t="str">
        <f>TEXT('P Gerais'!E24,"h:mm;@")&amp;" às "&amp;TEXT('P Gerais'!I24,"h:mm;@")</f>
        <v>0:00 às 0:00</v>
      </c>
      <c r="J13" s="42"/>
      <c r="K13" s="46" t="s">
        <v>71</v>
      </c>
      <c r="L13" s="42"/>
      <c r="M13" s="42" t="str">
        <f>TEXT('P Gerais'!E28,"h:mm;@")&amp;" às "&amp;TEXT('P Gerais'!I28,"h:mm;@")</f>
        <v>0:00 às 0:00</v>
      </c>
      <c r="N13" s="42"/>
      <c r="O13" s="106"/>
    </row>
    <row r="14" spans="1:15" ht="30" customHeight="1" x14ac:dyDescent="0.2">
      <c r="C14" s="105" t="str">
        <f>'P Gerais'!C13:E13</f>
        <v>Cargo</v>
      </c>
      <c r="D14" s="39"/>
      <c r="E14" s="40">
        <f>'P Gerais'!F13</f>
        <v>0</v>
      </c>
      <c r="F14" s="42"/>
      <c r="G14" s="42"/>
      <c r="H14" s="46" t="s">
        <v>68</v>
      </c>
      <c r="I14" s="42" t="str">
        <f>TEXT('P Gerais'!E25,"h:mm;@")&amp;" às "&amp;TEXT('P Gerais'!I25,"h:mm;@")</f>
        <v>0:00 às 0:00</v>
      </c>
      <c r="J14" s="42"/>
      <c r="K14" s="46" t="s">
        <v>65</v>
      </c>
      <c r="L14" s="42"/>
      <c r="M14" s="42" t="str">
        <f>TEXT('P Gerais'!E29,"h:mm;@")&amp;" às "&amp;TEXT('P Gerais'!I29,"h:mm;@")</f>
        <v>0:00 às 0:00</v>
      </c>
      <c r="N14" s="42"/>
      <c r="O14" s="106"/>
    </row>
    <row r="15" spans="1:15" ht="30" customHeight="1" x14ac:dyDescent="0.2">
      <c r="C15" s="107"/>
      <c r="D15" s="108"/>
      <c r="E15" s="108"/>
      <c r="F15" s="108"/>
      <c r="G15" s="108"/>
      <c r="H15" s="109" t="s">
        <v>69</v>
      </c>
      <c r="I15" s="108" t="str">
        <f>TEXT('P Gerais'!E26,"h:mm;@")&amp;" às "&amp;TEXT('P Gerais'!I26,"h:mm;@")</f>
        <v>0:00 às 0:00</v>
      </c>
      <c r="J15" s="108"/>
      <c r="K15" s="108"/>
      <c r="L15" s="108"/>
      <c r="M15" s="108"/>
      <c r="N15" s="108"/>
      <c r="O15" s="110"/>
    </row>
    <row r="16" spans="1:15" ht="30" hidden="1" customHeight="1" x14ac:dyDescent="0.2">
      <c r="C16" s="43"/>
      <c r="D16" s="44"/>
      <c r="E16" s="44"/>
      <c r="F16" s="44"/>
      <c r="G16" s="44"/>
      <c r="H16" s="44"/>
      <c r="I16" s="44"/>
      <c r="J16" s="44"/>
      <c r="K16" s="44"/>
      <c r="L16" s="44"/>
      <c r="M16" s="44"/>
      <c r="N16" s="44"/>
      <c r="O16" s="45"/>
    </row>
    <row r="17" spans="3:21" ht="7.75" customHeight="1" x14ac:dyDescent="0.2">
      <c r="C17" s="2"/>
      <c r="D17" s="2" t="s">
        <v>139</v>
      </c>
      <c r="E17" s="2" t="s">
        <v>138</v>
      </c>
      <c r="F17" s="2" t="s">
        <v>140</v>
      </c>
      <c r="G17" s="2" t="s">
        <v>141</v>
      </c>
      <c r="H17" s="2" t="s">
        <v>142</v>
      </c>
      <c r="I17" s="2" t="s">
        <v>143</v>
      </c>
      <c r="J17" s="2" t="s">
        <v>144</v>
      </c>
      <c r="K17" s="2" t="s">
        <v>145</v>
      </c>
      <c r="L17" s="2" t="s">
        <v>146</v>
      </c>
      <c r="M17" s="2" t="s">
        <v>147</v>
      </c>
      <c r="N17" s="2" t="s">
        <v>148</v>
      </c>
      <c r="O17" s="2" t="s">
        <v>149</v>
      </c>
    </row>
    <row r="18" spans="3:21" ht="15" customHeight="1" x14ac:dyDescent="0.2">
      <c r="C18" s="213" t="s">
        <v>64</v>
      </c>
      <c r="D18" s="213"/>
      <c r="E18" s="90" t="s">
        <v>72</v>
      </c>
      <c r="F18" s="90" t="s">
        <v>0</v>
      </c>
      <c r="G18" s="213" t="s">
        <v>73</v>
      </c>
      <c r="H18" s="213"/>
      <c r="I18" s="90" t="s">
        <v>74</v>
      </c>
      <c r="J18" s="91"/>
      <c r="K18" s="90" t="s">
        <v>75</v>
      </c>
      <c r="L18" s="91"/>
      <c r="M18" s="90" t="s">
        <v>76</v>
      </c>
      <c r="N18" s="91"/>
      <c r="O18" s="90" t="s">
        <v>77</v>
      </c>
      <c r="Q18" s="199" t="s">
        <v>152</v>
      </c>
      <c r="R18" s="199"/>
      <c r="S18" s="199"/>
      <c r="T18" s="199"/>
      <c r="U18" s="199"/>
    </row>
    <row r="19" spans="3:21" ht="15" customHeight="1" x14ac:dyDescent="0.2">
      <c r="C19" s="90">
        <v>1</v>
      </c>
      <c r="D19" s="92" t="str">
        <f ca="1">IF($F$8="Janeiro",INDIRECT("Lanc"&amp;"!"&amp;D$17&amp;ROW()-11),INDIRECT(LEFT($F$8,3)&amp;"!"&amp;D$17&amp;ROW()-11))</f>
        <v>QUI</v>
      </c>
      <c r="E19" s="92" t="str">
        <f t="shared" ref="E19:O34" ca="1" si="0">IF($F$8="Janeiro",INDIRECT("Lanc"&amp;"!"&amp;E$17&amp;ROW()-11),INDIRECT(LEFT($F$8,3)&amp;"!"&amp;E$17&amp;ROW()-11))</f>
        <v>Feriado</v>
      </c>
      <c r="F19" s="92">
        <f t="shared" ca="1" si="0"/>
        <v>0</v>
      </c>
      <c r="G19" s="92">
        <f t="shared" ca="1" si="0"/>
        <v>0</v>
      </c>
      <c r="H19" s="92">
        <f t="shared" ca="1" si="0"/>
        <v>0</v>
      </c>
      <c r="I19" s="92">
        <f t="shared" ca="1" si="0"/>
        <v>0</v>
      </c>
      <c r="J19" s="92">
        <f t="shared" ca="1" si="0"/>
        <v>0</v>
      </c>
      <c r="K19" s="92">
        <f t="shared" ca="1" si="0"/>
        <v>0</v>
      </c>
      <c r="L19" s="92">
        <f t="shared" ca="1" si="0"/>
        <v>0</v>
      </c>
      <c r="M19" s="92">
        <f t="shared" ca="1" si="0"/>
        <v>0</v>
      </c>
      <c r="N19" s="92">
        <f t="shared" ca="1" si="0"/>
        <v>0</v>
      </c>
      <c r="O19" s="92">
        <f t="shared" ca="1" si="0"/>
        <v>0</v>
      </c>
      <c r="Q19" s="198"/>
      <c r="R19" s="198"/>
      <c r="S19" s="198"/>
      <c r="T19" s="198"/>
      <c r="U19" s="198"/>
    </row>
    <row r="20" spans="3:21" ht="15" customHeight="1" x14ac:dyDescent="0.2">
      <c r="C20" s="90">
        <v>2</v>
      </c>
      <c r="D20" s="92" t="str">
        <f t="shared" ref="D20:O49" ca="1" si="1">IF($F$8="Janeiro",INDIRECT("Lanc"&amp;"!"&amp;D$17&amp;ROW()-11),INDIRECT(LEFT($F$8,3)&amp;"!"&amp;D$17&amp;ROW()-11))</f>
        <v>SEX</v>
      </c>
      <c r="E20" s="92" t="str">
        <f t="shared" ca="1" si="0"/>
        <v>Feriado</v>
      </c>
      <c r="F20" s="92">
        <f t="shared" ca="1" si="0"/>
        <v>0</v>
      </c>
      <c r="G20" s="92">
        <f t="shared" ca="1" si="0"/>
        <v>0</v>
      </c>
      <c r="H20" s="92">
        <f t="shared" ca="1" si="0"/>
        <v>0</v>
      </c>
      <c r="I20" s="92">
        <f t="shared" ca="1" si="0"/>
        <v>0</v>
      </c>
      <c r="J20" s="92">
        <f t="shared" ca="1" si="0"/>
        <v>0</v>
      </c>
      <c r="K20" s="92">
        <f t="shared" ca="1" si="0"/>
        <v>0</v>
      </c>
      <c r="L20" s="92">
        <f t="shared" ca="1" si="0"/>
        <v>0</v>
      </c>
      <c r="M20" s="92">
        <f t="shared" ca="1" si="0"/>
        <v>0</v>
      </c>
      <c r="N20" s="92">
        <f t="shared" ca="1" si="0"/>
        <v>0</v>
      </c>
      <c r="O20" s="92">
        <f t="shared" ca="1" si="0"/>
        <v>0</v>
      </c>
      <c r="Q20" s="198"/>
      <c r="R20" s="198"/>
      <c r="S20" s="198"/>
      <c r="T20" s="198"/>
      <c r="U20" s="198"/>
    </row>
    <row r="21" spans="3:21" ht="15" customHeight="1" x14ac:dyDescent="0.2">
      <c r="C21" s="90">
        <v>3</v>
      </c>
      <c r="D21" s="92" t="str">
        <f t="shared" ca="1" si="1"/>
        <v>SÁB</v>
      </c>
      <c r="E21" s="92" t="str">
        <f t="shared" ca="1" si="0"/>
        <v>Feriado</v>
      </c>
      <c r="F21" s="92">
        <f t="shared" ca="1" si="0"/>
        <v>0</v>
      </c>
      <c r="G21" s="92">
        <f t="shared" ca="1" si="0"/>
        <v>0</v>
      </c>
      <c r="H21" s="92">
        <f t="shared" ca="1" si="0"/>
        <v>0</v>
      </c>
      <c r="I21" s="92">
        <f t="shared" ca="1" si="0"/>
        <v>0</v>
      </c>
      <c r="J21" s="92">
        <f t="shared" ca="1" si="0"/>
        <v>0</v>
      </c>
      <c r="K21" s="92">
        <f t="shared" ca="1" si="0"/>
        <v>0</v>
      </c>
      <c r="L21" s="92">
        <f t="shared" ca="1" si="0"/>
        <v>0</v>
      </c>
      <c r="M21" s="92">
        <f t="shared" ca="1" si="0"/>
        <v>0</v>
      </c>
      <c r="N21" s="92">
        <f t="shared" ca="1" si="0"/>
        <v>0</v>
      </c>
      <c r="O21" s="92">
        <f t="shared" ca="1" si="0"/>
        <v>0</v>
      </c>
      <c r="Q21" s="198"/>
      <c r="R21" s="198"/>
      <c r="S21" s="198"/>
      <c r="T21" s="198"/>
      <c r="U21" s="198"/>
    </row>
    <row r="22" spans="3:21" ht="15" customHeight="1" x14ac:dyDescent="0.2">
      <c r="C22" s="90">
        <v>4</v>
      </c>
      <c r="D22" s="92" t="str">
        <f t="shared" ca="1" si="1"/>
        <v>DOM</v>
      </c>
      <c r="E22" s="92" t="str">
        <f t="shared" ca="1" si="0"/>
        <v>Feriado</v>
      </c>
      <c r="F22" s="92">
        <f t="shared" ca="1" si="0"/>
        <v>0</v>
      </c>
      <c r="G22" s="92">
        <f t="shared" ca="1" si="0"/>
        <v>0</v>
      </c>
      <c r="H22" s="92">
        <f t="shared" ca="1" si="0"/>
        <v>0</v>
      </c>
      <c r="I22" s="92">
        <f t="shared" ca="1" si="0"/>
        <v>0</v>
      </c>
      <c r="J22" s="92">
        <f t="shared" ca="1" si="0"/>
        <v>0</v>
      </c>
      <c r="K22" s="92">
        <f t="shared" ca="1" si="0"/>
        <v>0</v>
      </c>
      <c r="L22" s="92">
        <f t="shared" ca="1" si="0"/>
        <v>0</v>
      </c>
      <c r="M22" s="92">
        <f t="shared" ca="1" si="0"/>
        <v>0</v>
      </c>
      <c r="N22" s="92">
        <f t="shared" ca="1" si="0"/>
        <v>0</v>
      </c>
      <c r="O22" s="92">
        <f t="shared" ca="1" si="0"/>
        <v>0</v>
      </c>
      <c r="Q22" s="198"/>
      <c r="R22" s="198"/>
      <c r="S22" s="198"/>
      <c r="T22" s="198"/>
      <c r="U22" s="198"/>
    </row>
    <row r="23" spans="3:21" ht="15" customHeight="1" x14ac:dyDescent="0.2">
      <c r="C23" s="90">
        <v>5</v>
      </c>
      <c r="D23" s="92" t="str">
        <f t="shared" ca="1" si="1"/>
        <v>SEG</v>
      </c>
      <c r="E23" s="92" t="str">
        <f t="shared" ca="1" si="0"/>
        <v>Feriado</v>
      </c>
      <c r="F23" s="92">
        <f t="shared" ca="1" si="0"/>
        <v>0</v>
      </c>
      <c r="G23" s="92">
        <f t="shared" ca="1" si="0"/>
        <v>0</v>
      </c>
      <c r="H23" s="92">
        <f t="shared" ca="1" si="0"/>
        <v>0</v>
      </c>
      <c r="I23" s="92">
        <f t="shared" ca="1" si="0"/>
        <v>0</v>
      </c>
      <c r="J23" s="92">
        <f t="shared" ca="1" si="0"/>
        <v>0</v>
      </c>
      <c r="K23" s="92">
        <f t="shared" ca="1" si="0"/>
        <v>0</v>
      </c>
      <c r="L23" s="92">
        <f t="shared" ca="1" si="0"/>
        <v>0</v>
      </c>
      <c r="M23" s="92">
        <f t="shared" ca="1" si="0"/>
        <v>0</v>
      </c>
      <c r="N23" s="92">
        <f t="shared" ca="1" si="0"/>
        <v>0</v>
      </c>
      <c r="O23" s="92">
        <f t="shared" ca="1" si="0"/>
        <v>0</v>
      </c>
      <c r="Q23" s="198"/>
      <c r="R23" s="198"/>
      <c r="S23" s="198"/>
      <c r="T23" s="198"/>
      <c r="U23" s="198"/>
    </row>
    <row r="24" spans="3:21" ht="15" customHeight="1" x14ac:dyDescent="0.2">
      <c r="C24" s="90">
        <v>6</v>
      </c>
      <c r="D24" s="92" t="str">
        <f t="shared" ca="1" si="1"/>
        <v>TER</v>
      </c>
      <c r="E24" s="92" t="str">
        <f t="shared" ca="1" si="0"/>
        <v>Feriado</v>
      </c>
      <c r="F24" s="92">
        <f t="shared" ca="1" si="0"/>
        <v>0</v>
      </c>
      <c r="G24" s="92">
        <f t="shared" ca="1" si="0"/>
        <v>0</v>
      </c>
      <c r="H24" s="92">
        <f t="shared" ca="1" si="0"/>
        <v>0</v>
      </c>
      <c r="I24" s="92">
        <f t="shared" ca="1" si="0"/>
        <v>0</v>
      </c>
      <c r="J24" s="92">
        <f t="shared" ca="1" si="0"/>
        <v>0</v>
      </c>
      <c r="K24" s="92">
        <f t="shared" ca="1" si="0"/>
        <v>0</v>
      </c>
      <c r="L24" s="92">
        <f t="shared" ca="1" si="0"/>
        <v>0</v>
      </c>
      <c r="M24" s="92">
        <f t="shared" ca="1" si="0"/>
        <v>0</v>
      </c>
      <c r="N24" s="92">
        <f t="shared" ca="1" si="0"/>
        <v>0</v>
      </c>
      <c r="O24" s="92">
        <f t="shared" ca="1" si="0"/>
        <v>0</v>
      </c>
      <c r="Q24" s="198"/>
      <c r="R24" s="198"/>
      <c r="S24" s="198"/>
      <c r="T24" s="198"/>
      <c r="U24" s="198"/>
    </row>
    <row r="25" spans="3:21" ht="15" customHeight="1" x14ac:dyDescent="0.2">
      <c r="C25" s="90">
        <v>7</v>
      </c>
      <c r="D25" s="92" t="str">
        <f t="shared" ca="1" si="1"/>
        <v>QUA</v>
      </c>
      <c r="E25" s="92" t="str">
        <f t="shared" ca="1" si="0"/>
        <v>Feriado</v>
      </c>
      <c r="F25" s="92">
        <f t="shared" ca="1" si="0"/>
        <v>0</v>
      </c>
      <c r="G25" s="92">
        <f t="shared" ca="1" si="0"/>
        <v>0</v>
      </c>
      <c r="H25" s="92">
        <f t="shared" ca="1" si="0"/>
        <v>0</v>
      </c>
      <c r="I25" s="92">
        <f t="shared" ca="1" si="0"/>
        <v>0</v>
      </c>
      <c r="J25" s="92">
        <f t="shared" ca="1" si="0"/>
        <v>0</v>
      </c>
      <c r="K25" s="92">
        <f t="shared" ca="1" si="0"/>
        <v>0</v>
      </c>
      <c r="L25" s="92">
        <f t="shared" ca="1" si="0"/>
        <v>0</v>
      </c>
      <c r="M25" s="92">
        <f t="shared" ca="1" si="0"/>
        <v>0</v>
      </c>
      <c r="N25" s="92">
        <f t="shared" ca="1" si="0"/>
        <v>0</v>
      </c>
      <c r="O25" s="92">
        <f t="shared" ca="1" si="0"/>
        <v>0</v>
      </c>
      <c r="Q25" s="198"/>
      <c r="R25" s="198"/>
      <c r="S25" s="198"/>
      <c r="T25" s="198"/>
      <c r="U25" s="198"/>
    </row>
    <row r="26" spans="3:21" ht="15" customHeight="1" x14ac:dyDescent="0.2">
      <c r="C26" s="90">
        <v>8</v>
      </c>
      <c r="D26" s="92" t="str">
        <f t="shared" ca="1" si="1"/>
        <v>QUI</v>
      </c>
      <c r="E26" s="92" t="str">
        <f t="shared" ca="1" si="0"/>
        <v>Feriado</v>
      </c>
      <c r="F26" s="92">
        <f t="shared" ca="1" si="0"/>
        <v>0</v>
      </c>
      <c r="G26" s="92">
        <f t="shared" ca="1" si="0"/>
        <v>0</v>
      </c>
      <c r="H26" s="92">
        <f t="shared" ca="1" si="0"/>
        <v>0</v>
      </c>
      <c r="I26" s="92">
        <f t="shared" ca="1" si="0"/>
        <v>0</v>
      </c>
      <c r="J26" s="92">
        <f t="shared" ca="1" si="0"/>
        <v>0</v>
      </c>
      <c r="K26" s="92">
        <f t="shared" ca="1" si="0"/>
        <v>0</v>
      </c>
      <c r="L26" s="92">
        <f t="shared" ca="1" si="0"/>
        <v>0</v>
      </c>
      <c r="M26" s="92">
        <f t="shared" ca="1" si="0"/>
        <v>0</v>
      </c>
      <c r="N26" s="92">
        <f t="shared" ca="1" si="0"/>
        <v>0</v>
      </c>
      <c r="O26" s="92">
        <f t="shared" ca="1" si="0"/>
        <v>0</v>
      </c>
      <c r="Q26" s="198"/>
      <c r="R26" s="198"/>
      <c r="S26" s="198"/>
      <c r="T26" s="198"/>
      <c r="U26" s="198"/>
    </row>
    <row r="27" spans="3:21" ht="15" customHeight="1" x14ac:dyDescent="0.2">
      <c r="C27" s="90">
        <v>9</v>
      </c>
      <c r="D27" s="92" t="str">
        <f t="shared" ca="1" si="1"/>
        <v>SEX</v>
      </c>
      <c r="E27" s="92" t="str">
        <f t="shared" ca="1" si="0"/>
        <v>Feriado</v>
      </c>
      <c r="F27" s="92">
        <f t="shared" ca="1" si="0"/>
        <v>0</v>
      </c>
      <c r="G27" s="92">
        <f t="shared" ca="1" si="0"/>
        <v>0</v>
      </c>
      <c r="H27" s="92">
        <f t="shared" ca="1" si="0"/>
        <v>0</v>
      </c>
      <c r="I27" s="92">
        <f t="shared" ca="1" si="0"/>
        <v>0</v>
      </c>
      <c r="J27" s="92">
        <f t="shared" ca="1" si="0"/>
        <v>0</v>
      </c>
      <c r="K27" s="92">
        <f t="shared" ca="1" si="0"/>
        <v>0</v>
      </c>
      <c r="L27" s="92">
        <f t="shared" ca="1" si="0"/>
        <v>0</v>
      </c>
      <c r="M27" s="92">
        <f t="shared" ca="1" si="0"/>
        <v>0</v>
      </c>
      <c r="N27" s="92">
        <f t="shared" ca="1" si="0"/>
        <v>0</v>
      </c>
      <c r="O27" s="92">
        <f t="shared" ca="1" si="0"/>
        <v>0</v>
      </c>
      <c r="Q27" s="198"/>
      <c r="R27" s="198"/>
      <c r="S27" s="198"/>
      <c r="T27" s="198"/>
      <c r="U27" s="198"/>
    </row>
    <row r="28" spans="3:21" ht="15" customHeight="1" x14ac:dyDescent="0.2">
      <c r="C28" s="90">
        <v>10</v>
      </c>
      <c r="D28" s="92" t="str">
        <f t="shared" ca="1" si="1"/>
        <v>SÁB</v>
      </c>
      <c r="E28" s="92" t="str">
        <f t="shared" ca="1" si="0"/>
        <v>Feriado</v>
      </c>
      <c r="F28" s="92">
        <f t="shared" ca="1" si="0"/>
        <v>0</v>
      </c>
      <c r="G28" s="92">
        <f t="shared" ca="1" si="0"/>
        <v>0</v>
      </c>
      <c r="H28" s="92">
        <f t="shared" ca="1" si="0"/>
        <v>0</v>
      </c>
      <c r="I28" s="92">
        <f t="shared" ca="1" si="0"/>
        <v>0</v>
      </c>
      <c r="J28" s="92">
        <f t="shared" ca="1" si="0"/>
        <v>0</v>
      </c>
      <c r="K28" s="92">
        <f t="shared" ca="1" si="0"/>
        <v>0</v>
      </c>
      <c r="L28" s="92">
        <f t="shared" ca="1" si="0"/>
        <v>0</v>
      </c>
      <c r="M28" s="92">
        <f t="shared" ca="1" si="0"/>
        <v>0</v>
      </c>
      <c r="N28" s="92">
        <f t="shared" ca="1" si="0"/>
        <v>0</v>
      </c>
      <c r="O28" s="92">
        <f t="shared" ca="1" si="0"/>
        <v>0</v>
      </c>
      <c r="Q28" s="198"/>
      <c r="R28" s="198"/>
      <c r="S28" s="198"/>
      <c r="T28" s="198"/>
      <c r="U28" s="198"/>
    </row>
    <row r="29" spans="3:21" ht="15" customHeight="1" x14ac:dyDescent="0.2">
      <c r="C29" s="90">
        <v>11</v>
      </c>
      <c r="D29" s="92" t="str">
        <f t="shared" ca="1" si="1"/>
        <v>DOM</v>
      </c>
      <c r="E29" s="92" t="str">
        <f t="shared" ca="1" si="0"/>
        <v>Feriado</v>
      </c>
      <c r="F29" s="92">
        <f t="shared" ca="1" si="0"/>
        <v>0</v>
      </c>
      <c r="G29" s="92">
        <f t="shared" ca="1" si="0"/>
        <v>0</v>
      </c>
      <c r="H29" s="92">
        <f t="shared" ca="1" si="0"/>
        <v>0</v>
      </c>
      <c r="I29" s="92">
        <f t="shared" ca="1" si="0"/>
        <v>0</v>
      </c>
      <c r="J29" s="92">
        <f t="shared" ca="1" si="0"/>
        <v>0</v>
      </c>
      <c r="K29" s="92">
        <f t="shared" ca="1" si="0"/>
        <v>0</v>
      </c>
      <c r="L29" s="92">
        <f t="shared" ca="1" si="0"/>
        <v>0</v>
      </c>
      <c r="M29" s="92">
        <f t="shared" ca="1" si="0"/>
        <v>0</v>
      </c>
      <c r="N29" s="92">
        <f t="shared" ca="1" si="0"/>
        <v>0</v>
      </c>
      <c r="O29" s="92">
        <f t="shared" ca="1" si="0"/>
        <v>0</v>
      </c>
      <c r="Q29" s="198"/>
      <c r="R29" s="198"/>
      <c r="S29" s="198"/>
      <c r="T29" s="198"/>
      <c r="U29" s="198"/>
    </row>
    <row r="30" spans="3:21" ht="15" customHeight="1" x14ac:dyDescent="0.2">
      <c r="C30" s="90">
        <v>12</v>
      </c>
      <c r="D30" s="92" t="str">
        <f t="shared" ca="1" si="1"/>
        <v>SEG</v>
      </c>
      <c r="E30" s="92" t="str">
        <f t="shared" ca="1" si="0"/>
        <v>Feriado</v>
      </c>
      <c r="F30" s="92">
        <f t="shared" ca="1" si="0"/>
        <v>0</v>
      </c>
      <c r="G30" s="92">
        <f t="shared" ca="1" si="0"/>
        <v>0</v>
      </c>
      <c r="H30" s="92">
        <f t="shared" ca="1" si="0"/>
        <v>0</v>
      </c>
      <c r="I30" s="92">
        <f t="shared" ca="1" si="0"/>
        <v>0</v>
      </c>
      <c r="J30" s="92">
        <f t="shared" ca="1" si="0"/>
        <v>0</v>
      </c>
      <c r="K30" s="92">
        <f t="shared" ca="1" si="0"/>
        <v>0</v>
      </c>
      <c r="L30" s="92">
        <f t="shared" ca="1" si="0"/>
        <v>0</v>
      </c>
      <c r="M30" s="92">
        <f t="shared" ca="1" si="0"/>
        <v>0</v>
      </c>
      <c r="N30" s="92">
        <f t="shared" ca="1" si="0"/>
        <v>0</v>
      </c>
      <c r="O30" s="92">
        <f t="shared" ca="1" si="0"/>
        <v>0</v>
      </c>
      <c r="Q30" s="198"/>
      <c r="R30" s="198"/>
      <c r="S30" s="198"/>
      <c r="T30" s="198"/>
      <c r="U30" s="198"/>
    </row>
    <row r="31" spans="3:21" ht="15" customHeight="1" x14ac:dyDescent="0.2">
      <c r="C31" s="90">
        <v>13</v>
      </c>
      <c r="D31" s="92" t="str">
        <f t="shared" ca="1" si="1"/>
        <v>TER</v>
      </c>
      <c r="E31" s="92" t="str">
        <f t="shared" ca="1" si="0"/>
        <v>Feriado</v>
      </c>
      <c r="F31" s="92">
        <f t="shared" ca="1" si="0"/>
        <v>0</v>
      </c>
      <c r="G31" s="92">
        <f t="shared" ca="1" si="0"/>
        <v>0</v>
      </c>
      <c r="H31" s="92">
        <f t="shared" ca="1" si="0"/>
        <v>0</v>
      </c>
      <c r="I31" s="92">
        <f t="shared" ca="1" si="0"/>
        <v>0</v>
      </c>
      <c r="J31" s="92">
        <f t="shared" ca="1" si="0"/>
        <v>0</v>
      </c>
      <c r="K31" s="92">
        <f t="shared" ca="1" si="0"/>
        <v>0</v>
      </c>
      <c r="L31" s="92">
        <f t="shared" ca="1" si="0"/>
        <v>0</v>
      </c>
      <c r="M31" s="92">
        <f t="shared" ca="1" si="0"/>
        <v>0</v>
      </c>
      <c r="N31" s="92">
        <f t="shared" ca="1" si="0"/>
        <v>0</v>
      </c>
      <c r="O31" s="92">
        <f t="shared" ca="1" si="0"/>
        <v>0</v>
      </c>
      <c r="Q31" s="198"/>
      <c r="R31" s="198"/>
      <c r="S31" s="198"/>
      <c r="T31" s="198"/>
      <c r="U31" s="198"/>
    </row>
    <row r="32" spans="3:21" ht="15" customHeight="1" x14ac:dyDescent="0.2">
      <c r="C32" s="90">
        <v>14</v>
      </c>
      <c r="D32" s="92" t="str">
        <f t="shared" ca="1" si="1"/>
        <v>QUA</v>
      </c>
      <c r="E32" s="92" t="str">
        <f t="shared" ca="1" si="0"/>
        <v>Feriado</v>
      </c>
      <c r="F32" s="92">
        <f t="shared" ca="1" si="0"/>
        <v>0</v>
      </c>
      <c r="G32" s="92">
        <f t="shared" ca="1" si="0"/>
        <v>0</v>
      </c>
      <c r="H32" s="92">
        <f t="shared" ca="1" si="0"/>
        <v>0</v>
      </c>
      <c r="I32" s="92">
        <f t="shared" ca="1" si="0"/>
        <v>0</v>
      </c>
      <c r="J32" s="92">
        <f t="shared" ca="1" si="0"/>
        <v>0</v>
      </c>
      <c r="K32" s="92">
        <f t="shared" ca="1" si="0"/>
        <v>0</v>
      </c>
      <c r="L32" s="92">
        <f t="shared" ca="1" si="0"/>
        <v>0</v>
      </c>
      <c r="M32" s="92">
        <f t="shared" ca="1" si="0"/>
        <v>0</v>
      </c>
      <c r="N32" s="92">
        <f t="shared" ca="1" si="0"/>
        <v>0</v>
      </c>
      <c r="O32" s="92">
        <f t="shared" ca="1" si="0"/>
        <v>0</v>
      </c>
      <c r="Q32" s="198"/>
      <c r="R32" s="198"/>
      <c r="S32" s="198"/>
      <c r="T32" s="198"/>
      <c r="U32" s="198"/>
    </row>
    <row r="33" spans="3:21" ht="15" customHeight="1" x14ac:dyDescent="0.2">
      <c r="C33" s="90">
        <v>15</v>
      </c>
      <c r="D33" s="92" t="str">
        <f t="shared" ca="1" si="1"/>
        <v>QUI</v>
      </c>
      <c r="E33" s="92" t="str">
        <f t="shared" ca="1" si="0"/>
        <v>Feriado</v>
      </c>
      <c r="F33" s="92">
        <f t="shared" ca="1" si="0"/>
        <v>0</v>
      </c>
      <c r="G33" s="92">
        <f t="shared" ca="1" si="0"/>
        <v>0</v>
      </c>
      <c r="H33" s="92">
        <f t="shared" ca="1" si="0"/>
        <v>0</v>
      </c>
      <c r="I33" s="92">
        <f t="shared" ca="1" si="0"/>
        <v>0</v>
      </c>
      <c r="J33" s="92">
        <f t="shared" ca="1" si="0"/>
        <v>0</v>
      </c>
      <c r="K33" s="92">
        <f t="shared" ca="1" si="0"/>
        <v>0</v>
      </c>
      <c r="L33" s="92">
        <f t="shared" ca="1" si="0"/>
        <v>0</v>
      </c>
      <c r="M33" s="92">
        <f t="shared" ca="1" si="0"/>
        <v>0</v>
      </c>
      <c r="N33" s="92">
        <f t="shared" ca="1" si="0"/>
        <v>0</v>
      </c>
      <c r="O33" s="92">
        <f t="shared" ca="1" si="0"/>
        <v>0</v>
      </c>
      <c r="Q33" s="198"/>
      <c r="R33" s="198"/>
      <c r="S33" s="198"/>
      <c r="T33" s="198"/>
      <c r="U33" s="198"/>
    </row>
    <row r="34" spans="3:21" ht="15" customHeight="1" x14ac:dyDescent="0.2">
      <c r="C34" s="90">
        <v>16</v>
      </c>
      <c r="D34" s="92" t="str">
        <f t="shared" ca="1" si="1"/>
        <v>SEX</v>
      </c>
      <c r="E34" s="92" t="str">
        <f t="shared" ca="1" si="0"/>
        <v>Feriado</v>
      </c>
      <c r="F34" s="92">
        <f t="shared" ca="1" si="0"/>
        <v>0</v>
      </c>
      <c r="G34" s="92">
        <f t="shared" ca="1" si="0"/>
        <v>0</v>
      </c>
      <c r="H34" s="92">
        <f t="shared" ca="1" si="0"/>
        <v>0</v>
      </c>
      <c r="I34" s="92">
        <f t="shared" ca="1" si="0"/>
        <v>0</v>
      </c>
      <c r="J34" s="92">
        <f t="shared" ca="1" si="0"/>
        <v>0</v>
      </c>
      <c r="K34" s="92">
        <f t="shared" ca="1" si="0"/>
        <v>0</v>
      </c>
      <c r="L34" s="92">
        <f t="shared" ca="1" si="0"/>
        <v>0</v>
      </c>
      <c r="M34" s="92">
        <f t="shared" ca="1" si="0"/>
        <v>0</v>
      </c>
      <c r="N34" s="92">
        <f t="shared" ca="1" si="0"/>
        <v>0</v>
      </c>
      <c r="O34" s="92">
        <f t="shared" ca="1" si="0"/>
        <v>0</v>
      </c>
      <c r="Q34" s="198"/>
      <c r="R34" s="198"/>
      <c r="S34" s="198"/>
      <c r="T34" s="198"/>
      <c r="U34" s="198"/>
    </row>
    <row r="35" spans="3:21" ht="15" customHeight="1" x14ac:dyDescent="0.2">
      <c r="C35" s="90">
        <v>17</v>
      </c>
      <c r="D35" s="92" t="str">
        <f t="shared" ca="1" si="1"/>
        <v>SÁB</v>
      </c>
      <c r="E35" s="92" t="str">
        <f t="shared" ca="1" si="1"/>
        <v>Feriado</v>
      </c>
      <c r="F35" s="92">
        <f t="shared" ca="1" si="1"/>
        <v>0</v>
      </c>
      <c r="G35" s="92">
        <f t="shared" ca="1" si="1"/>
        <v>0</v>
      </c>
      <c r="H35" s="92">
        <f t="shared" ca="1" si="1"/>
        <v>0</v>
      </c>
      <c r="I35" s="92">
        <f t="shared" ca="1" si="1"/>
        <v>0</v>
      </c>
      <c r="J35" s="92">
        <f t="shared" ca="1" si="1"/>
        <v>0</v>
      </c>
      <c r="K35" s="92">
        <f t="shared" ca="1" si="1"/>
        <v>0</v>
      </c>
      <c r="L35" s="92">
        <f t="shared" ca="1" si="1"/>
        <v>0</v>
      </c>
      <c r="M35" s="92">
        <f t="shared" ca="1" si="1"/>
        <v>0</v>
      </c>
      <c r="N35" s="92">
        <f t="shared" ca="1" si="1"/>
        <v>0</v>
      </c>
      <c r="O35" s="92">
        <f t="shared" ca="1" si="1"/>
        <v>0</v>
      </c>
      <c r="Q35" s="198"/>
      <c r="R35" s="198"/>
      <c r="S35" s="198"/>
      <c r="T35" s="198"/>
      <c r="U35" s="198"/>
    </row>
    <row r="36" spans="3:21" ht="15" customHeight="1" x14ac:dyDescent="0.2">
      <c r="C36" s="90">
        <v>18</v>
      </c>
      <c r="D36" s="92" t="str">
        <f t="shared" ca="1" si="1"/>
        <v>DOM</v>
      </c>
      <c r="E36" s="92" t="str">
        <f t="shared" ca="1" si="1"/>
        <v>Feriado</v>
      </c>
      <c r="F36" s="92">
        <f t="shared" ca="1" si="1"/>
        <v>0</v>
      </c>
      <c r="G36" s="92">
        <f t="shared" ca="1" si="1"/>
        <v>0</v>
      </c>
      <c r="H36" s="92">
        <f t="shared" ca="1" si="1"/>
        <v>0</v>
      </c>
      <c r="I36" s="92">
        <f t="shared" ca="1" si="1"/>
        <v>0</v>
      </c>
      <c r="J36" s="92">
        <f t="shared" ca="1" si="1"/>
        <v>0</v>
      </c>
      <c r="K36" s="92">
        <f t="shared" ca="1" si="1"/>
        <v>0</v>
      </c>
      <c r="L36" s="92">
        <f t="shared" ca="1" si="1"/>
        <v>0</v>
      </c>
      <c r="M36" s="92">
        <f t="shared" ca="1" si="1"/>
        <v>0</v>
      </c>
      <c r="N36" s="92">
        <f t="shared" ca="1" si="1"/>
        <v>0</v>
      </c>
      <c r="O36" s="92">
        <f t="shared" ca="1" si="1"/>
        <v>0</v>
      </c>
      <c r="Q36" s="198"/>
      <c r="R36" s="198"/>
      <c r="S36" s="198"/>
      <c r="T36" s="198"/>
      <c r="U36" s="198"/>
    </row>
    <row r="37" spans="3:21" ht="15" customHeight="1" x14ac:dyDescent="0.2">
      <c r="C37" s="90">
        <v>19</v>
      </c>
      <c r="D37" s="92" t="str">
        <f t="shared" ca="1" si="1"/>
        <v>SEG</v>
      </c>
      <c r="E37" s="92" t="str">
        <f t="shared" ca="1" si="1"/>
        <v>Feriado</v>
      </c>
      <c r="F37" s="92">
        <f t="shared" ca="1" si="1"/>
        <v>0</v>
      </c>
      <c r="G37" s="92">
        <f t="shared" ca="1" si="1"/>
        <v>0</v>
      </c>
      <c r="H37" s="92">
        <f t="shared" ca="1" si="1"/>
        <v>0</v>
      </c>
      <c r="I37" s="92">
        <f t="shared" ca="1" si="1"/>
        <v>0</v>
      </c>
      <c r="J37" s="92">
        <f t="shared" ca="1" si="1"/>
        <v>0</v>
      </c>
      <c r="K37" s="92">
        <f t="shared" ca="1" si="1"/>
        <v>0</v>
      </c>
      <c r="L37" s="92">
        <f t="shared" ca="1" si="1"/>
        <v>0</v>
      </c>
      <c r="M37" s="92">
        <f t="shared" ca="1" si="1"/>
        <v>0</v>
      </c>
      <c r="N37" s="92">
        <f t="shared" ca="1" si="1"/>
        <v>0</v>
      </c>
      <c r="O37" s="92">
        <f t="shared" ca="1" si="1"/>
        <v>0</v>
      </c>
      <c r="Q37" s="198"/>
      <c r="R37" s="198"/>
      <c r="S37" s="198"/>
      <c r="T37" s="198"/>
      <c r="U37" s="198"/>
    </row>
    <row r="38" spans="3:21" ht="15" customHeight="1" x14ac:dyDescent="0.2">
      <c r="C38" s="90">
        <v>20</v>
      </c>
      <c r="D38" s="92" t="str">
        <f t="shared" ca="1" si="1"/>
        <v>TER</v>
      </c>
      <c r="E38" s="92" t="str">
        <f t="shared" ca="1" si="1"/>
        <v>Feriado</v>
      </c>
      <c r="F38" s="92">
        <f t="shared" ca="1" si="1"/>
        <v>0</v>
      </c>
      <c r="G38" s="92">
        <f t="shared" ca="1" si="1"/>
        <v>0</v>
      </c>
      <c r="H38" s="92">
        <f t="shared" ca="1" si="1"/>
        <v>0</v>
      </c>
      <c r="I38" s="92">
        <f t="shared" ca="1" si="1"/>
        <v>0</v>
      </c>
      <c r="J38" s="92">
        <f t="shared" ca="1" si="1"/>
        <v>0</v>
      </c>
      <c r="K38" s="92">
        <f t="shared" ca="1" si="1"/>
        <v>0</v>
      </c>
      <c r="L38" s="92">
        <f t="shared" ca="1" si="1"/>
        <v>0</v>
      </c>
      <c r="M38" s="92">
        <f t="shared" ca="1" si="1"/>
        <v>0</v>
      </c>
      <c r="N38" s="92">
        <f t="shared" ca="1" si="1"/>
        <v>0</v>
      </c>
      <c r="O38" s="92">
        <f t="shared" ca="1" si="1"/>
        <v>0</v>
      </c>
      <c r="Q38" s="198"/>
      <c r="R38" s="198"/>
      <c r="S38" s="198"/>
      <c r="T38" s="198"/>
      <c r="U38" s="198"/>
    </row>
    <row r="39" spans="3:21" ht="15" customHeight="1" x14ac:dyDescent="0.2">
      <c r="C39" s="90">
        <v>21</v>
      </c>
      <c r="D39" s="92" t="str">
        <f t="shared" ca="1" si="1"/>
        <v>QUA</v>
      </c>
      <c r="E39" s="92" t="str">
        <f t="shared" ca="1" si="1"/>
        <v>Feriado</v>
      </c>
      <c r="F39" s="92">
        <f t="shared" ca="1" si="1"/>
        <v>0</v>
      </c>
      <c r="G39" s="92">
        <f t="shared" ca="1" si="1"/>
        <v>0</v>
      </c>
      <c r="H39" s="92">
        <f t="shared" ca="1" si="1"/>
        <v>0</v>
      </c>
      <c r="I39" s="92">
        <f t="shared" ca="1" si="1"/>
        <v>0</v>
      </c>
      <c r="J39" s="92">
        <f t="shared" ca="1" si="1"/>
        <v>0</v>
      </c>
      <c r="K39" s="92">
        <f t="shared" ca="1" si="1"/>
        <v>0</v>
      </c>
      <c r="L39" s="92">
        <f t="shared" ca="1" si="1"/>
        <v>0</v>
      </c>
      <c r="M39" s="92">
        <f t="shared" ca="1" si="1"/>
        <v>0</v>
      </c>
      <c r="N39" s="92">
        <f t="shared" ca="1" si="1"/>
        <v>0</v>
      </c>
      <c r="O39" s="92">
        <f t="shared" ca="1" si="1"/>
        <v>0</v>
      </c>
      <c r="Q39" s="198"/>
      <c r="R39" s="198"/>
      <c r="S39" s="198"/>
      <c r="T39" s="198"/>
      <c r="U39" s="198"/>
    </row>
    <row r="40" spans="3:21" ht="15" customHeight="1" x14ac:dyDescent="0.2">
      <c r="C40" s="90">
        <v>22</v>
      </c>
      <c r="D40" s="92" t="str">
        <f t="shared" ca="1" si="1"/>
        <v>QUI</v>
      </c>
      <c r="E40" s="92" t="str">
        <f t="shared" ca="1" si="1"/>
        <v>Feriado</v>
      </c>
      <c r="F40" s="92">
        <f t="shared" ca="1" si="1"/>
        <v>0</v>
      </c>
      <c r="G40" s="92">
        <f t="shared" ca="1" si="1"/>
        <v>0</v>
      </c>
      <c r="H40" s="92">
        <f t="shared" ca="1" si="1"/>
        <v>0</v>
      </c>
      <c r="I40" s="92">
        <f t="shared" ca="1" si="1"/>
        <v>0</v>
      </c>
      <c r="J40" s="92">
        <f t="shared" ca="1" si="1"/>
        <v>0</v>
      </c>
      <c r="K40" s="92">
        <f t="shared" ca="1" si="1"/>
        <v>0</v>
      </c>
      <c r="L40" s="92">
        <f t="shared" ca="1" si="1"/>
        <v>0</v>
      </c>
      <c r="M40" s="92">
        <f t="shared" ca="1" si="1"/>
        <v>0</v>
      </c>
      <c r="N40" s="92">
        <f t="shared" ca="1" si="1"/>
        <v>0</v>
      </c>
      <c r="O40" s="92">
        <f t="shared" ca="1" si="1"/>
        <v>0</v>
      </c>
      <c r="Q40" s="198"/>
      <c r="R40" s="198"/>
      <c r="S40" s="198"/>
      <c r="T40" s="198"/>
      <c r="U40" s="198"/>
    </row>
    <row r="41" spans="3:21" ht="15" customHeight="1" x14ac:dyDescent="0.2">
      <c r="C41" s="90">
        <v>23</v>
      </c>
      <c r="D41" s="92" t="str">
        <f t="shared" ca="1" si="1"/>
        <v>SEX</v>
      </c>
      <c r="E41" s="92" t="str">
        <f t="shared" ca="1" si="1"/>
        <v>Feriado</v>
      </c>
      <c r="F41" s="92">
        <f t="shared" ca="1" si="1"/>
        <v>0</v>
      </c>
      <c r="G41" s="92">
        <f t="shared" ca="1" si="1"/>
        <v>0</v>
      </c>
      <c r="H41" s="92">
        <f t="shared" ca="1" si="1"/>
        <v>0</v>
      </c>
      <c r="I41" s="92">
        <f t="shared" ca="1" si="1"/>
        <v>0</v>
      </c>
      <c r="J41" s="92">
        <f t="shared" ca="1" si="1"/>
        <v>0</v>
      </c>
      <c r="K41" s="92">
        <f t="shared" ca="1" si="1"/>
        <v>0</v>
      </c>
      <c r="L41" s="92">
        <f t="shared" ca="1" si="1"/>
        <v>0</v>
      </c>
      <c r="M41" s="92">
        <f t="shared" ca="1" si="1"/>
        <v>0</v>
      </c>
      <c r="N41" s="92">
        <f t="shared" ca="1" si="1"/>
        <v>0</v>
      </c>
      <c r="O41" s="92">
        <f t="shared" ca="1" si="1"/>
        <v>0</v>
      </c>
      <c r="Q41" s="198"/>
      <c r="R41" s="198"/>
      <c r="S41" s="198"/>
      <c r="T41" s="198"/>
      <c r="U41" s="198"/>
    </row>
    <row r="42" spans="3:21" ht="15" customHeight="1" x14ac:dyDescent="0.2">
      <c r="C42" s="90">
        <v>24</v>
      </c>
      <c r="D42" s="92" t="str">
        <f t="shared" ca="1" si="1"/>
        <v>SÁB</v>
      </c>
      <c r="E42" s="92" t="str">
        <f t="shared" ca="1" si="1"/>
        <v>Feriado</v>
      </c>
      <c r="F42" s="92">
        <f t="shared" ca="1" si="1"/>
        <v>0</v>
      </c>
      <c r="G42" s="92">
        <f t="shared" ca="1" si="1"/>
        <v>0</v>
      </c>
      <c r="H42" s="92">
        <f t="shared" ca="1" si="1"/>
        <v>0</v>
      </c>
      <c r="I42" s="92">
        <f t="shared" ca="1" si="1"/>
        <v>0</v>
      </c>
      <c r="J42" s="92">
        <f t="shared" ca="1" si="1"/>
        <v>0</v>
      </c>
      <c r="K42" s="92">
        <f t="shared" ca="1" si="1"/>
        <v>0</v>
      </c>
      <c r="L42" s="92">
        <f t="shared" ca="1" si="1"/>
        <v>0</v>
      </c>
      <c r="M42" s="92">
        <f t="shared" ca="1" si="1"/>
        <v>0</v>
      </c>
      <c r="N42" s="92">
        <f t="shared" ca="1" si="1"/>
        <v>0</v>
      </c>
      <c r="O42" s="92">
        <f t="shared" ca="1" si="1"/>
        <v>0</v>
      </c>
      <c r="Q42" s="198"/>
      <c r="R42" s="198"/>
      <c r="S42" s="198"/>
      <c r="T42" s="198"/>
      <c r="U42" s="198"/>
    </row>
    <row r="43" spans="3:21" ht="15" customHeight="1" x14ac:dyDescent="0.2">
      <c r="C43" s="90">
        <v>25</v>
      </c>
      <c r="D43" s="92" t="str">
        <f t="shared" ca="1" si="1"/>
        <v>DOM</v>
      </c>
      <c r="E43" s="92" t="str">
        <f t="shared" ca="1" si="1"/>
        <v>Feriado</v>
      </c>
      <c r="F43" s="92">
        <f t="shared" ca="1" si="1"/>
        <v>0</v>
      </c>
      <c r="G43" s="92">
        <f t="shared" ca="1" si="1"/>
        <v>0</v>
      </c>
      <c r="H43" s="92">
        <f t="shared" ca="1" si="1"/>
        <v>0</v>
      </c>
      <c r="I43" s="92">
        <f t="shared" ca="1" si="1"/>
        <v>0</v>
      </c>
      <c r="J43" s="92">
        <f t="shared" ca="1" si="1"/>
        <v>0</v>
      </c>
      <c r="K43" s="92">
        <f t="shared" ca="1" si="1"/>
        <v>0</v>
      </c>
      <c r="L43" s="92">
        <f t="shared" ca="1" si="1"/>
        <v>0</v>
      </c>
      <c r="M43" s="92">
        <f t="shared" ca="1" si="1"/>
        <v>0</v>
      </c>
      <c r="N43" s="92">
        <f t="shared" ca="1" si="1"/>
        <v>0</v>
      </c>
      <c r="O43" s="92">
        <f t="shared" ca="1" si="1"/>
        <v>0</v>
      </c>
      <c r="Q43" s="198"/>
      <c r="R43" s="198"/>
      <c r="S43" s="198"/>
      <c r="T43" s="198"/>
      <c r="U43" s="198"/>
    </row>
    <row r="44" spans="3:21" ht="15" customHeight="1" x14ac:dyDescent="0.2">
      <c r="C44" s="90">
        <v>26</v>
      </c>
      <c r="D44" s="92" t="str">
        <f t="shared" ca="1" si="1"/>
        <v>SEG</v>
      </c>
      <c r="E44" s="92" t="str">
        <f t="shared" ca="1" si="1"/>
        <v>Feriado</v>
      </c>
      <c r="F44" s="92">
        <f t="shared" ca="1" si="1"/>
        <v>0</v>
      </c>
      <c r="G44" s="92">
        <f t="shared" ca="1" si="1"/>
        <v>0</v>
      </c>
      <c r="H44" s="92">
        <f t="shared" ca="1" si="1"/>
        <v>0</v>
      </c>
      <c r="I44" s="92">
        <f t="shared" ca="1" si="1"/>
        <v>0</v>
      </c>
      <c r="J44" s="92">
        <f t="shared" ca="1" si="1"/>
        <v>0</v>
      </c>
      <c r="K44" s="92">
        <f t="shared" ca="1" si="1"/>
        <v>0</v>
      </c>
      <c r="L44" s="92">
        <f t="shared" ca="1" si="1"/>
        <v>0</v>
      </c>
      <c r="M44" s="92">
        <f t="shared" ca="1" si="1"/>
        <v>0</v>
      </c>
      <c r="N44" s="92">
        <f t="shared" ca="1" si="1"/>
        <v>0</v>
      </c>
      <c r="O44" s="92">
        <f t="shared" ca="1" si="1"/>
        <v>0</v>
      </c>
      <c r="Q44" s="198"/>
      <c r="R44" s="198"/>
      <c r="S44" s="198"/>
      <c r="T44" s="198"/>
      <c r="U44" s="198"/>
    </row>
    <row r="45" spans="3:21" ht="15" customHeight="1" x14ac:dyDescent="0.2">
      <c r="C45" s="90">
        <v>27</v>
      </c>
      <c r="D45" s="92" t="str">
        <f t="shared" ca="1" si="1"/>
        <v>TER</v>
      </c>
      <c r="E45" s="92" t="str">
        <f t="shared" ca="1" si="1"/>
        <v>Feriado</v>
      </c>
      <c r="F45" s="92">
        <f t="shared" ca="1" si="1"/>
        <v>0</v>
      </c>
      <c r="G45" s="92">
        <f t="shared" ca="1" si="1"/>
        <v>0</v>
      </c>
      <c r="H45" s="92">
        <f t="shared" ca="1" si="1"/>
        <v>0</v>
      </c>
      <c r="I45" s="92">
        <f t="shared" ca="1" si="1"/>
        <v>0</v>
      </c>
      <c r="J45" s="92">
        <f t="shared" ca="1" si="1"/>
        <v>0</v>
      </c>
      <c r="K45" s="92">
        <f t="shared" ca="1" si="1"/>
        <v>0</v>
      </c>
      <c r="L45" s="92">
        <f t="shared" ca="1" si="1"/>
        <v>0</v>
      </c>
      <c r="M45" s="92">
        <f t="shared" ca="1" si="1"/>
        <v>0</v>
      </c>
      <c r="N45" s="92">
        <f t="shared" ca="1" si="1"/>
        <v>0</v>
      </c>
      <c r="O45" s="92">
        <f t="shared" ca="1" si="1"/>
        <v>0</v>
      </c>
      <c r="Q45" s="198"/>
      <c r="R45" s="198"/>
      <c r="S45" s="198"/>
      <c r="T45" s="198"/>
      <c r="U45" s="198"/>
    </row>
    <row r="46" spans="3:21" ht="15" customHeight="1" x14ac:dyDescent="0.2">
      <c r="C46" s="90">
        <v>28</v>
      </c>
      <c r="D46" s="92" t="str">
        <f t="shared" ca="1" si="1"/>
        <v>QUA</v>
      </c>
      <c r="E46" s="92" t="str">
        <f t="shared" ca="1" si="1"/>
        <v>Feriado</v>
      </c>
      <c r="F46" s="92">
        <f t="shared" ca="1" si="1"/>
        <v>0</v>
      </c>
      <c r="G46" s="92">
        <f t="shared" ca="1" si="1"/>
        <v>0</v>
      </c>
      <c r="H46" s="92">
        <f t="shared" ca="1" si="1"/>
        <v>0</v>
      </c>
      <c r="I46" s="92">
        <f t="shared" ca="1" si="1"/>
        <v>0</v>
      </c>
      <c r="J46" s="92">
        <f t="shared" ca="1" si="1"/>
        <v>0</v>
      </c>
      <c r="K46" s="92">
        <f t="shared" ca="1" si="1"/>
        <v>0</v>
      </c>
      <c r="L46" s="92">
        <f t="shared" ca="1" si="1"/>
        <v>0</v>
      </c>
      <c r="M46" s="92">
        <f t="shared" ca="1" si="1"/>
        <v>0</v>
      </c>
      <c r="N46" s="92">
        <f t="shared" ca="1" si="1"/>
        <v>0</v>
      </c>
      <c r="O46" s="92">
        <f t="shared" ca="1" si="1"/>
        <v>0</v>
      </c>
      <c r="Q46" s="198"/>
      <c r="R46" s="198"/>
      <c r="S46" s="198"/>
      <c r="T46" s="198"/>
      <c r="U46" s="198"/>
    </row>
    <row r="47" spans="3:21" ht="15" customHeight="1" x14ac:dyDescent="0.2">
      <c r="C47" s="90">
        <v>29</v>
      </c>
      <c r="D47" s="92" t="str">
        <f t="shared" ca="1" si="1"/>
        <v>QUI</v>
      </c>
      <c r="E47" s="92" t="str">
        <f t="shared" ca="1" si="1"/>
        <v>Feriado</v>
      </c>
      <c r="F47" s="92">
        <f t="shared" ca="1" si="1"/>
        <v>0</v>
      </c>
      <c r="G47" s="92">
        <f t="shared" ca="1" si="1"/>
        <v>0</v>
      </c>
      <c r="H47" s="92">
        <f t="shared" ca="1" si="1"/>
        <v>0</v>
      </c>
      <c r="I47" s="92">
        <f t="shared" ca="1" si="1"/>
        <v>0</v>
      </c>
      <c r="J47" s="92">
        <f t="shared" ca="1" si="1"/>
        <v>0</v>
      </c>
      <c r="K47" s="92">
        <f t="shared" ca="1" si="1"/>
        <v>0</v>
      </c>
      <c r="L47" s="92">
        <f t="shared" ca="1" si="1"/>
        <v>0</v>
      </c>
      <c r="M47" s="92">
        <f t="shared" ca="1" si="1"/>
        <v>0</v>
      </c>
      <c r="N47" s="92">
        <f t="shared" ca="1" si="1"/>
        <v>0</v>
      </c>
      <c r="O47" s="92">
        <f t="shared" ca="1" si="1"/>
        <v>0</v>
      </c>
      <c r="Q47" s="198"/>
      <c r="R47" s="198"/>
      <c r="S47" s="198"/>
      <c r="T47" s="198"/>
      <c r="U47" s="198"/>
    </row>
    <row r="48" spans="3:21" ht="15" customHeight="1" x14ac:dyDescent="0.2">
      <c r="C48" s="90">
        <v>30</v>
      </c>
      <c r="D48" s="92" t="str">
        <f t="shared" ca="1" si="1"/>
        <v>SEX</v>
      </c>
      <c r="E48" s="92" t="str">
        <f t="shared" ca="1" si="1"/>
        <v>Feriado</v>
      </c>
      <c r="F48" s="92">
        <f t="shared" ca="1" si="1"/>
        <v>0</v>
      </c>
      <c r="G48" s="92">
        <f t="shared" ca="1" si="1"/>
        <v>0</v>
      </c>
      <c r="H48" s="92">
        <f t="shared" ca="1" si="1"/>
        <v>0</v>
      </c>
      <c r="I48" s="92">
        <f t="shared" ca="1" si="1"/>
        <v>0</v>
      </c>
      <c r="J48" s="92">
        <f t="shared" ca="1" si="1"/>
        <v>0</v>
      </c>
      <c r="K48" s="92">
        <f t="shared" ca="1" si="1"/>
        <v>0</v>
      </c>
      <c r="L48" s="92">
        <f t="shared" ca="1" si="1"/>
        <v>0</v>
      </c>
      <c r="M48" s="92">
        <f t="shared" ca="1" si="1"/>
        <v>0</v>
      </c>
      <c r="N48" s="92">
        <f t="shared" ca="1" si="1"/>
        <v>0</v>
      </c>
      <c r="O48" s="92">
        <f t="shared" ca="1" si="1"/>
        <v>0</v>
      </c>
      <c r="Q48" s="198"/>
      <c r="R48" s="198"/>
      <c r="S48" s="198"/>
      <c r="T48" s="198"/>
      <c r="U48" s="198"/>
    </row>
    <row r="49" spans="3:21" ht="15" customHeight="1" x14ac:dyDescent="0.2">
      <c r="C49" s="90">
        <v>31</v>
      </c>
      <c r="D49" s="92" t="str">
        <f t="shared" ca="1" si="1"/>
        <v>SÁB</v>
      </c>
      <c r="E49" s="92" t="str">
        <f t="shared" ca="1" si="1"/>
        <v>Feriado</v>
      </c>
      <c r="F49" s="92">
        <f t="shared" ca="1" si="1"/>
        <v>0</v>
      </c>
      <c r="G49" s="92">
        <f t="shared" ca="1" si="1"/>
        <v>0</v>
      </c>
      <c r="H49" s="92">
        <f t="shared" ca="1" si="1"/>
        <v>0</v>
      </c>
      <c r="I49" s="92">
        <f t="shared" ca="1" si="1"/>
        <v>0</v>
      </c>
      <c r="J49" s="92">
        <f t="shared" ca="1" si="1"/>
        <v>0</v>
      </c>
      <c r="K49" s="92">
        <f t="shared" ca="1" si="1"/>
        <v>0</v>
      </c>
      <c r="L49" s="92">
        <f t="shared" ca="1" si="1"/>
        <v>0</v>
      </c>
      <c r="M49" s="92">
        <f t="shared" ca="1" si="1"/>
        <v>0</v>
      </c>
      <c r="N49" s="92">
        <f t="shared" ca="1" si="1"/>
        <v>0</v>
      </c>
      <c r="O49" s="92">
        <f t="shared" ca="1" si="1"/>
        <v>0</v>
      </c>
      <c r="Q49" s="198"/>
      <c r="R49" s="198"/>
      <c r="S49" s="198"/>
      <c r="T49" s="198"/>
      <c r="U49" s="198"/>
    </row>
    <row r="50" spans="3:21" ht="7.75" customHeight="1" x14ac:dyDescent="0.2"/>
    <row r="51" spans="3:21" ht="15" customHeight="1" x14ac:dyDescent="0.2">
      <c r="C51" s="211" t="s">
        <v>153</v>
      </c>
      <c r="D51" s="211"/>
      <c r="E51" s="211"/>
      <c r="F51" s="211"/>
      <c r="G51" s="211"/>
      <c r="H51" s="211"/>
      <c r="I51" s="211"/>
      <c r="J51" s="212"/>
      <c r="K51" s="211"/>
      <c r="L51" s="211"/>
      <c r="M51" s="211"/>
      <c r="N51" s="211"/>
      <c r="O51" s="211"/>
      <c r="P51" s="211"/>
      <c r="Q51" s="211"/>
      <c r="R51" s="211"/>
      <c r="S51" s="211"/>
      <c r="T51" s="211"/>
      <c r="U51" s="211"/>
    </row>
    <row r="52" spans="3:21" ht="15" customHeight="1" x14ac:dyDescent="0.2">
      <c r="C52" s="206" t="s">
        <v>154</v>
      </c>
      <c r="D52" s="207"/>
      <c r="E52" s="207" t="s">
        <v>77</v>
      </c>
      <c r="F52" s="207"/>
      <c r="G52" s="207" t="s">
        <v>155</v>
      </c>
      <c r="H52" s="207"/>
      <c r="I52" s="97" t="s">
        <v>53</v>
      </c>
      <c r="J52" s="89"/>
      <c r="K52" s="203" t="s">
        <v>156</v>
      </c>
      <c r="L52" s="204"/>
      <c r="M52" s="204"/>
      <c r="N52" s="204"/>
      <c r="O52" s="204"/>
      <c r="P52" s="204"/>
      <c r="Q52" s="204"/>
      <c r="R52" s="204"/>
      <c r="S52" s="204"/>
      <c r="T52" s="204"/>
      <c r="U52" s="205"/>
    </row>
    <row r="53" spans="3:21" ht="15" customHeight="1" x14ac:dyDescent="0.2">
      <c r="C53" s="208">
        <f ca="1">SUM(K19:K49)</f>
        <v>0</v>
      </c>
      <c r="D53" s="209"/>
      <c r="E53" s="209">
        <f ca="1">SUM(O19:O49)</f>
        <v>0</v>
      </c>
      <c r="F53" s="209"/>
      <c r="G53" s="210">
        <f>HLOOKUP(F8,Resul!$I$53:$U$68,10,0)</f>
        <v>0</v>
      </c>
      <c r="H53" s="210"/>
      <c r="I53" s="98">
        <f>HLOOKUP(F8,Resul!$I$53:$U$68,13,0)</f>
        <v>0</v>
      </c>
      <c r="J53" s="38"/>
      <c r="K53" s="94"/>
      <c r="L53" s="95"/>
      <c r="M53" s="95"/>
      <c r="N53" s="95"/>
      <c r="O53" s="95"/>
      <c r="P53" s="95"/>
      <c r="Q53" s="95"/>
      <c r="R53" s="95"/>
      <c r="S53" s="95"/>
      <c r="T53" s="95"/>
      <c r="U53" s="96"/>
    </row>
    <row r="54" spans="3:21" ht="15" customHeight="1" x14ac:dyDescent="0.2">
      <c r="C54" s="203" t="s">
        <v>152</v>
      </c>
      <c r="D54" s="204"/>
      <c r="E54" s="204"/>
      <c r="F54" s="204"/>
      <c r="G54" s="204"/>
      <c r="H54" s="204"/>
      <c r="I54" s="204"/>
      <c r="J54" s="204"/>
      <c r="K54" s="204"/>
      <c r="L54" s="204"/>
      <c r="M54" s="204"/>
      <c r="N54" s="204"/>
      <c r="O54" s="204"/>
      <c r="P54" s="204"/>
      <c r="Q54" s="204"/>
      <c r="R54" s="204"/>
      <c r="S54" s="204"/>
      <c r="T54" s="204"/>
      <c r="U54" s="205"/>
    </row>
    <row r="55" spans="3:21" ht="47.25" customHeight="1" x14ac:dyDescent="0.2">
      <c r="C55" s="200"/>
      <c r="D55" s="201"/>
      <c r="E55" s="201"/>
      <c r="F55" s="201"/>
      <c r="G55" s="201"/>
      <c r="H55" s="201"/>
      <c r="I55" s="201"/>
      <c r="J55" s="201"/>
      <c r="K55" s="201"/>
      <c r="L55" s="201"/>
      <c r="M55" s="201"/>
      <c r="N55" s="201"/>
      <c r="O55" s="201"/>
      <c r="P55" s="201"/>
      <c r="Q55" s="201"/>
      <c r="R55" s="201"/>
      <c r="S55" s="201"/>
      <c r="T55" s="201"/>
      <c r="U55" s="202"/>
    </row>
    <row r="56" spans="3:21" ht="30" customHeight="1" x14ac:dyDescent="0.2"/>
    <row r="57" spans="3:21" ht="30" customHeight="1" x14ac:dyDescent="0.2"/>
    <row r="58" spans="3:21" ht="30" customHeight="1" x14ac:dyDescent="0.2"/>
    <row r="59" spans="3:21" ht="30" customHeight="1" x14ac:dyDescent="0.2"/>
    <row r="60" spans="3:21" ht="30" customHeight="1" x14ac:dyDescent="0.2"/>
    <row r="61" spans="3:21" ht="30" customHeight="1" x14ac:dyDescent="0.2"/>
    <row r="62" spans="3:21" ht="30" customHeight="1" x14ac:dyDescent="0.2"/>
    <row r="63" spans="3:21" ht="30" customHeight="1" x14ac:dyDescent="0.2"/>
    <row r="64" spans="3:21"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row r="101" ht="30" customHeight="1" x14ac:dyDescent="0.2"/>
    <row r="102" ht="30" customHeight="1" x14ac:dyDescent="0.2"/>
    <row r="103" ht="30" customHeight="1" x14ac:dyDescent="0.2"/>
    <row r="104" ht="30" customHeight="1" x14ac:dyDescent="0.2"/>
    <row r="105" ht="30" customHeight="1" x14ac:dyDescent="0.2"/>
    <row r="106" ht="30" customHeight="1" x14ac:dyDescent="0.2"/>
    <row r="107" ht="30" customHeight="1" x14ac:dyDescent="0.2"/>
    <row r="108" ht="30" customHeight="1" x14ac:dyDescent="0.2"/>
    <row r="109" ht="30" customHeight="1" x14ac:dyDescent="0.2"/>
    <row r="110" ht="30" customHeight="1" x14ac:dyDescent="0.2"/>
  </sheetData>
  <sheetProtection sheet="1" objects="1" scenarios="1" selectLockedCells="1"/>
  <mergeCells count="47">
    <mergeCell ref="C18:D18"/>
    <mergeCell ref="G18:H18"/>
    <mergeCell ref="H11:M11"/>
    <mergeCell ref="Q19:U19"/>
    <mergeCell ref="Q20:U20"/>
    <mergeCell ref="Q34:U34"/>
    <mergeCell ref="Q35:U35"/>
    <mergeCell ref="Q21:U21"/>
    <mergeCell ref="Q22:U22"/>
    <mergeCell ref="Q23:U23"/>
    <mergeCell ref="Q24:U24"/>
    <mergeCell ref="Q25:U25"/>
    <mergeCell ref="Q26:U26"/>
    <mergeCell ref="Q27:U27"/>
    <mergeCell ref="Q28:U28"/>
    <mergeCell ref="Q29:U29"/>
    <mergeCell ref="Q30:U30"/>
    <mergeCell ref="C51:U51"/>
    <mergeCell ref="K52:U52"/>
    <mergeCell ref="Q44:U44"/>
    <mergeCell ref="Q45:U45"/>
    <mergeCell ref="Q48:U48"/>
    <mergeCell ref="Q47:U47"/>
    <mergeCell ref="C55:U55"/>
    <mergeCell ref="C54:U54"/>
    <mergeCell ref="C52:D52"/>
    <mergeCell ref="E52:F52"/>
    <mergeCell ref="G52:H52"/>
    <mergeCell ref="C53:D53"/>
    <mergeCell ref="E53:F53"/>
    <mergeCell ref="G53:H53"/>
    <mergeCell ref="C10:O10"/>
    <mergeCell ref="C8:E8"/>
    <mergeCell ref="Q38:U38"/>
    <mergeCell ref="Q46:U46"/>
    <mergeCell ref="Q49:U49"/>
    <mergeCell ref="Q18:U18"/>
    <mergeCell ref="Q42:U42"/>
    <mergeCell ref="Q36:U36"/>
    <mergeCell ref="Q37:U37"/>
    <mergeCell ref="Q39:U39"/>
    <mergeCell ref="Q43:U43"/>
    <mergeCell ref="Q40:U40"/>
    <mergeCell ref="Q41:U41"/>
    <mergeCell ref="Q31:U31"/>
    <mergeCell ref="Q32:U32"/>
    <mergeCell ref="Q33:U33"/>
  </mergeCells>
  <dataValidations count="1">
    <dataValidation type="list" allowBlank="1" showInputMessage="1" showErrorMessage="1" sqref="F8">
      <formula1>"Janeiro,Fevereiro,Março,Abril,Maio,Junho,Julho,Agosto,Setembro,Outubro,Novembro,Dezembro"</formula1>
    </dataValidation>
  </dataValidations>
  <pageMargins left="0.511811024" right="0.511811024" top="0.78740157499999996" bottom="0.78740157499999996" header="0.31496062000000002" footer="0.31496062000000002"/>
  <pageSetup paperSize="9" scale="56" fitToWidth="0" orientation="landscape"/>
  <rowBreaks count="1" manualBreakCount="1">
    <brk id="17" min="2" max="20" man="1"/>
  </rowBreaks>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9" enableFormatConditionsCalculation="0"/>
  <dimension ref="A1:K100"/>
  <sheetViews>
    <sheetView showGridLines="0" zoomScale="90" zoomScaleNormal="90" zoomScalePageLayoutView="90" workbookViewId="0">
      <selection activeCell="C5" sqref="C5:K5"/>
    </sheetView>
  </sheetViews>
  <sheetFormatPr baseColWidth="10" defaultColWidth="9.19921875" defaultRowHeight="15" zeroHeight="1" x14ac:dyDescent="0.2"/>
  <cols>
    <col min="1" max="1" width="27.59765625" style="9" customWidth="1"/>
    <col min="2" max="2" width="3.796875" style="2" customWidth="1"/>
    <col min="3" max="16384" width="9.19921875" style="2"/>
  </cols>
  <sheetData>
    <row r="1" spans="1:11" s="3" customFormat="1" ht="34" customHeight="1" x14ac:dyDescent="0.3">
      <c r="A1" s="130" t="s">
        <v>192</v>
      </c>
      <c r="C1" s="4" t="s">
        <v>35</v>
      </c>
    </row>
    <row r="2" spans="1:11" s="3" customFormat="1" ht="21.25" customHeight="1" x14ac:dyDescent="0.2">
      <c r="A2" s="1"/>
    </row>
    <row r="3" spans="1:11" s="3" customFormat="1" ht="21.25" customHeight="1" x14ac:dyDescent="0.2">
      <c r="A3" s="1"/>
    </row>
    <row r="4" spans="1:11" customFormat="1" ht="30" customHeight="1" x14ac:dyDescent="0.2">
      <c r="A4" s="1"/>
      <c r="C4" s="219" t="s">
        <v>41</v>
      </c>
      <c r="D4" s="219"/>
      <c r="E4" s="219"/>
      <c r="F4" s="219"/>
      <c r="G4" s="219"/>
      <c r="H4" s="219"/>
      <c r="I4" s="219"/>
      <c r="J4" s="219"/>
      <c r="K4" s="219"/>
    </row>
    <row r="5" spans="1:11" customFormat="1" ht="30" customHeight="1" x14ac:dyDescent="0.2">
      <c r="A5" s="1"/>
      <c r="C5" s="215" t="s">
        <v>43</v>
      </c>
      <c r="D5" s="216"/>
      <c r="E5" s="216"/>
      <c r="F5" s="216"/>
      <c r="G5" s="216"/>
      <c r="H5" s="216"/>
      <c r="I5" s="216"/>
      <c r="J5" s="216"/>
      <c r="K5" s="217"/>
    </row>
    <row r="6" spans="1:11" customFormat="1" ht="30" customHeight="1" x14ac:dyDescent="0.2">
      <c r="A6" s="1"/>
      <c r="C6" s="220" t="s">
        <v>42</v>
      </c>
      <c r="D6" s="220"/>
      <c r="E6" s="220"/>
      <c r="F6" s="220"/>
      <c r="G6" s="220"/>
      <c r="H6" s="220"/>
      <c r="I6" s="220"/>
      <c r="J6" s="220"/>
      <c r="K6" s="220"/>
    </row>
    <row r="7" spans="1:11" customFormat="1" ht="30" customHeight="1" x14ac:dyDescent="0.2">
      <c r="A7" s="1"/>
      <c r="C7" s="218" t="str">
        <f>IFERROR(VLOOKUP(C5,C59:J73,8,FALSE),"")</f>
        <v xml:space="preserve">Nós recomendamos fortemente que você utilize a estrutura pronta apresentada, pois existem diversas fórmulas que podem ser afetadas pela adição de linhas e colunas. Além disso, para facilitar o preenchimento mantemos a planilha desbloqueada apenas nos locais para preenchimento. </v>
      </c>
      <c r="D7" s="218"/>
      <c r="E7" s="218"/>
      <c r="F7" s="218"/>
      <c r="G7" s="218"/>
      <c r="H7" s="218"/>
      <c r="I7" s="218"/>
      <c r="J7" s="218"/>
      <c r="K7" s="218"/>
    </row>
    <row r="8" spans="1:11" customFormat="1" ht="30" customHeight="1" x14ac:dyDescent="0.2">
      <c r="A8" s="1"/>
      <c r="C8" s="218"/>
      <c r="D8" s="218"/>
      <c r="E8" s="218"/>
      <c r="F8" s="218"/>
      <c r="G8" s="218"/>
      <c r="H8" s="218"/>
      <c r="I8" s="218"/>
      <c r="J8" s="218"/>
      <c r="K8" s="218"/>
    </row>
    <row r="9" spans="1:11" customFormat="1" ht="30" customHeight="1" x14ac:dyDescent="0.2">
      <c r="A9" s="1"/>
      <c r="C9" s="218"/>
      <c r="D9" s="218"/>
      <c r="E9" s="218"/>
      <c r="F9" s="218"/>
      <c r="G9" s="218"/>
      <c r="H9" s="218"/>
      <c r="I9" s="218"/>
      <c r="J9" s="218"/>
      <c r="K9" s="218"/>
    </row>
    <row r="10" spans="1:11" customFormat="1" ht="30" customHeight="1" x14ac:dyDescent="0.2">
      <c r="A10" s="1"/>
      <c r="C10" s="218"/>
      <c r="D10" s="218"/>
      <c r="E10" s="218"/>
      <c r="F10" s="218"/>
      <c r="G10" s="218"/>
      <c r="H10" s="218"/>
      <c r="I10" s="218"/>
      <c r="J10" s="218"/>
      <c r="K10" s="218"/>
    </row>
    <row r="11" spans="1:11" customFormat="1" ht="30" customHeight="1" x14ac:dyDescent="0.2">
      <c r="A11" s="1"/>
      <c r="C11" s="218"/>
      <c r="D11" s="218"/>
      <c r="E11" s="218"/>
      <c r="F11" s="218"/>
      <c r="G11" s="218"/>
      <c r="H11" s="218"/>
      <c r="I11" s="218"/>
      <c r="J11" s="218"/>
      <c r="K11" s="218"/>
    </row>
    <row r="12" spans="1:11" customFormat="1" ht="30" customHeight="1" x14ac:dyDescent="0.2">
      <c r="A12" s="1"/>
    </row>
    <row r="13" spans="1:11" customFormat="1" ht="30" customHeight="1" x14ac:dyDescent="0.2">
      <c r="A13" s="1"/>
    </row>
    <row r="14" spans="1:11" customFormat="1" ht="30" customHeight="1" x14ac:dyDescent="0.2">
      <c r="A14" s="1"/>
    </row>
    <row r="15" spans="1:11" customFormat="1" ht="30" customHeight="1" x14ac:dyDescent="0.2">
      <c r="A15" s="1"/>
    </row>
    <row r="16" spans="1:11" customFormat="1" ht="30" customHeight="1" x14ac:dyDescent="0.2">
      <c r="A16" s="1"/>
    </row>
    <row r="17" spans="1:1" customFormat="1" ht="30" customHeight="1" x14ac:dyDescent="0.2">
      <c r="A17" s="1"/>
    </row>
    <row r="18" spans="1:1" customFormat="1" ht="30" customHeight="1" x14ac:dyDescent="0.2">
      <c r="A18" s="1"/>
    </row>
    <row r="19" spans="1:1" customFormat="1" ht="30" customHeight="1" x14ac:dyDescent="0.2">
      <c r="A19" s="1"/>
    </row>
    <row r="20" spans="1:1" customFormat="1" ht="30" customHeight="1" x14ac:dyDescent="0.2">
      <c r="A20" s="1"/>
    </row>
    <row r="21" spans="1:1" customFormat="1" ht="30" customHeight="1" x14ac:dyDescent="0.2">
      <c r="A21" s="1"/>
    </row>
    <row r="22" spans="1:1" customFormat="1" ht="30" customHeight="1" x14ac:dyDescent="0.2">
      <c r="A22" s="1"/>
    </row>
    <row r="23" spans="1:1" customFormat="1" ht="30" customHeight="1" x14ac:dyDescent="0.2">
      <c r="A23" s="1"/>
    </row>
    <row r="24" spans="1:1" customFormat="1" ht="30" customHeight="1" x14ac:dyDescent="0.2">
      <c r="A24" s="1"/>
    </row>
    <row r="25" spans="1:1" customFormat="1" ht="30" customHeight="1" x14ac:dyDescent="0.2">
      <c r="A25" s="1"/>
    </row>
    <row r="26" spans="1:1" customFormat="1" ht="30" customHeight="1" x14ac:dyDescent="0.2">
      <c r="A26" s="1"/>
    </row>
    <row r="27" spans="1:1" customFormat="1" ht="30" customHeight="1" x14ac:dyDescent="0.2">
      <c r="A27" s="1"/>
    </row>
    <row r="28" spans="1:1" customFormat="1" ht="30" customHeight="1" x14ac:dyDescent="0.2">
      <c r="A28" s="1"/>
    </row>
    <row r="29" spans="1:1" customFormat="1" ht="30" customHeight="1" x14ac:dyDescent="0.2">
      <c r="A29" s="1"/>
    </row>
    <row r="30" spans="1:1" customFormat="1" ht="30" customHeight="1" x14ac:dyDescent="0.2">
      <c r="A30" s="1"/>
    </row>
    <row r="31" spans="1:1" customFormat="1" ht="30" customHeight="1" x14ac:dyDescent="0.2">
      <c r="A31" s="1"/>
    </row>
    <row r="32" spans="1:1" customFormat="1" ht="30" customHeight="1" x14ac:dyDescent="0.2">
      <c r="A32" s="1"/>
    </row>
    <row r="33" spans="1:1" customFormat="1" ht="30" customHeight="1" x14ac:dyDescent="0.2">
      <c r="A33" s="1"/>
    </row>
    <row r="34" spans="1:1" customFormat="1" ht="30" customHeight="1" x14ac:dyDescent="0.2">
      <c r="A34" s="1"/>
    </row>
    <row r="35" spans="1:1" customFormat="1" ht="30" customHeight="1" x14ac:dyDescent="0.2">
      <c r="A35" s="1"/>
    </row>
    <row r="36" spans="1:1" customFormat="1" ht="30" customHeight="1" x14ac:dyDescent="0.2">
      <c r="A36" s="1"/>
    </row>
    <row r="37" spans="1:1" customFormat="1" ht="30" customHeight="1" x14ac:dyDescent="0.2">
      <c r="A37" s="1"/>
    </row>
    <row r="38" spans="1:1" customFormat="1" ht="30" customHeight="1" x14ac:dyDescent="0.2">
      <c r="A38" s="1"/>
    </row>
    <row r="39" spans="1:1" customFormat="1" ht="30" customHeight="1" x14ac:dyDescent="0.2">
      <c r="A39" s="1"/>
    </row>
    <row r="40" spans="1:1" customFormat="1" ht="30" customHeight="1" x14ac:dyDescent="0.2">
      <c r="A40" s="1"/>
    </row>
    <row r="41" spans="1:1" customFormat="1" ht="30" customHeight="1" x14ac:dyDescent="0.2">
      <c r="A41" s="1"/>
    </row>
    <row r="42" spans="1:1" customFormat="1" ht="30" customHeight="1" x14ac:dyDescent="0.2">
      <c r="A42" s="1"/>
    </row>
    <row r="43" spans="1:1" customFormat="1" ht="30" customHeight="1" x14ac:dyDescent="0.2">
      <c r="A43" s="1"/>
    </row>
    <row r="44" spans="1:1" customFormat="1" ht="30" customHeight="1" x14ac:dyDescent="0.2">
      <c r="A44" s="1"/>
    </row>
    <row r="45" spans="1:1" customFormat="1" ht="30" customHeight="1" x14ac:dyDescent="0.2">
      <c r="A45" s="1"/>
    </row>
    <row r="46" spans="1:1" customFormat="1" ht="30" customHeight="1" x14ac:dyDescent="0.2">
      <c r="A46" s="1"/>
    </row>
    <row r="47" spans="1:1" customFormat="1" ht="30" customHeight="1" x14ac:dyDescent="0.2">
      <c r="A47" s="1"/>
    </row>
    <row r="48" spans="1:1" customFormat="1" ht="30" customHeight="1" x14ac:dyDescent="0.2">
      <c r="A48" s="1"/>
    </row>
    <row r="49" spans="1:10" customFormat="1" ht="30" customHeight="1" x14ac:dyDescent="0.2">
      <c r="A49" s="1"/>
    </row>
    <row r="50" spans="1:10" customFormat="1" ht="30" customHeight="1" x14ac:dyDescent="0.2">
      <c r="A50" s="1"/>
    </row>
    <row r="51" spans="1:10" customFormat="1" ht="30" customHeight="1" x14ac:dyDescent="0.2">
      <c r="A51" s="1"/>
    </row>
    <row r="52" spans="1:10" customFormat="1" ht="30" customHeight="1" x14ac:dyDescent="0.2">
      <c r="A52" s="1"/>
    </row>
    <row r="53" spans="1:10" customFormat="1" ht="30" customHeight="1" x14ac:dyDescent="0.2">
      <c r="A53" s="1"/>
    </row>
    <row r="54" spans="1:10" customFormat="1" ht="30" customHeight="1" x14ac:dyDescent="0.2">
      <c r="A54" s="1"/>
    </row>
    <row r="55" spans="1:10" customFormat="1" ht="30" customHeight="1" x14ac:dyDescent="0.2">
      <c r="A55" s="1"/>
    </row>
    <row r="56" spans="1:10" customFormat="1" ht="30" customHeight="1" x14ac:dyDescent="0.2">
      <c r="A56" s="1"/>
    </row>
    <row r="57" spans="1:10" customFormat="1" ht="30" customHeight="1" x14ac:dyDescent="0.2">
      <c r="A57" s="1"/>
    </row>
    <row r="58" spans="1:10" ht="30" hidden="1" customHeight="1" x14ac:dyDescent="0.2"/>
    <row r="59" spans="1:10" ht="30" hidden="1" customHeight="1" x14ac:dyDescent="0.2">
      <c r="C59" s="2" t="str">
        <f>IF(E59="","",D59&amp;". "&amp;E59)</f>
        <v>1. Posso adicionar mais linhas e colunas na planilha?</v>
      </c>
      <c r="D59" s="2">
        <v>1</v>
      </c>
      <c r="E59" s="2" t="s">
        <v>14</v>
      </c>
      <c r="J59" s="2" t="s">
        <v>15</v>
      </c>
    </row>
    <row r="60" spans="1:10" ht="30" hidden="1" customHeight="1" x14ac:dyDescent="0.2">
      <c r="C60" s="2" t="str">
        <f t="shared" ref="C60:C73" si="0">IF(E60="","",D60&amp;". "&amp;E60)</f>
        <v>2. Posso remover linhas?</v>
      </c>
      <c r="D60" s="2">
        <v>2</v>
      </c>
      <c r="E60" s="2" t="s">
        <v>16</v>
      </c>
      <c r="J60" s="2" t="s">
        <v>15</v>
      </c>
    </row>
    <row r="61" spans="1:10" ht="30" hidden="1" customHeight="1" x14ac:dyDescent="0.2">
      <c r="C61" s="2" t="str">
        <f t="shared" si="0"/>
        <v>3. Para que servem os alertas?</v>
      </c>
      <c r="D61" s="2">
        <v>3</v>
      </c>
      <c r="E61" s="2" t="s">
        <v>18</v>
      </c>
      <c r="J61" s="2" t="s">
        <v>17</v>
      </c>
    </row>
    <row r="62" spans="1:10" ht="30" hidden="1" customHeight="1" x14ac:dyDescent="0.2">
      <c r="C62" s="2" t="str">
        <f t="shared" si="0"/>
        <v>4. Essa planilha pode ser apresentada para instituições financeiras?</v>
      </c>
      <c r="D62" s="2">
        <v>4</v>
      </c>
      <c r="E62" s="2" t="s">
        <v>21</v>
      </c>
      <c r="J62" s="2" t="s">
        <v>22</v>
      </c>
    </row>
    <row r="63" spans="1:10" ht="30" hidden="1" customHeight="1" x14ac:dyDescent="0.2">
      <c r="C63" s="2" t="str">
        <f t="shared" si="0"/>
        <v>5. Como desbloquear a planilha?</v>
      </c>
      <c r="D63" s="2">
        <v>5</v>
      </c>
      <c r="E63" s="2" t="s">
        <v>19</v>
      </c>
      <c r="J63" s="2" t="s">
        <v>20</v>
      </c>
    </row>
    <row r="64" spans="1:10" ht="30" hidden="1" customHeight="1" x14ac:dyDescent="0.2">
      <c r="C64" s="2" t="str">
        <f t="shared" si="0"/>
        <v>6. Como redimensiono uma coluna ou linha da planilha?</v>
      </c>
      <c r="D64" s="2">
        <v>6</v>
      </c>
      <c r="E64" s="2" t="s">
        <v>23</v>
      </c>
      <c r="J64" s="2" t="s">
        <v>24</v>
      </c>
    </row>
    <row r="65" spans="3:10" ht="30" hidden="1" customHeight="1" x14ac:dyDescent="0.2">
      <c r="C65" s="2" t="str">
        <f t="shared" si="0"/>
        <v>7. Como faço para imprimir uma planilha?</v>
      </c>
      <c r="D65" s="2">
        <v>7</v>
      </c>
      <c r="E65" s="2" t="s">
        <v>25</v>
      </c>
      <c r="J65" s="2" t="s">
        <v>27</v>
      </c>
    </row>
    <row r="66" spans="3:10" ht="30" hidden="1" customHeight="1" x14ac:dyDescent="0.2">
      <c r="C66" s="2" t="str">
        <f t="shared" si="0"/>
        <v>8. Como mudo a moeda da planilha?</v>
      </c>
      <c r="D66" s="2">
        <v>8</v>
      </c>
      <c r="E66" s="2" t="s">
        <v>26</v>
      </c>
      <c r="J66" s="2" t="s">
        <v>28</v>
      </c>
    </row>
    <row r="67" spans="3:10" ht="30" hidden="1" customHeight="1" x14ac:dyDescent="0.2">
      <c r="C67" s="2" t="str">
        <f t="shared" si="0"/>
        <v/>
      </c>
      <c r="D67" s="2">
        <v>9</v>
      </c>
    </row>
    <row r="68" spans="3:10" ht="30" hidden="1" customHeight="1" x14ac:dyDescent="0.2">
      <c r="C68" s="2" t="str">
        <f t="shared" si="0"/>
        <v/>
      </c>
      <c r="D68" s="2">
        <v>10</v>
      </c>
    </row>
    <row r="69" spans="3:10" ht="30" hidden="1" customHeight="1" x14ac:dyDescent="0.2">
      <c r="C69" s="2" t="str">
        <f t="shared" si="0"/>
        <v/>
      </c>
      <c r="D69" s="2">
        <v>11</v>
      </c>
    </row>
    <row r="70" spans="3:10" ht="30" hidden="1" customHeight="1" x14ac:dyDescent="0.2">
      <c r="C70" s="2" t="str">
        <f t="shared" si="0"/>
        <v/>
      </c>
      <c r="D70" s="2">
        <v>12</v>
      </c>
    </row>
    <row r="71" spans="3:10" ht="30" hidden="1" customHeight="1" x14ac:dyDescent="0.2">
      <c r="C71" s="2" t="str">
        <f t="shared" si="0"/>
        <v/>
      </c>
      <c r="D71" s="2">
        <v>13</v>
      </c>
    </row>
    <row r="72" spans="3:10" ht="30" hidden="1" customHeight="1" x14ac:dyDescent="0.2">
      <c r="C72" s="2" t="str">
        <f t="shared" si="0"/>
        <v/>
      </c>
      <c r="D72" s="2">
        <v>14</v>
      </c>
    </row>
    <row r="73" spans="3:10" ht="30" hidden="1" customHeight="1" x14ac:dyDescent="0.2">
      <c r="C73" s="2" t="str">
        <f t="shared" si="0"/>
        <v/>
      </c>
      <c r="D73" s="2">
        <v>15</v>
      </c>
    </row>
    <row r="74" spans="3:10" ht="30" hidden="1" customHeight="1" x14ac:dyDescent="0.2"/>
    <row r="75" spans="3:10" ht="30" hidden="1" customHeight="1" x14ac:dyDescent="0.2"/>
    <row r="76" spans="3:10" ht="30" hidden="1" customHeight="1" x14ac:dyDescent="0.2"/>
    <row r="77" spans="3:10" ht="30" hidden="1" customHeight="1" x14ac:dyDescent="0.2"/>
    <row r="78" spans="3:10" ht="30" hidden="1" customHeight="1" x14ac:dyDescent="0.2"/>
    <row r="79" spans="3:10" ht="30" hidden="1" customHeight="1" x14ac:dyDescent="0.2"/>
    <row r="80" spans="3:10" ht="30" hidden="1" customHeight="1" x14ac:dyDescent="0.2"/>
    <row r="81" ht="30" hidden="1" customHeight="1" x14ac:dyDescent="0.2"/>
    <row r="82" ht="30" hidden="1" customHeight="1" x14ac:dyDescent="0.2"/>
    <row r="83" ht="30" hidden="1" customHeight="1" x14ac:dyDescent="0.2"/>
    <row r="84" ht="30" hidden="1" customHeight="1" x14ac:dyDescent="0.2"/>
    <row r="85" ht="30" hidden="1" customHeight="1" x14ac:dyDescent="0.2"/>
    <row r="86" ht="30" hidden="1" customHeight="1" x14ac:dyDescent="0.2"/>
    <row r="87" ht="30" hidden="1" customHeight="1" x14ac:dyDescent="0.2"/>
    <row r="88" ht="30" hidden="1" customHeight="1" x14ac:dyDescent="0.2"/>
    <row r="89" ht="30" hidden="1" customHeight="1" x14ac:dyDescent="0.2"/>
    <row r="90" ht="30" hidden="1" customHeight="1" x14ac:dyDescent="0.2"/>
    <row r="91" ht="30" hidden="1" customHeight="1" x14ac:dyDescent="0.2"/>
    <row r="92" ht="30" hidden="1" customHeight="1" x14ac:dyDescent="0.2"/>
    <row r="93" ht="30" hidden="1" customHeight="1" x14ac:dyDescent="0.2"/>
    <row r="94" ht="30" hidden="1" customHeight="1" x14ac:dyDescent="0.2"/>
    <row r="95" ht="30" hidden="1" customHeight="1" x14ac:dyDescent="0.2"/>
    <row r="96" ht="30" hidden="1" customHeight="1" x14ac:dyDescent="0.2"/>
    <row r="97" ht="30" hidden="1" customHeight="1" x14ac:dyDescent="0.2"/>
    <row r="98" ht="30" hidden="1" customHeight="1" x14ac:dyDescent="0.2"/>
    <row r="99" ht="30" hidden="1" customHeight="1" x14ac:dyDescent="0.2"/>
    <row r="100" x14ac:dyDescent="0.2"/>
  </sheetData>
  <sheetProtection sheet="1" objects="1" scenarios="1"/>
  <mergeCells count="4">
    <mergeCell ref="C5:K5"/>
    <mergeCell ref="C7:K11"/>
    <mergeCell ref="C4:K4"/>
    <mergeCell ref="C6:K6"/>
  </mergeCells>
  <dataValidations count="1">
    <dataValidation type="list" allowBlank="1" showInputMessage="1" showErrorMessage="1" sqref="C5:K5">
      <formula1>$C$59:$C$73</formula1>
    </dataValidation>
  </dataValidations>
  <pageMargins left="0.511811024" right="0.511811024" top="0.78740157499999996" bottom="0.78740157499999996" header="0.31496062000000002" footer="0.31496062000000002"/>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0" enableFormatConditionsCalculation="0"/>
  <dimension ref="A1:X98"/>
  <sheetViews>
    <sheetView showGridLines="0" zoomScale="90" zoomScaleNormal="90" zoomScalePageLayoutView="90" workbookViewId="0">
      <selection activeCell="B1" sqref="B1"/>
    </sheetView>
  </sheetViews>
  <sheetFormatPr baseColWidth="10" defaultColWidth="8.796875" defaultRowHeight="15" x14ac:dyDescent="0.2"/>
  <cols>
    <col min="1" max="1" width="27.59765625" style="1" customWidth="1"/>
    <col min="2" max="2" width="3.796875" customWidth="1"/>
    <col min="3" max="3" width="8.59765625" customWidth="1"/>
    <col min="4" max="4" width="61.3984375" customWidth="1"/>
    <col min="5" max="5" width="4.3984375" customWidth="1"/>
    <col min="6" max="6" width="8.59765625" customWidth="1"/>
    <col min="7" max="7" width="61.3984375" customWidth="1"/>
  </cols>
  <sheetData>
    <row r="1" spans="1:7" s="3" customFormat="1" ht="34" customHeight="1" x14ac:dyDescent="0.3">
      <c r="A1" s="130" t="s">
        <v>192</v>
      </c>
      <c r="C1" s="4" t="s">
        <v>36</v>
      </c>
    </row>
    <row r="2" spans="1:7" s="3" customFormat="1" ht="21.25" customHeight="1" x14ac:dyDescent="0.2">
      <c r="A2" s="1"/>
    </row>
    <row r="3" spans="1:7" s="3" customFormat="1" ht="21.25" customHeight="1" x14ac:dyDescent="0.2">
      <c r="A3" s="1"/>
      <c r="C3" s="8" t="s">
        <v>40</v>
      </c>
    </row>
    <row r="4" spans="1:7" ht="15" customHeight="1" x14ac:dyDescent="0.2"/>
    <row r="5" spans="1:7" ht="18" customHeight="1" x14ac:dyDescent="0.2">
      <c r="F5" s="221">
        <v>1</v>
      </c>
      <c r="G5" s="6" t="s">
        <v>1</v>
      </c>
    </row>
    <row r="6" spans="1:7" ht="30" customHeight="1" x14ac:dyDescent="0.2">
      <c r="F6" s="221"/>
      <c r="G6" s="5" t="s">
        <v>5</v>
      </c>
    </row>
    <row r="7" spans="1:7" ht="18" customHeight="1" x14ac:dyDescent="0.2">
      <c r="F7" s="221"/>
      <c r="G7" s="7" t="s">
        <v>38</v>
      </c>
    </row>
    <row r="8" spans="1:7" ht="15" customHeight="1" x14ac:dyDescent="0.2"/>
    <row r="9" spans="1:7" ht="18" customHeight="1" x14ac:dyDescent="0.2">
      <c r="F9" s="221">
        <v>2</v>
      </c>
      <c r="G9" s="6" t="s">
        <v>2</v>
      </c>
    </row>
    <row r="10" spans="1:7" ht="30" customHeight="1" x14ac:dyDescent="0.2">
      <c r="F10" s="221"/>
      <c r="G10" s="5" t="s">
        <v>6</v>
      </c>
    </row>
    <row r="11" spans="1:7" ht="18" customHeight="1" x14ac:dyDescent="0.2">
      <c r="F11" s="221"/>
      <c r="G11" s="7" t="s">
        <v>38</v>
      </c>
    </row>
    <row r="12" spans="1:7" ht="15" customHeight="1" x14ac:dyDescent="0.2"/>
    <row r="13" spans="1:7" ht="18" customHeight="1" x14ac:dyDescent="0.2">
      <c r="F13" s="221">
        <v>3</v>
      </c>
      <c r="G13" s="6" t="s">
        <v>3</v>
      </c>
    </row>
    <row r="14" spans="1:7" ht="30" customHeight="1" x14ac:dyDescent="0.2">
      <c r="F14" s="221"/>
      <c r="G14" s="5" t="s">
        <v>13</v>
      </c>
    </row>
    <row r="15" spans="1:7" ht="18" customHeight="1" x14ac:dyDescent="0.2">
      <c r="F15" s="221"/>
      <c r="G15" s="7" t="s">
        <v>38</v>
      </c>
    </row>
    <row r="16" spans="1:7" ht="15" customHeight="1" x14ac:dyDescent="0.2"/>
    <row r="17" spans="6:7" ht="18" customHeight="1" x14ac:dyDescent="0.2">
      <c r="F17" s="221">
        <v>4</v>
      </c>
      <c r="G17" s="6" t="s">
        <v>4</v>
      </c>
    </row>
    <row r="18" spans="6:7" ht="30" customHeight="1" x14ac:dyDescent="0.2">
      <c r="F18" s="221"/>
      <c r="G18" s="5" t="s">
        <v>7</v>
      </c>
    </row>
    <row r="19" spans="6:7" ht="18" customHeight="1" x14ac:dyDescent="0.2">
      <c r="F19" s="221"/>
      <c r="G19" s="7" t="s">
        <v>38</v>
      </c>
    </row>
    <row r="20" spans="6:7" ht="15" customHeight="1" x14ac:dyDescent="0.2"/>
    <row r="21" spans="6:7" ht="18" customHeight="1" x14ac:dyDescent="0.2">
      <c r="F21" s="221">
        <v>5</v>
      </c>
      <c r="G21" s="6" t="s">
        <v>8</v>
      </c>
    </row>
    <row r="22" spans="6:7" ht="30" customHeight="1" x14ac:dyDescent="0.2">
      <c r="F22" s="221"/>
      <c r="G22" s="5" t="s">
        <v>9</v>
      </c>
    </row>
    <row r="23" spans="6:7" ht="18" customHeight="1" x14ac:dyDescent="0.2">
      <c r="F23" s="221"/>
      <c r="G23" s="7" t="s">
        <v>38</v>
      </c>
    </row>
    <row r="24" spans="6:7" ht="30" customHeight="1" x14ac:dyDescent="0.2"/>
    <row r="25" spans="6:7" ht="30" customHeight="1" x14ac:dyDescent="0.2"/>
    <row r="26" spans="6:7" ht="30" customHeight="1" x14ac:dyDescent="0.2"/>
    <row r="27" spans="6:7" ht="30" customHeight="1" x14ac:dyDescent="0.2"/>
    <row r="28" spans="6:7" ht="30" customHeight="1" x14ac:dyDescent="0.2"/>
    <row r="29" spans="6:7" ht="30" customHeight="1" x14ac:dyDescent="0.2"/>
    <row r="30" spans="6:7" ht="30" customHeight="1" x14ac:dyDescent="0.2"/>
    <row r="31" spans="6:7" ht="30" customHeight="1" x14ac:dyDescent="0.2"/>
    <row r="32" spans="6:7" ht="30" customHeight="1" x14ac:dyDescent="0.2"/>
    <row r="33" spans="1:24" s="2" customFormat="1" ht="30" customHeight="1" x14ac:dyDescent="0.2">
      <c r="A33" s="9"/>
      <c r="C33" s="2">
        <v>10</v>
      </c>
      <c r="D33" s="2" t="s">
        <v>10</v>
      </c>
      <c r="I33" s="2" t="s">
        <v>11</v>
      </c>
      <c r="O33" s="2" t="s">
        <v>12</v>
      </c>
      <c r="X33" s="2" t="s">
        <v>39</v>
      </c>
    </row>
    <row r="34" spans="1:24" ht="30" customHeight="1" x14ac:dyDescent="0.2"/>
    <row r="35" spans="1:24" ht="30" customHeight="1" x14ac:dyDescent="0.2"/>
    <row r="36" spans="1:24" ht="30" customHeight="1" x14ac:dyDescent="0.2"/>
    <row r="37" spans="1:24" ht="30" customHeight="1" x14ac:dyDescent="0.2"/>
    <row r="38" spans="1:24" ht="30" customHeight="1" x14ac:dyDescent="0.2"/>
    <row r="39" spans="1:24" ht="30" customHeight="1" x14ac:dyDescent="0.2"/>
    <row r="40" spans="1:24" ht="30" customHeight="1" x14ac:dyDescent="0.2"/>
    <row r="41" spans="1:24" ht="30" customHeight="1" x14ac:dyDescent="0.2"/>
    <row r="42" spans="1:24" ht="30" customHeight="1" x14ac:dyDescent="0.2"/>
    <row r="43" spans="1:24" ht="30" customHeight="1" x14ac:dyDescent="0.2"/>
    <row r="44" spans="1:24" ht="30" customHeight="1" x14ac:dyDescent="0.2"/>
    <row r="45" spans="1:24" ht="30" customHeight="1" x14ac:dyDescent="0.2"/>
    <row r="46" spans="1:24" ht="30" customHeight="1" x14ac:dyDescent="0.2"/>
    <row r="47" spans="1:24" ht="30" customHeight="1" x14ac:dyDescent="0.2"/>
    <row r="48" spans="1:24"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sheetData>
  <mergeCells count="5">
    <mergeCell ref="F5:F7"/>
    <mergeCell ref="F9:F11"/>
    <mergeCell ref="F13:F15"/>
    <mergeCell ref="F17:F19"/>
    <mergeCell ref="F21:F23"/>
  </mergeCells>
  <hyperlinks>
    <hyperlink ref="G5" r:id="rId1"/>
    <hyperlink ref="G7" r:id="rId2"/>
    <hyperlink ref="G9" r:id="rId3"/>
    <hyperlink ref="G11" r:id="rId4"/>
    <hyperlink ref="G13" r:id="rId5"/>
    <hyperlink ref="G15" r:id="rId6"/>
    <hyperlink ref="G17" r:id="rId7"/>
    <hyperlink ref="G19" r:id="rId8"/>
    <hyperlink ref="G21" r:id="rId9"/>
    <hyperlink ref="G23" r:id="rId10"/>
  </hyperlinks>
  <pageMargins left="0.511811024" right="0.511811024" top="0.78740157499999996" bottom="0.78740157499999996" header="0.31496062000000002" footer="0.31496062000000002"/>
  <drawing r:id="rId1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Plan11" enableFormatConditionsCalculation="0"/>
  <dimension ref="A1:C100"/>
  <sheetViews>
    <sheetView showGridLines="0" topLeftCell="A4" zoomScale="90" zoomScaleNormal="90" zoomScalePageLayoutView="90" workbookViewId="0">
      <selection activeCell="B1" sqref="B1"/>
    </sheetView>
  </sheetViews>
  <sheetFormatPr baseColWidth="10" defaultColWidth="8.796875" defaultRowHeight="15" x14ac:dyDescent="0.2"/>
  <cols>
    <col min="1" max="1" width="27.59765625" style="1" customWidth="1"/>
    <col min="2" max="2" width="3.796875" customWidth="1"/>
  </cols>
  <sheetData>
    <row r="1" spans="1:3" s="3" customFormat="1" ht="34" customHeight="1" x14ac:dyDescent="0.3">
      <c r="A1" s="130" t="s">
        <v>192</v>
      </c>
      <c r="C1" s="4" t="s">
        <v>37</v>
      </c>
    </row>
    <row r="2" spans="1:3" s="3" customFormat="1" ht="21.25" customHeight="1" x14ac:dyDescent="0.2">
      <c r="A2" s="1"/>
    </row>
    <row r="3" spans="1:3" s="3" customFormat="1" ht="21.25" customHeight="1" x14ac:dyDescent="0.2">
      <c r="A3" s="1"/>
    </row>
    <row r="4" spans="1:3" ht="30" customHeight="1" x14ac:dyDescent="0.2"/>
    <row r="5" spans="1:3" ht="30" customHeight="1" x14ac:dyDescent="0.2"/>
    <row r="6" spans="1:3" ht="30" customHeight="1" x14ac:dyDescent="0.2"/>
    <row r="7" spans="1:3" ht="30" customHeight="1" x14ac:dyDescent="0.2"/>
    <row r="8" spans="1:3" ht="30" customHeight="1" x14ac:dyDescent="0.2"/>
    <row r="9" spans="1:3" ht="30" customHeight="1" x14ac:dyDescent="0.2"/>
    <row r="10" spans="1:3" ht="30" customHeight="1" x14ac:dyDescent="0.2"/>
    <row r="11" spans="1:3" ht="30" customHeight="1" x14ac:dyDescent="0.2"/>
    <row r="12" spans="1:3" ht="30" customHeight="1" x14ac:dyDescent="0.2"/>
    <row r="13" spans="1:3" ht="30" customHeight="1" x14ac:dyDescent="0.2"/>
    <row r="14" spans="1:3" ht="30" customHeight="1" x14ac:dyDescent="0.2"/>
    <row r="15" spans="1:3" ht="30" customHeight="1" x14ac:dyDescent="0.2"/>
    <row r="16" spans="1:3" ht="30" customHeight="1" x14ac:dyDescent="0.2"/>
    <row r="17" ht="30" customHeight="1" x14ac:dyDescent="0.2"/>
    <row r="18" ht="30" customHeight="1" x14ac:dyDescent="0.2"/>
    <row r="19" ht="30" customHeight="1" x14ac:dyDescent="0.2"/>
    <row r="20" ht="30" customHeight="1" x14ac:dyDescent="0.2"/>
    <row r="21" ht="30" customHeight="1" x14ac:dyDescent="0.2"/>
    <row r="22" ht="30" customHeight="1" x14ac:dyDescent="0.2"/>
    <row r="23" ht="30" customHeight="1" x14ac:dyDescent="0.2"/>
    <row r="24" ht="30" customHeight="1" x14ac:dyDescent="0.2"/>
    <row r="25" ht="30" customHeight="1" x14ac:dyDescent="0.2"/>
    <row r="26" ht="30" customHeight="1" x14ac:dyDescent="0.2"/>
    <row r="27" ht="30" customHeight="1" x14ac:dyDescent="0.2"/>
    <row r="28" ht="30" customHeight="1" x14ac:dyDescent="0.2"/>
    <row r="29" ht="30" customHeight="1" x14ac:dyDescent="0.2"/>
    <row r="30" ht="30" customHeight="1" x14ac:dyDescent="0.2"/>
    <row r="31" ht="30" customHeight="1" x14ac:dyDescent="0.2"/>
    <row r="32" ht="30" customHeight="1" x14ac:dyDescent="0.2"/>
    <row r="33" ht="30" customHeight="1" x14ac:dyDescent="0.2"/>
    <row r="34" ht="30" customHeight="1" x14ac:dyDescent="0.2"/>
    <row r="35" ht="30" customHeight="1" x14ac:dyDescent="0.2"/>
    <row r="36" ht="30" customHeight="1" x14ac:dyDescent="0.2"/>
    <row r="37" ht="30" customHeight="1" x14ac:dyDescent="0.2"/>
    <row r="38" ht="30" customHeight="1" x14ac:dyDescent="0.2"/>
    <row r="39" ht="30" customHeight="1" x14ac:dyDescent="0.2"/>
    <row r="40" ht="30" customHeight="1" x14ac:dyDescent="0.2"/>
    <row r="41" ht="30" customHeight="1" x14ac:dyDescent="0.2"/>
    <row r="42" ht="30" customHeight="1" x14ac:dyDescent="0.2"/>
    <row r="43" ht="30" customHeight="1" x14ac:dyDescent="0.2"/>
    <row r="44" ht="30" customHeight="1" x14ac:dyDescent="0.2"/>
    <row r="45" ht="30" customHeight="1" x14ac:dyDescent="0.2"/>
    <row r="46" ht="30" customHeight="1" x14ac:dyDescent="0.2"/>
    <row r="47" ht="30" customHeight="1" x14ac:dyDescent="0.2"/>
    <row r="48" ht="30" customHeight="1" x14ac:dyDescent="0.2"/>
    <row r="49" ht="30" customHeight="1" x14ac:dyDescent="0.2"/>
    <row r="50" ht="30" customHeight="1" x14ac:dyDescent="0.2"/>
    <row r="51" ht="30" customHeight="1" x14ac:dyDescent="0.2"/>
    <row r="52" ht="30" customHeight="1" x14ac:dyDescent="0.2"/>
    <row r="53" ht="30" customHeight="1" x14ac:dyDescent="0.2"/>
    <row r="54" ht="30" customHeight="1" x14ac:dyDescent="0.2"/>
    <row r="55" ht="30" customHeight="1" x14ac:dyDescent="0.2"/>
    <row r="56" ht="30" customHeight="1" x14ac:dyDescent="0.2"/>
    <row r="57" ht="30" customHeight="1" x14ac:dyDescent="0.2"/>
    <row r="58" ht="30" customHeight="1" x14ac:dyDescent="0.2"/>
    <row r="59" ht="30" customHeight="1" x14ac:dyDescent="0.2"/>
    <row r="60" ht="30" customHeight="1" x14ac:dyDescent="0.2"/>
    <row r="61" ht="30" customHeight="1" x14ac:dyDescent="0.2"/>
    <row r="62" ht="30" customHeight="1" x14ac:dyDescent="0.2"/>
    <row r="63" ht="30" customHeight="1" x14ac:dyDescent="0.2"/>
    <row r="64" ht="30" customHeight="1" x14ac:dyDescent="0.2"/>
    <row r="65" ht="30" customHeight="1" x14ac:dyDescent="0.2"/>
    <row r="66" ht="30" customHeight="1" x14ac:dyDescent="0.2"/>
    <row r="67" ht="30" customHeight="1" x14ac:dyDescent="0.2"/>
    <row r="68" ht="30" customHeight="1" x14ac:dyDescent="0.2"/>
    <row r="69" ht="30" customHeight="1" x14ac:dyDescent="0.2"/>
    <row r="70" ht="30" customHeight="1" x14ac:dyDescent="0.2"/>
    <row r="71" ht="30" customHeight="1" x14ac:dyDescent="0.2"/>
    <row r="72" ht="30" customHeight="1" x14ac:dyDescent="0.2"/>
    <row r="73" ht="30" customHeight="1" x14ac:dyDescent="0.2"/>
    <row r="74" ht="30" customHeight="1" x14ac:dyDescent="0.2"/>
    <row r="75" ht="30" customHeight="1" x14ac:dyDescent="0.2"/>
    <row r="76" ht="30" customHeight="1" x14ac:dyDescent="0.2"/>
    <row r="77" ht="30" customHeight="1" x14ac:dyDescent="0.2"/>
    <row r="78" ht="30" customHeight="1" x14ac:dyDescent="0.2"/>
    <row r="79" ht="30" customHeight="1" x14ac:dyDescent="0.2"/>
    <row r="80" ht="30" customHeight="1" x14ac:dyDescent="0.2"/>
    <row r="81" ht="30" customHeight="1" x14ac:dyDescent="0.2"/>
    <row r="82" ht="30" customHeight="1" x14ac:dyDescent="0.2"/>
    <row r="83" ht="30" customHeight="1" x14ac:dyDescent="0.2"/>
    <row r="84" ht="30" customHeight="1" x14ac:dyDescent="0.2"/>
    <row r="85" ht="30" customHeight="1" x14ac:dyDescent="0.2"/>
    <row r="86" ht="30" customHeight="1" x14ac:dyDescent="0.2"/>
    <row r="87" ht="30" customHeight="1" x14ac:dyDescent="0.2"/>
    <row r="88" ht="30" customHeight="1" x14ac:dyDescent="0.2"/>
    <row r="89" ht="30" customHeight="1" x14ac:dyDescent="0.2"/>
    <row r="90" ht="30" customHeight="1" x14ac:dyDescent="0.2"/>
    <row r="91" ht="30" customHeight="1" x14ac:dyDescent="0.2"/>
    <row r="92" ht="30" customHeight="1" x14ac:dyDescent="0.2"/>
    <row r="93" ht="30" customHeight="1" x14ac:dyDescent="0.2"/>
    <row r="94" ht="30" customHeight="1" x14ac:dyDescent="0.2"/>
    <row r="95" ht="30" customHeight="1" x14ac:dyDescent="0.2"/>
    <row r="96" ht="30" customHeight="1" x14ac:dyDescent="0.2"/>
    <row r="97" ht="30" customHeight="1" x14ac:dyDescent="0.2"/>
    <row r="98" ht="30" customHeight="1" x14ac:dyDescent="0.2"/>
    <row r="99" ht="30" customHeight="1" x14ac:dyDescent="0.2"/>
    <row r="100" ht="30" customHeight="1" x14ac:dyDescent="0.2"/>
  </sheetData>
  <pageMargins left="0.511811024" right="0.511811024" top="0.78740157499999996" bottom="0.78740157499999996" header="0.31496062000000002" footer="0.3149606200000000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Planilhas</vt:lpstr>
      </vt:variant>
      <vt:variant>
        <vt:i4>22</vt:i4>
      </vt:variant>
    </vt:vector>
  </HeadingPairs>
  <TitlesOfParts>
    <vt:vector size="22" baseType="lpstr">
      <vt:lpstr>Ini</vt:lpstr>
      <vt:lpstr>P Gerais</vt:lpstr>
      <vt:lpstr>Lanc</vt:lpstr>
      <vt:lpstr>Fev</vt:lpstr>
      <vt:lpstr>Mar</vt:lpstr>
      <vt:lpstr>Abr</vt:lpstr>
      <vt:lpstr>Mai</vt:lpstr>
      <vt:lpstr>Jun</vt:lpstr>
      <vt:lpstr>Jul</vt:lpstr>
      <vt:lpstr>Ago</vt:lpstr>
      <vt:lpstr>Set</vt:lpstr>
      <vt:lpstr>Out</vt:lpstr>
      <vt:lpstr>Nov</vt:lpstr>
      <vt:lpstr>Dez</vt:lpstr>
      <vt:lpstr>Resul</vt:lpstr>
      <vt:lpstr>Gra</vt:lpstr>
      <vt:lpstr>Ale</vt:lpstr>
      <vt:lpstr>Rel</vt:lpstr>
      <vt:lpstr>Fol</vt:lpstr>
      <vt:lpstr>Dúvidas</vt:lpstr>
      <vt:lpstr>Sugestões</vt:lpstr>
      <vt:lpstr>Sobre a LUZ</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Fernand6</dc:creator>
  <cp:lastModifiedBy>Usuário do Microsoft Office</cp:lastModifiedBy>
  <cp:lastPrinted>2015-01-29T14:40:51Z</cp:lastPrinted>
  <dcterms:created xsi:type="dcterms:W3CDTF">2014-08-23T07:21:08Z</dcterms:created>
  <dcterms:modified xsi:type="dcterms:W3CDTF">2015-10-09T14:16:50Z</dcterms:modified>
</cp:coreProperties>
</file>