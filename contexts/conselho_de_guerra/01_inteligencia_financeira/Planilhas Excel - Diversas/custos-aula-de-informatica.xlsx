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/>
  <mc:AlternateContent xmlns:mc="http://schemas.openxmlformats.org/markup-compatibility/2006">
    <mc:Choice Requires="x15">
      <x15ac:absPath xmlns:x15ac="http://schemas.microsoft.com/office/spreadsheetml/2010/11/ac" url="D:\ESTUDOS\CONCURSOS\I F B\IFB-sóEdital\DesempenhoDidático\10 - Custos - PE -CF - CV\"/>
    </mc:Choice>
  </mc:AlternateContent>
  <xr:revisionPtr revIDLastSave="0" documentId="10_ncr:8100000_{E09EE334-D43C-493A-B752-BF081238B076}" xr6:coauthVersionLast="33" xr6:coauthVersionMax="33" xr10:uidLastSave="{00000000-0000-0000-0000-000000000000}"/>
  <bookViews>
    <workbookView xWindow="0" yWindow="0" windowWidth="16380" windowHeight="8190" activeTab="2" xr2:uid="{00000000-000D-0000-FFFF-FFFF00000000}"/>
  </bookViews>
  <sheets>
    <sheet name="Custos Fixos" sheetId="1" r:id="rId1"/>
    <sheet name="Custos Variáveis" sheetId="2" r:id="rId2"/>
    <sheet name="Ponto de Equilibrio" sheetId="3" r:id="rId3"/>
  </sheets>
  <calcPr calcId="162913" iterateDelta="1E-4"/>
</workbook>
</file>

<file path=xl/calcChain.xml><?xml version="1.0" encoding="utf-8"?>
<calcChain xmlns="http://schemas.openxmlformats.org/spreadsheetml/2006/main">
  <c r="A1" i="3" l="1"/>
  <c r="A1" i="2"/>
  <c r="B15" i="1" l="1"/>
  <c r="B27" i="1" s="1"/>
  <c r="B14" i="1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H7" i="3"/>
  <c r="E7" i="3"/>
  <c r="E6" i="3"/>
  <c r="E5" i="3"/>
  <c r="B17" i="2"/>
  <c r="C31" i="3" s="1"/>
  <c r="B27" i="3" l="1"/>
  <c r="B5" i="3"/>
  <c r="C9" i="3"/>
  <c r="C16" i="3"/>
  <c r="C19" i="3"/>
  <c r="C22" i="3"/>
  <c r="C25" i="3"/>
  <c r="C6" i="3"/>
  <c r="C11" i="3"/>
  <c r="C14" i="3"/>
  <c r="C8" i="3"/>
  <c r="C10" i="3"/>
  <c r="C5" i="3"/>
  <c r="C7" i="3"/>
  <c r="C13" i="3"/>
  <c r="C28" i="3"/>
  <c r="B30" i="3"/>
  <c r="H5" i="3"/>
  <c r="H6" i="3"/>
  <c r="H8" i="3" s="1"/>
  <c r="B10" i="3"/>
  <c r="D10" i="3" s="1"/>
  <c r="F10" i="3" s="1"/>
  <c r="B11" i="3"/>
  <c r="D11" i="3" s="1"/>
  <c r="F11" i="3" s="1"/>
  <c r="C12" i="3"/>
  <c r="B14" i="3"/>
  <c r="C15" i="3"/>
  <c r="B17" i="3"/>
  <c r="C18" i="3"/>
  <c r="B20" i="3"/>
  <c r="C21" i="3"/>
  <c r="B23" i="3"/>
  <c r="C24" i="3"/>
  <c r="B26" i="3"/>
  <c r="C27" i="3"/>
  <c r="B29" i="3"/>
  <c r="C30" i="3"/>
  <c r="B12" i="3"/>
  <c r="B6" i="3"/>
  <c r="B7" i="3"/>
  <c r="D7" i="3" s="1"/>
  <c r="F7" i="3" s="1"/>
  <c r="B8" i="3"/>
  <c r="B9" i="3"/>
  <c r="D9" i="3" s="1"/>
  <c r="F9" i="3" s="1"/>
  <c r="B13" i="3"/>
  <c r="B16" i="3"/>
  <c r="C17" i="3"/>
  <c r="B19" i="3"/>
  <c r="C20" i="3"/>
  <c r="B22" i="3"/>
  <c r="D22" i="3" s="1"/>
  <c r="F22" i="3" s="1"/>
  <c r="C23" i="3"/>
  <c r="B25" i="3"/>
  <c r="C26" i="3"/>
  <c r="B28" i="3"/>
  <c r="C29" i="3"/>
  <c r="B31" i="3"/>
  <c r="D31" i="3" s="1"/>
  <c r="F31" i="3" s="1"/>
  <c r="B15" i="3"/>
  <c r="B18" i="3"/>
  <c r="B21" i="3"/>
  <c r="B24" i="3"/>
  <c r="D27" i="3" l="1"/>
  <c r="F27" i="3" s="1"/>
  <c r="D18" i="3"/>
  <c r="F18" i="3" s="1"/>
  <c r="D25" i="3"/>
  <c r="F25" i="3" s="1"/>
  <c r="D8" i="3"/>
  <c r="F8" i="3" s="1"/>
  <c r="D28" i="3"/>
  <c r="F28" i="3" s="1"/>
  <c r="D16" i="3"/>
  <c r="F16" i="3" s="1"/>
  <c r="D13" i="3"/>
  <c r="F13" i="3" s="1"/>
  <c r="D6" i="3"/>
  <c r="F6" i="3" s="1"/>
  <c r="D19" i="3"/>
  <c r="F19" i="3" s="1"/>
  <c r="D14" i="3"/>
  <c r="F14" i="3" s="1"/>
  <c r="D5" i="3"/>
  <c r="F5" i="3" s="1"/>
  <c r="D21" i="3"/>
  <c r="F21" i="3" s="1"/>
  <c r="D12" i="3"/>
  <c r="F12" i="3" s="1"/>
  <c r="D29" i="3"/>
  <c r="F29" i="3" s="1"/>
  <c r="H10" i="3"/>
  <c r="D15" i="3"/>
  <c r="F15" i="3" s="1"/>
  <c r="D23" i="3"/>
  <c r="F23" i="3" s="1"/>
  <c r="D30" i="3"/>
  <c r="F30" i="3" s="1"/>
  <c r="D20" i="3"/>
  <c r="F20" i="3" s="1"/>
  <c r="D24" i="3"/>
  <c r="F24" i="3" s="1"/>
  <c r="D26" i="3"/>
  <c r="F26" i="3" s="1"/>
  <c r="D17" i="3"/>
  <c r="F17" i="3" s="1"/>
</calcChain>
</file>

<file path=xl/sharedStrings.xml><?xml version="1.0" encoding="utf-8"?>
<sst xmlns="http://schemas.openxmlformats.org/spreadsheetml/2006/main" count="72" uniqueCount="58">
  <si>
    <t>PLANILHA CUSTOS FIXOS</t>
  </si>
  <si>
    <t>Custos Fixos</t>
  </si>
  <si>
    <t>Projeção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</si>
  <si>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</si>
  <si>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</si>
  <si>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</si>
  <si>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</si>
  <si>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</si>
  <si>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</si>
  <si>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</si>
  <si>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</si>
  <si>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</si>
  <si>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</si>
  <si>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</si>
  <si>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</si>
  <si>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Média</t>
  </si>
  <si>
    <t>Aluguel</t>
  </si>
  <si>
    <t>Material de expediente/limpeza</t>
  </si>
  <si>
    <t>Contador (escritório)</t>
  </si>
  <si>
    <t>Energia Elétrica</t>
  </si>
  <si>
    <t>Água</t>
  </si>
  <si>
    <t>Salários</t>
  </si>
  <si>
    <t>Encargos previdenciários</t>
  </si>
  <si>
    <t>Provisão 13.° salário</t>
  </si>
  <si>
    <t>Provisão Férias</t>
  </si>
  <si>
    <t>alimentação</t>
  </si>
  <si>
    <t>Manutenção de Máquinas/equipamentos</t>
  </si>
  <si>
    <t>Taxa de Condomínio</t>
  </si>
  <si>
    <t>Seguros</t>
  </si>
  <si>
    <t>Depreciação</t>
  </si>
  <si>
    <t>Prestação Veículo</t>
  </si>
  <si>
    <t>Combustível</t>
  </si>
  <si>
    <t>Total</t>
  </si>
  <si>
    <t>PLANILHA CUSTOS VARIÁVEIS</t>
  </si>
  <si>
    <t>Custos Variáveis</t>
  </si>
  <si>
    <t>pequenas peças de reposição</t>
  </si>
  <si>
    <t>Energia elétrica</t>
  </si>
  <si>
    <t>Preço de Visita</t>
  </si>
  <si>
    <t>Quantidade de manutenções realizadas</t>
  </si>
  <si>
    <t>CT = CF + CV</t>
  </si>
  <si>
    <t>Receita de Vendas</t>
  </si>
  <si>
    <t>Resultado</t>
  </si>
  <si>
    <t>CF</t>
  </si>
  <si>
    <t>Custo Fixo</t>
  </si>
  <si>
    <t>CV</t>
  </si>
  <si>
    <t>Custo Variável</t>
  </si>
  <si>
    <t>PV</t>
  </si>
  <si>
    <t>Preço de Venda</t>
  </si>
  <si>
    <t>MgC</t>
  </si>
  <si>
    <t>Margem de Contribuição (lucro por visita)</t>
  </si>
  <si>
    <t>PE</t>
  </si>
  <si>
    <t>Ponto de Equilíbrio (quantas visitas devem ser realizadas para pagar as despesas)</t>
  </si>
  <si>
    <t>Telefone celular (assinatura de pacote)</t>
  </si>
  <si>
    <t>Telefone fixo (assinatura de pacote)</t>
  </si>
  <si>
    <t>Benefícios Sociais (creche, seguro etc)</t>
  </si>
  <si>
    <t>Mao-de-obra</t>
  </si>
  <si>
    <t>MSI&amp;MCI Eletromecânica</t>
  </si>
  <si>
    <t>Custos Fixos / Mês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</si>
</sst>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\-??_-;_-@_-"/>
    <numFmt numFmtId="165" formatCode="_(* #,##0.00_);_(* \(#,##0.00\);_(* \-??_);_(@_)"/>
    <numFmt numFmtId="166" formatCode="0.000"/>
  </numFmts>
  <fonts count="8" x14ac:knownFonts="1">
    <font>
      <sz val="11"/>
      <color rgb="FF000000"/>
      <name val="Calibri"/>
      <family val="2"/>
      <charset val="1"/>
    </font>
    <font>
      <b/>
      <sz val="10"/>
      <name val="Arial"/>
      <family val="2"/>
      <charset val="1"/>
    </font>
    <font>
      <b/>
      <sz val="13"/>
      <name val="Arial"/>
      <family val="2"/>
      <charset val="1"/>
    </font>
    <font>
      <sz val="13"/>
      <name val="Arial"/>
      <family val="2"/>
      <charset val="1"/>
    </font>
    <font>
      <sz val="11"/>
      <name val="Arial"/>
      <family val="2"/>
      <charset val="1"/>
    </font>
    <font>
      <b/>
      <i/>
      <sz val="13"/>
      <name val="Arial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4" tint="0.39997558519241921"/>
        <bgColor rgb="FFFFFFCC"/>
      </patternFill>
    </fill>
  </fills>
  <borders count="2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7" fillId="0" borderId="0"/>
  </cellStyleXfs>
  <cellXfs count="45">
    <xf numFmtId="0" fontId="0" fillId="0" borderId="0" xfId="0"/>
    <xf numFmtId="0" fontId="0" fillId="2" borderId="0" xfId="0" applyFill="1" applyProtection="1"/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1" fillId="2" borderId="3" xfId="0" applyFont="1" applyFill="1" applyBorder="1" applyAlignment="1" applyProtection="1">
      <alignment horizontal="center"/>
    </xf>
    <xf numFmtId="0" fontId="1" fillId="2" borderId="4" xfId="0" applyFont="1" applyFill="1" applyBorder="1" applyAlignment="1" applyProtection="1">
      <alignment horizontal="center"/>
    </xf>
    <xf numFmtId="0" fontId="3" fillId="2" borderId="5" xfId="0" applyFont="1" applyFill="1" applyBorder="1" applyProtection="1">
      <protection locked="0"/>
    </xf>
    <xf numFmtId="164" fontId="4" fillId="2" borderId="5" xfId="1" applyFont="1" applyFill="1" applyBorder="1" applyAlignment="1" applyProtection="1">
      <protection locked="0"/>
    </xf>
    <xf numFmtId="164" fontId="0" fillId="2" borderId="5" xfId="1" applyFont="1" applyFill="1" applyBorder="1" applyAlignment="1" applyProtection="1">
      <protection locked="0"/>
    </xf>
    <xf numFmtId="164" fontId="0" fillId="2" borderId="5" xfId="0" applyNumberFormat="1" applyFill="1" applyBorder="1" applyProtection="1">
      <protection locked="0"/>
    </xf>
    <xf numFmtId="0" fontId="3" fillId="2" borderId="6" xfId="0" applyFont="1" applyFill="1" applyBorder="1" applyProtection="1">
      <protection locked="0"/>
    </xf>
    <xf numFmtId="164" fontId="4" fillId="2" borderId="6" xfId="1" applyFont="1" applyFill="1" applyBorder="1" applyAlignment="1" applyProtection="1">
      <protection locked="0"/>
    </xf>
    <xf numFmtId="164" fontId="0" fillId="2" borderId="6" xfId="1" applyFont="1" applyFill="1" applyBorder="1" applyAlignment="1" applyProtection="1">
      <protection locked="0"/>
    </xf>
    <xf numFmtId="164" fontId="0" fillId="2" borderId="6" xfId="0" applyNumberFormat="1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6" xfId="0" applyFont="1" applyFill="1" applyBorder="1" applyProtection="1">
      <protection locked="0"/>
    </xf>
    <xf numFmtId="0" fontId="5" fillId="2" borderId="6" xfId="0" applyFont="1" applyFill="1" applyBorder="1" applyAlignment="1" applyProtection="1">
      <alignment horizontal="center"/>
    </xf>
    <xf numFmtId="165" fontId="5" fillId="2" borderId="6" xfId="0" applyNumberFormat="1" applyFont="1" applyFill="1" applyBorder="1" applyProtection="1"/>
    <xf numFmtId="164" fontId="5" fillId="2" borderId="6" xfId="1" applyFont="1" applyFill="1" applyBorder="1" applyAlignment="1" applyProtection="1"/>
    <xf numFmtId="0" fontId="0" fillId="2" borderId="0" xfId="0" applyFill="1"/>
    <xf numFmtId="0" fontId="2" fillId="2" borderId="7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" fillId="2" borderId="5" xfId="0" applyFont="1" applyFill="1" applyBorder="1" applyAlignment="1" applyProtection="1">
      <alignment horizontal="center"/>
    </xf>
    <xf numFmtId="164" fontId="3" fillId="2" borderId="6" xfId="1" applyFont="1" applyFill="1" applyBorder="1" applyAlignment="1" applyProtection="1">
      <protection locked="0"/>
    </xf>
    <xf numFmtId="0" fontId="6" fillId="2" borderId="0" xfId="0" applyFont="1" applyFill="1"/>
    <xf numFmtId="0" fontId="1" fillId="2" borderId="8" xfId="0" applyFont="1" applyFill="1" applyBorder="1" applyAlignment="1" applyProtection="1">
      <alignment horizontal="left"/>
    </xf>
    <xf numFmtId="164" fontId="1" fillId="2" borderId="9" xfId="1" applyFont="1" applyFill="1" applyBorder="1" applyAlignment="1" applyProtection="1">
      <alignment horizontal="center"/>
    </xf>
    <xf numFmtId="0" fontId="1" fillId="2" borderId="9" xfId="0" applyFont="1" applyFill="1" applyBorder="1" applyAlignment="1" applyProtection="1">
      <alignment horizontal="center"/>
    </xf>
    <xf numFmtId="0" fontId="1" fillId="2" borderId="10" xfId="0" applyFont="1" applyFill="1" applyBorder="1" applyAlignment="1" applyProtection="1">
      <alignment horizontal="center"/>
    </xf>
    <xf numFmtId="0" fontId="1" fillId="2" borderId="15" xfId="0" applyFont="1" applyFill="1" applyBorder="1" applyAlignment="1" applyProtection="1">
      <alignment horizontal="justify" vertical="center"/>
    </xf>
    <xf numFmtId="0" fontId="1" fillId="2" borderId="16" xfId="0" applyFont="1" applyFill="1" applyBorder="1" applyAlignment="1" applyProtection="1">
      <alignment horizontal="center" vertical="center"/>
    </xf>
    <xf numFmtId="40" fontId="0" fillId="2" borderId="5" xfId="0" applyNumberFormat="1" applyFill="1" applyBorder="1" applyProtection="1">
      <protection locked="0"/>
    </xf>
    <xf numFmtId="164" fontId="0" fillId="0" borderId="0" xfId="1" applyFont="1" applyBorder="1" applyAlignment="1" applyProtection="1"/>
    <xf numFmtId="1" fontId="3" fillId="2" borderId="6" xfId="0" applyNumberFormat="1" applyFont="1" applyFill="1" applyBorder="1" applyProtection="1">
      <protection locked="0"/>
    </xf>
    <xf numFmtId="164" fontId="7" fillId="0" borderId="0" xfId="1"/>
    <xf numFmtId="166" fontId="0" fillId="0" borderId="0" xfId="0" applyNumberFormat="1"/>
    <xf numFmtId="0" fontId="6" fillId="3" borderId="11" xfId="0" applyFont="1" applyFill="1" applyBorder="1" applyAlignment="1" applyProtection="1">
      <alignment horizontal="right"/>
    </xf>
    <xf numFmtId="164" fontId="6" fillId="3" borderId="12" xfId="1" applyFont="1" applyFill="1" applyBorder="1" applyAlignment="1" applyProtection="1"/>
    <xf numFmtId="0" fontId="6" fillId="3" borderId="13" xfId="0" applyFont="1" applyFill="1" applyBorder="1" applyProtection="1"/>
    <xf numFmtId="0" fontId="6" fillId="3" borderId="14" xfId="0" applyFont="1" applyFill="1" applyBorder="1" applyProtection="1"/>
    <xf numFmtId="0" fontId="1" fillId="2" borderId="1" xfId="0" applyFont="1" applyFill="1" applyBorder="1" applyAlignment="1" applyProtection="1">
      <alignment horizontal="center"/>
    </xf>
    <xf numFmtId="164" fontId="0" fillId="0" borderId="17" xfId="1" applyFont="1" applyBorder="1" applyAlignment="1" applyProtection="1">
      <alignment horizontal="justify" vertical="top"/>
    </xf>
    <xf numFmtId="164" fontId="0" fillId="0" borderId="18" xfId="1" applyFont="1" applyBorder="1" applyAlignment="1" applyProtection="1">
      <alignment horizontal="justify" vertical="top"/>
    </xf>
    <xf numFmtId="164" fontId="0" fillId="0" borderId="19" xfId="1" applyFont="1" applyBorder="1" applyAlignment="1" applyProtection="1">
      <alignment horizontal="justify" vertical="top"/>
    </xf>
    <xf numFmtId="164" fontId="1" fillId="2" borderId="15" xfId="1" applyFont="1" applyFill="1" applyBorder="1" applyAlignment="1" applyProtection="1">
      <alignment horizontal="center" vertical="justify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'Ponto de Equilibrio'!$B$4</c:f>
              <c:strCache>
                <c:ptCount val="1"/>
                <c:pt idx="0">
                  <c:v> Custos Fixos / Mês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'Ponto de Equilibrio'!$B$5:$B$31</c:f>
              <c:numCache>
                <c:formatCode>_-* #,##0.00_-;\-* #,##0.00_-;_-* \-??_-;_-@_-</c:formatCode>
                <c:ptCount val="27"/>
                <c:pt idx="0">
                  <c:v>8419</c:v>
                </c:pt>
                <c:pt idx="1">
                  <c:v>8419</c:v>
                </c:pt>
                <c:pt idx="2">
                  <c:v>8419</c:v>
                </c:pt>
                <c:pt idx="3">
                  <c:v>8419</c:v>
                </c:pt>
                <c:pt idx="4">
                  <c:v>8419</c:v>
                </c:pt>
                <c:pt idx="5">
                  <c:v>8419</c:v>
                </c:pt>
                <c:pt idx="6">
                  <c:v>8419</c:v>
                </c:pt>
                <c:pt idx="7">
                  <c:v>8419</c:v>
                </c:pt>
                <c:pt idx="8">
                  <c:v>8419</c:v>
                </c:pt>
                <c:pt idx="9">
                  <c:v>8419</c:v>
                </c:pt>
                <c:pt idx="10">
                  <c:v>8419</c:v>
                </c:pt>
                <c:pt idx="11">
                  <c:v>8419</c:v>
                </c:pt>
                <c:pt idx="12">
                  <c:v>8419</c:v>
                </c:pt>
                <c:pt idx="13">
                  <c:v>8419</c:v>
                </c:pt>
                <c:pt idx="14">
                  <c:v>8419</c:v>
                </c:pt>
                <c:pt idx="15">
                  <c:v>8419</c:v>
                </c:pt>
                <c:pt idx="16">
                  <c:v>8419</c:v>
                </c:pt>
                <c:pt idx="17">
                  <c:v>8419</c:v>
                </c:pt>
                <c:pt idx="18">
                  <c:v>8419</c:v>
                </c:pt>
                <c:pt idx="19">
                  <c:v>8419</c:v>
                </c:pt>
                <c:pt idx="20">
                  <c:v>8419</c:v>
                </c:pt>
                <c:pt idx="21">
                  <c:v>8419</c:v>
                </c:pt>
                <c:pt idx="22">
                  <c:v>8419</c:v>
                </c:pt>
                <c:pt idx="23">
                  <c:v>8419</c:v>
                </c:pt>
                <c:pt idx="24">
                  <c:v>8419</c:v>
                </c:pt>
                <c:pt idx="25">
                  <c:v>8419</c:v>
                </c:pt>
                <c:pt idx="26">
                  <c:v>8419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BF-47E1-A071-F0AD38EAD589}"/>
            </c:ext>
          </c:extLst>
        </c:ser>
        <c:ser>
          <c:idx val="1"/>
          <c:order val="1"/>
          <c:tx>
            <c:strRef>
              <c:f>'Ponto de Equilibrio'!$C$4</c:f>
              <c:strCache>
                <c:ptCount val="1"/>
                <c:pt idx="0">
                  <c:v> Custos Variáveis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'Ponto de Equilibrio'!$C$5:$C$31</c:f>
              <c:numCache>
                <c:formatCode>_-* #,##0.00_-;\-* #,##0.00_-;_-* \-??_-;_-@_-</c:formatCode>
                <c:ptCount val="27"/>
                <c:pt idx="0">
                  <c:v>0</c:v>
                </c:pt>
                <c:pt idx="1">
                  <c:v>420</c:v>
                </c:pt>
                <c:pt idx="2">
                  <c:v>840</c:v>
                </c:pt>
                <c:pt idx="3">
                  <c:v>1050</c:v>
                </c:pt>
                <c:pt idx="4">
                  <c:v>1147.8599999999999</c:v>
                </c:pt>
                <c:pt idx="5">
                  <c:v>1260</c:v>
                </c:pt>
                <c:pt idx="6">
                  <c:v>1470</c:v>
                </c:pt>
                <c:pt idx="7">
                  <c:v>1589.2800000000002</c:v>
                </c:pt>
                <c:pt idx="8">
                  <c:v>2352</c:v>
                </c:pt>
                <c:pt idx="9">
                  <c:v>2520</c:v>
                </c:pt>
                <c:pt idx="10">
                  <c:v>2940</c:v>
                </c:pt>
                <c:pt idx="11">
                  <c:v>3066</c:v>
                </c:pt>
                <c:pt idx="12">
                  <c:v>3360</c:v>
                </c:pt>
                <c:pt idx="13">
                  <c:v>3570</c:v>
                </c:pt>
                <c:pt idx="14">
                  <c:v>3780</c:v>
                </c:pt>
                <c:pt idx="15">
                  <c:v>4158</c:v>
                </c:pt>
                <c:pt idx="16">
                  <c:v>4200</c:v>
                </c:pt>
                <c:pt idx="17">
                  <c:v>4620</c:v>
                </c:pt>
                <c:pt idx="18">
                  <c:v>5040</c:v>
                </c:pt>
                <c:pt idx="19">
                  <c:v>5460</c:v>
                </c:pt>
                <c:pt idx="20">
                  <c:v>5880</c:v>
                </c:pt>
                <c:pt idx="21">
                  <c:v>6300</c:v>
                </c:pt>
                <c:pt idx="22">
                  <c:v>6720</c:v>
                </c:pt>
                <c:pt idx="23">
                  <c:v>7140</c:v>
                </c:pt>
                <c:pt idx="24">
                  <c:v>7560</c:v>
                </c:pt>
                <c:pt idx="25">
                  <c:v>7980</c:v>
                </c:pt>
                <c:pt idx="26">
                  <c:v>8400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F-47E1-A071-F0AD38EAD589}"/>
            </c:ext>
          </c:extLst>
        </c:ser>
        <c:ser>
          <c:idx val="2"/>
          <c:order val="2"/>
          <c:tx>
            <c:strRef>
              <c:f>'Ponto de Equilibrio'!$D$4</c:f>
              <c:strCache>
                <c:ptCount val="1"/>
                <c:pt idx="0">
                  <c:v>CT = CF + CV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'Ponto de Equilibrio'!$D$5:$D$31</c:f>
              <c:numCache>
                <c:formatCode>_-* #,##0.00_-;\-* #,##0.00_-;_-* \-??_-;_-@_-</c:formatCode>
                <c:ptCount val="27"/>
                <c:pt idx="0">
                  <c:v>8419</c:v>
                </c:pt>
                <c:pt idx="1">
                  <c:v>8839</c:v>
                </c:pt>
                <c:pt idx="2">
                  <c:v>9259</c:v>
                </c:pt>
                <c:pt idx="3">
                  <c:v>9469</c:v>
                </c:pt>
                <c:pt idx="4">
                  <c:v>9566.86</c:v>
                </c:pt>
                <c:pt idx="5">
                  <c:v>9679</c:v>
                </c:pt>
                <c:pt idx="6">
                  <c:v>9889</c:v>
                </c:pt>
                <c:pt idx="7">
                  <c:v>10008.280000000001</c:v>
                </c:pt>
                <c:pt idx="8">
                  <c:v>10771</c:v>
                </c:pt>
                <c:pt idx="9">
                  <c:v>10939</c:v>
                </c:pt>
                <c:pt idx="10">
                  <c:v>11359</c:v>
                </c:pt>
                <c:pt idx="11">
                  <c:v>11485</c:v>
                </c:pt>
                <c:pt idx="12">
                  <c:v>11779</c:v>
                </c:pt>
                <c:pt idx="13">
                  <c:v>11989</c:v>
                </c:pt>
                <c:pt idx="14">
                  <c:v>12199</c:v>
                </c:pt>
                <c:pt idx="15">
                  <c:v>12577</c:v>
                </c:pt>
                <c:pt idx="16">
                  <c:v>12619</c:v>
                </c:pt>
                <c:pt idx="17">
                  <c:v>13039</c:v>
                </c:pt>
                <c:pt idx="18">
                  <c:v>13459</c:v>
                </c:pt>
                <c:pt idx="19">
                  <c:v>13879</c:v>
                </c:pt>
                <c:pt idx="20">
                  <c:v>14299</c:v>
                </c:pt>
                <c:pt idx="21">
                  <c:v>14719</c:v>
                </c:pt>
                <c:pt idx="22">
                  <c:v>15139</c:v>
                </c:pt>
                <c:pt idx="23">
                  <c:v>15559</c:v>
                </c:pt>
                <c:pt idx="24">
                  <c:v>15979</c:v>
                </c:pt>
                <c:pt idx="25">
                  <c:v>16399</c:v>
                </c:pt>
                <c:pt idx="26">
                  <c:v>16819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BF-47E1-A071-F0AD38EAD589}"/>
            </c:ext>
          </c:extLst>
        </c:ser>
        <c:ser>
          <c:idx val="3"/>
          <c:order val="3"/>
          <c:tx>
            <c:strRef>
              <c:f>'Ponto de Equilibrio'!$E$4</c:f>
              <c:strCache>
                <c:ptCount val="1"/>
                <c:pt idx="0">
                  <c:v>Receita de Vendas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'Ponto de Equilibrio'!$E$5:$E$31</c:f>
              <c:numCache>
                <c:formatCode>_-* #,##0.00_-;\-* #,##0.00_-;_-* \-??_-;_-@_-</c:formatCode>
                <c:ptCount val="27"/>
                <c:pt idx="0">
                  <c:v>0</c:v>
                </c:pt>
                <c:pt idx="1">
                  <c:v>3500</c:v>
                </c:pt>
                <c:pt idx="2">
                  <c:v>7000</c:v>
                </c:pt>
                <c:pt idx="3">
                  <c:v>8750</c:v>
                </c:pt>
                <c:pt idx="4">
                  <c:v>9565.5</c:v>
                </c:pt>
                <c:pt idx="5">
                  <c:v>10500</c:v>
                </c:pt>
                <c:pt idx="6">
                  <c:v>12250</c:v>
                </c:pt>
                <c:pt idx="7">
                  <c:v>13244.000000000002</c:v>
                </c:pt>
                <c:pt idx="8">
                  <c:v>19600</c:v>
                </c:pt>
                <c:pt idx="9">
                  <c:v>21000</c:v>
                </c:pt>
                <c:pt idx="10">
                  <c:v>24500</c:v>
                </c:pt>
                <c:pt idx="11">
                  <c:v>25550</c:v>
                </c:pt>
                <c:pt idx="12">
                  <c:v>28000</c:v>
                </c:pt>
                <c:pt idx="13">
                  <c:v>29750</c:v>
                </c:pt>
                <c:pt idx="14">
                  <c:v>31500</c:v>
                </c:pt>
                <c:pt idx="15">
                  <c:v>34650</c:v>
                </c:pt>
                <c:pt idx="16">
                  <c:v>35000</c:v>
                </c:pt>
                <c:pt idx="17">
                  <c:v>38500</c:v>
                </c:pt>
                <c:pt idx="18">
                  <c:v>42000</c:v>
                </c:pt>
                <c:pt idx="19">
                  <c:v>45500</c:v>
                </c:pt>
                <c:pt idx="20">
                  <c:v>49000</c:v>
                </c:pt>
                <c:pt idx="21">
                  <c:v>52500</c:v>
                </c:pt>
                <c:pt idx="22">
                  <c:v>56000</c:v>
                </c:pt>
                <c:pt idx="23">
                  <c:v>59500</c:v>
                </c:pt>
                <c:pt idx="24">
                  <c:v>63000</c:v>
                </c:pt>
                <c:pt idx="25">
                  <c:v>66500</c:v>
                </c:pt>
                <c:pt idx="26">
                  <c:v>70000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BF-47E1-A071-F0AD38EAD589}"/>
            </c:ext>
          </c:extLst>
        </c:ser>
        <c:ser>
          <c:idx val="4"/>
          <c:order val="4"/>
          <c:tx>
            <c:strRef>
              <c:f>'Ponto de Equilibrio'!$F$4</c:f>
              <c:strCache>
                <c:ptCount val="1"/>
                <c:pt idx="0">
                  <c:v>Resultado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'Ponto de Equilibrio'!$F$5:$F$31</c:f>
              <c:numCache>
                <c:formatCode>#,##0.00_);[Red]\(#,##0.00\)</c:formatCode>
                <c:ptCount val="27"/>
                <c:pt idx="0">
                  <c:v>-8419</c:v>
                </c:pt>
                <c:pt idx="1">
                  <c:v>-5339</c:v>
                </c:pt>
                <c:pt idx="2">
                  <c:v>-2259</c:v>
                </c:pt>
                <c:pt idx="3">
                  <c:v>-719</c:v>
                </c:pt>
                <c:pt idx="4">
                  <c:v>-1.3600000000005821</c:v>
                </c:pt>
                <c:pt idx="5">
                  <c:v>821</c:v>
                </c:pt>
                <c:pt idx="6">
                  <c:v>2361</c:v>
                </c:pt>
                <c:pt idx="7">
                  <c:v>3235.7200000000012</c:v>
                </c:pt>
                <c:pt idx="8">
                  <c:v>8829</c:v>
                </c:pt>
                <c:pt idx="9">
                  <c:v>10061</c:v>
                </c:pt>
                <c:pt idx="10">
                  <c:v>13141</c:v>
                </c:pt>
                <c:pt idx="11">
                  <c:v>14065</c:v>
                </c:pt>
                <c:pt idx="12">
                  <c:v>16221</c:v>
                </c:pt>
                <c:pt idx="13">
                  <c:v>17761</c:v>
                </c:pt>
                <c:pt idx="14">
                  <c:v>19301</c:v>
                </c:pt>
                <c:pt idx="15">
                  <c:v>22073</c:v>
                </c:pt>
                <c:pt idx="16">
                  <c:v>22381</c:v>
                </c:pt>
                <c:pt idx="17">
                  <c:v>25461</c:v>
                </c:pt>
                <c:pt idx="18">
                  <c:v>28541</c:v>
                </c:pt>
                <c:pt idx="19">
                  <c:v>31621</c:v>
                </c:pt>
                <c:pt idx="20">
                  <c:v>34701</c:v>
                </c:pt>
                <c:pt idx="21">
                  <c:v>37781</c:v>
                </c:pt>
                <c:pt idx="22">
                  <c:v>40861</c:v>
                </c:pt>
                <c:pt idx="23">
                  <c:v>43941</c:v>
                </c:pt>
                <c:pt idx="24">
                  <c:v>47021</c:v>
                </c:pt>
                <c:pt idx="25">
                  <c:v>50101</c:v>
                </c:pt>
                <c:pt idx="26">
                  <c:v>53181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2BF-47E1-A071-F0AD38EAD5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4219720"/>
        <c:axId val="294220048"/>
      </c:lineChart>
      <c:catAx>
        <c:axId val="2942197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220048"/>
        <c:crosses val="autoZero"/>
        <c:auto val="1"/>
        <c:lblAlgn val="ctr"/>
        <c:lblOffset val="100"/>
        <c:noMultiLvlLbl val="0"/>
      </c:catAx>
      <c:valAx>
        <c:axId val="29422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.00_-;\-* #,##0.00_-;_-* \-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4219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13</xdr:row>
      <xdr:rowOff>100012</xdr:rowOff>
    </xdr:from>
    <xdr:to>
      <xdr:col>11</xdr:col>
      <xdr:colOff>66675</xdr:colOff>
      <xdr:row>26</xdr:row>
      <xdr:rowOff>119062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434E94F-898E-4A60-A0A2-A99772625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7"/>
  <sheetViews>
    <sheetView zoomScaleNormal="100" workbookViewId="0">
      <selection activeCell="F14" sqref="F14"/>
    </sheetView>
  </sheetViews>
  <sheetFormatPr defaultRowHeight="15" x14ac:dyDescent="0.25"/>
  <cols>
    <col min="1" max="1" width="45.7109375"/>
    <col min="2" max="2" width="12.140625"/>
    <col min="3" max="3" width="12.85546875"/>
    <col min="4" max="4" width="10.85546875"/>
    <col min="5" max="14" width="7.42578125"/>
    <col min="15" max="15" width="12.85546875"/>
    <col min="16" max="1025" width="8.7109375"/>
  </cols>
  <sheetData>
    <row r="1" spans="1:15" x14ac:dyDescent="0.25">
      <c r="A1" t="s">
        <v>56</v>
      </c>
    </row>
    <row r="2" spans="1:15" x14ac:dyDescent="0.2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</row>
    <row r="3" spans="1:15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6.5" x14ac:dyDescent="0.25">
      <c r="A4" s="2" t="s">
        <v>1</v>
      </c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5" t="s">
        <v>15</v>
      </c>
    </row>
    <row r="5" spans="1:15" ht="16.5" x14ac:dyDescent="0.25">
      <c r="A5" s="6" t="s">
        <v>16</v>
      </c>
      <c r="B5" s="7">
        <v>500</v>
      </c>
      <c r="C5" s="7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9"/>
    </row>
    <row r="6" spans="1:15" ht="16.5" x14ac:dyDescent="0.25">
      <c r="A6" s="10" t="s">
        <v>52</v>
      </c>
      <c r="B6" s="11">
        <v>150</v>
      </c>
      <c r="C6" s="11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</row>
    <row r="7" spans="1:15" ht="16.5" x14ac:dyDescent="0.25">
      <c r="A7" s="10" t="s">
        <v>53</v>
      </c>
      <c r="B7" s="11">
        <v>100</v>
      </c>
      <c r="C7" s="11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3"/>
    </row>
    <row r="8" spans="1:15" ht="16.5" x14ac:dyDescent="0.25">
      <c r="A8" s="10" t="s">
        <v>17</v>
      </c>
      <c r="B8" s="11">
        <v>50</v>
      </c>
      <c r="C8" s="11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3"/>
    </row>
    <row r="9" spans="1:15" ht="16.5" x14ac:dyDescent="0.25">
      <c r="A9" s="10" t="s">
        <v>18</v>
      </c>
      <c r="B9" s="11">
        <v>788</v>
      </c>
      <c r="C9" s="11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3"/>
    </row>
    <row r="10" spans="1:15" ht="16.5" x14ac:dyDescent="0.25">
      <c r="A10" s="10" t="s">
        <v>19</v>
      </c>
      <c r="B10" s="11">
        <v>300</v>
      </c>
      <c r="C10" s="11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3"/>
    </row>
    <row r="11" spans="1:15" ht="16.5" x14ac:dyDescent="0.25">
      <c r="A11" s="10" t="s">
        <v>20</v>
      </c>
      <c r="B11" s="11">
        <v>80</v>
      </c>
      <c r="C11" s="11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3"/>
    </row>
    <row r="12" spans="1:15" ht="16.5" x14ac:dyDescent="0.25">
      <c r="A12" s="10" t="s">
        <v>21</v>
      </c>
      <c r="B12" s="11">
        <v>3000</v>
      </c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</row>
    <row r="13" spans="1:15" ht="16.5" x14ac:dyDescent="0.25">
      <c r="A13" s="10" t="s">
        <v>22</v>
      </c>
      <c r="B13" s="11">
        <v>950</v>
      </c>
      <c r="C13" s="11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3"/>
    </row>
    <row r="14" spans="1:15" ht="16.5" x14ac:dyDescent="0.25">
      <c r="A14" s="10" t="s">
        <v>23</v>
      </c>
      <c r="B14" s="11">
        <f>B12/12</f>
        <v>250</v>
      </c>
      <c r="C14" s="11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</row>
    <row r="15" spans="1:15" ht="16.5" x14ac:dyDescent="0.25">
      <c r="A15" s="10" t="s">
        <v>24</v>
      </c>
      <c r="B15" s="11">
        <f>B12/12</f>
        <v>250</v>
      </c>
      <c r="C15" s="11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3"/>
    </row>
    <row r="16" spans="1:15" ht="16.5" x14ac:dyDescent="0.25">
      <c r="A16" s="10" t="s">
        <v>54</v>
      </c>
      <c r="B16" s="11">
        <v>300</v>
      </c>
      <c r="C16" s="11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3"/>
    </row>
    <row r="17" spans="1:15" ht="16.5" x14ac:dyDescent="0.25">
      <c r="A17" s="10" t="s">
        <v>25</v>
      </c>
      <c r="B17" s="11">
        <v>360</v>
      </c>
      <c r="C17" s="11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  <row r="18" spans="1:15" ht="16.5" x14ac:dyDescent="0.25">
      <c r="A18" s="10" t="s">
        <v>26</v>
      </c>
      <c r="B18" s="11">
        <v>150</v>
      </c>
      <c r="C18" s="11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3"/>
    </row>
    <row r="19" spans="1:15" ht="16.5" x14ac:dyDescent="0.25">
      <c r="A19" s="10" t="s">
        <v>27</v>
      </c>
      <c r="B19" s="11">
        <v>60</v>
      </c>
      <c r="C19" s="11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3"/>
    </row>
    <row r="20" spans="1:15" ht="16.5" x14ac:dyDescent="0.25">
      <c r="A20" s="10" t="s">
        <v>28</v>
      </c>
      <c r="B20" s="11">
        <v>100</v>
      </c>
      <c r="C20" s="11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3"/>
    </row>
    <row r="21" spans="1:15" ht="16.5" x14ac:dyDescent="0.25">
      <c r="A21" s="10" t="s">
        <v>29</v>
      </c>
      <c r="B21" s="11">
        <v>50</v>
      </c>
      <c r="C21" s="11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3"/>
    </row>
    <row r="22" spans="1:15" ht="16.5" x14ac:dyDescent="0.25">
      <c r="A22" s="10" t="s">
        <v>30</v>
      </c>
      <c r="B22" s="11">
        <v>981</v>
      </c>
      <c r="C22" s="11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3"/>
    </row>
    <row r="23" spans="1:15" ht="16.5" x14ac:dyDescent="0.25">
      <c r="A23" s="10"/>
      <c r="B23" s="11"/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  <row r="24" spans="1:15" ht="16.5" x14ac:dyDescent="0.25">
      <c r="A24" s="10"/>
      <c r="B24" s="11"/>
      <c r="C24" s="11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4"/>
    </row>
    <row r="25" spans="1:15" ht="16.5" x14ac:dyDescent="0.25">
      <c r="A25" s="10"/>
      <c r="B25" s="11"/>
      <c r="C25" s="11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4"/>
    </row>
    <row r="26" spans="1:15" ht="16.5" x14ac:dyDescent="0.25">
      <c r="A26" s="10"/>
      <c r="B26" s="11"/>
      <c r="C26" s="15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4"/>
    </row>
    <row r="27" spans="1:15" s="19" customFormat="1" ht="16.5" x14ac:dyDescent="0.25">
      <c r="A27" s="16" t="s">
        <v>32</v>
      </c>
      <c r="B27" s="17">
        <f>SUM(B5:B26)</f>
        <v>8419</v>
      </c>
      <c r="C27" s="17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7"/>
    </row>
  </sheetData>
  <mergeCells count="1">
    <mergeCell ref="A2:O2"/>
  </mergeCells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7"/>
  <sheetViews>
    <sheetView zoomScaleNormal="100" workbookViewId="0">
      <selection activeCell="A22" sqref="A22"/>
    </sheetView>
  </sheetViews>
  <sheetFormatPr defaultRowHeight="15" x14ac:dyDescent="0.25"/>
  <cols>
    <col min="1" max="1" width="36"/>
    <col min="2" max="2" width="12.140625"/>
    <col min="3" max="12" width="7.28515625"/>
    <col min="13" max="1025" width="8.7109375"/>
  </cols>
  <sheetData>
    <row r="1" spans="1:14" x14ac:dyDescent="0.25">
      <c r="A1" t="str">
        <f>'Custos Fixos'!A1</f>
        <v>MSI&amp;MCI Eletromecânica</v>
      </c>
    </row>
    <row r="2" spans="1:14" x14ac:dyDescent="0.25">
      <c r="A2" s="40" t="s">
        <v>33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4" ht="16.5" x14ac:dyDescent="0.25">
      <c r="A3" s="20" t="s">
        <v>34</v>
      </c>
      <c r="B3" s="21" t="s">
        <v>2</v>
      </c>
      <c r="C3" s="22" t="s">
        <v>3</v>
      </c>
      <c r="D3" s="22" t="s">
        <v>4</v>
      </c>
      <c r="E3" s="22" t="s">
        <v>5</v>
      </c>
      <c r="F3" s="22" t="s">
        <v>6</v>
      </c>
      <c r="G3" s="22" t="s">
        <v>7</v>
      </c>
      <c r="H3" s="22" t="s">
        <v>8</v>
      </c>
      <c r="I3" s="22" t="s">
        <v>9</v>
      </c>
      <c r="J3" s="22" t="s">
        <v>10</v>
      </c>
      <c r="K3" s="22" t="s">
        <v>11</v>
      </c>
      <c r="L3" s="22" t="s">
        <v>14</v>
      </c>
    </row>
    <row r="4" spans="1:14" ht="16.5" x14ac:dyDescent="0.25">
      <c r="A4" s="10"/>
      <c r="B4" s="23"/>
      <c r="C4" s="12"/>
      <c r="D4" s="14"/>
      <c r="E4" s="14"/>
      <c r="F4" s="14"/>
      <c r="G4" s="14"/>
      <c r="H4" s="14"/>
      <c r="I4" s="14"/>
      <c r="J4" s="14"/>
      <c r="K4" s="14"/>
      <c r="L4" s="14"/>
    </row>
    <row r="5" spans="1:14" ht="16.5" x14ac:dyDescent="0.25">
      <c r="A5" s="10" t="s">
        <v>35</v>
      </c>
      <c r="B5" s="23">
        <v>5</v>
      </c>
      <c r="C5" s="12"/>
      <c r="D5" s="14"/>
      <c r="E5" s="14"/>
      <c r="F5" s="14"/>
      <c r="G5" s="14"/>
      <c r="H5" s="14"/>
      <c r="I5" s="14"/>
      <c r="J5" s="14"/>
      <c r="K5" s="14"/>
      <c r="L5" s="14"/>
    </row>
    <row r="6" spans="1:14" ht="16.5" x14ac:dyDescent="0.25">
      <c r="A6" s="10" t="s">
        <v>36</v>
      </c>
      <c r="B6" s="23">
        <v>1</v>
      </c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4" ht="16.5" x14ac:dyDescent="0.25">
      <c r="A7" s="10" t="s">
        <v>55</v>
      </c>
      <c r="B7" s="23">
        <v>30</v>
      </c>
      <c r="C7" s="14"/>
      <c r="D7" s="14"/>
      <c r="E7" s="14"/>
      <c r="F7" s="14"/>
      <c r="G7" s="14"/>
      <c r="H7" s="14"/>
      <c r="I7" s="14"/>
      <c r="J7" s="14"/>
      <c r="K7" s="14"/>
      <c r="L7" s="14"/>
    </row>
    <row r="8" spans="1:14" ht="16.5" x14ac:dyDescent="0.25">
      <c r="A8" s="10" t="s">
        <v>31</v>
      </c>
      <c r="B8" s="11">
        <v>6</v>
      </c>
      <c r="C8" s="14"/>
      <c r="D8" s="14"/>
      <c r="E8" s="14"/>
      <c r="F8" s="14"/>
      <c r="G8" s="14"/>
      <c r="H8" s="14"/>
      <c r="I8" s="14"/>
      <c r="J8" s="14"/>
      <c r="K8" s="14"/>
      <c r="L8" s="14"/>
      <c r="N8" s="35"/>
    </row>
    <row r="9" spans="1:14" ht="16.5" x14ac:dyDescent="0.25">
      <c r="A9" s="10"/>
      <c r="B9" s="23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4" ht="16.5" x14ac:dyDescent="0.25">
      <c r="A10" s="10"/>
      <c r="B10" s="23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4" ht="16.5" x14ac:dyDescent="0.25">
      <c r="A11" s="10"/>
      <c r="B11" s="23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4" ht="16.5" x14ac:dyDescent="0.25">
      <c r="A12" s="10"/>
      <c r="B12" s="23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4" ht="16.5" x14ac:dyDescent="0.25">
      <c r="A13" s="10"/>
      <c r="B13" s="23"/>
      <c r="C13" s="14"/>
      <c r="D13" s="14"/>
      <c r="E13" s="14"/>
      <c r="F13" s="14"/>
      <c r="G13" s="14"/>
      <c r="H13" s="14"/>
      <c r="I13" s="14"/>
      <c r="J13" s="14"/>
      <c r="K13" s="14"/>
      <c r="L13" s="14"/>
    </row>
    <row r="14" spans="1:14" ht="16.5" x14ac:dyDescent="0.25">
      <c r="A14" s="10"/>
      <c r="B14" s="23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4" ht="16.5" x14ac:dyDescent="0.25">
      <c r="A15" s="10"/>
      <c r="B15" s="23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4" ht="16.5" x14ac:dyDescent="0.25">
      <c r="A16" s="10"/>
      <c r="B16" s="23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s="24" customFormat="1" ht="16.5" x14ac:dyDescent="0.25">
      <c r="A17" s="16" t="s">
        <v>32</v>
      </c>
      <c r="B17" s="17">
        <f>SUM(B4:B16)</f>
        <v>42</v>
      </c>
      <c r="C17" s="17"/>
      <c r="D17" s="17"/>
      <c r="E17" s="17"/>
      <c r="F17" s="17"/>
      <c r="G17" s="17"/>
      <c r="H17" s="17"/>
      <c r="I17" s="17"/>
      <c r="J17" s="17"/>
      <c r="K17" s="17"/>
      <c r="L17" s="17"/>
    </row>
  </sheetData>
  <mergeCells count="1">
    <mergeCell ref="A2:L2"/>
  </mergeCells>
  <pageMargins left="0.51180555555555496" right="0.51180555555555496" top="0.78749999999999998" bottom="0.78749999999999998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2"/>
  <sheetViews>
    <sheetView tabSelected="1" zoomScaleNormal="100" workbookViewId="0">
      <selection activeCell="I4" sqref="I4"/>
    </sheetView>
  </sheetViews>
  <sheetFormatPr defaultRowHeight="15" x14ac:dyDescent="0.25"/>
  <cols>
    <col min="1" max="1" width="19.5703125"/>
    <col min="2" max="2" width="15.42578125"/>
    <col min="3" max="3" width="12"/>
    <col min="4" max="4" width="10.5703125"/>
    <col min="5" max="5" width="11.140625"/>
    <col min="6" max="6" width="10.5703125"/>
    <col min="7" max="7" width="4.85546875"/>
    <col min="8" max="8" width="9.5703125" style="34" bestFit="1" customWidth="1"/>
    <col min="9" max="9" width="38.28515625"/>
    <col min="10" max="1025" width="8.7109375"/>
  </cols>
  <sheetData>
    <row r="1" spans="1:9" x14ac:dyDescent="0.25">
      <c r="A1" t="str">
        <f>'Custos Fixos'!A1</f>
        <v>MSI&amp;MCI Eletromecânica</v>
      </c>
    </row>
    <row r="2" spans="1:9" x14ac:dyDescent="0.25">
      <c r="A2" s="25" t="s">
        <v>0</v>
      </c>
      <c r="B2" s="26"/>
      <c r="C2" s="27"/>
      <c r="D2" s="27"/>
      <c r="E2" s="27"/>
      <c r="F2" s="28"/>
    </row>
    <row r="3" spans="1:9" x14ac:dyDescent="0.25">
      <c r="A3" s="36" t="s">
        <v>37</v>
      </c>
      <c r="B3" s="37">
        <v>350</v>
      </c>
      <c r="C3" s="38"/>
      <c r="D3" s="38"/>
      <c r="E3" s="38"/>
      <c r="F3" s="39"/>
    </row>
    <row r="4" spans="1:9" ht="38.1" customHeight="1" thickBot="1" x14ac:dyDescent="0.3">
      <c r="A4" s="44" t="s">
        <v>38</v>
      </c>
      <c r="B4" s="44" t="s">
        <v>57</v>
      </c>
      <c r="C4" s="44" t="s">
        <v>34</v>
      </c>
      <c r="D4" s="29" t="s">
        <v>39</v>
      </c>
      <c r="E4" s="29" t="s">
        <v>40</v>
      </c>
      <c r="F4" s="30" t="s">
        <v>41</v>
      </c>
    </row>
    <row r="5" spans="1:9" ht="16.5" x14ac:dyDescent="0.25">
      <c r="A5" s="6">
        <v>0</v>
      </c>
      <c r="B5" s="8">
        <f>'Custos Fixos'!$B$27</f>
        <v>8419</v>
      </c>
      <c r="C5" s="8">
        <f>'Custos Variáveis'!$B$17*A5</f>
        <v>0</v>
      </c>
      <c r="D5" s="9">
        <f t="shared" ref="D5:D31" si="0">B5+C5</f>
        <v>8419</v>
      </c>
      <c r="E5" s="8">
        <f t="shared" ref="E5:E31" si="1">$B$3*A5</f>
        <v>0</v>
      </c>
      <c r="F5" s="31">
        <f t="shared" ref="F5:F31" si="2">E5-D5</f>
        <v>-8419</v>
      </c>
      <c r="G5" t="s">
        <v>42</v>
      </c>
      <c r="H5" s="34">
        <f>'Custos Fixos'!B27</f>
        <v>8419</v>
      </c>
      <c r="I5" s="32" t="s">
        <v>43</v>
      </c>
    </row>
    <row r="6" spans="1:9" ht="16.5" x14ac:dyDescent="0.25">
      <c r="A6" s="10">
        <v>10</v>
      </c>
      <c r="B6" s="8">
        <f>'Custos Fixos'!$B$27</f>
        <v>8419</v>
      </c>
      <c r="C6" s="8">
        <f>'Custos Variáveis'!$B$17*A6</f>
        <v>420</v>
      </c>
      <c r="D6" s="9">
        <f t="shared" si="0"/>
        <v>8839</v>
      </c>
      <c r="E6" s="8">
        <f t="shared" si="1"/>
        <v>3500</v>
      </c>
      <c r="F6" s="31">
        <f t="shared" si="2"/>
        <v>-5339</v>
      </c>
      <c r="G6" t="s">
        <v>44</v>
      </c>
      <c r="H6" s="34">
        <f>'Custos Variáveis'!B17</f>
        <v>42</v>
      </c>
      <c r="I6" s="32" t="s">
        <v>45</v>
      </c>
    </row>
    <row r="7" spans="1:9" ht="16.5" x14ac:dyDescent="0.25">
      <c r="A7" s="10">
        <v>20</v>
      </c>
      <c r="B7" s="8">
        <f>'Custos Fixos'!$B$27</f>
        <v>8419</v>
      </c>
      <c r="C7" s="8">
        <f>'Custos Variáveis'!$B$17*A7</f>
        <v>840</v>
      </c>
      <c r="D7" s="9">
        <f t="shared" si="0"/>
        <v>9259</v>
      </c>
      <c r="E7" s="8">
        <f t="shared" si="1"/>
        <v>7000</v>
      </c>
      <c r="F7" s="31">
        <f t="shared" si="2"/>
        <v>-2259</v>
      </c>
      <c r="G7" t="s">
        <v>46</v>
      </c>
      <c r="H7" s="34">
        <f>B3</f>
        <v>350</v>
      </c>
      <c r="I7" s="32" t="s">
        <v>47</v>
      </c>
    </row>
    <row r="8" spans="1:9" ht="16.5" x14ac:dyDescent="0.25">
      <c r="A8" s="33">
        <v>25</v>
      </c>
      <c r="B8" s="8">
        <f>'Custos Fixos'!$B$27</f>
        <v>8419</v>
      </c>
      <c r="C8" s="8">
        <f>'Custos Variáveis'!$B$17*A8</f>
        <v>1050</v>
      </c>
      <c r="D8" s="9">
        <f t="shared" si="0"/>
        <v>9469</v>
      </c>
      <c r="E8" s="8">
        <f t="shared" si="1"/>
        <v>8750</v>
      </c>
      <c r="F8" s="31">
        <f t="shared" si="2"/>
        <v>-719</v>
      </c>
      <c r="G8" t="s">
        <v>48</v>
      </c>
      <c r="H8" s="34">
        <f>H7-H6</f>
        <v>308</v>
      </c>
      <c r="I8" s="32" t="s">
        <v>49</v>
      </c>
    </row>
    <row r="9" spans="1:9" ht="17.25" thickBot="1" x14ac:dyDescent="0.3">
      <c r="A9" s="33">
        <v>27.33</v>
      </c>
      <c r="B9" s="8">
        <f>'Custos Fixos'!$B$27</f>
        <v>8419</v>
      </c>
      <c r="C9" s="8">
        <f>'Custos Variáveis'!$B$17*A9</f>
        <v>1147.8599999999999</v>
      </c>
      <c r="D9" s="9">
        <f t="shared" si="0"/>
        <v>9566.86</v>
      </c>
      <c r="E9" s="8">
        <f t="shared" si="1"/>
        <v>9565.5</v>
      </c>
      <c r="F9" s="31">
        <f t="shared" si="2"/>
        <v>-1.3600000000005821</v>
      </c>
      <c r="I9" s="32"/>
    </row>
    <row r="10" spans="1:9" ht="16.5" customHeight="1" x14ac:dyDescent="0.25">
      <c r="A10" s="10">
        <v>30</v>
      </c>
      <c r="B10" s="8">
        <f>'Custos Fixos'!$B$27</f>
        <v>8419</v>
      </c>
      <c r="C10" s="8">
        <f>'Custos Variáveis'!$B$17*A10</f>
        <v>1260</v>
      </c>
      <c r="D10" s="9">
        <f t="shared" si="0"/>
        <v>9679</v>
      </c>
      <c r="E10" s="8">
        <f t="shared" si="1"/>
        <v>10500</v>
      </c>
      <c r="F10" s="31">
        <f t="shared" si="2"/>
        <v>821</v>
      </c>
      <c r="G10" t="s">
        <v>50</v>
      </c>
      <c r="H10" s="34">
        <f>H5/H8</f>
        <v>27.334415584415584</v>
      </c>
      <c r="I10" s="41" t="s">
        <v>51</v>
      </c>
    </row>
    <row r="11" spans="1:9" ht="16.5" x14ac:dyDescent="0.25">
      <c r="A11" s="10">
        <v>35</v>
      </c>
      <c r="B11" s="8">
        <f>'Custos Fixos'!$B$27</f>
        <v>8419</v>
      </c>
      <c r="C11" s="8">
        <f>'Custos Variáveis'!$B$17*A11</f>
        <v>1470</v>
      </c>
      <c r="D11" s="9">
        <f t="shared" si="0"/>
        <v>9889</v>
      </c>
      <c r="E11" s="8">
        <f t="shared" si="1"/>
        <v>12250</v>
      </c>
      <c r="F11" s="31">
        <f t="shared" si="2"/>
        <v>2361</v>
      </c>
      <c r="I11" s="42"/>
    </row>
    <row r="12" spans="1:9" ht="16.5" customHeight="1" x14ac:dyDescent="0.25">
      <c r="A12" s="10">
        <v>37.840000000000003</v>
      </c>
      <c r="B12" s="8">
        <f>'Custos Fixos'!$B$27</f>
        <v>8419</v>
      </c>
      <c r="C12" s="8">
        <f>'Custos Variáveis'!$B$17*A12</f>
        <v>1589.2800000000002</v>
      </c>
      <c r="D12" s="9">
        <f t="shared" si="0"/>
        <v>10008.280000000001</v>
      </c>
      <c r="E12" s="8">
        <f t="shared" si="1"/>
        <v>13244.000000000002</v>
      </c>
      <c r="F12" s="31">
        <f t="shared" si="2"/>
        <v>3235.7200000000012</v>
      </c>
      <c r="I12" s="42"/>
    </row>
    <row r="13" spans="1:9" ht="17.25" thickBot="1" x14ac:dyDescent="0.3">
      <c r="A13" s="10">
        <v>56</v>
      </c>
      <c r="B13" s="8">
        <f>'Custos Fixos'!$B$27</f>
        <v>8419</v>
      </c>
      <c r="C13" s="8">
        <f>'Custos Variáveis'!$B$17*A13</f>
        <v>2352</v>
      </c>
      <c r="D13" s="9">
        <f t="shared" si="0"/>
        <v>10771</v>
      </c>
      <c r="E13" s="8">
        <f t="shared" si="1"/>
        <v>19600</v>
      </c>
      <c r="F13" s="31">
        <f t="shared" si="2"/>
        <v>8829</v>
      </c>
      <c r="I13" s="43"/>
    </row>
    <row r="14" spans="1:9" ht="16.5" x14ac:dyDescent="0.25">
      <c r="A14" s="10">
        <v>60</v>
      </c>
      <c r="B14" s="8">
        <f>'Custos Fixos'!$B$27</f>
        <v>8419</v>
      </c>
      <c r="C14" s="8">
        <f>'Custos Variáveis'!$B$17*A14</f>
        <v>2520</v>
      </c>
      <c r="D14" s="9">
        <f t="shared" si="0"/>
        <v>10939</v>
      </c>
      <c r="E14" s="8">
        <f t="shared" si="1"/>
        <v>21000</v>
      </c>
      <c r="F14" s="31">
        <f t="shared" si="2"/>
        <v>10061</v>
      </c>
    </row>
    <row r="15" spans="1:9" ht="16.5" x14ac:dyDescent="0.25">
      <c r="A15" s="10">
        <v>70</v>
      </c>
      <c r="B15" s="8">
        <f>'Custos Fixos'!$B$27</f>
        <v>8419</v>
      </c>
      <c r="C15" s="8">
        <f>'Custos Variáveis'!$B$17*A15</f>
        <v>2940</v>
      </c>
      <c r="D15" s="9">
        <f t="shared" si="0"/>
        <v>11359</v>
      </c>
      <c r="E15" s="8">
        <f t="shared" si="1"/>
        <v>24500</v>
      </c>
      <c r="F15" s="31">
        <f t="shared" si="2"/>
        <v>13141</v>
      </c>
    </row>
    <row r="16" spans="1:9" ht="16.5" x14ac:dyDescent="0.25">
      <c r="A16" s="10">
        <v>73</v>
      </c>
      <c r="B16" s="8">
        <f>'Custos Fixos'!$B$27</f>
        <v>8419</v>
      </c>
      <c r="C16" s="8">
        <f>'Custos Variáveis'!$B$17*A16</f>
        <v>3066</v>
      </c>
      <c r="D16" s="9">
        <f t="shared" si="0"/>
        <v>11485</v>
      </c>
      <c r="E16" s="8">
        <f t="shared" si="1"/>
        <v>25550</v>
      </c>
      <c r="F16" s="31">
        <f t="shared" si="2"/>
        <v>14065</v>
      </c>
    </row>
    <row r="17" spans="1:6" ht="16.5" x14ac:dyDescent="0.25">
      <c r="A17" s="10">
        <v>80</v>
      </c>
      <c r="B17" s="8">
        <f>'Custos Fixos'!$B$27</f>
        <v>8419</v>
      </c>
      <c r="C17" s="8">
        <f>'Custos Variáveis'!$B$17*A17</f>
        <v>3360</v>
      </c>
      <c r="D17" s="9">
        <f t="shared" si="0"/>
        <v>11779</v>
      </c>
      <c r="E17" s="8">
        <f t="shared" si="1"/>
        <v>28000</v>
      </c>
      <c r="F17" s="31">
        <f t="shared" si="2"/>
        <v>16221</v>
      </c>
    </row>
    <row r="18" spans="1:6" ht="16.5" x14ac:dyDescent="0.25">
      <c r="A18" s="10">
        <v>85</v>
      </c>
      <c r="B18" s="8">
        <f>'Custos Fixos'!$B$27</f>
        <v>8419</v>
      </c>
      <c r="C18" s="8">
        <f>'Custos Variáveis'!$B$17*A18</f>
        <v>3570</v>
      </c>
      <c r="D18" s="9">
        <f t="shared" si="0"/>
        <v>11989</v>
      </c>
      <c r="E18" s="8">
        <f t="shared" si="1"/>
        <v>29750</v>
      </c>
      <c r="F18" s="31">
        <f t="shared" si="2"/>
        <v>17761</v>
      </c>
    </row>
    <row r="19" spans="1:6" ht="16.5" x14ac:dyDescent="0.25">
      <c r="A19" s="10">
        <v>90</v>
      </c>
      <c r="B19" s="8">
        <f>'Custos Fixos'!$B$27</f>
        <v>8419</v>
      </c>
      <c r="C19" s="8">
        <f>'Custos Variáveis'!$B$17*A19</f>
        <v>3780</v>
      </c>
      <c r="D19" s="9">
        <f t="shared" si="0"/>
        <v>12199</v>
      </c>
      <c r="E19" s="8">
        <f t="shared" si="1"/>
        <v>31500</v>
      </c>
      <c r="F19" s="31">
        <f t="shared" si="2"/>
        <v>19301</v>
      </c>
    </row>
    <row r="20" spans="1:6" ht="16.5" x14ac:dyDescent="0.25">
      <c r="A20" s="10">
        <v>99</v>
      </c>
      <c r="B20" s="8">
        <f>'Custos Fixos'!$B$27</f>
        <v>8419</v>
      </c>
      <c r="C20" s="8">
        <f>'Custos Variáveis'!$B$17*A20</f>
        <v>4158</v>
      </c>
      <c r="D20" s="9">
        <f t="shared" si="0"/>
        <v>12577</v>
      </c>
      <c r="E20" s="8">
        <f t="shared" si="1"/>
        <v>34650</v>
      </c>
      <c r="F20" s="31">
        <f t="shared" si="2"/>
        <v>22073</v>
      </c>
    </row>
    <row r="21" spans="1:6" ht="16.5" x14ac:dyDescent="0.25">
      <c r="A21" s="10">
        <v>100</v>
      </c>
      <c r="B21" s="8">
        <f>'Custos Fixos'!$B$27</f>
        <v>8419</v>
      </c>
      <c r="C21" s="8">
        <f>'Custos Variáveis'!$B$17*A21</f>
        <v>4200</v>
      </c>
      <c r="D21" s="9">
        <f t="shared" si="0"/>
        <v>12619</v>
      </c>
      <c r="E21" s="8">
        <f t="shared" si="1"/>
        <v>35000</v>
      </c>
      <c r="F21" s="31">
        <f t="shared" si="2"/>
        <v>22381</v>
      </c>
    </row>
    <row r="22" spans="1:6" ht="16.5" x14ac:dyDescent="0.25">
      <c r="A22" s="10">
        <v>110</v>
      </c>
      <c r="B22" s="8">
        <f>'Custos Fixos'!$B$27</f>
        <v>8419</v>
      </c>
      <c r="C22" s="8">
        <f>'Custos Variáveis'!$B$17*A22</f>
        <v>4620</v>
      </c>
      <c r="D22" s="9">
        <f t="shared" si="0"/>
        <v>13039</v>
      </c>
      <c r="E22" s="8">
        <f t="shared" si="1"/>
        <v>38500</v>
      </c>
      <c r="F22" s="31">
        <f t="shared" si="2"/>
        <v>25461</v>
      </c>
    </row>
    <row r="23" spans="1:6" ht="16.5" x14ac:dyDescent="0.25">
      <c r="A23" s="10">
        <v>120</v>
      </c>
      <c r="B23" s="8">
        <f>'Custos Fixos'!$B$27</f>
        <v>8419</v>
      </c>
      <c r="C23" s="8">
        <f>'Custos Variáveis'!$B$17*A23</f>
        <v>5040</v>
      </c>
      <c r="D23" s="9">
        <f t="shared" si="0"/>
        <v>13459</v>
      </c>
      <c r="E23" s="8">
        <f t="shared" si="1"/>
        <v>42000</v>
      </c>
      <c r="F23" s="31">
        <f t="shared" si="2"/>
        <v>28541</v>
      </c>
    </row>
    <row r="24" spans="1:6" ht="16.5" x14ac:dyDescent="0.25">
      <c r="A24" s="10">
        <v>130</v>
      </c>
      <c r="B24" s="8">
        <f>'Custos Fixos'!$B$27</f>
        <v>8419</v>
      </c>
      <c r="C24" s="8">
        <f>'Custos Variáveis'!$B$17*A24</f>
        <v>5460</v>
      </c>
      <c r="D24" s="9">
        <f t="shared" si="0"/>
        <v>13879</v>
      </c>
      <c r="E24" s="8">
        <f t="shared" si="1"/>
        <v>45500</v>
      </c>
      <c r="F24" s="31">
        <f t="shared" si="2"/>
        <v>31621</v>
      </c>
    </row>
    <row r="25" spans="1:6" ht="16.5" x14ac:dyDescent="0.25">
      <c r="A25" s="10">
        <v>140</v>
      </c>
      <c r="B25" s="8">
        <f>'Custos Fixos'!$B$27</f>
        <v>8419</v>
      </c>
      <c r="C25" s="8">
        <f>'Custos Variáveis'!$B$17*A25</f>
        <v>5880</v>
      </c>
      <c r="D25" s="9">
        <f t="shared" si="0"/>
        <v>14299</v>
      </c>
      <c r="E25" s="8">
        <f t="shared" si="1"/>
        <v>49000</v>
      </c>
      <c r="F25" s="31">
        <f t="shared" si="2"/>
        <v>34701</v>
      </c>
    </row>
    <row r="26" spans="1:6" ht="16.5" x14ac:dyDescent="0.25">
      <c r="A26" s="10">
        <v>150</v>
      </c>
      <c r="B26" s="8">
        <f>'Custos Fixos'!$B$27</f>
        <v>8419</v>
      </c>
      <c r="C26" s="8">
        <f>'Custos Variáveis'!$B$17*A26</f>
        <v>6300</v>
      </c>
      <c r="D26" s="9">
        <f t="shared" si="0"/>
        <v>14719</v>
      </c>
      <c r="E26" s="8">
        <f t="shared" si="1"/>
        <v>52500</v>
      </c>
      <c r="F26" s="31">
        <f t="shared" si="2"/>
        <v>37781</v>
      </c>
    </row>
    <row r="27" spans="1:6" ht="16.5" x14ac:dyDescent="0.25">
      <c r="A27" s="10">
        <v>160</v>
      </c>
      <c r="B27" s="8">
        <f>'Custos Fixos'!$B$27</f>
        <v>8419</v>
      </c>
      <c r="C27" s="8">
        <f>'Custos Variáveis'!$B$17*A27</f>
        <v>6720</v>
      </c>
      <c r="D27" s="9">
        <f t="shared" si="0"/>
        <v>15139</v>
      </c>
      <c r="E27" s="8">
        <f t="shared" si="1"/>
        <v>56000</v>
      </c>
      <c r="F27" s="31">
        <f t="shared" si="2"/>
        <v>40861</v>
      </c>
    </row>
    <row r="28" spans="1:6" ht="16.5" x14ac:dyDescent="0.25">
      <c r="A28" s="10">
        <v>170</v>
      </c>
      <c r="B28" s="8">
        <f>'Custos Fixos'!$B$27</f>
        <v>8419</v>
      </c>
      <c r="C28" s="8">
        <f>'Custos Variáveis'!$B$17*A28</f>
        <v>7140</v>
      </c>
      <c r="D28" s="9">
        <f t="shared" si="0"/>
        <v>15559</v>
      </c>
      <c r="E28" s="8">
        <f t="shared" si="1"/>
        <v>59500</v>
      </c>
      <c r="F28" s="31">
        <f t="shared" si="2"/>
        <v>43941</v>
      </c>
    </row>
    <row r="29" spans="1:6" ht="16.5" x14ac:dyDescent="0.25">
      <c r="A29" s="10">
        <v>180</v>
      </c>
      <c r="B29" s="8">
        <f>'Custos Fixos'!$B$27</f>
        <v>8419</v>
      </c>
      <c r="C29" s="8">
        <f>'Custos Variáveis'!$B$17*A29</f>
        <v>7560</v>
      </c>
      <c r="D29" s="9">
        <f t="shared" si="0"/>
        <v>15979</v>
      </c>
      <c r="E29" s="8">
        <f t="shared" si="1"/>
        <v>63000</v>
      </c>
      <c r="F29" s="31">
        <f t="shared" si="2"/>
        <v>47021</v>
      </c>
    </row>
    <row r="30" spans="1:6" ht="16.5" x14ac:dyDescent="0.25">
      <c r="A30" s="10">
        <v>190</v>
      </c>
      <c r="B30" s="8">
        <f>'Custos Fixos'!$B$27</f>
        <v>8419</v>
      </c>
      <c r="C30" s="8">
        <f>'Custos Variáveis'!$B$17*A30</f>
        <v>7980</v>
      </c>
      <c r="D30" s="9">
        <f t="shared" si="0"/>
        <v>16399</v>
      </c>
      <c r="E30" s="8">
        <f t="shared" si="1"/>
        <v>66500</v>
      </c>
      <c r="F30" s="31">
        <f t="shared" si="2"/>
        <v>50101</v>
      </c>
    </row>
    <row r="31" spans="1:6" ht="16.5" x14ac:dyDescent="0.25">
      <c r="A31" s="10">
        <v>200</v>
      </c>
      <c r="B31" s="8">
        <f>'Custos Fixos'!$B$27</f>
        <v>8419</v>
      </c>
      <c r="C31" s="8">
        <f>'Custos Variáveis'!$B$17*A31</f>
        <v>8400</v>
      </c>
      <c r="D31" s="9">
        <f t="shared" si="0"/>
        <v>16819</v>
      </c>
      <c r="E31" s="8">
        <f t="shared" si="1"/>
        <v>70000</v>
      </c>
      <c r="F31" s="31">
        <f t="shared" si="2"/>
        <v>53181</v>
      </c>
    </row>
    <row r="32" spans="1:6" ht="16.5" x14ac:dyDescent="0.25">
      <c r="A32" s="10"/>
      <c r="B32" s="12"/>
      <c r="C32" s="14"/>
      <c r="D32" s="14"/>
      <c r="E32" s="14"/>
      <c r="F32" s="14"/>
    </row>
  </sheetData>
  <mergeCells count="1">
    <mergeCell ref="I10:I13"/>
  </mergeCells>
  <pageMargins left="0.51180555555555496" right="0.51180555555555496" top="0.78749999999999998" bottom="0.78749999999999998" header="0.51180555555555496" footer="0.51180555555555496"/>
  <pageSetup paperSize="9" firstPageNumber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Custos Fixos</vt:lpstr>
      <vt:lpstr>Custos Variáveis</vt:lpstr>
      <vt:lpstr>Ponto de Equilibrio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Vicente</dc:creator>
  <cp:lastModifiedBy>JOSE VICENTE</cp:lastModifiedBy>
  <cp:revision>0</cp:revision>
  <cp:lastPrinted>2014-09-10T16:10:16Z</cp:lastPrinted>
  <dcterms:created xsi:type="dcterms:W3CDTF">2014-08-12T20:53:45Z</dcterms:created>
  <dcterms:modified xsi:type="dcterms:W3CDTF">2018-06-26T15:28:38Z</dcterms:modified>
</cp:coreProperties>
</file>