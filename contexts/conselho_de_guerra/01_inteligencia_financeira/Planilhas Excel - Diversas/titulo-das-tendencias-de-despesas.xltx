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hidePivotFieldList="1"/>
  <bookViews>
    <workbookView xWindow="13770" yWindow="75" windowWidth="14895" windowHeight="11640" tabRatio="809"/>
  </bookViews>
  <sheets>
    <sheet name="Tendências do Ano" sheetId="6" r:id="rId1"/>
    <sheet name="Jan" sheetId="9" r:id="rId2"/>
    <sheet name="Fev" sheetId="4" r:id="rId3"/>
    <sheet name="Mar" sheetId="10" r:id="rId4"/>
    <sheet name="Abr" sheetId="11" r:id="rId5"/>
    <sheet name="Mai" sheetId="12" r:id="rId6"/>
    <sheet name="Jun" sheetId="13" r:id="rId7"/>
    <sheet name="Jul" sheetId="14" r:id="rId8"/>
    <sheet name="Ago" sheetId="15" r:id="rId9"/>
    <sheet name="Set" sheetId="16" r:id="rId10"/>
    <sheet name="Out" sheetId="17" r:id="rId11"/>
    <sheet name="Nov" sheetId="18" r:id="rId12"/>
    <sheet name="Dez" sheetId="19" r:id="rId13"/>
  </sheets>
  <definedNames>
    <definedName name="Area_de_Impressão" localSheetId="0">'Tendências do Ano'!$A$1:$F$17</definedName>
    <definedName name="_xlnm.Print_Area" localSheetId="4">Abr!$A$1:$H$58</definedName>
    <definedName name="_xlnm.Print_Area" localSheetId="8">Ago!$A$1:$H$58</definedName>
    <definedName name="_xlnm.Print_Area" localSheetId="12">Dez!$A$1:$H$58</definedName>
    <definedName name="_xlnm.Print_Area" localSheetId="2">Fev!$A$1:$G$58</definedName>
    <definedName name="_xlnm.Print_Area" localSheetId="1">Jan!$A$1:$H$58</definedName>
    <definedName name="_xlnm.Print_Area" localSheetId="7">Jul!$A$1:$H$58</definedName>
    <definedName name="_xlnm.Print_Area" localSheetId="6">Jun!$A$1:$H$58</definedName>
    <definedName name="_xlnm.Print_Area" localSheetId="5">Mai!$A$1:$H$58</definedName>
    <definedName name="_xlnm.Print_Area" localSheetId="3">Mar!$A$1:$H$58</definedName>
    <definedName name="_xlnm.Print_Area" localSheetId="11">Nov!$A$1:$H$58</definedName>
    <definedName name="_xlnm.Print_Area" localSheetId="10">Out!$A$1:$H$58</definedName>
    <definedName name="_xlnm.Print_Area" localSheetId="9">Set!$A$1:$H$58</definedName>
    <definedName name="_xlnm.Print_Area" localSheetId="0">'Tendências do Ano'!$A$1:$I$45</definedName>
  </definedNames>
  <calcPr calcId="145621"/>
</workbook>
</file>

<file path=xl/calcChain.xml><?xml version="1.0" encoding="utf-8"?>
<calcChain xmlns="http://schemas.openxmlformats.org/spreadsheetml/2006/main">
  <c r="F14" i="6" l="1"/>
  <c r="E14" i="6"/>
  <c r="D14" i="6"/>
  <c r="C14" i="6"/>
  <c r="B14" i="6"/>
  <c r="F13" i="6"/>
  <c r="E13" i="6"/>
  <c r="D13" i="6"/>
  <c r="C13" i="6"/>
  <c r="B13" i="6"/>
  <c r="F12" i="6"/>
  <c r="E12" i="6"/>
  <c r="D12" i="6"/>
  <c r="C12" i="6"/>
  <c r="B12" i="6"/>
  <c r="F11" i="6"/>
  <c r="E11" i="6"/>
  <c r="D11" i="6"/>
  <c r="C11" i="6"/>
  <c r="B11" i="6"/>
  <c r="F10" i="6"/>
  <c r="E10" i="6"/>
  <c r="D10" i="6"/>
  <c r="C10" i="6"/>
  <c r="B10" i="6"/>
  <c r="F9" i="6"/>
  <c r="E9" i="6"/>
  <c r="D9" i="6"/>
  <c r="C9" i="6"/>
  <c r="B9" i="6"/>
  <c r="D8" i="6"/>
  <c r="F8" i="6"/>
  <c r="E8" i="6"/>
  <c r="C8" i="6"/>
  <c r="B8" i="6"/>
  <c r="F7" i="6"/>
  <c r="E7" i="6"/>
  <c r="D7" i="6"/>
  <c r="C7" i="6"/>
  <c r="B7" i="6"/>
  <c r="F6" i="6"/>
  <c r="E6" i="6"/>
  <c r="D6" i="6"/>
  <c r="C6" i="6"/>
  <c r="B6" i="6"/>
  <c r="F5" i="6"/>
  <c r="E5" i="6"/>
  <c r="D5" i="6"/>
  <c r="C5" i="6"/>
  <c r="B5" i="6"/>
  <c r="F3" i="6"/>
  <c r="E3" i="6"/>
  <c r="D3" i="6"/>
  <c r="C3" i="6"/>
  <c r="B3" i="6"/>
  <c r="B4" i="6"/>
  <c r="D10" i="4"/>
  <c r="D36" i="19"/>
  <c r="D30" i="19"/>
  <c r="D24" i="19"/>
  <c r="D17" i="19"/>
  <c r="D10" i="19"/>
  <c r="D36" i="18"/>
  <c r="D30" i="18"/>
  <c r="D24" i="18"/>
  <c r="D17" i="18"/>
  <c r="D10" i="18"/>
  <c r="D3" i="18" s="1"/>
  <c r="D36" i="17"/>
  <c r="D30" i="17"/>
  <c r="D24" i="17"/>
  <c r="D17" i="17"/>
  <c r="D10" i="17"/>
  <c r="D36" i="16"/>
  <c r="D30" i="16"/>
  <c r="D24" i="16"/>
  <c r="D17" i="16"/>
  <c r="D10" i="16"/>
  <c r="D3" i="16" s="1"/>
  <c r="D36" i="15"/>
  <c r="D30" i="15"/>
  <c r="D24" i="15"/>
  <c r="D17" i="15"/>
  <c r="D10" i="15"/>
  <c r="D36" i="14"/>
  <c r="D30" i="14"/>
  <c r="D24" i="14"/>
  <c r="D17" i="14"/>
  <c r="D10" i="14"/>
  <c r="D36" i="13"/>
  <c r="D30" i="13"/>
  <c r="D24" i="13"/>
  <c r="D17" i="13"/>
  <c r="D10" i="13"/>
  <c r="D36" i="12"/>
  <c r="D30" i="12"/>
  <c r="D24" i="12"/>
  <c r="D17" i="12"/>
  <c r="D10" i="12"/>
  <c r="D36" i="11"/>
  <c r="D30" i="11"/>
  <c r="D24" i="11"/>
  <c r="D17" i="11"/>
  <c r="D10" i="11"/>
  <c r="D36" i="10"/>
  <c r="D30" i="10"/>
  <c r="D24" i="10"/>
  <c r="D17" i="10"/>
  <c r="D3" i="10" s="1"/>
  <c r="D10" i="10"/>
  <c r="D36" i="9"/>
  <c r="D30" i="9"/>
  <c r="D24" i="9"/>
  <c r="D17" i="9"/>
  <c r="D10" i="9"/>
  <c r="C4" i="6"/>
  <c r="D4" i="6"/>
  <c r="E4" i="6"/>
  <c r="F4" i="6"/>
  <c r="D3" i="13" l="1"/>
  <c r="D3" i="19"/>
  <c r="D3" i="11"/>
  <c r="D3" i="14"/>
  <c r="D3" i="17"/>
  <c r="D3" i="9"/>
  <c r="D3" i="12"/>
  <c r="D3" i="15"/>
  <c r="B15" i="6"/>
  <c r="D15" i="6"/>
  <c r="F15" i="6"/>
  <c r="C15" i="6"/>
  <c r="E15" i="6"/>
  <c r="D36" i="4"/>
  <c r="D30" i="4"/>
  <c r="D24" i="4"/>
  <c r="D17" i="4"/>
  <c r="D3" i="4" l="1"/>
</calcChain>
</file>

<file path=xl/sharedStrings.xml><?xml version="1.0" encoding="utf-8"?>
<sst xmlns="http://schemas.openxmlformats.org/spreadsheetml/2006/main" count="513" uniqueCount="47">
  <si>
    <t>Subtotal</t>
  </si>
  <si>
    <t>TOTAL</t>
  </si>
  <si>
    <t>Total</t>
  </si>
  <si>
    <t>Jan</t>
  </si>
  <si>
    <t>Mar</t>
  </si>
  <si>
    <t>Jun</t>
  </si>
  <si>
    <t>Jul</t>
  </si>
  <si>
    <t>Nov</t>
  </si>
  <si>
    <t>x</t>
  </si>
  <si>
    <t>s</t>
  </si>
  <si>
    <t xml:space="preserve"> Título das Tendências de Despesas</t>
  </si>
  <si>
    <t>Despesa 1</t>
  </si>
  <si>
    <t>Despesa 2</t>
  </si>
  <si>
    <t>Despesa 3</t>
  </si>
  <si>
    <t>Despesa 4</t>
  </si>
  <si>
    <t>Despesa 5</t>
  </si>
  <si>
    <t>Mês</t>
  </si>
  <si>
    <t>Fev</t>
  </si>
  <si>
    <t>Abr</t>
  </si>
  <si>
    <t>Mai</t>
  </si>
  <si>
    <t>Ago</t>
  </si>
  <si>
    <t>Set</t>
  </si>
  <si>
    <t>Out</t>
  </si>
  <si>
    <t>Dez</t>
  </si>
  <si>
    <t>Tendências</t>
  </si>
  <si>
    <t>Despesas de Janeiro</t>
  </si>
  <si>
    <t>Despesas de Fevereiro</t>
  </si>
  <si>
    <t>Despesas de Março</t>
  </si>
  <si>
    <t>Despesas de Abril</t>
  </si>
  <si>
    <t>Despesas de Maio</t>
  </si>
  <si>
    <t>Despesas de Junho</t>
  </si>
  <si>
    <t>Despesas de Julho</t>
  </si>
  <si>
    <t>Despesas de Agosto</t>
  </si>
  <si>
    <t>Despesas de Setembro</t>
  </si>
  <si>
    <t>Despesas de Outubro</t>
  </si>
  <si>
    <t>Despesas de Novembro</t>
  </si>
  <si>
    <t>Despesas de Dezembro</t>
  </si>
  <si>
    <t>Exemplo 1</t>
  </si>
  <si>
    <t>Exemplo 2</t>
  </si>
  <si>
    <t>Exemplo 3</t>
  </si>
  <si>
    <t>Exemplo 4</t>
  </si>
  <si>
    <t>Exemplo 5</t>
  </si>
  <si>
    <t>Fornecedor/Descrição</t>
  </si>
  <si>
    <t>Descrição</t>
  </si>
  <si>
    <t>Valor</t>
  </si>
  <si>
    <t>Data</t>
  </si>
  <si>
    <t>OC#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</si>
</sst>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;@"/>
    <numFmt numFmtId="165" formatCode="&quot;R$&quot;\ #,##0.00"/>
    <numFmt numFmtId="166" formatCode="d/m;@"/>
  </numFmts>
  <fonts count="10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6"/>
      <color theme="1"/>
      <name val="Arial"/>
      <family val="2"/>
      <scheme val="minor"/>
    </font>
    <font>
      <b/>
      <sz val="11"/>
      <name val="Arial"/>
      <family val="2"/>
      <scheme val="minor"/>
    </font>
    <font>
      <b/>
      <sz val="18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theme="1"/>
      <name val="Arial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5" tint="0.79998168889431442"/>
        <bgColor theme="5"/>
      </patternFill>
    </fill>
    <fill>
      <patternFill patternType="solid">
        <fgColor theme="6" tint="0.79998168889431442"/>
        <bgColor theme="6"/>
      </patternFill>
    </fill>
    <fill>
      <patternFill patternType="solid">
        <fgColor theme="7" tint="0.79998168889431442"/>
        <bgColor theme="8"/>
      </patternFill>
    </fill>
    <fill>
      <patternFill patternType="solid">
        <fgColor theme="8" tint="0.79998168889431442"/>
        <bgColor theme="9"/>
      </patternFill>
    </fill>
  </fills>
  <borders count="3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double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double">
        <color theme="4"/>
      </top>
      <bottom style="thin">
        <color theme="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double">
        <color theme="4" tint="-0.249977111117893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70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0" fontId="0" fillId="0" borderId="0" xfId="0" applyBorder="1"/>
    <xf numFmtId="0" fontId="4" fillId="0" borderId="0" xfId="0" applyFont="1" applyAlignment="1">
      <alignment horizontal="right"/>
    </xf>
    <xf numFmtId="0" fontId="0" fillId="0" borderId="0" xfId="0" applyAlignment="1">
      <alignment textRotation="45"/>
    </xf>
    <xf numFmtId="2" fontId="0" fillId="0" borderId="0" xfId="0" applyNumberFormat="1" applyFill="1"/>
    <xf numFmtId="0" fontId="2" fillId="0" borderId="0" xfId="0" applyFont="1" applyBorder="1"/>
    <xf numFmtId="164" fontId="0" fillId="0" borderId="0" xfId="0" applyNumberFormat="1" applyBorder="1"/>
    <xf numFmtId="0" fontId="2" fillId="0" borderId="0" xfId="0" applyFont="1" applyFill="1" applyBorder="1"/>
    <xf numFmtId="164" fontId="0" fillId="0" borderId="0" xfId="0" applyNumberFormat="1" applyFill="1" applyBorder="1"/>
    <xf numFmtId="0" fontId="0" fillId="0" borderId="0" xfId="0" applyFill="1" applyBorder="1"/>
    <xf numFmtId="0" fontId="0" fillId="7" borderId="2" xfId="0" applyFill="1" applyBorder="1"/>
    <xf numFmtId="0" fontId="0" fillId="7" borderId="1" xfId="0" applyFill="1" applyBorder="1"/>
    <xf numFmtId="0" fontId="7" fillId="0" borderId="0" xfId="0" applyFont="1" applyFill="1" applyAlignment="1">
      <alignment horizontal="center"/>
    </xf>
    <xf numFmtId="0" fontId="8" fillId="0" borderId="0" xfId="0" applyFont="1" applyBorder="1"/>
    <xf numFmtId="0" fontId="3" fillId="0" borderId="18" xfId="0" applyFont="1" applyBorder="1"/>
    <xf numFmtId="0" fontId="3" fillId="2" borderId="18" xfId="0" applyFont="1" applyFill="1" applyBorder="1" applyAlignment="1">
      <alignment textRotation="45"/>
    </xf>
    <xf numFmtId="0" fontId="3" fillId="3" borderId="18" xfId="0" applyFont="1" applyFill="1" applyBorder="1" applyAlignment="1">
      <alignment textRotation="45"/>
    </xf>
    <xf numFmtId="0" fontId="3" fillId="4" borderId="18" xfId="0" applyFont="1" applyFill="1" applyBorder="1" applyAlignment="1">
      <alignment textRotation="45"/>
    </xf>
    <xf numFmtId="0" fontId="3" fillId="5" borderId="18" xfId="0" applyFont="1" applyFill="1" applyBorder="1" applyAlignment="1">
      <alignment textRotation="45"/>
    </xf>
    <xf numFmtId="0" fontId="3" fillId="6" borderId="19" xfId="0" applyFont="1" applyFill="1" applyBorder="1" applyAlignment="1">
      <alignment textRotation="45"/>
    </xf>
    <xf numFmtId="0" fontId="3" fillId="0" borderId="20" xfId="0" applyFont="1" applyBorder="1"/>
    <xf numFmtId="0" fontId="3" fillId="0" borderId="22" xfId="0" applyFont="1" applyBorder="1"/>
    <xf numFmtId="0" fontId="0" fillId="7" borderId="23" xfId="0" applyFill="1" applyBorder="1"/>
    <xf numFmtId="0" fontId="0" fillId="7" borderId="24" xfId="0" applyFill="1" applyBorder="1"/>
    <xf numFmtId="43" fontId="0" fillId="0" borderId="20" xfId="1" applyFont="1" applyBorder="1"/>
    <xf numFmtId="43" fontId="0" fillId="0" borderId="18" xfId="1" applyFont="1" applyBorder="1"/>
    <xf numFmtId="43" fontId="3" fillId="0" borderId="22" xfId="1" applyFont="1" applyBorder="1"/>
    <xf numFmtId="43" fontId="0" fillId="0" borderId="26" xfId="1" applyFont="1" applyBorder="1"/>
    <xf numFmtId="43" fontId="3" fillId="0" borderId="29" xfId="1" applyFont="1" applyBorder="1"/>
    <xf numFmtId="43" fontId="3" fillId="0" borderId="28" xfId="1" applyFont="1" applyBorder="1"/>
    <xf numFmtId="43" fontId="0" fillId="0" borderId="21" xfId="1" applyFont="1" applyBorder="1"/>
    <xf numFmtId="43" fontId="0" fillId="0" borderId="19" xfId="1" applyFont="1" applyBorder="1"/>
    <xf numFmtId="43" fontId="0" fillId="0" borderId="27" xfId="1" applyFont="1" applyBorder="1"/>
    <xf numFmtId="43" fontId="3" fillId="0" borderId="25" xfId="1" applyFont="1" applyBorder="1"/>
    <xf numFmtId="43" fontId="0" fillId="0" borderId="0" xfId="1" applyFont="1" applyBorder="1"/>
    <xf numFmtId="43" fontId="0" fillId="0" borderId="0" xfId="1" applyFont="1" applyFill="1" applyBorder="1"/>
    <xf numFmtId="0" fontId="0" fillId="0" borderId="0" xfId="0" applyAlignment="1">
      <alignment vertical="center"/>
    </xf>
    <xf numFmtId="43" fontId="4" fillId="0" borderId="0" xfId="1" applyFont="1"/>
    <xf numFmtId="43" fontId="9" fillId="0" borderId="0" xfId="0" applyNumberFormat="1" applyFont="1" applyBorder="1"/>
    <xf numFmtId="43" fontId="9" fillId="0" borderId="0" xfId="0" applyNumberFormat="1" applyFont="1" applyFill="1" applyBorder="1"/>
    <xf numFmtId="43" fontId="0" fillId="0" borderId="0" xfId="0" applyNumberFormat="1" applyFont="1" applyFill="1" applyBorder="1"/>
    <xf numFmtId="165" fontId="4" fillId="0" borderId="0" xfId="0" applyNumberFormat="1" applyFont="1"/>
    <xf numFmtId="166" fontId="0" fillId="0" borderId="0" xfId="0" applyNumberFormat="1" applyFill="1" applyBorder="1"/>
    <xf numFmtId="166" fontId="0" fillId="0" borderId="0" xfId="0" applyNumberFormat="1" applyBorder="1"/>
    <xf numFmtId="166" fontId="7" fillId="0" borderId="0" xfId="0" applyNumberFormat="1" applyFont="1" applyFill="1" applyAlignment="1">
      <alignment horizontal="center"/>
    </xf>
    <xf numFmtId="166" fontId="2" fillId="0" borderId="0" xfId="0" applyNumberFormat="1" applyFont="1" applyBorder="1"/>
    <xf numFmtId="166" fontId="8" fillId="0" borderId="0" xfId="0" applyNumberFormat="1" applyFont="1" applyBorder="1"/>
    <xf numFmtId="166" fontId="2" fillId="0" borderId="0" xfId="0" applyNumberFormat="1" applyFont="1" applyFill="1" applyBorder="1"/>
    <xf numFmtId="166" fontId="0" fillId="0" borderId="0" xfId="0" applyNumberFormat="1"/>
    <xf numFmtId="0" fontId="5" fillId="0" borderId="0" xfId="0" applyFont="1" applyAlignment="1">
      <alignment horizontal="center" vertical="center"/>
    </xf>
    <xf numFmtId="0" fontId="6" fillId="12" borderId="15" xfId="0" applyFont="1" applyFill="1" applyBorder="1"/>
    <xf numFmtId="0" fontId="6" fillId="12" borderId="16" xfId="0" applyFont="1" applyFill="1" applyBorder="1"/>
    <xf numFmtId="0" fontId="6" fillId="12" borderId="17" xfId="0" applyFont="1" applyFill="1" applyBorder="1"/>
    <xf numFmtId="0" fontId="7" fillId="3" borderId="0" xfId="0" applyFont="1" applyFill="1" applyAlignment="1">
      <alignment horizontal="center" vertical="center"/>
    </xf>
    <xf numFmtId="0" fontId="6" fillId="8" borderId="3" xfId="0" applyFont="1" applyFill="1" applyBorder="1"/>
    <xf numFmtId="0" fontId="6" fillId="8" borderId="4" xfId="0" applyFont="1" applyFill="1" applyBorder="1"/>
    <xf numFmtId="0" fontId="6" fillId="8" borderId="5" xfId="0" applyFont="1" applyFill="1" applyBorder="1"/>
    <xf numFmtId="0" fontId="6" fillId="9" borderId="6" xfId="0" applyFont="1" applyFill="1" applyBorder="1"/>
    <xf numFmtId="0" fontId="6" fillId="9" borderId="7" xfId="0" applyFont="1" applyFill="1" applyBorder="1"/>
    <xf numFmtId="0" fontId="6" fillId="9" borderId="8" xfId="0" applyFont="1" applyFill="1" applyBorder="1"/>
    <xf numFmtId="0" fontId="6" fillId="10" borderId="9" xfId="0" applyFont="1" applyFill="1" applyBorder="1"/>
    <xf numFmtId="0" fontId="6" fillId="10" borderId="10" xfId="0" applyFont="1" applyFill="1" applyBorder="1"/>
    <xf numFmtId="0" fontId="6" fillId="10" borderId="11" xfId="0" applyFont="1" applyFill="1" applyBorder="1"/>
    <xf numFmtId="0" fontId="6" fillId="11" borderId="12" xfId="0" applyFont="1" applyFill="1" applyBorder="1"/>
    <xf numFmtId="0" fontId="6" fillId="11" borderId="13" xfId="0" applyFont="1" applyFill="1" applyBorder="1"/>
    <xf numFmtId="0" fontId="6" fillId="11" borderId="14" xfId="0" applyFont="1" applyFill="1" applyBorder="1"/>
  </cellXfs>
  <cellStyles count="2">
    <cellStyle name="Comma" xfId="1" builtinId="3"/>
    <cellStyle name="Normal" xfId="0" builtinId="0"/>
  </cellStyles>
  <dxfs count="4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numFmt numFmtId="166" formatCode="d/m;@"/>
      <fill>
        <patternFill patternType="none">
          <fgColor indexed="64"/>
          <bgColor indexed="65"/>
        </patternFill>
      </fill>
    </dxf>
    <dxf>
      <numFmt numFmtId="166" formatCode="d/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d/m;@"/>
    </dxf>
    <dxf>
      <numFmt numFmtId="166" formatCode="d/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d/m;@"/>
    </dxf>
    <dxf>
      <numFmt numFmtId="166" formatCode="d/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numFmt numFmtId="166" formatCode="d/m;@"/>
      <fill>
        <patternFill patternType="none">
          <fgColor indexed="64"/>
          <bgColor indexed="65"/>
        </patternFill>
      </fill>
    </dxf>
    <dxf>
      <numFmt numFmtId="166" formatCode="d/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d/m;@"/>
    </dxf>
    <dxf>
      <numFmt numFmtId="166" formatCode="d/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pt-BR" sz="1800" b="1" i="0" u="none" strike="noStrike" baseline="0" smtClean="0"/>
              <a:t>Tendências de Despesas</a:t>
            </a:r>
            <a:r>
              <a:rPr lang="en-US" baseline="0"/>
              <a:t> por Mês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'Tendências do Ano'!$B$2</c:f>
              <c:strCache>
                <c:ptCount val="1"/>
                <c:pt idx="0">
                  <c:v>Despesa 1</c:v>
                </c:pt>
              </c:strCache>
            </c:strRef>
          </c:tx>
          <c:invertIfNegative val="0"/>
          <c:cat>
            <c:strRef>
              <c:f>'Tendências do Ano'!$A$3:$A$14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'Tendências do Ano'!$B$3:$B$14</c:f>
              <c:numCache>
                <c:formatCode>_(* #,##0.00_);_(* \(#,##0.00\);_(* "-"??_);_(@_)</c:formatCode>
                <c:ptCount val="12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</c:numCache>
            </c:numRef>
          </c:val>
        </c:ser>
        <c:ser>
          <c:idx val="1"/>
          <c:order val="1"/>
          <c:tx>
            <c:strRef>
              <c:f>'Tendências do Ano'!$C$2</c:f>
              <c:strCache>
                <c:ptCount val="1"/>
                <c:pt idx="0">
                  <c:v>Despesa 2</c:v>
                </c:pt>
              </c:strCache>
            </c:strRef>
          </c:tx>
          <c:invertIfNegative val="0"/>
          <c:cat>
            <c:strRef>
              <c:f>'Tendências do Ano'!$A$3:$A$14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'Tendências do Ano'!$C$3:$C$14</c:f>
              <c:numCache>
                <c:formatCode>_(* #,##0.00_);_(* \(#,##0.00\);_(* "-"??_);_(@_)</c:formatCode>
                <c:ptCount val="1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</c:ser>
        <c:ser>
          <c:idx val="2"/>
          <c:order val="2"/>
          <c:tx>
            <c:strRef>
              <c:f>'Tendências do Ano'!$D$2</c:f>
              <c:strCache>
                <c:ptCount val="1"/>
                <c:pt idx="0">
                  <c:v>Despesa 3</c:v>
                </c:pt>
              </c:strCache>
            </c:strRef>
          </c:tx>
          <c:invertIfNegative val="0"/>
          <c:cat>
            <c:strRef>
              <c:f>'Tendências do Ano'!$A$3:$A$14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'Tendências do Ano'!$D$3:$D$14</c:f>
              <c:numCache>
                <c:formatCode>_(* #,##0.00_);_(* \(#,##0.00\);_(* "-"??_);_(@_)</c:formatCode>
                <c:ptCount val="12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</c:numCache>
            </c:numRef>
          </c:val>
        </c:ser>
        <c:ser>
          <c:idx val="3"/>
          <c:order val="3"/>
          <c:tx>
            <c:strRef>
              <c:f>'Tendências do Ano'!$E$2</c:f>
              <c:strCache>
                <c:ptCount val="1"/>
                <c:pt idx="0">
                  <c:v>Despesa 4</c:v>
                </c:pt>
              </c:strCache>
            </c:strRef>
          </c:tx>
          <c:invertIfNegative val="0"/>
          <c:cat>
            <c:strRef>
              <c:f>'Tendências do Ano'!$A$3:$A$14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'Tendências do Ano'!$E$3:$E$14</c:f>
              <c:numCache>
                <c:formatCode>_(* #,##0.00_);_(* \(#,##0.00\);_(* "-"??_);_(@_)</c:formatCode>
                <c:ptCount val="12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</c:numCache>
            </c:numRef>
          </c:val>
        </c:ser>
        <c:ser>
          <c:idx val="4"/>
          <c:order val="4"/>
          <c:tx>
            <c:strRef>
              <c:f>'Tendências do Ano'!$F$2</c:f>
              <c:strCache>
                <c:ptCount val="1"/>
                <c:pt idx="0">
                  <c:v>Despesa 5</c:v>
                </c:pt>
              </c:strCache>
            </c:strRef>
          </c:tx>
          <c:invertIfNegative val="0"/>
          <c:cat>
            <c:strRef>
              <c:f>'Tendências do Ano'!$A$3:$A$14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'Tendências do Ano'!$F$3:$F$14</c:f>
              <c:numCache>
                <c:formatCode>_(* #,##0.00_);_(* \(#,##0.00\);_(* "-"??_);_(@_)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89550336"/>
        <c:axId val="89805312"/>
      </c:barChart>
      <c:catAx>
        <c:axId val="8955033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9805312"/>
        <c:crosses val="autoZero"/>
        <c:auto val="1"/>
        <c:lblAlgn val="ctr"/>
        <c:lblOffset val="100"/>
        <c:noMultiLvlLbl val="0"/>
      </c:catAx>
      <c:valAx>
        <c:axId val="89805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95503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69057</xdr:colOff>
      <xdr:row>1</xdr:row>
      <xdr:rowOff>1476375</xdr:rowOff>
    </xdr:from>
    <xdr:to>
      <xdr:col>13</xdr:col>
      <xdr:colOff>88107</xdr:colOff>
      <xdr:row>15</xdr:row>
      <xdr:rowOff>559594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Despesa11" displayName="Despesa11" ref="A5:D10" totalsRowCount="1" headerRowDxfId="479">
  <autoFilter ref="A5:D9"/>
  <tableColumns count="4">
    <tableColumn id="1" name="Data" totalsRowLabel="Subtotal" dataDxfId="478" totalsRowDxfId="477"/>
    <tableColumn id="2" name="OC#" totalsRowDxfId="476"/>
    <tableColumn id="3" name="Fornecedor/Descrição" totalsRowDxfId="475"/>
    <tableColumn id="5" name="Valor" totalsRowFunction="sum" totalsRowDxfId="474"/>
  </tableColumns>
  <tableStyleInfo name="TableStyleLight16" showFirstColumn="0" showLastColumn="0" showRowStripes="0" showColumnStripes="0"/>
</table>
</file>

<file path=xl/tables/table2.xml><?xml version="1.0" encoding="utf-8"?>
<table xmlns="http://schemas.openxmlformats.org/spreadsheetml/2006/main" id="3" name="Despesa21" displayName="Despesa21" ref="A13:D17" totalsRowCount="1" headerRowDxfId="473" dataDxfId="472" totalsRowDxfId="471">
  <autoFilter ref="A13:D16"/>
  <tableColumns count="4">
    <tableColumn id="1" name="Data" totalsRowLabel="Subtotal" dataDxfId="470" totalsRowDxfId="469"/>
    <tableColumn id="2" name="OC#" dataDxfId="468" totalsRowDxfId="467"/>
    <tableColumn id="3" name="Descrição" dataDxfId="466" totalsRowDxfId="465"/>
    <tableColumn id="5" name="Valor" totalsRowFunction="sum" dataDxfId="464" totalsRowDxfId="463"/>
  </tableColumns>
  <tableStyleInfo name="TableStyleLight17" showFirstColumn="0" showLastColumn="0" showRowStripes="0" showColumnStripes="0"/>
</table>
</file>

<file path=xl/tables/table3.xml><?xml version="1.0" encoding="utf-8"?>
<table xmlns="http://schemas.openxmlformats.org/spreadsheetml/2006/main" id="4" name="Despesa31" displayName="Despesa31" ref="A20:D24" totalsRowCount="1" headerRowDxfId="462">
  <autoFilter ref="A20:D23"/>
  <tableColumns count="4">
    <tableColumn id="1" name="Data" totalsRowLabel="Subtotal" dataDxfId="461" totalsRowDxfId="460"/>
    <tableColumn id="2" name="OC#" totalsRowDxfId="459"/>
    <tableColumn id="3" name="Fornecedor/Descrição" totalsRowDxfId="458"/>
    <tableColumn id="5" name="Valor" totalsRowFunction="sum" totalsRowDxfId="457"/>
  </tableColumns>
  <tableStyleInfo name="TableStyleLight18" showFirstColumn="0" showLastColumn="0" showRowStripes="0" showColumnStripes="0"/>
</table>
</file>

<file path=xl/tables/table4.xml><?xml version="1.0" encoding="utf-8"?>
<table xmlns="http://schemas.openxmlformats.org/spreadsheetml/2006/main" id="10" name="Despesa41" displayName="Despesa41" ref="A27:D30" totalsRowCount="1" headerRowDxfId="456">
  <autoFilter ref="A27:D29"/>
  <tableColumns count="4">
    <tableColumn id="1" name="Data" totalsRowLabel="Subtotal" dataDxfId="455" totalsRowDxfId="454"/>
    <tableColumn id="2" name="OC#" totalsRowDxfId="453"/>
    <tableColumn id="3" name="Fornecedor/Descrição" totalsRowDxfId="452"/>
    <tableColumn id="5" name="Valor" totalsRowFunction="sum" totalsRowDxfId="451"/>
  </tableColumns>
  <tableStyleInfo name="TableStyleLight19" showFirstColumn="0" showLastColumn="0" showRowStripes="0" showColumnStripes="0"/>
</table>
</file>

<file path=xl/tables/table5.xml><?xml version="1.0" encoding="utf-8"?>
<table xmlns="http://schemas.openxmlformats.org/spreadsheetml/2006/main" id="11" name="Despesa51" displayName="Despesa51" ref="A33:D36" totalsRowCount="1" headerRowDxfId="450" dataDxfId="449" totalsRowDxfId="448">
  <autoFilter ref="A33:D35"/>
  <tableColumns count="4">
    <tableColumn id="1" name="Data" totalsRowLabel="Subtotal" dataDxfId="447" totalsRowDxfId="446"/>
    <tableColumn id="2" name="OC#" dataDxfId="445" totalsRowDxfId="444"/>
    <tableColumn id="3" name="Fornecedor/Descrição" dataDxfId="443" totalsRowDxfId="442"/>
    <tableColumn id="5" name="Valor" totalsRowFunction="sum" dataDxfId="441" totalsRowDxfId="440"/>
  </tableColumns>
  <tableStyleInfo name="TableStyleLight20" showFirstColumn="0" showLastColumn="0" showRowStripes="0" showColumnStripes="0"/>
</table>
</file>

<file path=xl/tables/table6.xml><?xml version="1.0" encoding="utf-8"?>
<table xmlns="http://schemas.openxmlformats.org/spreadsheetml/2006/main" id="2" name="Despesa12" displayName="Despesa12" ref="A5:D10" totalsRowCount="1" headerRowDxfId="439">
  <autoFilter ref="A5:D9"/>
  <tableColumns count="4">
    <tableColumn id="1" name="Data" totalsRowLabel="Subtotal" dataDxfId="438" totalsRowDxfId="437"/>
    <tableColumn id="2" name="OC#" totalsRowDxfId="436"/>
    <tableColumn id="3" name="Fornecedor/Descrição" totalsRowDxfId="435"/>
    <tableColumn id="5" name="Valor" totalsRowFunction="sum" totalsRowDxfId="434"/>
  </tableColumns>
  <tableStyleInfo name="TableStyleLight16" showFirstColumn="0" showLastColumn="0" showRowStripes="0" showColumnStripes="0"/>
</table>
</file>

<file path=xl/tables/table7.xml><?xml version="1.0" encoding="utf-8"?>
<table xmlns="http://schemas.openxmlformats.org/spreadsheetml/2006/main" id="5" name="Despesa22" displayName="Despesa22" ref="A13:D17" totalsRowCount="1" headerRowDxfId="433" dataDxfId="432" totalsRowDxfId="431">
  <autoFilter ref="A13:D16"/>
  <tableColumns count="4">
    <tableColumn id="1" name="Data" totalsRowLabel="Subtotal" dataDxfId="430" totalsRowDxfId="429"/>
    <tableColumn id="2" name="OC#" dataDxfId="428" totalsRowDxfId="427"/>
    <tableColumn id="3" name="Descrição" dataDxfId="426" totalsRowDxfId="425"/>
    <tableColumn id="5" name="Valor" totalsRowFunction="sum" dataDxfId="424" totalsRowDxfId="423"/>
  </tableColumns>
  <tableStyleInfo name="TableStyleLight17" showFirstColumn="0" showLastColumn="0" showRowStripes="0" showColumnStripes="0"/>
</table>
</file>

<file path=xl/tables/table8.xml><?xml version="1.0" encoding="utf-8"?>
<table xmlns="http://schemas.openxmlformats.org/spreadsheetml/2006/main" id="6" name="Despesa32" displayName="Despesa32" ref="A20:D24" totalsRowCount="1" headerRowDxfId="422">
  <autoFilter ref="A20:D23"/>
  <tableColumns count="4">
    <tableColumn id="1" name="Data" totalsRowLabel="Subtotal" dataDxfId="421" totalsRowDxfId="420"/>
    <tableColumn id="2" name="OC#" totalsRowDxfId="419"/>
    <tableColumn id="3" name="Fornecedor/Descrição" totalsRowDxfId="418"/>
    <tableColumn id="5" name="Valor" totalsRowFunction="sum" totalsRowDxfId="417"/>
  </tableColumns>
  <tableStyleInfo name="TableStyleLight18" showFirstColumn="0" showLastColumn="0" showRowStripes="0" showColumnStripes="0"/>
</table>
</file>

<file path=xl/tables/table9.xml><?xml version="1.0" encoding="utf-8"?>
<table xmlns="http://schemas.openxmlformats.org/spreadsheetml/2006/main" id="7" name="Despesa42" displayName="Despesa42" ref="A27:D30" totalsRowCount="1" headerRowDxfId="416">
  <autoFilter ref="A27:D29"/>
  <tableColumns count="4">
    <tableColumn id="1" name="Data" totalsRowLabel="Subtotal" dataDxfId="415" totalsRowDxfId="414"/>
    <tableColumn id="2" name="OC#" totalsRowDxfId="413"/>
    <tableColumn id="3" name="Fornecedor/Descrição" totalsRowDxfId="412"/>
    <tableColumn id="5" name="Valor" totalsRowFunction="sum" totalsRowDxfId="411"/>
  </tableColumns>
  <tableStyleInfo name="TableStyleLight19" showFirstColumn="0" showLastColumn="0" showRowStripes="0" showColumnStripes="0"/>
</table>
</file>

<file path=xl/tables/table10.xml><?xml version="1.0" encoding="utf-8"?>
<table xmlns="http://schemas.openxmlformats.org/spreadsheetml/2006/main" id="8" name="Despesa52" displayName="Despesa52" ref="A33:D36" totalsRowCount="1" headerRowDxfId="410" dataDxfId="409" totalsRowDxfId="408">
  <autoFilter ref="A33:D35"/>
  <tableColumns count="4">
    <tableColumn id="1" name="Data" totalsRowLabel="Subtotal" dataDxfId="407" totalsRowDxfId="406"/>
    <tableColumn id="2" name="OC#" dataDxfId="405" totalsRowDxfId="404"/>
    <tableColumn id="3" name="Fornecedor/Descrição" dataDxfId="403" totalsRowDxfId="402"/>
    <tableColumn id="5" name="Valor" totalsRowFunction="sum" dataDxfId="401" totalsRowDxfId="400"/>
  </tableColumns>
  <tableStyleInfo name="TableStyleLight20" showFirstColumn="0" showLastColumn="0" showRowStripes="0" showColumnStripes="0"/>
</table>
</file>

<file path=xl/tables/table11.xml><?xml version="1.0" encoding="utf-8"?>
<table xmlns="http://schemas.openxmlformats.org/spreadsheetml/2006/main" id="12" name="Despesa13" displayName="Despesa13" ref="A5:D10" totalsRowCount="1" headerRowDxfId="399">
  <autoFilter ref="A5:D9"/>
  <tableColumns count="4">
    <tableColumn id="1" name="Data" totalsRowLabel="Subtotal" dataDxfId="398" totalsRowDxfId="397"/>
    <tableColumn id="2" name="OC#" totalsRowDxfId="396"/>
    <tableColumn id="3" name="Fornecedor/Descrição" totalsRowDxfId="395"/>
    <tableColumn id="5" name="Valor" totalsRowFunction="sum" totalsRowDxfId="394"/>
  </tableColumns>
  <tableStyleInfo name="TableStyleLight16" showFirstColumn="0" showLastColumn="0" showRowStripes="0" showColumnStripes="0"/>
</table>
</file>

<file path=xl/tables/table12.xml><?xml version="1.0" encoding="utf-8"?>
<table xmlns="http://schemas.openxmlformats.org/spreadsheetml/2006/main" id="13" name="Despesa23" displayName="Despesa23" ref="A13:D17" totalsRowCount="1" headerRowDxfId="393" dataDxfId="392" totalsRowDxfId="391">
  <autoFilter ref="A13:D16"/>
  <tableColumns count="4">
    <tableColumn id="1" name="Data" totalsRowLabel="Subtotal" dataDxfId="390" totalsRowDxfId="389"/>
    <tableColumn id="2" name="OC#" dataDxfId="388" totalsRowDxfId="387"/>
    <tableColumn id="3" name="Descrição" dataDxfId="386" totalsRowDxfId="385"/>
    <tableColumn id="5" name="Valor" totalsRowFunction="sum" dataDxfId="384" totalsRowDxfId="383"/>
  </tableColumns>
  <tableStyleInfo name="TableStyleLight17" showFirstColumn="0" showLastColumn="0" showRowStripes="0" showColumnStripes="0"/>
</table>
</file>

<file path=xl/tables/table13.xml><?xml version="1.0" encoding="utf-8"?>
<table xmlns="http://schemas.openxmlformats.org/spreadsheetml/2006/main" id="14" name="Despesa33" displayName="Despesa33" ref="A20:D24" totalsRowCount="1" headerRowDxfId="382">
  <autoFilter ref="A20:D23"/>
  <tableColumns count="4">
    <tableColumn id="1" name="Data" totalsRowLabel="Subtotal" dataDxfId="381" totalsRowDxfId="380"/>
    <tableColumn id="2" name="OC#" totalsRowDxfId="379"/>
    <tableColumn id="3" name="Fornecedor/Descrição" totalsRowDxfId="378"/>
    <tableColumn id="5" name="Valor" totalsRowFunction="sum" totalsRowDxfId="377"/>
  </tableColumns>
  <tableStyleInfo name="TableStyleLight18" showFirstColumn="0" showLastColumn="0" showRowStripes="0" showColumnStripes="0"/>
</table>
</file>

<file path=xl/tables/table14.xml><?xml version="1.0" encoding="utf-8"?>
<table xmlns="http://schemas.openxmlformats.org/spreadsheetml/2006/main" id="15" name="Despesa43" displayName="Despesa43" ref="A27:D30" totalsRowCount="1" headerRowDxfId="376">
  <autoFilter ref="A27:D29"/>
  <tableColumns count="4">
    <tableColumn id="1" name="Data" totalsRowLabel="Subtotal" dataDxfId="375" totalsRowDxfId="374"/>
    <tableColumn id="2" name="OC#" totalsRowDxfId="373"/>
    <tableColumn id="3" name="Fornecedor/Descrição" totalsRowDxfId="372"/>
    <tableColumn id="5" name="Valor" totalsRowFunction="sum" totalsRowDxfId="371"/>
  </tableColumns>
  <tableStyleInfo name="TableStyleLight19" showFirstColumn="0" showLastColumn="0" showRowStripes="0" showColumnStripes="0"/>
</table>
</file>

<file path=xl/tables/table15.xml><?xml version="1.0" encoding="utf-8"?>
<table xmlns="http://schemas.openxmlformats.org/spreadsheetml/2006/main" id="16" name="Despesa53" displayName="Despesa53" ref="A33:D36" totalsRowCount="1" headerRowDxfId="370" dataDxfId="369" totalsRowDxfId="368">
  <autoFilter ref="A33:D35"/>
  <tableColumns count="4">
    <tableColumn id="1" name="Data" totalsRowLabel="Subtotal" dataDxfId="367" totalsRowDxfId="366"/>
    <tableColumn id="2" name="OC#" dataDxfId="365" totalsRowDxfId="364"/>
    <tableColumn id="3" name="Fornecedor/Descrição" dataDxfId="363" totalsRowDxfId="362"/>
    <tableColumn id="5" name="Valor" totalsRowFunction="sum" dataDxfId="361" totalsRowDxfId="360"/>
  </tableColumns>
  <tableStyleInfo name="TableStyleLight20" showFirstColumn="0" showLastColumn="0" showRowStripes="0" showColumnStripes="0"/>
</table>
</file>

<file path=xl/tables/table16.xml><?xml version="1.0" encoding="utf-8"?>
<table xmlns="http://schemas.openxmlformats.org/spreadsheetml/2006/main" id="17" name="Despesa14" displayName="Despesa14" ref="A5:D10" totalsRowCount="1" headerRowDxfId="359">
  <autoFilter ref="A5:D9"/>
  <tableColumns count="4">
    <tableColumn id="1" name="Data" totalsRowLabel="Subtotal" dataDxfId="358" totalsRowDxfId="357"/>
    <tableColumn id="2" name="OC#" totalsRowDxfId="356"/>
    <tableColumn id="3" name="Fornecedor/Descrição" totalsRowDxfId="355"/>
    <tableColumn id="5" name="Valor" totalsRowFunction="sum" totalsRowDxfId="354"/>
  </tableColumns>
  <tableStyleInfo name="TableStyleLight16" showFirstColumn="0" showLastColumn="0" showRowStripes="0" showColumnStripes="0"/>
</table>
</file>

<file path=xl/tables/table17.xml><?xml version="1.0" encoding="utf-8"?>
<table xmlns="http://schemas.openxmlformats.org/spreadsheetml/2006/main" id="18" name="Despesa24" displayName="Despesa24" ref="A13:D17" totalsRowCount="1" headerRowDxfId="353" dataDxfId="352" totalsRowDxfId="351">
  <autoFilter ref="A13:D16"/>
  <tableColumns count="4">
    <tableColumn id="1" name="Data" totalsRowLabel="Subtotal" dataDxfId="350" totalsRowDxfId="349"/>
    <tableColumn id="2" name="OC#" dataDxfId="348" totalsRowDxfId="347"/>
    <tableColumn id="3" name="Descrição" dataDxfId="346" totalsRowDxfId="345"/>
    <tableColumn id="5" name="Valor" totalsRowFunction="sum" dataDxfId="344" totalsRowDxfId="343"/>
  </tableColumns>
  <tableStyleInfo name="TableStyleLight17" showFirstColumn="0" showLastColumn="0" showRowStripes="0" showColumnStripes="0"/>
</table>
</file>

<file path=xl/tables/table18.xml><?xml version="1.0" encoding="utf-8"?>
<table xmlns="http://schemas.openxmlformats.org/spreadsheetml/2006/main" id="19" name="Despesa34" displayName="Despesa34" ref="A20:D24" totalsRowCount="1" headerRowDxfId="342">
  <autoFilter ref="A20:D23"/>
  <tableColumns count="4">
    <tableColumn id="1" name="Data" totalsRowLabel="Subtotal" dataDxfId="341" totalsRowDxfId="340"/>
    <tableColumn id="2" name="OC#" totalsRowDxfId="339"/>
    <tableColumn id="3" name="Fornecedor/Descrição" totalsRowDxfId="338"/>
    <tableColumn id="5" name="Valor" totalsRowFunction="sum" totalsRowDxfId="337"/>
  </tableColumns>
  <tableStyleInfo name="TableStyleLight18" showFirstColumn="0" showLastColumn="0" showRowStripes="0" showColumnStripes="0"/>
</table>
</file>

<file path=xl/tables/table19.xml><?xml version="1.0" encoding="utf-8"?>
<table xmlns="http://schemas.openxmlformats.org/spreadsheetml/2006/main" id="20" name="Despesa44" displayName="Despesa44" ref="A27:D30" totalsRowCount="1" headerRowDxfId="336">
  <autoFilter ref="A27:D29"/>
  <tableColumns count="4">
    <tableColumn id="1" name="Data" totalsRowLabel="Subtotal" dataDxfId="335" totalsRowDxfId="334"/>
    <tableColumn id="2" name="OC#" totalsRowDxfId="333"/>
    <tableColumn id="3" name="Fornecedor/Descrição" totalsRowDxfId="332"/>
    <tableColumn id="5" name="Valor" totalsRowFunction="sum" totalsRowDxfId="331"/>
  </tableColumns>
  <tableStyleInfo name="TableStyleLight19" showFirstColumn="0" showLastColumn="0" showRowStripes="0" showColumnStripes="0"/>
</table>
</file>

<file path=xl/tables/table20.xml><?xml version="1.0" encoding="utf-8"?>
<table xmlns="http://schemas.openxmlformats.org/spreadsheetml/2006/main" id="21" name="Despesa54" displayName="Despesa54" ref="A33:D36" totalsRowCount="1" headerRowDxfId="330" dataDxfId="329" totalsRowDxfId="328">
  <autoFilter ref="A33:D35"/>
  <tableColumns count="4">
    <tableColumn id="1" name="Data" totalsRowLabel="Subtotal" dataDxfId="327" totalsRowDxfId="326"/>
    <tableColumn id="2" name="OC#" dataDxfId="325" totalsRowDxfId="324"/>
    <tableColumn id="3" name="Fornecedor/Descrição" dataDxfId="323" totalsRowDxfId="322"/>
    <tableColumn id="5" name="Valor" totalsRowFunction="sum" dataDxfId="321" totalsRowDxfId="320"/>
  </tableColumns>
  <tableStyleInfo name="TableStyleLight20" showFirstColumn="0" showLastColumn="0" showRowStripes="0" showColumnStripes="0"/>
</table>
</file>

<file path=xl/tables/table21.xml><?xml version="1.0" encoding="utf-8"?>
<table xmlns="http://schemas.openxmlformats.org/spreadsheetml/2006/main" id="22" name="Despesa15" displayName="Despesa15" ref="A5:D10" totalsRowCount="1" headerRowDxfId="319">
  <autoFilter ref="A5:D9"/>
  <tableColumns count="4">
    <tableColumn id="1" name="Data" totalsRowLabel="Subtotal" dataDxfId="318" totalsRowDxfId="317"/>
    <tableColumn id="2" name="OC#" totalsRowDxfId="316"/>
    <tableColumn id="3" name="Fornecedor/Descrição" totalsRowDxfId="315"/>
    <tableColumn id="5" name="Valor" totalsRowFunction="sum" totalsRowDxfId="314"/>
  </tableColumns>
  <tableStyleInfo name="TableStyleLight16" showFirstColumn="0" showLastColumn="0" showRowStripes="0" showColumnStripes="0"/>
</table>
</file>

<file path=xl/tables/table22.xml><?xml version="1.0" encoding="utf-8"?>
<table xmlns="http://schemas.openxmlformats.org/spreadsheetml/2006/main" id="23" name="Despesa25" displayName="Despesa25" ref="A13:D17" totalsRowCount="1" headerRowDxfId="313" dataDxfId="312" totalsRowDxfId="311">
  <autoFilter ref="A13:D16"/>
  <tableColumns count="4">
    <tableColumn id="1" name="Data" totalsRowLabel="Subtotal" dataDxfId="310" totalsRowDxfId="309"/>
    <tableColumn id="2" name="OC#" dataDxfId="308" totalsRowDxfId="307"/>
    <tableColumn id="3" name="Descrição" dataDxfId="306" totalsRowDxfId="305"/>
    <tableColumn id="5" name="Valor" totalsRowFunction="sum" dataDxfId="304" totalsRowDxfId="303"/>
  </tableColumns>
  <tableStyleInfo name="TableStyleLight17" showFirstColumn="0" showLastColumn="0" showRowStripes="0" showColumnStripes="0"/>
</table>
</file>

<file path=xl/tables/table23.xml><?xml version="1.0" encoding="utf-8"?>
<table xmlns="http://schemas.openxmlformats.org/spreadsheetml/2006/main" id="24" name="Despesa35" displayName="Despesa35" ref="A20:D24" totalsRowCount="1" headerRowDxfId="302">
  <autoFilter ref="A20:D23"/>
  <tableColumns count="4">
    <tableColumn id="1" name="Data" totalsRowLabel="Subtotal" dataDxfId="301" totalsRowDxfId="300"/>
    <tableColumn id="2" name="OC#" totalsRowDxfId="299"/>
    <tableColumn id="3" name="Fornecedor/Descrição" totalsRowDxfId="298"/>
    <tableColumn id="5" name="Valor" totalsRowFunction="sum" totalsRowDxfId="297"/>
  </tableColumns>
  <tableStyleInfo name="TableStyleLight18" showFirstColumn="0" showLastColumn="0" showRowStripes="0" showColumnStripes="0"/>
</table>
</file>

<file path=xl/tables/table24.xml><?xml version="1.0" encoding="utf-8"?>
<table xmlns="http://schemas.openxmlformats.org/spreadsheetml/2006/main" id="25" name="Despesa45" displayName="Despesa45" ref="A27:D30" totalsRowCount="1" headerRowDxfId="296">
  <autoFilter ref="A27:D29"/>
  <tableColumns count="4">
    <tableColumn id="1" name="Data" totalsRowLabel="Subtotal" dataDxfId="295" totalsRowDxfId="294"/>
    <tableColumn id="2" name="OC#" totalsRowDxfId="293"/>
    <tableColumn id="3" name="Fornecedor/Descrição" totalsRowDxfId="292"/>
    <tableColumn id="5" name="Valor" totalsRowFunction="sum" totalsRowDxfId="291"/>
  </tableColumns>
  <tableStyleInfo name="TableStyleLight19" showFirstColumn="0" showLastColumn="0" showRowStripes="0" showColumnStripes="0"/>
</table>
</file>

<file path=xl/tables/table25.xml><?xml version="1.0" encoding="utf-8"?>
<table xmlns="http://schemas.openxmlformats.org/spreadsheetml/2006/main" id="26" name="Despesa55" displayName="Despesa55" ref="A33:D36" totalsRowCount="1" headerRowDxfId="290" dataDxfId="289" totalsRowDxfId="288">
  <autoFilter ref="A33:D35"/>
  <tableColumns count="4">
    <tableColumn id="1" name="Data" totalsRowLabel="Subtotal" dataDxfId="287" totalsRowDxfId="286"/>
    <tableColumn id="2" name="OC#" dataDxfId="285" totalsRowDxfId="284"/>
    <tableColumn id="3" name="Fornecedor/Descrição" dataDxfId="283" totalsRowDxfId="282"/>
    <tableColumn id="5" name="Valor" totalsRowFunction="sum" dataDxfId="281" totalsRowDxfId="280"/>
  </tableColumns>
  <tableStyleInfo name="TableStyleLight20" showFirstColumn="0" showLastColumn="0" showRowStripes="0" showColumnStripes="0"/>
</table>
</file>

<file path=xl/tables/table26.xml><?xml version="1.0" encoding="utf-8"?>
<table xmlns="http://schemas.openxmlformats.org/spreadsheetml/2006/main" id="27" name="Despesa16" displayName="Despesa16" ref="A5:D10" totalsRowCount="1" headerRowDxfId="279">
  <autoFilter ref="A5:D9"/>
  <tableColumns count="4">
    <tableColumn id="1" name="Data" totalsRowLabel="Subtotal" dataDxfId="278" totalsRowDxfId="277"/>
    <tableColumn id="2" name="OC#" totalsRowDxfId="276"/>
    <tableColumn id="3" name="Fornecedor/Descrição" totalsRowDxfId="275"/>
    <tableColumn id="5" name="Valor" totalsRowFunction="sum" totalsRowDxfId="274"/>
  </tableColumns>
  <tableStyleInfo name="TableStyleLight16" showFirstColumn="0" showLastColumn="0" showRowStripes="0" showColumnStripes="0"/>
</table>
</file>

<file path=xl/tables/table27.xml><?xml version="1.0" encoding="utf-8"?>
<table xmlns="http://schemas.openxmlformats.org/spreadsheetml/2006/main" id="28" name="Despesa26" displayName="Despesa26" ref="A13:D17" totalsRowCount="1" headerRowDxfId="273" dataDxfId="272" totalsRowDxfId="271">
  <autoFilter ref="A13:D16"/>
  <tableColumns count="4">
    <tableColumn id="1" name="Data" totalsRowLabel="Subtotal" dataDxfId="270" totalsRowDxfId="269"/>
    <tableColumn id="2" name="OC#" dataDxfId="268" totalsRowDxfId="267"/>
    <tableColumn id="3" name="Descrição" dataDxfId="266" totalsRowDxfId="265"/>
    <tableColumn id="5" name="Valor" totalsRowFunction="sum" dataDxfId="264" totalsRowDxfId="263"/>
  </tableColumns>
  <tableStyleInfo name="TableStyleLight17" showFirstColumn="0" showLastColumn="0" showRowStripes="0" showColumnStripes="0"/>
</table>
</file>

<file path=xl/tables/table28.xml><?xml version="1.0" encoding="utf-8"?>
<table xmlns="http://schemas.openxmlformats.org/spreadsheetml/2006/main" id="29" name="Despesa36" displayName="Despesa36" ref="A20:D24" totalsRowCount="1" headerRowDxfId="262">
  <autoFilter ref="A20:D23"/>
  <tableColumns count="4">
    <tableColumn id="1" name="Data" totalsRowLabel="Subtotal" dataDxfId="261" totalsRowDxfId="260"/>
    <tableColumn id="2" name="OC#" totalsRowDxfId="259"/>
    <tableColumn id="3" name="Fornecedor/Descrição" totalsRowDxfId="258"/>
    <tableColumn id="5" name="Valor" totalsRowFunction="sum" totalsRowDxfId="257"/>
  </tableColumns>
  <tableStyleInfo name="TableStyleLight18" showFirstColumn="0" showLastColumn="0" showRowStripes="0" showColumnStripes="0"/>
</table>
</file>

<file path=xl/tables/table29.xml><?xml version="1.0" encoding="utf-8"?>
<table xmlns="http://schemas.openxmlformats.org/spreadsheetml/2006/main" id="30" name="Despesa46" displayName="Despesa46" ref="A27:D30" totalsRowCount="1" headerRowDxfId="256">
  <autoFilter ref="A27:D29"/>
  <tableColumns count="4">
    <tableColumn id="1" name="Data" totalsRowLabel="Subtotal" dataDxfId="255" totalsRowDxfId="254"/>
    <tableColumn id="2" name="OC#" totalsRowDxfId="253"/>
    <tableColumn id="3" name="Fornecedor/Descrição" totalsRowDxfId="252"/>
    <tableColumn id="5" name="Valor" totalsRowFunction="sum" totalsRowDxfId="251"/>
  </tableColumns>
  <tableStyleInfo name="TableStyleLight19" showFirstColumn="0" showLastColumn="0" showRowStripes="0" showColumnStripes="0"/>
</table>
</file>

<file path=xl/tables/table30.xml><?xml version="1.0" encoding="utf-8"?>
<table xmlns="http://schemas.openxmlformats.org/spreadsheetml/2006/main" id="31" name="Despesa56" displayName="Despesa56" ref="A33:D36" totalsRowCount="1" headerRowDxfId="250" dataDxfId="249" totalsRowDxfId="248">
  <autoFilter ref="A33:D35"/>
  <tableColumns count="4">
    <tableColumn id="1" name="Data" totalsRowLabel="Subtotal" dataDxfId="247" totalsRowDxfId="246"/>
    <tableColumn id="2" name="OC#" dataDxfId="245" totalsRowDxfId="244"/>
    <tableColumn id="3" name="Fornecedor/Descrição" dataDxfId="243" totalsRowDxfId="242"/>
    <tableColumn id="5" name="Valor" totalsRowFunction="sum" dataDxfId="241" totalsRowDxfId="240"/>
  </tableColumns>
  <tableStyleInfo name="TableStyleLight20" showFirstColumn="0" showLastColumn="0" showRowStripes="0" showColumnStripes="0"/>
</table>
</file>

<file path=xl/tables/table31.xml><?xml version="1.0" encoding="utf-8"?>
<table xmlns="http://schemas.openxmlformats.org/spreadsheetml/2006/main" id="32" name="Despesa17" displayName="Despesa17" ref="A5:D10" totalsRowCount="1" headerRowDxfId="239">
  <autoFilter ref="A5:D9"/>
  <tableColumns count="4">
    <tableColumn id="1" name="Data" totalsRowLabel="Subtotal" dataDxfId="238" totalsRowDxfId="237"/>
    <tableColumn id="2" name="OC#" totalsRowDxfId="236"/>
    <tableColumn id="3" name="Fornecedor/Descrição" totalsRowDxfId="235"/>
    <tableColumn id="5" name="Valor" totalsRowFunction="sum" totalsRowDxfId="234"/>
  </tableColumns>
  <tableStyleInfo name="TableStyleLight16" showFirstColumn="0" showLastColumn="0" showRowStripes="0" showColumnStripes="0"/>
</table>
</file>

<file path=xl/tables/table32.xml><?xml version="1.0" encoding="utf-8"?>
<table xmlns="http://schemas.openxmlformats.org/spreadsheetml/2006/main" id="33" name="Despesa27" displayName="Despesa27" ref="A13:D17" totalsRowCount="1" headerRowDxfId="233" dataDxfId="232" totalsRowDxfId="231">
  <autoFilter ref="A13:D16"/>
  <tableColumns count="4">
    <tableColumn id="1" name="Data" totalsRowLabel="Subtotal" dataDxfId="230" totalsRowDxfId="229"/>
    <tableColumn id="2" name="OC#" dataDxfId="228" totalsRowDxfId="227"/>
    <tableColumn id="3" name="Descrição" dataDxfId="226" totalsRowDxfId="225"/>
    <tableColumn id="5" name="Valor" totalsRowFunction="sum" dataDxfId="224" totalsRowDxfId="223"/>
  </tableColumns>
  <tableStyleInfo name="TableStyleLight17" showFirstColumn="0" showLastColumn="0" showRowStripes="0" showColumnStripes="0"/>
</table>
</file>

<file path=xl/tables/table33.xml><?xml version="1.0" encoding="utf-8"?>
<table xmlns="http://schemas.openxmlformats.org/spreadsheetml/2006/main" id="34" name="Despesa37" displayName="Despesa37" ref="A20:D24" totalsRowCount="1" headerRowDxfId="222">
  <autoFilter ref="A20:D23"/>
  <tableColumns count="4">
    <tableColumn id="1" name="Data" totalsRowLabel="Subtotal" dataDxfId="221" totalsRowDxfId="220"/>
    <tableColumn id="2" name="OC#" totalsRowDxfId="219"/>
    <tableColumn id="3" name="Fornecedor/Descrição" totalsRowDxfId="218"/>
    <tableColumn id="5" name="Valor" totalsRowFunction="sum" totalsRowDxfId="217"/>
  </tableColumns>
  <tableStyleInfo name="TableStyleLight18" showFirstColumn="0" showLastColumn="0" showRowStripes="0" showColumnStripes="0"/>
</table>
</file>

<file path=xl/tables/table34.xml><?xml version="1.0" encoding="utf-8"?>
<table xmlns="http://schemas.openxmlformats.org/spreadsheetml/2006/main" id="35" name="Despesa47" displayName="Despesa47" ref="A27:D30" totalsRowCount="1" headerRowDxfId="216">
  <autoFilter ref="A27:D29"/>
  <tableColumns count="4">
    <tableColumn id="1" name="Data" totalsRowLabel="Subtotal" dataDxfId="215" totalsRowDxfId="214"/>
    <tableColumn id="2" name="OC#" totalsRowDxfId="213"/>
    <tableColumn id="3" name="Fornecedor/Descrição" totalsRowDxfId="212"/>
    <tableColumn id="5" name="Valor" totalsRowFunction="sum" totalsRowDxfId="211"/>
  </tableColumns>
  <tableStyleInfo name="TableStyleLight19" showFirstColumn="0" showLastColumn="0" showRowStripes="0" showColumnStripes="0"/>
</table>
</file>

<file path=xl/tables/table35.xml><?xml version="1.0" encoding="utf-8"?>
<table xmlns="http://schemas.openxmlformats.org/spreadsheetml/2006/main" id="36" name="Despesa57" displayName="Despesa57" ref="A33:D36" totalsRowCount="1" headerRowDxfId="210" dataDxfId="209" totalsRowDxfId="208">
  <autoFilter ref="A33:D35"/>
  <tableColumns count="4">
    <tableColumn id="1" name="Data" totalsRowLabel="Subtotal" dataDxfId="207" totalsRowDxfId="206"/>
    <tableColumn id="2" name="OC#" dataDxfId="205" totalsRowDxfId="204"/>
    <tableColumn id="3" name="Fornecedor/Descrição" dataDxfId="203" totalsRowDxfId="202"/>
    <tableColumn id="5" name="Valor" totalsRowFunction="sum" dataDxfId="201" totalsRowDxfId="200"/>
  </tableColumns>
  <tableStyleInfo name="TableStyleLight20" showFirstColumn="0" showLastColumn="0" showRowStripes="0" showColumnStripes="0"/>
</table>
</file>

<file path=xl/tables/table36.xml><?xml version="1.0" encoding="utf-8"?>
<table xmlns="http://schemas.openxmlformats.org/spreadsheetml/2006/main" id="37" name="Despesa18" displayName="Despesa18" ref="A5:D10" totalsRowCount="1" headerRowDxfId="199">
  <autoFilter ref="A5:D9"/>
  <tableColumns count="4">
    <tableColumn id="1" name="Data" totalsRowLabel="Subtotal" dataDxfId="198" totalsRowDxfId="197"/>
    <tableColumn id="2" name="OC#" totalsRowDxfId="196"/>
    <tableColumn id="3" name="Fornecedor/Descrição" totalsRowDxfId="195"/>
    <tableColumn id="5" name="Valor" totalsRowFunction="sum" totalsRowDxfId="194"/>
  </tableColumns>
  <tableStyleInfo name="TableStyleLight16" showFirstColumn="0" showLastColumn="0" showRowStripes="0" showColumnStripes="0"/>
</table>
</file>

<file path=xl/tables/table37.xml><?xml version="1.0" encoding="utf-8"?>
<table xmlns="http://schemas.openxmlformats.org/spreadsheetml/2006/main" id="38" name="Despesa28" displayName="Despesa28" ref="A13:D17" totalsRowCount="1" headerRowDxfId="193" dataDxfId="192" totalsRowDxfId="191">
  <autoFilter ref="A13:D16"/>
  <tableColumns count="4">
    <tableColumn id="1" name="Data" totalsRowLabel="Subtotal" dataDxfId="190" totalsRowDxfId="189"/>
    <tableColumn id="2" name="OC#" dataDxfId="188" totalsRowDxfId="187"/>
    <tableColumn id="3" name="Descrição" dataDxfId="186" totalsRowDxfId="185"/>
    <tableColumn id="5" name="Valor" totalsRowFunction="sum" dataDxfId="184" totalsRowDxfId="183"/>
  </tableColumns>
  <tableStyleInfo name="TableStyleLight17" showFirstColumn="0" showLastColumn="0" showRowStripes="0" showColumnStripes="0"/>
</table>
</file>

<file path=xl/tables/table38.xml><?xml version="1.0" encoding="utf-8"?>
<table xmlns="http://schemas.openxmlformats.org/spreadsheetml/2006/main" id="39" name="Despesa38" displayName="Despesa38" ref="A20:D24" totalsRowCount="1" headerRowDxfId="182">
  <autoFilter ref="A20:D23"/>
  <tableColumns count="4">
    <tableColumn id="1" name="Data" totalsRowLabel="Subtotal" dataDxfId="181" totalsRowDxfId="180"/>
    <tableColumn id="2" name="OC#" totalsRowDxfId="179"/>
    <tableColumn id="3" name="Fornecedor/Descrição" totalsRowDxfId="178"/>
    <tableColumn id="5" name="Valor" totalsRowFunction="sum" totalsRowDxfId="177"/>
  </tableColumns>
  <tableStyleInfo name="TableStyleLight18" showFirstColumn="0" showLastColumn="0" showRowStripes="0" showColumnStripes="0"/>
</table>
</file>

<file path=xl/tables/table39.xml><?xml version="1.0" encoding="utf-8"?>
<table xmlns="http://schemas.openxmlformats.org/spreadsheetml/2006/main" id="40" name="Despesa48" displayName="Despesa48" ref="A27:D30" totalsRowCount="1" headerRowDxfId="176">
  <autoFilter ref="A27:D29"/>
  <tableColumns count="4">
    <tableColumn id="1" name="Data" totalsRowLabel="Subtotal" dataDxfId="175" totalsRowDxfId="174"/>
    <tableColumn id="2" name="OC#" totalsRowDxfId="173"/>
    <tableColumn id="3" name="Fornecedor/Descrição" totalsRowDxfId="172"/>
    <tableColumn id="5" name="Valor" totalsRowFunction="sum" totalsRowDxfId="171"/>
  </tableColumns>
  <tableStyleInfo name="TableStyleLight19" showFirstColumn="0" showLastColumn="0" showRowStripes="0" showColumnStripes="0"/>
</table>
</file>

<file path=xl/tables/table40.xml><?xml version="1.0" encoding="utf-8"?>
<table xmlns="http://schemas.openxmlformats.org/spreadsheetml/2006/main" id="41" name="Despesa58" displayName="Despesa58" ref="A33:D36" totalsRowCount="1" headerRowDxfId="170" dataDxfId="169" totalsRowDxfId="168">
  <autoFilter ref="A33:D35"/>
  <tableColumns count="4">
    <tableColumn id="1" name="Data" totalsRowLabel="Subtotal" dataDxfId="167" totalsRowDxfId="166"/>
    <tableColumn id="2" name="OC#" dataDxfId="165" totalsRowDxfId="164"/>
    <tableColumn id="3" name="Fornecedor/Descrição" dataDxfId="163" totalsRowDxfId="162"/>
    <tableColumn id="5" name="Valor" totalsRowFunction="sum" dataDxfId="161" totalsRowDxfId="160"/>
  </tableColumns>
  <tableStyleInfo name="TableStyleLight20" showFirstColumn="0" showLastColumn="0" showRowStripes="0" showColumnStripes="0"/>
</table>
</file>

<file path=xl/tables/table41.xml><?xml version="1.0" encoding="utf-8"?>
<table xmlns="http://schemas.openxmlformats.org/spreadsheetml/2006/main" id="42" name="Despesa19" displayName="Despesa19" ref="A5:D10" totalsRowCount="1" headerRowDxfId="159">
  <autoFilter ref="A5:D9"/>
  <tableColumns count="4">
    <tableColumn id="1" name="Data" totalsRowLabel="Subtotal" dataDxfId="158" totalsRowDxfId="157"/>
    <tableColumn id="2" name="OC#" totalsRowDxfId="156"/>
    <tableColumn id="3" name="Fornecedor/Descrição" totalsRowDxfId="155"/>
    <tableColumn id="5" name="Valor" totalsRowFunction="sum" totalsRowDxfId="154"/>
  </tableColumns>
  <tableStyleInfo name="TableStyleLight16" showFirstColumn="0" showLastColumn="0" showRowStripes="0" showColumnStripes="0"/>
</table>
</file>

<file path=xl/tables/table42.xml><?xml version="1.0" encoding="utf-8"?>
<table xmlns="http://schemas.openxmlformats.org/spreadsheetml/2006/main" id="43" name="Despesa29" displayName="Despesa29" ref="A13:D17" totalsRowCount="1" headerRowDxfId="153" dataDxfId="152" totalsRowDxfId="151">
  <autoFilter ref="A13:D16"/>
  <tableColumns count="4">
    <tableColumn id="1" name="Data" totalsRowLabel="Subtotal" dataDxfId="150" totalsRowDxfId="149"/>
    <tableColumn id="2" name="OC#" dataDxfId="148" totalsRowDxfId="147"/>
    <tableColumn id="3" name="Descrição" dataDxfId="146" totalsRowDxfId="145"/>
    <tableColumn id="5" name="Valor" totalsRowFunction="sum" dataDxfId="144" totalsRowDxfId="143"/>
  </tableColumns>
  <tableStyleInfo name="TableStyleLight17" showFirstColumn="0" showLastColumn="0" showRowStripes="0" showColumnStripes="0"/>
</table>
</file>

<file path=xl/tables/table43.xml><?xml version="1.0" encoding="utf-8"?>
<table xmlns="http://schemas.openxmlformats.org/spreadsheetml/2006/main" id="44" name="Despesa39" displayName="Despesa39" ref="A20:D24" totalsRowCount="1" headerRowDxfId="142">
  <autoFilter ref="A20:D23"/>
  <tableColumns count="4">
    <tableColumn id="1" name="Data" totalsRowLabel="Subtotal" dataDxfId="141" totalsRowDxfId="140"/>
    <tableColumn id="2" name="OC#" totalsRowDxfId="139"/>
    <tableColumn id="3" name="Fornecedor/Descrição" totalsRowDxfId="138"/>
    <tableColumn id="5" name="Valor" totalsRowFunction="sum" totalsRowDxfId="137"/>
  </tableColumns>
  <tableStyleInfo name="TableStyleLight18" showFirstColumn="0" showLastColumn="0" showRowStripes="0" showColumnStripes="0"/>
</table>
</file>

<file path=xl/tables/table44.xml><?xml version="1.0" encoding="utf-8"?>
<table xmlns="http://schemas.openxmlformats.org/spreadsheetml/2006/main" id="45" name="Despesa49" displayName="Despesa49" ref="A27:D30" totalsRowCount="1" headerRowDxfId="136">
  <autoFilter ref="A27:D29"/>
  <tableColumns count="4">
    <tableColumn id="1" name="Data" totalsRowLabel="Subtotal" dataDxfId="135" totalsRowDxfId="134"/>
    <tableColumn id="2" name="OC#" totalsRowDxfId="133"/>
    <tableColumn id="3" name="Fornecedor/Descrição" totalsRowDxfId="132"/>
    <tableColumn id="5" name="Valor" totalsRowFunction="sum" totalsRowDxfId="131"/>
  </tableColumns>
  <tableStyleInfo name="TableStyleLight19" showFirstColumn="0" showLastColumn="0" showRowStripes="0" showColumnStripes="0"/>
</table>
</file>

<file path=xl/tables/table45.xml><?xml version="1.0" encoding="utf-8"?>
<table xmlns="http://schemas.openxmlformats.org/spreadsheetml/2006/main" id="46" name="Despesa59" displayName="Despesa59" ref="A33:D36" totalsRowCount="1" headerRowDxfId="130" dataDxfId="129" totalsRowDxfId="128">
  <autoFilter ref="A33:D35"/>
  <tableColumns count="4">
    <tableColumn id="1" name="Data" totalsRowLabel="Subtotal" dataDxfId="127" totalsRowDxfId="126"/>
    <tableColumn id="2" name="OC#" dataDxfId="125" totalsRowDxfId="124"/>
    <tableColumn id="3" name="Fornecedor/Descrição" dataDxfId="123" totalsRowDxfId="122"/>
    <tableColumn id="5" name="Valor" totalsRowFunction="sum" dataDxfId="121" totalsRowDxfId="120"/>
  </tableColumns>
  <tableStyleInfo name="TableStyleLight20" showFirstColumn="0" showLastColumn="0" showRowStripes="0" showColumnStripes="0"/>
</table>
</file>

<file path=xl/tables/table46.xml><?xml version="1.0" encoding="utf-8"?>
<table xmlns="http://schemas.openxmlformats.org/spreadsheetml/2006/main" id="47" name="Despesa110" displayName="Despesa110" ref="A5:D10" totalsRowCount="1" headerRowDxfId="119">
  <autoFilter ref="A5:D9"/>
  <tableColumns count="4">
    <tableColumn id="1" name="Data" totalsRowLabel="Subtotal" dataDxfId="118" totalsRowDxfId="117"/>
    <tableColumn id="2" name="OC#" totalsRowDxfId="116"/>
    <tableColumn id="3" name="Fornecedor/Descrição" totalsRowDxfId="115"/>
    <tableColumn id="5" name="Valor" totalsRowFunction="sum" totalsRowDxfId="114"/>
  </tableColumns>
  <tableStyleInfo name="TableStyleLight16" showFirstColumn="0" showLastColumn="0" showRowStripes="0" showColumnStripes="0"/>
</table>
</file>

<file path=xl/tables/table47.xml><?xml version="1.0" encoding="utf-8"?>
<table xmlns="http://schemas.openxmlformats.org/spreadsheetml/2006/main" id="48" name="Despesa210" displayName="Despesa210" ref="A13:D17" totalsRowCount="1" headerRowDxfId="113" dataDxfId="112" totalsRowDxfId="111">
  <autoFilter ref="A13:D16"/>
  <tableColumns count="4">
    <tableColumn id="1" name="Data" totalsRowLabel="Subtotal" dataDxfId="110" totalsRowDxfId="109"/>
    <tableColumn id="2" name="OC#" dataDxfId="108" totalsRowDxfId="107"/>
    <tableColumn id="3" name="Descrição" dataDxfId="106" totalsRowDxfId="105"/>
    <tableColumn id="5" name="Valor" totalsRowFunction="sum" dataDxfId="104" totalsRowDxfId="103"/>
  </tableColumns>
  <tableStyleInfo name="TableStyleLight17" showFirstColumn="0" showLastColumn="0" showRowStripes="0" showColumnStripes="0"/>
</table>
</file>

<file path=xl/tables/table48.xml><?xml version="1.0" encoding="utf-8"?>
<table xmlns="http://schemas.openxmlformats.org/spreadsheetml/2006/main" id="49" name="Despesa310" displayName="Despesa310" ref="A20:D24" totalsRowCount="1" headerRowDxfId="102">
  <autoFilter ref="A20:D23"/>
  <tableColumns count="4">
    <tableColumn id="1" name="Data" totalsRowLabel="Subtotal" dataDxfId="101" totalsRowDxfId="100"/>
    <tableColumn id="2" name="OC#" totalsRowDxfId="99"/>
    <tableColumn id="3" name="Fornecedor/Descrição" totalsRowDxfId="98"/>
    <tableColumn id="5" name="Valor" totalsRowFunction="sum" totalsRowDxfId="97"/>
  </tableColumns>
  <tableStyleInfo name="TableStyleLight18" showFirstColumn="0" showLastColumn="0" showRowStripes="0" showColumnStripes="0"/>
</table>
</file>

<file path=xl/tables/table49.xml><?xml version="1.0" encoding="utf-8"?>
<table xmlns="http://schemas.openxmlformats.org/spreadsheetml/2006/main" id="50" name="Despesa410" displayName="Despesa410" ref="A27:D30" totalsRowCount="1" headerRowDxfId="96">
  <autoFilter ref="A27:D29"/>
  <tableColumns count="4">
    <tableColumn id="1" name="Data" totalsRowLabel="Subtotal" dataDxfId="95" totalsRowDxfId="94"/>
    <tableColumn id="2" name="OC#" totalsRowDxfId="93"/>
    <tableColumn id="3" name="Fornecedor/Descrição" totalsRowDxfId="92"/>
    <tableColumn id="5" name="Valor" totalsRowFunction="sum" totalsRowDxfId="91"/>
  </tableColumns>
  <tableStyleInfo name="TableStyleLight19" showFirstColumn="0" showLastColumn="0" showRowStripes="0" showColumnStripes="0"/>
</table>
</file>

<file path=xl/tables/table50.xml><?xml version="1.0" encoding="utf-8"?>
<table xmlns="http://schemas.openxmlformats.org/spreadsheetml/2006/main" id="51" name="Despesa510" displayName="Despesa510" ref="A33:D36" totalsRowCount="1" headerRowDxfId="90" dataDxfId="89" totalsRowDxfId="88">
  <autoFilter ref="A33:D35"/>
  <tableColumns count="4">
    <tableColumn id="1" name="Data" totalsRowLabel="Subtotal" dataDxfId="87" totalsRowDxfId="86"/>
    <tableColumn id="2" name="OC#" dataDxfId="85" totalsRowDxfId="84"/>
    <tableColumn id="3" name="Fornecedor/Descrição" dataDxfId="83" totalsRowDxfId="82"/>
    <tableColumn id="5" name="Valor" totalsRowFunction="sum" dataDxfId="81" totalsRowDxfId="80"/>
  </tableColumns>
  <tableStyleInfo name="TableStyleLight20" showFirstColumn="0" showLastColumn="0" showRowStripes="0" showColumnStripes="0"/>
</table>
</file>

<file path=xl/tables/table51.xml><?xml version="1.0" encoding="utf-8"?>
<table xmlns="http://schemas.openxmlformats.org/spreadsheetml/2006/main" id="52" name="Despesa111" displayName="Despesa111" ref="A5:D10" totalsRowCount="1" headerRowDxfId="79">
  <autoFilter ref="A5:D9"/>
  <tableColumns count="4">
    <tableColumn id="1" name="Data" totalsRowLabel="Subtotal" dataDxfId="78" totalsRowDxfId="77"/>
    <tableColumn id="2" name="OC#" totalsRowDxfId="76"/>
    <tableColumn id="3" name="Fornecedor/Descrição" totalsRowDxfId="75"/>
    <tableColumn id="5" name="Valor" totalsRowFunction="sum" totalsRowDxfId="74"/>
  </tableColumns>
  <tableStyleInfo name="TableStyleLight16" showFirstColumn="0" showLastColumn="0" showRowStripes="0" showColumnStripes="0"/>
</table>
</file>

<file path=xl/tables/table52.xml><?xml version="1.0" encoding="utf-8"?>
<table xmlns="http://schemas.openxmlformats.org/spreadsheetml/2006/main" id="53" name="Despesa211" displayName="Despesa211" ref="A13:D17" totalsRowCount="1" headerRowDxfId="73" dataDxfId="72" totalsRowDxfId="71">
  <autoFilter ref="A13:D16"/>
  <tableColumns count="4">
    <tableColumn id="1" name="Data" totalsRowLabel="Subtotal" dataDxfId="70" totalsRowDxfId="69"/>
    <tableColumn id="2" name="OC#" dataDxfId="68" totalsRowDxfId="67"/>
    <tableColumn id="3" name="Descrição" dataDxfId="66" totalsRowDxfId="65"/>
    <tableColumn id="5" name="Valor" totalsRowFunction="sum" dataDxfId="64" totalsRowDxfId="63"/>
  </tableColumns>
  <tableStyleInfo name="TableStyleLight17" showFirstColumn="0" showLastColumn="0" showRowStripes="0" showColumnStripes="0"/>
</table>
</file>

<file path=xl/tables/table53.xml><?xml version="1.0" encoding="utf-8"?>
<table xmlns="http://schemas.openxmlformats.org/spreadsheetml/2006/main" id="54" name="Despesa311" displayName="Despesa311" ref="A20:D24" totalsRowCount="1" headerRowDxfId="62">
  <autoFilter ref="A20:D23"/>
  <tableColumns count="4">
    <tableColumn id="1" name="Data" totalsRowLabel="Subtotal" dataDxfId="61" totalsRowDxfId="60"/>
    <tableColumn id="2" name="OC#" totalsRowDxfId="59"/>
    <tableColumn id="3" name="Fornecedor/Descrição" totalsRowDxfId="58"/>
    <tableColumn id="5" name="Valor" totalsRowFunction="sum" totalsRowDxfId="57"/>
  </tableColumns>
  <tableStyleInfo name="TableStyleLight18" showFirstColumn="0" showLastColumn="0" showRowStripes="0" showColumnStripes="0"/>
</table>
</file>

<file path=xl/tables/table54.xml><?xml version="1.0" encoding="utf-8"?>
<table xmlns="http://schemas.openxmlformats.org/spreadsheetml/2006/main" id="55" name="Despesa411" displayName="Despesa411" ref="A27:D30" totalsRowCount="1" headerRowDxfId="56">
  <autoFilter ref="A27:D29"/>
  <tableColumns count="4">
    <tableColumn id="1" name="Data" totalsRowLabel="Subtotal" dataDxfId="55" totalsRowDxfId="54"/>
    <tableColumn id="2" name="OC#" totalsRowDxfId="53"/>
    <tableColumn id="3" name="Fornecedor/Descrição" totalsRowDxfId="52"/>
    <tableColumn id="5" name="Valor" totalsRowFunction="sum" totalsRowDxfId="51"/>
  </tableColumns>
  <tableStyleInfo name="TableStyleLight19" showFirstColumn="0" showLastColumn="0" showRowStripes="0" showColumnStripes="0"/>
</table>
</file>

<file path=xl/tables/table55.xml><?xml version="1.0" encoding="utf-8"?>
<table xmlns="http://schemas.openxmlformats.org/spreadsheetml/2006/main" id="56" name="Despesa511" displayName="Despesa511" ref="A33:D36" totalsRowCount="1" headerRowDxfId="50" dataDxfId="49" totalsRowDxfId="48">
  <autoFilter ref="A33:D35"/>
  <tableColumns count="4">
    <tableColumn id="1" name="Data" totalsRowLabel="Subtotal" dataDxfId="47" totalsRowDxfId="46"/>
    <tableColumn id="2" name="OC#" dataDxfId="45" totalsRowDxfId="44"/>
    <tableColumn id="3" name="Fornecedor/Descrição" dataDxfId="43" totalsRowDxfId="42"/>
    <tableColumn id="5" name="Valor" totalsRowFunction="sum" dataDxfId="41" totalsRowDxfId="40"/>
  </tableColumns>
  <tableStyleInfo name="TableStyleLight20" showFirstColumn="0" showLastColumn="0" showRowStripes="0" showColumnStripes="0"/>
</table>
</file>

<file path=xl/tables/table56.xml><?xml version="1.0" encoding="utf-8"?>
<table xmlns="http://schemas.openxmlformats.org/spreadsheetml/2006/main" id="57" name="Despesa112" displayName="Despesa112" ref="A5:D10" totalsRowCount="1" headerRowDxfId="39">
  <autoFilter ref="A5:D9"/>
  <tableColumns count="4">
    <tableColumn id="1" name="Data" totalsRowLabel="Subtotal" dataDxfId="38" totalsRowDxfId="37"/>
    <tableColumn id="2" name="OC#" totalsRowDxfId="36"/>
    <tableColumn id="3" name="Fornecedor/Descrição" totalsRowDxfId="35"/>
    <tableColumn id="5" name="Valor" totalsRowFunction="sum" totalsRowDxfId="34"/>
  </tableColumns>
  <tableStyleInfo name="TableStyleLight16" showFirstColumn="0" showLastColumn="0" showRowStripes="0" showColumnStripes="0"/>
</table>
</file>

<file path=xl/tables/table57.xml><?xml version="1.0" encoding="utf-8"?>
<table xmlns="http://schemas.openxmlformats.org/spreadsheetml/2006/main" id="58" name="Despesa212" displayName="Despesa212" ref="A13:D17" totalsRowCount="1" headerRowDxfId="33" dataDxfId="32" totalsRowDxfId="31">
  <autoFilter ref="A13:D16"/>
  <tableColumns count="4">
    <tableColumn id="1" name="Data" totalsRowLabel="Subtotal" dataDxfId="30" totalsRowDxfId="29"/>
    <tableColumn id="2" name="OC#" dataDxfId="28" totalsRowDxfId="27"/>
    <tableColumn id="3" name="Descrição" dataDxfId="26" totalsRowDxfId="25"/>
    <tableColumn id="5" name="Valor" totalsRowFunction="sum" dataDxfId="24" totalsRowDxfId="23"/>
  </tableColumns>
  <tableStyleInfo name="TableStyleLight17" showFirstColumn="0" showLastColumn="0" showRowStripes="0" showColumnStripes="0"/>
</table>
</file>

<file path=xl/tables/table58.xml><?xml version="1.0" encoding="utf-8"?>
<table xmlns="http://schemas.openxmlformats.org/spreadsheetml/2006/main" id="59" name="Despesa312" displayName="Despesa312" ref="A20:D24" totalsRowCount="1" headerRowDxfId="22">
  <autoFilter ref="A20:D23"/>
  <tableColumns count="4">
    <tableColumn id="1" name="Data" totalsRowLabel="Subtotal" dataDxfId="21" totalsRowDxfId="20"/>
    <tableColumn id="2" name="OC#" totalsRowDxfId="19"/>
    <tableColumn id="3" name="Fornecedor/Descrição" totalsRowDxfId="18"/>
    <tableColumn id="5" name="Valor" totalsRowFunction="sum" totalsRowDxfId="17"/>
  </tableColumns>
  <tableStyleInfo name="TableStyleLight18" showFirstColumn="0" showLastColumn="0" showRowStripes="0" showColumnStripes="0"/>
</table>
</file>

<file path=xl/tables/table59.xml><?xml version="1.0" encoding="utf-8"?>
<table xmlns="http://schemas.openxmlformats.org/spreadsheetml/2006/main" id="60" name="Despesa412" displayName="Despesa412" ref="A27:D30" totalsRowCount="1" headerRowDxfId="16">
  <autoFilter ref="A27:D29"/>
  <tableColumns count="4">
    <tableColumn id="1" name="Data" totalsRowLabel="Subtotal" dataDxfId="15" totalsRowDxfId="14"/>
    <tableColumn id="2" name="OC#" totalsRowDxfId="13"/>
    <tableColumn id="3" name="Fornecedor/Descrição" totalsRowDxfId="12"/>
    <tableColumn id="5" name="Valor" totalsRowFunction="sum" totalsRowDxfId="11"/>
  </tableColumns>
  <tableStyleInfo name="TableStyleLight19" showFirstColumn="0" showLastColumn="0" showRowStripes="0" showColumnStripes="0"/>
</table>
</file>

<file path=xl/tables/table60.xml><?xml version="1.0" encoding="utf-8"?>
<table xmlns="http://schemas.openxmlformats.org/spreadsheetml/2006/main" id="61" name="Despesa512" displayName="Despesa512" ref="A33:D36" totalsRowCount="1" headerRowDxfId="10" dataDxfId="9" totalsRowDxfId="8">
  <autoFilter ref="A33:D35"/>
  <tableColumns count="4">
    <tableColumn id="1" name="Data" totalsRowLabel="Subtotal" dataDxfId="7" totalsRowDxfId="6"/>
    <tableColumn id="2" name="OC#" dataDxfId="5" totalsRowDxfId="4"/>
    <tableColumn id="3" name="Fornecedor/Descrição" dataDxfId="3" totalsRowDxfId="2"/>
    <tableColumn id="5" name="Valor" totalsRowFunction="sum" dataDxfId="1" totalsRowDxfId="0"/>
  </tableColumns>
  <tableStyleInfo name="TableStyleLight20" showFirstColumn="0" showLastColumn="0" showRowStripes="0" showColumnStripes="0"/>
</table>
</file>

<file path=xl/theme/theme1.xml><?xml version="1.0" encoding="utf-8"?>
<a:theme xmlns:a="http://schemas.openxmlformats.org/drawingml/2006/main" name="Technic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C8C3"/>
      </a:hlink>
      <a:folHlink>
        <a:srgbClr val="A116E0"/>
      </a:folHlink>
    </a:clrScheme>
    <a:fontScheme name="Technic">
      <a:majorFont>
        <a:latin typeface="Franklin Gothic Book"/>
        <a:ea typeface=""/>
        <a:cs typeface=""/>
        <a:font script="Jpan" typeface="ＭＳ Ｐゴシック"/>
        <a:font script="Hang" typeface="HY견고딕"/>
        <a:font script="Hans" typeface="宋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HGｺﾞｼｯｸM"/>
        <a:font script="Hang" typeface="HY중고딕"/>
        <a:font script="Hans" typeface="黑体"/>
        <a:font script="Hant" typeface="微軟正黑體"/>
        <a:font script="Arab" typeface="Tahoma"/>
        <a:font script="Hebr" typeface="Levenim MT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Technic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</a:schemeClr>
            </a:gs>
            <a:gs pos="68000">
              <a:schemeClr val="phClr">
                <a:tint val="77000"/>
              </a:schemeClr>
            </a:gs>
            <a:gs pos="81000">
              <a:schemeClr val="phClr">
                <a:tint val="79000"/>
              </a:schemeClr>
            </a:gs>
            <a:gs pos="86000">
              <a:schemeClr val="phClr">
                <a:tint val="73000"/>
              </a:schemeClr>
            </a:gs>
            <a:gs pos="100000">
              <a:schemeClr val="phClr">
                <a:tint val="3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3000"/>
                <a:satMod val="150000"/>
              </a:schemeClr>
            </a:gs>
            <a:gs pos="25000">
              <a:schemeClr val="phClr">
                <a:tint val="96000"/>
                <a:shade val="80000"/>
                <a:satMod val="105000"/>
              </a:schemeClr>
            </a:gs>
            <a:gs pos="38000">
              <a:schemeClr val="phClr">
                <a:tint val="96000"/>
                <a:shade val="59000"/>
                <a:satMod val="120000"/>
              </a:schemeClr>
            </a:gs>
            <a:gs pos="55000">
              <a:schemeClr val="phClr">
                <a:shade val="57000"/>
                <a:satMod val="120000"/>
              </a:schemeClr>
            </a:gs>
            <a:gs pos="80000">
              <a:schemeClr val="phClr">
                <a:shade val="56000"/>
                <a:satMod val="145000"/>
              </a:schemeClr>
            </a:gs>
            <a:gs pos="88000">
              <a:schemeClr val="phClr">
                <a:shade val="63000"/>
                <a:satMod val="160000"/>
              </a:schemeClr>
            </a:gs>
            <a:gs pos="100000">
              <a:schemeClr val="phClr">
                <a:tint val="99555"/>
                <a:satMod val="155000"/>
              </a:schemeClr>
            </a:gs>
          </a:gsLst>
          <a:lin ang="5400000" scaled="1"/>
        </a:gradFill>
      </a:fillStyleLst>
      <a:lnStyleLst>
        <a:ln w="9525" cap="flat" cmpd="sng" algn="ctr">
          <a:solidFill>
            <a:schemeClr val="phClr">
              <a:shade val="60000"/>
              <a:satMod val="300000"/>
            </a:schemeClr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00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62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  <a:scene3d>
            <a:camera prst="orthographicFront" fov="0">
              <a:rot lat="0" lon="0" rev="0"/>
            </a:camera>
            <a:lightRig rig="harsh" dir="t">
              <a:rot lat="6000000" lon="6000000" rev="0"/>
            </a:lightRig>
          </a:scene3d>
          <a:sp3d contourW="10000" prstMaterial="metal">
            <a:bevelT w="20000" h="9000" prst="softRound"/>
            <a:contourClr>
              <a:schemeClr val="phClr">
                <a:shade val="30000"/>
                <a:satMod val="2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50000"/>
              </a:schemeClr>
            </a:gs>
            <a:gs pos="30000">
              <a:schemeClr val="phClr">
                <a:shade val="60000"/>
                <a:satMod val="150000"/>
              </a:schemeClr>
            </a:gs>
            <a:gs pos="100000">
              <a:schemeClr val="phClr">
                <a:tint val="83000"/>
                <a:satMod val="200000"/>
              </a:schemeClr>
            </a:gs>
          </a:gsLst>
          <a:lin ang="13000000" scaled="0"/>
        </a:gradFill>
        <a:gradFill rotWithShape="1">
          <a:gsLst>
            <a:gs pos="0">
              <a:schemeClr val="phClr">
                <a:tint val="78000"/>
                <a:satMod val="220000"/>
              </a:schemeClr>
            </a:gs>
            <a:gs pos="100000">
              <a:schemeClr val="phClr">
                <a:shade val="35000"/>
                <a:satMod val="155000"/>
              </a:schemeClr>
            </a:gs>
          </a:gsLst>
          <a:path path="circle">
            <a:fillToRect l="60000" t="50000" r="4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9"/>
  <sheetViews>
    <sheetView tabSelected="1" zoomScale="80" zoomScaleNormal="80" workbookViewId="0">
      <selection activeCell="K2" sqref="K2"/>
    </sheetView>
  </sheetViews>
  <sheetFormatPr defaultRowHeight="14.25" x14ac:dyDescent="0.2"/>
  <cols>
    <col min="1" max="1" width="10.875" customWidth="1"/>
    <col min="2" max="6" width="13.75" customWidth="1"/>
    <col min="7" max="7" width="9.875" customWidth="1"/>
  </cols>
  <sheetData>
    <row r="1" spans="1:7" s="40" customFormat="1" ht="34.5" customHeight="1" x14ac:dyDescent="0.2">
      <c r="A1" s="53" t="s">
        <v>10</v>
      </c>
      <c r="B1" s="53"/>
      <c r="C1" s="53"/>
      <c r="D1" s="53"/>
      <c r="E1" s="53"/>
      <c r="F1" s="53"/>
    </row>
    <row r="2" spans="1:7" ht="117" customHeight="1" thickBot="1" x14ac:dyDescent="0.3">
      <c r="A2" s="18" t="s">
        <v>16</v>
      </c>
      <c r="B2" s="19" t="s">
        <v>11</v>
      </c>
      <c r="C2" s="20" t="s">
        <v>12</v>
      </c>
      <c r="D2" s="21" t="s">
        <v>13</v>
      </c>
      <c r="E2" s="22" t="s">
        <v>14</v>
      </c>
      <c r="F2" s="23" t="s">
        <v>15</v>
      </c>
      <c r="G2" s="7"/>
    </row>
    <row r="3" spans="1:7" ht="19.5" customHeight="1" x14ac:dyDescent="0.25">
      <c r="A3" s="24" t="s">
        <v>3</v>
      </c>
      <c r="B3" s="28">
        <f>SUBTOTAL(109,Despesa11[Valor])</f>
        <v>100</v>
      </c>
      <c r="C3" s="28">
        <f>SUBTOTAL(109,Despesa21[Valor])</f>
        <v>200</v>
      </c>
      <c r="D3" s="28">
        <f>SUBTOTAL(109,Despesa31[Valor])</f>
        <v>300</v>
      </c>
      <c r="E3" s="28">
        <f>SUBTOTAL(109,Despesa41[Valor])</f>
        <v>400</v>
      </c>
      <c r="F3" s="34">
        <f>SUBTOTAL(109,Despesa51[Valor])</f>
        <v>500</v>
      </c>
      <c r="G3" s="8"/>
    </row>
    <row r="4" spans="1:7" ht="19.5" customHeight="1" x14ac:dyDescent="0.25">
      <c r="A4" s="18" t="s">
        <v>17</v>
      </c>
      <c r="B4" s="29">
        <f>SUBTOTAL(109,Despesa12[Valor])</f>
        <v>200</v>
      </c>
      <c r="C4" s="29">
        <f>SUBTOTAL(109,Despesa22[Valor])</f>
        <v>200</v>
      </c>
      <c r="D4" s="29">
        <f>SUBTOTAL(109,Despesa32[Valor])</f>
        <v>300</v>
      </c>
      <c r="E4" s="29">
        <f>SUBTOTAL(109,Despesa42[Valor])</f>
        <v>400</v>
      </c>
      <c r="F4" s="35">
        <f>SUBTOTAL(109,Despesa52[Valor])</f>
        <v>500</v>
      </c>
      <c r="G4" s="8"/>
    </row>
    <row r="5" spans="1:7" ht="19.5" customHeight="1" x14ac:dyDescent="0.25">
      <c r="A5" s="18" t="s">
        <v>4</v>
      </c>
      <c r="B5" s="29">
        <f>SUBTOTAL(109,Despesa13[Valor])</f>
        <v>300</v>
      </c>
      <c r="C5" s="29">
        <f>SUBTOTAL(109,Despesa23[Valor])</f>
        <v>200</v>
      </c>
      <c r="D5" s="29">
        <f>SUBTOTAL(109,Despesa33[Valor])</f>
        <v>300</v>
      </c>
      <c r="E5" s="29">
        <f>SUBTOTAL(109,Despesa43[Valor])</f>
        <v>400</v>
      </c>
      <c r="F5" s="35">
        <f>SUBTOTAL(109,Despesa53[Valor])</f>
        <v>500</v>
      </c>
      <c r="G5" s="8"/>
    </row>
    <row r="6" spans="1:7" ht="19.5" customHeight="1" x14ac:dyDescent="0.25">
      <c r="A6" s="18" t="s">
        <v>18</v>
      </c>
      <c r="B6" s="29">
        <f>SUBTOTAL(109,Despesa14[Valor])</f>
        <v>400</v>
      </c>
      <c r="C6" s="29">
        <f>SUBTOTAL(109,Despesa24[Valor])</f>
        <v>200</v>
      </c>
      <c r="D6" s="29">
        <f>SUBTOTAL(109,Despesa34[Valor])</f>
        <v>300</v>
      </c>
      <c r="E6" s="29">
        <f>SUBTOTAL(109,Despesa44[Valor])</f>
        <v>400</v>
      </c>
      <c r="F6" s="35">
        <f>SUBTOTAL(109,Despesa54[Valor])</f>
        <v>500</v>
      </c>
      <c r="G6" s="8"/>
    </row>
    <row r="7" spans="1:7" ht="19.5" customHeight="1" x14ac:dyDescent="0.25">
      <c r="A7" s="18" t="s">
        <v>19</v>
      </c>
      <c r="B7" s="29">
        <f>SUBTOTAL(109,Despesa15[Valor])</f>
        <v>500</v>
      </c>
      <c r="C7" s="29">
        <f>SUBTOTAL(109,Despesa25[Valor])</f>
        <v>200</v>
      </c>
      <c r="D7" s="29">
        <f>SUBTOTAL(109,Despesa35[Valor])</f>
        <v>300</v>
      </c>
      <c r="E7" s="29">
        <f>SUBTOTAL(109,Despesa45[Valor])</f>
        <v>400</v>
      </c>
      <c r="F7" s="35">
        <f>SUBTOTAL(109,Despesa55[Valor])</f>
        <v>500</v>
      </c>
      <c r="G7" s="8"/>
    </row>
    <row r="8" spans="1:7" ht="19.5" customHeight="1" x14ac:dyDescent="0.25">
      <c r="A8" s="18" t="s">
        <v>5</v>
      </c>
      <c r="B8" s="29">
        <f>SUBTOTAL(109,Despesa16[Valor])</f>
        <v>600</v>
      </c>
      <c r="C8" s="29">
        <f>SUBTOTAL(109,Despesa26[Valor])</f>
        <v>200</v>
      </c>
      <c r="D8" s="29">
        <f>SUBTOTAL(109,Despesa36[Valor])</f>
        <v>300</v>
      </c>
      <c r="E8" s="29">
        <f>SUBTOTAL(109,Despesa46[Valor])</f>
        <v>400</v>
      </c>
      <c r="F8" s="35">
        <f>SUBTOTAL(109,Despesa56[Valor])</f>
        <v>500</v>
      </c>
      <c r="G8" s="8"/>
    </row>
    <row r="9" spans="1:7" ht="19.5" customHeight="1" x14ac:dyDescent="0.25">
      <c r="A9" s="18" t="s">
        <v>6</v>
      </c>
      <c r="B9" s="29">
        <f>SUBTOTAL(109,Despesa17[Valor])</f>
        <v>700</v>
      </c>
      <c r="C9" s="29">
        <f>SUBTOTAL(109,Despesa27[Valor])</f>
        <v>200</v>
      </c>
      <c r="D9" s="29">
        <f>SUBTOTAL(109,Despesa37[Valor])</f>
        <v>300</v>
      </c>
      <c r="E9" s="29">
        <f>SUBTOTAL(109,Despesa47[Valor])</f>
        <v>400</v>
      </c>
      <c r="F9" s="35">
        <f>SUBTOTAL(109,Despesa57[Valor])</f>
        <v>500</v>
      </c>
      <c r="G9" s="8"/>
    </row>
    <row r="10" spans="1:7" ht="19.5" customHeight="1" x14ac:dyDescent="0.25">
      <c r="A10" s="18" t="s">
        <v>20</v>
      </c>
      <c r="B10" s="29">
        <f>SUBTOTAL(109,Despesa18[Valor])</f>
        <v>800</v>
      </c>
      <c r="C10" s="29">
        <f>SUBTOTAL(109,Despesa28[Valor])</f>
        <v>200</v>
      </c>
      <c r="D10" s="29">
        <f>SUBTOTAL(109,Despesa38[Valor])</f>
        <v>300</v>
      </c>
      <c r="E10" s="29">
        <f>SUBTOTAL(109,Despesa48[Valor])</f>
        <v>400</v>
      </c>
      <c r="F10" s="35">
        <f>SUBTOTAL(109,Despesa58[Valor])</f>
        <v>500</v>
      </c>
      <c r="G10" s="8"/>
    </row>
    <row r="11" spans="1:7" ht="19.5" customHeight="1" x14ac:dyDescent="0.25">
      <c r="A11" s="18" t="s">
        <v>21</v>
      </c>
      <c r="B11" s="29">
        <f>SUBTOTAL(109,Despesa19[Valor])</f>
        <v>900</v>
      </c>
      <c r="C11" s="29">
        <f>SUBTOTAL(109,Despesa29[Valor])</f>
        <v>200</v>
      </c>
      <c r="D11" s="29">
        <f>SUBTOTAL(109,Despesa39[Valor])</f>
        <v>300</v>
      </c>
      <c r="E11" s="29">
        <f>SUBTOTAL(109,Despesa49[Valor])</f>
        <v>400</v>
      </c>
      <c r="F11" s="35">
        <f>SUBTOTAL(109,Despesa59[Valor])</f>
        <v>500</v>
      </c>
      <c r="G11" s="8"/>
    </row>
    <row r="12" spans="1:7" ht="19.5" customHeight="1" x14ac:dyDescent="0.25">
      <c r="A12" s="18" t="s">
        <v>22</v>
      </c>
      <c r="B12" s="29">
        <f>SUBTOTAL(109,Despesa110[Valor])</f>
        <v>1000</v>
      </c>
      <c r="C12" s="29">
        <f>SUBTOTAL(109,Despesa210[Valor])</f>
        <v>200</v>
      </c>
      <c r="D12" s="29">
        <f>SUBTOTAL(109,Despesa310[Valor])</f>
        <v>300</v>
      </c>
      <c r="E12" s="29">
        <f>SUBTOTAL(109,Despesa410[Valor])</f>
        <v>400</v>
      </c>
      <c r="F12" s="35">
        <f>SUBTOTAL(109,Despesa510[Valor])</f>
        <v>500</v>
      </c>
      <c r="G12" s="8"/>
    </row>
    <row r="13" spans="1:7" ht="19.5" customHeight="1" x14ac:dyDescent="0.25">
      <c r="A13" s="18" t="s">
        <v>7</v>
      </c>
      <c r="B13" s="29">
        <f>SUBTOTAL(109,Despesa111[Valor])</f>
        <v>1100</v>
      </c>
      <c r="C13" s="29">
        <f>SUBTOTAL(109,Despesa211[Valor])</f>
        <v>200</v>
      </c>
      <c r="D13" s="29">
        <f>SUBTOTAL(109,Despesa311[Valor])</f>
        <v>300</v>
      </c>
      <c r="E13" s="29">
        <f>SUBTOTAL(109,Despesa411[Valor])</f>
        <v>400</v>
      </c>
      <c r="F13" s="35">
        <f>SUBTOTAL(109,Despesa511[Valor])</f>
        <v>500</v>
      </c>
      <c r="G13" s="8"/>
    </row>
    <row r="14" spans="1:7" ht="19.5" customHeight="1" thickBot="1" x14ac:dyDescent="0.3">
      <c r="A14" s="18" t="s">
        <v>23</v>
      </c>
      <c r="B14" s="29">
        <f>SUBTOTAL(109,Despesa112[Valor])</f>
        <v>1200</v>
      </c>
      <c r="C14" s="29">
        <f>SUBTOTAL(109,Despesa212[Valor])</f>
        <v>200</v>
      </c>
      <c r="D14" s="31">
        <f>SUBTOTAL(109,Despesa312[Valor])</f>
        <v>300</v>
      </c>
      <c r="E14" s="31">
        <f>SUBTOTAL(109,Despesa412[Valor])</f>
        <v>400</v>
      </c>
      <c r="F14" s="36">
        <f>SUBTOTAL(109,Despesa512[Valor])</f>
        <v>500</v>
      </c>
      <c r="G14" s="8"/>
    </row>
    <row r="15" spans="1:7" ht="19.5" customHeight="1" thickTop="1" x14ac:dyDescent="0.25">
      <c r="A15" s="25" t="s">
        <v>2</v>
      </c>
      <c r="B15" s="30">
        <f>SUM(B3:B14)</f>
        <v>7800</v>
      </c>
      <c r="C15" s="30">
        <f>SUM(C3:C14)</f>
        <v>2400</v>
      </c>
      <c r="D15" s="32">
        <f>SUM(D3:D14)</f>
        <v>3600</v>
      </c>
      <c r="E15" s="33">
        <f>SUM(E3:E14)</f>
        <v>4800</v>
      </c>
      <c r="F15" s="37">
        <f>SUM(F3:F14)</f>
        <v>6000</v>
      </c>
      <c r="G15" s="8"/>
    </row>
    <row r="16" spans="1:7" ht="45" customHeight="1" thickBot="1" x14ac:dyDescent="0.3">
      <c r="A16" s="4" t="s">
        <v>24</v>
      </c>
      <c r="B16" s="14"/>
      <c r="C16" s="15"/>
      <c r="D16" s="26"/>
      <c r="E16" s="27"/>
      <c r="F16" s="15"/>
      <c r="G16" s="8"/>
    </row>
    <row r="17" spans="1:10" ht="12" customHeight="1" thickTop="1" x14ac:dyDescent="0.2"/>
    <row r="19" spans="1:10" x14ac:dyDescent="0.2">
      <c r="A19" s="5"/>
      <c r="B19" s="5"/>
      <c r="C19" s="5"/>
      <c r="D19" s="5"/>
      <c r="E19" s="5"/>
      <c r="F19" s="5"/>
      <c r="G19" s="5"/>
      <c r="H19" s="5"/>
      <c r="I19" s="5"/>
      <c r="J19" s="5"/>
    </row>
    <row r="20" spans="1:10" x14ac:dyDescent="0.2">
      <c r="A20" s="5"/>
      <c r="B20" s="5"/>
      <c r="C20" s="5"/>
      <c r="G20" s="5"/>
      <c r="H20" s="5"/>
      <c r="I20" s="5"/>
      <c r="J20" s="5"/>
    </row>
    <row r="21" spans="1:10" x14ac:dyDescent="0.2">
      <c r="A21" s="5"/>
      <c r="B21" s="5"/>
      <c r="C21" s="5"/>
      <c r="G21" s="5"/>
      <c r="H21" s="5"/>
      <c r="I21" s="5"/>
      <c r="J21" s="5"/>
    </row>
    <row r="22" spans="1:10" x14ac:dyDescent="0.2">
      <c r="G22" s="5"/>
    </row>
    <row r="23" spans="1:10" x14ac:dyDescent="0.2">
      <c r="G23" s="5"/>
    </row>
    <row r="24" spans="1:10" x14ac:dyDescent="0.2">
      <c r="G24" s="5"/>
    </row>
    <row r="25" spans="1:10" x14ac:dyDescent="0.2">
      <c r="G25" s="5"/>
    </row>
    <row r="26" spans="1:10" x14ac:dyDescent="0.2">
      <c r="G26" s="5"/>
    </row>
    <row r="27" spans="1:10" x14ac:dyDescent="0.2">
      <c r="G27" s="5"/>
    </row>
    <row r="28" spans="1:10" x14ac:dyDescent="0.2">
      <c r="G28" s="5"/>
    </row>
    <row r="29" spans="1:10" x14ac:dyDescent="0.2">
      <c r="G29" s="5"/>
    </row>
    <row r="30" spans="1:10" x14ac:dyDescent="0.2">
      <c r="G30" s="5"/>
    </row>
    <row r="31" spans="1:10" x14ac:dyDescent="0.2">
      <c r="G31" s="5"/>
    </row>
    <row r="32" spans="1:10" x14ac:dyDescent="0.2">
      <c r="G32" s="5"/>
    </row>
    <row r="33" spans="1:10" x14ac:dyDescent="0.2">
      <c r="G33" s="5"/>
    </row>
    <row r="34" spans="1:10" x14ac:dyDescent="0.2">
      <c r="G34" s="5"/>
    </row>
    <row r="35" spans="1:10" x14ac:dyDescent="0.2">
      <c r="G35" s="5"/>
    </row>
    <row r="36" spans="1:10" x14ac:dyDescent="0.2">
      <c r="G36" s="5"/>
      <c r="H36" s="5"/>
      <c r="I36" s="5"/>
      <c r="J36" s="5"/>
    </row>
    <row r="37" spans="1:10" x14ac:dyDescent="0.2">
      <c r="A37" s="5"/>
      <c r="B37" s="5"/>
      <c r="C37" s="5"/>
      <c r="D37" s="5"/>
      <c r="E37" s="5"/>
      <c r="F37" s="5"/>
      <c r="G37" s="5"/>
      <c r="H37" s="5"/>
      <c r="I37" s="5"/>
      <c r="J37" s="5"/>
    </row>
    <row r="38" spans="1:10" x14ac:dyDescent="0.2">
      <c r="A38" s="5"/>
      <c r="B38" s="5"/>
      <c r="C38" s="5"/>
      <c r="D38" s="5"/>
      <c r="E38" s="5"/>
      <c r="F38" s="5"/>
      <c r="G38" s="5"/>
      <c r="H38" s="5"/>
      <c r="I38" s="5"/>
      <c r="J38" s="5"/>
    </row>
    <row r="39" spans="1:10" x14ac:dyDescent="0.2">
      <c r="A39" s="5"/>
      <c r="B39" s="5"/>
      <c r="C39" s="5"/>
      <c r="D39" s="5"/>
      <c r="E39" s="5"/>
      <c r="F39" s="5"/>
    </row>
  </sheetData>
  <mergeCells count="1">
    <mergeCell ref="A1:F1"/>
  </mergeCells>
  <conditionalFormatting sqref="H5">
    <cfRule type="colorScale" priority="2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'Tendências do Ano'!B3:B14</xm:f>
              <xm:sqref>B16</xm:sqref>
            </x14:sparkline>
          </x14:sparklines>
        </x14:sparklineGroup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'Tendências do Ano'!C3:C14</xm:f>
              <xm:sqref>C16</xm:sqref>
            </x14:sparkline>
          </x14:sparklines>
        </x14:sparklineGroup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'Tendências do Ano'!D3:D14</xm:f>
              <xm:sqref>D16</xm:sqref>
            </x14:sparkline>
          </x14:sparklines>
        </x14:sparklineGroup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'Tendências do Ano'!E3:E14</xm:f>
              <xm:sqref>E16</xm:sqref>
            </x14:sparkline>
          </x14:sparklines>
        </x14:sparklineGroup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'Tendências do Ano'!F3:F14</xm:f>
              <xm:sqref>F16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zoomScaleNormal="100" workbookViewId="0">
      <selection sqref="A1:D1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25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5">
        <f>SUM(D10,D17,D24,D30,D36)</f>
        <v>1500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6">
        <v>40186</v>
      </c>
      <c r="B6" s="5"/>
      <c r="C6" s="5" t="s">
        <v>37</v>
      </c>
      <c r="D6" s="38">
        <v>100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38">
        <f>SUBTOTAL(109,Despesa11[Valor])</f>
        <v>100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6">
        <v>40182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39">
        <f>SUBTOTAL(109,Despesa21[Valor])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6">
        <v>40180</v>
      </c>
      <c r="B21" s="5"/>
      <c r="C21" s="5" t="s">
        <v>39</v>
      </c>
      <c r="D21" s="38">
        <v>300</v>
      </c>
    </row>
    <row r="22" spans="1:4" x14ac:dyDescent="0.2">
      <c r="A22" s="10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38">
        <f>SUBTOTAL(109,Despesa31[Valor])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6">
        <v>40188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38">
        <f>SUBTOTAL(109,Despesa41[Valor])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6">
        <v>40203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SUBTOTAL(109,Despesa51[Valor])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9"/>
  <sheetViews>
    <sheetView zoomScaleNormal="100" workbookViewId="0">
      <selection activeCell="A34" sqref="A34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  <col min="5" max="5" width="13.375" customWidth="1"/>
  </cols>
  <sheetData>
    <row r="1" spans="1:5" s="40" customFormat="1" ht="34.5" customHeight="1" x14ac:dyDescent="0.2">
      <c r="A1" s="57" t="s">
        <v>26</v>
      </c>
      <c r="B1" s="57"/>
      <c r="C1" s="57"/>
      <c r="D1" s="57"/>
    </row>
    <row r="2" spans="1:5" ht="14.25" customHeight="1" x14ac:dyDescent="0.35">
      <c r="A2" s="16"/>
      <c r="B2" s="16"/>
      <c r="C2" s="16"/>
      <c r="D2" s="16"/>
    </row>
    <row r="3" spans="1:5" ht="23.25" customHeight="1" x14ac:dyDescent="0.35">
      <c r="A3" s="16"/>
      <c r="B3" s="16"/>
      <c r="C3" s="6" t="s">
        <v>1</v>
      </c>
      <c r="D3" s="41">
        <f>SUM(D10,D17,D24,D30,D36)</f>
        <v>1600</v>
      </c>
    </row>
    <row r="4" spans="1:5" s="1" customFormat="1" ht="15" customHeight="1" x14ac:dyDescent="0.25">
      <c r="A4" s="58" t="s">
        <v>11</v>
      </c>
      <c r="B4" s="59"/>
      <c r="C4" s="59"/>
      <c r="D4" s="60"/>
      <c r="E4"/>
    </row>
    <row r="5" spans="1:5" s="3" customFormat="1" ht="14.25" customHeight="1" x14ac:dyDescent="0.2">
      <c r="A5" s="9" t="s">
        <v>45</v>
      </c>
      <c r="B5" s="9" t="s">
        <v>46</v>
      </c>
      <c r="C5" s="9" t="s">
        <v>42</v>
      </c>
      <c r="D5" s="9" t="s">
        <v>44</v>
      </c>
      <c r="E5"/>
    </row>
    <row r="6" spans="1:5" ht="14.25" customHeight="1" x14ac:dyDescent="0.2">
      <c r="A6" s="47">
        <v>40217</v>
      </c>
      <c r="B6" s="5"/>
      <c r="C6" s="5" t="s">
        <v>37</v>
      </c>
      <c r="D6" s="38">
        <v>200</v>
      </c>
    </row>
    <row r="7" spans="1:5" ht="14.25" customHeight="1" x14ac:dyDescent="0.2">
      <c r="A7" s="10"/>
      <c r="B7" s="5"/>
      <c r="C7" s="5"/>
      <c r="D7" s="38"/>
    </row>
    <row r="8" spans="1:5" ht="14.25" customHeight="1" x14ac:dyDescent="0.2">
      <c r="A8" s="10"/>
      <c r="B8" s="5"/>
      <c r="C8" s="5"/>
      <c r="D8" s="38"/>
    </row>
    <row r="9" spans="1:5" ht="14.25" customHeight="1" x14ac:dyDescent="0.2">
      <c r="A9" s="10"/>
      <c r="B9" s="5"/>
      <c r="C9" s="5"/>
      <c r="D9" s="38"/>
    </row>
    <row r="10" spans="1:5" x14ac:dyDescent="0.2">
      <c r="A10" s="5" t="s">
        <v>0</v>
      </c>
      <c r="B10" s="5"/>
      <c r="C10" s="5"/>
      <c r="D10" s="38">
        <f>SUBTOTAL(109,Despesa12[Valor])</f>
        <v>200</v>
      </c>
    </row>
    <row r="11" spans="1:5" ht="14.25" customHeight="1" x14ac:dyDescent="0.2">
      <c r="A11" s="17" t="s">
        <v>8</v>
      </c>
      <c r="B11" s="5"/>
      <c r="C11" s="5"/>
      <c r="D11" s="5"/>
    </row>
    <row r="12" spans="1:5" s="3" customFormat="1" ht="15" customHeight="1" x14ac:dyDescent="0.25">
      <c r="A12" s="61" t="s">
        <v>12</v>
      </c>
      <c r="B12" s="62"/>
      <c r="C12" s="62"/>
      <c r="D12" s="63"/>
      <c r="E12"/>
    </row>
    <row r="13" spans="1:5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5" x14ac:dyDescent="0.2">
      <c r="A14" s="47">
        <v>40213</v>
      </c>
      <c r="B14" s="13"/>
      <c r="C14" s="13" t="s">
        <v>38</v>
      </c>
      <c r="D14" s="39">
        <v>200</v>
      </c>
    </row>
    <row r="15" spans="1:5" x14ac:dyDescent="0.2">
      <c r="A15" s="12"/>
      <c r="B15" s="13"/>
      <c r="C15" s="13"/>
      <c r="D15" s="39"/>
    </row>
    <row r="16" spans="1:5" x14ac:dyDescent="0.2">
      <c r="A16" s="12"/>
      <c r="B16" s="13"/>
      <c r="C16" s="13"/>
      <c r="D16" s="39"/>
    </row>
    <row r="17" spans="1:5" s="1" customFormat="1" ht="14.25" customHeight="1" x14ac:dyDescent="0.2">
      <c r="A17" s="13" t="s">
        <v>0</v>
      </c>
      <c r="B17" s="13"/>
      <c r="C17" s="13"/>
      <c r="D17" s="39">
        <f>SUBTOTAL(109,Despesa22[Valor])</f>
        <v>200</v>
      </c>
      <c r="E17"/>
    </row>
    <row r="18" spans="1:5" s="1" customFormat="1" ht="14.25" customHeight="1" x14ac:dyDescent="0.2">
      <c r="A18" s="17" t="s">
        <v>8</v>
      </c>
      <c r="B18" s="5"/>
      <c r="C18" s="5"/>
      <c r="D18" s="5"/>
      <c r="E18"/>
    </row>
    <row r="19" spans="1:5" ht="15" customHeight="1" x14ac:dyDescent="0.25">
      <c r="A19" s="64" t="s">
        <v>13</v>
      </c>
      <c r="B19" s="65"/>
      <c r="C19" s="65"/>
      <c r="D19" s="66"/>
    </row>
    <row r="20" spans="1:5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5" x14ac:dyDescent="0.2">
      <c r="A21" s="47">
        <v>40211</v>
      </c>
      <c r="B21" s="5"/>
      <c r="C21" s="5" t="s">
        <v>39</v>
      </c>
      <c r="D21" s="38">
        <v>300</v>
      </c>
    </row>
    <row r="22" spans="1:5" x14ac:dyDescent="0.2">
      <c r="A22" s="47"/>
      <c r="B22" s="5"/>
      <c r="C22" s="5"/>
      <c r="D22" s="38"/>
    </row>
    <row r="23" spans="1:5" x14ac:dyDescent="0.2">
      <c r="A23" s="10"/>
      <c r="B23" s="5"/>
      <c r="C23" s="5"/>
      <c r="D23" s="38"/>
    </row>
    <row r="24" spans="1:5" s="1" customFormat="1" ht="15" x14ac:dyDescent="0.2">
      <c r="A24" s="5" t="s">
        <v>0</v>
      </c>
      <c r="B24" s="5"/>
      <c r="C24" s="5"/>
      <c r="D24" s="38">
        <f>SUBTOTAL(109,Despesa32[Valor])</f>
        <v>300</v>
      </c>
      <c r="E24"/>
    </row>
    <row r="25" spans="1:5" s="1" customFormat="1" ht="14.25" customHeight="1" x14ac:dyDescent="0.2">
      <c r="A25" s="17" t="s">
        <v>8</v>
      </c>
      <c r="B25" s="5"/>
      <c r="C25" s="5"/>
      <c r="D25" s="5"/>
      <c r="E25"/>
    </row>
    <row r="26" spans="1:5" ht="15" customHeight="1" x14ac:dyDescent="0.25">
      <c r="A26" s="67" t="s">
        <v>14</v>
      </c>
      <c r="B26" s="68"/>
      <c r="C26" s="68"/>
      <c r="D26" s="69"/>
    </row>
    <row r="27" spans="1:5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5" x14ac:dyDescent="0.2">
      <c r="A28" s="47">
        <v>40219</v>
      </c>
      <c r="B28" s="5"/>
      <c r="C28" s="5" t="s">
        <v>40</v>
      </c>
      <c r="D28" s="38">
        <v>400</v>
      </c>
    </row>
    <row r="29" spans="1:5" x14ac:dyDescent="0.2">
      <c r="A29" s="10"/>
      <c r="B29" s="5"/>
      <c r="C29" s="5"/>
      <c r="D29" s="38"/>
    </row>
    <row r="30" spans="1:5" s="3" customFormat="1" x14ac:dyDescent="0.2">
      <c r="A30" s="5" t="s">
        <v>0</v>
      </c>
      <c r="B30" s="5"/>
      <c r="C30" s="5"/>
      <c r="D30" s="38">
        <f>SUBTOTAL(109,Despesa42[Valor])</f>
        <v>400</v>
      </c>
      <c r="E30"/>
    </row>
    <row r="31" spans="1:5" s="3" customFormat="1" ht="14.25" customHeight="1" x14ac:dyDescent="0.2">
      <c r="A31" s="17" t="s">
        <v>9</v>
      </c>
      <c r="B31" s="5"/>
      <c r="C31" s="5"/>
      <c r="D31" s="5"/>
      <c r="E31"/>
    </row>
    <row r="32" spans="1:5" ht="15" customHeight="1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7">
        <v>40234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SUBTOTAL(109,Despesa52[Valor])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horizontalDpi="4294967293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zoomScaleNormal="100" workbookViewId="0">
      <selection activeCell="C2" sqref="C2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27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1">
        <f>SUM(D10,D17,D24,D30,D36)</f>
        <v>1700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40245</v>
      </c>
      <c r="B6" s="5"/>
      <c r="C6" s="5" t="s">
        <v>37</v>
      </c>
      <c r="D6" s="38">
        <v>300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38">
        <f>SUBTOTAL(109,Despesa13[Valor])</f>
        <v>300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6">
        <v>40241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39">
        <f>SUBTOTAL(109,Despesa23[Valor])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40239</v>
      </c>
      <c r="B21" s="5"/>
      <c r="C21" s="5" t="s">
        <v>39</v>
      </c>
      <c r="D21" s="38">
        <v>300</v>
      </c>
    </row>
    <row r="22" spans="1:4" x14ac:dyDescent="0.2">
      <c r="A22" s="10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38">
        <f>SUBTOTAL(109,Despesa33[Valor])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40247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38">
        <f>SUBTOTAL(109,Despesa43[Valor])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6">
        <v>40262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SUBTOTAL(109,Despesa53[Valor])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RowHeight="14.25" x14ac:dyDescent="0.2"/>
  <cols>
    <col min="1" max="1" width="9" style="52"/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28</v>
      </c>
      <c r="B1" s="57"/>
      <c r="C1" s="57"/>
      <c r="D1" s="57"/>
    </row>
    <row r="2" spans="1:4" ht="14.25" customHeight="1" x14ac:dyDescent="0.35">
      <c r="A2" s="48"/>
      <c r="B2" s="16"/>
      <c r="C2" s="16"/>
      <c r="D2" s="16"/>
    </row>
    <row r="3" spans="1:4" ht="23.25" x14ac:dyDescent="0.35">
      <c r="A3" s="48"/>
      <c r="B3" s="16"/>
      <c r="C3" s="6" t="s">
        <v>1</v>
      </c>
      <c r="D3" s="41">
        <f>SUM(D10,D17,D24,D30,D36)</f>
        <v>1800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4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40276</v>
      </c>
      <c r="B6" s="5"/>
      <c r="C6" s="5" t="s">
        <v>37</v>
      </c>
      <c r="D6" s="38">
        <v>400</v>
      </c>
    </row>
    <row r="7" spans="1:4" x14ac:dyDescent="0.2">
      <c r="A7" s="47"/>
      <c r="B7" s="5"/>
      <c r="C7" s="5"/>
      <c r="D7" s="38"/>
    </row>
    <row r="8" spans="1:4" x14ac:dyDescent="0.2">
      <c r="A8" s="47"/>
      <c r="B8" s="5"/>
      <c r="C8" s="5"/>
      <c r="D8" s="38"/>
    </row>
    <row r="9" spans="1:4" x14ac:dyDescent="0.2">
      <c r="A9" s="47"/>
      <c r="B9" s="5"/>
      <c r="C9" s="5"/>
      <c r="D9" s="38"/>
    </row>
    <row r="10" spans="1:4" x14ac:dyDescent="0.2">
      <c r="A10" s="47" t="s">
        <v>0</v>
      </c>
      <c r="B10" s="5"/>
      <c r="C10" s="5"/>
      <c r="D10" s="38">
        <f>SUBTOTAL(109,Despesa14[Valor])</f>
        <v>400</v>
      </c>
    </row>
    <row r="11" spans="1:4" x14ac:dyDescent="0.2">
      <c r="A11" s="50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5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6">
        <v>40272</v>
      </c>
      <c r="B14" s="13"/>
      <c r="C14" s="13" t="s">
        <v>38</v>
      </c>
      <c r="D14" s="39">
        <v>200</v>
      </c>
    </row>
    <row r="15" spans="1:4" x14ac:dyDescent="0.2">
      <c r="A15" s="46"/>
      <c r="B15" s="13"/>
      <c r="C15" s="13"/>
      <c r="D15" s="39"/>
    </row>
    <row r="16" spans="1:4" x14ac:dyDescent="0.2">
      <c r="A16" s="46"/>
      <c r="B16" s="13"/>
      <c r="C16" s="13"/>
      <c r="D16" s="39"/>
    </row>
    <row r="17" spans="1:4" x14ac:dyDescent="0.2">
      <c r="A17" s="46" t="s">
        <v>0</v>
      </c>
      <c r="B17" s="13"/>
      <c r="C17" s="13"/>
      <c r="D17" s="39">
        <f>SUBTOTAL(109,Despesa24[Valor])</f>
        <v>200</v>
      </c>
    </row>
    <row r="18" spans="1:4" x14ac:dyDescent="0.2">
      <c r="A18" s="50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4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40270</v>
      </c>
      <c r="B21" s="5"/>
      <c r="C21" s="5" t="s">
        <v>39</v>
      </c>
      <c r="D21" s="38">
        <v>300</v>
      </c>
    </row>
    <row r="22" spans="1:4" x14ac:dyDescent="0.2">
      <c r="A22" s="47"/>
      <c r="B22" s="5"/>
      <c r="C22" s="5"/>
      <c r="D22" s="38"/>
    </row>
    <row r="23" spans="1:4" x14ac:dyDescent="0.2">
      <c r="A23" s="47"/>
      <c r="B23" s="5"/>
      <c r="C23" s="5"/>
      <c r="D23" s="38"/>
    </row>
    <row r="24" spans="1:4" x14ac:dyDescent="0.2">
      <c r="A24" s="47" t="s">
        <v>0</v>
      </c>
      <c r="B24" s="5"/>
      <c r="C24" s="5"/>
      <c r="D24" s="38">
        <f>SUBTOTAL(109,Despesa34[Valor])</f>
        <v>300</v>
      </c>
    </row>
    <row r="25" spans="1:4" x14ac:dyDescent="0.2">
      <c r="A25" s="50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4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40278</v>
      </c>
      <c r="B28" s="5"/>
      <c r="C28" s="5" t="s">
        <v>40</v>
      </c>
      <c r="D28" s="38">
        <v>400</v>
      </c>
    </row>
    <row r="29" spans="1:4" x14ac:dyDescent="0.2">
      <c r="A29" s="47"/>
      <c r="B29" s="5"/>
      <c r="C29" s="5"/>
      <c r="D29" s="38"/>
    </row>
    <row r="30" spans="1:4" x14ac:dyDescent="0.2">
      <c r="A30" s="47" t="s">
        <v>0</v>
      </c>
      <c r="B30" s="5"/>
      <c r="C30" s="5"/>
      <c r="D30" s="38">
        <f>SUBTOTAL(109,Despesa44[Valor])</f>
        <v>400</v>
      </c>
    </row>
    <row r="31" spans="1:4" x14ac:dyDescent="0.2">
      <c r="A31" s="50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5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6">
        <v>40293</v>
      </c>
      <c r="B34" s="13"/>
      <c r="C34" s="13" t="s">
        <v>41</v>
      </c>
      <c r="D34" s="39">
        <v>500</v>
      </c>
    </row>
    <row r="35" spans="1:4" x14ac:dyDescent="0.2">
      <c r="A35" s="46"/>
      <c r="B35" s="13"/>
      <c r="C35" s="13"/>
      <c r="D35" s="39"/>
    </row>
    <row r="36" spans="1:4" x14ac:dyDescent="0.2">
      <c r="A36" s="46" t="s">
        <v>0</v>
      </c>
      <c r="B36" s="13"/>
      <c r="C36" s="13"/>
      <c r="D36" s="39">
        <f>SUBTOTAL(109,Despesa54[Valor])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zoomScaleNormal="100" workbookViewId="0">
      <selection activeCell="B7" sqref="B7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29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1">
        <f>SUM(D10,D17,D24,D30,D36)</f>
        <v>1900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40306</v>
      </c>
      <c r="B6" s="5"/>
      <c r="C6" s="5" t="s">
        <v>37</v>
      </c>
      <c r="D6" s="38">
        <v>500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38">
        <f>SUBTOTAL(109,Despesa15[Valor])</f>
        <v>500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6">
        <v>40302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39">
        <f>SUBTOTAL(109,Despesa25[Valor])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40300</v>
      </c>
      <c r="B21" s="5"/>
      <c r="C21" s="5" t="s">
        <v>39</v>
      </c>
      <c r="D21" s="38">
        <v>300</v>
      </c>
    </row>
    <row r="22" spans="1:4" x14ac:dyDescent="0.2">
      <c r="A22" s="10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38">
        <f>SUBTOTAL(109,Despesa35[Valor])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40308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38">
        <f>SUBTOTAL(109,Despesa45[Valor])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6">
        <v>40323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SUBTOTAL(109,Despesa55[Valor])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zoomScaleNormal="100" workbookViewId="0">
      <selection sqref="A1:D1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30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1">
        <f>SUM(D10,D17,D24,D30,D36)</f>
        <v>2000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40337</v>
      </c>
      <c r="B6" s="5"/>
      <c r="C6" s="5" t="s">
        <v>37</v>
      </c>
      <c r="D6" s="38">
        <v>600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38">
        <f>SUBTOTAL(109,Despesa16[Valor])</f>
        <v>600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7">
        <v>40333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39">
        <f>SUBTOTAL(109,Despesa26[Valor])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40331</v>
      </c>
      <c r="B21" s="5"/>
      <c r="C21" s="5" t="s">
        <v>39</v>
      </c>
      <c r="D21" s="38">
        <v>300</v>
      </c>
    </row>
    <row r="22" spans="1:4" x14ac:dyDescent="0.2">
      <c r="A22" s="10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38">
        <f>SUBTOTAL(109,Despesa36[Valor])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40339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38">
        <f>SUBTOTAL(109,Despesa46[Valor])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7">
        <v>40354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SUBTOTAL(109,Despesa56[Valor])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activeCell="A34" sqref="A34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31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1">
        <f>SUM(D10,D17,D24,D30,D36)</f>
        <v>2100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40367</v>
      </c>
      <c r="B6" s="5"/>
      <c r="C6" s="5" t="s">
        <v>37</v>
      </c>
      <c r="D6" s="38">
        <v>700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38">
        <f>SUBTOTAL(109,Despesa17[Valor])</f>
        <v>700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7">
        <v>40363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39">
        <f>SUBTOTAL(109,Despesa27[Valor])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40361</v>
      </c>
      <c r="B21" s="5"/>
      <c r="C21" s="5" t="s">
        <v>39</v>
      </c>
      <c r="D21" s="38">
        <v>300</v>
      </c>
    </row>
    <row r="22" spans="1:4" x14ac:dyDescent="0.2">
      <c r="A22" s="10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38">
        <f>SUBTOTAL(109,Despesa37[Valor])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40369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38">
        <f>SUBTOTAL(109,Despesa47[Valor])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7">
        <v>40384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SUBTOTAL(109,Despesa57[Valor])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32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1">
        <f>SUM(D10,D17,D24,D30,D36)</f>
        <v>2200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40398</v>
      </c>
      <c r="B6" s="5"/>
      <c r="C6" s="5" t="s">
        <v>37</v>
      </c>
      <c r="D6" s="38">
        <v>800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38">
        <f>SUBTOTAL(109,Despesa18[Valor])</f>
        <v>800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7">
        <v>40394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39">
        <f>SUBTOTAL(109,Despesa28[Valor])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40392</v>
      </c>
      <c r="B21" s="5"/>
      <c r="C21" s="5" t="s">
        <v>39</v>
      </c>
      <c r="D21" s="38">
        <v>300</v>
      </c>
    </row>
    <row r="22" spans="1:4" x14ac:dyDescent="0.2">
      <c r="A22" s="10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38">
        <f>SUBTOTAL(109,Despesa38[Valor])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40400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38">
        <f>SUBTOTAL(109,Despesa48[Valor])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7">
        <v>40415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SUBTOTAL(109,Despesa58[Valor])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activeCell="A34" sqref="A34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33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1">
        <f>SUM(D10,D17,D24,D30,D36)</f>
        <v>2300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40429</v>
      </c>
      <c r="B6" s="5"/>
      <c r="C6" s="5" t="s">
        <v>37</v>
      </c>
      <c r="D6" s="38">
        <v>900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38">
        <f>SUBTOTAL(109,Despesa19[Valor])</f>
        <v>900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7">
        <v>40425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39">
        <f>SUBTOTAL(109,Despesa29[Valor])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40423</v>
      </c>
      <c r="B21" s="5"/>
      <c r="C21" s="5" t="s">
        <v>39</v>
      </c>
      <c r="D21" s="38">
        <v>300</v>
      </c>
    </row>
    <row r="22" spans="1:4" x14ac:dyDescent="0.2">
      <c r="A22" s="10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38">
        <f>SUBTOTAL(109,Despesa39[Valor])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40431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38">
        <f>SUBTOTAL(109,Despesa49[Valor])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7">
        <v>40446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SUBTOTAL(109,Despesa59[Valor])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activeCell="A34" sqref="A34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34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1">
        <f>SUM(D10,D17,D24,D30,D36)</f>
        <v>2400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40459</v>
      </c>
      <c r="B6" s="5"/>
      <c r="C6" s="5" t="s">
        <v>37</v>
      </c>
      <c r="D6" s="38">
        <v>1000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38">
        <f>SUBTOTAL(109,Despesa110[Valor])</f>
        <v>1000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7">
        <v>40455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39">
        <f>SUBTOTAL(109,Despesa210[Valor])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40453</v>
      </c>
      <c r="B21" s="5"/>
      <c r="C21" s="5" t="s">
        <v>39</v>
      </c>
      <c r="D21" s="38">
        <v>300</v>
      </c>
    </row>
    <row r="22" spans="1:4" x14ac:dyDescent="0.2">
      <c r="A22" s="47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38">
        <f>SUBTOTAL(109,Despesa310[Valor])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40461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38">
        <f>SUBTOTAL(109,Despesa410[Valor])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7">
        <v>40476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SUBTOTAL(109,Despesa510[Valor])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activeCell="A34" sqref="A34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35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1">
        <f>SUM(D10,D17,D24,D30,D36)</f>
        <v>2500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40490</v>
      </c>
      <c r="B6" s="5"/>
      <c r="C6" s="5" t="s">
        <v>37</v>
      </c>
      <c r="D6" s="38">
        <v>1100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38">
        <f>SUBTOTAL(109,Despesa111[Valor])</f>
        <v>1100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7">
        <v>40486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39">
        <f>SUBTOTAL(109,Despesa211[Valor])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40484</v>
      </c>
      <c r="B21" s="5"/>
      <c r="C21" s="5" t="s">
        <v>39</v>
      </c>
      <c r="D21" s="38">
        <v>300</v>
      </c>
    </row>
    <row r="22" spans="1:4" x14ac:dyDescent="0.2">
      <c r="A22" s="10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38">
        <f>SUBTOTAL(109,Despesa311[Valor])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40492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38">
        <f>SUBTOTAL(109,Despesa411[Valor])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7">
        <v>40507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39">
        <f>SUBTOTAL(109,Despesa511[Valor])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40" customFormat="1" ht="34.5" customHeight="1" x14ac:dyDescent="0.2">
      <c r="A1" s="57" t="s">
        <v>36</v>
      </c>
      <c r="B1" s="57"/>
      <c r="C1" s="57"/>
      <c r="D1" s="57"/>
    </row>
    <row r="2" spans="1:4" ht="14.25" customHeight="1" x14ac:dyDescent="0.35">
      <c r="A2" s="16"/>
      <c r="B2" s="16"/>
      <c r="C2" s="16"/>
      <c r="D2" s="16"/>
    </row>
    <row r="3" spans="1:4" ht="23.25" x14ac:dyDescent="0.35">
      <c r="A3" s="16"/>
      <c r="B3" s="16"/>
      <c r="C3" s="6" t="s">
        <v>1</v>
      </c>
      <c r="D3" s="41">
        <f>SUM(D10,D17,D24,D30,D36)</f>
        <v>2600</v>
      </c>
    </row>
    <row r="4" spans="1:4" ht="15" x14ac:dyDescent="0.25">
      <c r="A4" s="58" t="s">
        <v>11</v>
      </c>
      <c r="B4" s="59"/>
      <c r="C4" s="59"/>
      <c r="D4" s="60"/>
    </row>
    <row r="5" spans="1:4" x14ac:dyDescent="0.2">
      <c r="A5" s="9" t="s">
        <v>45</v>
      </c>
      <c r="B5" s="9" t="s">
        <v>46</v>
      </c>
      <c r="C5" s="9" t="s">
        <v>42</v>
      </c>
      <c r="D5" s="9" t="s">
        <v>44</v>
      </c>
    </row>
    <row r="6" spans="1:4" x14ac:dyDescent="0.2">
      <c r="A6" s="47">
        <v>40520</v>
      </c>
      <c r="B6" s="5"/>
      <c r="C6" s="5" t="s">
        <v>37</v>
      </c>
      <c r="D6" s="38">
        <v>1200</v>
      </c>
    </row>
    <row r="7" spans="1:4" x14ac:dyDescent="0.2">
      <c r="A7" s="10"/>
      <c r="B7" s="5"/>
      <c r="C7" s="5"/>
      <c r="D7" s="38"/>
    </row>
    <row r="8" spans="1:4" x14ac:dyDescent="0.2">
      <c r="A8" s="10"/>
      <c r="B8" s="5"/>
      <c r="C8" s="5"/>
      <c r="D8" s="38"/>
    </row>
    <row r="9" spans="1:4" x14ac:dyDescent="0.2">
      <c r="A9" s="10"/>
      <c r="B9" s="5"/>
      <c r="C9" s="5"/>
      <c r="D9" s="38"/>
    </row>
    <row r="10" spans="1:4" x14ac:dyDescent="0.2">
      <c r="A10" s="5" t="s">
        <v>0</v>
      </c>
      <c r="B10" s="5"/>
      <c r="C10" s="5"/>
      <c r="D10" s="42">
        <f>SUBTOTAL(109,Despesa112[Valor])</f>
        <v>1200</v>
      </c>
    </row>
    <row r="11" spans="1:4" x14ac:dyDescent="0.2">
      <c r="A11" s="17" t="s">
        <v>8</v>
      </c>
      <c r="B11" s="5"/>
      <c r="C11" s="5"/>
      <c r="D11" s="5"/>
    </row>
    <row r="12" spans="1:4" ht="15" x14ac:dyDescent="0.25">
      <c r="A12" s="61" t="s">
        <v>12</v>
      </c>
      <c r="B12" s="62"/>
      <c r="C12" s="62"/>
      <c r="D12" s="63"/>
    </row>
    <row r="13" spans="1:4" x14ac:dyDescent="0.2">
      <c r="A13" s="11" t="s">
        <v>45</v>
      </c>
      <c r="B13" s="11" t="s">
        <v>46</v>
      </c>
      <c r="C13" s="11" t="s">
        <v>43</v>
      </c>
      <c r="D13" s="11" t="s">
        <v>44</v>
      </c>
    </row>
    <row r="14" spans="1:4" x14ac:dyDescent="0.2">
      <c r="A14" s="47">
        <v>40516</v>
      </c>
      <c r="B14" s="13"/>
      <c r="C14" s="13" t="s">
        <v>38</v>
      </c>
      <c r="D14" s="39">
        <v>200</v>
      </c>
    </row>
    <row r="15" spans="1:4" x14ac:dyDescent="0.2">
      <c r="A15" s="12"/>
      <c r="B15" s="13"/>
      <c r="C15" s="13"/>
      <c r="D15" s="39"/>
    </row>
    <row r="16" spans="1:4" x14ac:dyDescent="0.2">
      <c r="A16" s="12"/>
      <c r="B16" s="13"/>
      <c r="C16" s="13"/>
      <c r="D16" s="39"/>
    </row>
    <row r="17" spans="1:4" x14ac:dyDescent="0.2">
      <c r="A17" s="13" t="s">
        <v>0</v>
      </c>
      <c r="B17" s="13"/>
      <c r="C17" s="13"/>
      <c r="D17" s="43">
        <f>SUBTOTAL(109,Despesa212[Valor])</f>
        <v>200</v>
      </c>
    </row>
    <row r="18" spans="1:4" x14ac:dyDescent="0.2">
      <c r="A18" s="17" t="s">
        <v>8</v>
      </c>
      <c r="B18" s="5"/>
      <c r="C18" s="5"/>
      <c r="D18" s="5"/>
    </row>
    <row r="19" spans="1:4" ht="15" x14ac:dyDescent="0.25">
      <c r="A19" s="64" t="s">
        <v>13</v>
      </c>
      <c r="B19" s="65"/>
      <c r="C19" s="65"/>
      <c r="D19" s="66"/>
    </row>
    <row r="20" spans="1:4" x14ac:dyDescent="0.2">
      <c r="A20" s="9" t="s">
        <v>45</v>
      </c>
      <c r="B20" s="9" t="s">
        <v>46</v>
      </c>
      <c r="C20" s="9" t="s">
        <v>42</v>
      </c>
      <c r="D20" s="9" t="s">
        <v>44</v>
      </c>
    </row>
    <row r="21" spans="1:4" x14ac:dyDescent="0.2">
      <c r="A21" s="47">
        <v>40514</v>
      </c>
      <c r="B21" s="5"/>
      <c r="C21" s="5" t="s">
        <v>39</v>
      </c>
      <c r="D21" s="38">
        <v>300</v>
      </c>
    </row>
    <row r="22" spans="1:4" x14ac:dyDescent="0.2">
      <c r="A22" s="10"/>
      <c r="B22" s="5"/>
      <c r="C22" s="5"/>
      <c r="D22" s="38"/>
    </row>
    <row r="23" spans="1:4" x14ac:dyDescent="0.2">
      <c r="A23" s="10"/>
      <c r="B23" s="5"/>
      <c r="C23" s="5"/>
      <c r="D23" s="38"/>
    </row>
    <row r="24" spans="1:4" x14ac:dyDescent="0.2">
      <c r="A24" s="5" t="s">
        <v>0</v>
      </c>
      <c r="B24" s="5"/>
      <c r="C24" s="5"/>
      <c r="D24" s="42">
        <f>SUBTOTAL(109,Despesa312[Valor])</f>
        <v>300</v>
      </c>
    </row>
    <row r="25" spans="1:4" x14ac:dyDescent="0.2">
      <c r="A25" s="17" t="s">
        <v>8</v>
      </c>
      <c r="B25" s="5"/>
      <c r="C25" s="5"/>
      <c r="D25" s="5"/>
    </row>
    <row r="26" spans="1:4" ht="15" x14ac:dyDescent="0.25">
      <c r="A26" s="67" t="s">
        <v>14</v>
      </c>
      <c r="B26" s="68"/>
      <c r="C26" s="68"/>
      <c r="D26" s="69"/>
    </row>
    <row r="27" spans="1:4" x14ac:dyDescent="0.2">
      <c r="A27" s="9" t="s">
        <v>45</v>
      </c>
      <c r="B27" s="9" t="s">
        <v>46</v>
      </c>
      <c r="C27" s="9" t="s">
        <v>42</v>
      </c>
      <c r="D27" s="9" t="s">
        <v>44</v>
      </c>
    </row>
    <row r="28" spans="1:4" x14ac:dyDescent="0.2">
      <c r="A28" s="47">
        <v>40522</v>
      </c>
      <c r="B28" s="5"/>
      <c r="C28" s="5" t="s">
        <v>40</v>
      </c>
      <c r="D28" s="38">
        <v>400</v>
      </c>
    </row>
    <row r="29" spans="1:4" x14ac:dyDescent="0.2">
      <c r="A29" s="10"/>
      <c r="B29" s="5"/>
      <c r="C29" s="5"/>
      <c r="D29" s="38"/>
    </row>
    <row r="30" spans="1:4" x14ac:dyDescent="0.2">
      <c r="A30" s="5" t="s">
        <v>0</v>
      </c>
      <c r="B30" s="5"/>
      <c r="C30" s="5"/>
      <c r="D30" s="42">
        <f>SUBTOTAL(109,Despesa412[Valor])</f>
        <v>400</v>
      </c>
    </row>
    <row r="31" spans="1:4" x14ac:dyDescent="0.2">
      <c r="A31" s="17" t="s">
        <v>9</v>
      </c>
      <c r="B31" s="5"/>
      <c r="C31" s="5"/>
      <c r="D31" s="5"/>
    </row>
    <row r="32" spans="1:4" ht="15" x14ac:dyDescent="0.25">
      <c r="A32" s="54" t="s">
        <v>15</v>
      </c>
      <c r="B32" s="55"/>
      <c r="C32" s="55"/>
      <c r="D32" s="56"/>
    </row>
    <row r="33" spans="1:4" x14ac:dyDescent="0.2">
      <c r="A33" s="11" t="s">
        <v>45</v>
      </c>
      <c r="B33" s="11" t="s">
        <v>46</v>
      </c>
      <c r="C33" s="11" t="s">
        <v>42</v>
      </c>
      <c r="D33" s="11" t="s">
        <v>44</v>
      </c>
    </row>
    <row r="34" spans="1:4" x14ac:dyDescent="0.2">
      <c r="A34" s="47">
        <v>40537</v>
      </c>
      <c r="B34" s="13"/>
      <c r="C34" s="13" t="s">
        <v>41</v>
      </c>
      <c r="D34" s="39">
        <v>500</v>
      </c>
    </row>
    <row r="35" spans="1:4" x14ac:dyDescent="0.2">
      <c r="A35" s="12"/>
      <c r="B35" s="13"/>
      <c r="C35" s="13"/>
      <c r="D35" s="39"/>
    </row>
    <row r="36" spans="1:4" x14ac:dyDescent="0.2">
      <c r="A36" s="13" t="s">
        <v>0</v>
      </c>
      <c r="B36" s="13"/>
      <c r="C36" s="13"/>
      <c r="D36" s="44">
        <f>SUBTOTAL(109,Despesa512[Valor])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irectSourceMarket xmlns="e5d022ff-4ce9-4922-b5a4-f245e35e2aac">english</DirectSourceMarket>
    <ApprovalStatus xmlns="e5d022ff-4ce9-4922-b5a4-f245e35e2aac">InProgress</ApprovalStatus>
    <MarketSpecific xmlns="e5d022ff-4ce9-4922-b5a4-f245e35e2aac">false</MarketSpecific>
    <PrimaryImageGen xmlns="e5d022ff-4ce9-4922-b5a4-f245e35e2aac">true</PrimaryImageGen>
    <ThumbnailAssetId xmlns="e5d022ff-4ce9-4922-b5a4-f245e35e2aac" xsi:nil="true"/>
    <LegacyData xmlns="e5d022ff-4ce9-4922-b5a4-f245e35e2aac" xsi:nil="true"/>
    <BlockPublish xmlns="e5d022ff-4ce9-4922-b5a4-f245e35e2aac">false</BlockPublish>
    <BusinessGroup xmlns="e5d022ff-4ce9-4922-b5a4-f245e35e2aac" xsi:nil="true"/>
    <TPFriendlyName xmlns="e5d022ff-4ce9-4922-b5a4-f245e35e2aac" xsi:nil="true"/>
    <NumericId xmlns="e5d022ff-4ce9-4922-b5a4-f245e35e2aac" xsi:nil="true"/>
    <APEditor xmlns="e5d022ff-4ce9-4922-b5a4-f245e35e2aac">
      <UserInfo>
        <DisplayName/>
        <AccountId xsi:nil="true"/>
        <AccountType/>
      </UserInfo>
    </APEditor>
    <SourceTitle xmlns="e5d022ff-4ce9-4922-b5a4-f245e35e2aac" xsi:nil="true"/>
    <OpenTemplate xmlns="e5d022ff-4ce9-4922-b5a4-f245e35e2aac">true</OpenTemplate>
    <UALocComments xmlns="e5d022ff-4ce9-4922-b5a4-f245e35e2aac" xsi:nil="true"/>
    <IntlLangReviewDate xmlns="e5d022ff-4ce9-4922-b5a4-f245e35e2aac">2010-11-04T19:53:00+00:00</IntlLangReviewDate>
    <PublishStatusLookup xmlns="e5d022ff-4ce9-4922-b5a4-f245e35e2aac">
      <Value>284255</Value>
      <Value>414969</Value>
    </PublishStatusLookup>
    <ParentAssetId xmlns="e5d022ff-4ce9-4922-b5a4-f245e35e2aac" xsi:nil="true"/>
    <LastPublishResultLookup xmlns="e5d022ff-4ce9-4922-b5a4-f245e35e2aac"/>
    <MachineTranslated xmlns="e5d022ff-4ce9-4922-b5a4-f245e35e2aac">false</MachineTranslated>
    <Providers xmlns="e5d022ff-4ce9-4922-b5a4-f245e35e2aac" xsi:nil="true"/>
    <OriginalSourceMarket xmlns="e5d022ff-4ce9-4922-b5a4-f245e35e2aac">english</OriginalSourceMarket>
    <APDescription xmlns="e5d022ff-4ce9-4922-b5a4-f245e35e2aac" xsi:nil="true"/>
    <ClipArtFilename xmlns="e5d022ff-4ce9-4922-b5a4-f245e35e2aac" xsi:nil="true"/>
    <IntlLangReview xmlns="e5d022ff-4ce9-4922-b5a4-f245e35e2aac" xsi:nil="true"/>
    <UAProjectedTotalWords xmlns="e5d022ff-4ce9-4922-b5a4-f245e35e2aac" xsi:nil="true"/>
    <OutputCachingOn xmlns="e5d022ff-4ce9-4922-b5a4-f245e35e2aac">false</OutputCachingOn>
    <ContentItem xmlns="e5d022ff-4ce9-4922-b5a4-f245e35e2aac" xsi:nil="true"/>
    <TPInstallLocation xmlns="e5d022ff-4ce9-4922-b5a4-f245e35e2aac" xsi:nil="true"/>
    <APAuthor xmlns="e5d022ff-4ce9-4922-b5a4-f245e35e2aac">
      <UserInfo>
        <DisplayName>REDMOND\telias</DisplayName>
        <AccountId>92</AccountId>
        <AccountType/>
      </UserInfo>
    </APAuthor>
    <TPCommandLine xmlns="e5d022ff-4ce9-4922-b5a4-f245e35e2aac" xsi:nil="true"/>
    <TPAppVersion xmlns="e5d022ff-4ce9-4922-b5a4-f245e35e2aac" xsi:nil="true"/>
    <EditorialStatus xmlns="e5d022ff-4ce9-4922-b5a4-f245e35e2aac" xsi:nil="true"/>
    <LastModifiedDateTime xmlns="e5d022ff-4ce9-4922-b5a4-f245e35e2aac">2010-11-04T19:53:00+00:00</LastModifiedDateTime>
    <PublishTargets xmlns="e5d022ff-4ce9-4922-b5a4-f245e35e2aac">OfficeOnline</PublishTargets>
    <TPLaunchHelpLinkType xmlns="e5d022ff-4ce9-4922-b5a4-f245e35e2aac">Template</TPLaunchHelpLinkType>
    <TimesCloned xmlns="e5d022ff-4ce9-4922-b5a4-f245e35e2aac" xsi:nil="true"/>
    <Provider xmlns="e5d022ff-4ce9-4922-b5a4-f245e35e2aac" xsi:nil="true"/>
    <AcquiredFrom xmlns="e5d022ff-4ce9-4922-b5a4-f245e35e2aac">Internal MS</AcquiredFrom>
    <FriendlyTitle xmlns="e5d022ff-4ce9-4922-b5a4-f245e35e2aac" xsi:nil="true"/>
    <LastHandOff xmlns="e5d022ff-4ce9-4922-b5a4-f245e35e2aac" xsi:nil="true"/>
    <AssetStart xmlns="e5d022ff-4ce9-4922-b5a4-f245e35e2aac">2010-11-04T19:53:40+00:00</AssetStart>
    <TPClientViewer xmlns="e5d022ff-4ce9-4922-b5a4-f245e35e2aac" xsi:nil="true"/>
    <UACurrentWords xmlns="e5d022ff-4ce9-4922-b5a4-f245e35e2aac" xsi:nil="true"/>
    <ArtSampleDocs xmlns="e5d022ff-4ce9-4922-b5a4-f245e35e2aac" xsi:nil="true"/>
    <UALocRecommendation xmlns="e5d022ff-4ce9-4922-b5a4-f245e35e2aac">Localize</UALocRecommendation>
    <Manager xmlns="e5d022ff-4ce9-4922-b5a4-f245e35e2aac" xsi:nil="true"/>
    <ShowIn xmlns="e5d022ff-4ce9-4922-b5a4-f245e35e2aac">Show everywhere</ShowIn>
    <UANotes xmlns="e5d022ff-4ce9-4922-b5a4-f245e35e2aac" xsi:nil="true"/>
    <TemplateStatus xmlns="e5d022ff-4ce9-4922-b5a4-f245e35e2aac" xsi:nil="true"/>
    <CSXHash xmlns="e5d022ff-4ce9-4922-b5a4-f245e35e2aac" xsi:nil="true"/>
    <Downloads xmlns="e5d022ff-4ce9-4922-b5a4-f245e35e2aac">0</Downloads>
    <VoteCount xmlns="e5d022ff-4ce9-4922-b5a4-f245e35e2aac" xsi:nil="true"/>
    <OOCacheId xmlns="e5d022ff-4ce9-4922-b5a4-f245e35e2aac" xsi:nil="true"/>
    <IsDeleted xmlns="e5d022ff-4ce9-4922-b5a4-f245e35e2aac">false</IsDeleted>
    <AssetExpire xmlns="e5d022ff-4ce9-4922-b5a4-f245e35e2aac">2029-05-12T07:00:00+00:00</AssetExpire>
    <DSATActionTaken xmlns="e5d022ff-4ce9-4922-b5a4-f245e35e2aac" xsi:nil="true"/>
    <CSXSubmissionMarket xmlns="e5d022ff-4ce9-4922-b5a4-f245e35e2aac" xsi:nil="true"/>
    <TPExecutable xmlns="e5d022ff-4ce9-4922-b5a4-f245e35e2aac" xsi:nil="true"/>
    <EditorialTags xmlns="e5d022ff-4ce9-4922-b5a4-f245e35e2aac" xsi:nil="true"/>
    <SubmitterId xmlns="e5d022ff-4ce9-4922-b5a4-f245e35e2aac" xsi:nil="true"/>
    <ApprovalLog xmlns="e5d022ff-4ce9-4922-b5a4-f245e35e2aac" xsi:nil="true"/>
    <BugNumber xmlns="e5d022ff-4ce9-4922-b5a4-f245e35e2aac" xsi:nil="true"/>
    <CSXSubmissionDate xmlns="e5d022ff-4ce9-4922-b5a4-f245e35e2aac" xsi:nil="true"/>
    <CSXUpdate xmlns="e5d022ff-4ce9-4922-b5a4-f245e35e2aac">false</CSXUpdate>
    <AssetType xmlns="e5d022ff-4ce9-4922-b5a4-f245e35e2aac" xsi:nil="true"/>
    <Milestone xmlns="e5d022ff-4ce9-4922-b5a4-f245e35e2aac" xsi:nil="true"/>
    <OriginAsset xmlns="e5d022ff-4ce9-4922-b5a4-f245e35e2aac" xsi:nil="true"/>
    <TPComponent xmlns="e5d022ff-4ce9-4922-b5a4-f245e35e2aac" xsi:nil="true"/>
    <AssetId xmlns="e5d022ff-4ce9-4922-b5a4-f245e35e2aac">TP102264312</AssetId>
    <PolicheckWords xmlns="e5d022ff-4ce9-4922-b5a4-f245e35e2aac" xsi:nil="true"/>
    <TPLaunchHelpLink xmlns="e5d022ff-4ce9-4922-b5a4-f245e35e2aac" xsi:nil="true"/>
    <IntlLocPriority xmlns="e5d022ff-4ce9-4922-b5a4-f245e35e2aac" xsi:nil="true"/>
    <TPApplication xmlns="e5d022ff-4ce9-4922-b5a4-f245e35e2aac" xsi:nil="true"/>
    <CrawlForDependencies xmlns="e5d022ff-4ce9-4922-b5a4-f245e35e2aac">false</CrawlForDependencies>
    <PlannedPubDate xmlns="e5d022ff-4ce9-4922-b5a4-f245e35e2aac">2010-11-04T19:53:00+00:00</PlannedPubDate>
    <HandoffToMSDN xmlns="e5d022ff-4ce9-4922-b5a4-f245e35e2aac">2010-11-04T19:53:00+00:00</HandoffToMSDN>
    <IntlLangReviewer xmlns="e5d022ff-4ce9-4922-b5a4-f245e35e2aac" xsi:nil="true"/>
    <TrustLevel xmlns="e5d022ff-4ce9-4922-b5a4-f245e35e2aac">1 Microsoft Managed Content</TrustLevel>
    <IsSearchable xmlns="e5d022ff-4ce9-4922-b5a4-f245e35e2aac">true</IsSearchable>
    <TemplateTemplateType xmlns="e5d022ff-4ce9-4922-b5a4-f245e35e2aac">Excel Spreadsheet Template</TemplateTemplateType>
    <TPNamespace xmlns="e5d022ff-4ce9-4922-b5a4-f245e35e2aac" xsi:nil="true"/>
    <Markets xmlns="e5d022ff-4ce9-4922-b5a4-f245e35e2aac"/>
    <LocOverallPublishStatusLookup xmlns="e5d022ff-4ce9-4922-b5a4-f245e35e2aac" xsi:nil="true"/>
    <LocOverallHandbackStatusLookup xmlns="e5d022ff-4ce9-4922-b5a4-f245e35e2aac" xsi:nil="true"/>
    <InternalTagsTaxHTField0 xmlns="e5d022ff-4ce9-4922-b5a4-f245e35e2aac">
      <Terms xmlns="http://schemas.microsoft.com/office/infopath/2007/PartnerControls"/>
    </InternalTagsTaxHTField0>
    <LocComments xmlns="e5d022ff-4ce9-4922-b5a4-f245e35e2aac" xsi:nil="true"/>
    <RecommendationsModifier xmlns="e5d022ff-4ce9-4922-b5a4-f245e35e2aac" xsi:nil="true"/>
    <LocOverallPreviewStatusLookup xmlns="e5d022ff-4ce9-4922-b5a4-f245e35e2aac" xsi:nil="true"/>
    <LocLastLocAttemptVersionLookup xmlns="e5d022ff-4ce9-4922-b5a4-f245e35e2aac">51609</LocLastLocAttemptVersionLookup>
    <LocLastLocAttemptVersionTypeLookup xmlns="e5d022ff-4ce9-4922-b5a4-f245e35e2aac" xsi:nil="true"/>
    <LocManualTestRequired xmlns="e5d022ff-4ce9-4922-b5a4-f245e35e2aac" xsi:nil="true"/>
    <LocProcessedForHandoffsLookup xmlns="e5d022ff-4ce9-4922-b5a4-f245e35e2aac" xsi:nil="true"/>
    <LocalizationTagsTaxHTField0 xmlns="e5d022ff-4ce9-4922-b5a4-f245e35e2aac">
      <Terms xmlns="http://schemas.microsoft.com/office/infopath/2007/PartnerControls"/>
    </LocalizationTagsTaxHTField0>
    <ScenarioTagsTaxHTField0 xmlns="e5d022ff-4ce9-4922-b5a4-f245e35e2aac">
      <Terms xmlns="http://schemas.microsoft.com/office/infopath/2007/PartnerControls"/>
    </ScenarioTagsTaxHTField0>
    <LocPublishedLinkedAssetsLookup xmlns="e5d022ff-4ce9-4922-b5a4-f245e35e2aac" xsi:nil="true"/>
    <LocNewPublishedVersionLookup xmlns="e5d022ff-4ce9-4922-b5a4-f245e35e2aac" xsi:nil="true"/>
    <LocProcessedForMarketsLookup xmlns="e5d022ff-4ce9-4922-b5a4-f245e35e2aac" xsi:nil="true"/>
    <LocRecommendedHandoff xmlns="e5d022ff-4ce9-4922-b5a4-f245e35e2aac" xsi:nil="true"/>
    <FeatureTagsTaxHTField0 xmlns="e5d022ff-4ce9-4922-b5a4-f245e35e2aac">
      <Terms xmlns="http://schemas.microsoft.com/office/infopath/2007/PartnerControls"/>
    </FeatureTagsTaxHTField0>
    <LocOverallLocStatusLookup xmlns="e5d022ff-4ce9-4922-b5a4-f245e35e2aac" xsi:nil="true"/>
    <TaxCatchAll xmlns="e5d022ff-4ce9-4922-b5a4-f245e35e2aac"/>
    <LocPublishedDependentAssetsLookup xmlns="e5d022ff-4ce9-4922-b5a4-f245e35e2aac" xsi:nil="true"/>
    <CampaignTagsTaxHTField0 xmlns="e5d022ff-4ce9-4922-b5a4-f245e35e2aac">
      <Terms xmlns="http://schemas.microsoft.com/office/infopath/2007/PartnerControls"/>
    </CampaignTagsTaxHTField0>
    <OriginalRelease xmlns="e5d022ff-4ce9-4922-b5a4-f245e35e2aac">14</OriginalRelease>
    <LocMarketGroupTiers2 xmlns="e5d022ff-4ce9-4922-b5a4-f245e35e2aa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D0F9B0A3-1675-4024-A83C-C91AE6B8A189}"/>
</file>

<file path=customXml/itemProps2.xml><?xml version="1.0" encoding="utf-8"?>
<ds:datastoreItem xmlns:ds="http://schemas.openxmlformats.org/officeDocument/2006/customXml" ds:itemID="{E8189B23-8AE5-4EE2-966E-90D1B80A9359}"/>
</file>

<file path=customXml/itemProps3.xml><?xml version="1.0" encoding="utf-8"?>
<ds:datastoreItem xmlns:ds="http://schemas.openxmlformats.org/officeDocument/2006/customXml" ds:itemID="{8449BF9F-1772-4721-AF4A-287C9FC2843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</vt:i4>
      </vt:variant>
    </vt:vector>
  </HeadingPairs>
  <TitlesOfParts>
    <vt:vector size="27" baseType="lpstr">
      <vt:lpstr>Tendências do Ano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'Tendências do Ano'!Area_de_Impressão</vt:lpstr>
      <vt:lpstr>Abr!Print_Area</vt:lpstr>
      <vt:lpstr>Ago!Print_Area</vt:lpstr>
      <vt:lpstr>Dez!Print_Area</vt:lpstr>
      <vt:lpstr>Fev!Print_Area</vt:lpstr>
      <vt:lpstr>Jan!Print_Area</vt:lpstr>
      <vt:lpstr>Jul!Print_Area</vt:lpstr>
      <vt:lpstr>Jun!Print_Area</vt:lpstr>
      <vt:lpstr>Mai!Print_Area</vt:lpstr>
      <vt:lpstr>Mar!Print_Area</vt:lpstr>
      <vt:lpstr>Nov!Print_Area</vt:lpstr>
      <vt:lpstr>Out!Print_Area</vt:lpstr>
      <vt:lpstr>Set!Print_Area</vt:lpstr>
      <vt:lpstr>'Tendências do Ano'!Print_Area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2010-10-18T22:47:15Z</dcterms:created>
  <dcterms:modified xsi:type="dcterms:W3CDTF">2012-05-30T10:49:46Z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Order">
    <vt:r8>7740100</vt:r8>
  </property>
  <property fmtid="{D5CDD505-2E9C-101B-9397-08002B2CF9AE}" pid="4" name="HiddenCategoryTags">
    <vt:lpwstr/>
  </property>
  <property fmtid="{D5CDD505-2E9C-101B-9397-08002B2CF9AE}" pid="5" name="InternalTags">
    <vt:lpwstr/>
  </property>
  <property fmtid="{D5CDD505-2E9C-101B-9397-08002B2CF9AE}" pid="6" name="FeatureTags">
    <vt:lpwstr/>
  </property>
  <property fmtid="{D5CDD505-2E9C-101B-9397-08002B2CF9AE}" pid="7" name="LocalizationTags">
    <vt:lpwstr/>
  </property>
  <property fmtid="{D5CDD505-2E9C-101B-9397-08002B2CF9AE}" pid="8" name="ImageGenStatus">
    <vt:i4>0</vt:i4>
  </property>
  <property fmtid="{D5CDD505-2E9C-101B-9397-08002B2CF9AE}" pid="9" name="CategoryTags">
    <vt:lpwstr/>
  </property>
  <property fmtid="{D5CDD505-2E9C-101B-9397-08002B2CF9AE}" pid="10" name="Applications">
    <vt:lpwstr/>
  </property>
  <property fmtid="{D5CDD505-2E9C-101B-9397-08002B2CF9AE}" pid="11" name="CampaignTags">
    <vt:lpwstr/>
  </property>
  <property fmtid="{D5CDD505-2E9C-101B-9397-08002B2CF9AE}" pid="12" name="ScenarioTags">
    <vt:lpwstr/>
  </property>
</Properties>
</file>