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lberto\Documents\Gilberto\Curso - Giba a distância\Planilhas enviadas para o Grupo ou outras pessoas\"/>
    </mc:Choice>
  </mc:AlternateContent>
  <bookViews>
    <workbookView xWindow="0" yWindow="0" windowWidth="14370" windowHeight="4410"/>
  </bookViews>
  <sheets>
    <sheet name="Comentários" sheetId="3" r:id="rId1"/>
    <sheet name="DIRF_Digitar" sheetId="1" r:id="rId2"/>
    <sheet name="Resumo_Informe de Rendimento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2" i="2" l="1"/>
  <c r="C10" i="2"/>
  <c r="C6" i="2"/>
  <c r="O29" i="1" l="1"/>
  <c r="N28" i="1"/>
  <c r="O28" i="1" s="1"/>
  <c r="O35" i="1" l="1"/>
  <c r="O34" i="1"/>
  <c r="O17" i="1" l="1"/>
  <c r="N18" i="1"/>
  <c r="M18" i="1"/>
  <c r="L18" i="1"/>
  <c r="K18" i="1"/>
  <c r="J18" i="1"/>
  <c r="I18" i="1"/>
  <c r="H18" i="1"/>
  <c r="G18" i="1"/>
  <c r="F18" i="1"/>
  <c r="E18" i="1"/>
  <c r="D18" i="1"/>
  <c r="C18" i="1"/>
  <c r="O22" i="1" l="1"/>
  <c r="O33" i="1"/>
  <c r="O32" i="1"/>
  <c r="O31" i="1"/>
  <c r="O21" i="1"/>
  <c r="O20" i="1"/>
  <c r="C3" i="2" s="1"/>
  <c r="O16" i="1"/>
  <c r="O13" i="1"/>
  <c r="O12" i="1"/>
  <c r="O11" i="1"/>
  <c r="O10" i="1"/>
  <c r="O9" i="1"/>
  <c r="O8" i="1"/>
  <c r="O7" i="1"/>
  <c r="O6" i="1"/>
  <c r="O23" i="1" l="1"/>
  <c r="C4" i="2" s="1"/>
  <c r="C7" i="2"/>
  <c r="N27" i="1" l="1"/>
  <c r="O27" i="1" s="1"/>
  <c r="N26" i="1"/>
  <c r="O26" i="1" s="1"/>
  <c r="O25" i="1"/>
  <c r="C9" i="2" s="1"/>
  <c r="O14" i="1"/>
  <c r="O18" i="1" s="1"/>
  <c r="C2" i="2" s="1"/>
</calcChain>
</file>

<file path=xl/comments1.xml><?xml version="1.0" encoding="utf-8"?>
<comments xmlns="http://schemas.openxmlformats.org/spreadsheetml/2006/main">
  <authors>
    <author>Gilberto</author>
  </authors>
  <commentList>
    <comment ref="N3" authorId="0" shapeId="0">
      <text>
        <r>
          <rPr>
            <b/>
            <sz val="9"/>
            <color indexed="81"/>
            <rFont val="Segoe UI"/>
            <family val="2"/>
          </rPr>
          <t>Nesta coluna lançar somente as férias dos funcionários que sairam em 02/01/2019, porque o pagamento ocorreu em 28/12/2018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<sst xmlns="http://schemas.openxmlformats.org/spreadsheetml/2006/main" count="81" uniqueCount="53">
  <si>
    <t>Salário</t>
  </si>
  <si>
    <t>Férias</t>
  </si>
  <si>
    <t>1/3 Férias</t>
  </si>
  <si>
    <t>Desc. Salário pago maior</t>
  </si>
  <si>
    <t>13º Salário</t>
  </si>
  <si>
    <t>INSS 13º Salário</t>
  </si>
  <si>
    <t>IRRF 13º Salário</t>
  </si>
  <si>
    <t>Total Rendimentos</t>
  </si>
  <si>
    <t>Total de Rendimentos</t>
  </si>
  <si>
    <t>Contribuição Previdenciária (INSS)</t>
  </si>
  <si>
    <t>Abono Pecuniário (Férias)</t>
  </si>
  <si>
    <t>IRRF sobre 13º Salário</t>
  </si>
  <si>
    <t>Plano de Saúde</t>
  </si>
  <si>
    <t>Indenização Rescisão</t>
  </si>
  <si>
    <t>Ad. Noturno + DSR</t>
  </si>
  <si>
    <t>Diferença de Salário</t>
  </si>
  <si>
    <t>Imposto Retido na Fonte</t>
  </si>
  <si>
    <t>Indenizações Rescisão</t>
  </si>
  <si>
    <t>Desc. Faltas + DSR + Atrasos</t>
  </si>
  <si>
    <t>Folha</t>
  </si>
  <si>
    <t>Pagto.</t>
  </si>
  <si>
    <t>Outros Rendimentos</t>
  </si>
  <si>
    <t>IRRF Adiantamento</t>
  </si>
  <si>
    <t>Pensão Alimenticia</t>
  </si>
  <si>
    <t>Dependentes</t>
  </si>
  <si>
    <t>Prêmios / Comissão</t>
  </si>
  <si>
    <t>INSS Salário + INSS Férias</t>
  </si>
  <si>
    <t>Exemplo: Salário, Horas Extras, DSR s/Horas Extras, Adicional Noturno, Férias gozadas, 1/3 Férias, Prêmio, etc</t>
  </si>
  <si>
    <t>COMENTÁRIOS</t>
  </si>
  <si>
    <t>Tem alguns campos que terá que digitar a soma dos dois eventos, exemplo, H.Extras + DSR Horas Extras (Fiz assim para não deixar a planilha muito grande)</t>
  </si>
  <si>
    <t>O 13º salário, o IRRF do 13º, o INSS do 13º e a Pensão Alimenticia do 13º tem campos especificos</t>
  </si>
  <si>
    <t>IRRF Salário + IRRF Férias</t>
  </si>
  <si>
    <t>Pensão Alimenticia 13º Sal.</t>
  </si>
  <si>
    <t>Dependentes 13º Salário</t>
  </si>
  <si>
    <r>
      <rPr>
        <b/>
        <sz val="11"/>
        <color theme="1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O valor do dependente a lançar referente o 13º salário, é somente no mês onde foi efetuado o pagamento da 2ª parcela</t>
    </r>
  </si>
  <si>
    <t xml:space="preserve">Para conferência, imprima a ficha financeira de alguns funcionários que tiveram IRRF descontado. Como o adiantamento e o pagamento são dentro do mês, </t>
  </si>
  <si>
    <t>H.Extras + DSR</t>
  </si>
  <si>
    <r>
      <rPr>
        <b/>
        <u/>
        <sz val="10"/>
        <color rgb="FFFF0000"/>
        <rFont val="Calibri"/>
        <family val="2"/>
        <scheme val="minor"/>
      </rPr>
      <t>Obs</t>
    </r>
    <r>
      <rPr>
        <b/>
        <sz val="10"/>
        <color rgb="FFFF0000"/>
        <rFont val="Calibri"/>
        <family val="2"/>
        <scheme val="minor"/>
      </rPr>
      <t>: Ler o comentário que</t>
    </r>
  </si>
  <si>
    <t xml:space="preserve">Conferir pelos totais nas células que estão na cor </t>
  </si>
  <si>
    <t xml:space="preserve"> , caso der alguma diferença, conferir pelo total do mês.</t>
  </si>
  <si>
    <t>Totais</t>
  </si>
  <si>
    <t>EVENTOS</t>
  </si>
  <si>
    <t>Caso tiver dependente para IRRF, o valor mensal  à lançar por dependente é  R$ 189,59</t>
  </si>
  <si>
    <r>
      <t xml:space="preserve">ATENÇÃO :   </t>
    </r>
    <r>
      <rPr>
        <b/>
        <u/>
        <sz val="11"/>
        <color theme="1"/>
        <rFont val="Calibri"/>
        <family val="2"/>
        <scheme val="minor"/>
      </rPr>
      <t>Digitar somente nas células que estão na cor</t>
    </r>
  </si>
  <si>
    <t>pode imprimir de 01/2018 a 12/2018. Imprimir também o relatório de conferencia da DIRF do seu sistema de folha</t>
  </si>
  <si>
    <t>Obs1: Os funcionários que sairam de férias em 02/01/2019  você terá que lançar os valores dos recibos, porque o pagamento foi em 28/12/2018</t>
  </si>
  <si>
    <t xml:space="preserve">Obs2: Os funcionários que sairam de férias em 02/01/2018,  você terá que fazer o contrário, ou se já, subtrair os valores dos recibos, porque o pagamento foi </t>
  </si>
  <si>
    <t>efetuado em: 28/12/2017, e na sua folha de 01/2018, os valores referente as férias destes funcionários estão no total, ou seja, juntos com os demais.</t>
  </si>
  <si>
    <t>Tem que digitar os valores mês a mês e evento por evento (Os eventos que irão compor o Total de Rendimentos são os que tem incidencia de IRRF).</t>
  </si>
  <si>
    <t>DIRF 2019 - ANO CALENDÁRIO 2018 - Adiantamento dia 15 e Pagamento dia 30</t>
  </si>
  <si>
    <t xml:space="preserve">TOTAL DE I.R.R.F. NO ANO DE 2018 - Soma das 2 linhas acima (IRRF Adiantamento + IRRF Salário + IRRF Férias)  </t>
  </si>
  <si>
    <t>que esta em "Férias 01/2019"</t>
  </si>
  <si>
    <t>Depois de tudo conferido, é só verificar se os valores importados para o aplicativo da DIRF estão corretos. (Confrontar com o relatóriio da folha ou a planilha)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</si>
</sst>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yy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4" fontId="0" fillId="0" borderId="0" xfId="0" applyNumberFormat="1"/>
    <xf numFmtId="0" fontId="0" fillId="0" borderId="0" xfId="0" applyBorder="1"/>
    <xf numFmtId="4" fontId="0" fillId="0" borderId="0" xfId="0" applyNumberFormat="1" applyBorder="1"/>
    <xf numFmtId="4" fontId="1" fillId="0" borderId="0" xfId="0" applyNumberFormat="1" applyFont="1" applyBorder="1"/>
    <xf numFmtId="0" fontId="1" fillId="0" borderId="0" xfId="0" applyFont="1" applyBorder="1"/>
    <xf numFmtId="0" fontId="0" fillId="3" borderId="0" xfId="0" applyFill="1"/>
    <xf numFmtId="4" fontId="0" fillId="0" borderId="0" xfId="0" applyNumberFormat="1" applyBorder="1" applyProtection="1">
      <protection locked="0"/>
    </xf>
    <xf numFmtId="4" fontId="1" fillId="5" borderId="19" xfId="0" applyNumberFormat="1" applyFont="1" applyFill="1" applyBorder="1"/>
    <xf numFmtId="4" fontId="11" fillId="5" borderId="5" xfId="0" applyNumberFormat="1" applyFont="1" applyFill="1" applyBorder="1"/>
    <xf numFmtId="4" fontId="11" fillId="5" borderId="7" xfId="0" applyNumberFormat="1" applyFont="1" applyFill="1" applyBorder="1"/>
    <xf numFmtId="0" fontId="2" fillId="8" borderId="7" xfId="0" applyFont="1" applyFill="1" applyBorder="1" applyAlignment="1" applyProtection="1">
      <alignment horizontal="center"/>
      <protection locked="0"/>
    </xf>
    <xf numFmtId="0" fontId="2" fillId="8" borderId="8" xfId="0" applyFont="1" applyFill="1" applyBorder="1" applyAlignment="1" applyProtection="1">
      <alignment horizontal="center"/>
      <protection locked="0"/>
    </xf>
    <xf numFmtId="0" fontId="2" fillId="8" borderId="15" xfId="0" applyFont="1" applyFill="1" applyBorder="1" applyAlignment="1" applyProtection="1">
      <alignment horizontal="center"/>
      <protection locked="0"/>
    </xf>
    <xf numFmtId="14" fontId="6" fillId="8" borderId="18" xfId="0" applyNumberFormat="1" applyFont="1" applyFill="1" applyBorder="1" applyAlignment="1" applyProtection="1">
      <alignment horizontal="center"/>
      <protection locked="0"/>
    </xf>
    <xf numFmtId="14" fontId="6" fillId="8" borderId="6" xfId="0" applyNumberFormat="1" applyFont="1" applyFill="1" applyBorder="1" applyAlignment="1" applyProtection="1">
      <alignment horizontal="center"/>
      <protection locked="0"/>
    </xf>
    <xf numFmtId="0" fontId="0" fillId="9" borderId="2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16" xfId="0" applyFill="1" applyBorder="1"/>
    <xf numFmtId="0" fontId="0" fillId="3" borderId="9" xfId="0" applyFill="1" applyBorder="1"/>
    <xf numFmtId="0" fontId="0" fillId="3" borderId="17" xfId="0" applyFill="1" applyBorder="1"/>
    <xf numFmtId="0" fontId="0" fillId="3" borderId="18" xfId="0" applyFill="1" applyBorder="1"/>
    <xf numFmtId="0" fontId="13" fillId="3" borderId="3" xfId="0" applyFont="1" applyFill="1" applyBorder="1"/>
    <xf numFmtId="0" fontId="2" fillId="8" borderId="16" xfId="0" applyFont="1" applyFill="1" applyBorder="1" applyAlignment="1" applyProtection="1">
      <alignment horizontal="center" vertical="center"/>
      <protection locked="0"/>
    </xf>
    <xf numFmtId="164" fontId="2" fillId="8" borderId="18" xfId="0" applyNumberFormat="1" applyFont="1" applyFill="1" applyBorder="1" applyAlignment="1" applyProtection="1">
      <alignment horizontal="center" vertical="center"/>
      <protection locked="0"/>
    </xf>
    <xf numFmtId="164" fontId="2" fillId="8" borderId="6" xfId="0" applyNumberFormat="1" applyFont="1" applyFill="1" applyBorder="1" applyAlignment="1" applyProtection="1">
      <alignment horizontal="center" vertical="center"/>
      <protection locked="0"/>
    </xf>
    <xf numFmtId="0" fontId="2" fillId="8" borderId="7" xfId="0" applyFont="1" applyFill="1" applyBorder="1" applyAlignment="1" applyProtection="1">
      <alignment horizontal="center" vertical="center"/>
      <protection locked="0"/>
    </xf>
    <xf numFmtId="0" fontId="2" fillId="8" borderId="8" xfId="0" applyFont="1" applyFill="1" applyBorder="1" applyAlignment="1" applyProtection="1">
      <alignment horizontal="center" vertical="center"/>
      <protection locked="0"/>
    </xf>
    <xf numFmtId="164" fontId="2" fillId="8" borderId="9" xfId="0" applyNumberFormat="1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164" fontId="5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" fontId="1" fillId="9" borderId="2" xfId="0" applyNumberFormat="1" applyFont="1" applyFill="1" applyBorder="1" applyAlignment="1" applyProtection="1">
      <alignment vertical="center"/>
      <protection locked="0"/>
    </xf>
    <xf numFmtId="4" fontId="1" fillId="9" borderId="1" xfId="0" applyNumberFormat="1" applyFont="1" applyFill="1" applyBorder="1" applyAlignment="1" applyProtection="1">
      <alignment vertical="center"/>
      <protection locked="0"/>
    </xf>
    <xf numFmtId="4" fontId="1" fillId="0" borderId="2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20" xfId="0" applyNumberFormat="1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4" fontId="1" fillId="2" borderId="10" xfId="0" applyNumberFormat="1" applyFont="1" applyFill="1" applyBorder="1" applyAlignment="1">
      <alignment vertical="center"/>
    </xf>
    <xf numFmtId="4" fontId="1" fillId="5" borderId="19" xfId="0" applyNumberFormat="1" applyFont="1" applyFill="1" applyBorder="1" applyAlignment="1">
      <alignment vertical="center"/>
    </xf>
    <xf numFmtId="4" fontId="1" fillId="9" borderId="10" xfId="0" applyNumberFormat="1" applyFont="1" applyFill="1" applyBorder="1" applyAlignment="1" applyProtection="1">
      <alignment vertical="center"/>
      <protection locked="0"/>
    </xf>
    <xf numFmtId="4" fontId="1" fillId="5" borderId="5" xfId="0" applyNumberFormat="1" applyFont="1" applyFill="1" applyBorder="1" applyAlignment="1">
      <alignment vertical="center"/>
    </xf>
    <xf numFmtId="4" fontId="1" fillId="5" borderId="6" xfId="0" applyNumberFormat="1" applyFont="1" applyFill="1" applyBorder="1" applyAlignment="1">
      <alignment vertical="center"/>
    </xf>
    <xf numFmtId="4" fontId="0" fillId="3" borderId="0" xfId="0" applyNumberFormat="1" applyFill="1"/>
    <xf numFmtId="0" fontId="1" fillId="3" borderId="0" xfId="0" applyFont="1" applyFill="1" applyBorder="1"/>
    <xf numFmtId="4" fontId="1" fillId="3" borderId="0" xfId="0" applyNumberFormat="1" applyFont="1" applyFill="1" applyBorder="1"/>
    <xf numFmtId="0" fontId="1" fillId="3" borderId="0" xfId="0" applyFont="1" applyFill="1"/>
    <xf numFmtId="4" fontId="1" fillId="3" borderId="0" xfId="0" applyNumberFormat="1" applyFont="1" applyFill="1"/>
    <xf numFmtId="0" fontId="7" fillId="3" borderId="0" xfId="0" applyFont="1" applyFill="1"/>
    <xf numFmtId="0" fontId="1" fillId="6" borderId="1" xfId="0" applyFont="1" applyFill="1" applyBorder="1" applyAlignment="1">
      <alignment vertical="center"/>
    </xf>
    <xf numFmtId="4" fontId="1" fillId="3" borderId="1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top"/>
    </xf>
    <xf numFmtId="0" fontId="2" fillId="6" borderId="7" xfId="0" applyFont="1" applyFill="1" applyBorder="1" applyAlignment="1">
      <alignment horizontal="center" vertical="top"/>
    </xf>
    <xf numFmtId="0" fontId="2" fillId="6" borderId="6" xfId="0" applyFont="1" applyFill="1" applyBorder="1" applyAlignment="1">
      <alignment horizontal="center" vertical="top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619125</xdr:colOff>
      <xdr:row>22</xdr:row>
      <xdr:rowOff>9525</xdr:rowOff>
    </xdr:from>
    <xdr:to>
      <xdr:col>13</xdr:col>
      <xdr:colOff>206883</xdr:colOff>
      <xdr:row>22</xdr:row>
      <xdr:rowOff>180975</xdr:rowOff>
    </xdr:to>
    <xdr:sp macro="" textlink="">
      <xdr:nvSpPr>
        <xdr:cNvPr id="3" name="Seta para a direita 2"/>
        <xdr:cNvSpPr/>
      </xdr:nvSpPr>
      <xdr:spPr>
        <a:xfrm>
          <a:off x="9229725" y="3686175"/>
          <a:ext cx="978408" cy="171450"/>
        </a:xfrm>
        <a:prstGeom prst="rightArrow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219075</xdr:colOff>
      <xdr:row>2</xdr:row>
      <xdr:rowOff>28574</xdr:rowOff>
    </xdr:from>
    <xdr:to>
      <xdr:col>14</xdr:col>
      <xdr:colOff>457200</xdr:colOff>
      <xdr:row>4</xdr:row>
      <xdr:rowOff>66674</xdr:rowOff>
    </xdr:to>
    <xdr:sp macro="" textlink="">
      <xdr:nvSpPr>
        <xdr:cNvPr id="4" name="Seta para baixo 3"/>
        <xdr:cNvSpPr/>
      </xdr:nvSpPr>
      <xdr:spPr>
        <a:xfrm>
          <a:off x="10915650" y="438149"/>
          <a:ext cx="238125" cy="4476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"/>
  <sheetViews>
    <sheetView tabSelected="1" workbookViewId="0"/>
  </sheetViews>
  <sheetFormatPr defaultRowHeight="15" x14ac:dyDescent="0.25"/>
  <cols>
    <col min="1" max="15" width="9.140625" style="6"/>
    <col min="16" max="16" width="12.140625" style="6" customWidth="1"/>
    <col min="17" max="16384" width="9.140625" style="6"/>
  </cols>
  <sheetData>
    <row r="1" spans="2:16" ht="15.75" thickBot="1" x14ac:dyDescent="0.3"/>
    <row r="2" spans="2:16" ht="16.5" thickBot="1" x14ac:dyDescent="0.3">
      <c r="B2" s="60" t="s">
        <v>28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2"/>
    </row>
    <row r="3" spans="2:16" ht="14.1" customHeight="1" thickBot="1" x14ac:dyDescent="0.3"/>
    <row r="4" spans="2:16" x14ac:dyDescent="0.25">
      <c r="B4" s="20" t="s">
        <v>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</row>
    <row r="5" spans="2:16" x14ac:dyDescent="0.25">
      <c r="B5" s="23" t="s">
        <v>44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5"/>
    </row>
    <row r="6" spans="2:16" x14ac:dyDescent="0.25">
      <c r="B6" s="23" t="s">
        <v>45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5"/>
    </row>
    <row r="7" spans="2:16" x14ac:dyDescent="0.25">
      <c r="B7" s="23" t="s">
        <v>46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5"/>
    </row>
    <row r="8" spans="2:16" ht="15.75" thickBot="1" x14ac:dyDescent="0.3">
      <c r="B8" s="26" t="s">
        <v>47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8"/>
    </row>
    <row r="9" spans="2:16" ht="9.9499999999999993" customHeight="1" thickBot="1" x14ac:dyDescent="0.3"/>
    <row r="10" spans="2:16" x14ac:dyDescent="0.25">
      <c r="B10" s="20" t="s">
        <v>48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" ht="15.75" thickBot="1" x14ac:dyDescent="0.3">
      <c r="B11" s="26" t="s">
        <v>27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</row>
    <row r="12" spans="2:16" ht="9.9499999999999993" customHeight="1" thickBot="1" x14ac:dyDescent="0.3"/>
    <row r="13" spans="2:16" ht="15.75" thickBot="1" x14ac:dyDescent="0.3">
      <c r="B13" s="29" t="s">
        <v>43</v>
      </c>
      <c r="C13" s="18"/>
      <c r="D13" s="18"/>
      <c r="E13" s="18"/>
      <c r="F13" s="18"/>
      <c r="G13" s="18"/>
      <c r="H13" s="16"/>
      <c r="I13" s="18"/>
      <c r="J13" s="18"/>
      <c r="K13" s="18"/>
      <c r="L13" s="18"/>
      <c r="M13" s="18"/>
      <c r="N13" s="18"/>
      <c r="O13" s="18"/>
      <c r="P13" s="19"/>
    </row>
    <row r="14" spans="2:16" ht="15.75" thickBot="1" x14ac:dyDescent="0.3"/>
    <row r="15" spans="2:16" ht="15.75" thickBot="1" x14ac:dyDescent="0.3">
      <c r="B15" s="17" t="s">
        <v>29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</row>
    <row r="16" spans="2:16" ht="9.9499999999999993" customHeight="1" thickBot="1" x14ac:dyDescent="0.3"/>
    <row r="17" spans="2:16" ht="15.75" thickBot="1" x14ac:dyDescent="0.3">
      <c r="B17" s="17" t="s">
        <v>30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</row>
    <row r="18" spans="2:16" ht="9.9499999999999993" customHeight="1" thickBot="1" x14ac:dyDescent="0.3"/>
    <row r="19" spans="2:16" x14ac:dyDescent="0.25">
      <c r="B19" s="20" t="s">
        <v>42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</row>
    <row r="20" spans="2:16" ht="15.75" thickBot="1" x14ac:dyDescent="0.3">
      <c r="B20" s="26" t="s">
        <v>34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</row>
    <row r="21" spans="2:16" ht="9.9499999999999993" customHeight="1" thickBot="1" x14ac:dyDescent="0.3"/>
    <row r="22" spans="2:16" ht="15.75" thickBot="1" x14ac:dyDescent="0.3">
      <c r="B22" s="63" t="s">
        <v>38</v>
      </c>
      <c r="C22" s="64"/>
      <c r="D22" s="64"/>
      <c r="E22" s="64"/>
      <c r="F22" s="65"/>
      <c r="G22" s="8"/>
      <c r="H22" s="18" t="s">
        <v>39</v>
      </c>
      <c r="I22" s="18"/>
      <c r="J22" s="18"/>
      <c r="K22" s="18"/>
      <c r="L22" s="18"/>
      <c r="M22" s="18"/>
      <c r="N22" s="18"/>
      <c r="O22" s="18"/>
      <c r="P22" s="19"/>
    </row>
    <row r="23" spans="2:16" ht="9.9499999999999993" customHeight="1" thickBot="1" x14ac:dyDescent="0.3"/>
    <row r="24" spans="2:16" ht="15.75" thickBot="1" x14ac:dyDescent="0.3">
      <c r="B24" s="17" t="s">
        <v>52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</row>
  </sheetData>
  <sheetProtection password="CFCD" sheet="1" objects="1" scenarios="1"/>
  <mergeCells count="2">
    <mergeCell ref="B2:P2"/>
    <mergeCell ref="B22:F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0"/>
  <sheetViews>
    <sheetView workbookViewId="0">
      <selection activeCell="H12" sqref="H12"/>
    </sheetView>
  </sheetViews>
  <sheetFormatPr defaultRowHeight="15" x14ac:dyDescent="0.25"/>
  <cols>
    <col min="1" max="1" width="24.85546875" customWidth="1"/>
    <col min="2" max="14" width="10.42578125" customWidth="1"/>
    <col min="15" max="15" width="10.140625" bestFit="1" customWidth="1"/>
    <col min="16" max="19" width="9.140625" style="6"/>
  </cols>
  <sheetData>
    <row r="1" spans="1:15" ht="15.75" customHeight="1" thickBot="1" x14ac:dyDescent="0.3">
      <c r="A1" s="71" t="s">
        <v>49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5" ht="15.75" x14ac:dyDescent="0.25">
      <c r="A2" s="36" t="s">
        <v>37</v>
      </c>
      <c r="B2" s="30" t="s">
        <v>19</v>
      </c>
      <c r="C2" s="33" t="s">
        <v>19</v>
      </c>
      <c r="D2" s="33" t="s">
        <v>19</v>
      </c>
      <c r="E2" s="33" t="s">
        <v>19</v>
      </c>
      <c r="F2" s="33" t="s">
        <v>19</v>
      </c>
      <c r="G2" s="33" t="s">
        <v>19</v>
      </c>
      <c r="H2" s="33" t="s">
        <v>19</v>
      </c>
      <c r="I2" s="33" t="s">
        <v>19</v>
      </c>
      <c r="J2" s="33" t="s">
        <v>19</v>
      </c>
      <c r="K2" s="33" t="s">
        <v>19</v>
      </c>
      <c r="L2" s="33" t="s">
        <v>19</v>
      </c>
      <c r="M2" s="33" t="s">
        <v>19</v>
      </c>
      <c r="N2" s="34" t="s">
        <v>1</v>
      </c>
      <c r="O2" s="66" t="s">
        <v>40</v>
      </c>
    </row>
    <row r="3" spans="1:15" ht="16.5" thickBot="1" x14ac:dyDescent="0.3">
      <c r="A3" s="37" t="s">
        <v>51</v>
      </c>
      <c r="B3" s="31">
        <v>43101</v>
      </c>
      <c r="C3" s="32">
        <v>43132</v>
      </c>
      <c r="D3" s="31">
        <v>43160</v>
      </c>
      <c r="E3" s="32">
        <v>43191</v>
      </c>
      <c r="F3" s="31">
        <v>43221</v>
      </c>
      <c r="G3" s="32">
        <v>43252</v>
      </c>
      <c r="H3" s="31">
        <v>43282</v>
      </c>
      <c r="I3" s="32">
        <v>43313</v>
      </c>
      <c r="J3" s="31">
        <v>43344</v>
      </c>
      <c r="K3" s="32">
        <v>43374</v>
      </c>
      <c r="L3" s="31">
        <v>43405</v>
      </c>
      <c r="M3" s="32">
        <v>43435</v>
      </c>
      <c r="N3" s="35">
        <v>43466</v>
      </c>
      <c r="O3" s="67"/>
    </row>
    <row r="4" spans="1:15" ht="15.75" x14ac:dyDescent="0.25">
      <c r="A4" s="73" t="s">
        <v>41</v>
      </c>
      <c r="B4" s="13" t="s">
        <v>20</v>
      </c>
      <c r="C4" s="11" t="s">
        <v>20</v>
      </c>
      <c r="D4" s="11" t="s">
        <v>20</v>
      </c>
      <c r="E4" s="11" t="s">
        <v>20</v>
      </c>
      <c r="F4" s="11" t="s">
        <v>20</v>
      </c>
      <c r="G4" s="11" t="s">
        <v>20</v>
      </c>
      <c r="H4" s="11" t="s">
        <v>20</v>
      </c>
      <c r="I4" s="11" t="s">
        <v>20</v>
      </c>
      <c r="J4" s="11" t="s">
        <v>20</v>
      </c>
      <c r="K4" s="11" t="s">
        <v>20</v>
      </c>
      <c r="L4" s="11" t="s">
        <v>20</v>
      </c>
      <c r="M4" s="11" t="s">
        <v>20</v>
      </c>
      <c r="N4" s="12" t="s">
        <v>20</v>
      </c>
      <c r="O4" s="67"/>
    </row>
    <row r="5" spans="1:15" ht="12.95" customHeight="1" thickBot="1" x14ac:dyDescent="0.3">
      <c r="A5" s="74"/>
      <c r="B5" s="14">
        <v>43130</v>
      </c>
      <c r="C5" s="15">
        <v>43159</v>
      </c>
      <c r="D5" s="15">
        <v>43188</v>
      </c>
      <c r="E5" s="15">
        <v>43220</v>
      </c>
      <c r="F5" s="15">
        <v>43250</v>
      </c>
      <c r="G5" s="15">
        <v>43280</v>
      </c>
      <c r="H5" s="15">
        <v>43311</v>
      </c>
      <c r="I5" s="15">
        <v>43342</v>
      </c>
      <c r="J5" s="15">
        <v>43371</v>
      </c>
      <c r="K5" s="15">
        <v>43403</v>
      </c>
      <c r="L5" s="15">
        <v>43434</v>
      </c>
      <c r="M5" s="15">
        <v>43462</v>
      </c>
      <c r="N5" s="15">
        <v>43462</v>
      </c>
      <c r="O5" s="68"/>
    </row>
    <row r="6" spans="1:15" ht="12.95" customHeight="1" x14ac:dyDescent="0.25">
      <c r="A6" s="38" t="s">
        <v>0</v>
      </c>
      <c r="B6" s="41">
        <v>0</v>
      </c>
      <c r="C6" s="41">
        <v>0</v>
      </c>
      <c r="D6" s="41">
        <v>0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  <c r="M6" s="42">
        <v>0</v>
      </c>
      <c r="N6" s="42">
        <v>0</v>
      </c>
      <c r="O6" s="43">
        <f>B6+C6+D6+E6+F6+G6+H6+I6+J6+K6+L6+M6+N6</f>
        <v>0</v>
      </c>
    </row>
    <row r="7" spans="1:15" ht="12.95" customHeight="1" x14ac:dyDescent="0.25">
      <c r="A7" s="38" t="s">
        <v>36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3">
        <f t="shared" ref="O7:O16" si="0">B7+C7+D7+E7+F7+G7+H7+I7+J7+K7+L7+M7+N7</f>
        <v>0</v>
      </c>
    </row>
    <row r="8" spans="1:15" ht="12.95" customHeight="1" x14ac:dyDescent="0.25">
      <c r="A8" s="38" t="s">
        <v>1</v>
      </c>
      <c r="B8" s="42">
        <v>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3">
        <f t="shared" si="0"/>
        <v>0</v>
      </c>
    </row>
    <row r="9" spans="1:15" ht="12.95" customHeight="1" x14ac:dyDescent="0.25">
      <c r="A9" s="38" t="s">
        <v>2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3">
        <f t="shared" si="0"/>
        <v>0</v>
      </c>
    </row>
    <row r="10" spans="1:15" ht="12.95" customHeight="1" x14ac:dyDescent="0.25">
      <c r="A10" s="39" t="s">
        <v>14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3">
        <f t="shared" si="0"/>
        <v>0</v>
      </c>
    </row>
    <row r="11" spans="1:15" ht="12.95" customHeight="1" x14ac:dyDescent="0.25">
      <c r="A11" s="39" t="s">
        <v>25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3">
        <f t="shared" si="0"/>
        <v>0</v>
      </c>
    </row>
    <row r="12" spans="1:15" ht="12.95" customHeight="1" x14ac:dyDescent="0.25">
      <c r="A12" s="39" t="s">
        <v>15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3">
        <f t="shared" si="0"/>
        <v>0</v>
      </c>
    </row>
    <row r="13" spans="1:15" ht="12.95" customHeight="1" x14ac:dyDescent="0.25">
      <c r="A13" s="38" t="s">
        <v>21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3">
        <f t="shared" si="0"/>
        <v>0</v>
      </c>
    </row>
    <row r="14" spans="1:15" ht="12.95" customHeight="1" x14ac:dyDescent="0.25">
      <c r="A14" s="38" t="s">
        <v>21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3">
        <f t="shared" si="0"/>
        <v>0</v>
      </c>
    </row>
    <row r="15" spans="1:15" ht="6" customHeight="1" x14ac:dyDescent="0.25">
      <c r="A15" s="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4"/>
    </row>
    <row r="16" spans="1:15" ht="12.95" customHeight="1" x14ac:dyDescent="0.25">
      <c r="A16" s="38" t="s">
        <v>18</v>
      </c>
      <c r="B16" s="42">
        <v>0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4">
        <f t="shared" si="0"/>
        <v>0</v>
      </c>
    </row>
    <row r="17" spans="1:15" ht="12.95" customHeight="1" thickBot="1" x14ac:dyDescent="0.3">
      <c r="A17" s="38" t="s">
        <v>3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5">
        <f>B17+C17+D17+E17+F17+G17+H17+I17+J17+K17+L17+M17+N17</f>
        <v>0</v>
      </c>
    </row>
    <row r="18" spans="1:15" ht="12.95" customHeight="1" thickBot="1" x14ac:dyDescent="0.3">
      <c r="A18" s="40" t="s">
        <v>7</v>
      </c>
      <c r="B18" s="46">
        <f>B6+B7+B8+B9+B10+B11+B12++B13+B14-B16-B17</f>
        <v>0</v>
      </c>
      <c r="C18" s="46">
        <f t="shared" ref="C18:O18" si="1">C6+C7+C8+C9+C10+C11+C12++C13+C14-C16-C17</f>
        <v>0</v>
      </c>
      <c r="D18" s="46">
        <f t="shared" si="1"/>
        <v>0</v>
      </c>
      <c r="E18" s="46">
        <f t="shared" si="1"/>
        <v>0</v>
      </c>
      <c r="F18" s="46">
        <f t="shared" si="1"/>
        <v>0</v>
      </c>
      <c r="G18" s="46">
        <f t="shared" si="1"/>
        <v>0</v>
      </c>
      <c r="H18" s="46">
        <f t="shared" si="1"/>
        <v>0</v>
      </c>
      <c r="I18" s="46">
        <f t="shared" si="1"/>
        <v>0</v>
      </c>
      <c r="J18" s="46">
        <f t="shared" si="1"/>
        <v>0</v>
      </c>
      <c r="K18" s="46">
        <f t="shared" si="1"/>
        <v>0</v>
      </c>
      <c r="L18" s="46">
        <f t="shared" si="1"/>
        <v>0</v>
      </c>
      <c r="M18" s="46">
        <f t="shared" si="1"/>
        <v>0</v>
      </c>
      <c r="N18" s="47">
        <f t="shared" si="1"/>
        <v>0</v>
      </c>
      <c r="O18" s="48">
        <f t="shared" si="1"/>
        <v>0</v>
      </c>
    </row>
    <row r="19" spans="1:15" ht="6" customHeight="1" thickBot="1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  <c r="N19" s="4"/>
      <c r="O19" s="4"/>
    </row>
    <row r="20" spans="1:15" ht="12.95" customHeight="1" thickBot="1" x14ac:dyDescent="0.3">
      <c r="A20" s="38" t="s">
        <v>26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9">
        <v>0</v>
      </c>
      <c r="O20" s="50">
        <f>B20+C20+D20+E20+F20+G20+H20+I20+J20+K20+L20+M20+N20</f>
        <v>0</v>
      </c>
    </row>
    <row r="21" spans="1:15" ht="12.95" customHeight="1" x14ac:dyDescent="0.25">
      <c r="A21" s="38" t="s">
        <v>22</v>
      </c>
      <c r="B21" s="42">
        <v>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9">
        <v>0</v>
      </c>
      <c r="O21" s="9">
        <f>B21+C21+D21+E21+F21+G21+H21+I21+J21+K21+L21+M21+N21</f>
        <v>0</v>
      </c>
    </row>
    <row r="22" spans="1:15" ht="12.95" customHeight="1" x14ac:dyDescent="0.25">
      <c r="A22" s="38" t="s">
        <v>31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9">
        <v>0</v>
      </c>
      <c r="O22" s="10">
        <f>B22+C22+D22+E22+F22+G22+H22+I22+J22+K22+L22+M22+N22</f>
        <v>0</v>
      </c>
    </row>
    <row r="23" spans="1:15" ht="15" customHeight="1" thickBot="1" x14ac:dyDescent="0.3">
      <c r="A23" s="69" t="s">
        <v>50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51">
        <f>O21+O22</f>
        <v>0</v>
      </c>
    </row>
    <row r="24" spans="1:15" ht="6" customHeight="1" thickBo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2.95" customHeight="1" thickBot="1" x14ac:dyDescent="0.3">
      <c r="A25" s="38" t="s">
        <v>4</v>
      </c>
      <c r="B25" s="42">
        <v>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9">
        <v>0</v>
      </c>
      <c r="O25" s="48">
        <f t="shared" ref="O25:O33" si="2">B25+C25+D25+E25+F25+G25+H25+I25+J25+K25+L25+M25+N25</f>
        <v>0</v>
      </c>
    </row>
    <row r="26" spans="1:15" ht="12.95" customHeight="1" thickBot="1" x14ac:dyDescent="0.3">
      <c r="A26" s="38" t="s">
        <v>5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9">
        <f t="shared" ref="N26:N27" si="3">B26+C26+D26+E26+F26+G26+H26+I26+J26+K26+L26+M26</f>
        <v>0</v>
      </c>
      <c r="O26" s="48">
        <f t="shared" si="2"/>
        <v>0</v>
      </c>
    </row>
    <row r="27" spans="1:15" ht="12.95" customHeight="1" thickBot="1" x14ac:dyDescent="0.3">
      <c r="A27" s="38" t="s">
        <v>6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9">
        <f t="shared" si="3"/>
        <v>0</v>
      </c>
      <c r="O27" s="48">
        <f t="shared" si="2"/>
        <v>0</v>
      </c>
    </row>
    <row r="28" spans="1:15" ht="12.95" customHeight="1" thickBot="1" x14ac:dyDescent="0.3">
      <c r="A28" s="38" t="s">
        <v>32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9">
        <f t="shared" ref="N28" si="4">B28+C28+D28+E28+F28+G28+H28+I28+J28+K28+L28+M28</f>
        <v>0</v>
      </c>
      <c r="O28" s="48">
        <f t="shared" ref="O28" si="5">B28+C28+D28+E28+F28+G28+H28+I28+J28+K28+L28+M28+N28</f>
        <v>0</v>
      </c>
    </row>
    <row r="29" spans="1:15" ht="12.95" customHeight="1" thickBot="1" x14ac:dyDescent="0.3">
      <c r="A29" s="38" t="s">
        <v>33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9">
        <v>0</v>
      </c>
      <c r="O29" s="48">
        <f>B29+C29+D29+E29+F29+G29+H29+I29+J29+K29+L29+M29+N29</f>
        <v>0</v>
      </c>
    </row>
    <row r="30" spans="1:15" ht="6" customHeight="1" thickBot="1" x14ac:dyDescent="0.3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4"/>
    </row>
    <row r="31" spans="1:15" ht="12.95" customHeight="1" thickBot="1" x14ac:dyDescent="0.3">
      <c r="A31" s="38" t="s">
        <v>10</v>
      </c>
      <c r="B31" s="42">
        <v>0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9">
        <v>0</v>
      </c>
      <c r="O31" s="48">
        <f t="shared" si="2"/>
        <v>0</v>
      </c>
    </row>
    <row r="32" spans="1:15" ht="12.95" customHeight="1" thickBot="1" x14ac:dyDescent="0.3">
      <c r="A32" s="38" t="s">
        <v>12</v>
      </c>
      <c r="B32" s="42">
        <v>0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9">
        <v>0</v>
      </c>
      <c r="O32" s="48">
        <f t="shared" si="2"/>
        <v>0</v>
      </c>
    </row>
    <row r="33" spans="1:15" ht="12.95" customHeight="1" thickBot="1" x14ac:dyDescent="0.3">
      <c r="A33" s="38" t="s">
        <v>13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9">
        <v>0</v>
      </c>
      <c r="O33" s="48">
        <f t="shared" si="2"/>
        <v>0</v>
      </c>
    </row>
    <row r="34" spans="1:15" ht="12.95" customHeight="1" thickBot="1" x14ac:dyDescent="0.3">
      <c r="A34" s="38" t="s">
        <v>23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9">
        <v>0</v>
      </c>
      <c r="O34" s="48">
        <f t="shared" ref="O34" si="6">B34+C34+D34+E34+F34+G34+H34+I34+J34+K34+L34+M34+N34</f>
        <v>0</v>
      </c>
    </row>
    <row r="35" spans="1:15" ht="12.95" customHeight="1" thickBot="1" x14ac:dyDescent="0.3">
      <c r="A35" s="38" t="s">
        <v>24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9">
        <v>0</v>
      </c>
      <c r="O35" s="48">
        <f t="shared" ref="O35" si="7">B35+C35+D35+E35+F35+G35+H35+I35+J35+K35+L35+M35+N35</f>
        <v>0</v>
      </c>
    </row>
    <row r="36" spans="1:15" s="6" customFormat="1" x14ac:dyDescent="0.25"/>
    <row r="37" spans="1:15" s="6" customFormat="1" x14ac:dyDescent="0.25"/>
    <row r="38" spans="1:15" s="6" customFormat="1" x14ac:dyDescent="0.25"/>
    <row r="39" spans="1:15" s="6" customFormat="1" x14ac:dyDescent="0.25"/>
    <row r="40" spans="1:15" s="6" customFormat="1" x14ac:dyDescent="0.25"/>
    <row r="41" spans="1:15" s="6" customFormat="1" x14ac:dyDescent="0.25"/>
    <row r="42" spans="1:15" s="6" customFormat="1" x14ac:dyDescent="0.25"/>
    <row r="43" spans="1:15" s="6" customFormat="1" x14ac:dyDescent="0.25"/>
    <row r="44" spans="1:15" s="6" customFormat="1" x14ac:dyDescent="0.25"/>
    <row r="45" spans="1:15" s="6" customFormat="1" x14ac:dyDescent="0.25"/>
    <row r="46" spans="1:15" s="6" customFormat="1" x14ac:dyDescent="0.25"/>
    <row r="47" spans="1:15" s="6" customFormat="1" x14ac:dyDescent="0.25"/>
    <row r="48" spans="1:15" s="6" customFormat="1" x14ac:dyDescent="0.25"/>
    <row r="49" s="6" customFormat="1" x14ac:dyDescent="0.25"/>
    <row r="50" s="6" customFormat="1" x14ac:dyDescent="0.25"/>
  </sheetData>
  <sheetProtection password="CFCD" sheet="1" objects="1" scenarios="1"/>
  <mergeCells count="4">
    <mergeCell ref="O2:O5"/>
    <mergeCell ref="A23:N23"/>
    <mergeCell ref="A1:O1"/>
    <mergeCell ref="A4:A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N26:N28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workbookViewId="0"/>
  </sheetViews>
  <sheetFormatPr defaultRowHeight="15" x14ac:dyDescent="0.25"/>
  <cols>
    <col min="1" max="1" width="7.85546875" style="6" bestFit="1" customWidth="1"/>
    <col min="2" max="2" width="32" style="6" bestFit="1" customWidth="1"/>
    <col min="3" max="3" width="12.140625" style="52" bestFit="1" customWidth="1"/>
    <col min="4" max="4" width="12.7109375" style="6" bestFit="1" customWidth="1"/>
    <col min="5" max="5" width="12" style="6" bestFit="1" customWidth="1"/>
    <col min="6" max="6" width="6.28515625" style="6" bestFit="1" customWidth="1"/>
    <col min="7" max="7" width="9.7109375" style="6" customWidth="1"/>
    <col min="8" max="8" width="11.85546875" style="6" bestFit="1" customWidth="1"/>
    <col min="9" max="9" width="15.85546875" style="6" bestFit="1" customWidth="1"/>
    <col min="10" max="10" width="21.140625" style="6" bestFit="1" customWidth="1"/>
    <col min="11" max="11" width="20.85546875" style="6" bestFit="1" customWidth="1"/>
    <col min="12" max="12" width="22.140625" style="6" bestFit="1" customWidth="1"/>
    <col min="13" max="13" width="9.7109375" style="6" customWidth="1"/>
    <col min="14" max="14" width="11.28515625" style="6" bestFit="1" customWidth="1"/>
    <col min="15" max="15" width="9.5703125" style="6" bestFit="1" customWidth="1"/>
    <col min="16" max="16" width="12.7109375" style="6" bestFit="1" customWidth="1"/>
    <col min="17" max="17" width="22.85546875" style="6" bestFit="1" customWidth="1"/>
    <col min="18" max="18" width="9.140625" style="6"/>
    <col min="19" max="19" width="5" style="6" bestFit="1" customWidth="1"/>
    <col min="20" max="20" width="4.85546875" style="6" bestFit="1" customWidth="1"/>
    <col min="21" max="21" width="9.140625" style="6"/>
    <col min="22" max="22" width="10.28515625" style="6" bestFit="1" customWidth="1"/>
    <col min="23" max="23" width="14.85546875" style="6" bestFit="1" customWidth="1"/>
    <col min="24" max="24" width="14.7109375" style="6" bestFit="1" customWidth="1"/>
    <col min="25" max="16384" width="9.140625" style="6"/>
  </cols>
  <sheetData>
    <row r="1" spans="2:3" ht="13.5" customHeight="1" x14ac:dyDescent="0.25"/>
    <row r="2" spans="2:3" ht="13.5" customHeight="1" x14ac:dyDescent="0.25">
      <c r="B2" s="58" t="s">
        <v>8</v>
      </c>
      <c r="C2" s="59">
        <f>DIRF_Digitar!O18</f>
        <v>0</v>
      </c>
    </row>
    <row r="3" spans="2:3" ht="13.5" customHeight="1" x14ac:dyDescent="0.25">
      <c r="B3" s="58" t="s">
        <v>9</v>
      </c>
      <c r="C3" s="59">
        <f>DIRF_Digitar!O20</f>
        <v>0</v>
      </c>
    </row>
    <row r="4" spans="2:3" ht="13.5" customHeight="1" x14ac:dyDescent="0.25">
      <c r="B4" s="58" t="s">
        <v>16</v>
      </c>
      <c r="C4" s="59">
        <f>DIRF_Digitar!O23</f>
        <v>0</v>
      </c>
    </row>
    <row r="5" spans="2:3" ht="13.5" customHeight="1" x14ac:dyDescent="0.25">
      <c r="B5" s="53"/>
      <c r="C5" s="54"/>
    </row>
    <row r="6" spans="2:3" ht="13.5" customHeight="1" x14ac:dyDescent="0.25">
      <c r="B6" s="58" t="s">
        <v>17</v>
      </c>
      <c r="C6" s="59">
        <f>DIRF_Digitar!O33</f>
        <v>0</v>
      </c>
    </row>
    <row r="7" spans="2:3" ht="13.5" customHeight="1" x14ac:dyDescent="0.25">
      <c r="B7" s="58" t="s">
        <v>10</v>
      </c>
      <c r="C7" s="59">
        <f>DIRF_Digitar!M31</f>
        <v>0</v>
      </c>
    </row>
    <row r="8" spans="2:3" ht="13.5" customHeight="1" x14ac:dyDescent="0.25">
      <c r="B8" s="55"/>
      <c r="C8" s="56"/>
    </row>
    <row r="9" spans="2:3" ht="13.5" customHeight="1" x14ac:dyDescent="0.25">
      <c r="B9" s="58" t="s">
        <v>4</v>
      </c>
      <c r="C9" s="59">
        <f>DIRF_Digitar!O25-DIRF_Digitar!O26-DIRF_Digitar!O27-DIRF_Digitar!O28-DIRF_Digitar!O29</f>
        <v>0</v>
      </c>
    </row>
    <row r="10" spans="2:3" ht="13.5" customHeight="1" x14ac:dyDescent="0.25">
      <c r="B10" s="58" t="s">
        <v>11</v>
      </c>
      <c r="C10" s="59">
        <f>DIRF_Digitar!O27</f>
        <v>0</v>
      </c>
    </row>
    <row r="11" spans="2:3" ht="13.5" customHeight="1" x14ac:dyDescent="0.25">
      <c r="B11" s="55"/>
      <c r="C11" s="56"/>
    </row>
    <row r="12" spans="2:3" ht="13.5" customHeight="1" x14ac:dyDescent="0.25">
      <c r="B12" s="58" t="s">
        <v>12</v>
      </c>
      <c r="C12" s="59">
        <f>DIRF_Digitar!O32</f>
        <v>0</v>
      </c>
    </row>
    <row r="13" spans="2:3" ht="13.5" customHeight="1" x14ac:dyDescent="0.25"/>
    <row r="14" spans="2:3" ht="13.5" customHeight="1" x14ac:dyDescent="0.25"/>
    <row r="15" spans="2:3" ht="13.5" customHeight="1" x14ac:dyDescent="0.25">
      <c r="B15" s="57"/>
    </row>
    <row r="16" spans="2:3" ht="13.5" customHeight="1" x14ac:dyDescent="0.25"/>
    <row r="17" ht="13.5" customHeight="1" x14ac:dyDescent="0.25"/>
    <row r="18" ht="13.5" customHeight="1" x14ac:dyDescent="0.25"/>
    <row r="19" ht="12.95" customHeight="1" x14ac:dyDescent="0.25"/>
  </sheetData>
  <sheetProtection password="CFCD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Comentários</vt:lpstr>
      <vt:lpstr>DIRF_Digitar</vt:lpstr>
      <vt:lpstr>Resumo_Informe de Rendimentos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2016-10-03T16:08:19Z</dcterms:created>
  <dcterms:modified xsi:type="dcterms:W3CDTF">2019-01-14T13:01:13Z</dcterms:modified>
</cp:coreProperties>
</file>