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avia\Dropbox\Flávia\"/>
    </mc:Choice>
  </mc:AlternateContent>
  <bookViews>
    <workbookView xWindow="0" yWindow="0" windowWidth="15360" windowHeight="7695" tabRatio="697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5" i="8"/>
  <c r="B16" i="8"/>
  <c r="B17" i="8"/>
  <c r="C17" i="8" s="1"/>
  <c r="D14" i="8" s="1"/>
  <c r="D15" i="8" s="1"/>
  <c r="C4" i="8" s="1"/>
  <c r="B18" i="8"/>
  <c r="C18" i="8" s="1"/>
  <c r="B19" i="8"/>
  <c r="C14" i="8"/>
  <c r="C15" i="8"/>
  <c r="C16" i="8"/>
  <c r="K16" i="8"/>
  <c r="C19" i="8"/>
  <c r="K28" i="8"/>
  <c r="G29" i="8"/>
  <c r="H29" i="8"/>
  <c r="I29" i="8"/>
  <c r="I30" i="8" s="1"/>
  <c r="J29" i="8"/>
  <c r="G30" i="8"/>
  <c r="J30" i="8"/>
  <c r="L32" i="8"/>
  <c r="H15" i="8" l="1"/>
  <c r="H16" i="8" s="1"/>
  <c r="J15" i="8"/>
  <c r="J16" i="8" s="1"/>
  <c r="G31" i="8"/>
  <c r="I31" i="8"/>
  <c r="I32" i="8" s="1"/>
  <c r="K31" i="8"/>
  <c r="K32" i="8" s="1"/>
  <c r="G15" i="8"/>
  <c r="I15" i="8"/>
  <c r="I16" i="8" s="1"/>
  <c r="L15" i="8"/>
  <c r="L16" i="8" s="1"/>
  <c r="H31" i="8"/>
  <c r="H32" i="8" s="1"/>
  <c r="J31" i="8"/>
  <c r="J32" i="8" s="1"/>
  <c r="I33" i="8" l="1"/>
  <c r="J33" i="8"/>
  <c r="H33" i="8"/>
  <c r="M15" i="8"/>
  <c r="G16" i="8"/>
  <c r="K33" i="8"/>
  <c r="G32" i="8"/>
  <c r="M31" i="8"/>
  <c r="J17" i="8"/>
  <c r="J18" i="8" s="1"/>
  <c r="J19" i="8" l="1"/>
  <c r="J20" i="8"/>
  <c r="M32" i="8"/>
  <c r="N32" i="8" s="1"/>
  <c r="G33" i="8"/>
  <c r="G17" i="8"/>
  <c r="M16" i="8"/>
  <c r="M19" i="8" s="1"/>
  <c r="L17" i="8" s="1"/>
  <c r="L18" i="8" s="1"/>
  <c r="L33" i="8"/>
  <c r="K17" i="8"/>
  <c r="K18" i="8" s="1"/>
  <c r="I17" i="8"/>
  <c r="I18" i="8" s="1"/>
  <c r="H17" i="8"/>
  <c r="H18" i="8" s="1"/>
  <c r="M33" i="8" l="1"/>
  <c r="L19" i="8"/>
  <c r="L20" i="8"/>
  <c r="I20" i="8"/>
  <c r="I19" i="8"/>
  <c r="K20" i="8"/>
  <c r="K19" i="8"/>
  <c r="H19" i="8"/>
  <c r="H20" i="8"/>
  <c r="M17" i="8"/>
  <c r="G18" i="8"/>
  <c r="N17" i="8"/>
  <c r="N18" i="8" s="1"/>
  <c r="G20" i="8" l="1"/>
  <c r="G19" i="8"/>
  <c r="M20" i="8"/>
  <c r="N20" i="8" s="1"/>
  <c r="L22" i="8" s="1"/>
  <c r="L23" i="8" s="1"/>
  <c r="L24" i="8" s="1"/>
  <c r="H4" i="8" s="1"/>
  <c r="G21" i="8" l="1"/>
  <c r="I21" i="8"/>
  <c r="I22" i="8" s="1"/>
  <c r="I23" i="8" s="1"/>
  <c r="K21" i="8"/>
  <c r="K22" i="8" s="1"/>
  <c r="K23" i="8" s="1"/>
  <c r="H21" i="8"/>
  <c r="H22" i="8" s="1"/>
  <c r="H23" i="8" s="1"/>
  <c r="J21" i="8"/>
  <c r="J22" i="8" s="1"/>
  <c r="J23" i="8" s="1"/>
  <c r="M21" i="8" l="1"/>
  <c r="G22" i="8"/>
  <c r="M22" i="8" l="1"/>
  <c r="G23" i="8"/>
  <c r="B19" i="9"/>
  <c r="C19" i="9" s="1"/>
  <c r="B18" i="9"/>
  <c r="C18" i="9" s="1"/>
  <c r="B17" i="9"/>
  <c r="C17" i="9" s="1"/>
  <c r="C16" i="9"/>
  <c r="B16" i="9"/>
  <c r="B15" i="9"/>
  <c r="C15" i="9" s="1"/>
  <c r="B14" i="9"/>
  <c r="C14" i="9" s="1"/>
  <c r="D14" i="9" s="1"/>
  <c r="D15" i="9" s="1"/>
  <c r="C4" i="9" s="1"/>
  <c r="O11" i="8"/>
  <c r="O10" i="8"/>
  <c r="O9" i="8"/>
  <c r="G41" i="7"/>
  <c r="L40" i="7"/>
  <c r="J41" i="7" s="1"/>
  <c r="L31" i="7"/>
  <c r="L27" i="7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20" i="1"/>
  <c r="C20" i="1" s="1"/>
  <c r="C19" i="1"/>
  <c r="B19" i="1"/>
  <c r="C18" i="1"/>
  <c r="B18" i="1"/>
  <c r="B17" i="1"/>
  <c r="C17" i="1" s="1"/>
  <c r="B16" i="1"/>
  <c r="C16" i="1" s="1"/>
  <c r="B15" i="1"/>
  <c r="C15" i="1" s="1"/>
  <c r="C14" i="1"/>
  <c r="D14" i="1" s="1"/>
  <c r="D15" i="1" s="1"/>
  <c r="C4" i="1" s="1"/>
  <c r="B14" i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J36" i="8" l="1"/>
  <c r="H37" i="8"/>
  <c r="K36" i="8"/>
  <c r="G37" i="8"/>
  <c r="H36" i="8"/>
  <c r="L36" i="8"/>
  <c r="J37" i="8"/>
  <c r="G36" i="8"/>
  <c r="I37" i="8"/>
  <c r="I36" i="8"/>
  <c r="K37" i="8"/>
  <c r="M23" i="8"/>
  <c r="N23" i="8" s="1"/>
  <c r="H24" i="8" s="1"/>
  <c r="E4" i="8" s="1"/>
  <c r="G24" i="8"/>
  <c r="K24" i="8"/>
  <c r="I24" i="8"/>
  <c r="F4" i="8" s="1"/>
  <c r="J24" i="8"/>
  <c r="G4" i="8" s="1"/>
  <c r="D14" i="7"/>
  <c r="D15" i="7" s="1"/>
  <c r="K41" i="7"/>
  <c r="D14" i="3"/>
  <c r="D15" i="3" s="1"/>
  <c r="C4" i="3" s="1"/>
  <c r="I15" i="3" s="1"/>
  <c r="I16" i="3" s="1"/>
  <c r="M15" i="1"/>
  <c r="M16" i="1" s="1"/>
  <c r="I15" i="1"/>
  <c r="I16" i="1" s="1"/>
  <c r="L15" i="1"/>
  <c r="L16" i="1" s="1"/>
  <c r="H15" i="1"/>
  <c r="H16" i="1" s="1"/>
  <c r="K15" i="1"/>
  <c r="K16" i="1" s="1"/>
  <c r="G15" i="1"/>
  <c r="G16" i="1" s="1"/>
  <c r="J15" i="1"/>
  <c r="J16" i="1" s="1"/>
  <c r="I15" i="9"/>
  <c r="I16" i="9" s="1"/>
  <c r="L15" i="9"/>
  <c r="L16" i="9" s="1"/>
  <c r="H15" i="9"/>
  <c r="H16" i="9" s="1"/>
  <c r="K15" i="9"/>
  <c r="K16" i="9" s="1"/>
  <c r="G15" i="9"/>
  <c r="G16" i="9" s="1"/>
  <c r="J15" i="9"/>
  <c r="J16" i="9" s="1"/>
  <c r="I29" i="7"/>
  <c r="K28" i="7"/>
  <c r="G28" i="7"/>
  <c r="K29" i="7"/>
  <c r="G29" i="7"/>
  <c r="I28" i="7"/>
  <c r="H29" i="7"/>
  <c r="H28" i="7"/>
  <c r="J29" i="7"/>
  <c r="J28" i="7"/>
  <c r="H41" i="7"/>
  <c r="I41" i="7"/>
  <c r="D4" i="8" l="1"/>
  <c r="M24" i="8"/>
  <c r="C4" i="7"/>
  <c r="J35" i="7" s="1"/>
  <c r="J15" i="3"/>
  <c r="J16" i="3" s="1"/>
  <c r="G15" i="3"/>
  <c r="G16" i="3" s="1"/>
  <c r="K15" i="3"/>
  <c r="K16" i="3" s="1"/>
  <c r="H15" i="3"/>
  <c r="H16" i="3" s="1"/>
  <c r="L15" i="3"/>
  <c r="L16" i="3" s="1"/>
  <c r="M16" i="9"/>
  <c r="M19" i="9" s="1"/>
  <c r="K17" i="9" s="1"/>
  <c r="K18" i="9" s="1"/>
  <c r="G17" i="9"/>
  <c r="G17" i="1"/>
  <c r="N16" i="1"/>
  <c r="N19" i="1" s="1"/>
  <c r="L17" i="1"/>
  <c r="L18" i="1" s="1"/>
  <c r="L29" i="7"/>
  <c r="I17" i="9"/>
  <c r="I18" i="9" s="1"/>
  <c r="K17" i="1"/>
  <c r="K18" i="1" s="1"/>
  <c r="I17" i="1"/>
  <c r="I18" i="1" s="1"/>
  <c r="H17" i="9"/>
  <c r="H18" i="9" s="1"/>
  <c r="M17" i="1"/>
  <c r="M18" i="1" s="1"/>
  <c r="J4" i="1" s="1"/>
  <c r="L28" i="7"/>
  <c r="J17" i="9"/>
  <c r="J18" i="9" s="1"/>
  <c r="L17" i="9"/>
  <c r="L18" i="9" s="1"/>
  <c r="J17" i="1"/>
  <c r="J18" i="1" s="1"/>
  <c r="H17" i="1"/>
  <c r="H18" i="1" s="1"/>
  <c r="J30" i="7" l="1"/>
  <c r="J31" i="7" s="1"/>
  <c r="G35" i="7"/>
  <c r="G15" i="7"/>
  <c r="G16" i="7" s="1"/>
  <c r="J15" i="7"/>
  <c r="J16" i="7" s="1"/>
  <c r="I36" i="7"/>
  <c r="I15" i="7"/>
  <c r="I16" i="7" s="1"/>
  <c r="K15" i="7"/>
  <c r="K16" i="7" s="1"/>
  <c r="H15" i="7"/>
  <c r="H16" i="7" s="1"/>
  <c r="G36" i="7"/>
  <c r="J36" i="7"/>
  <c r="K36" i="7"/>
  <c r="H30" i="7"/>
  <c r="H31" i="7" s="1"/>
  <c r="G30" i="7"/>
  <c r="G31" i="7" s="1"/>
  <c r="L35" i="7"/>
  <c r="K35" i="7"/>
  <c r="K30" i="7"/>
  <c r="K31" i="7" s="1"/>
  <c r="H35" i="7"/>
  <c r="I35" i="7"/>
  <c r="I30" i="7"/>
  <c r="I31" i="7" s="1"/>
  <c r="H36" i="7"/>
  <c r="L15" i="7"/>
  <c r="L16" i="7" s="1"/>
  <c r="J17" i="3"/>
  <c r="J18" i="3" s="1"/>
  <c r="J19" i="3" s="1"/>
  <c r="I17" i="3"/>
  <c r="I18" i="3" s="1"/>
  <c r="F4" i="3" s="1"/>
  <c r="G17" i="3"/>
  <c r="G18" i="3" s="1"/>
  <c r="H17" i="3"/>
  <c r="H18" i="3" s="1"/>
  <c r="H19" i="3" s="1"/>
  <c r="M16" i="3"/>
  <c r="N16" i="3" s="1"/>
  <c r="K17" i="3" s="1"/>
  <c r="K18" i="3" s="1"/>
  <c r="H4" i="3" s="1"/>
  <c r="L17" i="3"/>
  <c r="L18" i="3" s="1"/>
  <c r="L19" i="3" s="1"/>
  <c r="K19" i="9"/>
  <c r="H4" i="9"/>
  <c r="L19" i="9"/>
  <c r="I4" i="9"/>
  <c r="H19" i="9"/>
  <c r="E4" i="9"/>
  <c r="I19" i="9"/>
  <c r="F4" i="9"/>
  <c r="L19" i="1"/>
  <c r="I4" i="1"/>
  <c r="J19" i="9"/>
  <c r="G4" i="9"/>
  <c r="E4" i="1"/>
  <c r="H19" i="1"/>
  <c r="I19" i="1"/>
  <c r="F4" i="1"/>
  <c r="G18" i="1"/>
  <c r="N17" i="1"/>
  <c r="O17" i="1"/>
  <c r="O18" i="1" s="1"/>
  <c r="G4" i="1"/>
  <c r="J19" i="1"/>
  <c r="K19" i="1"/>
  <c r="H4" i="1"/>
  <c r="N17" i="9"/>
  <c r="N18" i="9" s="1"/>
  <c r="G18" i="9"/>
  <c r="M17" i="9"/>
  <c r="M16" i="7" l="1"/>
  <c r="M19" i="7" s="1"/>
  <c r="K17" i="7" s="1"/>
  <c r="K18" i="7" s="1"/>
  <c r="K20" i="7" s="1"/>
  <c r="L17" i="7"/>
  <c r="L18" i="7" s="1"/>
  <c r="L19" i="7" s="1"/>
  <c r="I17" i="7"/>
  <c r="I18" i="7" s="1"/>
  <c r="I20" i="7" s="1"/>
  <c r="J17" i="7"/>
  <c r="J18" i="7" s="1"/>
  <c r="J20" i="7" s="1"/>
  <c r="H17" i="7"/>
  <c r="H18" i="7" s="1"/>
  <c r="H20" i="7" s="1"/>
  <c r="M31" i="7"/>
  <c r="G17" i="7"/>
  <c r="G18" i="7" s="1"/>
  <c r="G19" i="7" s="1"/>
  <c r="L32" i="7"/>
  <c r="H32" i="7"/>
  <c r="J32" i="7"/>
  <c r="M30" i="7"/>
  <c r="G32" i="7"/>
  <c r="I32" i="7"/>
  <c r="K19" i="3"/>
  <c r="E4" i="3"/>
  <c r="I4" i="3"/>
  <c r="G4" i="3"/>
  <c r="I19" i="3"/>
  <c r="M17" i="3"/>
  <c r="M18" i="3" s="1"/>
  <c r="G19" i="1"/>
  <c r="D4" i="1"/>
  <c r="G19" i="9"/>
  <c r="D4" i="9"/>
  <c r="G19" i="3"/>
  <c r="D4" i="3"/>
  <c r="K19" i="7" l="1"/>
  <c r="G20" i="7"/>
  <c r="H19" i="7"/>
  <c r="N17" i="7"/>
  <c r="N18" i="7" s="1"/>
  <c r="I19" i="7"/>
  <c r="N31" i="7"/>
  <c r="K32" i="7" s="1"/>
  <c r="J19" i="7"/>
  <c r="L20" i="7"/>
  <c r="M20" i="7" s="1"/>
  <c r="N20" i="7" s="1"/>
  <c r="H21" i="7" s="1"/>
  <c r="H22" i="7" s="1"/>
  <c r="H23" i="7" s="1"/>
  <c r="M17" i="7"/>
  <c r="M32" i="7"/>
  <c r="K21" i="7" l="1"/>
  <c r="K22" i="7" s="1"/>
  <c r="K23" i="7" s="1"/>
  <c r="L22" i="7"/>
  <c r="L23" i="7" s="1"/>
  <c r="J21" i="7"/>
  <c r="J22" i="7" s="1"/>
  <c r="J23" i="7" s="1"/>
  <c r="I21" i="7"/>
  <c r="I22" i="7" s="1"/>
  <c r="I23" i="7" s="1"/>
  <c r="G21" i="7"/>
  <c r="M21" i="7" l="1"/>
  <c r="G22" i="7"/>
  <c r="G23" i="7" s="1"/>
  <c r="M22" i="7" l="1"/>
  <c r="M23" i="7"/>
  <c r="L24" i="7"/>
  <c r="I4" i="7" s="1"/>
  <c r="I24" i="7"/>
  <c r="F4" i="7" s="1"/>
  <c r="J24" i="7"/>
  <c r="G4" i="7" s="1"/>
  <c r="H24" i="7"/>
  <c r="E4" i="7" s="1"/>
  <c r="N23" i="7" l="1"/>
  <c r="K24" i="7" s="1"/>
  <c r="H4" i="7" s="1"/>
  <c r="G24" i="7"/>
  <c r="D4" i="7" s="1"/>
  <c r="P4" i="8"/>
  <c r="M24" i="7" l="1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<sst xmlns="http://schemas.openxmlformats.org/spreadsheetml/2006/main" count="232" uniqueCount="26">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</sst>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.0%"/>
    <numFmt numFmtId="167" formatCode="0.000%"/>
    <numFmt numFmtId="168" formatCode="0.0000%"/>
    <numFmt numFmtId="169" formatCode="0.00000%"/>
    <numFmt numFmtId="170" formatCode="0.000000%"/>
    <numFmt numFmtId="171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</cellStyleXfs>
  <cellXfs count="56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7" fontId="0" fillId="0" borderId="0" xfId="2" applyNumberFormat="1" applyFont="1"/>
    <xf numFmtId="167" fontId="0" fillId="0" borderId="0" xfId="0" applyNumberFormat="1"/>
    <xf numFmtId="168" fontId="0" fillId="0" borderId="0" xfId="2" applyNumberFormat="1" applyFont="1"/>
    <xf numFmtId="169" fontId="0" fillId="0" borderId="0" xfId="2" applyNumberFormat="1" applyFont="1"/>
    <xf numFmtId="170" fontId="0" fillId="0" borderId="0" xfId="0" applyNumberFormat="1"/>
    <xf numFmtId="166" fontId="0" fillId="0" borderId="0" xfId="0" applyNumberFormat="1"/>
    <xf numFmtId="165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70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7" fontId="5" fillId="2" borderId="0" xfId="0" applyNumberFormat="1" applyFont="1" applyFill="1"/>
    <xf numFmtId="10" fontId="10" fillId="0" borderId="0" xfId="0" applyNumberFormat="1" applyFont="1"/>
    <xf numFmtId="165" fontId="12" fillId="0" borderId="0" xfId="1" applyFont="1" applyFill="1" applyBorder="1" applyProtection="1"/>
    <xf numFmtId="165" fontId="12" fillId="0" borderId="3" xfId="1" applyFont="1" applyFill="1" applyBorder="1" applyProtection="1"/>
    <xf numFmtId="164" fontId="14" fillId="0" borderId="0" xfId="3" applyFont="1" applyFill="1" applyBorder="1" applyAlignment="1" applyProtection="1">
      <alignment vertical="center"/>
    </xf>
    <xf numFmtId="16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8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4" fillId="0" borderId="0" xfId="3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/>
    <xf numFmtId="0" fontId="19" fillId="2" borderId="0" xfId="0" applyFont="1" applyFill="1"/>
    <xf numFmtId="171" fontId="19" fillId="2" borderId="0" xfId="1" applyNumberFormat="1" applyFont="1" applyFill="1"/>
    <xf numFmtId="165" fontId="5" fillId="2" borderId="6" xfId="1" applyFont="1" applyFill="1" applyBorder="1"/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20"/>
  <sheetViews>
    <sheetView tabSelected="1" zoomScale="80" zoomScaleNormal="80" workbookViewId="0">
      <selection activeCell="B5" sqref="B5"/>
    </sheetView>
  </sheetViews>
  <sheetFormatPr defaultRowHeight="15" x14ac:dyDescent="0.25"/>
  <cols>
    <col min="1" max="1" width="23.710937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8554687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2" t="s">
        <v>6</v>
      </c>
      <c r="C2" s="54" t="s">
        <v>18</v>
      </c>
      <c r="D2" s="55" t="s">
        <v>19</v>
      </c>
      <c r="E2" s="55"/>
      <c r="F2" s="55"/>
      <c r="G2" s="55"/>
      <c r="H2" s="55"/>
      <c r="I2" s="55"/>
    </row>
    <row r="3" spans="1:14" ht="21.75" thickBot="1" x14ac:dyDescent="0.3">
      <c r="B3" s="53"/>
      <c r="C3" s="54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32.25" thickBot="1" x14ac:dyDescent="0.45">
      <c r="A4" s="19" t="s">
        <v>17</v>
      </c>
      <c r="B4" s="51">
        <v>1968888.89</v>
      </c>
      <c r="C4" s="20">
        <f>D15</f>
        <v>9.8699999999999996E-2</v>
      </c>
      <c r="D4" s="20">
        <f>G18</f>
        <v>5.4000000000000003E-3</v>
      </c>
      <c r="E4" s="20">
        <f t="shared" ref="E4:I4" si="0">H18</f>
        <v>3.5000000000000001E-3</v>
      </c>
      <c r="F4" s="20">
        <f t="shared" si="0"/>
        <v>1.26E-2</v>
      </c>
      <c r="G4" s="20">
        <f t="shared" si="0"/>
        <v>2.7000000000000001E-3</v>
      </c>
      <c r="H4" s="20">
        <f t="shared" si="0"/>
        <v>4.1399999999999999E-2</v>
      </c>
      <c r="I4" s="20">
        <f t="shared" si="0"/>
        <v>3.3099999999999997E-2</v>
      </c>
      <c r="M4" s="8"/>
    </row>
    <row r="5" spans="1:14" ht="32.25" customHeight="1" x14ac:dyDescent="0.25">
      <c r="G5" s="55" t="s">
        <v>21</v>
      </c>
      <c r="H5" s="55"/>
      <c r="I5" s="55"/>
      <c r="J5" s="55"/>
      <c r="K5" s="55"/>
      <c r="L5" s="55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9.8659999999999998E-2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9.8699999999999996E-2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5.4285000000000002E-3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3.4545000000000001E-3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1.2574380000000001E-2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2.72412E-3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4.1453999999999998E-2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3.3064500000000004E-2</v>
      </c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5.4000000000000003E-3</v>
      </c>
      <c r="H16" s="22">
        <f t="shared" ref="H16:L16" si="4">ROUND(H15,4)</f>
        <v>3.5000000000000001E-3</v>
      </c>
      <c r="I16" s="22">
        <f t="shared" si="4"/>
        <v>1.26E-2</v>
      </c>
      <c r="J16" s="22">
        <f t="shared" si="4"/>
        <v>2.7000000000000001E-3</v>
      </c>
      <c r="K16" s="22">
        <f t="shared" si="4"/>
        <v>4.1500000000000002E-2</v>
      </c>
      <c r="L16" s="22">
        <f t="shared" si="4"/>
        <v>3.3099999999999997E-2</v>
      </c>
      <c r="M16" s="4">
        <f>SUM(G16:L16)</f>
        <v>9.8799999999999999E-2</v>
      </c>
      <c r="N16" s="4">
        <f>C4-M16</f>
        <v>-1.0000000000000286E-4</v>
      </c>
    </row>
    <row r="17" spans="1:13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5.4000000000000003E-3</v>
      </c>
      <c r="H17" s="21">
        <f t="shared" si="5"/>
        <v>3.5000000000000001E-3</v>
      </c>
      <c r="I17" s="21">
        <f t="shared" si="5"/>
        <v>1.26E-2</v>
      </c>
      <c r="J17" s="21">
        <f t="shared" si="5"/>
        <v>2.7000000000000001E-3</v>
      </c>
      <c r="K17" s="21">
        <f t="shared" si="5"/>
        <v>4.1399999999999999E-2</v>
      </c>
      <c r="L17" s="21">
        <f t="shared" si="5"/>
        <v>3.3099999999999997E-2</v>
      </c>
      <c r="M17" s="23">
        <f>SUM(G17:L17)</f>
        <v>9.8699999999999982E-2</v>
      </c>
    </row>
    <row r="18" spans="1:13" ht="23.25" hidden="1" x14ac:dyDescent="0.35">
      <c r="A18" s="10" t="s">
        <v>14</v>
      </c>
      <c r="B18" s="3">
        <f t="shared" si="1"/>
        <v>9.8660270905383568E-2</v>
      </c>
      <c r="C18" s="4">
        <f t="shared" si="3"/>
        <v>9.8659999999999998E-2</v>
      </c>
      <c r="G18" s="21">
        <f>ROUND(G17,4)</f>
        <v>5.4000000000000003E-3</v>
      </c>
      <c r="H18" s="21">
        <f t="shared" ref="H18:L18" si="6">ROUND(H17,4)</f>
        <v>3.5000000000000001E-3</v>
      </c>
      <c r="I18" s="21">
        <f t="shared" si="6"/>
        <v>1.26E-2</v>
      </c>
      <c r="J18" s="21">
        <f t="shared" si="6"/>
        <v>2.7000000000000001E-3</v>
      </c>
      <c r="K18" s="21">
        <f t="shared" si="6"/>
        <v>4.1399999999999999E-2</v>
      </c>
      <c r="L18" s="21">
        <f t="shared" si="6"/>
        <v>3.3099999999999997E-2</v>
      </c>
      <c r="M18" s="11" t="str">
        <f>IF(C4=M17,"OK")</f>
        <v>OK</v>
      </c>
    </row>
    <row r="19" spans="1:13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-1.0000000000000286E-4</v>
      </c>
      <c r="L19" s="24">
        <f t="shared" si="7"/>
        <v>0</v>
      </c>
    </row>
    <row r="20" spans="1:13" hidden="1" x14ac:dyDescent="0.25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="80" zoomScaleNormal="8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 x14ac:dyDescent="0.25">
      <c r="B2" s="52" t="s">
        <v>6</v>
      </c>
      <c r="C2" s="54" t="s">
        <v>18</v>
      </c>
      <c r="D2" s="55" t="s">
        <v>19</v>
      </c>
      <c r="E2" s="55"/>
      <c r="F2" s="55"/>
      <c r="G2" s="55"/>
      <c r="H2" s="55"/>
      <c r="I2" s="55"/>
    </row>
    <row r="3" spans="1:22" ht="21" x14ac:dyDescent="0.25">
      <c r="B3" s="52"/>
      <c r="C3" s="54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5" t="s">
        <v>21</v>
      </c>
      <c r="H5" s="55"/>
      <c r="I5" s="55"/>
      <c r="J5" s="55"/>
      <c r="K5" s="55"/>
      <c r="L5" s="55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5">
      <c r="A13" s="10"/>
      <c r="B13" s="3"/>
      <c r="C13" s="4"/>
    </row>
    <row r="14" spans="1:22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5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5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5">
      <c r="A21" s="10"/>
      <c r="B21" s="3"/>
      <c r="C21" s="4"/>
    </row>
    <row r="22" spans="1:15" x14ac:dyDescent="0.2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42"/>
  <sheetViews>
    <sheetView zoomScale="80" zoomScaleNormal="80" workbookViewId="0">
      <selection activeCell="C45" sqref="C45"/>
    </sheetView>
  </sheetViews>
  <sheetFormatPr defaultRowHeight="15" x14ac:dyDescent="0.2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85546875" bestFit="1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2" t="s">
        <v>6</v>
      </c>
      <c r="C2" s="54" t="s">
        <v>18</v>
      </c>
      <c r="D2" s="55" t="s">
        <v>19</v>
      </c>
      <c r="E2" s="55"/>
      <c r="F2" s="55"/>
      <c r="G2" s="55"/>
      <c r="H2" s="55"/>
      <c r="I2" s="55"/>
    </row>
    <row r="3" spans="1:14" ht="21.75" thickBot="1" x14ac:dyDescent="0.3">
      <c r="B3" s="53"/>
      <c r="C3" s="54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2.25" thickBot="1" x14ac:dyDescent="0.45">
      <c r="A4" s="19" t="s">
        <v>17</v>
      </c>
      <c r="B4" s="51">
        <v>1530276.08</v>
      </c>
      <c r="C4" s="20">
        <f>D15</f>
        <v>0.13669999999999999</v>
      </c>
      <c r="D4" s="20">
        <f t="shared" ref="D4:I4" si="0">G24</f>
        <v>5.4999999999999997E-3</v>
      </c>
      <c r="E4" s="20">
        <f t="shared" si="0"/>
        <v>4.7999999999999996E-3</v>
      </c>
      <c r="F4" s="20">
        <f t="shared" si="0"/>
        <v>1.8599999999999998E-2</v>
      </c>
      <c r="G4" s="20">
        <f t="shared" si="0"/>
        <v>4.0000000000000001E-3</v>
      </c>
      <c r="H4" s="20">
        <f t="shared" si="0"/>
        <v>5.9400000000000001E-2</v>
      </c>
      <c r="I4" s="20">
        <f t="shared" si="0"/>
        <v>4.4400000000000002E-2</v>
      </c>
    </row>
    <row r="5" spans="1:14" ht="32.25" customHeight="1" x14ac:dyDescent="0.25">
      <c r="G5" s="55" t="s">
        <v>21</v>
      </c>
      <c r="H5" s="55"/>
      <c r="I5" s="55"/>
      <c r="J5" s="55"/>
      <c r="K5" s="55"/>
      <c r="L5" s="55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0.13671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0.13669999999999999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5.4679999999999998E-3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4.7844999999999997E-3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1.8645879999999997E-2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4.04632E-3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5.9327799999999993E-2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4.4427499999999995E-2</v>
      </c>
      <c r="M15" s="48"/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5.4999999999999997E-3</v>
      </c>
      <c r="H16" s="22">
        <f t="shared" ref="H16:L16" si="4">ROUND(H15,4)</f>
        <v>4.7999999999999996E-3</v>
      </c>
      <c r="I16" s="22">
        <f t="shared" si="4"/>
        <v>1.8599999999999998E-2</v>
      </c>
      <c r="J16" s="22">
        <f t="shared" si="4"/>
        <v>4.0000000000000001E-3</v>
      </c>
      <c r="K16" s="22">
        <f t="shared" si="4"/>
        <v>5.9299999999999999E-2</v>
      </c>
      <c r="L16" s="22">
        <f t="shared" si="4"/>
        <v>4.4400000000000002E-2</v>
      </c>
      <c r="M16" s="4">
        <f>SUM(G16:L16)</f>
        <v>0.1366</v>
      </c>
    </row>
    <row r="17" spans="1:14" ht="23.25" hidden="1" x14ac:dyDescent="0.35">
      <c r="A17" s="10" t="s">
        <v>13</v>
      </c>
      <c r="B17" s="3">
        <f t="shared" si="1"/>
        <v>0.1367100848887346</v>
      </c>
      <c r="C17" s="4">
        <f t="shared" si="3"/>
        <v>0.13671</v>
      </c>
      <c r="G17" s="21">
        <f t="shared" ref="G17:L17" si="5">IF(G16=MAX($G$16:$L$16),(G16+$M$19),IF(G16&lt;&gt;MAX($G$16:$L$16),G16))</f>
        <v>5.4999999999999997E-3</v>
      </c>
      <c r="H17" s="21">
        <f t="shared" si="5"/>
        <v>4.7999999999999996E-3</v>
      </c>
      <c r="I17" s="21">
        <f t="shared" si="5"/>
        <v>1.8599999999999998E-2</v>
      </c>
      <c r="J17" s="21">
        <f t="shared" si="5"/>
        <v>4.0000000000000001E-3</v>
      </c>
      <c r="K17" s="21">
        <f t="shared" si="5"/>
        <v>5.9399999999999988E-2</v>
      </c>
      <c r="L17" s="21">
        <f t="shared" si="5"/>
        <v>4.4400000000000002E-2</v>
      </c>
      <c r="M17" s="4">
        <f>SUM(G17:L17)</f>
        <v>0.13669999999999999</v>
      </c>
      <c r="N17" s="23">
        <f>SUM(G17:L17)</f>
        <v>0.13669999999999999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5.4999999999999997E-3</v>
      </c>
      <c r="H18" s="21">
        <f t="shared" ref="H18:L18" si="6">ROUND(H17,4)</f>
        <v>4.7999999999999996E-3</v>
      </c>
      <c r="I18" s="21">
        <f t="shared" si="6"/>
        <v>1.8599999999999998E-2</v>
      </c>
      <c r="J18" s="21">
        <f t="shared" si="6"/>
        <v>4.0000000000000001E-3</v>
      </c>
      <c r="K18" s="21">
        <f t="shared" si="6"/>
        <v>5.9400000000000001E-2</v>
      </c>
      <c r="L18" s="21">
        <f t="shared" si="6"/>
        <v>4.4400000000000002E-2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1.0000000000000286E-4</v>
      </c>
      <c r="L19" s="21">
        <f t="shared" si="7"/>
        <v>0</v>
      </c>
      <c r="M19" s="4">
        <f>C4-M16</f>
        <v>9.9999999999988987E-5</v>
      </c>
    </row>
    <row r="20" spans="1:14" hidden="1" x14ac:dyDescent="0.25">
      <c r="A20" s="10"/>
      <c r="B20" s="3"/>
      <c r="C20" s="4"/>
      <c r="G20" s="21">
        <f>G18</f>
        <v>5.4999999999999997E-3</v>
      </c>
      <c r="H20" s="21">
        <f>H18</f>
        <v>4.7999999999999996E-3</v>
      </c>
      <c r="I20" s="21">
        <f>I18</f>
        <v>1.8599999999999998E-2</v>
      </c>
      <c r="J20" s="21">
        <f t="shared" ref="J20:L20" si="8">J18</f>
        <v>4.0000000000000001E-3</v>
      </c>
      <c r="K20" s="21">
        <f t="shared" si="8"/>
        <v>5.9400000000000001E-2</v>
      </c>
      <c r="L20" s="21">
        <f t="shared" si="8"/>
        <v>4.4400000000000002E-2</v>
      </c>
      <c r="M20" s="21">
        <f>L20-N14</f>
        <v>-5.6000000000000008E-3</v>
      </c>
      <c r="N20" s="21">
        <f>IF(M20&gt;0,M20,0)</f>
        <v>0</v>
      </c>
    </row>
    <row r="21" spans="1:14" hidden="1" x14ac:dyDescent="0.25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G22" s="21">
        <f>G18+G21</f>
        <v>5.4999999999999997E-3</v>
      </c>
      <c r="H22" s="21">
        <f t="shared" ref="H22:K22" si="10">H18+H21</f>
        <v>4.7999999999999996E-3</v>
      </c>
      <c r="I22" s="21">
        <f t="shared" si="10"/>
        <v>1.8599999999999998E-2</v>
      </c>
      <c r="J22" s="21">
        <f t="shared" si="10"/>
        <v>4.0000000000000001E-3</v>
      </c>
      <c r="K22" s="21">
        <f t="shared" si="10"/>
        <v>5.9400000000000001E-2</v>
      </c>
      <c r="L22" s="21">
        <f>L20-N20</f>
        <v>4.4400000000000002E-2</v>
      </c>
      <c r="M22" s="21">
        <f>SUM(G22:L22)</f>
        <v>0.13669999999999999</v>
      </c>
    </row>
    <row r="23" spans="1:14" hidden="1" x14ac:dyDescent="0.25">
      <c r="G23" s="21">
        <f>ROUND(G22,4)</f>
        <v>5.4999999999999997E-3</v>
      </c>
      <c r="H23" s="21">
        <f t="shared" ref="H23:K23" si="11">ROUND(H22,4)</f>
        <v>4.7999999999999996E-3</v>
      </c>
      <c r="I23" s="21">
        <f t="shared" si="11"/>
        <v>1.8599999999999998E-2</v>
      </c>
      <c r="J23" s="21">
        <f t="shared" si="11"/>
        <v>4.0000000000000001E-3</v>
      </c>
      <c r="K23" s="21">
        <f t="shared" si="11"/>
        <v>5.9400000000000001E-2</v>
      </c>
      <c r="L23" s="21">
        <f>TRUNC(L22,4)</f>
        <v>4.4400000000000002E-2</v>
      </c>
      <c r="M23" s="21">
        <f>SUM(G23:L23)</f>
        <v>0.13669999999999999</v>
      </c>
      <c r="N23" s="21">
        <f>M22-M23</f>
        <v>0</v>
      </c>
    </row>
    <row r="24" spans="1:14" ht="23.25" hidden="1" x14ac:dyDescent="0.35">
      <c r="A24" s="49" t="s">
        <v>25</v>
      </c>
      <c r="B24" s="50">
        <v>2064579</v>
      </c>
      <c r="G24" s="21">
        <f>IF(G23=MAX($G$23:$K$23),(G23+$N$23),IF(G23&lt;&gt;MAX($G$23:$K$23),G23))</f>
        <v>5.4999999999999997E-3</v>
      </c>
      <c r="H24" s="21">
        <f t="shared" ref="H24:L24" si="12">IF(H23=MAX($G$23:$L$23),(H23+$N$23),IF(H23&lt;&gt;MAX($G$23:$L$23),H23))</f>
        <v>4.7999999999999996E-3</v>
      </c>
      <c r="I24" s="21">
        <f t="shared" si="12"/>
        <v>1.8599999999999998E-2</v>
      </c>
      <c r="J24" s="21">
        <f t="shared" si="12"/>
        <v>4.0000000000000001E-3</v>
      </c>
      <c r="K24" s="21">
        <f t="shared" si="12"/>
        <v>5.9400000000000001E-2</v>
      </c>
      <c r="L24" s="21">
        <f t="shared" si="12"/>
        <v>4.4400000000000002E-2</v>
      </c>
      <c r="M24" s="23">
        <f>SUM(G24:L24)</f>
        <v>0.13669999999999999</v>
      </c>
    </row>
    <row r="25" spans="1:14" hidden="1" x14ac:dyDescent="0.25">
      <c r="G25" s="21"/>
      <c r="H25" s="21"/>
      <c r="I25" s="21"/>
      <c r="J25" s="21"/>
      <c r="K25" s="21"/>
      <c r="L25" s="21"/>
      <c r="M25" s="21"/>
    </row>
    <row r="26" spans="1:14" hidden="1" x14ac:dyDescent="0.25"/>
    <row r="27" spans="1:14" ht="15.75" hidden="1" thickBot="1" x14ac:dyDescent="0.3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3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5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5">
      <c r="G30" s="22">
        <f>($C$4-5%)*G29</f>
        <v>5.2150375939849615E-3</v>
      </c>
      <c r="H30" s="22">
        <f>($C$4-5%)*H29</f>
        <v>4.5631578947368419E-3</v>
      </c>
      <c r="I30" s="22">
        <f>($C$4-5%)*I29</f>
        <v>1.6714195488721804E-2</v>
      </c>
      <c r="J30" s="22">
        <f>($C$4-5%)*J29</f>
        <v>3.6244511278195478E-3</v>
      </c>
      <c r="K30" s="22">
        <f>($C$4-5%)*K29</f>
        <v>5.6583157894736828E-2</v>
      </c>
      <c r="L30" s="36">
        <v>0.05</v>
      </c>
      <c r="M30" s="37">
        <f>SUM(G30:L30)</f>
        <v>0.13669999999999999</v>
      </c>
    </row>
    <row r="31" spans="1:14" hidden="1" x14ac:dyDescent="0.25">
      <c r="G31" s="21">
        <f>ROUND(G30,4)</f>
        <v>5.1999999999999998E-3</v>
      </c>
      <c r="H31" s="21">
        <f t="shared" ref="H31:L31" si="15">ROUND(H30,4)</f>
        <v>4.5999999999999999E-3</v>
      </c>
      <c r="I31" s="21">
        <f t="shared" si="15"/>
        <v>1.67E-2</v>
      </c>
      <c r="J31" s="21">
        <f t="shared" si="15"/>
        <v>3.5999999999999999E-3</v>
      </c>
      <c r="K31" s="21">
        <f t="shared" si="15"/>
        <v>5.6599999999999998E-2</v>
      </c>
      <c r="L31" s="21">
        <f t="shared" si="15"/>
        <v>0.05</v>
      </c>
      <c r="M31" s="37">
        <f>SUM(G31:L31)</f>
        <v>0.13669999999999999</v>
      </c>
      <c r="N31" s="37">
        <f>-M31+M30</f>
        <v>0</v>
      </c>
    </row>
    <row r="32" spans="1:14" hidden="1" x14ac:dyDescent="0.25">
      <c r="G32" s="21">
        <f>IF(G31=MAX($G$31:$L$31),(G31+$N$31),IF(G31&lt;&gt;MAX($G$31:$L$31),G31))</f>
        <v>5.1999999999999998E-3</v>
      </c>
      <c r="H32" s="21">
        <f t="shared" ref="H32:K32" si="16">IF(H31=MAX($G$31:$L$31),(H31+$N$31),IF(H31&lt;&gt;MAX($G$31:$L$31),H31))</f>
        <v>4.5999999999999999E-3</v>
      </c>
      <c r="I32" s="21">
        <f t="shared" si="16"/>
        <v>1.67E-2</v>
      </c>
      <c r="J32" s="21">
        <f t="shared" si="16"/>
        <v>3.5999999999999999E-3</v>
      </c>
      <c r="K32" s="21">
        <f t="shared" si="16"/>
        <v>5.6599999999999998E-2</v>
      </c>
      <c r="L32" s="21">
        <f>IF(L31=MAX($G$16:$L$16),(L31+$M$19),IF(L31&lt;&gt;MAX($G$16:$L$16),L31))</f>
        <v>0.05</v>
      </c>
      <c r="M32" s="21">
        <f>SUM(G32:L32)</f>
        <v>0.13669999999999999</v>
      </c>
    </row>
    <row r="33" spans="7:12" hidden="1" x14ac:dyDescent="0.25"/>
    <row r="34" spans="7:12" hidden="1" x14ac:dyDescent="0.25"/>
    <row r="35" spans="7:12" hidden="1" x14ac:dyDescent="0.25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5">
      <c r="G36" s="22">
        <f>IF($C$4&gt;$N$4,($C$4-$R$8)*G29)</f>
        <v>8.2225563909774421E-3</v>
      </c>
      <c r="H36" s="22">
        <f t="shared" ref="H36:K36" si="18">IF($C$4&gt;$N$4,($C$4-$R$8)*H29)</f>
        <v>7.1947368421052633E-3</v>
      </c>
      <c r="I36" s="22">
        <f t="shared" si="18"/>
        <v>2.6353293233082706E-2</v>
      </c>
      <c r="J36" s="22">
        <f t="shared" si="18"/>
        <v>5.7146766917293224E-3</v>
      </c>
      <c r="K36" s="22">
        <f t="shared" si="18"/>
        <v>8.9214736842105249E-2</v>
      </c>
    </row>
    <row r="37" spans="7:12" hidden="1" x14ac:dyDescent="0.25"/>
    <row r="38" spans="7:12" hidden="1" x14ac:dyDescent="0.25"/>
    <row r="39" spans="7:12" hidden="1" x14ac:dyDescent="0.25"/>
    <row r="40" spans="7:12" ht="15.75" hidden="1" thickBot="1" x14ac:dyDescent="0.3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5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topLeftCell="A4" zoomScale="80" zoomScaleNormal="80" workbookViewId="0">
      <selection activeCell="B49" sqref="B49"/>
    </sheetView>
  </sheetViews>
  <sheetFormatPr defaultRowHeight="15" x14ac:dyDescent="0.25"/>
  <cols>
    <col min="1" max="1" width="23.7109375" customWidth="1"/>
    <col min="2" max="2" width="22.855468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2" t="s">
        <v>6</v>
      </c>
      <c r="C2" s="54" t="s">
        <v>18</v>
      </c>
      <c r="D2" s="55" t="s">
        <v>19</v>
      </c>
      <c r="E2" s="55"/>
      <c r="F2" s="55"/>
      <c r="G2" s="55"/>
      <c r="H2" s="55"/>
      <c r="I2" s="55"/>
    </row>
    <row r="3" spans="1:20" ht="21" x14ac:dyDescent="0.25">
      <c r="B3" s="52"/>
      <c r="C3" s="54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1530276.28</v>
      </c>
      <c r="C4" s="20">
        <f>D15</f>
        <v>0.114</v>
      </c>
      <c r="D4" s="20">
        <f>G24</f>
        <v>2.0299999999999999E-2</v>
      </c>
      <c r="E4" s="20">
        <f>H24</f>
        <v>2.1899999999999999E-2</v>
      </c>
      <c r="F4" s="20">
        <f>I24</f>
        <v>2.1499999999999998E-2</v>
      </c>
      <c r="G4" s="20">
        <f>J24</f>
        <v>4.7000000000000002E-3</v>
      </c>
      <c r="H4" s="20">
        <f>L24</f>
        <v>4.5600000000000002E-2</v>
      </c>
      <c r="P4" s="35">
        <f>K24</f>
        <v>0</v>
      </c>
    </row>
    <row r="5" spans="1:20" ht="32.25" customHeight="1" x14ac:dyDescent="0.25">
      <c r="G5" s="55" t="s">
        <v>21</v>
      </c>
      <c r="H5" s="55"/>
      <c r="I5" s="55"/>
      <c r="J5" s="55"/>
      <c r="K5" s="55"/>
      <c r="L5" s="55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5">
      <c r="A13" s="10"/>
      <c r="B13" s="3"/>
      <c r="C13" s="4"/>
      <c r="K13" s="32"/>
    </row>
    <row r="14" spans="1:20" hidden="1" x14ac:dyDescent="0.25">
      <c r="A14" s="10" t="s">
        <v>10</v>
      </c>
      <c r="B14" s="3" t="b">
        <f t="shared" ref="B14:B19" si="0">IF(AND($B$4&gt;=B7,$B$4&lt;=C7),($B$4*D7-E7)/$B$4)</f>
        <v>0</v>
      </c>
      <c r="C14" s="4">
        <f t="shared" ref="C14" si="1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0.114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5">
      <c r="A15" s="10" t="s">
        <v>11</v>
      </c>
      <c r="B15" s="3" t="b">
        <f t="shared" si="0"/>
        <v>0</v>
      </c>
      <c r="C15" s="4">
        <f>ROUND(B15,5)</f>
        <v>0</v>
      </c>
      <c r="D15" s="3">
        <f>ROUND(D14,4)</f>
        <v>0.114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2.0292000000000001E-2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2.1888000000000001E-2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2.1546000000000003E-2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4.6740000000000002E-3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4.5600000000000002E-2</v>
      </c>
      <c r="M15" s="48">
        <f>SUM(G15:L15)</f>
        <v>0.114</v>
      </c>
    </row>
    <row r="16" spans="1:20" hidden="1" x14ac:dyDescent="0.25">
      <c r="A16" s="10" t="s">
        <v>12</v>
      </c>
      <c r="B16" s="3" t="b">
        <f t="shared" si="0"/>
        <v>0</v>
      </c>
      <c r="C16" s="4">
        <f t="shared" ref="C16:C19" si="2">ROUND(B16,5)</f>
        <v>0</v>
      </c>
      <c r="G16" s="22">
        <f>ROUND(G15,4)</f>
        <v>2.0299999999999999E-2</v>
      </c>
      <c r="H16" s="22">
        <f t="shared" ref="H16:L16" si="3">ROUND(H15,4)</f>
        <v>2.1899999999999999E-2</v>
      </c>
      <c r="I16" s="22">
        <f t="shared" si="3"/>
        <v>2.1499999999999998E-2</v>
      </c>
      <c r="J16" s="22">
        <f t="shared" si="3"/>
        <v>4.7000000000000002E-3</v>
      </c>
      <c r="K16" s="22">
        <f t="shared" si="3"/>
        <v>0</v>
      </c>
      <c r="L16" s="22">
        <f t="shared" si="3"/>
        <v>4.5600000000000002E-2</v>
      </c>
      <c r="M16" s="4">
        <f>SUM(G16:L16)</f>
        <v>0.114</v>
      </c>
    </row>
    <row r="17" spans="1:14" ht="23.25" hidden="1" x14ac:dyDescent="0.35">
      <c r="A17" s="10" t="s">
        <v>13</v>
      </c>
      <c r="B17" s="3">
        <f t="shared" si="0"/>
        <v>0.11400469410660931</v>
      </c>
      <c r="C17" s="4">
        <f t="shared" si="2"/>
        <v>0.114</v>
      </c>
      <c r="G17" s="21">
        <f t="shared" ref="G17:L17" si="4">IF(G16=MAX($G$16:$L$16),(G16+$M$19),IF(G16&lt;&gt;MAX($G$16:$L$16),G16))</f>
        <v>2.0299999999999999E-2</v>
      </c>
      <c r="H17" s="21">
        <f t="shared" si="4"/>
        <v>2.1899999999999999E-2</v>
      </c>
      <c r="I17" s="21">
        <f t="shared" si="4"/>
        <v>2.1499999999999998E-2</v>
      </c>
      <c r="J17" s="21">
        <f t="shared" si="4"/>
        <v>4.7000000000000002E-3</v>
      </c>
      <c r="K17" s="21">
        <f t="shared" si="4"/>
        <v>0</v>
      </c>
      <c r="L17" s="21">
        <f t="shared" si="4"/>
        <v>4.5600000000000002E-2</v>
      </c>
      <c r="M17" s="4">
        <f>SUM(G17:L17)</f>
        <v>0.114</v>
      </c>
      <c r="N17" s="23">
        <f>SUM(G17:L17)</f>
        <v>0.114</v>
      </c>
    </row>
    <row r="18" spans="1:14" ht="23.25" hidden="1" x14ac:dyDescent="0.35">
      <c r="A18" s="10" t="s">
        <v>14</v>
      </c>
      <c r="B18" s="3" t="b">
        <f t="shared" si="0"/>
        <v>0</v>
      </c>
      <c r="C18" s="4">
        <f t="shared" si="2"/>
        <v>0</v>
      </c>
      <c r="G18" s="21">
        <f>ROUND(G17,4)</f>
        <v>2.0299999999999999E-2</v>
      </c>
      <c r="H18" s="21">
        <f t="shared" ref="H18:L18" si="5">ROUND(H17,4)</f>
        <v>2.1899999999999999E-2</v>
      </c>
      <c r="I18" s="21">
        <f t="shared" si="5"/>
        <v>2.1499999999999998E-2</v>
      </c>
      <c r="J18" s="21">
        <f t="shared" si="5"/>
        <v>4.7000000000000002E-3</v>
      </c>
      <c r="K18" s="21">
        <f t="shared" si="5"/>
        <v>0</v>
      </c>
      <c r="L18" s="21">
        <f t="shared" si="5"/>
        <v>4.5600000000000002E-2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0"/>
        <v>0</v>
      </c>
      <c r="C19" s="4">
        <f t="shared" si="2"/>
        <v>0</v>
      </c>
      <c r="G19" s="21">
        <f>G18-G16</f>
        <v>0</v>
      </c>
      <c r="H19" s="21">
        <f t="shared" ref="H19:L19" si="6">H18-H16</f>
        <v>0</v>
      </c>
      <c r="I19" s="21">
        <f t="shared" si="6"/>
        <v>0</v>
      </c>
      <c r="J19" s="21">
        <f t="shared" si="6"/>
        <v>0</v>
      </c>
      <c r="K19" s="21">
        <f t="shared" si="6"/>
        <v>0</v>
      </c>
      <c r="L19" s="21">
        <f t="shared" si="6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2.0299999999999999E-2</v>
      </c>
      <c r="H20" s="21">
        <f>H18</f>
        <v>2.1899999999999999E-2</v>
      </c>
      <c r="I20" s="21">
        <f>I18</f>
        <v>2.1499999999999998E-2</v>
      </c>
      <c r="J20" s="21">
        <f t="shared" ref="J20:L20" si="7">J18</f>
        <v>4.7000000000000002E-3</v>
      </c>
      <c r="K20" s="21">
        <f t="shared" si="7"/>
        <v>0</v>
      </c>
      <c r="L20" s="21">
        <f t="shared" si="7"/>
        <v>4.5600000000000002E-2</v>
      </c>
      <c r="M20" s="21">
        <f>L20-N9</f>
        <v>-4.4000000000000011E-3</v>
      </c>
      <c r="N20" s="21">
        <f>IF(M20&gt;0,M20,0)</f>
        <v>0</v>
      </c>
    </row>
    <row r="21" spans="1:14" hidden="1" x14ac:dyDescent="0.25">
      <c r="A21" s="10"/>
      <c r="B21" s="3"/>
      <c r="C21" s="4"/>
      <c r="G21" s="21">
        <f>$N$20*G29</f>
        <v>0</v>
      </c>
      <c r="H21" s="21">
        <f t="shared" ref="H21:K21" si="8">$N$20*H29</f>
        <v>0</v>
      </c>
      <c r="I21" s="21">
        <f t="shared" si="8"/>
        <v>0</v>
      </c>
      <c r="J21" s="21">
        <f t="shared" si="8"/>
        <v>0</v>
      </c>
      <c r="K21" s="21">
        <f t="shared" si="8"/>
        <v>0</v>
      </c>
      <c r="M21" s="21">
        <f>SUM(G21:L21)</f>
        <v>0</v>
      </c>
    </row>
    <row r="22" spans="1:14" hidden="1" x14ac:dyDescent="0.25">
      <c r="A22" s="10"/>
      <c r="B22" s="3"/>
      <c r="C22" s="4"/>
      <c r="G22" s="21">
        <f>G18+G21</f>
        <v>2.0299999999999999E-2</v>
      </c>
      <c r="H22" s="21">
        <f t="shared" ref="H22:K22" si="9">H18+H21</f>
        <v>2.1899999999999999E-2</v>
      </c>
      <c r="I22" s="21">
        <f t="shared" si="9"/>
        <v>2.1499999999999998E-2</v>
      </c>
      <c r="J22" s="21">
        <f t="shared" si="9"/>
        <v>4.7000000000000002E-3</v>
      </c>
      <c r="K22" s="21">
        <f t="shared" si="9"/>
        <v>0</v>
      </c>
      <c r="L22" s="21">
        <f>L20-N20</f>
        <v>4.5600000000000002E-2</v>
      </c>
      <c r="M22" s="21">
        <f>SUM(G22:L22)</f>
        <v>0.114</v>
      </c>
    </row>
    <row r="23" spans="1:14" hidden="1" x14ac:dyDescent="0.25">
      <c r="G23" s="21">
        <f>ROUND(G22,4)</f>
        <v>2.0299999999999999E-2</v>
      </c>
      <c r="H23" s="21">
        <f t="shared" ref="H23:K23" si="10">ROUND(H22,4)</f>
        <v>2.1899999999999999E-2</v>
      </c>
      <c r="I23" s="21">
        <f t="shared" si="10"/>
        <v>2.1499999999999998E-2</v>
      </c>
      <c r="J23" s="21">
        <f t="shared" si="10"/>
        <v>4.7000000000000002E-3</v>
      </c>
      <c r="K23" s="21">
        <f t="shared" si="10"/>
        <v>0</v>
      </c>
      <c r="L23" s="21">
        <f>TRUNC(L22,4)</f>
        <v>4.5600000000000002E-2</v>
      </c>
      <c r="M23" s="21">
        <f>SUM(G23:L23)</f>
        <v>0.114</v>
      </c>
      <c r="N23" s="21">
        <f>M22-M23</f>
        <v>0</v>
      </c>
    </row>
    <row r="24" spans="1:14" ht="23.25" hidden="1" x14ac:dyDescent="0.35">
      <c r="G24" s="21">
        <f>IF(G23=MAX($G$23:$J$23),(G23+$N$23),IF(G23&lt;&gt;MAX($G$23:$J$23),G23))</f>
        <v>2.0299999999999999E-2</v>
      </c>
      <c r="H24" s="21">
        <f t="shared" ref="H24:J24" si="11">IF(H23=MAX($G$23:$J$23),(H23+$N$23),IF(H23&lt;&gt;MAX($G$23:$J$23),H23))</f>
        <v>2.1899999999999999E-2</v>
      </c>
      <c r="I24" s="21">
        <f t="shared" si="11"/>
        <v>2.1499999999999998E-2</v>
      </c>
      <c r="J24" s="21">
        <f t="shared" si="11"/>
        <v>4.7000000000000002E-3</v>
      </c>
      <c r="K24" s="21">
        <f t="shared" ref="K24" si="12">IF(K23=MAX($G$23:$L$23),(K23+$N$23),IF(K23&lt;&gt;MAX($G$23:$L$23),K23))</f>
        <v>0</v>
      </c>
      <c r="L24" s="21">
        <f>L23</f>
        <v>4.5600000000000002E-2</v>
      </c>
      <c r="M24" s="23">
        <f>SUM(G24:L24)</f>
        <v>0.114</v>
      </c>
    </row>
    <row r="25" spans="1:14" hidden="1" x14ac:dyDescent="0.25"/>
    <row r="26" spans="1:14" hidden="1" x14ac:dyDescent="0.25"/>
    <row r="27" spans="1:14" hidden="1" x14ac:dyDescent="0.25"/>
    <row r="28" spans="1:14" ht="15.75" hidden="1" thickBot="1" x14ac:dyDescent="0.3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5">
      <c r="G29" s="21">
        <f>G28/$K$28</f>
        <v>0.31333333333333335</v>
      </c>
      <c r="H29" s="21">
        <f t="shared" ref="H29:J29" si="13">H28/$K$28</f>
        <v>0.32</v>
      </c>
      <c r="I29" s="21">
        <f t="shared" si="13"/>
        <v>0.30133333333333334</v>
      </c>
      <c r="J29" s="21">
        <f t="shared" si="13"/>
        <v>6.533333333333334E-2</v>
      </c>
      <c r="K29" s="21"/>
    </row>
    <row r="30" spans="1:14" hidden="1" x14ac:dyDescent="0.25">
      <c r="G30" s="21">
        <f>ROUND(G29,4)</f>
        <v>0.31330000000000002</v>
      </c>
      <c r="H30" s="21">
        <v>0.33110000000000001</v>
      </c>
      <c r="I30" s="21">
        <f t="shared" ref="I30:J30" si="14">ROUND(I29,4)</f>
        <v>0.30130000000000001</v>
      </c>
      <c r="J30" s="21">
        <f t="shared" si="14"/>
        <v>6.5299999999999997E-2</v>
      </c>
      <c r="K30" s="21"/>
    </row>
    <row r="31" spans="1:14" hidden="1" x14ac:dyDescent="0.25">
      <c r="G31" s="22">
        <f>($C$4-5%)*G30</f>
        <v>2.0051200000000002E-2</v>
      </c>
      <c r="H31" s="22">
        <f>($C$4-5%)*H30</f>
        <v>2.1190400000000002E-2</v>
      </c>
      <c r="I31" s="22">
        <f>($C$4-5%)*I30</f>
        <v>1.92832E-2</v>
      </c>
      <c r="J31" s="22">
        <f>($C$4-5%)*J30</f>
        <v>4.1792000000000001E-3</v>
      </c>
      <c r="K31" s="22">
        <f>($C$4-5%)*K30</f>
        <v>0</v>
      </c>
      <c r="L31" s="36">
        <v>0.05</v>
      </c>
      <c r="M31" s="37">
        <f>SUM(G31:L31)</f>
        <v>0.114704</v>
      </c>
    </row>
    <row r="32" spans="1:14" hidden="1" x14ac:dyDescent="0.25">
      <c r="G32" s="21">
        <f>ROUND(G31,4)</f>
        <v>2.01E-2</v>
      </c>
      <c r="H32" s="21">
        <f t="shared" ref="H32:L32" si="15">ROUND(H31,4)</f>
        <v>2.12E-2</v>
      </c>
      <c r="I32" s="21">
        <f t="shared" si="15"/>
        <v>1.9300000000000001E-2</v>
      </c>
      <c r="J32" s="21">
        <f t="shared" si="15"/>
        <v>4.1999999999999997E-3</v>
      </c>
      <c r="K32" s="21">
        <f t="shared" si="15"/>
        <v>0</v>
      </c>
      <c r="L32" s="21">
        <f t="shared" si="15"/>
        <v>0.05</v>
      </c>
      <c r="M32" s="37">
        <f>SUM(G32:L32)</f>
        <v>0.1148</v>
      </c>
      <c r="N32" s="37">
        <f>-M32+M31</f>
        <v>-9.5999999999998864E-5</v>
      </c>
    </row>
    <row r="33" spans="7:13" hidden="1" x14ac:dyDescent="0.25">
      <c r="G33" s="21">
        <f>IF(G32=MAX($G$31:$L$31),(G32+$N$31),IF(G32&lt;&gt;MAX($G$31:$L$31),G32))</f>
        <v>2.01E-2</v>
      </c>
      <c r="H33" s="21">
        <f t="shared" ref="H33:K33" si="16">IF(H32=MAX($G$31:$L$31),(H32+$N$31),IF(H32&lt;&gt;MAX($G$31:$L$31),H32))</f>
        <v>2.12E-2</v>
      </c>
      <c r="I33" s="21">
        <f t="shared" si="16"/>
        <v>1.9300000000000001E-2</v>
      </c>
      <c r="J33" s="21">
        <f t="shared" si="16"/>
        <v>4.1999999999999997E-3</v>
      </c>
      <c r="K33" s="21">
        <f t="shared" si="16"/>
        <v>0</v>
      </c>
      <c r="L33" s="21">
        <f>IF(L32=MAX($G$16:$L$16),(L32+$M$19),IF(L32&lt;&gt;MAX($G$16:$L$16),L32))</f>
        <v>0.05</v>
      </c>
      <c r="M33" s="21">
        <f>SUM(G33:L33)</f>
        <v>0.1148</v>
      </c>
    </row>
    <row r="34" spans="7:13" hidden="1" x14ac:dyDescent="0.25"/>
    <row r="35" spans="7:13" hidden="1" x14ac:dyDescent="0.25"/>
    <row r="36" spans="7:13" hidden="1" x14ac:dyDescent="0.25">
      <c r="G36" s="22">
        <f>IF($C$4&lt;=$O$9,($C$4)*G11)</f>
        <v>2.1432E-2</v>
      </c>
      <c r="H36" s="22">
        <f t="shared" ref="H36:J36" si="17">IF($C$4&lt;=$O$9,($C$4)*H11)</f>
        <v>2.1888000000000001E-2</v>
      </c>
      <c r="I36" s="22">
        <f t="shared" si="17"/>
        <v>2.06112E-2</v>
      </c>
      <c r="J36" s="22">
        <f t="shared" si="17"/>
        <v>4.4688000000000002E-3</v>
      </c>
      <c r="K36" s="22">
        <f>IF($C$4&lt;=$O$9,($C$4)*K11)</f>
        <v>0</v>
      </c>
      <c r="L36" s="22">
        <f>IF($C$4&lt;=$O$9,($C$4)*L11)</f>
        <v>4.5600000000000002E-2</v>
      </c>
    </row>
    <row r="37" spans="7:13" hidden="1" x14ac:dyDescent="0.25">
      <c r="G37" s="22" t="b">
        <f>IF($C$4&gt;$O$9,($C$4-$N$9)*G30)</f>
        <v>0</v>
      </c>
      <c r="H37" s="22" t="b">
        <f t="shared" ref="H37:K37" si="18">IF($C$4&gt;$O$9,($C$4-$N$9)*H30)</f>
        <v>0</v>
      </c>
      <c r="I37" s="22" t="b">
        <f t="shared" si="18"/>
        <v>0</v>
      </c>
      <c r="J37" s="22" t="b">
        <f t="shared" si="18"/>
        <v>0</v>
      </c>
      <c r="K37" s="22" t="b">
        <f t="shared" si="18"/>
        <v>0</v>
      </c>
    </row>
    <row r="38" spans="7:13" hidden="1" x14ac:dyDescent="0.25"/>
    <row r="39" spans="7:13" hidden="1" x14ac:dyDescent="0.25"/>
    <row r="40" spans="7:13" hidden="1" x14ac:dyDescent="0.25"/>
    <row r="41" spans="7:13" hidden="1" x14ac:dyDescent="0.25"/>
    <row r="42" spans="7:13" hidden="1" x14ac:dyDescent="0.25"/>
    <row r="43" spans="7:13" hidden="1" x14ac:dyDescent="0.25"/>
    <row r="44" spans="7:13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="80" zoomScaleNormal="80" workbookViewId="0">
      <selection activeCell="F13" sqref="F13"/>
    </sheetView>
  </sheetViews>
  <sheetFormatPr defaultRowHeight="15" x14ac:dyDescent="0.25"/>
  <cols>
    <col min="1" max="1" width="23.71093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2" t="s">
        <v>6</v>
      </c>
      <c r="C2" s="54" t="s">
        <v>18</v>
      </c>
      <c r="D2" s="55" t="s">
        <v>19</v>
      </c>
      <c r="E2" s="55"/>
      <c r="F2" s="55"/>
      <c r="G2" s="55"/>
      <c r="H2" s="55"/>
      <c r="I2" s="55"/>
    </row>
    <row r="3" spans="1:13" ht="21" x14ac:dyDescent="0.25">
      <c r="B3" s="52"/>
      <c r="C3" s="54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10000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5" t="s">
        <v>21</v>
      </c>
      <c r="H5" s="55"/>
      <c r="I5" s="55"/>
      <c r="J5" s="55"/>
      <c r="K5" s="55"/>
      <c r="L5" s="55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ht="16.5" customHeight="1" x14ac:dyDescent="0.25">
      <c r="A13" s="10"/>
      <c r="B13" s="3"/>
      <c r="C13" s="4"/>
    </row>
    <row r="14" spans="1:13" hidden="1" x14ac:dyDescent="0.25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1.5" customHeight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t="20.25" hidden="1" customHeight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t="5.25" customHeight="1" x14ac:dyDescent="0.25">
      <c r="A20" s="10"/>
      <c r="B20" s="3"/>
      <c r="C20" s="4"/>
    </row>
    <row r="21" spans="1:14" ht="13.5" customHeight="1" x14ac:dyDescent="0.25"/>
    <row r="22" spans="1:14" ht="12.75" customHeight="1" x14ac:dyDescent="0.25"/>
    <row r="23" spans="1:14" ht="19.5" customHeight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Flávia</cp:lastModifiedBy>
  <dcterms:created xsi:type="dcterms:W3CDTF">2015-03-08T09:25:42Z</dcterms:created>
  <dcterms:modified xsi:type="dcterms:W3CDTF">2018-02-08T12:46:00Z</dcterms:modified>
</cp:coreProperties>
</file>