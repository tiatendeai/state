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210" windowWidth="19155" windowHeight="7905" tabRatio="268"/>
  </bookViews>
  <sheets>
    <sheet name="Início" sheetId="3" r:id="rId1"/>
    <sheet name="Custos e Cenários" sheetId="2" r:id="rId2"/>
    <sheet name="Resultado" sheetId="4" r:id="rId3"/>
  </sheets>
  <calcPr calcId="145621"/>
</workbook>
</file>

<file path=xl/calcChain.xml><?xml version="1.0" encoding="utf-8"?>
<calcChain xmlns="http://schemas.openxmlformats.org/spreadsheetml/2006/main">
  <c r="J6" i="4" l="1"/>
  <c r="J5" i="4"/>
  <c r="G16" i="2" l="1"/>
  <c r="D23" i="2"/>
  <c r="G21" i="2" l="1"/>
  <c r="J7" i="4"/>
  <c r="J8" i="4"/>
  <c r="D21" i="2"/>
  <c r="D24" i="2" s="1"/>
  <c r="G22" i="2"/>
  <c r="G23" i="2" s="1"/>
</calcChain>
</file>

<file path=xl/sharedStrings.xml><?xml version="1.0" encoding="utf-8"?>
<sst xmlns="http://schemas.openxmlformats.org/spreadsheetml/2006/main" count="33" uniqueCount="31">
  <si>
    <t>TOTAL CUSTOS VARIÁVEIS</t>
  </si>
  <si>
    <t>CENÁRIO ATUAL</t>
  </si>
  <si>
    <t>RECEITA MENSAL</t>
  </si>
  <si>
    <t>DIAS DE TRABALHO NA SEMANA</t>
  </si>
  <si>
    <t>CENÁRIO ATUAL DE CUSTOS</t>
  </si>
  <si>
    <t>ALUGUEL</t>
  </si>
  <si>
    <t>LUZ</t>
  </si>
  <si>
    <t>ÁGUA</t>
  </si>
  <si>
    <t>TELEFONE</t>
  </si>
  <si>
    <t>SALÁRIOS</t>
  </si>
  <si>
    <t>MATÉRIA PRIMA</t>
  </si>
  <si>
    <t>MANUTENÇÃO DE ESTOQUES</t>
  </si>
  <si>
    <t>OUTROS</t>
  </si>
  <si>
    <t>MATERIAL DE ESCRITÓRIO</t>
  </si>
  <si>
    <t>MATERIAL DE LIMPEZA</t>
  </si>
  <si>
    <t>CENÁRIO CONCATENADO</t>
  </si>
  <si>
    <t>RECEITA DIÁRIA (MÉDIA)</t>
  </si>
  <si>
    <t>RECEITA POR FUNCIONÁRIO</t>
  </si>
  <si>
    <t>LUCRO DIÁRIO (MÉDIO)</t>
  </si>
  <si>
    <t>LUCRO POR FUNCIONÁRIO</t>
  </si>
  <si>
    <t>CUSTO EM ADICIONAR MAIS UM DIA DE TRABALHO</t>
  </si>
  <si>
    <t>CUSTO EM ADICIONAR OUTRO FUNCIONÁRIO</t>
  </si>
  <si>
    <t>CUSTOS OPERACIONAIS</t>
  </si>
  <si>
    <t>CUSTOS ADICIONAIS</t>
  </si>
  <si>
    <t>RECEITA MÉDIA POR DIA</t>
  </si>
  <si>
    <t>LUCRO OU PREJUÍZO ESPERADO</t>
  </si>
  <si>
    <t>CUSTOS POR FUNCIONÁRIO</t>
  </si>
  <si>
    <t>NÚMERO DE FUNCIONÁRIOS</t>
  </si>
  <si>
    <r>
      <rPr>
        <b/>
        <i/>
        <sz val="18"/>
        <color theme="0"/>
        <rFont val="Calibri"/>
        <family val="2"/>
        <scheme val="minor"/>
      </rPr>
      <t>ANÁLISE DE CENÁRIOS DE EXPANSÃO</t>
    </r>
    <r>
      <rPr>
        <i/>
        <sz val="16"/>
        <color theme="0"/>
        <rFont val="Calibri"/>
        <family val="2"/>
        <scheme val="minor"/>
      </rPr>
      <t xml:space="preserve"> - INÍCIO</t>
    </r>
  </si>
  <si>
    <r>
      <rPr>
        <b/>
        <i/>
        <sz val="18"/>
        <color theme="0"/>
        <rFont val="Calibri"/>
        <family val="2"/>
        <scheme val="minor"/>
      </rPr>
      <t>ANÁLISE DE CENÁRIOS DE EXPANSÃO</t>
    </r>
    <r>
      <rPr>
        <i/>
        <sz val="16"/>
        <color theme="0"/>
        <rFont val="Calibri"/>
        <family val="2"/>
        <scheme val="minor"/>
      </rPr>
      <t xml:space="preserve"> - CUSTOS E CENÁRIOS</t>
    </r>
  </si>
  <si>
    <r>
      <rPr>
        <b/>
        <i/>
        <sz val="18"/>
        <color theme="0"/>
        <rFont val="Calibri"/>
        <family val="2"/>
        <scheme val="minor"/>
      </rPr>
      <t>ANÁLISE DE CENÁRIOS DE EXPANSÃO</t>
    </r>
    <r>
      <rPr>
        <i/>
        <sz val="16"/>
        <color theme="0"/>
        <rFont val="Calibri"/>
        <family val="2"/>
        <scheme val="minor"/>
      </rPr>
      <t xml:space="preserve"> - RESULTADO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</si>
</sst>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Arabic Typesetting"/>
      <family val="4"/>
    </font>
    <font>
      <b/>
      <sz val="20"/>
      <color theme="1"/>
      <name val="Arabic Typesetting"/>
      <family val="4"/>
    </font>
    <font>
      <b/>
      <sz val="20"/>
      <name val="Arabic Typesetting"/>
      <family val="4"/>
    </font>
    <font>
      <sz val="20"/>
      <color theme="0"/>
      <name val="Arabic Typesetting"/>
      <family val="4"/>
    </font>
    <font>
      <b/>
      <sz val="14"/>
      <color theme="1"/>
      <name val="Arabic Typesetting"/>
      <family val="4"/>
    </font>
    <font>
      <sz val="16"/>
      <color theme="1"/>
      <name val="Arabic Typesetting"/>
      <family val="4"/>
    </font>
    <font>
      <sz val="11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8080"/>
        <bgColor indexed="64"/>
      </patternFill>
    </fill>
  </fills>
  <borders count="28">
    <border>
      <left/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double">
        <color theme="1" tint="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uble">
        <color theme="1" tint="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theme="1" tint="0.249977111117893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uble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theme="1"/>
      </bottom>
      <diagonal/>
    </border>
    <border>
      <left/>
      <right style="thin">
        <color theme="0" tint="-0.34998626667073579"/>
      </right>
      <top/>
      <bottom/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Border="1"/>
    <xf numFmtId="0" fontId="2" fillId="0" borderId="0" xfId="0" applyFont="1"/>
    <xf numFmtId="0" fontId="2" fillId="0" borderId="2" xfId="0" applyFont="1" applyBorder="1" applyAlignment="1">
      <alignment horizontal="right"/>
    </xf>
    <xf numFmtId="0" fontId="2" fillId="0" borderId="0" xfId="0" applyFont="1" applyBorder="1"/>
    <xf numFmtId="44" fontId="2" fillId="0" borderId="4" xfId="3" applyFont="1" applyBorder="1"/>
    <xf numFmtId="0" fontId="2" fillId="0" borderId="1" xfId="0" applyFont="1" applyBorder="1" applyAlignment="1">
      <alignment horizontal="right"/>
    </xf>
    <xf numFmtId="44" fontId="2" fillId="0" borderId="3" xfId="3" applyFont="1" applyBorder="1"/>
    <xf numFmtId="0" fontId="0" fillId="0" borderId="5" xfId="0" applyBorder="1"/>
    <xf numFmtId="0" fontId="2" fillId="0" borderId="6" xfId="0" applyFont="1" applyBorder="1" applyAlignment="1">
      <alignment horizontal="right"/>
    </xf>
    <xf numFmtId="44" fontId="2" fillId="0" borderId="7" xfId="3" applyFont="1" applyBorder="1"/>
    <xf numFmtId="0" fontId="4" fillId="0" borderId="0" xfId="0" applyFont="1" applyBorder="1" applyAlignment="1">
      <alignment horizontal="right"/>
    </xf>
    <xf numFmtId="44" fontId="4" fillId="0" borderId="0" xfId="3" applyFont="1" applyBorder="1"/>
    <xf numFmtId="9" fontId="5" fillId="0" borderId="0" xfId="2" applyFont="1" applyBorder="1"/>
    <xf numFmtId="9" fontId="5" fillId="0" borderId="0" xfId="2" applyFont="1"/>
    <xf numFmtId="164" fontId="2" fillId="0" borderId="4" xfId="1" applyNumberFormat="1" applyFont="1" applyBorder="1"/>
    <xf numFmtId="0" fontId="2" fillId="0" borderId="10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44" fontId="7" fillId="0" borderId="4" xfId="3" applyFont="1" applyBorder="1"/>
    <xf numFmtId="0" fontId="7" fillId="0" borderId="19" xfId="0" applyFont="1" applyBorder="1" applyAlignment="1">
      <alignment horizontal="right"/>
    </xf>
    <xf numFmtId="0" fontId="7" fillId="2" borderId="21" xfId="0" applyFont="1" applyFill="1" applyBorder="1" applyAlignment="1">
      <alignment horizontal="right"/>
    </xf>
    <xf numFmtId="44" fontId="7" fillId="0" borderId="8" xfId="3" applyFont="1" applyBorder="1"/>
    <xf numFmtId="44" fontId="4" fillId="4" borderId="0" xfId="3" applyFont="1" applyFill="1" applyBorder="1"/>
    <xf numFmtId="44" fontId="7" fillId="4" borderId="20" xfId="3" applyFont="1" applyFill="1" applyBorder="1"/>
    <xf numFmtId="44" fontId="7" fillId="4" borderId="3" xfId="3" applyFont="1" applyFill="1" applyBorder="1"/>
    <xf numFmtId="164" fontId="7" fillId="4" borderId="20" xfId="1" applyNumberFormat="1" applyFont="1" applyFill="1" applyBorder="1"/>
    <xf numFmtId="0" fontId="12" fillId="5" borderId="23" xfId="0" applyFont="1" applyFill="1" applyBorder="1" applyAlignment="1">
      <alignment vertical="center"/>
    </xf>
    <xf numFmtId="0" fontId="8" fillId="5" borderId="24" xfId="0" applyFont="1" applyFill="1" applyBorder="1"/>
    <xf numFmtId="0" fontId="9" fillId="5" borderId="23" xfId="0" applyFont="1" applyFill="1" applyBorder="1" applyAlignment="1">
      <alignment vertical="center"/>
    </xf>
    <xf numFmtId="0" fontId="9" fillId="5" borderId="26" xfId="0" applyFont="1" applyFill="1" applyBorder="1" applyAlignment="1">
      <alignment vertical="center"/>
    </xf>
    <xf numFmtId="0" fontId="9" fillId="5" borderId="27" xfId="0" applyFont="1" applyFill="1" applyBorder="1" applyAlignment="1">
      <alignment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44" fontId="2" fillId="3" borderId="16" xfId="3" applyFont="1" applyFill="1" applyBorder="1"/>
    <xf numFmtId="44" fontId="2" fillId="3" borderId="17" xfId="3" applyFont="1" applyFill="1" applyBorder="1"/>
    <xf numFmtId="0" fontId="3" fillId="3" borderId="18" xfId="0" applyFont="1" applyFill="1" applyBorder="1" applyAlignment="1">
      <alignment horizontal="center"/>
    </xf>
    <xf numFmtId="44" fontId="2" fillId="3" borderId="13" xfId="3" applyFont="1" applyFill="1" applyBorder="1"/>
    <xf numFmtId="44" fontId="2" fillId="3" borderId="14" xfId="3" applyFont="1" applyFill="1" applyBorder="1"/>
    <xf numFmtId="44" fontId="2" fillId="3" borderId="9" xfId="3" applyFont="1" applyFill="1" applyBorder="1"/>
    <xf numFmtId="44" fontId="2" fillId="3" borderId="11" xfId="3" applyFont="1" applyFill="1" applyBorder="1"/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8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33993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Resumo</a:t>
            </a:r>
            <a:r>
              <a:rPr lang="pt-BR" baseline="0"/>
              <a:t> - Cenário</a:t>
            </a:r>
            <a:endParaRPr lang="pt-BR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1328293118228515E-2"/>
          <c:y val="0.2056400218360499"/>
          <c:w val="0.95734341376354293"/>
          <c:h val="0.6258232074663151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</c:spPr>
          <c:invertIfNegative val="0"/>
          <c:dLbls>
            <c:numFmt formatCode="&quot;R$&quot;\ #,##0" sourceLinked="0"/>
            <c:txPr>
              <a:bodyPr/>
              <a:lstStyle/>
              <a:p>
                <a:pPr>
                  <a:defRPr sz="16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Resultado!$I$5:$I$8</c:f>
              <c:strCache>
                <c:ptCount val="4"/>
                <c:pt idx="0">
                  <c:v>RECEITA DIÁRIA (MÉDIA)</c:v>
                </c:pt>
                <c:pt idx="1">
                  <c:v>RECEITA POR FUNCIONÁRIO</c:v>
                </c:pt>
                <c:pt idx="2">
                  <c:v>LUCRO DIÁRIO (MÉDIO)</c:v>
                </c:pt>
                <c:pt idx="3">
                  <c:v>LUCRO POR FUNCIONÁRIO</c:v>
                </c:pt>
              </c:strCache>
            </c:strRef>
          </c:cat>
          <c:val>
            <c:numRef>
              <c:f>Resultado!$J$5:$J$8</c:f>
              <c:numCache>
                <c:formatCode>_("R$"* #,##0.00_);_("R$"* \(#,##0.00\);_("R$"*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invertIfNegative val="0"/>
          <c:cat>
            <c:strRef>
              <c:f>Resultado!$I$5:$I$8</c:f>
              <c:strCache>
                <c:ptCount val="4"/>
                <c:pt idx="0">
                  <c:v>RECEITA DIÁRIA (MÉDIA)</c:v>
                </c:pt>
                <c:pt idx="1">
                  <c:v>RECEITA POR FUNCIONÁRIO</c:v>
                </c:pt>
                <c:pt idx="2">
                  <c:v>LUCRO DIÁRIO (MÉDIO)</c:v>
                </c:pt>
                <c:pt idx="3">
                  <c:v>LUCRO POR FUNCIONÁRIO</c:v>
                </c:pt>
              </c:strCache>
            </c:strRef>
          </c:cat>
          <c:val>
            <c:numRef>
              <c:f>Resultado!$K$5:$K$8</c:f>
              <c:numCache>
                <c:formatCode>_("R$"* #,##0.00_);_("R$"* \(#,##0.00\);_("R$"* "-"??_);_(@_)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562496"/>
        <c:axId val="217564288"/>
      </c:barChart>
      <c:catAx>
        <c:axId val="21756249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pt-BR"/>
          </a:p>
        </c:txPr>
        <c:crossAx val="217564288"/>
        <c:crosses val="autoZero"/>
        <c:auto val="1"/>
        <c:lblAlgn val="ctr"/>
        <c:lblOffset val="100"/>
        <c:noMultiLvlLbl val="0"/>
      </c:catAx>
      <c:valAx>
        <c:axId val="21756428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2175624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COMPARATIVO CENÁRIOS</a:t>
            </a:r>
          </a:p>
        </c:rich>
      </c:tx>
      <c:layout>
        <c:manualLayout>
          <c:xMode val="edge"/>
          <c:yMode val="edge"/>
          <c:x val="0.301702468862037"/>
          <c:y val="4.10256778389553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8333335739282919E-2"/>
          <c:y val="0.24133686998844245"/>
          <c:w val="0.96333332852143416"/>
          <c:h val="0.5990050465531972"/>
        </c:manualLayout>
      </c:layout>
      <c:barChart>
        <c:barDir val="col"/>
        <c:grouping val="clustered"/>
        <c:varyColors val="0"/>
        <c:ser>
          <c:idx val="0"/>
          <c:order val="0"/>
          <c:tx>
            <c:v>Lucro ou Prejuízo por Funcionário</c:v>
          </c:tx>
          <c:invertIfNegative val="0"/>
          <c:dLbls>
            <c:txPr>
              <a:bodyPr/>
              <a:lstStyle/>
              <a:p>
                <a:pPr>
                  <a:defRPr sz="16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'Custos e Cenários'!$D$24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Lucro ou Prejuízo por dia de Trabalho</c:v>
          </c:tx>
          <c:invertIfNegative val="0"/>
          <c:dLbls>
            <c:txPr>
              <a:bodyPr/>
              <a:lstStyle/>
              <a:p>
                <a:pPr>
                  <a:defRPr sz="16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'Custos e Cenários'!$G$23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7573632"/>
        <c:axId val="217575424"/>
      </c:barChart>
      <c:catAx>
        <c:axId val="217573632"/>
        <c:scaling>
          <c:orientation val="minMax"/>
        </c:scaling>
        <c:delete val="0"/>
        <c:axPos val="b"/>
        <c:majorTickMark val="none"/>
        <c:minorTickMark val="none"/>
        <c:tickLblPos val="none"/>
        <c:crossAx val="217575424"/>
        <c:crosses val="autoZero"/>
        <c:auto val="1"/>
        <c:lblAlgn val="ctr"/>
        <c:lblOffset val="100"/>
        <c:noMultiLvlLbl val="0"/>
      </c:catAx>
      <c:valAx>
        <c:axId val="21757542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217573632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600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36" footer="0.3149606200000003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An&#225;lise!A1"/><Relationship Id="rId7" Type="http://schemas.openxmlformats.org/officeDocument/2006/relationships/hyperlink" Target="#Resultad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6" Type="http://schemas.openxmlformats.org/officeDocument/2006/relationships/hyperlink" Target="#'Fatores Internos'!A1"/><Relationship Id="rId5" Type="http://schemas.openxmlformats.org/officeDocument/2006/relationships/hyperlink" Target="#'Custos e Cen&#225;rios'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image" Target="../media/image3.png"/><Relationship Id="rId1" Type="http://schemas.openxmlformats.org/officeDocument/2006/relationships/hyperlink" Target="#In&#237;cio!A1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161925</xdr:colOff>
      <xdr:row>0</xdr:row>
      <xdr:rowOff>0</xdr:rowOff>
    </xdr:from>
    <xdr:to>
      <xdr:col>19</xdr:col>
      <xdr:colOff>142875</xdr:colOff>
      <xdr:row>1</xdr:row>
      <xdr:rowOff>19049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4225" y="0"/>
          <a:ext cx="1200150" cy="476249"/>
        </a:xfrm>
        <a:prstGeom prst="rect">
          <a:avLst/>
        </a:prstGeom>
      </xdr:spPr>
    </xdr:pic>
    <xdr:clientData/>
  </xdr:twoCellAnchor>
  <xdr:twoCellAnchor>
    <xdr:from>
      <xdr:col>5</xdr:col>
      <xdr:colOff>171450</xdr:colOff>
      <xdr:row>9</xdr:row>
      <xdr:rowOff>123825</xdr:rowOff>
    </xdr:from>
    <xdr:to>
      <xdr:col>8</xdr:col>
      <xdr:colOff>238125</xdr:colOff>
      <xdr:row>12</xdr:row>
      <xdr:rowOff>91363</xdr:rowOff>
    </xdr:to>
    <xdr:grpSp>
      <xdr:nvGrpSpPr>
        <xdr:cNvPr id="6" name="Grupo 5">
          <a:hlinkClick xmlns:r="http://schemas.openxmlformats.org/officeDocument/2006/relationships" r:id="rId3"/>
        </xdr:cNvPr>
        <xdr:cNvGrpSpPr/>
      </xdr:nvGrpSpPr>
      <xdr:grpSpPr>
        <a:xfrm>
          <a:off x="3219450" y="2105025"/>
          <a:ext cx="1895475" cy="539038"/>
          <a:chOff x="285750" y="2400300"/>
          <a:chExt cx="1895475" cy="539038"/>
        </a:xfrm>
      </xdr:grpSpPr>
      <xdr:pic>
        <xdr:nvPicPr>
          <xdr:cNvPr id="7" name="Imagem 6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" name="CaixaDeTexto 7">
            <a:hlinkClick xmlns:r="http://schemas.openxmlformats.org/officeDocument/2006/relationships" r:id="rId5"/>
          </xdr:cNvPr>
          <xdr:cNvSpPr txBox="1"/>
        </xdr:nvSpPr>
        <xdr:spPr>
          <a:xfrm>
            <a:off x="409575" y="2524125"/>
            <a:ext cx="16859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CUSTOS</a:t>
            </a:r>
            <a:r>
              <a:rPr lang="pt-BR" sz="1300" i="1" u="sng" baseline="0">
                <a:solidFill>
                  <a:schemeClr val="bg1"/>
                </a:solidFill>
              </a:rPr>
              <a:t> E CENÁRIOS</a:t>
            </a:r>
            <a:endParaRPr lang="pt-BR" sz="1300" i="1" u="sng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11</xdr:col>
      <xdr:colOff>247650</xdr:colOff>
      <xdr:row>9</xdr:row>
      <xdr:rowOff>123825</xdr:rowOff>
    </xdr:from>
    <xdr:to>
      <xdr:col>14</xdr:col>
      <xdr:colOff>314325</xdr:colOff>
      <xdr:row>12</xdr:row>
      <xdr:rowOff>91363</xdr:rowOff>
    </xdr:to>
    <xdr:grpSp>
      <xdr:nvGrpSpPr>
        <xdr:cNvPr id="9" name="Grupo 8">
          <a:hlinkClick xmlns:r="http://schemas.openxmlformats.org/officeDocument/2006/relationships" r:id="rId6"/>
        </xdr:cNvPr>
        <xdr:cNvGrpSpPr/>
      </xdr:nvGrpSpPr>
      <xdr:grpSpPr>
        <a:xfrm>
          <a:off x="6953250" y="2105025"/>
          <a:ext cx="1895475" cy="539038"/>
          <a:chOff x="285750" y="2400300"/>
          <a:chExt cx="1895475" cy="539038"/>
        </a:xfrm>
      </xdr:grpSpPr>
      <xdr:pic>
        <xdr:nvPicPr>
          <xdr:cNvPr id="10" name="Imagem 9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" name="CaixaDeTexto 10">
            <a:hlinkClick xmlns:r="http://schemas.openxmlformats.org/officeDocument/2006/relationships" r:id="rId7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GRÁFICOS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1</xdr:col>
      <xdr:colOff>457200</xdr:colOff>
      <xdr:row>0</xdr:row>
      <xdr:rowOff>396724</xdr:rowOff>
    </xdr:to>
    <xdr:pic>
      <xdr:nvPicPr>
        <xdr:cNvPr id="7" name="Imagem 6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6675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6</xdr:col>
      <xdr:colOff>1000125</xdr:colOff>
      <xdr:row>0</xdr:row>
      <xdr:rowOff>0</xdr:rowOff>
    </xdr:from>
    <xdr:to>
      <xdr:col>6</xdr:col>
      <xdr:colOff>2200275</xdr:colOff>
      <xdr:row>1</xdr:row>
      <xdr:rowOff>19049</xdr:rowOff>
    </xdr:to>
    <xdr:pic>
      <xdr:nvPicPr>
        <xdr:cNvPr id="10" name="Imagem 9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7125" y="0"/>
          <a:ext cx="1200150" cy="4762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10</xdr:row>
      <xdr:rowOff>44450</xdr:rowOff>
    </xdr:from>
    <xdr:to>
      <xdr:col>9</xdr:col>
      <xdr:colOff>152400</xdr:colOff>
      <xdr:row>37</xdr:row>
      <xdr:rowOff>95250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279400</xdr:colOff>
      <xdr:row>10</xdr:row>
      <xdr:rowOff>28575</xdr:rowOff>
    </xdr:from>
    <xdr:to>
      <xdr:col>25</xdr:col>
      <xdr:colOff>247650</xdr:colOff>
      <xdr:row>37</xdr:row>
      <xdr:rowOff>95250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104775</xdr:colOff>
      <xdr:row>0</xdr:row>
      <xdr:rowOff>66675</xdr:rowOff>
    </xdr:from>
    <xdr:to>
      <xdr:col>1</xdr:col>
      <xdr:colOff>57150</xdr:colOff>
      <xdr:row>0</xdr:row>
      <xdr:rowOff>396724</xdr:rowOff>
    </xdr:to>
    <xdr:pic>
      <xdr:nvPicPr>
        <xdr:cNvPr id="5" name="Imagem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6675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8</xdr:col>
      <xdr:colOff>2362200</xdr:colOff>
      <xdr:row>0</xdr:row>
      <xdr:rowOff>0</xdr:rowOff>
    </xdr:from>
    <xdr:to>
      <xdr:col>10</xdr:col>
      <xdr:colOff>342900</xdr:colOff>
      <xdr:row>1</xdr:row>
      <xdr:rowOff>19049</xdr:rowOff>
    </xdr:to>
    <xdr:pic>
      <xdr:nvPicPr>
        <xdr:cNvPr id="7" name="Imagem 6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0" y="0"/>
          <a:ext cx="1200150" cy="476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showGridLines="0" tabSelected="1" zoomScaleNormal="100" workbookViewId="0">
      <selection sqref="A1:T1"/>
    </sheetView>
  </sheetViews>
  <sheetFormatPr defaultRowHeight="15" x14ac:dyDescent="0.25"/>
  <sheetData>
    <row r="1" spans="1:25" s="30" customFormat="1" ht="36" customHeight="1" x14ac:dyDescent="0.25">
      <c r="A1" s="34" t="s">
        <v>28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29"/>
      <c r="V1" s="29"/>
      <c r="W1" s="29"/>
      <c r="X1" s="29"/>
      <c r="Y1" s="29"/>
    </row>
  </sheetData>
  <mergeCells count="1">
    <mergeCell ref="A1:T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showGridLines="0" topLeftCell="I22" zoomScaleNormal="100" workbookViewId="0">
      <selection sqref="A1:G1"/>
    </sheetView>
  </sheetViews>
  <sheetFormatPr defaultRowHeight="15" x14ac:dyDescent="0.25"/>
  <cols>
    <col min="1" max="1" width="2.85546875" customWidth="1"/>
    <col min="3" max="3" width="53.140625" customWidth="1"/>
    <col min="4" max="4" width="39.7109375" customWidth="1"/>
    <col min="5" max="5" width="3.7109375" customWidth="1"/>
    <col min="6" max="6" width="45.7109375" bestFit="1" customWidth="1"/>
    <col min="7" max="7" width="38" customWidth="1"/>
    <col min="8" max="8" width="12.42578125" bestFit="1" customWidth="1"/>
    <col min="9" max="9" width="39.5703125" bestFit="1" customWidth="1"/>
  </cols>
  <sheetData>
    <row r="1" spans="1:25" s="30" customFormat="1" ht="36" customHeight="1" x14ac:dyDescent="0.25">
      <c r="A1" s="36" t="s">
        <v>29</v>
      </c>
      <c r="B1" s="37"/>
      <c r="C1" s="37"/>
      <c r="D1" s="37"/>
      <c r="E1" s="37"/>
      <c r="F1" s="37"/>
      <c r="G1" s="38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29"/>
      <c r="V1" s="29"/>
      <c r="W1" s="29"/>
      <c r="X1" s="29"/>
      <c r="Y1" s="29"/>
    </row>
    <row r="2" spans="1:25" x14ac:dyDescent="0.25">
      <c r="C2" s="1"/>
      <c r="D2" s="1"/>
    </row>
    <row r="3" spans="1:25" x14ac:dyDescent="0.25">
      <c r="C3" s="1"/>
      <c r="D3" s="1"/>
    </row>
    <row r="4" spans="1:25" ht="15.75" thickBot="1" x14ac:dyDescent="0.3">
      <c r="C4" s="8"/>
      <c r="D4" s="8"/>
      <c r="F4" s="8"/>
      <c r="G4" s="8"/>
    </row>
    <row r="5" spans="1:25" ht="31.5" thickTop="1" thickBot="1" x14ac:dyDescent="0.7">
      <c r="A5" s="1"/>
      <c r="B5" s="1"/>
      <c r="C5" s="40" t="s">
        <v>1</v>
      </c>
      <c r="D5" s="40"/>
      <c r="E5" s="1"/>
      <c r="F5" s="40" t="s">
        <v>4</v>
      </c>
      <c r="G5" s="40"/>
    </row>
    <row r="6" spans="1:25" s="2" customFormat="1" ht="23.25" customHeight="1" thickTop="1" x14ac:dyDescent="0.65">
      <c r="A6" s="4"/>
      <c r="B6" s="4"/>
      <c r="C6" s="6" t="s">
        <v>2</v>
      </c>
      <c r="D6" s="7"/>
      <c r="E6" s="13"/>
      <c r="F6" s="6" t="s">
        <v>5</v>
      </c>
      <c r="G6" s="7"/>
      <c r="H6" s="14"/>
    </row>
    <row r="7" spans="1:25" s="2" customFormat="1" ht="23.25" customHeight="1" x14ac:dyDescent="0.65">
      <c r="A7" s="4"/>
      <c r="B7" s="4"/>
      <c r="C7" s="3" t="s">
        <v>27</v>
      </c>
      <c r="D7" s="15"/>
      <c r="E7" s="13"/>
      <c r="F7" s="3" t="s">
        <v>6</v>
      </c>
      <c r="G7" s="5"/>
      <c r="H7" s="14"/>
    </row>
    <row r="8" spans="1:25" s="2" customFormat="1" ht="23.25" customHeight="1" x14ac:dyDescent="0.65">
      <c r="A8" s="4"/>
      <c r="B8" s="4"/>
      <c r="C8" s="3" t="s">
        <v>3</v>
      </c>
      <c r="D8" s="15"/>
      <c r="E8" s="13"/>
      <c r="F8" s="3" t="s">
        <v>7</v>
      </c>
      <c r="G8" s="5"/>
      <c r="H8" s="14"/>
    </row>
    <row r="9" spans="1:25" s="2" customFormat="1" ht="23.25" customHeight="1" x14ac:dyDescent="0.65">
      <c r="A9" s="4"/>
      <c r="B9" s="4"/>
      <c r="C9" s="3"/>
      <c r="D9" s="5"/>
      <c r="E9" s="13"/>
      <c r="F9" s="3" t="s">
        <v>8</v>
      </c>
      <c r="G9" s="5"/>
      <c r="H9" s="14"/>
    </row>
    <row r="10" spans="1:25" s="2" customFormat="1" ht="23.25" customHeight="1" x14ac:dyDescent="0.65">
      <c r="A10" s="4"/>
      <c r="B10" s="4"/>
      <c r="C10" s="3"/>
      <c r="D10" s="5"/>
      <c r="E10" s="13"/>
      <c r="F10" s="3" t="s">
        <v>9</v>
      </c>
      <c r="G10" s="5"/>
      <c r="H10" s="14"/>
    </row>
    <row r="11" spans="1:25" s="2" customFormat="1" ht="23.25" customHeight="1" x14ac:dyDescent="0.65">
      <c r="A11" s="4"/>
      <c r="B11" s="4"/>
      <c r="C11" s="3"/>
      <c r="D11" s="5"/>
      <c r="E11" s="13"/>
      <c r="F11" s="3" t="s">
        <v>10</v>
      </c>
      <c r="G11" s="5"/>
      <c r="H11" s="14"/>
    </row>
    <row r="12" spans="1:25" s="2" customFormat="1" ht="23.25" customHeight="1" x14ac:dyDescent="0.65">
      <c r="A12" s="4"/>
      <c r="B12" s="4"/>
      <c r="C12" s="3"/>
      <c r="D12" s="5"/>
      <c r="E12" s="13"/>
      <c r="F12" s="3" t="s">
        <v>11</v>
      </c>
      <c r="G12" s="5"/>
      <c r="H12" s="14"/>
    </row>
    <row r="13" spans="1:25" s="2" customFormat="1" ht="23.25" customHeight="1" x14ac:dyDescent="0.65">
      <c r="A13" s="4"/>
      <c r="B13" s="4"/>
      <c r="C13" s="3"/>
      <c r="D13" s="5"/>
      <c r="E13" s="13"/>
      <c r="F13" s="3" t="s">
        <v>13</v>
      </c>
      <c r="G13" s="5"/>
      <c r="H13" s="14"/>
    </row>
    <row r="14" spans="1:25" s="2" customFormat="1" ht="23.25" customHeight="1" x14ac:dyDescent="0.65">
      <c r="A14" s="4"/>
      <c r="B14" s="4"/>
      <c r="C14" s="3"/>
      <c r="D14" s="5"/>
      <c r="E14" s="13"/>
      <c r="F14" s="3" t="s">
        <v>14</v>
      </c>
      <c r="G14" s="5"/>
      <c r="H14" s="14"/>
    </row>
    <row r="15" spans="1:25" s="2" customFormat="1" ht="23.25" customHeight="1" thickBot="1" x14ac:dyDescent="0.7">
      <c r="A15" s="4"/>
      <c r="B15" s="4"/>
      <c r="C15" s="9"/>
      <c r="D15" s="10"/>
      <c r="E15" s="13"/>
      <c r="F15" s="9" t="s">
        <v>12</v>
      </c>
      <c r="G15" s="10"/>
      <c r="H15" s="14"/>
    </row>
    <row r="16" spans="1:25" s="2" customFormat="1" ht="23.25" customHeight="1" thickTop="1" x14ac:dyDescent="0.65">
      <c r="A16" s="4"/>
      <c r="B16" s="4"/>
      <c r="C16" s="11"/>
      <c r="D16" s="12"/>
      <c r="E16" s="4"/>
      <c r="F16" s="11" t="s">
        <v>0</v>
      </c>
      <c r="G16" s="25">
        <f>SUM(G6:G15)</f>
        <v>0</v>
      </c>
    </row>
    <row r="19" spans="3:7" x14ac:dyDescent="0.25">
      <c r="C19" s="1"/>
      <c r="G19" s="1"/>
    </row>
    <row r="20" spans="3:7" ht="21.75" thickBot="1" x14ac:dyDescent="0.5">
      <c r="C20" s="39" t="s">
        <v>20</v>
      </c>
      <c r="D20" s="39"/>
      <c r="F20" s="39" t="s">
        <v>21</v>
      </c>
      <c r="G20" s="39"/>
    </row>
    <row r="21" spans="3:7" ht="24" thickTop="1" x14ac:dyDescent="0.5">
      <c r="C21" s="19" t="s">
        <v>22</v>
      </c>
      <c r="D21" s="27" t="e">
        <f>'Custos e Cenários'!G16/(4*'Custos e Cenários'!D8)</f>
        <v>#DIV/0!</v>
      </c>
      <c r="E21" s="1"/>
      <c r="F21" s="19" t="s">
        <v>26</v>
      </c>
      <c r="G21" s="27" t="e">
        <f>'Custos e Cenários'!G16/'Custos e Cenários'!D7</f>
        <v>#DIV/0!</v>
      </c>
    </row>
    <row r="22" spans="3:7" ht="24" thickBot="1" x14ac:dyDescent="0.55000000000000004">
      <c r="C22" s="20" t="s">
        <v>23</v>
      </c>
      <c r="D22" s="21"/>
      <c r="F22" s="22" t="s">
        <v>19</v>
      </c>
      <c r="G22" s="28" t="e">
        <f>Resultado!J8</f>
        <v>#DIV/0!</v>
      </c>
    </row>
    <row r="23" spans="3:7" ht="24.75" thickTop="1" thickBot="1" x14ac:dyDescent="0.55000000000000004">
      <c r="C23" s="22" t="s">
        <v>24</v>
      </c>
      <c r="D23" s="26" t="e">
        <f>Resultado!J5</f>
        <v>#DIV/0!</v>
      </c>
      <c r="F23" s="23" t="s">
        <v>25</v>
      </c>
      <c r="G23" s="24" t="e">
        <f>G22-G21</f>
        <v>#DIV/0!</v>
      </c>
    </row>
    <row r="24" spans="3:7" ht="24" thickTop="1" x14ac:dyDescent="0.5">
      <c r="C24" s="23" t="s">
        <v>25</v>
      </c>
      <c r="D24" s="24" t="e">
        <f>D23-(D21+D22)</f>
        <v>#DIV/0!</v>
      </c>
    </row>
    <row r="34" spans="18:18" x14ac:dyDescent="0.25">
      <c r="R34" s="1"/>
    </row>
  </sheetData>
  <mergeCells count="5">
    <mergeCell ref="A1:G1"/>
    <mergeCell ref="C20:D20"/>
    <mergeCell ref="F20:G20"/>
    <mergeCell ref="C5:D5"/>
    <mergeCell ref="F5:G5"/>
  </mergeCells>
  <conditionalFormatting sqref="D24">
    <cfRule type="cellIs" dxfId="7" priority="5" operator="lessThan">
      <formula>0</formula>
    </cfRule>
    <cfRule type="cellIs" dxfId="6" priority="6" operator="greaterThan">
      <formula>0</formula>
    </cfRule>
    <cfRule type="cellIs" dxfId="5" priority="7" operator="lessThan">
      <formula>-4683</formula>
    </cfRule>
    <cfRule type="cellIs" dxfId="4" priority="8" operator="greaterThan">
      <formula>0</formula>
    </cfRule>
  </conditionalFormatting>
  <conditionalFormatting sqref="G23">
    <cfRule type="cellIs" dxfId="3" priority="1" operator="lessThan">
      <formula>0</formula>
    </cfRule>
    <cfRule type="cellIs" dxfId="2" priority="2" operator="greaterThan">
      <formula>0</formula>
    </cfRule>
    <cfRule type="cellIs" dxfId="1" priority="3" operator="lessThan">
      <formula>-4683</formula>
    </cfRule>
    <cfRule type="cellIs" dxfId="0" priority="4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showGridLines="0" zoomScaleNormal="100" workbookViewId="0">
      <selection sqref="A1:K1"/>
    </sheetView>
  </sheetViews>
  <sheetFormatPr defaultRowHeight="15" x14ac:dyDescent="0.25"/>
  <cols>
    <col min="2" max="2" width="39.140625" bestFit="1" customWidth="1"/>
    <col min="5" max="5" width="39.140625" bestFit="1" customWidth="1"/>
    <col min="9" max="9" width="39.140625" bestFit="1" customWidth="1"/>
  </cols>
  <sheetData>
    <row r="1" spans="1:25" s="30" customFormat="1" ht="36" customHeight="1" x14ac:dyDescent="0.25">
      <c r="A1" s="36" t="s">
        <v>30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2"/>
      <c r="M1" s="32"/>
      <c r="N1" s="32"/>
      <c r="O1" s="32"/>
      <c r="P1" s="32"/>
      <c r="Q1" s="32"/>
      <c r="R1" s="32"/>
      <c r="S1" s="32"/>
      <c r="T1" s="32"/>
      <c r="U1" s="33"/>
      <c r="V1" s="29"/>
      <c r="W1" s="29"/>
      <c r="X1" s="29"/>
      <c r="Y1" s="29"/>
    </row>
    <row r="4" spans="1:25" ht="30.75" thickBot="1" x14ac:dyDescent="0.7">
      <c r="I4" s="43" t="s">
        <v>15</v>
      </c>
      <c r="J4" s="43"/>
      <c r="K4" s="43"/>
    </row>
    <row r="5" spans="1:25" ht="30.75" thickTop="1" x14ac:dyDescent="0.65">
      <c r="I5" s="17" t="s">
        <v>16</v>
      </c>
      <c r="J5" s="44" t="e">
        <f>'Custos e Cenários'!D6/(4*'Custos e Cenários'!D8)</f>
        <v>#DIV/0!</v>
      </c>
      <c r="K5" s="45"/>
    </row>
    <row r="6" spans="1:25" ht="30" x14ac:dyDescent="0.65">
      <c r="I6" s="16" t="s">
        <v>17</v>
      </c>
      <c r="J6" s="46" t="e">
        <f>'Custos e Cenários'!D6/'Custos e Cenários'!D7</f>
        <v>#DIV/0!</v>
      </c>
      <c r="K6" s="47"/>
    </row>
    <row r="7" spans="1:25" ht="30" x14ac:dyDescent="0.65">
      <c r="I7" s="16" t="s">
        <v>18</v>
      </c>
      <c r="J7" s="46" t="e">
        <f>('Custos e Cenários'!D6-'Custos e Cenários'!G16)/(4*'Custos e Cenários'!D7)</f>
        <v>#DIV/0!</v>
      </c>
      <c r="K7" s="47"/>
    </row>
    <row r="8" spans="1:25" ht="30.75" thickBot="1" x14ac:dyDescent="0.7">
      <c r="I8" s="18" t="s">
        <v>19</v>
      </c>
      <c r="J8" s="41" t="e">
        <f>('Custos e Cenários'!D6-'Custos e Cenários'!G16)/'Custos e Cenários'!D7</f>
        <v>#DIV/0!</v>
      </c>
      <c r="K8" s="42"/>
    </row>
    <row r="9" spans="1:25" ht="15.75" thickTop="1" x14ac:dyDescent="0.25"/>
  </sheetData>
  <mergeCells count="6">
    <mergeCell ref="A1:K1"/>
    <mergeCell ref="J8:K8"/>
    <mergeCell ref="I4:K4"/>
    <mergeCell ref="J5:K5"/>
    <mergeCell ref="J6:K6"/>
    <mergeCell ref="J7:K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Início</vt:lpstr>
      <vt:lpstr>Custos e Cenários</vt:lpstr>
      <vt:lpstr>Resultado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Pedro</cp:lastModifiedBy>
  <dcterms:created xsi:type="dcterms:W3CDTF">2013-11-09T12:17:33Z</dcterms:created>
  <dcterms:modified xsi:type="dcterms:W3CDTF">2014-07-08T14:46:13Z</dcterms:modified>
</cp:coreProperties>
</file>