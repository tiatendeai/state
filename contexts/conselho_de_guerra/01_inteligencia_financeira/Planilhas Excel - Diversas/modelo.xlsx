
<file path=[Content_Types].xml><?xml version="1.0" encoding="utf-8"?>
<Types xmlns="http://schemas.openxmlformats.org/package/2006/content-types">
  <Default ContentType="application/vnd.openxmlformats-officedocument.vmlDrawing" Extension="vml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drawing+xml" PartName="/xl/drawings/worksheetdrawing2.xml"/>
  <Override ContentType="application/vnd.openxmlformats-officedocument.drawing+xml" PartName="/xl/drawings/worksheetdrawing3.xml"/>
  <Override ContentType="application/vnd.openxmlformats-officedocument.drawing+xml" PartName="/xl/drawings/worksheetdrawing4.xml"/>
  <Override ContentType="application/vnd.openxmlformats-officedocument.drawingml.chart+xml" PartName="/xl/charts/chart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spreadsheetml.sheet.main+xml" PartName="/xl/workbook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ULADOR" sheetId="1" r:id="rId4"/>
    <sheet state="visible" name="RECEITA" sheetId="2" r:id="rId5"/>
    <sheet state="visible" name="terceiro" sheetId="3" r:id="rId6"/>
    <sheet state="visible" name="ESTRUTURA" sheetId="4" r:id="rId7"/>
  </sheets>
  <definedNames>
    <definedName hidden="1" localSheetId="2" name="_xlnm._FilterDatabase">terceiro!$A$2:$L$60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F5">
      <text>
        <t xml:space="preserve">Aqui está sua RECEITA BRUTA ESTIMADA (em reais) para simular seu LUCRO LIQUIDO.
OBS: INFORMADA NA PASTA IMPOSTOS</t>
      </text>
    </comment>
    <comment authorId="0" ref="C6">
      <text>
        <t xml:space="preserve">Aqui está informado o % TOTAL PONDERADO de impostos incidentes sobre a RECEITA BRUTA, sejam eles FEDERAIS, ESTADUAIS ou MUNICIPAIS...
IMPORTANTE: 
UTILIZE a PASTA IMPOSTOS para informar  os PERCENTUAIS DE IMPOSTOS de sua atividade....</t>
      </text>
    </comment>
    <comment authorId="0" ref="C7">
      <text>
        <t xml:space="preserve">Aqui está informado o % TOTAL PONDERADO de custos correspondentes a RECEITA BRUTA..
IMPORTANTE: 
UTILIZE a PASTA IMPOSTOS para informar  os VALORES DE CUSTOS dos produtos/linhas de sua atividade....</t>
      </text>
    </comment>
    <comment authorId="0" ref="C8">
      <text>
        <t xml:space="preserve">Aqui está informado o % TOTAL de OUTROS VÁRIAVEIS que tenham relação direta com a RECEITA BRUTA.
IMPORTANTE: 
UTILIZE a PASTA IMPOSTOS para informar  os PERCENTUAIS DE OUTROS VARIÁVEIS de sua atividade....</t>
      </text>
    </comment>
    <comment authorId="0" ref="C9">
      <text>
        <t xml:space="preserve">Este é o Percentual da MARGEM DE CONTRIBUIÇÃO, que tem este nome pois "contribui" para amortizar os Gastos Fixos elencados a seguir.
</t>
      </text>
    </comment>
    <comment authorId="0" ref="F10">
      <text>
        <t xml:space="preserve">Aqui está o TOTAL de suas DESPESAS FIXAS ESTRUTURAIS, exemplo: Aluguel, Condominio, Agua, Energia, Telefone (média mês), etc.
OBS: INFORMADA NA PASTA ESTRUTURA</t>
      </text>
    </comment>
    <comment authorId="0" ref="F11">
      <text>
        <t xml:space="preserve">Aqui está o TOTAL de suas DESPESAS FIXAS com PESSOAL, inclusive benefícios FIXOS, tais como VT, VR, etc... ( A parte variável em função da RECEITA deve ser informada em OUTROS VARIÁVEIS) 
OBS: INFORMADA NA PASTA ESTRUTURA</t>
      </text>
    </comment>
    <comment authorId="0" ref="F12">
      <text>
        <t xml:space="preserve">Aqui está o TOTAL das demais DESPESAS FIXAS ADMIN. e GERAIS, exemplo: limpeza mensal, papelaria, cópias, cafezinho, etc. *** SÓ A PARTE FIXA !!! **
OBS: INFORMADA NA PASTA ESTRUTURA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H7">
      <text>
        <t xml:space="preserve">2.500 pçs/mês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3">
      <text>
        <t xml:space="preserve">2.500 pçs/mês</t>
      </text>
    </comment>
  </commentList>
</comments>
</file>

<file path=xl/sharedStrings.xml><?xml version="1.0" encoding="utf-8"?>
<sst xmlns="http://schemas.openxmlformats.org/spreadsheetml/2006/main" count="193" uniqueCount="115">
  <si>
    <t>Simulador de Cálculo do Ponto de Equilibrio</t>
  </si>
  <si>
    <t>NOTA: AS INFORMAÇÕES ACIMA, SEU USO E INTERPRETAÇÃO SÃO DE EXCLUSIVA E ÚNICA RESPONSABILIDADE DE SEUS INFORMANTES, NÃO SE RESPONSABILIZANDO O AUTOR, PELO USO INADEQUADO, OU INFORMAÇÕES INDEVIDAS QUE POSSAM VIR A GERAR INTERPRETAÇÕES E DECISÕES GERENCIAIS/EMPRESARIAIS SEM O DEVIDO ACOMPANHAMENTO DE PROFISSIONAL DA ÁREA.</t>
  </si>
  <si>
    <t>DEMONSTRAÇÃO DE RESULTADOS</t>
  </si>
  <si>
    <t>% Composição LUCRO BRUTO</t>
  </si>
  <si>
    <t>Valores</t>
  </si>
  <si>
    <t>%</t>
  </si>
  <si>
    <t>LEGENDA:</t>
  </si>
  <si>
    <t>RECEITA BRUTA</t>
  </si>
  <si>
    <t>IMPOSTOS</t>
  </si>
  <si>
    <t>Gastos Variáveis</t>
  </si>
  <si>
    <t>Bases para simular DRE</t>
  </si>
  <si>
    <t>CUSTO MERCAD/PRODUTOS</t>
  </si>
  <si>
    <t>OUTROS VÁRIAVEIS</t>
  </si>
  <si>
    <t>Bases para Calcular PE</t>
  </si>
  <si>
    <t>LUCRO BRUTO / MARGEM DE CONTRIBUIÇÃO</t>
  </si>
  <si>
    <t>DESP. ESTRUTURAIS</t>
  </si>
  <si>
    <t>Gastos Fixos</t>
  </si>
  <si>
    <t>é seu PONTO</t>
  </si>
  <si>
    <t>DESP. PESSOAL</t>
  </si>
  <si>
    <t>DE EQUILIBRIO, para a estrutura de despesas FIXAS e parcentuais informados.</t>
  </si>
  <si>
    <t>DESP. ADMIN. E GERAIS</t>
  </si>
  <si>
    <t>LUCRO LIQUIDO</t>
  </si>
  <si>
    <t>COMPOSIÇÃO</t>
  </si>
  <si>
    <t>ITENS</t>
  </si>
  <si>
    <t>Inicio Linha Grafico</t>
  </si>
  <si>
    <t>Fim Linha Gráfico</t>
  </si>
  <si>
    <t>VENDAS</t>
  </si>
  <si>
    <t>CUSTO VARIAVEL</t>
  </si>
  <si>
    <t>LUCRO VARIAVEL</t>
  </si>
  <si>
    <t>CUSTO FIXO</t>
  </si>
  <si>
    <t>PTO DE EQUIL.</t>
  </si>
  <si>
    <t>LUCRO OPERACIONAL</t>
  </si>
  <si>
    <t xml:space="preserve">PONTO DE EQUILIBRIO = </t>
  </si>
  <si>
    <t>MARGEM DE CONTRIBUIÇÃO</t>
  </si>
  <si>
    <t>LUCRATIVIDADE DESEJADA</t>
  </si>
  <si>
    <t xml:space="preserve">PONTO DE EQUILIBRIO  ECONOMICO = </t>
  </si>
  <si>
    <t>COMPOSIÇÃO DA RECEITA BRUTA (LINHAS ou PRODUTOS)</t>
  </si>
  <si>
    <t>Quant.</t>
  </si>
  <si>
    <t>Valor venda Unitario</t>
  </si>
  <si>
    <t>Custo Unitario</t>
  </si>
  <si>
    <t>margem</t>
  </si>
  <si>
    <t>ESTIMATIVA DE RECEITA DA REFERIDA LINHA ou PRODUTO</t>
  </si>
  <si>
    <t>ESTIMATIVA DE CUSTO DA REFERIDA LINHA ou PRODUTO (sempre correspondente a RECEITA ESTIMADA)</t>
  </si>
  <si>
    <t>IMPOSTOS FEDERAIS INCIDENTES SOBRE A RECEITA BRUTA (%TOTAL)</t>
  </si>
  <si>
    <t>MARGEM TOTAL</t>
  </si>
  <si>
    <t>IMPOSTOS MUNICIPAIS, INCIDENTE SOBRE OS SERVIÇOS (%TOTAL)</t>
  </si>
  <si>
    <t>TOTAL IMPOSTOS EM R$</t>
  </si>
  <si>
    <t>Pe Quantidade</t>
  </si>
  <si>
    <t>BLUSA LOSANGO</t>
  </si>
  <si>
    <t>-</t>
  </si>
  <si>
    <t>CASACO PELE</t>
  </si>
  <si>
    <t>LUCRO BRUTO</t>
  </si>
  <si>
    <t>VESTIDO</t>
  </si>
  <si>
    <t>BLUSA RENDADA</t>
  </si>
  <si>
    <t>BLUSA V</t>
  </si>
  <si>
    <t>CASACO TRANÇA</t>
  </si>
  <si>
    <t>OUTROS VARIÁVEIS</t>
  </si>
  <si>
    <t>Comissão</t>
  </si>
  <si>
    <t>INSPEÇÃO</t>
  </si>
  <si>
    <t>NOTA: Verifique com seu contador o % de IMPOSTOS que cada ITEM QUE COMPÕE sua RECEITA BRUTA POSSUI...</t>
  </si>
  <si>
    <t>NOTA: Se informar a RECEITA de UMA UNIDADE... Os CUSTOS DEVERÃO ser DE UMA UNIDADE... ( SEMPRE A ESTIMATIVA DE RECEITA, DEVERÁ TER</t>
  </si>
  <si>
    <t>SEU CUSTO CORRESPONDENDE - SEM CRÉDITO DE IMPOSTOS !!! )</t>
  </si>
  <si>
    <t>MAGEM UNITÁRIA BRUTO</t>
  </si>
  <si>
    <t>RECEITA DE VENDA</t>
  </si>
  <si>
    <t>CUSTO MERCADORIA</t>
  </si>
  <si>
    <t>TOTAL KG</t>
  </si>
  <si>
    <t>Blusa listrada</t>
  </si>
  <si>
    <t>Blusa Bico</t>
  </si>
  <si>
    <t>Casaco Coração</t>
  </si>
  <si>
    <t>Casaco Colins</t>
  </si>
  <si>
    <t>blusa bico</t>
  </si>
  <si>
    <t>Blusa Ilhos</t>
  </si>
  <si>
    <t>Blusa ilhos</t>
  </si>
  <si>
    <t>VESTIDO VALIZE</t>
  </si>
  <si>
    <t>MAX CROPED</t>
  </si>
  <si>
    <t>BLUSA PERS.</t>
  </si>
  <si>
    <t>Casaco Rodolfo</t>
  </si>
  <si>
    <t>Casaco Masculino</t>
  </si>
  <si>
    <t>Casaco isabela</t>
  </si>
  <si>
    <t>blusa ciganinha</t>
  </si>
  <si>
    <t>ESTRUTURA</t>
  </si>
  <si>
    <t>DESPESAS ESTRUTURAIS (FIXAS)</t>
  </si>
  <si>
    <t>VALORES</t>
  </si>
  <si>
    <t>DESPESAS PESSOAL (FIXAS)</t>
  </si>
  <si>
    <t>DESPESAS ADMINISTRATIVAS E GERAIS (FIXAS)</t>
  </si>
  <si>
    <t>CEMIG</t>
  </si>
  <si>
    <t>COPASA</t>
  </si>
  <si>
    <t>Folha</t>
  </si>
  <si>
    <t>COMBUSTIVEL</t>
  </si>
  <si>
    <t>SEGURO</t>
  </si>
  <si>
    <t>FRETE</t>
  </si>
  <si>
    <t>IPVA</t>
  </si>
  <si>
    <t>Café</t>
  </si>
  <si>
    <t>CONTADOR</t>
  </si>
  <si>
    <t>DUCATO</t>
  </si>
  <si>
    <t>Material Escritório</t>
  </si>
  <si>
    <t>Telefone</t>
  </si>
  <si>
    <t>Progamador</t>
  </si>
  <si>
    <t>Andre plantao</t>
  </si>
  <si>
    <t>RA</t>
  </si>
  <si>
    <t>Motoboy</t>
  </si>
  <si>
    <t>comissoes</t>
  </si>
  <si>
    <t xml:space="preserve">Manutenção </t>
  </si>
  <si>
    <t>internet</t>
  </si>
  <si>
    <t>EXTINTOR</t>
  </si>
  <si>
    <t>FOTOS SITE</t>
  </si>
  <si>
    <t>Exames</t>
  </si>
  <si>
    <t>LAUDOS</t>
  </si>
  <si>
    <t>BB TRANSPORTES + comb.</t>
  </si>
  <si>
    <t>Celular</t>
  </si>
  <si>
    <t>FERNANDA COSTURA</t>
  </si>
  <si>
    <t>Transportadoras</t>
  </si>
  <si>
    <t>SIMONE COSTURA</t>
  </si>
  <si>
    <t>CORREIO</t>
  </si>
  <si>
    <t>NOTA: Se informar a RECEITA de UMA UNIDADE... Os CUSTOS DEVERÃO serem DE UMA UNIDADE... ( SEMPRE A ESTIMATIVA DE RECEITA, DEVERÁ 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</si>
</sst>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0.0%"/>
    <numFmt numFmtId="167" formatCode="_-&quot;R$&quot;\ * #,##0.00_-;\-&quot;R$&quot;\ * #,##0.00_-;_-&quot;R$&quot;\ * &quot;-&quot;??_-;_-@"/>
    <numFmt numFmtId="168" formatCode="_-* #,##0.00_-;\-* #,##0.00_-;_-* &quot;-&quot;??_-;_-@"/>
    <numFmt numFmtId="169" formatCode="_-[$R$-416]\ * #,##0.00_-;\-[$R$-416]\ * #,##0.00_-;_-[$R$-416]\ * &quot;-&quot;??_-;_-@"/>
  </numFmts>
  <fonts count="11">
    <font>
      <sz val="12.0"/>
      <color rgb="FF000000"/>
      <name val="Times New Roman"/>
    </font>
    <font>
      <sz val="10.0"/>
      <name val="Arial"/>
    </font>
    <font>
      <b/>
      <sz val="25.0"/>
      <name val="Arial"/>
    </font>
    <font/>
    <font>
      <b/>
      <sz val="10.0"/>
      <name val="Arial"/>
    </font>
    <font>
      <b/>
      <sz val="10.0"/>
      <color rgb="FF000000"/>
      <name val="Arial"/>
    </font>
    <font>
      <b/>
      <sz val="10.0"/>
      <color rgb="FFFFFFFF"/>
      <name val="Arial"/>
    </font>
    <font>
      <sz val="12.0"/>
      <name val="Times New Roman"/>
    </font>
    <font>
      <sz val="10.0"/>
      <color rgb="FF000000"/>
      <name val="Arial"/>
    </font>
    <font>
      <i/>
      <sz val="10.0"/>
      <name val="Arial"/>
    </font>
    <font>
      <b/>
      <sz val="14.0"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CCFFCC"/>
        <bgColor rgb="FFCCFFCC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</fills>
  <borders count="6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/>
      <top/>
      <bottom/>
    </border>
    <border>
      <left style="thin">
        <color rgb="FFFFFFFF"/>
      </left>
      <right/>
      <top/>
      <bottom style="thin">
        <color rgb="FFFFFFFF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</border>
    <border>
      <top/>
    </border>
    <border>
      <right style="medium">
        <color rgb="FF000000"/>
      </right>
      <top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FFFFFF"/>
      </left>
      <right/>
      <top/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6" numFmtId="0" xfId="0" applyAlignment="1" applyBorder="1" applyFill="1" applyFont="1">
      <alignment horizontal="center" shrinkToFit="0" vertical="center" wrapText="1"/>
    </xf>
    <xf borderId="8" fillId="3" fontId="6" numFmtId="0" xfId="0" applyAlignment="1" applyBorder="1" applyFont="1">
      <alignment horizontal="center" shrinkToFit="0" vertical="center" wrapText="1"/>
    </xf>
    <xf borderId="9" fillId="3" fontId="6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1" numFmtId="0" xfId="0" applyBorder="1" applyFont="1"/>
    <xf borderId="15" fillId="0" fontId="7" numFmtId="10" xfId="0" applyAlignment="1" applyBorder="1" applyFont="1" applyNumberFormat="1">
      <alignment horizontal="right"/>
    </xf>
    <xf borderId="14" fillId="4" fontId="1" numFmtId="164" xfId="0" applyBorder="1" applyFill="1" applyFont="1" applyNumberFormat="1"/>
    <xf borderId="15" fillId="0" fontId="7" numFmtId="9" xfId="0" applyAlignment="1" applyBorder="1" applyFont="1" applyNumberFormat="1">
      <alignment horizontal="center"/>
    </xf>
    <xf borderId="16" fillId="0" fontId="1" numFmtId="0" xfId="0" applyBorder="1" applyFont="1"/>
    <xf borderId="16" fillId="5" fontId="7" numFmtId="10" xfId="0" applyAlignment="1" applyBorder="1" applyFill="1" applyFont="1" applyNumberFormat="1">
      <alignment horizontal="right"/>
    </xf>
    <xf borderId="17" fillId="0" fontId="1" numFmtId="0" xfId="0" applyAlignment="1" applyBorder="1" applyFont="1">
      <alignment horizontal="center" shrinkToFit="0" vertical="center" wrapText="1"/>
    </xf>
    <xf borderId="17" fillId="0" fontId="7" numFmtId="164" xfId="0" applyBorder="1" applyFont="1" applyNumberFormat="1"/>
    <xf borderId="16" fillId="0" fontId="7" numFmtId="9" xfId="0" applyAlignment="1" applyBorder="1" applyFont="1" applyNumberFormat="1">
      <alignment horizontal="center"/>
    </xf>
    <xf borderId="18" fillId="4" fontId="4" numFmtId="0" xfId="0" applyAlignment="1" applyBorder="1" applyFont="1">
      <alignment horizontal="center" shrinkToFit="0" vertical="center" wrapText="1"/>
    </xf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1" fillId="0" fontId="7" numFmtId="164" xfId="0" applyBorder="1" applyFont="1" applyNumberFormat="1"/>
    <xf borderId="15" fillId="0" fontId="3" numFmtId="0" xfId="0" applyBorder="1" applyFont="1"/>
    <xf borderId="15" fillId="0" fontId="7" numFmtId="164" xfId="0" applyBorder="1" applyFont="1" applyNumberFormat="1"/>
    <xf borderId="18" fillId="5" fontId="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shrinkToFit="0" wrapText="1"/>
    </xf>
    <xf borderId="16" fillId="0" fontId="4" numFmtId="10" xfId="0" applyAlignment="1" applyBorder="1" applyFont="1" applyNumberFormat="1">
      <alignment horizontal="right" vertical="center"/>
    </xf>
    <xf borderId="0" fillId="0" fontId="4" numFmtId="40" xfId="0" applyFont="1" applyNumberFormat="1"/>
    <xf borderId="18" fillId="0" fontId="4" numFmtId="164" xfId="0" applyAlignment="1" applyBorder="1" applyFont="1" applyNumberFormat="1">
      <alignment vertical="center"/>
    </xf>
    <xf borderId="16" fillId="0" fontId="7" numFmtId="9" xfId="0" applyAlignment="1" applyBorder="1" applyFont="1" applyNumberFormat="1">
      <alignment horizontal="center" vertical="center"/>
    </xf>
    <xf borderId="16" fillId="6" fontId="7" numFmtId="10" xfId="0" applyAlignment="1" applyBorder="1" applyFill="1" applyFont="1" applyNumberFormat="1">
      <alignment horizontal="right"/>
    </xf>
    <xf borderId="22" fillId="5" fontId="7" numFmtId="164" xfId="0" applyBorder="1" applyFont="1" applyNumberFormat="1"/>
    <xf borderId="23" fillId="2" fontId="5" numFmtId="164" xfId="0" applyAlignment="1" applyBorder="1" applyFont="1" applyNumberFormat="1">
      <alignment shrinkToFit="0" vertical="center" wrapText="1"/>
    </xf>
    <xf borderId="24" fillId="2" fontId="5" numFmtId="0" xfId="0" applyBorder="1" applyFont="1"/>
    <xf borderId="25" fillId="2" fontId="8" numFmtId="0" xfId="0" applyBorder="1" applyFont="1"/>
    <xf borderId="26" fillId="2" fontId="5" numFmtId="0" xfId="0" applyAlignment="1" applyBorder="1" applyFont="1">
      <alignment horizontal="left" shrinkToFit="0" vertical="center" wrapText="1"/>
    </xf>
    <xf borderId="27" fillId="0" fontId="3" numFmtId="0" xfId="0" applyBorder="1" applyFont="1"/>
    <xf borderId="28" fillId="0" fontId="3" numFmtId="0" xfId="0" applyBorder="1" applyFont="1"/>
    <xf borderId="16" fillId="0" fontId="4" numFmtId="0" xfId="0" applyBorder="1" applyFont="1"/>
    <xf borderId="16" fillId="6" fontId="4" numFmtId="10" xfId="0" applyAlignment="1" applyBorder="1" applyFont="1" applyNumberFormat="1">
      <alignment horizontal="right"/>
    </xf>
    <xf borderId="18" fillId="0" fontId="4" numFmtId="164" xfId="0" applyAlignment="1" applyBorder="1" applyFont="1" applyNumberFormat="1">
      <alignment horizontal="right"/>
    </xf>
    <xf borderId="16" fillId="0" fontId="7" numFmtId="10" xfId="0" applyAlignment="1" applyBorder="1" applyFont="1" applyNumberFormat="1">
      <alignment horizontal="center"/>
    </xf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0" fillId="0" fontId="7" numFmtId="165" xfId="0" applyFont="1" applyNumberFormat="1"/>
    <xf borderId="16" fillId="5" fontId="7" numFmtId="165" xfId="0" applyBorder="1" applyFont="1" applyNumberFormat="1"/>
    <xf borderId="16" fillId="6" fontId="7" numFmtId="9" xfId="0" applyAlignment="1" applyBorder="1" applyFont="1" applyNumberFormat="1">
      <alignment horizontal="center"/>
    </xf>
    <xf borderId="16" fillId="0" fontId="7" numFmtId="165" xfId="0" applyBorder="1" applyFont="1" applyNumberFormat="1"/>
    <xf borderId="16" fillId="0" fontId="7" numFmtId="166" xfId="0" applyAlignment="1" applyBorder="1" applyFont="1" applyNumberFormat="1">
      <alignment horizontal="center"/>
    </xf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12" fillId="0" fontId="1" numFmtId="0" xfId="0" applyBorder="1" applyFont="1"/>
    <xf borderId="32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/>
    </xf>
    <xf borderId="33" fillId="0" fontId="1" numFmtId="167" xfId="0" applyAlignment="1" applyBorder="1" applyFont="1" applyNumberFormat="1">
      <alignment horizontal="center" vertical="center"/>
    </xf>
    <xf borderId="4" fillId="7" fontId="4" numFmtId="164" xfId="0" applyAlignment="1" applyBorder="1" applyFill="1" applyFont="1" applyNumberFormat="1">
      <alignment horizontal="center" shrinkToFit="0" vertical="center" wrapText="1"/>
    </xf>
    <xf borderId="13" fillId="0" fontId="1" numFmtId="0" xfId="0" applyBorder="1" applyFont="1"/>
    <xf borderId="32" fillId="0" fontId="3" numFmtId="0" xfId="0" applyBorder="1" applyFont="1"/>
    <xf borderId="34" fillId="0" fontId="1" numFmtId="0" xfId="0" applyAlignment="1" applyBorder="1" applyFont="1">
      <alignment horizontal="center"/>
    </xf>
    <xf borderId="35" fillId="0" fontId="3" numFmtId="0" xfId="0" applyBorder="1" applyFont="1"/>
    <xf borderId="36" fillId="0" fontId="3" numFmtId="0" xfId="0" applyBorder="1" applyFont="1"/>
    <xf borderId="0" fillId="0" fontId="1" numFmtId="9" xfId="0" applyAlignment="1" applyFont="1" applyNumberFormat="1">
      <alignment horizontal="center" vertical="center"/>
    </xf>
    <xf borderId="30" fillId="0" fontId="1" numFmtId="0" xfId="0" applyBorder="1" applyFont="1"/>
    <xf borderId="30" fillId="0" fontId="9" numFmtId="0" xfId="0" applyBorder="1" applyFont="1"/>
    <xf borderId="31" fillId="0" fontId="1" numFmtId="0" xfId="0" applyBorder="1" applyFont="1"/>
    <xf borderId="37" fillId="2" fontId="1" numFmtId="9" xfId="0" applyAlignment="1" applyBorder="1" applyFont="1" applyNumberFormat="1">
      <alignment horizontal="center" vertical="center"/>
    </xf>
    <xf borderId="1" fillId="0" fontId="7" numFmtId="9" xfId="0" applyAlignment="1" applyBorder="1" applyFont="1" applyNumberFormat="1">
      <alignment horizontal="center" vertical="center"/>
    </xf>
    <xf borderId="38" fillId="0" fontId="3" numFmtId="0" xfId="0" applyBorder="1" applyFont="1"/>
    <xf borderId="0" fillId="0" fontId="7" numFmtId="166" xfId="0" applyFont="1" applyNumberFormat="1"/>
    <xf borderId="39" fillId="0" fontId="1" numFmtId="0" xfId="0" applyAlignment="1" applyBorder="1" applyFont="1">
      <alignment horizontal="center"/>
    </xf>
    <xf borderId="40" fillId="0" fontId="3" numFmtId="0" xfId="0" applyBorder="1" applyFont="1"/>
    <xf borderId="41" fillId="2" fontId="1" numFmtId="164" xfId="0" applyAlignment="1" applyBorder="1" applyFont="1" applyNumberFormat="1">
      <alignment horizontal="center" vertical="center"/>
    </xf>
    <xf borderId="42" fillId="0" fontId="3" numFmtId="0" xfId="0" applyBorder="1" applyFont="1"/>
    <xf borderId="0" fillId="0" fontId="1" numFmtId="168" xfId="0" applyAlignment="1" applyFont="1" applyNumberFormat="1">
      <alignment horizontal="center"/>
    </xf>
    <xf borderId="0" fillId="0" fontId="1" numFmtId="169" xfId="0" applyFont="1" applyNumberFormat="1"/>
    <xf borderId="0" fillId="0" fontId="1" numFmtId="167" xfId="0" applyFont="1" applyNumberFormat="1"/>
    <xf borderId="4" fillId="8" fontId="5" numFmtId="0" xfId="0" applyAlignment="1" applyBorder="1" applyFill="1" applyFont="1">
      <alignment horizontal="center" shrinkToFit="0" vertical="center" wrapText="1"/>
    </xf>
    <xf borderId="43" fillId="8" fontId="5" numFmtId="0" xfId="0" applyAlignment="1" applyBorder="1" applyFont="1">
      <alignment horizontal="center" shrinkToFit="0" vertical="center" wrapText="1"/>
    </xf>
    <xf borderId="43" fillId="8" fontId="5" numFmtId="169" xfId="0" applyAlignment="1" applyBorder="1" applyFont="1" applyNumberFormat="1">
      <alignment horizontal="center" shrinkToFit="0" vertical="center" wrapText="1"/>
    </xf>
    <xf borderId="44" fillId="8" fontId="5" numFmtId="0" xfId="0" applyAlignment="1" applyBorder="1" applyFont="1">
      <alignment horizontal="center" shrinkToFit="0" vertical="center" wrapText="1"/>
    </xf>
    <xf borderId="7" fillId="8" fontId="5" numFmtId="0" xfId="0" applyAlignment="1" applyBorder="1" applyFont="1">
      <alignment horizontal="center" shrinkToFit="0" vertical="center" wrapText="1"/>
    </xf>
    <xf borderId="43" fillId="8" fontId="5" numFmtId="167" xfId="0" applyAlignment="1" applyBorder="1" applyFont="1" applyNumberFormat="1">
      <alignment horizontal="center" shrinkToFit="0" vertical="center" wrapText="1"/>
    </xf>
    <xf borderId="45" fillId="8" fontId="5" numFmtId="0" xfId="0" applyAlignment="1" applyBorder="1" applyFont="1">
      <alignment horizontal="center" shrinkToFit="0" vertical="center" wrapText="1"/>
    </xf>
    <xf borderId="46" fillId="3" fontId="6" numFmtId="0" xfId="0" applyAlignment="1" applyBorder="1" applyFont="1">
      <alignment horizontal="center" shrinkToFit="0" vertical="center" wrapText="1"/>
    </xf>
    <xf borderId="47" fillId="0" fontId="3" numFmtId="0" xfId="0" applyBorder="1" applyFont="1"/>
    <xf borderId="33" fillId="0" fontId="3" numFmtId="0" xfId="0" applyBorder="1" applyFont="1"/>
    <xf borderId="48" fillId="0" fontId="3" numFmtId="0" xfId="0" applyBorder="1" applyFont="1"/>
    <xf borderId="49" fillId="8" fontId="5" numFmtId="0" xfId="0" applyAlignment="1" applyBorder="1" applyFont="1">
      <alignment horizontal="center" shrinkToFit="0" vertical="center" wrapText="1"/>
    </xf>
    <xf borderId="45" fillId="3" fontId="6" numFmtId="0" xfId="0" applyAlignment="1" applyBorder="1" applyFont="1">
      <alignment horizontal="center" shrinkToFit="0" vertical="center" wrapText="1"/>
    </xf>
    <xf borderId="50" fillId="0" fontId="1" numFmtId="0" xfId="0" applyBorder="1" applyFont="1"/>
    <xf borderId="51" fillId="5" fontId="1" numFmtId="0" xfId="0" applyBorder="1" applyFont="1"/>
    <xf borderId="52" fillId="5" fontId="1" numFmtId="0" xfId="0" applyBorder="1" applyFont="1"/>
    <xf borderId="52" fillId="5" fontId="1" numFmtId="164" xfId="0" applyAlignment="1" applyBorder="1" applyFont="1" applyNumberFormat="1">
      <alignment horizontal="center"/>
    </xf>
    <xf borderId="52" fillId="5" fontId="7" numFmtId="164" xfId="0" applyAlignment="1" applyBorder="1" applyFont="1" applyNumberFormat="1">
      <alignment horizontal="center"/>
    </xf>
    <xf borderId="52" fillId="5" fontId="7" numFmtId="169" xfId="0" applyAlignment="1" applyBorder="1" applyFont="1" applyNumberFormat="1">
      <alignment horizontal="center"/>
    </xf>
    <xf borderId="53" fillId="5" fontId="7" numFmtId="0" xfId="0" applyAlignment="1" applyBorder="1" applyFont="1">
      <alignment horizontal="center"/>
    </xf>
    <xf borderId="52" fillId="5" fontId="1" numFmtId="167" xfId="0" applyAlignment="1" applyBorder="1" applyFont="1" applyNumberFormat="1">
      <alignment horizontal="center"/>
    </xf>
    <xf borderId="52" fillId="5" fontId="7" numFmtId="10" xfId="0" applyAlignment="1" applyBorder="1" applyFont="1" applyNumberFormat="1">
      <alignment horizontal="center"/>
    </xf>
    <xf borderId="52" fillId="5" fontId="7" numFmtId="167" xfId="0" applyAlignment="1" applyBorder="1" applyFont="1" applyNumberFormat="1">
      <alignment horizontal="center"/>
    </xf>
    <xf borderId="53" fillId="5" fontId="7" numFmtId="10" xfId="0" applyAlignment="1" applyBorder="1" applyFont="1" applyNumberFormat="1">
      <alignment horizontal="center"/>
    </xf>
    <xf borderId="16" fillId="0" fontId="7" numFmtId="10" xfId="0" applyAlignment="1" applyBorder="1" applyFont="1" applyNumberFormat="1">
      <alignment horizontal="right"/>
    </xf>
    <xf borderId="16" fillId="5" fontId="7" numFmtId="9" xfId="0" applyAlignment="1" applyBorder="1" applyFont="1" applyNumberFormat="1">
      <alignment horizontal="right"/>
    </xf>
    <xf borderId="52" fillId="5" fontId="1" numFmtId="164" xfId="0" applyBorder="1" applyFont="1" applyNumberFormat="1"/>
    <xf borderId="16" fillId="0" fontId="4" numFmtId="10" xfId="0" applyAlignment="1" applyBorder="1" applyFont="1" applyNumberFormat="1">
      <alignment horizontal="right"/>
    </xf>
    <xf borderId="54" fillId="0" fontId="1" numFmtId="0" xfId="0" applyAlignment="1" applyBorder="1" applyFont="1">
      <alignment horizontal="center" vertical="center"/>
    </xf>
    <xf borderId="55" fillId="0" fontId="3" numFmtId="0" xfId="0" applyBorder="1" applyFont="1"/>
    <xf borderId="53" fillId="5" fontId="7" numFmtId="164" xfId="0" applyAlignment="1" applyBorder="1" applyFont="1" applyNumberFormat="1">
      <alignment horizontal="center"/>
    </xf>
    <xf borderId="56" fillId="0" fontId="3" numFmtId="0" xfId="0" applyBorder="1" applyFont="1"/>
    <xf borderId="50" fillId="2" fontId="1" numFmtId="0" xfId="0" applyAlignment="1" applyBorder="1" applyFont="1">
      <alignment vertical="center"/>
    </xf>
    <xf borderId="51" fillId="2" fontId="1" numFmtId="0" xfId="0" applyBorder="1" applyFont="1"/>
    <xf borderId="52" fillId="2" fontId="1" numFmtId="0" xfId="0" applyBorder="1" applyFont="1"/>
    <xf borderId="52" fillId="2" fontId="1" numFmtId="164" xfId="0" applyBorder="1" applyFont="1" applyNumberFormat="1"/>
    <xf borderId="52" fillId="2" fontId="1" numFmtId="169" xfId="0" applyBorder="1" applyFont="1" applyNumberFormat="1"/>
    <xf borderId="52" fillId="2" fontId="7" numFmtId="164" xfId="0" applyAlignment="1" applyBorder="1" applyFont="1" applyNumberFormat="1">
      <alignment horizontal="center"/>
    </xf>
    <xf borderId="53" fillId="2" fontId="7" numFmtId="164" xfId="0" applyAlignment="1" applyBorder="1" applyFont="1" applyNumberFormat="1">
      <alignment horizontal="center"/>
    </xf>
    <xf borderId="52" fillId="2" fontId="7" numFmtId="167" xfId="0" applyAlignment="1" applyBorder="1" applyFont="1" applyNumberFormat="1">
      <alignment horizontal="center"/>
    </xf>
    <xf borderId="52" fillId="2" fontId="7" numFmtId="10" xfId="0" applyAlignment="1" applyBorder="1" applyFont="1" applyNumberFormat="1">
      <alignment horizontal="center"/>
    </xf>
    <xf borderId="53" fillId="2" fontId="7" numFmtId="10" xfId="0" applyAlignment="1" applyBorder="1" applyFont="1" applyNumberFormat="1">
      <alignment horizontal="center"/>
    </xf>
    <xf borderId="52" fillId="5" fontId="1" numFmtId="169" xfId="0" applyBorder="1" applyFont="1" applyNumberFormat="1"/>
    <xf borderId="52" fillId="5" fontId="7" numFmtId="164" xfId="0" applyBorder="1" applyFont="1" applyNumberFormat="1"/>
    <xf borderId="57" fillId="0" fontId="1" numFmtId="0" xfId="0" applyBorder="1" applyFont="1"/>
    <xf borderId="58" fillId="0" fontId="4" numFmtId="0" xfId="0" applyBorder="1" applyFont="1"/>
    <xf borderId="59" fillId="0" fontId="4" numFmtId="0" xfId="0" applyBorder="1" applyFont="1"/>
    <xf borderId="59" fillId="0" fontId="4" numFmtId="164" xfId="0" applyAlignment="1" applyBorder="1" applyFont="1" applyNumberFormat="1">
      <alignment horizontal="center"/>
    </xf>
    <xf borderId="59" fillId="0" fontId="4" numFmtId="169" xfId="0" applyBorder="1" applyFont="1" applyNumberFormat="1"/>
    <xf borderId="2" fillId="0" fontId="4" numFmtId="164" xfId="0" applyAlignment="1" applyBorder="1" applyFont="1" applyNumberFormat="1">
      <alignment horizontal="center"/>
    </xf>
    <xf borderId="59" fillId="0" fontId="4" numFmtId="167" xfId="0" applyAlignment="1" applyBorder="1" applyFont="1" applyNumberFormat="1">
      <alignment horizontal="center"/>
    </xf>
    <xf borderId="59" fillId="0" fontId="4" numFmtId="10" xfId="0" applyAlignment="1" applyBorder="1" applyFont="1" applyNumberFormat="1">
      <alignment horizontal="center"/>
    </xf>
    <xf borderId="2" fillId="0" fontId="4" numFmtId="10" xfId="0" applyAlignment="1" applyBorder="1" applyFont="1" applyNumberFormat="1">
      <alignment horizontal="center"/>
    </xf>
    <xf borderId="16" fillId="5" fontId="4" numFmtId="10" xfId="0" applyAlignment="1" applyBorder="1" applyFont="1" applyNumberFormat="1">
      <alignment horizontal="right"/>
    </xf>
    <xf borderId="0" fillId="0" fontId="4" numFmtId="169" xfId="0" applyFont="1" applyNumberFormat="1"/>
    <xf borderId="0" fillId="0" fontId="4" numFmtId="167" xfId="0" applyFont="1" applyNumberFormat="1"/>
    <xf borderId="60" fillId="8" fontId="5" numFmtId="0" xfId="0" applyAlignment="1" applyBorder="1" applyFont="1">
      <alignment horizontal="center" shrinkToFit="0" vertical="center" wrapText="1"/>
    </xf>
    <xf borderId="61" fillId="0" fontId="3" numFmtId="0" xfId="0" applyBorder="1" applyFont="1"/>
    <xf borderId="44" fillId="8" fontId="5" numFmtId="169" xfId="0" applyAlignment="1" applyBorder="1" applyFont="1" applyNumberFormat="1">
      <alignment horizontal="center" shrinkToFit="0" vertical="center" wrapText="1"/>
    </xf>
    <xf borderId="44" fillId="8" fontId="5" numFmtId="167" xfId="0" applyAlignment="1" applyBorder="1" applyFont="1" applyNumberFormat="1">
      <alignment horizontal="center" shrinkToFit="0" vertical="center" wrapText="1"/>
    </xf>
    <xf borderId="50" fillId="8" fontId="5" numFmtId="0" xfId="0" applyAlignment="1" applyBorder="1" applyFont="1">
      <alignment horizontal="center" shrinkToFit="0" vertical="center" wrapText="1"/>
    </xf>
    <xf borderId="51" fillId="8" fontId="5" numFmtId="0" xfId="0" applyAlignment="1" applyBorder="1" applyFont="1">
      <alignment horizontal="center" shrinkToFit="0" vertical="center" wrapText="1"/>
    </xf>
    <xf borderId="62" fillId="8" fontId="5" numFmtId="0" xfId="0" applyAlignment="1" applyBorder="1" applyFont="1">
      <alignment horizontal="center" shrinkToFit="0" vertical="center" wrapText="1"/>
    </xf>
    <xf borderId="62" fillId="8" fontId="5" numFmtId="169" xfId="0" applyAlignment="1" applyBorder="1" applyFont="1" applyNumberFormat="1">
      <alignment horizontal="center" shrinkToFit="0" vertical="center" wrapText="1"/>
    </xf>
    <xf borderId="62" fillId="8" fontId="5" numFmtId="167" xfId="0" applyAlignment="1" applyBorder="1" applyFont="1" applyNumberFormat="1">
      <alignment horizontal="center" shrinkToFit="0" vertical="center" wrapText="1"/>
    </xf>
    <xf borderId="50" fillId="2" fontId="1" numFmtId="0" xfId="0" applyBorder="1" applyFont="1"/>
    <xf borderId="52" fillId="5" fontId="7" numFmtId="0" xfId="0" applyAlignment="1" applyBorder="1" applyFont="1">
      <alignment horizontal="center"/>
    </xf>
    <xf borderId="50" fillId="2" fontId="4" numFmtId="0" xfId="0" applyBorder="1" applyFont="1"/>
    <xf borderId="50" fillId="2" fontId="4" numFmtId="0" xfId="0" applyAlignment="1" applyBorder="1" applyFont="1">
      <alignment horizontal="left" vertical="center"/>
    </xf>
    <xf borderId="50" fillId="2" fontId="4" numFmtId="0" xfId="0" applyAlignment="1" applyBorder="1" applyFont="1">
      <alignment horizontal="left"/>
    </xf>
    <xf borderId="50" fillId="2" fontId="4" numFmtId="0" xfId="0" applyAlignment="1" applyBorder="1" applyFont="1">
      <alignment readingOrder="0"/>
    </xf>
    <xf borderId="50" fillId="0" fontId="4" numFmtId="0" xfId="0" applyBorder="1" applyFont="1"/>
    <xf borderId="0" fillId="0" fontId="7" numFmtId="167" xfId="0" applyFont="1" applyNumberFormat="1"/>
    <xf borderId="0" fillId="0" fontId="10" numFmtId="0" xfId="0" applyFont="1"/>
    <xf borderId="16" fillId="5" fontId="1" numFmtId="0" xfId="0" applyBorder="1" applyFont="1"/>
    <xf borderId="16" fillId="5" fontId="7" numFmtId="164" xfId="0" applyAlignment="1" applyBorder="1" applyFont="1" applyNumberFormat="1">
      <alignment horizontal="center"/>
    </xf>
    <xf borderId="16" fillId="0" fontId="4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1" Type="http://schemas.openxmlformats.org/officeDocument/2006/relationships/theme" Target="theme/theme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2797289069848589"/>
          <c:y val="0.09415584415584416"/>
          <c:w val="0.6477919776949905"/>
          <c:h val="0.737012987012987"/>
        </c:manualLayout>
      </c:layout>
      <c:lineChart>
        <c:ser>
          <c:idx val="0"/>
          <c:order val="0"/>
          <c:tx>
            <c:strRef>
              <c:f>SIMULADOR!$F$18</c:f>
            </c:strRef>
          </c:tx>
          <c:spPr>
            <a:ln cmpd="sng"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dLbls>
            <c:txPr>
              <a:bodyPr/>
              <a:lstStyle/>
              <a:p>
                <a:pPr lvl="0">
                  <a:defRPr b="1" i="0" sz="8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SIMULADOR!$G$17:$H$17</c:f>
            </c:strRef>
          </c:cat>
          <c:val>
            <c:numRef>
              <c:f>SIMULADOR!$G$18:$H$18</c:f>
            </c:numRef>
          </c:val>
          <c:smooth val="0"/>
        </c:ser>
        <c:ser>
          <c:idx val="1"/>
          <c:order val="1"/>
          <c:tx>
            <c:strRef>
              <c:f>SIMULADOR!$F$19</c:f>
            </c:strRef>
          </c:tx>
          <c:spPr>
            <a:ln cmpd="sng" w="19050">
              <a:solidFill>
                <a:srgbClr val="FF0000"/>
              </a:solidFill>
              <a:prstDash val="solid"/>
            </a:ln>
          </c:spPr>
          <c:marker>
            <c:symbol val="none"/>
          </c:marker>
          <c:dLbls>
            <c:txPr>
              <a:bodyPr/>
              <a:lstStyle/>
              <a:p>
                <a:pPr lvl="0">
                  <a:defRPr b="1" i="0" sz="8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SIMULADOR!$G$17:$H$17</c:f>
            </c:strRef>
          </c:cat>
          <c:val>
            <c:numRef>
              <c:f>SIMULADOR!$G$19:$H$19</c:f>
            </c:numRef>
          </c:val>
          <c:smooth val="0"/>
        </c:ser>
        <c:ser>
          <c:idx val="2"/>
          <c:order val="2"/>
          <c:tx>
            <c:strRef>
              <c:f>SIMULADOR!$F$20</c:f>
            </c:strRef>
          </c:tx>
          <c:spPr>
            <a:ln cmpd="sng" w="19050">
              <a:solidFill>
                <a:srgbClr val="008000"/>
              </a:solidFill>
              <a:prstDash val="solid"/>
            </a:ln>
          </c:spPr>
          <c:marker>
            <c:symbol val="none"/>
          </c:marker>
          <c:dLbls>
            <c:txPr>
              <a:bodyPr/>
              <a:lstStyle/>
              <a:p>
                <a:pPr lvl="0">
                  <a:defRPr b="1" i="0" sz="8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SIMULADOR!$G$17:$H$17</c:f>
            </c:strRef>
          </c:cat>
          <c:val>
            <c:numRef>
              <c:f>SIMULADOR!$G$20:$H$20</c:f>
            </c:numRef>
          </c:val>
          <c:smooth val="0"/>
        </c:ser>
        <c:ser>
          <c:idx val="3"/>
          <c:order val="3"/>
          <c:tx>
            <c:strRef>
              <c:f>SIMULADOR!$F$21</c:f>
            </c:strRef>
          </c:tx>
          <c:spPr>
            <a:ln cmpd="sng" w="38100">
              <a:solidFill>
                <a:srgbClr val="000000"/>
              </a:solidFill>
              <a:prstDash val="solid"/>
            </a:ln>
          </c:spPr>
          <c:marker>
            <c:symbol val="circle"/>
            <c:size val="16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dLbls>
            <c:txPr>
              <a:bodyPr/>
              <a:lstStyle/>
              <a:p>
                <a:pPr lvl="0">
                  <a:defRPr b="1" i="0" sz="80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SIMULADOR!$G$17:$H$17</c:f>
            </c:strRef>
          </c:cat>
          <c:val>
            <c:numRef>
              <c:f>SIMULADOR!$G$21:$H$21</c:f>
            </c:numRef>
          </c:val>
          <c:smooth val="0"/>
        </c:ser>
        <c:axId val="451433972"/>
        <c:axId val="325080074"/>
      </c:lineChart>
      <c:catAx>
        <c:axId val="451433972"/>
        <c:scaling>
          <c:orientation val="minMax"/>
        </c:scaling>
        <c:delete val="0"/>
        <c:axPos val="b"/>
        <c:txPr>
          <a:bodyPr rot="0"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325080074"/>
      </c:catAx>
      <c:valAx>
        <c:axId val="325080074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Arial"/>
              </a:defRPr>
            </a:pPr>
          </a:p>
        </c:txPr>
        <c:crossAx val="451433972"/>
      </c:valAx>
      <c:spPr>
        <a:solidFill>
          <a:srgbClr val="FFFFCC"/>
        </a:solidFill>
      </c:spPr>
    </c:plotArea>
    <c:legend>
      <c:legendPos val="r"/>
      <c:overlay val="0"/>
      <c:txPr>
        <a:bodyPr/>
        <a:lstStyle/>
        <a:p>
          <a:pPr lvl="0">
            <a:defRPr sz="1100">
              <a:solidFill>
                <a:srgbClr val="000000"/>
              </a:solidFill>
              <a:latin typeface="Arial"/>
            </a:defRPr>
          </a:pPr>
        </a:p>
      </c:txPr>
    </c:legend>
  </c:chart>
  <c:spPr>
    <a:solidFill>
      <a:srgbClr val="FFFFFF"/>
    </a:solidFill>
  </c:spPr>
</c:chartSpace>
</file>

<file path=xl/drawings/_rels/worksheetdrawing1.xml.rels><?xml version="1.0" encoding="UTF-8" standalone="yes"?>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hyperlink" Target="#ESTRUTURA!A1"/><Relationship Id="rId1" Type="http://schemas.openxmlformats.org/officeDocument/2006/relationships/hyperlink" Target="#RECEITA!A1"/></Relationships>
</file>

<file path=xl/drawings/_rels/worksheet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worksheetdrawing4.xml.rels><?xml version="1.0" encoding="UTF-8" standalone="yes"?><Relationships xmlns="http://schemas.openxmlformats.org/package/2006/relationships"><Relationship Id="rId2" Type="http://schemas.openxmlformats.org/officeDocument/2006/relationships/hyperlink" Target="#SIMULADOR!A1"/><Relationship Id="rId1" Type="http://schemas.openxmlformats.org/officeDocument/2006/relationships/image" Target="../media/image2.png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4</xdr:col>
      <xdr:colOff>19050</xdr:colOff>
      <xdr:row>5</xdr:row>
      <xdr:rowOff>142875</xdr:rowOff>
    </xdr:from>
    <xdr:to>
      <xdr:col>5</xdr:col>
      <xdr:colOff>0</xdr:colOff>
      <xdr:row>7</xdr:row>
      <xdr:rowOff>57150</xdr:rowOff>
    </xdr:to>
    <xdr:sp macro="" textlink="">
      <xdr:nvSpPr>
        <xdr:cNvPr id="3" name="AutoShape 15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619625" y="1552575"/>
          <a:ext cx="371475" cy="257175"/>
        </a:xfrm>
        <a:prstGeom prst="rightArrow">
          <a:avLst>
            <a:gd fmla="val 50000" name="adj1"/>
            <a:gd fmla="val 24562" name="adj2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twoCellAnchor>
  <xdr:twoCellAnchor>
    <xdr:from>
      <xdr:col>3</xdr:col>
      <xdr:colOff>66675</xdr:colOff>
      <xdr:row>8</xdr:row>
      <xdr:rowOff>28575</xdr:rowOff>
    </xdr:from>
    <xdr:to>
      <xdr:col>4</xdr:col>
      <xdr:colOff>323850</xdr:colOff>
      <xdr:row>9</xdr:row>
      <xdr:rowOff>114300</xdr:rowOff>
    </xdr:to>
    <xdr:sp macro="" textlink="">
      <xdr:nvSpPr>
        <xdr:cNvPr id="4" name="AutoShape 16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4010025" y="1952625"/>
          <a:ext cx="914400" cy="247650"/>
        </a:xfrm>
        <a:prstGeom prst="rightArrow">
          <a:avLst>
            <a:gd fmla="val 50000" name="adj1"/>
            <a:gd fmla="val 26803" name="adj2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twoCellAnchor>
  <xdr:twoCellAnchor>
    <xdr:from>
      <xdr:col>8</xdr:col>
      <xdr:colOff>1343025</xdr:colOff>
      <xdr:row>15</xdr:row>
      <xdr:rowOff>0</xdr:rowOff>
    </xdr:from>
    <xdr:to>
      <xdr:col>11</xdr:col>
      <xdr:colOff>428625</xdr:colOff>
      <xdr:row>17</xdr:row>
      <xdr:rowOff>114300</xdr:rowOff>
    </xdr:to>
    <xdr:sp macro="" textlink="RECEITA!B5">
      <xdr:nvSpPr>
        <xdr:cNvPr id="5" name="Retângulo de cantos arredondados 4">
          <a:hlinkClick r:id="rId1"/>
          <a:extLst>
            <a:ext uri="{FF2B5EF4-FFF2-40B4-BE49-F238E27FC236}"/>
          </a:extLst>
        </xdr:cNvPr>
        <xdr:cNvSpPr/>
      </xdr:nvSpPr>
      <xdr:spPr>
        <a:xfrm>
          <a:off x="9374981" y="3248025"/>
          <a:ext cx="1473994" cy="604838"/>
        </a:xfrm>
        <a:prstGeom prst="roundRect">
          <a:avLst/>
        </a:prstGeom>
        <a:solidFill>
          <a:schemeClr val="accent1"/>
        </a:solidFill>
        <a:ln cap="flat" cmpd="sng" w="25400" algn="ctr"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ctr" rtlCol="0" horzOverflow="clip" vertOverflow="clip"/>
        <a:lstStyle/>
        <a:p>
          <a:pPr lvl="0" algn="ctr"/>
          <a:fld id="{871D1D9E-FEEB-42B5-9204-2A57F3A7968E}" type="TxLink">
            <a:rPr b="1" i="0" lang="en-US" sz="1000" u="none" strike="noStrike">
              <a:solidFill>
                <a:srgbClr val="FFFFFF"/>
              </a:solidFill>
              <a:latin typeface="Arial"/>
              <a:cs typeface="Arial"/>
            </a:rPr>
            <a:pPr lvl="0" algn="ctr"/>
            <a:t>COMPOSIÇÃO DA RECEITA BRUTA (LINHAS ou PRODUTOS)</a:t>
          </a:fld>
          <a:endParaRPr lang="en-US"/>
        </a:p>
      </xdr:txBody>
    </xdr:sp>
    <xdr:clientData fLocksWithSheet="0"/>
  </xdr:twoCellAnchor>
  <xdr:twoCellAnchor>
    <xdr:from>
      <xdr:col>8</xdr:col>
      <xdr:colOff>1362075</xdr:colOff>
      <xdr:row>18</xdr:row>
      <xdr:rowOff>152400</xdr:rowOff>
    </xdr:from>
    <xdr:to>
      <xdr:col>11</xdr:col>
      <xdr:colOff>428625</xdr:colOff>
      <xdr:row>22</xdr:row>
      <xdr:rowOff>104775</xdr:rowOff>
    </xdr:to>
    <xdr:sp macro="" textlink="ESTRUTURA!B4">
      <xdr:nvSpPr>
        <xdr:cNvPr id="6" name="Retângulo de cantos arredondados 5">
          <a:hlinkClick r:id="rId2"/>
          <a:extLst>
            <a:ext uri="{FF2B5EF4-FFF2-40B4-BE49-F238E27FC236}"/>
          </a:extLst>
        </xdr:cNvPr>
        <xdr:cNvSpPr/>
      </xdr:nvSpPr>
      <xdr:spPr>
        <a:xfrm>
          <a:off x="9398794" y="4050506"/>
          <a:ext cx="1450182" cy="600075"/>
        </a:xfrm>
        <a:prstGeom prst="roundRect">
          <a:avLst/>
        </a:prstGeom>
        <a:solidFill>
          <a:schemeClr val="accent1"/>
        </a:solidFill>
        <a:ln cap="flat" cmpd="sng" w="25400" algn="ctr">
          <a:solidFill>
            <a:schemeClr val="accent1">
              <a:shade val="50000"/>
            </a:scheme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Ctr="0" anchor="ctr" bIns="45720" rtlCol="0" compatLnSpc="1" forceAA="0" fromWordArt="0" horzOverflow="clip" lIns="91440" numCol="1" spcFirstLastPara="0" rIns="91440" rot="0" spcCol="0" vert="horz" wrap="square" tIns="45720" vertOverflow="clip">
          <a:prstTxWarp prst="textNoShape">
            <a:avLst/>
          </a:prstTxWarp>
          <a:noAutofit/>
        </a:bodyPr>
        <a:lstStyle/>
        <a:p>
          <a:pPr lvl="0" algn="ctr"/>
          <a:fld id="{4632C861-DED1-474D-B353-A25DA2C322F6}" type="TxLink">
            <a:rPr b="1" i="0" lang="en-US" sz="1400" u="none" strike="noStrike">
              <a:solidFill>
                <a:schemeClr val="bg1"/>
              </a:solidFill>
              <a:latin typeface="Arial"/>
              <a:cs typeface="Arial"/>
            </a:rPr>
            <a:pPr lvl="0" algn="ctr"/>
            <a:t>ESTRUTURA</a:t>
          </a:fld>
          <a:endParaRPr b="0" i="0" lang="pt-BR" sz="1000" u="none" strike="noStrike">
            <a:solidFill>
              <a:schemeClr val="bg1"/>
            </a:solidFill>
            <a:latin typeface="Arial"/>
            <a:cs typeface="Arial"/>
          </a:endParaRPr>
        </a:p>
      </xdr:txBody>
    </xdr:sp>
    <xdr:clientData fLocksWithSheet="0"/>
  </xdr:twoCellAnchor>
  <xdr:twoCellAnchor>
    <xdr:from>
      <xdr:col>1</xdr:col>
      <xdr:colOff>0</xdr:colOff>
      <xdr:row>13</xdr:row>
      <xdr:rowOff>66675</xdr:rowOff>
    </xdr:from>
    <xdr:to>
      <xdr:col>8</xdr:col>
      <xdr:colOff>1228725</xdr:colOff>
      <xdr:row>30</xdr:row>
      <xdr:rowOff>95250</xdr:rowOff>
    </xdr:to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twoCellAnchor>
</xdr:wsDr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13</xdr:col>
      <xdr:colOff>323850</xdr:colOff>
      <xdr:row>0</xdr:row>
      <xdr:rowOff>76200</xdr:rowOff>
    </xdr:from>
    <xdr:to>
      <xdr:col>15</xdr:col>
      <xdr:colOff>66675</xdr:colOff>
      <xdr:row>2</xdr:row>
      <xdr:rowOff>152400</xdr:rowOff>
    </xdr:to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895475" cy="400050"/>
        </a:xfrm>
        <a:prstGeom prst="rect">
          <a:avLst/>
        </a:prstGeom>
        <a:noFill/>
      </xdr:spPr>
    </xdr:pic>
    <xdr:clientData fLocksWithSheet="0"/>
  </xdr:twoCellAnchor>
</xdr:wsDr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worksheet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7</xdr:col>
      <xdr:colOff>1514475</xdr:colOff>
      <xdr:row>0</xdr:row>
      <xdr:rowOff>57150</xdr:rowOff>
    </xdr:from>
    <xdr:to>
      <xdr:col>9</xdr:col>
      <xdr:colOff>247650</xdr:colOff>
      <xdr:row>2</xdr:row>
      <xdr:rowOff>133350</xdr:rowOff>
    </xdr:to>
    <xdr:grpSp>
      <xdr:nvGrpSpPr>
        <xdr:cNvPr id="2" name="Grupo 7">
          <a:extLst>
            <a:ext uri="{FF2B5EF4-FFF2-40B4-BE49-F238E27FC236}"/>
          </a:extLst>
        </xdr:cNvPr>
        <xdr:cNvGrpSpPr>
          <a:grpSpLocks/>
        </xdr:cNvGrpSpPr>
      </xdr:nvGrpSpPr>
      <xdr:grpSpPr bwMode="auto">
        <a:xfrm>
          <a:off x="9848850" y="57150"/>
          <a:ext cx="1864519" cy="635794"/>
          <a:chOff x="9465468" y="107155"/>
          <a:chExt cx="1869281" cy="631033"/>
        </a:xfrm>
      </xdr:grpSpPr>
      <xdr:pic>
        <xdr:nvPicPr>
          <xdr:cNvPr descr="Recorte de Tela" id="3" name="Imagem 8">
            <a:extLst>
              <a:ext uri="{FF2B5EF4-FFF2-40B4-BE49-F238E27FC236}"/>
            </a:extLst>
          </xdr:cNvPr>
          <xdr:cNvPicPr>
            <a:picLocks noChangeAspect="1"/>
          </xdr:cNvPicPr>
        </xdr:nvPicPr>
        <xdr:blipFill>
          <a:blip cstate="print" r:embed="rId1">
            <a:extLst>
              <a:ext uri="{28A0092B-C50C-407E-A947-70E740481C1C}"/>
            </a:extLst>
          </a:blip>
          <a:srcRect/>
          <a:stretch>
            <a:fillRect/>
          </a:stretch>
        </xdr:blipFill>
        <xdr:spPr bwMode="auto">
          <a:xfrm>
            <a:off x="9486901" y="107155"/>
            <a:ext cx="1781298" cy="631032"/>
          </a:xfrm>
          <a:prstGeom prst="rect">
            <a:avLst/>
          </a:prstGeom>
          <a:noFill/>
          <a:ln>
            <a:noFill/>
          </a:ln>
          <a:extLst>
            <a:ext uri="{909E8E84-426E-40DD-AFC4-6F175D3DCCD1}"/>
            <a:ext uri="{91240B29-F687-4F45-9708-019B960494DF}"/>
          </a:extLst>
        </xdr:spPr>
      </xdr:pic>
      <xdr:sp macro="" textlink="">
        <xdr:nvSpPr>
          <xdr:cNvPr id="4" name="CaixaDeTexto 3">
            <a:hlinkClick r:id="rId2"/>
            <a:extLst>
              <a:ext uri="{FF2B5EF4-FFF2-40B4-BE49-F238E27FC236}"/>
            </a:extLst>
          </xdr:cNvPr>
          <xdr:cNvSpPr txBox="1"/>
        </xdr:nvSpPr>
        <xdr:spPr>
          <a:xfrm>
            <a:off x="9762636" y="260133"/>
            <a:ext cx="1179085" cy="315517"/>
          </a:xfrm>
          <a:prstGeom prst="rect">
            <a:avLst/>
          </a:prstGeom>
          <a:noFill/>
        </xdr:spPr>
        <xdr:style>
          <a:lnRef idx="0">
            <a:scrgbClr b="0" g="0" r="0"/>
          </a:lnRef>
          <a:fillRef idx="0">
            <a:scrgbClr b="0" g="0" r="0"/>
          </a:fillRef>
          <a:effectRef idx="0">
            <a:scrgbClr b="0" g="0" r="0"/>
          </a:effectRef>
          <a:fontRef idx="minor">
            <a:schemeClr val="tx1"/>
          </a:fontRef>
        </xdr:style>
        <xdr:txBody>
          <a:bodyPr anchor="t" rtlCol="0" horzOverflow="clip" wrap="square" vertOverflow="clip">
            <a:noAutofit/>
          </a:bodyPr>
          <a:lstStyle/>
          <a:p>
            <a:r>
              <a:rPr b="1" lang="pt-BR" sz="1400"/>
              <a:t>SIMULADOR</a:t>
            </a:r>
          </a:p>
        </xdr:txBody>
      </xdr:sp>
      <xdr:sp macro="" textlink="">
        <xdr:nvSpPr>
          <xdr:cNvPr id="5" name="Retângulo de cantos arredondados 4">
            <a:extLst>
              <a:ext uri="{FF2B5EF4-FFF2-40B4-BE49-F238E27FC236}"/>
            </a:extLst>
          </xdr:cNvPr>
          <xdr:cNvSpPr/>
        </xdr:nvSpPr>
        <xdr:spPr>
          <a:xfrm>
            <a:off x="9465468" y="116716"/>
            <a:ext cx="1869281" cy="621472"/>
          </a:xfrm>
          <a:prstGeom prst="roundRect">
            <a:avLst/>
          </a:prstGeom>
          <a:noFill/>
          <a:ln>
            <a:solidFill>
              <a:sysClr lastClr="000000" val="windowText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anchorCtr="0" anchor="t" bIns="45720" rtlCol="0" compatLnSpc="1" forceAA="0" fromWordArt="0" horzOverflow="clip" lIns="91440" numCol="1" spcFirstLastPara="0" rIns="91440" rot="0" spcCol="0" vert="horz" wrap="square" tIns="45720" vertOverflow="clip">
            <a:prstTxWarp prst="textNoShape">
              <a:avLst/>
            </a:prstTxWarp>
            <a:noAutofit/>
          </a:bodyPr>
          <a:lstStyle/>
          <a:p>
            <a:endParaRPr lang="pt-BR"/>
          </a:p>
        </xdr:txBody>
      </xdr:sp>
    </xdr:grp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worksheetdrawing1.xml"/><Relationship Id="rId1" Type="http://schemas.openxmlformats.org/officeDocument/2006/relationships/comments" Target="../comments1.xml"/></Relationships>
</file>

<file path=xl/worksheets/_rels/sheet2.xml.rels><?xml version="1.0" encoding="UTF-8" standalone="yes"?>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worksheetdrawing2.xml"/><Relationship Id="rId1" Type="http://schemas.openxmlformats.org/officeDocument/2006/relationships/comments" Target="../comments2.xml"/></Relationships>
</file>

<file path=xl/worksheets/_rels/sheet3.xml.rels><?xml version="1.0" encoding="UTF-8" standalone="yes"?>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worksheetdrawing3.xml"/><Relationship Id="rId1" Type="http://schemas.openxmlformats.org/officeDocument/2006/relationships/comments" Target="../comments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9.0"/>
    <col customWidth="1" min="2" max="2" width="22.63"/>
    <col customWidth="1" min="3" max="3" width="21.13"/>
    <col customWidth="1" min="4" max="4" width="8.63"/>
    <col customWidth="1" min="5" max="5" width="5.13"/>
    <col customWidth="1" min="6" max="6" width="13.63"/>
    <col customWidth="1" min="7" max="7" width="10.75"/>
    <col customWidth="1" min="8" max="8" width="15.5"/>
    <col customWidth="1" min="9" max="9" width="18.88"/>
    <col customWidth="1" min="10" max="10" width="4.5"/>
    <col customWidth="1" min="11" max="11" width="9.0"/>
    <col customWidth="1" min="12" max="12" width="11.13"/>
    <col customWidth="1" min="13" max="13" width="10.63"/>
    <col customWidth="1" min="14" max="15" width="9.0"/>
  </cols>
  <sheetData>
    <row r="1" ht="12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4"/>
      <c r="L1" s="1"/>
      <c r="M1" s="1"/>
      <c r="N1" s="1"/>
      <c r="O1" s="1"/>
    </row>
    <row r="2" ht="12.75" customHeight="1">
      <c r="A2" s="1"/>
      <c r="B2" s="5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6" t="s">
        <v>1</v>
      </c>
      <c r="N3" s="7"/>
      <c r="O3" s="8"/>
    </row>
    <row r="4" ht="40.5" customHeight="1">
      <c r="A4" s="1"/>
      <c r="B4" s="9" t="s">
        <v>2</v>
      </c>
      <c r="C4" s="10" t="s">
        <v>3</v>
      </c>
      <c r="D4" s="1"/>
      <c r="E4" s="1"/>
      <c r="F4" s="9" t="s">
        <v>4</v>
      </c>
      <c r="G4" s="10" t="s">
        <v>5</v>
      </c>
      <c r="H4" s="1"/>
      <c r="I4" s="11" t="s">
        <v>6</v>
      </c>
      <c r="J4" s="12"/>
      <c r="K4" s="13"/>
      <c r="L4" s="1"/>
      <c r="M4" s="14"/>
      <c r="O4" s="15"/>
    </row>
    <row r="5" ht="13.5" customHeight="1">
      <c r="A5" s="1"/>
      <c r="B5" s="16" t="s">
        <v>7</v>
      </c>
      <c r="C5" s="17">
        <v>1.0</v>
      </c>
      <c r="D5" s="1"/>
      <c r="E5" s="1"/>
      <c r="F5" s="18">
        <v>93025.0</v>
      </c>
      <c r="G5" s="19" t="str">
        <f t="shared" ref="G5:G13" si="1">F5/$F$5</f>
        <v>100%</v>
      </c>
      <c r="H5" s="1"/>
      <c r="I5" s="1"/>
      <c r="J5" s="1"/>
      <c r="K5" s="1"/>
      <c r="L5" s="1"/>
      <c r="M5" s="14"/>
      <c r="O5" s="15"/>
    </row>
    <row r="6" ht="12.75" customHeight="1">
      <c r="A6" s="1"/>
      <c r="B6" s="20" t="s">
        <v>8</v>
      </c>
      <c r="C6" s="21" t="str">
        <f>RECEITA!Q8</f>
        <v>0.76%</v>
      </c>
      <c r="D6" s="22" t="s">
        <v>9</v>
      </c>
      <c r="E6" s="1"/>
      <c r="F6" s="23" t="str">
        <f t="shared" ref="F6:F8" si="2">+$F$5*C6</f>
        <v> R$ 707.40 </v>
      </c>
      <c r="G6" s="24" t="str">
        <f t="shared" si="1"/>
        <v>1%</v>
      </c>
      <c r="H6" s="1"/>
      <c r="I6" s="25" t="s">
        <v>10</v>
      </c>
      <c r="J6" s="26"/>
      <c r="K6" s="27"/>
      <c r="L6" s="1"/>
      <c r="M6" s="14"/>
      <c r="O6" s="15"/>
    </row>
    <row r="7" ht="12.75" customHeight="1">
      <c r="A7" s="1"/>
      <c r="B7" s="20" t="s">
        <v>11</v>
      </c>
      <c r="C7" s="21" t="str">
        <f>RECEITA!Q9</f>
        <v>46.21%</v>
      </c>
      <c r="D7" s="28"/>
      <c r="E7" s="1"/>
      <c r="F7" s="29" t="str">
        <f t="shared" si="2"/>
        <v> R$ 42,983.80 </v>
      </c>
      <c r="G7" s="24" t="str">
        <f t="shared" si="1"/>
        <v>46%</v>
      </c>
      <c r="H7" s="1"/>
      <c r="I7" s="1"/>
      <c r="J7" s="1"/>
      <c r="K7" s="1"/>
      <c r="L7" s="1"/>
      <c r="M7" s="14"/>
      <c r="O7" s="15"/>
    </row>
    <row r="8" ht="13.5" customHeight="1">
      <c r="A8" s="1"/>
      <c r="B8" s="20" t="s">
        <v>12</v>
      </c>
      <c r="C8" s="21" t="str">
        <f>RECEITA!Q36</f>
        <v>0.00%</v>
      </c>
      <c r="D8" s="30"/>
      <c r="E8" s="1"/>
      <c r="F8" s="31" t="str">
        <f t="shared" si="2"/>
        <v> R$ -   </v>
      </c>
      <c r="G8" s="24" t="str">
        <f t="shared" si="1"/>
        <v>0%</v>
      </c>
      <c r="H8" s="1"/>
      <c r="I8" s="32" t="s">
        <v>13</v>
      </c>
      <c r="J8" s="26"/>
      <c r="K8" s="27"/>
      <c r="L8" s="1"/>
      <c r="M8" s="14"/>
      <c r="O8" s="15"/>
    </row>
    <row r="9" ht="12.75" customHeight="1">
      <c r="A9" s="1"/>
      <c r="B9" s="33" t="s">
        <v>14</v>
      </c>
      <c r="C9" s="34" t="str">
        <f>C5-SUM(C6:C8)</f>
        <v>53.03%</v>
      </c>
      <c r="D9" s="35"/>
      <c r="E9" s="35"/>
      <c r="F9" s="36" t="str">
        <f>F5-SUM(F6:F8)</f>
        <v> R$ 49,333.80 </v>
      </c>
      <c r="G9" s="37" t="str">
        <f t="shared" si="1"/>
        <v>53%</v>
      </c>
      <c r="H9" s="1"/>
      <c r="I9" s="1"/>
      <c r="J9" s="1"/>
      <c r="K9" s="1"/>
      <c r="L9" s="1"/>
      <c r="M9" s="14"/>
      <c r="O9" s="15"/>
    </row>
    <row r="10" ht="12.75" customHeight="1">
      <c r="A10" s="1"/>
      <c r="B10" s="20" t="s">
        <v>15</v>
      </c>
      <c r="C10" s="38"/>
      <c r="D10" s="22" t="s">
        <v>16</v>
      </c>
      <c r="E10" s="1"/>
      <c r="F10" s="39" t="str">
        <f>ESTRUTURA!C33</f>
        <v> R$ 4,440.00 </v>
      </c>
      <c r="G10" s="24" t="str">
        <f t="shared" si="1"/>
        <v>5%</v>
      </c>
      <c r="H10" s="1"/>
      <c r="I10" s="40" t="str">
        <f>I35</f>
        <v> R$ 48,565.29 </v>
      </c>
      <c r="J10" s="41" t="s">
        <v>17</v>
      </c>
      <c r="K10" s="42"/>
      <c r="L10" s="1"/>
      <c r="M10" s="14"/>
      <c r="O10" s="15"/>
    </row>
    <row r="11" ht="12.75" customHeight="1">
      <c r="A11" s="1"/>
      <c r="B11" s="20" t="s">
        <v>18</v>
      </c>
      <c r="C11" s="38"/>
      <c r="D11" s="28"/>
      <c r="E11" s="1"/>
      <c r="F11" s="39" t="str">
        <f>ESTRUTURA!F33</f>
        <v> R$ 11,308.45 </v>
      </c>
      <c r="G11" s="24" t="str">
        <f t="shared" si="1"/>
        <v>12%</v>
      </c>
      <c r="H11" s="1"/>
      <c r="I11" s="43" t="s">
        <v>19</v>
      </c>
      <c r="J11" s="44"/>
      <c r="K11" s="45"/>
      <c r="L11" s="1"/>
      <c r="M11" s="14"/>
      <c r="O11" s="15"/>
    </row>
    <row r="12" ht="12.75" customHeight="1">
      <c r="A12" s="1"/>
      <c r="B12" s="20" t="s">
        <v>20</v>
      </c>
      <c r="C12" s="38"/>
      <c r="D12" s="30"/>
      <c r="E12" s="1"/>
      <c r="F12" s="39" t="str">
        <f>ESTRUTURA!I33</f>
        <v> R$ 10,007.11 </v>
      </c>
      <c r="G12" s="24" t="str">
        <f t="shared" si="1"/>
        <v>11%</v>
      </c>
      <c r="H12" s="1"/>
      <c r="I12" s="14"/>
      <c r="K12" s="15"/>
      <c r="L12" s="1"/>
      <c r="M12" s="14"/>
      <c r="O12" s="15"/>
    </row>
    <row r="13" ht="12.75" customHeight="1">
      <c r="A13" s="1"/>
      <c r="B13" s="46" t="s">
        <v>21</v>
      </c>
      <c r="C13" s="47"/>
      <c r="D13" s="1"/>
      <c r="E13" s="1"/>
      <c r="F13" s="48" t="str">
        <f>F9-F10-F11-F12</f>
        <v> R$ 23,578.25 </v>
      </c>
      <c r="G13" s="49" t="str">
        <f t="shared" si="1"/>
        <v>25.35%</v>
      </c>
      <c r="H13" s="1"/>
      <c r="I13" s="50"/>
      <c r="J13" s="51"/>
      <c r="K13" s="52"/>
      <c r="L13" s="1"/>
      <c r="M13" s="14"/>
      <c r="O13" s="15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4"/>
      <c r="O14" s="15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4"/>
      <c r="O15" s="15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4"/>
      <c r="O16" s="15"/>
    </row>
    <row r="17" ht="12.75" customHeight="1">
      <c r="A17" s="1"/>
      <c r="B17" s="9" t="s">
        <v>22</v>
      </c>
      <c r="C17" s="9" t="s">
        <v>23</v>
      </c>
      <c r="D17" s="9" t="s">
        <v>5</v>
      </c>
      <c r="E17" s="1"/>
      <c r="F17" s="9" t="s">
        <v>23</v>
      </c>
      <c r="G17" s="9" t="s">
        <v>24</v>
      </c>
      <c r="H17" s="9" t="s">
        <v>25</v>
      </c>
      <c r="I17" s="1"/>
      <c r="J17" s="53"/>
      <c r="K17" s="1"/>
      <c r="L17" s="1"/>
      <c r="M17" s="14"/>
      <c r="O17" s="15"/>
    </row>
    <row r="18" ht="12.75" customHeight="1">
      <c r="A18" s="1"/>
      <c r="B18" s="54" t="str">
        <f>F5</f>
        <v>  93,025.00 </v>
      </c>
      <c r="C18" s="20" t="s">
        <v>26</v>
      </c>
      <c r="D18" s="55" t="str">
        <f>SUM(D19:D20)</f>
        <v>100%</v>
      </c>
      <c r="E18" s="1"/>
      <c r="F18" s="20" t="s">
        <v>26</v>
      </c>
      <c r="G18" s="56">
        <v>0.0</v>
      </c>
      <c r="H18" s="56" t="str">
        <f>B18</f>
        <v>  93,025.00 </v>
      </c>
      <c r="I18" s="1"/>
      <c r="J18" s="53"/>
      <c r="K18" s="1"/>
      <c r="L18" s="1"/>
      <c r="M18" s="14"/>
      <c r="O18" s="15"/>
    </row>
    <row r="19" ht="12.75" customHeight="1">
      <c r="A19" s="1"/>
      <c r="B19" s="54" t="str">
        <f>SUM(F6:F8)</f>
        <v>  43,691.20 </v>
      </c>
      <c r="C19" s="20" t="s">
        <v>27</v>
      </c>
      <c r="D19" s="57" t="str">
        <f t="shared" ref="D19:D22" si="3">B19/$B$18</f>
        <v>47.0%</v>
      </c>
      <c r="E19" s="1"/>
      <c r="F19" s="20" t="s">
        <v>27</v>
      </c>
      <c r="G19" s="56" t="str">
        <f>B21</f>
        <v>  25,755.56 </v>
      </c>
      <c r="H19" s="56" t="str">
        <f>B21+B19</f>
        <v>  69,446.76 </v>
      </c>
      <c r="I19" s="1"/>
      <c r="J19" s="53"/>
      <c r="K19" s="1"/>
      <c r="L19" s="1"/>
      <c r="M19" s="14"/>
      <c r="O19" s="15"/>
    </row>
    <row r="20" ht="12.75" customHeight="1">
      <c r="A20" s="1"/>
      <c r="B20" s="54" t="str">
        <f>+B18-B19</f>
        <v>  49,333.80 </v>
      </c>
      <c r="C20" s="20" t="s">
        <v>28</v>
      </c>
      <c r="D20" s="57" t="str">
        <f t="shared" si="3"/>
        <v>53.0%</v>
      </c>
      <c r="E20" s="1"/>
      <c r="F20" s="20" t="s">
        <v>29</v>
      </c>
      <c r="G20" s="56" t="str">
        <f>B21</f>
        <v>  25,755.56 </v>
      </c>
      <c r="H20" s="56" t="str">
        <f t="shared" ref="H20:H21" si="4">G20</f>
        <v>  25,755.56 </v>
      </c>
      <c r="I20" s="1"/>
      <c r="J20" s="53"/>
      <c r="K20" s="1"/>
      <c r="L20" s="1"/>
      <c r="M20" s="14"/>
      <c r="O20" s="15"/>
    </row>
    <row r="21" ht="12.75" customHeight="1">
      <c r="A21" s="1"/>
      <c r="B21" s="54" t="str">
        <f>SUM(F10:F12)</f>
        <v>  25,755.56 </v>
      </c>
      <c r="C21" s="20" t="s">
        <v>29</v>
      </c>
      <c r="D21" s="57" t="str">
        <f t="shared" si="3"/>
        <v>27.7%</v>
      </c>
      <c r="E21" s="1"/>
      <c r="F21" s="20" t="s">
        <v>30</v>
      </c>
      <c r="G21" s="56" t="str">
        <f>I35</f>
        <v>  48,565.29 </v>
      </c>
      <c r="H21" s="56" t="str">
        <f t="shared" si="4"/>
        <v>  48,565.29 </v>
      </c>
      <c r="I21" s="1"/>
      <c r="J21" s="53"/>
      <c r="K21" s="1"/>
      <c r="L21" s="1"/>
      <c r="M21" s="14"/>
      <c r="O21" s="15"/>
    </row>
    <row r="22" ht="12.75" customHeight="1">
      <c r="A22" s="1"/>
      <c r="B22" s="54" t="str">
        <f>+B20-B21</f>
        <v>  23,578.25 </v>
      </c>
      <c r="C22" s="20" t="s">
        <v>31</v>
      </c>
      <c r="D22" s="57" t="str">
        <f t="shared" si="3"/>
        <v>25.3%</v>
      </c>
      <c r="E22" s="1"/>
      <c r="F22" s="1"/>
      <c r="G22" s="1"/>
      <c r="H22" s="1"/>
      <c r="I22" s="1"/>
      <c r="J22" s="53"/>
      <c r="K22" s="1"/>
      <c r="L22" s="1"/>
      <c r="M22" s="14"/>
      <c r="O22" s="15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53"/>
      <c r="L23" s="1"/>
      <c r="M23" s="14"/>
      <c r="O23" s="15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4"/>
      <c r="O24" s="15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4"/>
      <c r="O25" s="15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4"/>
      <c r="O26" s="15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4"/>
      <c r="O27" s="15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4"/>
      <c r="O28" s="15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4"/>
      <c r="O29" s="15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4"/>
      <c r="O30" s="15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4"/>
      <c r="O31" s="15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4"/>
      <c r="O32" s="15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4"/>
      <c r="O33" s="15"/>
    </row>
    <row r="34" ht="12.75" customHeight="1">
      <c r="A34" s="1"/>
      <c r="B34" s="58"/>
      <c r="C34" s="59"/>
      <c r="D34" s="59"/>
      <c r="E34" s="59"/>
      <c r="F34" s="59"/>
      <c r="G34" s="59"/>
      <c r="H34" s="59"/>
      <c r="I34" s="59"/>
      <c r="J34" s="59"/>
      <c r="K34" s="60"/>
      <c r="L34" s="1"/>
      <c r="M34" s="14"/>
      <c r="O34" s="15"/>
    </row>
    <row r="35" ht="12.75" customHeight="1">
      <c r="A35" s="1"/>
      <c r="B35" s="61"/>
      <c r="C35" s="62" t="s">
        <v>32</v>
      </c>
      <c r="D35" s="63" t="s">
        <v>29</v>
      </c>
      <c r="E35" s="3"/>
      <c r="F35" s="3"/>
      <c r="G35" s="4"/>
      <c r="H35" s="64" t="str">
        <f>B21</f>
        <v> R$  25,755.56 </v>
      </c>
      <c r="I35" s="65" t="str">
        <f>H35/H36</f>
        <v> R$ 48,565.29 </v>
      </c>
      <c r="J35" s="8"/>
      <c r="K35" s="66"/>
      <c r="L35" s="1"/>
      <c r="M35" s="14"/>
      <c r="O35" s="15"/>
    </row>
    <row r="36" ht="12.75" customHeight="1">
      <c r="A36" s="1"/>
      <c r="B36" s="61"/>
      <c r="C36" s="67"/>
      <c r="D36" s="68" t="s">
        <v>33</v>
      </c>
      <c r="E36" s="69"/>
      <c r="F36" s="69"/>
      <c r="G36" s="70"/>
      <c r="H36" s="71" t="str">
        <f>B20/B18</f>
        <v>53%</v>
      </c>
      <c r="I36" s="50"/>
      <c r="J36" s="52"/>
      <c r="K36" s="66"/>
      <c r="L36" s="1"/>
      <c r="M36" s="14"/>
      <c r="O36" s="15"/>
    </row>
    <row r="37" ht="12.75" customHeight="1">
      <c r="A37" s="1"/>
      <c r="B37" s="61"/>
      <c r="C37" s="1"/>
      <c r="D37" s="1"/>
      <c r="E37" s="1"/>
      <c r="F37" s="72"/>
      <c r="G37" s="72"/>
      <c r="H37" s="72"/>
      <c r="I37" s="73"/>
      <c r="J37" s="72"/>
      <c r="K37" s="74"/>
      <c r="L37" s="1"/>
      <c r="M37" s="50"/>
      <c r="N37" s="51"/>
      <c r="O37" s="52"/>
    </row>
    <row r="38" ht="12.75" customHeight="1">
      <c r="A38" s="1"/>
      <c r="B38" s="75" t="s">
        <v>34</v>
      </c>
      <c r="C38" s="4"/>
      <c r="D38" s="76">
        <v>0.1</v>
      </c>
      <c r="E38" s="77"/>
      <c r="F38" s="1"/>
      <c r="G38" s="78"/>
      <c r="H38" s="1"/>
      <c r="I38" s="1"/>
      <c r="J38" s="1"/>
      <c r="K38" s="1"/>
      <c r="L38" s="1"/>
      <c r="M38" s="1"/>
      <c r="N38" s="1"/>
      <c r="O38" s="1"/>
    </row>
    <row r="39" ht="12.75" customHeight="1">
      <c r="A39" s="1"/>
      <c r="B39" s="79" t="s">
        <v>35</v>
      </c>
      <c r="C39" s="80"/>
      <c r="D39" s="81" t="str">
        <f>H35/(H36-D38)</f>
        <v> R$ 59,850.93 </v>
      </c>
      <c r="E39" s="82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ht="12.75" customHeight="1">
      <c r="A40" s="1"/>
      <c r="B40" s="1"/>
      <c r="C40" s="1"/>
      <c r="D40" s="83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</sheetData>
  <mergeCells count="17">
    <mergeCell ref="I6:K6"/>
    <mergeCell ref="I8:K8"/>
    <mergeCell ref="I4:K4"/>
    <mergeCell ref="I11:K13"/>
    <mergeCell ref="D35:G35"/>
    <mergeCell ref="I35:J36"/>
    <mergeCell ref="D36:G36"/>
    <mergeCell ref="B38:C38"/>
    <mergeCell ref="B39:C39"/>
    <mergeCell ref="C35:C36"/>
    <mergeCell ref="D40:E40"/>
    <mergeCell ref="B1:K1"/>
    <mergeCell ref="M3:O37"/>
    <mergeCell ref="D6:D8"/>
    <mergeCell ref="D10:D12"/>
    <mergeCell ref="D38:E38"/>
    <mergeCell ref="D39:E39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5.0"/>
    <col customWidth="1" min="2" max="2" width="13.13"/>
    <col customWidth="1" min="3" max="3" width="18.5"/>
    <col customWidth="1" min="4" max="4" width="6.5"/>
    <col customWidth="1" min="5" max="6" width="13.38"/>
    <col customWidth="1" min="7" max="7" width="9.63"/>
    <col customWidth="1" min="8" max="8" width="17.0"/>
    <col customWidth="1" hidden="1" min="9" max="9" width="12.88"/>
    <col customWidth="1" min="10" max="10" width="18.38"/>
    <col customWidth="1" min="11" max="11" width="14.63"/>
    <col customWidth="1" min="12" max="12" width="15.25"/>
    <col customWidth="1" hidden="1" min="13" max="13" width="19.0"/>
    <col customWidth="1" min="14" max="14" width="19.25"/>
    <col customWidth="1" min="15" max="15" width="9.0"/>
    <col customWidth="1" min="16" max="16" width="23.88"/>
    <col customWidth="1" min="17" max="17" width="15.5"/>
  </cols>
  <sheetData>
    <row r="1" ht="12.75" customHeight="1">
      <c r="A1" s="1"/>
      <c r="B1" s="1"/>
      <c r="C1" s="1"/>
      <c r="D1" s="1"/>
      <c r="E1" s="1"/>
      <c r="F1" s="1"/>
      <c r="G1" s="84"/>
      <c r="H1" s="1"/>
      <c r="I1" s="1"/>
      <c r="J1" s="85"/>
      <c r="K1" s="1"/>
      <c r="L1" s="1"/>
      <c r="M1" s="1"/>
      <c r="N1" s="1"/>
      <c r="O1" s="1"/>
      <c r="P1" s="1"/>
      <c r="Q1" s="1"/>
    </row>
    <row r="2" ht="12.75" customHeight="1">
      <c r="A2" s="1"/>
      <c r="B2" s="1"/>
      <c r="C2" s="2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  <c r="P2" s="1"/>
      <c r="Q2" s="1"/>
    </row>
    <row r="3" ht="12.75" customHeight="1">
      <c r="A3" s="1"/>
      <c r="B3" s="1"/>
      <c r="C3" s="1"/>
      <c r="D3" s="1"/>
      <c r="E3" s="1"/>
      <c r="F3" s="1"/>
      <c r="G3" s="84"/>
      <c r="H3" s="1"/>
      <c r="I3" s="1"/>
      <c r="J3" s="85"/>
      <c r="K3" s="1"/>
      <c r="L3" s="1"/>
      <c r="M3" s="1"/>
      <c r="N3" s="1"/>
      <c r="O3" s="1"/>
      <c r="P3" s="1"/>
      <c r="Q3" s="1"/>
    </row>
    <row r="4" ht="12.75" customHeight="1">
      <c r="A4" s="1"/>
      <c r="B4" s="1"/>
      <c r="C4" s="1"/>
      <c r="D4" s="1"/>
      <c r="E4" s="1"/>
      <c r="F4" s="1"/>
      <c r="G4" s="84"/>
      <c r="H4" s="1"/>
      <c r="I4" s="1"/>
      <c r="J4" s="85"/>
      <c r="K4" s="1"/>
      <c r="L4" s="1"/>
      <c r="M4" s="1"/>
      <c r="N4" s="1"/>
      <c r="O4" s="1"/>
      <c r="P4" s="1"/>
      <c r="Q4" s="1"/>
    </row>
    <row r="5" ht="90.0" customHeight="1">
      <c r="A5" s="1"/>
      <c r="B5" s="86" t="s">
        <v>36</v>
      </c>
      <c r="C5" s="8"/>
      <c r="D5" s="87" t="s">
        <v>37</v>
      </c>
      <c r="E5" s="87" t="s">
        <v>38</v>
      </c>
      <c r="F5" s="87" t="s">
        <v>39</v>
      </c>
      <c r="G5" s="88" t="s">
        <v>40</v>
      </c>
      <c r="H5" s="89" t="s">
        <v>41</v>
      </c>
      <c r="I5" s="90"/>
      <c r="J5" s="91" t="s">
        <v>42</v>
      </c>
      <c r="K5" s="87" t="s">
        <v>43</v>
      </c>
      <c r="L5" s="89" t="s">
        <v>44</v>
      </c>
      <c r="M5" s="92" t="s">
        <v>45</v>
      </c>
      <c r="N5" s="87" t="s">
        <v>46</v>
      </c>
      <c r="O5" s="1"/>
      <c r="P5" s="9" t="s">
        <v>2</v>
      </c>
      <c r="Q5" s="93" t="s">
        <v>3</v>
      </c>
    </row>
    <row r="6" ht="12.75" customHeight="1">
      <c r="A6" s="1"/>
      <c r="B6" s="94"/>
      <c r="C6" s="95"/>
      <c r="D6" s="96"/>
      <c r="E6" s="96"/>
      <c r="F6" s="96"/>
      <c r="G6" s="96"/>
      <c r="H6" s="97"/>
      <c r="I6" s="90" t="s">
        <v>47</v>
      </c>
      <c r="J6" s="96"/>
      <c r="K6" s="96"/>
      <c r="L6" s="97"/>
      <c r="M6" s="92"/>
      <c r="N6" s="96"/>
      <c r="O6" s="1"/>
      <c r="P6" s="9"/>
      <c r="Q6" s="98"/>
    </row>
    <row r="7" ht="13.5" customHeight="1">
      <c r="A7" s="1"/>
      <c r="B7" s="99"/>
      <c r="C7" s="100" t="s">
        <v>48</v>
      </c>
      <c r="D7" s="101">
        <v>50.0</v>
      </c>
      <c r="E7" s="102">
        <v>22.5</v>
      </c>
      <c r="F7" s="103">
        <v>10.82</v>
      </c>
      <c r="G7" s="104" t="str">
        <f t="shared" ref="G7:G34" si="1">E7-F7</f>
        <v> R$  11.68 </v>
      </c>
      <c r="H7" s="102" t="str">
        <f t="shared" ref="H7:H34" si="2">E7*D7</f>
        <v> R$ 1,125.00 </v>
      </c>
      <c r="I7" s="105"/>
      <c r="J7" s="106" t="str">
        <f t="shared" ref="J7:J34" si="3">F7*D7</f>
        <v> R$  541.00 </v>
      </c>
      <c r="K7" s="107">
        <v>0.05</v>
      </c>
      <c r="L7" s="108" t="str">
        <f t="shared" ref="L7:L34" si="4">G7*D7</f>
        <v> R$  584.00 </v>
      </c>
      <c r="M7" s="109" t="s">
        <v>49</v>
      </c>
      <c r="N7" s="103"/>
      <c r="O7" s="1"/>
      <c r="P7" s="20" t="s">
        <v>7</v>
      </c>
      <c r="Q7" s="110">
        <v>1.0</v>
      </c>
    </row>
    <row r="8" ht="13.5" customHeight="1">
      <c r="A8" s="1"/>
      <c r="B8" s="99"/>
      <c r="C8" s="100" t="s">
        <v>50</v>
      </c>
      <c r="D8" s="101">
        <v>900.0</v>
      </c>
      <c r="E8" s="103">
        <v>17.0</v>
      </c>
      <c r="F8" s="103">
        <v>12.92</v>
      </c>
      <c r="G8" s="104" t="str">
        <f t="shared" si="1"/>
        <v> R$  4.08 </v>
      </c>
      <c r="H8" s="102" t="str">
        <f t="shared" si="2"/>
        <v> R$ 15,300.00 </v>
      </c>
      <c r="I8" s="105"/>
      <c r="J8" s="106" t="str">
        <f t="shared" si="3"/>
        <v> R$  11,628.00 </v>
      </c>
      <c r="K8" s="107">
        <v>0.05</v>
      </c>
      <c r="L8" s="108" t="str">
        <f t="shared" si="4"/>
        <v> R$  3,672.00 </v>
      </c>
      <c r="M8" s="109" t="s">
        <v>49</v>
      </c>
      <c r="N8" s="103"/>
      <c r="O8" s="1"/>
      <c r="P8" s="20" t="s">
        <v>8</v>
      </c>
      <c r="Q8" s="21" t="str">
        <f>N36/H36</f>
        <v>0.76%</v>
      </c>
    </row>
    <row r="9" ht="12.75" customHeight="1">
      <c r="A9" s="1"/>
      <c r="B9" s="99"/>
      <c r="C9" s="100"/>
      <c r="D9" s="101"/>
      <c r="E9" s="103"/>
      <c r="F9" s="103"/>
      <c r="G9" s="104" t="str">
        <f t="shared" si="1"/>
        <v> R$  -   </v>
      </c>
      <c r="H9" s="102" t="str">
        <f t="shared" si="2"/>
        <v> R$ -   </v>
      </c>
      <c r="I9" s="105"/>
      <c r="J9" s="106" t="str">
        <f t="shared" si="3"/>
        <v> R$  -   </v>
      </c>
      <c r="K9" s="107">
        <v>0.05</v>
      </c>
      <c r="L9" s="108" t="str">
        <f t="shared" si="4"/>
        <v> R$  -   </v>
      </c>
      <c r="M9" s="109" t="s">
        <v>49</v>
      </c>
      <c r="N9" s="103"/>
      <c r="O9" s="1"/>
      <c r="P9" s="20" t="s">
        <v>11</v>
      </c>
      <c r="Q9" s="21" t="str">
        <f>J36/H36</f>
        <v>46.21%</v>
      </c>
    </row>
    <row r="10" ht="13.5" customHeight="1">
      <c r="A10" s="1"/>
      <c r="B10" s="99"/>
      <c r="C10" s="100"/>
      <c r="D10" s="101"/>
      <c r="E10" s="103"/>
      <c r="F10" s="103"/>
      <c r="G10" s="104" t="str">
        <f t="shared" si="1"/>
        <v> R$  -   </v>
      </c>
      <c r="H10" s="102" t="str">
        <f t="shared" si="2"/>
        <v> R$ -   </v>
      </c>
      <c r="I10" s="105"/>
      <c r="J10" s="106" t="str">
        <f t="shared" si="3"/>
        <v> R$  -   </v>
      </c>
      <c r="K10" s="107">
        <v>0.05</v>
      </c>
      <c r="L10" s="108" t="str">
        <f t="shared" si="4"/>
        <v> R$  -   </v>
      </c>
      <c r="M10" s="109" t="s">
        <v>49</v>
      </c>
      <c r="N10" s="103"/>
      <c r="O10" s="1"/>
      <c r="P10" s="20" t="s">
        <v>12</v>
      </c>
      <c r="Q10" s="111">
        <v>0.0</v>
      </c>
    </row>
    <row r="11" ht="13.5" customHeight="1">
      <c r="A11" s="1"/>
      <c r="B11" s="99"/>
      <c r="C11" s="100"/>
      <c r="D11" s="101"/>
      <c r="E11" s="112"/>
      <c r="F11" s="103"/>
      <c r="G11" s="104" t="str">
        <f t="shared" si="1"/>
        <v> R$  -   </v>
      </c>
      <c r="H11" s="102" t="str">
        <f t="shared" si="2"/>
        <v> R$ -   </v>
      </c>
      <c r="I11" s="105"/>
      <c r="J11" s="106" t="str">
        <f t="shared" si="3"/>
        <v> R$  -   </v>
      </c>
      <c r="K11" s="107">
        <v>0.05</v>
      </c>
      <c r="L11" s="108" t="str">
        <f t="shared" si="4"/>
        <v> R$  -   </v>
      </c>
      <c r="M11" s="109">
        <v>0.0</v>
      </c>
      <c r="N11" s="103"/>
      <c r="O11" s="1"/>
      <c r="P11" s="46" t="s">
        <v>51</v>
      </c>
      <c r="Q11" s="113" t="str">
        <f>Q7-SUM(Q8:Q10)</f>
        <v>53.03%</v>
      </c>
    </row>
    <row r="12" ht="13.5" customHeight="1">
      <c r="A12" s="1"/>
      <c r="B12" s="99"/>
      <c r="C12" s="100" t="s">
        <v>48</v>
      </c>
      <c r="D12" s="101">
        <v>900.0</v>
      </c>
      <c r="E12" s="112">
        <v>26.0</v>
      </c>
      <c r="F12" s="103">
        <v>10.82</v>
      </c>
      <c r="G12" s="104" t="str">
        <f t="shared" si="1"/>
        <v> R$  15.18 </v>
      </c>
      <c r="H12" s="102" t="str">
        <f t="shared" si="2"/>
        <v> R$ 23,400.00 </v>
      </c>
      <c r="I12" s="105"/>
      <c r="J12" s="106" t="str">
        <f t="shared" si="3"/>
        <v> R$  9,738.00 </v>
      </c>
      <c r="K12" s="107">
        <v>0.05</v>
      </c>
      <c r="L12" s="108" t="str">
        <f t="shared" si="4"/>
        <v> R$  13,662.00 </v>
      </c>
      <c r="M12" s="109"/>
      <c r="N12" s="103"/>
      <c r="O12" s="1"/>
      <c r="P12" s="1"/>
      <c r="Q12" s="1"/>
    </row>
    <row r="13" ht="13.5" customHeight="1">
      <c r="A13" s="1"/>
      <c r="B13" s="114"/>
      <c r="C13" s="100" t="s">
        <v>52</v>
      </c>
      <c r="D13" s="101">
        <v>200.0</v>
      </c>
      <c r="E13" s="112">
        <v>38.0</v>
      </c>
      <c r="F13" s="103">
        <v>14.69</v>
      </c>
      <c r="G13" s="104" t="str">
        <f t="shared" si="1"/>
        <v> R$  23.31 </v>
      </c>
      <c r="H13" s="102" t="str">
        <f t="shared" si="2"/>
        <v> R$ 7,600.00 </v>
      </c>
      <c r="I13" s="105"/>
      <c r="J13" s="106" t="str">
        <f t="shared" si="3"/>
        <v> R$  2,938.00 </v>
      </c>
      <c r="K13" s="107">
        <v>0.05</v>
      </c>
      <c r="L13" s="108" t="str">
        <f t="shared" si="4"/>
        <v> R$  4,662.00 </v>
      </c>
      <c r="M13" s="109"/>
      <c r="N13" s="103"/>
      <c r="O13" s="1"/>
      <c r="P13" s="1"/>
      <c r="Q13" s="1"/>
    </row>
    <row r="14" ht="13.5" customHeight="1">
      <c r="A14" s="1"/>
      <c r="B14" s="115"/>
      <c r="C14" s="100" t="s">
        <v>53</v>
      </c>
      <c r="D14" s="101">
        <v>200.0</v>
      </c>
      <c r="E14" s="112">
        <v>21.8</v>
      </c>
      <c r="F14" s="103">
        <v>7.5</v>
      </c>
      <c r="G14" s="104" t="str">
        <f t="shared" si="1"/>
        <v> R$  14.30 </v>
      </c>
      <c r="H14" s="102" t="str">
        <f t="shared" si="2"/>
        <v> R$ 4,360.00 </v>
      </c>
      <c r="I14" s="116"/>
      <c r="J14" s="106" t="str">
        <f t="shared" si="3"/>
        <v> R$  1,500.00 </v>
      </c>
      <c r="K14" s="107">
        <v>0.05</v>
      </c>
      <c r="L14" s="108" t="str">
        <f t="shared" si="4"/>
        <v> R$  2,860.00 </v>
      </c>
      <c r="M14" s="109"/>
      <c r="N14" s="103"/>
      <c r="O14" s="1"/>
      <c r="P14" s="1"/>
      <c r="Q14" s="1"/>
    </row>
    <row r="15" ht="13.5" customHeight="1">
      <c r="A15" s="1"/>
      <c r="B15" s="115"/>
      <c r="C15" s="100" t="s">
        <v>54</v>
      </c>
      <c r="D15" s="101">
        <v>200.0</v>
      </c>
      <c r="E15" s="112">
        <v>22.0</v>
      </c>
      <c r="F15" s="103">
        <v>9.5</v>
      </c>
      <c r="G15" s="104" t="str">
        <f t="shared" si="1"/>
        <v> R$  12.50 </v>
      </c>
      <c r="H15" s="103" t="str">
        <f t="shared" si="2"/>
        <v> R$ 4,400.00 </v>
      </c>
      <c r="I15" s="116"/>
      <c r="J15" s="106" t="str">
        <f t="shared" si="3"/>
        <v> R$  1,900.00 </v>
      </c>
      <c r="K15" s="107">
        <v>0.05</v>
      </c>
      <c r="L15" s="108" t="str">
        <f t="shared" si="4"/>
        <v> R$  2,500.00 </v>
      </c>
      <c r="M15" s="109"/>
      <c r="N15" s="103"/>
      <c r="O15" s="1"/>
      <c r="P15" s="1"/>
      <c r="Q15" s="1"/>
    </row>
    <row r="16" ht="13.5" customHeight="1">
      <c r="A16" s="1"/>
      <c r="B16" s="115"/>
      <c r="C16" s="100" t="s">
        <v>48</v>
      </c>
      <c r="D16" s="101">
        <v>200.0</v>
      </c>
      <c r="E16" s="112">
        <v>24.0</v>
      </c>
      <c r="F16" s="103">
        <v>10.82</v>
      </c>
      <c r="G16" s="104" t="str">
        <f t="shared" si="1"/>
        <v> R$  13.18 </v>
      </c>
      <c r="H16" s="103" t="str">
        <f t="shared" si="2"/>
        <v> R$ 4,800.00 </v>
      </c>
      <c r="I16" s="116"/>
      <c r="J16" s="108" t="str">
        <f t="shared" si="3"/>
        <v> R$  2,164.00 </v>
      </c>
      <c r="K16" s="107">
        <v>0.05</v>
      </c>
      <c r="L16" s="108" t="str">
        <f t="shared" si="4"/>
        <v> R$  2,636.00 </v>
      </c>
      <c r="M16" s="109"/>
      <c r="N16" s="103"/>
      <c r="O16" s="1"/>
      <c r="P16" s="1"/>
      <c r="Q16" s="1"/>
    </row>
    <row r="17" ht="13.5" customHeight="1">
      <c r="A17" s="1"/>
      <c r="B17" s="117"/>
      <c r="C17" s="100" t="s">
        <v>55</v>
      </c>
      <c r="D17" s="101">
        <v>1000.0</v>
      </c>
      <c r="E17" s="112">
        <v>25.6</v>
      </c>
      <c r="F17" s="103">
        <v>9.73</v>
      </c>
      <c r="G17" s="104" t="str">
        <f t="shared" si="1"/>
        <v> R$  15.87 </v>
      </c>
      <c r="H17" s="103" t="str">
        <f t="shared" si="2"/>
        <v> R$ 25,600.00 </v>
      </c>
      <c r="I17" s="116"/>
      <c r="J17" s="108" t="str">
        <f t="shared" si="3"/>
        <v> R$  9,730.00 </v>
      </c>
      <c r="K17" s="107">
        <v>0.05</v>
      </c>
      <c r="L17" s="108" t="str">
        <f t="shared" si="4"/>
        <v> R$  15,870.00 </v>
      </c>
      <c r="M17" s="109"/>
      <c r="N17" s="103"/>
      <c r="O17" s="1"/>
      <c r="P17" s="9" t="s">
        <v>56</v>
      </c>
      <c r="Q17" s="93" t="s">
        <v>5</v>
      </c>
    </row>
    <row r="18" ht="13.5" customHeight="1">
      <c r="A18" s="1"/>
      <c r="B18" s="99"/>
      <c r="C18" s="100" t="s">
        <v>48</v>
      </c>
      <c r="D18" s="101">
        <v>140.0</v>
      </c>
      <c r="E18" s="112">
        <v>24.0</v>
      </c>
      <c r="F18" s="103">
        <v>10.82</v>
      </c>
      <c r="G18" s="104" t="str">
        <f t="shared" si="1"/>
        <v> R$  13.18 </v>
      </c>
      <c r="H18" s="103" t="str">
        <f t="shared" si="2"/>
        <v> R$ 3,360.00 </v>
      </c>
      <c r="I18" s="116"/>
      <c r="J18" s="108" t="str">
        <f t="shared" si="3"/>
        <v> R$  1,514.80 </v>
      </c>
      <c r="K18" s="107">
        <v>0.05</v>
      </c>
      <c r="L18" s="108" t="str">
        <f t="shared" si="4"/>
        <v> R$  1,845.20 </v>
      </c>
      <c r="M18" s="109"/>
      <c r="N18" s="103"/>
      <c r="O18" s="1"/>
      <c r="P18" s="20" t="s">
        <v>57</v>
      </c>
      <c r="Q18" s="21">
        <v>0.0</v>
      </c>
    </row>
    <row r="19" ht="13.5" customHeight="1">
      <c r="A19" s="1"/>
      <c r="B19" s="99"/>
      <c r="C19" s="100" t="s">
        <v>54</v>
      </c>
      <c r="D19" s="101">
        <v>140.0</v>
      </c>
      <c r="E19" s="112">
        <v>22.0</v>
      </c>
      <c r="F19" s="103">
        <v>9.5</v>
      </c>
      <c r="G19" s="104" t="str">
        <f t="shared" si="1"/>
        <v> R$  12.50 </v>
      </c>
      <c r="H19" s="103" t="str">
        <f t="shared" si="2"/>
        <v> R$ 3,080.00 </v>
      </c>
      <c r="I19" s="116"/>
      <c r="J19" s="108" t="str">
        <f t="shared" si="3"/>
        <v> R$  1,330.00 </v>
      </c>
      <c r="K19" s="107">
        <v>0.05</v>
      </c>
      <c r="L19" s="108" t="str">
        <f t="shared" si="4"/>
        <v> R$  1,750.00 </v>
      </c>
      <c r="M19" s="109"/>
      <c r="N19" s="103"/>
      <c r="O19" s="1"/>
      <c r="P19" s="20" t="s">
        <v>58</v>
      </c>
      <c r="Q19" s="21">
        <v>0.0</v>
      </c>
    </row>
    <row r="20" ht="13.5" customHeight="1">
      <c r="A20" s="1"/>
      <c r="B20" s="99"/>
      <c r="C20" s="100"/>
      <c r="D20" s="101"/>
      <c r="E20" s="112"/>
      <c r="F20" s="103"/>
      <c r="G20" s="104" t="str">
        <f t="shared" si="1"/>
        <v> R$  -   </v>
      </c>
      <c r="H20" s="103" t="str">
        <f t="shared" si="2"/>
        <v> R$ -   </v>
      </c>
      <c r="I20" s="116"/>
      <c r="J20" s="108" t="str">
        <f t="shared" si="3"/>
        <v> R$  -   </v>
      </c>
      <c r="K20" s="107">
        <v>0.05</v>
      </c>
      <c r="L20" s="108" t="str">
        <f t="shared" si="4"/>
        <v> R$  -   </v>
      </c>
      <c r="M20" s="109"/>
      <c r="N20" s="103" t="str">
        <f t="shared" ref="N20:N34" si="5">H20*SUM(K20)</f>
        <v> R$ -   </v>
      </c>
      <c r="O20" s="1"/>
      <c r="P20" s="20"/>
      <c r="Q20" s="21"/>
    </row>
    <row r="21" ht="13.5" hidden="1" customHeight="1">
      <c r="A21" s="1"/>
      <c r="B21" s="99"/>
      <c r="C21" s="100"/>
      <c r="D21" s="101"/>
      <c r="E21" s="112"/>
      <c r="F21" s="103"/>
      <c r="G21" s="104" t="str">
        <f t="shared" si="1"/>
        <v> R$  -   </v>
      </c>
      <c r="H21" s="103" t="str">
        <f t="shared" si="2"/>
        <v> R$ -   </v>
      </c>
      <c r="I21" s="116"/>
      <c r="J21" s="108" t="str">
        <f t="shared" si="3"/>
        <v> R$  -   </v>
      </c>
      <c r="K21" s="107">
        <v>0.05</v>
      </c>
      <c r="L21" s="108" t="str">
        <f t="shared" si="4"/>
        <v> R$  -   </v>
      </c>
      <c r="M21" s="109"/>
      <c r="N21" s="103" t="str">
        <f t="shared" si="5"/>
        <v> R$ -   </v>
      </c>
      <c r="O21" s="1"/>
      <c r="P21" s="20"/>
      <c r="Q21" s="21"/>
    </row>
    <row r="22" ht="13.5" hidden="1" customHeight="1">
      <c r="A22" s="1"/>
      <c r="B22" s="99"/>
      <c r="C22" s="100"/>
      <c r="D22" s="101"/>
      <c r="E22" s="112"/>
      <c r="F22" s="103"/>
      <c r="G22" s="104" t="str">
        <f t="shared" si="1"/>
        <v> R$  -   </v>
      </c>
      <c r="H22" s="103" t="str">
        <f t="shared" si="2"/>
        <v> R$ -   </v>
      </c>
      <c r="I22" s="116"/>
      <c r="J22" s="108" t="str">
        <f t="shared" si="3"/>
        <v> R$  -   </v>
      </c>
      <c r="K22" s="107">
        <v>0.05</v>
      </c>
      <c r="L22" s="108" t="str">
        <f t="shared" si="4"/>
        <v> R$  -   </v>
      </c>
      <c r="M22" s="109"/>
      <c r="N22" s="103" t="str">
        <f t="shared" si="5"/>
        <v> R$ -   </v>
      </c>
      <c r="O22" s="1"/>
      <c r="P22" s="20"/>
      <c r="Q22" s="21"/>
    </row>
    <row r="23" ht="13.5" hidden="1" customHeight="1">
      <c r="A23" s="1"/>
      <c r="B23" s="99"/>
      <c r="C23" s="100"/>
      <c r="D23" s="101"/>
      <c r="E23" s="112"/>
      <c r="F23" s="112"/>
      <c r="G23" s="104" t="str">
        <f t="shared" si="1"/>
        <v> R$  -   </v>
      </c>
      <c r="H23" s="103" t="str">
        <f t="shared" si="2"/>
        <v> R$ -   </v>
      </c>
      <c r="I23" s="116"/>
      <c r="J23" s="108" t="str">
        <f t="shared" si="3"/>
        <v> R$  -   </v>
      </c>
      <c r="K23" s="107">
        <v>0.05</v>
      </c>
      <c r="L23" s="108" t="str">
        <f t="shared" si="4"/>
        <v> R$  -   </v>
      </c>
      <c r="M23" s="109"/>
      <c r="N23" s="103" t="str">
        <f t="shared" si="5"/>
        <v> R$ -   </v>
      </c>
      <c r="O23" s="1"/>
      <c r="P23" s="20"/>
      <c r="Q23" s="21"/>
    </row>
    <row r="24" ht="13.5" hidden="1" customHeight="1">
      <c r="A24" s="1"/>
      <c r="B24" s="118"/>
      <c r="C24" s="119"/>
      <c r="D24" s="120"/>
      <c r="E24" s="121"/>
      <c r="F24" s="121"/>
      <c r="G24" s="122" t="str">
        <f t="shared" si="1"/>
        <v> R$  -   </v>
      </c>
      <c r="H24" s="123" t="str">
        <f t="shared" si="2"/>
        <v> R$ -   </v>
      </c>
      <c r="I24" s="124"/>
      <c r="J24" s="125" t="str">
        <f t="shared" si="3"/>
        <v> R$  -   </v>
      </c>
      <c r="K24" s="126">
        <v>0.05</v>
      </c>
      <c r="L24" s="125" t="str">
        <f t="shared" si="4"/>
        <v> R$  -   </v>
      </c>
      <c r="M24" s="127"/>
      <c r="N24" s="123" t="str">
        <f t="shared" si="5"/>
        <v> R$ -   </v>
      </c>
      <c r="O24" s="1"/>
      <c r="P24" s="20"/>
      <c r="Q24" s="21"/>
    </row>
    <row r="25" ht="13.5" hidden="1" customHeight="1">
      <c r="A25" s="1"/>
      <c r="B25" s="118"/>
      <c r="C25" s="119"/>
      <c r="D25" s="120"/>
      <c r="E25" s="121"/>
      <c r="F25" s="121"/>
      <c r="G25" s="122" t="str">
        <f t="shared" si="1"/>
        <v> R$  -   </v>
      </c>
      <c r="H25" s="123" t="str">
        <f t="shared" si="2"/>
        <v> R$ -   </v>
      </c>
      <c r="I25" s="124"/>
      <c r="J25" s="125" t="str">
        <f t="shared" si="3"/>
        <v> R$  -   </v>
      </c>
      <c r="K25" s="126">
        <v>0.05</v>
      </c>
      <c r="L25" s="125" t="str">
        <f t="shared" si="4"/>
        <v> R$  -   </v>
      </c>
      <c r="M25" s="127"/>
      <c r="N25" s="123" t="str">
        <f t="shared" si="5"/>
        <v> R$ -   </v>
      </c>
      <c r="O25" s="1"/>
      <c r="P25" s="20"/>
      <c r="Q25" s="21"/>
    </row>
    <row r="26" ht="13.5" hidden="1" customHeight="1">
      <c r="A26" s="1"/>
      <c r="B26" s="118"/>
      <c r="C26" s="119"/>
      <c r="D26" s="120"/>
      <c r="E26" s="121"/>
      <c r="F26" s="121"/>
      <c r="G26" s="122" t="str">
        <f t="shared" si="1"/>
        <v> R$  -   </v>
      </c>
      <c r="H26" s="123" t="str">
        <f t="shared" si="2"/>
        <v> R$ -   </v>
      </c>
      <c r="I26" s="124"/>
      <c r="J26" s="125" t="str">
        <f t="shared" si="3"/>
        <v> R$  -   </v>
      </c>
      <c r="K26" s="126">
        <v>0.05</v>
      </c>
      <c r="L26" s="125" t="str">
        <f t="shared" si="4"/>
        <v> R$  -   </v>
      </c>
      <c r="M26" s="127"/>
      <c r="N26" s="123" t="str">
        <f t="shared" si="5"/>
        <v> R$ -   </v>
      </c>
      <c r="O26" s="1"/>
      <c r="P26" s="20"/>
      <c r="Q26" s="21"/>
    </row>
    <row r="27" ht="13.5" hidden="1" customHeight="1">
      <c r="A27" s="1"/>
      <c r="B27" s="118"/>
      <c r="C27" s="119"/>
      <c r="D27" s="120"/>
      <c r="E27" s="121"/>
      <c r="F27" s="121"/>
      <c r="G27" s="122" t="str">
        <f t="shared" si="1"/>
        <v> R$  -   </v>
      </c>
      <c r="H27" s="123" t="str">
        <f t="shared" si="2"/>
        <v> R$ -   </v>
      </c>
      <c r="I27" s="124"/>
      <c r="J27" s="125" t="str">
        <f t="shared" si="3"/>
        <v> R$  -   </v>
      </c>
      <c r="K27" s="126">
        <v>0.05</v>
      </c>
      <c r="L27" s="125" t="str">
        <f t="shared" si="4"/>
        <v> R$  -   </v>
      </c>
      <c r="M27" s="127"/>
      <c r="N27" s="123" t="str">
        <f t="shared" si="5"/>
        <v> R$ -   </v>
      </c>
      <c r="O27" s="1"/>
      <c r="P27" s="20"/>
      <c r="Q27" s="21"/>
    </row>
    <row r="28" ht="13.5" hidden="1" customHeight="1">
      <c r="A28" s="1"/>
      <c r="B28" s="118"/>
      <c r="C28" s="119"/>
      <c r="D28" s="120"/>
      <c r="E28" s="121"/>
      <c r="F28" s="121"/>
      <c r="G28" s="122" t="str">
        <f t="shared" si="1"/>
        <v> R$  -   </v>
      </c>
      <c r="H28" s="123" t="str">
        <f t="shared" si="2"/>
        <v> R$ -   </v>
      </c>
      <c r="I28" s="124"/>
      <c r="J28" s="125" t="str">
        <f t="shared" si="3"/>
        <v> R$  -   </v>
      </c>
      <c r="K28" s="126">
        <v>0.05</v>
      </c>
      <c r="L28" s="125" t="str">
        <f t="shared" si="4"/>
        <v> R$  -   </v>
      </c>
      <c r="M28" s="127"/>
      <c r="N28" s="123" t="str">
        <f t="shared" si="5"/>
        <v> R$ -   </v>
      </c>
      <c r="O28" s="1"/>
      <c r="P28" s="20"/>
      <c r="Q28" s="21"/>
    </row>
    <row r="29" ht="13.5" hidden="1" customHeight="1">
      <c r="A29" s="1"/>
      <c r="B29" s="118"/>
      <c r="C29" s="119"/>
      <c r="D29" s="120"/>
      <c r="E29" s="121"/>
      <c r="F29" s="121"/>
      <c r="G29" s="122" t="str">
        <f t="shared" si="1"/>
        <v> R$  -   </v>
      </c>
      <c r="H29" s="123" t="str">
        <f t="shared" si="2"/>
        <v> R$ -   </v>
      </c>
      <c r="I29" s="124"/>
      <c r="J29" s="125" t="str">
        <f t="shared" si="3"/>
        <v> R$  -   </v>
      </c>
      <c r="K29" s="126">
        <v>0.05</v>
      </c>
      <c r="L29" s="125" t="str">
        <f t="shared" si="4"/>
        <v> R$  -   </v>
      </c>
      <c r="M29" s="127"/>
      <c r="N29" s="123" t="str">
        <f t="shared" si="5"/>
        <v> R$ -   </v>
      </c>
      <c r="O29" s="1"/>
      <c r="P29" s="20"/>
      <c r="Q29" s="21"/>
    </row>
    <row r="30" ht="13.5" hidden="1" customHeight="1">
      <c r="A30" s="1"/>
      <c r="B30" s="118"/>
      <c r="C30" s="119"/>
      <c r="D30" s="120"/>
      <c r="E30" s="121"/>
      <c r="F30" s="121"/>
      <c r="G30" s="122" t="str">
        <f t="shared" si="1"/>
        <v> R$  -   </v>
      </c>
      <c r="H30" s="123" t="str">
        <f t="shared" si="2"/>
        <v> R$ -   </v>
      </c>
      <c r="I30" s="124"/>
      <c r="J30" s="125" t="str">
        <f t="shared" si="3"/>
        <v> R$  -   </v>
      </c>
      <c r="K30" s="126">
        <v>0.05</v>
      </c>
      <c r="L30" s="125" t="str">
        <f t="shared" si="4"/>
        <v> R$  -   </v>
      </c>
      <c r="M30" s="127"/>
      <c r="N30" s="123" t="str">
        <f t="shared" si="5"/>
        <v> R$ -   </v>
      </c>
      <c r="O30" s="1"/>
      <c r="P30" s="20"/>
      <c r="Q30" s="21"/>
    </row>
    <row r="31" ht="13.5" customHeight="1">
      <c r="A31" s="1"/>
      <c r="B31" s="118"/>
      <c r="C31" s="119"/>
      <c r="D31" s="120"/>
      <c r="E31" s="121"/>
      <c r="F31" s="121"/>
      <c r="G31" s="122" t="str">
        <f t="shared" si="1"/>
        <v> R$  -   </v>
      </c>
      <c r="H31" s="123" t="str">
        <f t="shared" si="2"/>
        <v> R$ -   </v>
      </c>
      <c r="I31" s="124"/>
      <c r="J31" s="125" t="str">
        <f t="shared" si="3"/>
        <v> R$  -   </v>
      </c>
      <c r="K31" s="126">
        <v>0.05</v>
      </c>
      <c r="L31" s="125" t="str">
        <f t="shared" si="4"/>
        <v> R$  -   </v>
      </c>
      <c r="M31" s="127"/>
      <c r="N31" s="123" t="str">
        <f t="shared" si="5"/>
        <v> R$ -   </v>
      </c>
      <c r="O31" s="1"/>
      <c r="P31" s="20"/>
      <c r="Q31" s="21"/>
    </row>
    <row r="32" ht="13.5" customHeight="1">
      <c r="A32" s="1"/>
      <c r="B32" s="118"/>
      <c r="C32" s="119"/>
      <c r="D32" s="120"/>
      <c r="E32" s="121"/>
      <c r="F32" s="121"/>
      <c r="G32" s="122" t="str">
        <f t="shared" si="1"/>
        <v> R$  -   </v>
      </c>
      <c r="H32" s="123" t="str">
        <f t="shared" si="2"/>
        <v> R$ -   </v>
      </c>
      <c r="I32" s="124"/>
      <c r="J32" s="125" t="str">
        <f t="shared" si="3"/>
        <v> R$  -   </v>
      </c>
      <c r="K32" s="126">
        <v>0.05</v>
      </c>
      <c r="L32" s="125" t="str">
        <f t="shared" si="4"/>
        <v> R$  -   </v>
      </c>
      <c r="M32" s="127"/>
      <c r="N32" s="123" t="str">
        <f t="shared" si="5"/>
        <v> R$ -   </v>
      </c>
      <c r="O32" s="1"/>
      <c r="P32" s="20"/>
      <c r="Q32" s="21"/>
    </row>
    <row r="33" ht="13.5" customHeight="1">
      <c r="A33" s="1"/>
      <c r="B33" s="99"/>
      <c r="C33" s="100"/>
      <c r="D33" s="101"/>
      <c r="E33" s="112"/>
      <c r="F33" s="112"/>
      <c r="G33" s="128" t="str">
        <f t="shared" si="1"/>
        <v> R$  -   </v>
      </c>
      <c r="H33" s="103" t="str">
        <f t="shared" si="2"/>
        <v> R$ -   </v>
      </c>
      <c r="I33" s="116"/>
      <c r="J33" s="108" t="str">
        <f t="shared" si="3"/>
        <v> R$  -   </v>
      </c>
      <c r="K33" s="107">
        <v>0.05</v>
      </c>
      <c r="L33" s="108" t="str">
        <f t="shared" si="4"/>
        <v> R$  -   </v>
      </c>
      <c r="M33" s="109"/>
      <c r="N33" s="103" t="str">
        <f t="shared" si="5"/>
        <v> R$ -   </v>
      </c>
      <c r="O33" s="1"/>
      <c r="P33" s="20"/>
      <c r="Q33" s="21"/>
    </row>
    <row r="34" ht="13.5" customHeight="1">
      <c r="A34" s="1"/>
      <c r="B34" s="99"/>
      <c r="C34" s="100"/>
      <c r="D34" s="101"/>
      <c r="E34" s="112"/>
      <c r="F34" s="112"/>
      <c r="G34" s="128" t="str">
        <f t="shared" si="1"/>
        <v> R$  -   </v>
      </c>
      <c r="H34" s="103" t="str">
        <f t="shared" si="2"/>
        <v> R$ -   </v>
      </c>
      <c r="I34" s="116"/>
      <c r="J34" s="108" t="str">
        <f t="shared" si="3"/>
        <v> R$  -   </v>
      </c>
      <c r="K34" s="107">
        <v>0.05</v>
      </c>
      <c r="L34" s="108" t="str">
        <f t="shared" si="4"/>
        <v> R$  -   </v>
      </c>
      <c r="M34" s="109"/>
      <c r="N34" s="103" t="str">
        <f t="shared" si="5"/>
        <v> R$ -   </v>
      </c>
      <c r="O34" s="1"/>
      <c r="P34" s="20"/>
      <c r="Q34" s="21"/>
    </row>
    <row r="35" ht="13.5" customHeight="1">
      <c r="A35" s="1"/>
      <c r="B35" s="99"/>
      <c r="C35" s="100"/>
      <c r="D35" s="101"/>
      <c r="E35" s="101"/>
      <c r="F35" s="129"/>
      <c r="G35" s="128"/>
      <c r="H35" s="103"/>
      <c r="I35" s="116"/>
      <c r="J35" s="108"/>
      <c r="K35" s="107"/>
      <c r="L35" s="107"/>
      <c r="M35" s="109"/>
      <c r="N35" s="103" t="str">
        <f>H35*SUM(K35:M35)</f>
        <v> R$ -   </v>
      </c>
      <c r="O35" s="1"/>
      <c r="P35" s="20"/>
      <c r="Q35" s="21"/>
    </row>
    <row r="36" ht="12.75" customHeight="1">
      <c r="A36" s="1"/>
      <c r="B36" s="130"/>
      <c r="C36" s="131"/>
      <c r="D36" s="132" t="str">
        <f>SUM(D7:D35)</f>
        <v>3930</v>
      </c>
      <c r="E36" s="133"/>
      <c r="F36" s="132"/>
      <c r="G36" s="134"/>
      <c r="H36" s="133" t="str">
        <f>SUM(H7:H35)</f>
        <v> R$ 93,025.00 </v>
      </c>
      <c r="I36" s="135">
        <v>0.0</v>
      </c>
      <c r="J36" s="136" t="str">
        <f>SUM(J7:J35)</f>
        <v> R$  42,983.80 </v>
      </c>
      <c r="K36" s="137">
        <v>0.05</v>
      </c>
      <c r="L36" s="133" t="str">
        <f t="shared" ref="L36:M36" si="6">SUM(L7:L35)</f>
        <v> R$ 50,041.20 </v>
      </c>
      <c r="M36" s="138" t="str">
        <f t="shared" si="6"/>
        <v>0.00%</v>
      </c>
      <c r="N36" s="133">
        <v>707.4</v>
      </c>
      <c r="O36" s="1"/>
      <c r="P36" s="20"/>
      <c r="Q36" s="139" t="str">
        <f>SUM(Q18:Q35)</f>
        <v>0.00%</v>
      </c>
    </row>
    <row r="37" ht="12.75" customHeight="1">
      <c r="A37" s="1"/>
      <c r="B37" s="1"/>
      <c r="C37" s="1"/>
      <c r="D37" s="1"/>
      <c r="E37" s="1"/>
      <c r="F37" s="1"/>
      <c r="G37" s="84"/>
      <c r="H37" s="1"/>
      <c r="I37" s="1"/>
      <c r="J37" s="85"/>
      <c r="K37" s="1"/>
      <c r="L37" s="1"/>
      <c r="M37" s="1"/>
      <c r="N37" s="1"/>
      <c r="O37" s="1"/>
      <c r="P37" s="1"/>
      <c r="Q37" s="1"/>
    </row>
    <row r="38" ht="12.75" customHeight="1">
      <c r="A38" s="1"/>
      <c r="B38" s="1"/>
      <c r="C38" s="5" t="s">
        <v>59</v>
      </c>
      <c r="D38" s="5"/>
      <c r="E38" s="5"/>
      <c r="F38" s="5"/>
      <c r="G38" s="140"/>
      <c r="H38" s="5"/>
      <c r="I38" s="5"/>
      <c r="J38" s="141"/>
      <c r="K38" s="1"/>
      <c r="L38" s="1"/>
      <c r="M38" s="1"/>
      <c r="N38" s="1"/>
      <c r="O38" s="1"/>
      <c r="P38" s="1"/>
      <c r="Q38" s="1"/>
    </row>
    <row r="39" ht="12.75" customHeight="1">
      <c r="A39" s="1"/>
      <c r="B39" s="1"/>
      <c r="C39" s="5" t="s">
        <v>60</v>
      </c>
      <c r="D39" s="5"/>
      <c r="E39" s="5"/>
      <c r="F39" s="5"/>
      <c r="G39" s="140"/>
      <c r="H39" s="1"/>
      <c r="I39" s="1"/>
      <c r="J39" s="85"/>
      <c r="K39" s="1"/>
      <c r="L39" s="1"/>
      <c r="M39" s="1"/>
      <c r="N39" s="1"/>
      <c r="O39" s="1"/>
      <c r="P39" s="1"/>
      <c r="Q39" s="1"/>
    </row>
    <row r="40" ht="12.75" customHeight="1">
      <c r="A40" s="1"/>
      <c r="B40" s="1"/>
      <c r="C40" s="5" t="s">
        <v>61</v>
      </c>
      <c r="D40" s="5"/>
      <c r="E40" s="5"/>
      <c r="F40" s="5"/>
      <c r="G40" s="140"/>
      <c r="H40" s="1"/>
      <c r="I40" s="1"/>
      <c r="J40" s="85"/>
      <c r="K40" s="1"/>
      <c r="L40" s="1"/>
      <c r="M40" s="1"/>
      <c r="N40" s="1"/>
      <c r="O40" s="1"/>
      <c r="P40" s="1"/>
      <c r="Q40" s="1"/>
    </row>
    <row r="41" ht="12.75" customHeight="1">
      <c r="A41" s="1"/>
      <c r="B41" s="1"/>
      <c r="C41" s="1"/>
      <c r="D41" s="1"/>
      <c r="E41" s="1"/>
      <c r="F41" s="1"/>
      <c r="G41" s="84"/>
      <c r="H41" s="1"/>
      <c r="I41" s="1"/>
      <c r="J41" s="85"/>
      <c r="K41" s="1"/>
      <c r="L41" s="1"/>
      <c r="M41" s="1"/>
      <c r="N41" s="1"/>
      <c r="O41" s="1"/>
      <c r="P41" s="1"/>
      <c r="Q41" s="1"/>
    </row>
    <row r="42" ht="12.75" customHeight="1">
      <c r="A42" s="1"/>
      <c r="B42" s="1"/>
      <c r="C42" s="1"/>
      <c r="D42" s="1"/>
      <c r="E42" s="1"/>
      <c r="F42" s="1"/>
      <c r="G42" s="84"/>
      <c r="H42" s="1"/>
      <c r="I42" s="1"/>
      <c r="J42" s="85"/>
      <c r="K42" s="1"/>
      <c r="L42" s="1"/>
      <c r="M42" s="1"/>
      <c r="N42" s="1"/>
      <c r="O42" s="1"/>
      <c r="P42" s="1"/>
      <c r="Q42" s="1"/>
    </row>
    <row r="43" ht="12.75" customHeight="1">
      <c r="A43" s="1"/>
      <c r="B43" s="1"/>
      <c r="C43" s="1"/>
      <c r="D43" s="1"/>
      <c r="E43" s="1"/>
      <c r="F43" s="1"/>
      <c r="G43" s="84"/>
      <c r="H43" s="85"/>
      <c r="I43" s="1"/>
      <c r="J43" s="85"/>
      <c r="K43" s="1"/>
      <c r="L43" s="1"/>
      <c r="M43" s="1"/>
      <c r="N43" s="1"/>
      <c r="O43" s="1"/>
      <c r="P43" s="1"/>
      <c r="Q43" s="1"/>
    </row>
    <row r="44" ht="12.75" customHeight="1">
      <c r="A44" s="1"/>
      <c r="B44" s="1"/>
      <c r="C44" s="1"/>
      <c r="D44" s="1"/>
      <c r="E44" s="1"/>
      <c r="F44" s="1"/>
      <c r="G44" s="84"/>
      <c r="H44" s="1"/>
      <c r="I44" s="1"/>
      <c r="J44" s="85"/>
      <c r="K44" s="1"/>
      <c r="L44" s="1"/>
      <c r="M44" s="1"/>
      <c r="N44" s="1"/>
      <c r="O44" s="1"/>
      <c r="P44" s="1"/>
      <c r="Q44" s="1"/>
    </row>
    <row r="45" ht="12.75" customHeight="1">
      <c r="A45" s="1"/>
      <c r="B45" s="1"/>
      <c r="C45" s="1"/>
      <c r="D45" s="1"/>
      <c r="E45" s="1"/>
      <c r="F45" s="1"/>
      <c r="G45" s="84"/>
      <c r="H45" s="1"/>
      <c r="I45" s="1"/>
      <c r="J45" s="85"/>
      <c r="K45" s="1"/>
      <c r="L45" s="1"/>
      <c r="M45" s="1"/>
      <c r="N45" s="1"/>
      <c r="O45" s="1"/>
      <c r="P45" s="1"/>
      <c r="Q45" s="1"/>
    </row>
    <row r="46" ht="12.75" customHeight="1">
      <c r="A46" s="1"/>
      <c r="B46" s="1"/>
      <c r="C46" s="1"/>
      <c r="D46" s="1"/>
      <c r="E46" s="1"/>
      <c r="F46" s="1"/>
      <c r="G46" s="84"/>
      <c r="H46" s="1"/>
      <c r="I46" s="1"/>
      <c r="J46" s="85"/>
      <c r="K46" s="1"/>
      <c r="L46" s="1"/>
      <c r="M46" s="1"/>
      <c r="N46" s="1"/>
      <c r="O46" s="1"/>
      <c r="P46" s="1"/>
      <c r="Q46" s="1"/>
    </row>
    <row r="47" ht="12.75" customHeight="1">
      <c r="A47" s="1"/>
      <c r="B47" s="1"/>
      <c r="C47" s="1"/>
      <c r="D47" s="1"/>
      <c r="E47" s="1"/>
      <c r="F47" s="1"/>
      <c r="G47" s="84"/>
      <c r="H47" s="1"/>
      <c r="I47" s="1"/>
      <c r="J47" s="85"/>
      <c r="K47" s="1"/>
      <c r="L47" s="1"/>
      <c r="M47" s="1"/>
      <c r="N47" s="1"/>
      <c r="O47" s="1"/>
      <c r="P47" s="1"/>
      <c r="Q47" s="1"/>
    </row>
    <row r="48" ht="12.75" customHeight="1">
      <c r="A48" s="1"/>
      <c r="B48" s="1"/>
      <c r="C48" s="1"/>
      <c r="D48" s="1"/>
      <c r="E48" s="1"/>
      <c r="F48" s="1"/>
      <c r="G48" s="84"/>
      <c r="H48" s="1"/>
      <c r="I48" s="1"/>
      <c r="J48" s="85"/>
      <c r="K48" s="1"/>
      <c r="L48" s="1"/>
      <c r="M48" s="1"/>
      <c r="N48" s="1"/>
      <c r="O48" s="1"/>
      <c r="P48" s="1"/>
      <c r="Q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ht="12.75" customHeight="1">
      <c r="A53" s="1"/>
      <c r="B53" s="1"/>
      <c r="C53" s="1"/>
      <c r="D53" s="1"/>
      <c r="E53" s="1"/>
      <c r="F53" s="1"/>
      <c r="G53" s="84"/>
      <c r="H53" s="1"/>
      <c r="I53" s="1"/>
      <c r="J53" s="85"/>
      <c r="K53" s="1"/>
      <c r="L53" s="1"/>
      <c r="M53" s="1"/>
      <c r="N53" s="1"/>
      <c r="O53" s="1"/>
      <c r="P53" s="1"/>
      <c r="Q53" s="1"/>
    </row>
    <row r="54" ht="12.75" customHeight="1">
      <c r="A54" s="1"/>
      <c r="B54" s="1"/>
      <c r="C54" s="1"/>
      <c r="D54" s="1"/>
      <c r="E54" s="1"/>
      <c r="F54" s="1"/>
      <c r="G54" s="84"/>
      <c r="H54" s="1"/>
      <c r="I54" s="1"/>
      <c r="J54" s="85"/>
      <c r="K54" s="1"/>
      <c r="L54" s="1"/>
      <c r="M54" s="1"/>
      <c r="N54" s="1"/>
      <c r="O54" s="1"/>
      <c r="P54" s="1"/>
      <c r="Q54" s="1"/>
    </row>
    <row r="55" ht="12.75" customHeight="1">
      <c r="A55" s="1"/>
      <c r="B55" s="1"/>
      <c r="C55" s="1"/>
      <c r="D55" s="1"/>
      <c r="E55" s="1"/>
      <c r="F55" s="1"/>
      <c r="G55" s="84"/>
      <c r="H55" s="1"/>
      <c r="I55" s="1"/>
      <c r="J55" s="85"/>
      <c r="K55" s="1"/>
      <c r="L55" s="1"/>
      <c r="M55" s="1"/>
      <c r="N55" s="1"/>
      <c r="O55" s="1"/>
      <c r="P55" s="1"/>
      <c r="Q55" s="1"/>
    </row>
    <row r="56" ht="12.75" customHeight="1">
      <c r="A56" s="1"/>
      <c r="B56" s="1"/>
      <c r="C56" s="1"/>
      <c r="D56" s="1"/>
      <c r="E56" s="1"/>
      <c r="F56" s="1"/>
      <c r="G56" s="84"/>
      <c r="H56" s="1"/>
      <c r="I56" s="1"/>
      <c r="J56" s="85"/>
      <c r="K56" s="1"/>
      <c r="L56" s="1"/>
      <c r="M56" s="1"/>
      <c r="N56" s="1"/>
      <c r="O56" s="1"/>
      <c r="P56" s="1"/>
      <c r="Q56" s="1"/>
    </row>
    <row r="57" ht="12.75" customHeight="1">
      <c r="A57" s="1"/>
      <c r="B57" s="1"/>
      <c r="C57" s="1"/>
      <c r="D57" s="1"/>
      <c r="E57" s="1"/>
      <c r="F57" s="1"/>
      <c r="G57" s="84"/>
      <c r="H57" s="1"/>
      <c r="I57" s="1"/>
      <c r="J57" s="85"/>
      <c r="K57" s="1"/>
      <c r="L57" s="1"/>
      <c r="M57" s="1"/>
      <c r="N57" s="1"/>
      <c r="O57" s="1"/>
      <c r="P57" s="1"/>
      <c r="Q57" s="1"/>
    </row>
    <row r="58" ht="12.75" customHeight="1">
      <c r="A58" s="1"/>
      <c r="B58" s="1"/>
      <c r="C58" s="1"/>
      <c r="D58" s="1"/>
      <c r="E58" s="1"/>
      <c r="F58" s="1"/>
      <c r="G58" s="84"/>
      <c r="H58" s="1"/>
      <c r="I58" s="1"/>
      <c r="J58" s="85"/>
      <c r="K58" s="1"/>
      <c r="L58" s="1"/>
      <c r="M58" s="1"/>
      <c r="N58" s="1"/>
      <c r="O58" s="1"/>
      <c r="P58" s="1"/>
      <c r="Q58" s="1"/>
    </row>
    <row r="59" ht="12.75" customHeight="1">
      <c r="A59" s="1"/>
      <c r="B59" s="1"/>
      <c r="C59" s="1"/>
      <c r="D59" s="1"/>
      <c r="E59" s="1"/>
      <c r="F59" s="1"/>
      <c r="G59" s="84"/>
      <c r="H59" s="1"/>
      <c r="I59" s="1"/>
      <c r="J59" s="85"/>
      <c r="K59" s="1"/>
      <c r="L59" s="1"/>
      <c r="M59" s="1"/>
      <c r="N59" s="1"/>
      <c r="O59" s="1"/>
      <c r="P59" s="1"/>
      <c r="Q59" s="1"/>
    </row>
    <row r="60" ht="12.75" customHeight="1">
      <c r="A60" s="1"/>
      <c r="B60" s="1"/>
      <c r="C60" s="1"/>
      <c r="D60" s="1"/>
      <c r="E60" s="1"/>
      <c r="F60" s="1"/>
      <c r="G60" s="84"/>
      <c r="H60" s="1"/>
      <c r="I60" s="1"/>
      <c r="J60" s="85"/>
      <c r="K60" s="1"/>
      <c r="L60" s="1"/>
      <c r="M60" s="1"/>
      <c r="N60" s="1"/>
      <c r="O60" s="1"/>
      <c r="P60" s="1"/>
      <c r="Q60" s="1"/>
    </row>
    <row r="61" ht="12.75" customHeight="1">
      <c r="A61" s="1"/>
      <c r="B61" s="1"/>
      <c r="C61" s="1"/>
      <c r="D61" s="1"/>
      <c r="E61" s="1"/>
      <c r="F61" s="1"/>
      <c r="G61" s="84"/>
      <c r="H61" s="1"/>
      <c r="I61" s="1"/>
      <c r="J61" s="85"/>
      <c r="K61" s="1"/>
      <c r="L61" s="1"/>
      <c r="M61" s="1"/>
      <c r="N61" s="1"/>
      <c r="O61" s="1"/>
      <c r="P61" s="1"/>
      <c r="Q61" s="1"/>
    </row>
    <row r="62" ht="12.75" customHeight="1">
      <c r="A62" s="1"/>
      <c r="B62" s="1"/>
      <c r="C62" s="1"/>
      <c r="D62" s="1"/>
      <c r="E62" s="1"/>
      <c r="F62" s="1"/>
      <c r="G62" s="84"/>
      <c r="H62" s="1"/>
      <c r="I62" s="1"/>
      <c r="J62" s="85"/>
      <c r="K62" s="1"/>
      <c r="L62" s="1"/>
      <c r="M62" s="1"/>
      <c r="N62" s="1"/>
      <c r="O62" s="1"/>
      <c r="P62" s="1"/>
      <c r="Q62" s="1"/>
    </row>
    <row r="63" ht="12.75" customHeight="1">
      <c r="A63" s="1"/>
      <c r="B63" s="1"/>
      <c r="C63" s="1"/>
      <c r="D63" s="1"/>
      <c r="E63" s="1"/>
      <c r="F63" s="1"/>
      <c r="G63" s="84"/>
      <c r="H63" s="1"/>
      <c r="I63" s="1"/>
      <c r="J63" s="85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84"/>
      <c r="H64" s="1"/>
      <c r="I64" s="1"/>
      <c r="J64" s="85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84"/>
      <c r="H65" s="1"/>
      <c r="I65" s="1"/>
      <c r="J65" s="85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84"/>
      <c r="H66" s="1"/>
      <c r="I66" s="1"/>
      <c r="J66" s="85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84"/>
      <c r="H67" s="1"/>
      <c r="I67" s="1"/>
      <c r="J67" s="85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84"/>
      <c r="H68" s="1"/>
      <c r="I68" s="1"/>
      <c r="J68" s="85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84"/>
      <c r="H69" s="1"/>
      <c r="I69" s="1"/>
      <c r="J69" s="85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84"/>
      <c r="H70" s="1"/>
      <c r="I70" s="1"/>
      <c r="J70" s="85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84"/>
      <c r="H71" s="1"/>
      <c r="I71" s="1"/>
      <c r="J71" s="85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84"/>
      <c r="H72" s="1"/>
      <c r="I72" s="1"/>
      <c r="J72" s="85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84"/>
      <c r="H73" s="1"/>
      <c r="I73" s="1"/>
      <c r="J73" s="85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84"/>
      <c r="H74" s="1"/>
      <c r="I74" s="1"/>
      <c r="J74" s="85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84"/>
      <c r="H75" s="1"/>
      <c r="I75" s="1"/>
      <c r="J75" s="85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84"/>
      <c r="H76" s="1"/>
      <c r="I76" s="1"/>
      <c r="J76" s="85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84"/>
      <c r="H77" s="1"/>
      <c r="I77" s="1"/>
      <c r="J77" s="85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84"/>
      <c r="H78" s="1"/>
      <c r="I78" s="1"/>
      <c r="J78" s="85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84"/>
      <c r="H79" s="1"/>
      <c r="I79" s="1"/>
      <c r="J79" s="85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84"/>
      <c r="H80" s="1"/>
      <c r="I80" s="1"/>
      <c r="J80" s="85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84"/>
      <c r="H81" s="1"/>
      <c r="I81" s="1"/>
      <c r="J81" s="85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84"/>
      <c r="H82" s="1"/>
      <c r="I82" s="1"/>
      <c r="J82" s="85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84"/>
      <c r="H83" s="1"/>
      <c r="I83" s="1"/>
      <c r="J83" s="85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84"/>
      <c r="H84" s="1"/>
      <c r="I84" s="1"/>
      <c r="J84" s="85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84"/>
      <c r="H85" s="1"/>
      <c r="I85" s="1"/>
      <c r="J85" s="85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84"/>
      <c r="H86" s="1"/>
      <c r="I86" s="1"/>
      <c r="J86" s="85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84"/>
      <c r="H87" s="1"/>
      <c r="I87" s="1"/>
      <c r="J87" s="85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84"/>
      <c r="H88" s="1"/>
      <c r="I88" s="1"/>
      <c r="J88" s="85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84"/>
      <c r="H89" s="1"/>
      <c r="I89" s="1"/>
      <c r="J89" s="85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84"/>
      <c r="H90" s="1"/>
      <c r="I90" s="1"/>
      <c r="J90" s="85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84"/>
      <c r="H91" s="1"/>
      <c r="I91" s="1"/>
      <c r="J91" s="85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84"/>
      <c r="H92" s="1"/>
      <c r="I92" s="1"/>
      <c r="J92" s="85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84"/>
      <c r="H93" s="1"/>
      <c r="I93" s="1"/>
      <c r="J93" s="85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84"/>
      <c r="H94" s="1"/>
      <c r="I94" s="1"/>
      <c r="J94" s="85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84"/>
      <c r="H95" s="1"/>
      <c r="I95" s="1"/>
      <c r="J95" s="85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84"/>
      <c r="H96" s="1"/>
      <c r="I96" s="1"/>
      <c r="J96" s="85"/>
      <c r="K96" s="1"/>
      <c r="L96" s="1"/>
      <c r="M96" s="1"/>
      <c r="N96" s="1"/>
      <c r="O96" s="1"/>
      <c r="P96" s="1"/>
      <c r="Q96" s="1"/>
    </row>
    <row r="97" ht="12.75" customHeight="1">
      <c r="A97" s="1"/>
      <c r="B97" s="1"/>
      <c r="C97" s="1"/>
      <c r="D97" s="1"/>
      <c r="E97" s="1"/>
      <c r="F97" s="1"/>
      <c r="G97" s="84"/>
      <c r="H97" s="1"/>
      <c r="I97" s="1"/>
      <c r="J97" s="85"/>
      <c r="K97" s="1"/>
      <c r="L97" s="1"/>
      <c r="M97" s="1"/>
      <c r="N97" s="1"/>
      <c r="O97" s="1"/>
      <c r="P97" s="1"/>
      <c r="Q97" s="1"/>
    </row>
    <row r="98" ht="12.75" customHeight="1">
      <c r="A98" s="1"/>
      <c r="B98" s="1"/>
      <c r="C98" s="1"/>
      <c r="D98" s="1"/>
      <c r="E98" s="1"/>
      <c r="F98" s="1"/>
      <c r="G98" s="84"/>
      <c r="H98" s="1"/>
      <c r="I98" s="1"/>
      <c r="J98" s="85"/>
      <c r="K98" s="1"/>
      <c r="L98" s="1"/>
      <c r="M98" s="1"/>
      <c r="N98" s="1"/>
      <c r="O98" s="1"/>
      <c r="P98" s="1"/>
      <c r="Q98" s="1"/>
    </row>
    <row r="99" ht="12.75" customHeight="1">
      <c r="A99" s="1"/>
      <c r="B99" s="1"/>
      <c r="C99" s="1"/>
      <c r="D99" s="1"/>
      <c r="E99" s="1"/>
      <c r="F99" s="1"/>
      <c r="G99" s="84"/>
      <c r="H99" s="1"/>
      <c r="I99" s="1"/>
      <c r="J99" s="85"/>
      <c r="K99" s="1"/>
      <c r="L99" s="1"/>
      <c r="M99" s="1"/>
      <c r="N99" s="1"/>
      <c r="O99" s="1"/>
      <c r="P99" s="1"/>
      <c r="Q99" s="1"/>
    </row>
    <row r="100" ht="12.75" customHeight="1">
      <c r="A100" s="1"/>
      <c r="B100" s="1"/>
      <c r="C100" s="1"/>
      <c r="D100" s="1"/>
      <c r="E100" s="1"/>
      <c r="F100" s="1"/>
      <c r="G100" s="84"/>
      <c r="H100" s="1"/>
      <c r="I100" s="1"/>
      <c r="J100" s="85"/>
      <c r="K100" s="1"/>
      <c r="L100" s="1"/>
      <c r="M100" s="1"/>
      <c r="N100" s="1"/>
      <c r="O100" s="1"/>
      <c r="P100" s="1"/>
      <c r="Q100" s="1"/>
    </row>
  </sheetData>
  <mergeCells count="10">
    <mergeCell ref="G5:G6"/>
    <mergeCell ref="J5:J6"/>
    <mergeCell ref="C2:N2"/>
    <mergeCell ref="B5:C6"/>
    <mergeCell ref="E5:E6"/>
    <mergeCell ref="B13:B17"/>
    <mergeCell ref="D5:D6"/>
    <mergeCell ref="F5:F6"/>
    <mergeCell ref="N5:N6"/>
    <mergeCell ref="K5:K6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10.0"/>
    <col customWidth="1" min="2" max="2" width="14.88"/>
    <col customWidth="1" min="3" max="5" width="8.63"/>
    <col customWidth="1" min="6" max="6" width="9.63"/>
    <col customWidth="1" min="7" max="7" width="12.38"/>
    <col customWidth="1" min="8" max="8" width="18.63"/>
    <col customWidth="1" min="9" max="9" width="13.25"/>
    <col customWidth="1" min="10" max="10" width="11.75"/>
    <col customWidth="1" min="11" max="11" width="12.13"/>
    <col customWidth="1" min="12" max="12" width="18.0"/>
  </cols>
  <sheetData>
    <row r="1" ht="76.5" customHeight="1">
      <c r="A1" s="142" t="s">
        <v>36</v>
      </c>
      <c r="B1" s="143"/>
      <c r="C1" s="89" t="s">
        <v>37</v>
      </c>
      <c r="D1" s="89" t="s">
        <v>38</v>
      </c>
      <c r="E1" s="89" t="s">
        <v>39</v>
      </c>
      <c r="F1" s="144" t="s">
        <v>62</v>
      </c>
      <c r="G1" s="89" t="s">
        <v>63</v>
      </c>
      <c r="H1" s="145" t="s">
        <v>64</v>
      </c>
      <c r="I1" s="89" t="s">
        <v>44</v>
      </c>
      <c r="J1" s="89" t="s">
        <v>65</v>
      </c>
      <c r="K1" s="145"/>
      <c r="L1" s="89" t="s">
        <v>43</v>
      </c>
    </row>
    <row r="2" ht="15.75" customHeight="1">
      <c r="A2" s="146"/>
      <c r="B2" s="147"/>
      <c r="C2" s="148"/>
      <c r="D2" s="148"/>
      <c r="E2" s="148"/>
      <c r="F2" s="149"/>
      <c r="G2" s="97"/>
      <c r="H2" s="150"/>
      <c r="I2" s="97"/>
      <c r="J2" s="148"/>
      <c r="K2" s="150"/>
      <c r="L2" s="148"/>
    </row>
    <row r="3" ht="15.75" customHeight="1">
      <c r="A3" s="151"/>
      <c r="B3" s="100" t="s">
        <v>66</v>
      </c>
      <c r="C3" s="101">
        <v>140.0</v>
      </c>
      <c r="D3" s="102">
        <v>25.0</v>
      </c>
      <c r="E3" s="103">
        <v>19.0</v>
      </c>
      <c r="F3" s="104" t="str">
        <f t="shared" ref="F3:F28" si="1">D3-E3</f>
        <v> R$  6.00 </v>
      </c>
      <c r="G3" s="102" t="str">
        <f t="shared" ref="G3:G32" si="2">D3*C3</f>
        <v> R$ 3,500.00 </v>
      </c>
      <c r="H3" s="106" t="str">
        <f t="shared" ref="H3:H28" si="3">E3*C3</f>
        <v> R$  2,660.00 </v>
      </c>
      <c r="I3" s="108" t="str">
        <f t="shared" ref="I3:I28" si="4">F3*C3</f>
        <v> R$  840.00 </v>
      </c>
      <c r="J3" s="152" t="str">
        <f t="shared" ref="J3:J42" si="5">C3*0.25</f>
        <v>35</v>
      </c>
      <c r="K3" s="108" t="str">
        <f t="shared" ref="K3:K42" si="6">(J3*7)*0.14</f>
        <v> R$  34.30 </v>
      </c>
      <c r="L3" s="108"/>
    </row>
    <row r="4" ht="15.75" customHeight="1">
      <c r="A4" s="151"/>
      <c r="B4" s="100" t="s">
        <v>67</v>
      </c>
      <c r="C4" s="101">
        <v>140.0</v>
      </c>
      <c r="D4" s="103">
        <v>22.0</v>
      </c>
      <c r="E4" s="103">
        <v>15.0</v>
      </c>
      <c r="F4" s="104" t="str">
        <f t="shared" si="1"/>
        <v> R$  7.00 </v>
      </c>
      <c r="G4" s="102" t="str">
        <f t="shared" si="2"/>
        <v> R$ 3,080.00 </v>
      </c>
      <c r="H4" s="106" t="str">
        <f t="shared" si="3"/>
        <v> R$  2,100.00 </v>
      </c>
      <c r="I4" s="108" t="str">
        <f t="shared" si="4"/>
        <v> R$  980.00 </v>
      </c>
      <c r="J4" s="152" t="str">
        <f t="shared" si="5"/>
        <v>35</v>
      </c>
      <c r="K4" s="108" t="str">
        <f t="shared" si="6"/>
        <v> R$  34.30 </v>
      </c>
      <c r="L4" s="108"/>
    </row>
    <row r="5" ht="15.75" customHeight="1">
      <c r="A5" s="151"/>
      <c r="B5" s="100" t="s">
        <v>68</v>
      </c>
      <c r="C5" s="101">
        <v>800.0</v>
      </c>
      <c r="D5" s="103">
        <v>21.0</v>
      </c>
      <c r="E5" s="103">
        <v>15.0</v>
      </c>
      <c r="F5" s="104" t="str">
        <f t="shared" si="1"/>
        <v> R$  6.00 </v>
      </c>
      <c r="G5" s="102" t="str">
        <f t="shared" si="2"/>
        <v> R$ 16,800.00 </v>
      </c>
      <c r="H5" s="106" t="str">
        <f t="shared" si="3"/>
        <v> R$  12,000.00 </v>
      </c>
      <c r="I5" s="108" t="str">
        <f t="shared" si="4"/>
        <v> R$  4,800.00 </v>
      </c>
      <c r="J5" s="152" t="str">
        <f t="shared" si="5"/>
        <v>200</v>
      </c>
      <c r="K5" s="108" t="str">
        <f t="shared" si="6"/>
        <v> R$  196.00 </v>
      </c>
      <c r="L5" s="108"/>
    </row>
    <row r="6" ht="15.75" customHeight="1">
      <c r="A6" s="151"/>
      <c r="B6" s="100" t="s">
        <v>68</v>
      </c>
      <c r="C6" s="101">
        <v>500.0</v>
      </c>
      <c r="D6" s="103">
        <v>21.0</v>
      </c>
      <c r="E6" s="103">
        <v>15.0</v>
      </c>
      <c r="F6" s="104" t="str">
        <f t="shared" si="1"/>
        <v> R$  6.00 </v>
      </c>
      <c r="G6" s="102" t="str">
        <f t="shared" si="2"/>
        <v> R$ 10,500.00 </v>
      </c>
      <c r="H6" s="106" t="str">
        <f t="shared" si="3"/>
        <v> R$  7,500.00 </v>
      </c>
      <c r="I6" s="108" t="str">
        <f t="shared" si="4"/>
        <v> R$  3,000.00 </v>
      </c>
      <c r="J6" s="152" t="str">
        <f t="shared" si="5"/>
        <v>125</v>
      </c>
      <c r="K6" s="108" t="str">
        <f t="shared" si="6"/>
        <v> R$  122.50 </v>
      </c>
      <c r="L6" s="108"/>
    </row>
    <row r="7" ht="15.75" customHeight="1">
      <c r="A7" s="151"/>
      <c r="B7" s="100" t="s">
        <v>69</v>
      </c>
      <c r="C7" s="101">
        <v>1000.0</v>
      </c>
      <c r="D7" s="112">
        <v>20.0</v>
      </c>
      <c r="E7" s="103">
        <v>15.5</v>
      </c>
      <c r="F7" s="104" t="str">
        <f t="shared" si="1"/>
        <v> R$  4.50 </v>
      </c>
      <c r="G7" s="102" t="str">
        <f t="shared" si="2"/>
        <v> R$ 20,000.00 </v>
      </c>
      <c r="H7" s="106" t="str">
        <f t="shared" si="3"/>
        <v> R$  15,500.00 </v>
      </c>
      <c r="I7" s="108" t="str">
        <f t="shared" si="4"/>
        <v> R$  4,500.00 </v>
      </c>
      <c r="J7" s="152" t="str">
        <f t="shared" si="5"/>
        <v>250</v>
      </c>
      <c r="K7" s="108" t="str">
        <f t="shared" si="6"/>
        <v> R$  245.00 </v>
      </c>
      <c r="L7" s="108"/>
    </row>
    <row r="8" ht="15.75" customHeight="1">
      <c r="A8" s="151"/>
      <c r="B8" s="100" t="s">
        <v>70</v>
      </c>
      <c r="C8" s="101">
        <v>200.0</v>
      </c>
      <c r="D8" s="112">
        <v>21.0</v>
      </c>
      <c r="E8" s="103">
        <v>15.0</v>
      </c>
      <c r="F8" s="104" t="str">
        <f t="shared" si="1"/>
        <v> R$  6.00 </v>
      </c>
      <c r="G8" s="102" t="str">
        <f t="shared" si="2"/>
        <v> R$ 4,200.00 </v>
      </c>
      <c r="H8" s="106" t="str">
        <f t="shared" si="3"/>
        <v> R$  3,000.00 </v>
      </c>
      <c r="I8" s="108" t="str">
        <f t="shared" si="4"/>
        <v> R$  1,200.00 </v>
      </c>
      <c r="J8" s="152" t="str">
        <f t="shared" si="5"/>
        <v>50</v>
      </c>
      <c r="K8" s="108" t="str">
        <f t="shared" si="6"/>
        <v> R$  49.00 </v>
      </c>
      <c r="L8" s="108"/>
    </row>
    <row r="9" ht="15.75" customHeight="1">
      <c r="A9" s="153"/>
      <c r="B9" s="100" t="s">
        <v>68</v>
      </c>
      <c r="C9" s="101">
        <v>400.0</v>
      </c>
      <c r="D9" s="112">
        <v>21.0</v>
      </c>
      <c r="E9" s="103">
        <v>15.0</v>
      </c>
      <c r="F9" s="104" t="str">
        <f t="shared" si="1"/>
        <v> R$  6.00 </v>
      </c>
      <c r="G9" s="102" t="str">
        <f t="shared" si="2"/>
        <v> R$ 8,400.00 </v>
      </c>
      <c r="H9" s="106" t="str">
        <f t="shared" si="3"/>
        <v> R$  6,000.00 </v>
      </c>
      <c r="I9" s="108" t="str">
        <f t="shared" si="4"/>
        <v> R$  2,400.00 </v>
      </c>
      <c r="J9" s="152" t="str">
        <f t="shared" si="5"/>
        <v>100</v>
      </c>
      <c r="K9" s="108" t="str">
        <f t="shared" si="6"/>
        <v> R$  98.00 </v>
      </c>
      <c r="L9" s="108"/>
    </row>
    <row r="10" ht="15.75" customHeight="1">
      <c r="A10" s="153"/>
      <c r="B10" s="100" t="s">
        <v>69</v>
      </c>
      <c r="C10" s="101">
        <v>300.0</v>
      </c>
      <c r="D10" s="112">
        <v>20.0</v>
      </c>
      <c r="E10" s="103">
        <v>15.5</v>
      </c>
      <c r="F10" s="104" t="str">
        <f t="shared" si="1"/>
        <v> R$  4.50 </v>
      </c>
      <c r="G10" s="102" t="str">
        <f t="shared" si="2"/>
        <v> R$ 6,000.00 </v>
      </c>
      <c r="H10" s="106" t="str">
        <f t="shared" si="3"/>
        <v> R$  4,650.00 </v>
      </c>
      <c r="I10" s="108" t="str">
        <f t="shared" si="4"/>
        <v> R$  1,350.00 </v>
      </c>
      <c r="J10" s="152" t="str">
        <f t="shared" si="5"/>
        <v>75</v>
      </c>
      <c r="K10" s="108" t="str">
        <f t="shared" si="6"/>
        <v> R$  73.50 </v>
      </c>
      <c r="L10" s="108"/>
    </row>
    <row r="11" ht="15.75" customHeight="1">
      <c r="A11" s="154"/>
      <c r="B11" s="100" t="s">
        <v>71</v>
      </c>
      <c r="C11" s="101">
        <v>200.0</v>
      </c>
      <c r="D11" s="112">
        <v>26.0</v>
      </c>
      <c r="E11" s="103">
        <v>20.0</v>
      </c>
      <c r="F11" s="104" t="str">
        <f t="shared" si="1"/>
        <v> R$  6.00 </v>
      </c>
      <c r="G11" s="103" t="str">
        <f t="shared" si="2"/>
        <v> R$ 5,200.00 </v>
      </c>
      <c r="H11" s="106" t="str">
        <f t="shared" si="3"/>
        <v> R$  4,000.00 </v>
      </c>
      <c r="I11" s="108" t="str">
        <f t="shared" si="4"/>
        <v> R$  1,200.00 </v>
      </c>
      <c r="J11" s="152" t="str">
        <f t="shared" si="5"/>
        <v>50</v>
      </c>
      <c r="K11" s="108" t="str">
        <f t="shared" si="6"/>
        <v> R$  49.00 </v>
      </c>
      <c r="L11" s="108"/>
    </row>
    <row r="12" ht="15.75" customHeight="1">
      <c r="A12" s="154"/>
      <c r="B12" s="100" t="s">
        <v>67</v>
      </c>
      <c r="C12" s="101">
        <v>200.0</v>
      </c>
      <c r="D12" s="112">
        <v>21.0</v>
      </c>
      <c r="E12" s="103">
        <v>15.0</v>
      </c>
      <c r="F12" s="104" t="str">
        <f t="shared" si="1"/>
        <v> R$  6.00 </v>
      </c>
      <c r="G12" s="103" t="str">
        <f t="shared" si="2"/>
        <v> R$ 4,200.00 </v>
      </c>
      <c r="H12" s="108" t="str">
        <f t="shared" si="3"/>
        <v> R$  3,000.00 </v>
      </c>
      <c r="I12" s="108" t="str">
        <f t="shared" si="4"/>
        <v> R$  1,200.00 </v>
      </c>
      <c r="J12" s="152" t="str">
        <f t="shared" si="5"/>
        <v>50</v>
      </c>
      <c r="K12" s="108" t="str">
        <f t="shared" si="6"/>
        <v> R$  49.00 </v>
      </c>
      <c r="L12" s="108"/>
    </row>
    <row r="13" ht="15.75" customHeight="1">
      <c r="A13" s="154"/>
      <c r="B13" s="100" t="s">
        <v>68</v>
      </c>
      <c r="C13" s="101">
        <v>400.0</v>
      </c>
      <c r="D13" s="112">
        <v>21.0</v>
      </c>
      <c r="E13" s="103">
        <v>15.5</v>
      </c>
      <c r="F13" s="104" t="str">
        <f t="shared" si="1"/>
        <v> R$  5.50 </v>
      </c>
      <c r="G13" s="103" t="str">
        <f t="shared" si="2"/>
        <v> R$ 8,400.00 </v>
      </c>
      <c r="H13" s="108" t="str">
        <f t="shared" si="3"/>
        <v> R$  6,200.00 </v>
      </c>
      <c r="I13" s="108" t="str">
        <f t="shared" si="4"/>
        <v> R$  2,200.00 </v>
      </c>
      <c r="J13" s="152" t="str">
        <f t="shared" si="5"/>
        <v>100</v>
      </c>
      <c r="K13" s="108" t="str">
        <f t="shared" si="6"/>
        <v> R$  98.00 </v>
      </c>
      <c r="L13" s="108"/>
    </row>
    <row r="14" ht="15.75" customHeight="1">
      <c r="A14" s="154"/>
      <c r="B14" s="100" t="s">
        <v>69</v>
      </c>
      <c r="C14" s="101">
        <v>400.0</v>
      </c>
      <c r="D14" s="112">
        <v>20.0</v>
      </c>
      <c r="E14" s="103">
        <v>15.5</v>
      </c>
      <c r="F14" s="104" t="str">
        <f t="shared" si="1"/>
        <v> R$  4.50 </v>
      </c>
      <c r="G14" s="103" t="str">
        <f t="shared" si="2"/>
        <v> R$ 8,000.00 </v>
      </c>
      <c r="H14" s="108" t="str">
        <f t="shared" si="3"/>
        <v> R$  6,200.00 </v>
      </c>
      <c r="I14" s="108" t="str">
        <f t="shared" si="4"/>
        <v> R$  1,800.00 </v>
      </c>
      <c r="J14" s="152" t="str">
        <f t="shared" si="5"/>
        <v>100</v>
      </c>
      <c r="K14" s="108" t="str">
        <f t="shared" si="6"/>
        <v> R$  98.00 </v>
      </c>
      <c r="L14" s="108"/>
    </row>
    <row r="15" ht="15.75" customHeight="1">
      <c r="A15" s="155"/>
      <c r="B15" s="100" t="s">
        <v>71</v>
      </c>
      <c r="C15" s="101">
        <v>300.0</v>
      </c>
      <c r="D15" s="112">
        <v>26.0</v>
      </c>
      <c r="E15" s="103">
        <v>20.0</v>
      </c>
      <c r="F15" s="104" t="str">
        <f t="shared" si="1"/>
        <v> R$  6.00 </v>
      </c>
      <c r="G15" s="103" t="str">
        <f t="shared" si="2"/>
        <v> R$ 7,800.00 </v>
      </c>
      <c r="H15" s="108" t="str">
        <f t="shared" si="3"/>
        <v> R$  6,000.00 </v>
      </c>
      <c r="I15" s="108" t="str">
        <f t="shared" si="4"/>
        <v> R$  1,800.00 </v>
      </c>
      <c r="J15" s="152" t="str">
        <f t="shared" si="5"/>
        <v>75</v>
      </c>
      <c r="K15" s="108" t="str">
        <f t="shared" si="6"/>
        <v> R$  73.50 </v>
      </c>
      <c r="L15" s="108"/>
    </row>
    <row r="16" ht="15.75" customHeight="1">
      <c r="A16" s="155"/>
      <c r="B16" s="100" t="s">
        <v>68</v>
      </c>
      <c r="C16" s="101">
        <v>200.0</v>
      </c>
      <c r="D16" s="112">
        <v>21.0</v>
      </c>
      <c r="E16" s="103">
        <v>15.0</v>
      </c>
      <c r="F16" s="104" t="str">
        <f t="shared" si="1"/>
        <v> R$  6.00 </v>
      </c>
      <c r="G16" s="103" t="str">
        <f t="shared" si="2"/>
        <v> R$ 4,200.00 </v>
      </c>
      <c r="H16" s="108" t="str">
        <f t="shared" si="3"/>
        <v> R$  3,000.00 </v>
      </c>
      <c r="I16" s="108" t="str">
        <f t="shared" si="4"/>
        <v> R$  1,200.00 </v>
      </c>
      <c r="J16" s="152" t="str">
        <f t="shared" si="5"/>
        <v>50</v>
      </c>
      <c r="K16" s="108" t="str">
        <f t="shared" si="6"/>
        <v> R$  49.00 </v>
      </c>
      <c r="L16" s="108"/>
    </row>
    <row r="17" ht="15.75" customHeight="1">
      <c r="A17" s="153"/>
      <c r="B17" s="100" t="s">
        <v>72</v>
      </c>
      <c r="C17" s="101">
        <v>100.0</v>
      </c>
      <c r="D17" s="112">
        <v>26.0</v>
      </c>
      <c r="E17" s="103">
        <v>20.0</v>
      </c>
      <c r="F17" s="104" t="str">
        <f t="shared" si="1"/>
        <v> R$  6.00 </v>
      </c>
      <c r="G17" s="103" t="str">
        <f t="shared" si="2"/>
        <v> R$ 2,600.00 </v>
      </c>
      <c r="H17" s="108" t="str">
        <f t="shared" si="3"/>
        <v> R$  2,000.00 </v>
      </c>
      <c r="I17" s="108" t="str">
        <f t="shared" si="4"/>
        <v> R$  600.00 </v>
      </c>
      <c r="J17" s="152" t="str">
        <f t="shared" si="5"/>
        <v>25</v>
      </c>
      <c r="K17" s="108" t="str">
        <f t="shared" si="6"/>
        <v> R$  24.50 </v>
      </c>
      <c r="L17" s="108"/>
    </row>
    <row r="18" ht="15.75" customHeight="1">
      <c r="A18" s="153"/>
      <c r="B18" s="100" t="s">
        <v>69</v>
      </c>
      <c r="C18" s="101">
        <v>200.0</v>
      </c>
      <c r="D18" s="112">
        <v>20.0</v>
      </c>
      <c r="E18" s="103">
        <v>15.5</v>
      </c>
      <c r="F18" s="104" t="str">
        <f t="shared" si="1"/>
        <v> R$  4.50 </v>
      </c>
      <c r="G18" s="103" t="str">
        <f t="shared" si="2"/>
        <v> R$ 4,000.00 </v>
      </c>
      <c r="H18" s="108" t="str">
        <f t="shared" si="3"/>
        <v> R$  3,100.00 </v>
      </c>
      <c r="I18" s="108" t="str">
        <f t="shared" si="4"/>
        <v> R$  900.00 </v>
      </c>
      <c r="J18" s="152" t="str">
        <f t="shared" si="5"/>
        <v>50</v>
      </c>
      <c r="K18" s="108" t="str">
        <f t="shared" si="6"/>
        <v> R$  49.00 </v>
      </c>
      <c r="L18" s="108"/>
    </row>
    <row r="19" ht="15.75" customHeight="1">
      <c r="A19" s="153"/>
      <c r="B19" s="100" t="s">
        <v>68</v>
      </c>
      <c r="C19" s="101">
        <v>300.0</v>
      </c>
      <c r="D19" s="112">
        <v>21.0</v>
      </c>
      <c r="E19" s="112">
        <v>15.0</v>
      </c>
      <c r="F19" s="104" t="str">
        <f t="shared" si="1"/>
        <v> R$  6.00 </v>
      </c>
      <c r="G19" s="103" t="str">
        <f t="shared" si="2"/>
        <v> R$ 6,300.00 </v>
      </c>
      <c r="H19" s="108" t="str">
        <f t="shared" si="3"/>
        <v> R$  4,500.00 </v>
      </c>
      <c r="I19" s="108" t="str">
        <f t="shared" si="4"/>
        <v> R$  1,800.00 </v>
      </c>
      <c r="J19" s="152" t="str">
        <f t="shared" si="5"/>
        <v>75</v>
      </c>
      <c r="K19" s="108" t="str">
        <f t="shared" si="6"/>
        <v> R$  73.50 </v>
      </c>
      <c r="L19" s="108"/>
    </row>
    <row r="20" ht="15.75" customHeight="1">
      <c r="A20" s="153"/>
      <c r="B20" s="100" t="s">
        <v>71</v>
      </c>
      <c r="C20" s="101">
        <v>200.0</v>
      </c>
      <c r="D20" s="112">
        <v>26.0</v>
      </c>
      <c r="E20" s="103">
        <v>20.0</v>
      </c>
      <c r="F20" s="104" t="str">
        <f t="shared" si="1"/>
        <v> R$  6.00 </v>
      </c>
      <c r="G20" s="103" t="str">
        <f t="shared" si="2"/>
        <v> R$ 5,200.00 </v>
      </c>
      <c r="H20" s="108" t="str">
        <f t="shared" si="3"/>
        <v> R$  4,000.00 </v>
      </c>
      <c r="I20" s="108" t="str">
        <f t="shared" si="4"/>
        <v> R$  1,200.00 </v>
      </c>
      <c r="J20" s="152" t="str">
        <f t="shared" si="5"/>
        <v>50</v>
      </c>
      <c r="K20" s="108" t="str">
        <f t="shared" si="6"/>
        <v> R$  49.00 </v>
      </c>
      <c r="L20" s="108"/>
    </row>
    <row r="21" ht="15.75" customHeight="1">
      <c r="A21" s="153"/>
      <c r="B21" s="100" t="s">
        <v>69</v>
      </c>
      <c r="C21" s="101">
        <v>400.0</v>
      </c>
      <c r="D21" s="112">
        <v>20.0</v>
      </c>
      <c r="E21" s="103">
        <v>15.5</v>
      </c>
      <c r="F21" s="104" t="str">
        <f t="shared" si="1"/>
        <v> R$  4.50 </v>
      </c>
      <c r="G21" s="103" t="str">
        <f t="shared" si="2"/>
        <v> R$ 8,000.00 </v>
      </c>
      <c r="H21" s="108" t="str">
        <f t="shared" si="3"/>
        <v> R$  6,200.00 </v>
      </c>
      <c r="I21" s="108" t="str">
        <f t="shared" si="4"/>
        <v> R$  1,800.00 </v>
      </c>
      <c r="J21" s="152" t="str">
        <f t="shared" si="5"/>
        <v>100</v>
      </c>
      <c r="K21" s="108" t="str">
        <f t="shared" si="6"/>
        <v> R$  98.00 </v>
      </c>
      <c r="L21" s="108"/>
    </row>
    <row r="22" ht="15.75" customHeight="1">
      <c r="A22" s="156"/>
      <c r="B22" s="100" t="s">
        <v>68</v>
      </c>
      <c r="C22" s="101">
        <v>300.0</v>
      </c>
      <c r="D22" s="112">
        <v>21.0</v>
      </c>
      <c r="E22" s="103">
        <v>15.0</v>
      </c>
      <c r="F22" s="104" t="str">
        <f t="shared" si="1"/>
        <v> R$  6.00 </v>
      </c>
      <c r="G22" s="103" t="str">
        <f t="shared" si="2"/>
        <v> R$ 6,300.00 </v>
      </c>
      <c r="H22" s="108" t="str">
        <f t="shared" si="3"/>
        <v> R$  4,500.00 </v>
      </c>
      <c r="I22" s="108" t="str">
        <f t="shared" si="4"/>
        <v> R$  1,800.00 </v>
      </c>
      <c r="J22" s="152" t="str">
        <f t="shared" si="5"/>
        <v>75</v>
      </c>
      <c r="K22" s="108" t="str">
        <f t="shared" si="6"/>
        <v> R$  73.50 </v>
      </c>
      <c r="L22" s="108"/>
    </row>
    <row r="23" ht="15.75" customHeight="1">
      <c r="A23" s="153"/>
      <c r="B23" s="100" t="s">
        <v>71</v>
      </c>
      <c r="C23" s="101">
        <v>200.0</v>
      </c>
      <c r="D23" s="112">
        <v>26.0</v>
      </c>
      <c r="E23" s="103">
        <v>20.0</v>
      </c>
      <c r="F23" s="104" t="str">
        <f t="shared" si="1"/>
        <v> R$  6.00 </v>
      </c>
      <c r="G23" s="103" t="str">
        <f t="shared" si="2"/>
        <v> R$ 5,200.00 </v>
      </c>
      <c r="H23" s="108" t="str">
        <f t="shared" si="3"/>
        <v> R$  4,000.00 </v>
      </c>
      <c r="I23" s="108" t="str">
        <f t="shared" si="4"/>
        <v> R$  1,200.00 </v>
      </c>
      <c r="J23" s="152" t="str">
        <f t="shared" si="5"/>
        <v>50</v>
      </c>
      <c r="K23" s="108" t="str">
        <f t="shared" si="6"/>
        <v> R$  49.00 </v>
      </c>
      <c r="L23" s="108"/>
    </row>
    <row r="24" ht="15.75" customHeight="1">
      <c r="A24" s="153"/>
      <c r="B24" s="100" t="s">
        <v>69</v>
      </c>
      <c r="C24" s="101">
        <v>300.0</v>
      </c>
      <c r="D24" s="112">
        <v>20.0</v>
      </c>
      <c r="E24" s="103">
        <v>15.5</v>
      </c>
      <c r="F24" s="104" t="str">
        <f t="shared" si="1"/>
        <v> R$  4.50 </v>
      </c>
      <c r="G24" s="103" t="str">
        <f t="shared" si="2"/>
        <v> R$ 6,000.00 </v>
      </c>
      <c r="H24" s="108" t="str">
        <f t="shared" si="3"/>
        <v> R$  4,650.00 </v>
      </c>
      <c r="I24" s="108" t="str">
        <f t="shared" si="4"/>
        <v> R$  1,350.00 </v>
      </c>
      <c r="J24" s="152" t="str">
        <f t="shared" si="5"/>
        <v>75</v>
      </c>
      <c r="K24" s="108" t="str">
        <f t="shared" si="6"/>
        <v> R$  73.50 </v>
      </c>
      <c r="L24" s="108"/>
    </row>
    <row r="25" ht="15.75" customHeight="1">
      <c r="A25" s="153"/>
      <c r="B25" s="100" t="s">
        <v>67</v>
      </c>
      <c r="C25" s="101">
        <v>200.0</v>
      </c>
      <c r="D25" s="112">
        <v>21.0</v>
      </c>
      <c r="E25" s="103">
        <v>15.0</v>
      </c>
      <c r="F25" s="104" t="str">
        <f t="shared" si="1"/>
        <v> R$  6.00 </v>
      </c>
      <c r="G25" s="103" t="str">
        <f t="shared" si="2"/>
        <v> R$ 4,200.00 </v>
      </c>
      <c r="H25" s="108" t="str">
        <f t="shared" si="3"/>
        <v> R$  3,000.00 </v>
      </c>
      <c r="I25" s="108" t="str">
        <f t="shared" si="4"/>
        <v> R$  1,200.00 </v>
      </c>
      <c r="J25" s="152" t="str">
        <f t="shared" si="5"/>
        <v>50</v>
      </c>
      <c r="K25" s="108" t="str">
        <f t="shared" si="6"/>
        <v> R$  49.00 </v>
      </c>
      <c r="L25" s="108"/>
    </row>
    <row r="26" ht="15.75" customHeight="1">
      <c r="A26" s="153"/>
      <c r="B26" s="100" t="s">
        <v>68</v>
      </c>
      <c r="C26" s="101">
        <v>400.0</v>
      </c>
      <c r="D26" s="112">
        <v>21.0</v>
      </c>
      <c r="E26" s="103">
        <v>15.0</v>
      </c>
      <c r="F26" s="104" t="str">
        <f t="shared" si="1"/>
        <v> R$  6.00 </v>
      </c>
      <c r="G26" s="103" t="str">
        <f t="shared" si="2"/>
        <v> R$ 8,400.00 </v>
      </c>
      <c r="H26" s="108" t="str">
        <f t="shared" si="3"/>
        <v> R$  6,000.00 </v>
      </c>
      <c r="I26" s="108" t="str">
        <f t="shared" si="4"/>
        <v> R$  2,400.00 </v>
      </c>
      <c r="J26" s="152" t="str">
        <f t="shared" si="5"/>
        <v>100</v>
      </c>
      <c r="K26" s="108" t="str">
        <f t="shared" si="6"/>
        <v> R$  98.00 </v>
      </c>
      <c r="L26" s="108"/>
    </row>
    <row r="27" ht="15.75" customHeight="1">
      <c r="A27" s="153"/>
      <c r="B27" s="100" t="s">
        <v>71</v>
      </c>
      <c r="C27" s="101">
        <v>200.0</v>
      </c>
      <c r="D27" s="112">
        <v>26.0</v>
      </c>
      <c r="E27" s="103">
        <v>20.0</v>
      </c>
      <c r="F27" s="104" t="str">
        <f t="shared" si="1"/>
        <v> R$  6.00 </v>
      </c>
      <c r="G27" s="103" t="str">
        <f t="shared" si="2"/>
        <v> R$ 5,200.00 </v>
      </c>
      <c r="H27" s="108" t="str">
        <f t="shared" si="3"/>
        <v> R$  4,000.00 </v>
      </c>
      <c r="I27" s="108" t="str">
        <f t="shared" si="4"/>
        <v> R$  1,200.00 </v>
      </c>
      <c r="J27" s="152" t="str">
        <f t="shared" si="5"/>
        <v>50</v>
      </c>
      <c r="K27" s="108" t="str">
        <f t="shared" si="6"/>
        <v> R$  49.00 </v>
      </c>
      <c r="L27" s="108"/>
    </row>
    <row r="28" ht="15.75" customHeight="1">
      <c r="A28" s="153"/>
      <c r="B28" s="100" t="s">
        <v>69</v>
      </c>
      <c r="C28" s="101">
        <v>400.0</v>
      </c>
      <c r="D28" s="112">
        <v>20.0</v>
      </c>
      <c r="E28" s="103">
        <v>15.5</v>
      </c>
      <c r="F28" s="104" t="str">
        <f t="shared" si="1"/>
        <v> R$  4.50 </v>
      </c>
      <c r="G28" s="103" t="str">
        <f t="shared" si="2"/>
        <v> R$ 8,000.00 </v>
      </c>
      <c r="H28" s="108" t="str">
        <f t="shared" si="3"/>
        <v> R$  6,200.00 </v>
      </c>
      <c r="I28" s="108" t="str">
        <f t="shared" si="4"/>
        <v> R$  1,800.00 </v>
      </c>
      <c r="J28" s="152" t="str">
        <f t="shared" si="5"/>
        <v>100</v>
      </c>
      <c r="K28" s="108" t="str">
        <f t="shared" si="6"/>
        <v> R$  98.00 </v>
      </c>
      <c r="L28" s="108"/>
    </row>
    <row r="29" ht="15.75" customHeight="1">
      <c r="A29" s="153"/>
      <c r="B29" s="100" t="s">
        <v>73</v>
      </c>
      <c r="C29" s="101">
        <v>40.0</v>
      </c>
      <c r="D29" s="112">
        <v>39.5</v>
      </c>
      <c r="E29" s="103"/>
      <c r="F29" s="104"/>
      <c r="G29" s="103" t="str">
        <f t="shared" si="2"/>
        <v> R$ 1,580.00 </v>
      </c>
      <c r="H29" s="108"/>
      <c r="I29" s="108"/>
      <c r="J29" s="152" t="str">
        <f t="shared" si="5"/>
        <v>10</v>
      </c>
      <c r="K29" s="108" t="str">
        <f t="shared" si="6"/>
        <v> R$  9.80 </v>
      </c>
      <c r="L29" s="108"/>
    </row>
    <row r="30" ht="15.75" customHeight="1">
      <c r="A30" s="153"/>
      <c r="B30" s="100" t="s">
        <v>74</v>
      </c>
      <c r="C30" s="101">
        <v>20.0</v>
      </c>
      <c r="D30" s="112">
        <v>25.0</v>
      </c>
      <c r="E30" s="103">
        <v>19.0</v>
      </c>
      <c r="F30" s="104"/>
      <c r="G30" s="103" t="str">
        <f t="shared" si="2"/>
        <v> R$ 500.00 </v>
      </c>
      <c r="H30" s="108"/>
      <c r="I30" s="108"/>
      <c r="J30" s="152" t="str">
        <f t="shared" si="5"/>
        <v>5</v>
      </c>
      <c r="K30" s="108" t="str">
        <f t="shared" si="6"/>
        <v> R$  4.90 </v>
      </c>
      <c r="L30" s="108"/>
    </row>
    <row r="31" ht="15.75" customHeight="1">
      <c r="A31" s="153"/>
      <c r="B31" s="100" t="s">
        <v>66</v>
      </c>
      <c r="C31" s="101">
        <v>20.0</v>
      </c>
      <c r="D31" s="112">
        <v>33.0</v>
      </c>
      <c r="E31" s="103"/>
      <c r="F31" s="104"/>
      <c r="G31" s="103" t="str">
        <f t="shared" si="2"/>
        <v> R$ 660.00 </v>
      </c>
      <c r="H31" s="108"/>
      <c r="I31" s="108"/>
      <c r="J31" s="152" t="str">
        <f t="shared" si="5"/>
        <v>5</v>
      </c>
      <c r="K31" s="108" t="str">
        <f t="shared" si="6"/>
        <v> R$  4.90 </v>
      </c>
      <c r="L31" s="108"/>
    </row>
    <row r="32" ht="15.75" customHeight="1">
      <c r="A32" s="153"/>
      <c r="B32" s="100" t="s">
        <v>71</v>
      </c>
      <c r="C32" s="101">
        <v>70.0</v>
      </c>
      <c r="D32" s="112">
        <v>24.0</v>
      </c>
      <c r="E32" s="103">
        <v>20.0</v>
      </c>
      <c r="F32" s="104"/>
      <c r="G32" s="103" t="str">
        <f t="shared" si="2"/>
        <v> R$ 1,680.00 </v>
      </c>
      <c r="H32" s="108"/>
      <c r="I32" s="108"/>
      <c r="J32" s="152" t="str">
        <f t="shared" si="5"/>
        <v>17.5</v>
      </c>
      <c r="K32" s="108" t="str">
        <f t="shared" si="6"/>
        <v> R$  17.15 </v>
      </c>
      <c r="L32" s="108"/>
    </row>
    <row r="33" ht="15.75" customHeight="1">
      <c r="A33" s="157"/>
      <c r="B33" s="100" t="s">
        <v>68</v>
      </c>
      <c r="C33" s="101">
        <v>300.0</v>
      </c>
      <c r="D33" s="112"/>
      <c r="E33" s="103">
        <v>15.0</v>
      </c>
      <c r="F33" s="104"/>
      <c r="G33" s="103"/>
      <c r="H33" s="108"/>
      <c r="I33" s="108"/>
      <c r="J33" s="152" t="str">
        <f t="shared" si="5"/>
        <v>75</v>
      </c>
      <c r="K33" s="108" t="str">
        <f t="shared" si="6"/>
        <v> R$  73.50 </v>
      </c>
      <c r="L33" s="108"/>
    </row>
    <row r="34" ht="15.75" customHeight="1">
      <c r="A34" s="157"/>
      <c r="B34" s="100" t="s">
        <v>75</v>
      </c>
      <c r="C34" s="101">
        <v>1000.0</v>
      </c>
      <c r="D34" s="112"/>
      <c r="E34" s="103">
        <v>15.5</v>
      </c>
      <c r="F34" s="104"/>
      <c r="G34" s="103"/>
      <c r="H34" s="108"/>
      <c r="I34" s="108"/>
      <c r="J34" s="152" t="str">
        <f t="shared" si="5"/>
        <v>250</v>
      </c>
      <c r="K34" s="108" t="str">
        <f t="shared" si="6"/>
        <v> R$  245.00 </v>
      </c>
      <c r="L34" s="108"/>
    </row>
    <row r="35" ht="15.75" customHeight="1">
      <c r="A35" s="157"/>
      <c r="B35" s="100" t="s">
        <v>76</v>
      </c>
      <c r="C35" s="101">
        <v>1200.0</v>
      </c>
      <c r="D35" s="112"/>
      <c r="E35" s="103">
        <v>16.0</v>
      </c>
      <c r="F35" s="104"/>
      <c r="G35" s="103"/>
      <c r="H35" s="108"/>
      <c r="I35" s="108"/>
      <c r="J35" s="152" t="str">
        <f t="shared" si="5"/>
        <v>300</v>
      </c>
      <c r="K35" s="108" t="str">
        <f t="shared" si="6"/>
        <v> R$  294.00 </v>
      </c>
      <c r="L35" s="108"/>
    </row>
    <row r="36" ht="15.75" customHeight="1">
      <c r="A36" s="157"/>
      <c r="B36" s="100" t="s">
        <v>76</v>
      </c>
      <c r="C36" s="101">
        <v>900.0</v>
      </c>
      <c r="D36" s="112"/>
      <c r="E36" s="103">
        <v>16.0</v>
      </c>
      <c r="F36" s="104"/>
      <c r="G36" s="103"/>
      <c r="H36" s="108"/>
      <c r="I36" s="108"/>
      <c r="J36" s="152" t="str">
        <f t="shared" si="5"/>
        <v>225</v>
      </c>
      <c r="K36" s="108" t="str">
        <f t="shared" si="6"/>
        <v> R$  220.50 </v>
      </c>
      <c r="L36" s="108"/>
    </row>
    <row r="37" ht="15.75" customHeight="1">
      <c r="A37" s="157"/>
      <c r="B37" s="100" t="s">
        <v>76</v>
      </c>
      <c r="C37" s="101">
        <v>600.0</v>
      </c>
      <c r="D37" s="112"/>
      <c r="E37" s="103">
        <v>16.0</v>
      </c>
      <c r="F37" s="104"/>
      <c r="G37" s="103"/>
      <c r="H37" s="108"/>
      <c r="I37" s="108"/>
      <c r="J37" s="152" t="str">
        <f t="shared" si="5"/>
        <v>150</v>
      </c>
      <c r="K37" s="108" t="str">
        <f t="shared" si="6"/>
        <v> R$  147.00 </v>
      </c>
      <c r="L37" s="108"/>
    </row>
    <row r="38" ht="15.75" customHeight="1">
      <c r="A38" s="99"/>
      <c r="B38" s="100" t="s">
        <v>76</v>
      </c>
      <c r="C38" s="101">
        <v>1200.0</v>
      </c>
      <c r="D38" s="112"/>
      <c r="E38" s="103">
        <v>16.0</v>
      </c>
      <c r="F38" s="104"/>
      <c r="G38" s="103"/>
      <c r="H38" s="108"/>
      <c r="I38" s="108"/>
      <c r="J38" s="152" t="str">
        <f t="shared" si="5"/>
        <v>300</v>
      </c>
      <c r="K38" s="108" t="str">
        <f t="shared" si="6"/>
        <v> R$  294.00 </v>
      </c>
      <c r="L38" s="108"/>
    </row>
    <row r="39" ht="15.75" customHeight="1">
      <c r="A39" s="99"/>
      <c r="B39" s="100" t="s">
        <v>77</v>
      </c>
      <c r="C39" s="101">
        <v>500.0</v>
      </c>
      <c r="D39" s="112"/>
      <c r="E39" s="103">
        <v>24.0</v>
      </c>
      <c r="F39" s="104"/>
      <c r="G39" s="103"/>
      <c r="H39" s="108"/>
      <c r="I39" s="108"/>
      <c r="J39" s="152" t="str">
        <f t="shared" si="5"/>
        <v>125</v>
      </c>
      <c r="K39" s="108" t="str">
        <f t="shared" si="6"/>
        <v> R$  122.50 </v>
      </c>
      <c r="L39" s="108"/>
    </row>
    <row r="40" ht="15.75" customHeight="1">
      <c r="A40" s="99"/>
      <c r="B40" s="100" t="s">
        <v>78</v>
      </c>
      <c r="C40" s="101">
        <v>500.0</v>
      </c>
      <c r="D40" s="112"/>
      <c r="E40" s="103">
        <v>19.0</v>
      </c>
      <c r="F40" s="104"/>
      <c r="G40" s="103"/>
      <c r="H40" s="108"/>
      <c r="I40" s="108"/>
      <c r="J40" s="152" t="str">
        <f t="shared" si="5"/>
        <v>125</v>
      </c>
      <c r="K40" s="108" t="str">
        <f t="shared" si="6"/>
        <v> R$  122.50 </v>
      </c>
      <c r="L40" s="108"/>
    </row>
    <row r="41" ht="15.75" customHeight="1">
      <c r="A41" s="99"/>
      <c r="B41" s="100" t="s">
        <v>67</v>
      </c>
      <c r="C41" s="101">
        <v>500.0</v>
      </c>
      <c r="D41" s="112"/>
      <c r="E41" s="103">
        <v>15.0</v>
      </c>
      <c r="F41" s="104"/>
      <c r="G41" s="103"/>
      <c r="H41" s="108"/>
      <c r="I41" s="108"/>
      <c r="J41" s="152" t="str">
        <f t="shared" si="5"/>
        <v>125</v>
      </c>
      <c r="K41" s="108" t="str">
        <f t="shared" si="6"/>
        <v> R$  122.50 </v>
      </c>
      <c r="L41" s="108"/>
    </row>
    <row r="42" ht="15.75" customHeight="1">
      <c r="A42" s="99"/>
      <c r="B42" s="100" t="s">
        <v>77</v>
      </c>
      <c r="C42" s="101">
        <v>500.0</v>
      </c>
      <c r="D42" s="112"/>
      <c r="E42" s="103">
        <v>24.0</v>
      </c>
      <c r="F42" s="104"/>
      <c r="G42" s="103"/>
      <c r="H42" s="108"/>
      <c r="I42" s="108"/>
      <c r="J42" s="152" t="str">
        <f t="shared" si="5"/>
        <v>125</v>
      </c>
      <c r="K42" s="108" t="str">
        <f t="shared" si="6"/>
        <v> R$  122.50 </v>
      </c>
      <c r="L42" s="108"/>
    </row>
    <row r="43" ht="15.75" customHeight="1">
      <c r="A43" s="99"/>
      <c r="B43" s="100" t="s">
        <v>78</v>
      </c>
      <c r="C43" s="101">
        <v>500.0</v>
      </c>
      <c r="D43" s="112"/>
      <c r="E43" s="103">
        <v>19.0</v>
      </c>
      <c r="F43" s="104" t="str">
        <f t="shared" ref="F43:F46" si="7">D43-E43</f>
        <v>-R$  19.00 </v>
      </c>
      <c r="G43" s="103" t="str">
        <f t="shared" ref="G43:G44" si="8">D43*C43</f>
        <v> R$ -   </v>
      </c>
      <c r="H43" s="108" t="str">
        <f t="shared" ref="H43:H46" si="9">E43*C43</f>
        <v> R$  9,500.00 </v>
      </c>
      <c r="I43" s="108" t="str">
        <f t="shared" ref="I43:I46" si="10">F43*C43</f>
        <v>-R$  9,500.00 </v>
      </c>
      <c r="J43" s="103" t="str">
        <f t="shared" ref="J43:J44" si="11">G43*SUM(L43)</f>
        <v> R$ -   </v>
      </c>
      <c r="K43" s="108"/>
      <c r="L43" s="108"/>
    </row>
    <row r="44" ht="15.75" customHeight="1">
      <c r="A44" s="99"/>
      <c r="B44" s="100" t="s">
        <v>67</v>
      </c>
      <c r="C44" s="101">
        <v>500.0</v>
      </c>
      <c r="D44" s="112"/>
      <c r="E44" s="112">
        <v>15.0</v>
      </c>
      <c r="F44" s="128" t="str">
        <f t="shared" si="7"/>
        <v>-R$  15.00 </v>
      </c>
      <c r="G44" s="103" t="str">
        <f t="shared" si="8"/>
        <v> R$ -   </v>
      </c>
      <c r="H44" s="108" t="str">
        <f t="shared" si="9"/>
        <v> R$  7,500.00 </v>
      </c>
      <c r="I44" s="108" t="str">
        <f t="shared" si="10"/>
        <v>-R$  7,500.00 </v>
      </c>
      <c r="J44" s="103" t="str">
        <f t="shared" si="11"/>
        <v> R$ -   </v>
      </c>
      <c r="K44" s="108"/>
      <c r="L44" s="108"/>
    </row>
    <row r="45" ht="15.75" customHeight="1">
      <c r="A45" s="99"/>
      <c r="B45" s="100" t="s">
        <v>70</v>
      </c>
      <c r="C45" s="101">
        <v>200.0</v>
      </c>
      <c r="D45" s="112"/>
      <c r="E45" s="112">
        <v>15.0</v>
      </c>
      <c r="F45" s="128" t="str">
        <f t="shared" si="7"/>
        <v>-R$  15.00 </v>
      </c>
      <c r="G45" s="103"/>
      <c r="H45" s="108" t="str">
        <f t="shared" si="9"/>
        <v> R$  3,000.00 </v>
      </c>
      <c r="I45" s="108" t="str">
        <f t="shared" si="10"/>
        <v>-R$  3,000.00 </v>
      </c>
      <c r="J45" s="103"/>
      <c r="K45" s="108"/>
      <c r="L45" s="108"/>
    </row>
    <row r="46" ht="15.75" customHeight="1">
      <c r="A46" s="99"/>
      <c r="B46" s="100" t="s">
        <v>71</v>
      </c>
      <c r="C46" s="101">
        <v>300.0</v>
      </c>
      <c r="D46" s="112"/>
      <c r="E46" s="112">
        <v>20.0</v>
      </c>
      <c r="F46" s="128" t="str">
        <f t="shared" si="7"/>
        <v>-R$  20.00 </v>
      </c>
      <c r="G46" s="103"/>
      <c r="H46" s="108" t="str">
        <f t="shared" si="9"/>
        <v> R$  6,000.00 </v>
      </c>
      <c r="I46" s="108" t="str">
        <f t="shared" si="10"/>
        <v>-R$  6,000.00 </v>
      </c>
      <c r="J46" s="103"/>
      <c r="K46" s="108"/>
      <c r="L46" s="108"/>
    </row>
    <row r="47" ht="15.75" customHeight="1">
      <c r="A47" s="99"/>
      <c r="B47" s="100" t="s">
        <v>79</v>
      </c>
      <c r="C47" s="101">
        <v>100.0</v>
      </c>
      <c r="D47" s="112"/>
      <c r="E47" s="112">
        <v>15.0</v>
      </c>
      <c r="F47" s="128"/>
      <c r="G47" s="103"/>
      <c r="H47" s="108"/>
      <c r="I47" s="108"/>
      <c r="J47" s="103"/>
      <c r="K47" s="108"/>
      <c r="L47" s="108"/>
    </row>
    <row r="48" ht="15.75" customHeight="1">
      <c r="A48" s="99"/>
      <c r="B48" s="100" t="s">
        <v>69</v>
      </c>
      <c r="C48" s="101">
        <v>400.0</v>
      </c>
      <c r="D48" s="112"/>
      <c r="E48" s="103">
        <v>15.5</v>
      </c>
      <c r="F48" s="128"/>
      <c r="G48" s="103"/>
      <c r="H48" s="108"/>
      <c r="I48" s="108"/>
      <c r="J48" s="103"/>
      <c r="K48" s="108"/>
      <c r="L48" s="108"/>
    </row>
    <row r="49" ht="15.75" customHeight="1">
      <c r="A49" s="99"/>
      <c r="B49" s="100" t="s">
        <v>67</v>
      </c>
      <c r="C49" s="101">
        <v>200.0</v>
      </c>
      <c r="D49" s="112"/>
      <c r="E49" s="112">
        <v>15.0</v>
      </c>
      <c r="F49" s="128"/>
      <c r="G49" s="103"/>
      <c r="H49" s="108"/>
      <c r="I49" s="108"/>
      <c r="J49" s="103"/>
      <c r="K49" s="108"/>
      <c r="L49" s="108"/>
    </row>
    <row r="50" ht="15.75" customHeight="1">
      <c r="A50" s="99"/>
      <c r="B50" s="100" t="s">
        <v>71</v>
      </c>
      <c r="C50" s="101">
        <v>200.0</v>
      </c>
      <c r="D50" s="112"/>
      <c r="E50" s="112">
        <v>20.0</v>
      </c>
      <c r="F50" s="128"/>
      <c r="G50" s="103"/>
      <c r="H50" s="108"/>
      <c r="I50" s="108"/>
      <c r="J50" s="103"/>
      <c r="K50" s="108"/>
      <c r="L50" s="108"/>
    </row>
    <row r="51" ht="15.75" customHeight="1">
      <c r="A51" s="99"/>
      <c r="B51" s="100" t="s">
        <v>79</v>
      </c>
      <c r="C51" s="101">
        <v>100.0</v>
      </c>
      <c r="D51" s="112"/>
      <c r="E51" s="112">
        <v>15.0</v>
      </c>
      <c r="F51" s="128"/>
      <c r="G51" s="103"/>
      <c r="H51" s="108"/>
      <c r="I51" s="108"/>
      <c r="J51" s="103"/>
      <c r="K51" s="108"/>
      <c r="L51" s="108"/>
    </row>
    <row r="52" ht="15.75" customHeight="1">
      <c r="A52" s="99"/>
      <c r="B52" s="100" t="s">
        <v>69</v>
      </c>
      <c r="C52" s="101">
        <v>400.0</v>
      </c>
      <c r="D52" s="112"/>
      <c r="E52" s="103">
        <v>15.5</v>
      </c>
      <c r="F52" s="128"/>
      <c r="G52" s="103"/>
      <c r="H52" s="108"/>
      <c r="I52" s="108"/>
      <c r="J52" s="103"/>
      <c r="K52" s="108"/>
      <c r="L52" s="108"/>
    </row>
    <row r="53" ht="15.75" customHeight="1">
      <c r="A53" s="99"/>
      <c r="B53" s="100" t="s">
        <v>70</v>
      </c>
      <c r="C53" s="101">
        <v>200.0</v>
      </c>
      <c r="D53" s="112"/>
      <c r="E53" s="112">
        <v>15.0</v>
      </c>
      <c r="F53" s="128"/>
      <c r="G53" s="103"/>
      <c r="H53" s="108"/>
      <c r="I53" s="108"/>
      <c r="J53" s="103"/>
      <c r="K53" s="108"/>
      <c r="L53" s="108"/>
    </row>
    <row r="54" ht="15.75" customHeight="1">
      <c r="A54" s="99"/>
      <c r="B54" s="100" t="s">
        <v>71</v>
      </c>
      <c r="C54" s="101">
        <v>300.0</v>
      </c>
      <c r="D54" s="112"/>
      <c r="E54" s="112">
        <v>20.0</v>
      </c>
      <c r="F54" s="128"/>
      <c r="G54" s="103"/>
      <c r="H54" s="108"/>
      <c r="I54" s="108"/>
      <c r="J54" s="103"/>
      <c r="K54" s="108"/>
      <c r="L54" s="108"/>
    </row>
    <row r="55" ht="15.75" customHeight="1">
      <c r="A55" s="99"/>
      <c r="B55" s="100" t="s">
        <v>79</v>
      </c>
      <c r="C55" s="101">
        <v>100.0</v>
      </c>
      <c r="D55" s="112"/>
      <c r="E55" s="112">
        <v>15.0</v>
      </c>
      <c r="F55" s="128"/>
      <c r="G55" s="103"/>
      <c r="H55" s="108"/>
      <c r="I55" s="108"/>
      <c r="J55" s="103"/>
      <c r="K55" s="108"/>
      <c r="L55" s="108"/>
    </row>
    <row r="56" ht="15.75" customHeight="1">
      <c r="A56" s="99"/>
      <c r="B56" s="100" t="s">
        <v>69</v>
      </c>
      <c r="C56" s="101">
        <v>400.0</v>
      </c>
      <c r="D56" s="112"/>
      <c r="E56" s="103">
        <v>15.5</v>
      </c>
      <c r="F56" s="128"/>
      <c r="G56" s="103"/>
      <c r="H56" s="108"/>
      <c r="I56" s="108"/>
      <c r="J56" s="103"/>
      <c r="K56" s="108"/>
      <c r="L56" s="108"/>
    </row>
    <row r="57" ht="15.75" customHeight="1">
      <c r="A57" s="99"/>
      <c r="B57" s="100" t="s">
        <v>79</v>
      </c>
      <c r="C57" s="101">
        <v>100.0</v>
      </c>
      <c r="D57" s="112"/>
      <c r="E57" s="112">
        <v>15.0</v>
      </c>
      <c r="F57" s="128"/>
      <c r="G57" s="103"/>
      <c r="H57" s="108"/>
      <c r="I57" s="108"/>
      <c r="J57" s="103"/>
      <c r="K57" s="108"/>
      <c r="L57" s="108"/>
    </row>
    <row r="58" ht="15.75" customHeight="1">
      <c r="A58" s="99"/>
      <c r="B58" s="100" t="s">
        <v>79</v>
      </c>
      <c r="C58" s="101">
        <v>100.0</v>
      </c>
      <c r="D58" s="112"/>
      <c r="E58" s="112">
        <v>15.0</v>
      </c>
      <c r="F58" s="128"/>
      <c r="G58" s="103"/>
      <c r="H58" s="108"/>
      <c r="I58" s="108"/>
      <c r="J58" s="103"/>
      <c r="K58" s="108"/>
      <c r="L58" s="108"/>
    </row>
    <row r="59" ht="15.75" customHeight="1">
      <c r="A59" s="99"/>
      <c r="B59" s="100" t="s">
        <v>79</v>
      </c>
      <c r="C59" s="101">
        <v>100.0</v>
      </c>
      <c r="D59" s="112"/>
      <c r="E59" s="112">
        <v>15.0</v>
      </c>
      <c r="F59" s="128"/>
      <c r="G59" s="103"/>
      <c r="H59" s="108"/>
      <c r="I59" s="108"/>
      <c r="J59" s="103"/>
      <c r="K59" s="108"/>
      <c r="L59" s="108"/>
    </row>
    <row r="60" ht="15.75" customHeight="1">
      <c r="A60" s="99"/>
      <c r="B60" s="100" t="s">
        <v>76</v>
      </c>
      <c r="C60" s="101">
        <v>550.0</v>
      </c>
      <c r="D60" s="112"/>
      <c r="E60" s="112"/>
      <c r="F60" s="128"/>
      <c r="G60" s="103"/>
      <c r="H60" s="108"/>
      <c r="I60" s="108"/>
      <c r="J60" s="103"/>
      <c r="K60" s="108"/>
      <c r="L60" s="108"/>
    </row>
    <row r="61" ht="15.75" customHeight="1">
      <c r="A61" s="99"/>
      <c r="B61" s="100"/>
      <c r="C61" s="101"/>
      <c r="D61" s="112"/>
      <c r="E61" s="112"/>
      <c r="F61" s="128"/>
      <c r="G61" s="103"/>
      <c r="H61" s="108"/>
      <c r="I61" s="108"/>
      <c r="J61" s="103"/>
      <c r="K61" s="108"/>
      <c r="L61" s="108"/>
    </row>
    <row r="62" ht="15.75" customHeight="1">
      <c r="A62" s="99"/>
      <c r="B62" s="100"/>
      <c r="C62" s="101"/>
      <c r="D62" s="101"/>
      <c r="E62" s="129"/>
      <c r="F62" s="128"/>
      <c r="G62" s="103"/>
      <c r="H62" s="108"/>
      <c r="I62" s="107"/>
      <c r="J62" s="103" t="str">
        <f>G62*SUM(I62)</f>
        <v> R$ -   </v>
      </c>
      <c r="K62" s="108"/>
      <c r="L62" s="108"/>
    </row>
    <row r="63" ht="15.75" customHeight="1">
      <c r="A63" s="130"/>
      <c r="B63" s="131"/>
      <c r="C63" s="132" t="str">
        <f>SUM(C3:C62)</f>
        <v>20480</v>
      </c>
      <c r="D63" s="133"/>
      <c r="E63" s="132"/>
      <c r="F63" s="134"/>
      <c r="G63" s="133" t="str">
        <f t="shared" ref="G63:I63" si="12">SUM(G3:G62)</f>
        <v> R$ 184,100.00 </v>
      </c>
      <c r="H63" s="136" t="str">
        <f t="shared" si="12"/>
        <v> R$  159,960.00 </v>
      </c>
      <c r="I63" s="133" t="str">
        <f t="shared" si="12"/>
        <v> R$ 19,720.00 </v>
      </c>
      <c r="J63" s="133">
        <v>707.4</v>
      </c>
      <c r="K63" s="136" t="str">
        <f t="shared" ref="K63:L63" si="13">SUM(K3:K62)</f>
        <v> R$  3,853.85 </v>
      </c>
      <c r="L63" s="136" t="str">
        <f t="shared" si="13"/>
        <v> R$  -   </v>
      </c>
    </row>
    <row r="64" ht="15.75" customHeight="1">
      <c r="K64" s="158"/>
    </row>
    <row r="65" ht="15.75" customHeight="1">
      <c r="K65" s="158"/>
    </row>
    <row r="66" ht="15.75" customHeight="1">
      <c r="K66" s="158"/>
    </row>
    <row r="67" ht="15.75" customHeight="1">
      <c r="K67" s="158"/>
    </row>
    <row r="68" ht="15.75" customHeight="1">
      <c r="K68" s="158"/>
    </row>
    <row r="69" ht="15.75" customHeight="1">
      <c r="K69" s="158"/>
    </row>
    <row r="70" ht="15.75" customHeight="1">
      <c r="K70" s="158"/>
    </row>
    <row r="71" ht="15.75" customHeight="1">
      <c r="K71" s="158"/>
    </row>
    <row r="72" ht="15.75" customHeight="1">
      <c r="K72" s="158"/>
    </row>
    <row r="73" ht="15.75" customHeight="1">
      <c r="K73" s="158"/>
    </row>
    <row r="74" ht="15.75" customHeight="1">
      <c r="K74" s="158"/>
    </row>
    <row r="75" ht="15.75" customHeight="1">
      <c r="K75" s="158"/>
    </row>
    <row r="76" ht="15.75" customHeight="1">
      <c r="K76" s="158"/>
    </row>
    <row r="77" ht="15.75" customHeight="1">
      <c r="K77" s="158"/>
    </row>
    <row r="78" ht="15.75" customHeight="1">
      <c r="K78" s="158"/>
    </row>
    <row r="79" ht="15.75" customHeight="1">
      <c r="K79" s="158"/>
    </row>
    <row r="80" ht="15.75" customHeight="1">
      <c r="K80" s="158"/>
    </row>
    <row r="81" ht="15.75" customHeight="1">
      <c r="K81" s="158"/>
    </row>
    <row r="82" ht="15.75" customHeight="1">
      <c r="K82" s="158"/>
    </row>
    <row r="83" ht="15.75" customHeight="1">
      <c r="K83" s="158"/>
    </row>
    <row r="84" ht="15.75" customHeight="1">
      <c r="K84" s="158"/>
    </row>
    <row r="85" ht="15.75" customHeight="1">
      <c r="K85" s="158"/>
    </row>
    <row r="86" ht="15.75" customHeight="1">
      <c r="K86" s="158"/>
    </row>
    <row r="87" ht="15.75" customHeight="1">
      <c r="K87" s="158"/>
    </row>
    <row r="88" ht="15.75" customHeight="1">
      <c r="K88" s="158"/>
    </row>
    <row r="89" ht="15.75" customHeight="1">
      <c r="K89" s="158"/>
    </row>
    <row r="90" ht="15.75" customHeight="1">
      <c r="K90" s="158"/>
    </row>
    <row r="91" ht="15.75" customHeight="1">
      <c r="K91" s="158"/>
    </row>
    <row r="92" ht="15.75" customHeight="1">
      <c r="K92" s="158"/>
    </row>
    <row r="93" ht="15.75" customHeight="1">
      <c r="K93" s="158"/>
    </row>
    <row r="94" ht="15.75" customHeight="1">
      <c r="K94" s="158"/>
    </row>
    <row r="95" ht="15.75" customHeight="1">
      <c r="K95" s="158"/>
    </row>
    <row r="96" ht="15.75" customHeight="1">
      <c r="K96" s="158"/>
    </row>
    <row r="97" ht="15.75" customHeight="1">
      <c r="K97" s="158"/>
    </row>
    <row r="98" ht="15.75" customHeight="1">
      <c r="K98" s="158"/>
    </row>
    <row r="99" ht="15.75" customHeight="1">
      <c r="K99" s="158"/>
    </row>
    <row r="100" ht="15.75" customHeight="1">
      <c r="K100" s="158"/>
    </row>
  </sheetData>
  <autoFilter ref="$A$2:$L$60"/>
  <mergeCells count="1">
    <mergeCell ref="A1:B1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9.0"/>
    <col customWidth="1" min="2" max="2" width="22.63"/>
    <col customWidth="1" min="3" max="3" width="18.38"/>
    <col customWidth="1" min="4" max="4" width="9.0"/>
    <col customWidth="1" min="5" max="5" width="22.63"/>
    <col customWidth="1" min="6" max="6" width="18.38"/>
    <col customWidth="1" min="7" max="7" width="9.0"/>
    <col customWidth="1" min="8" max="8" width="22.63"/>
    <col customWidth="1" min="9" max="9" width="18.38"/>
    <col customWidth="1" min="10" max="12" width="9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2.75" customHeight="1">
      <c r="A2" s="1"/>
      <c r="B2" s="2" t="s">
        <v>0</v>
      </c>
      <c r="C2" s="3"/>
      <c r="D2" s="3"/>
      <c r="E2" s="3"/>
      <c r="F2" s="3"/>
      <c r="G2" s="3"/>
      <c r="H2" s="3"/>
      <c r="I2" s="4"/>
      <c r="J2" s="1"/>
      <c r="K2" s="1"/>
      <c r="L2" s="1"/>
    </row>
    <row r="3" ht="12.75" customHeight="1">
      <c r="A3" s="1"/>
      <c r="B3" s="5"/>
      <c r="C3" s="5"/>
      <c r="D3" s="1"/>
      <c r="E3" s="5"/>
      <c r="F3" s="5"/>
      <c r="G3" s="1"/>
      <c r="H3" s="5"/>
      <c r="I3" s="5"/>
      <c r="J3" s="1"/>
      <c r="K3" s="1"/>
      <c r="L3" s="1"/>
    </row>
    <row r="4" ht="12.75" customHeight="1">
      <c r="A4" s="1"/>
      <c r="B4" s="159" t="s">
        <v>80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44.25" customHeight="1">
      <c r="A6" s="1"/>
      <c r="B6" s="9" t="s">
        <v>81</v>
      </c>
      <c r="C6" s="9" t="s">
        <v>82</v>
      </c>
      <c r="D6" s="1"/>
      <c r="E6" s="9" t="s">
        <v>83</v>
      </c>
      <c r="F6" s="9" t="s">
        <v>82</v>
      </c>
      <c r="G6" s="1"/>
      <c r="H6" s="9" t="s">
        <v>84</v>
      </c>
      <c r="I6" s="9" t="s">
        <v>82</v>
      </c>
      <c r="J6" s="1"/>
      <c r="K6" s="1"/>
      <c r="L6" s="1"/>
    </row>
    <row r="7" ht="13.5" customHeight="1">
      <c r="A7" s="1"/>
      <c r="B7" s="160" t="s">
        <v>85</v>
      </c>
      <c r="C7" s="161">
        <v>2800.0</v>
      </c>
      <c r="D7" s="1"/>
      <c r="E7" s="160"/>
      <c r="F7" s="161"/>
      <c r="G7" s="1"/>
      <c r="H7" s="160"/>
      <c r="I7" s="161"/>
      <c r="J7" s="1"/>
      <c r="K7" s="1"/>
      <c r="L7" s="1"/>
    </row>
    <row r="8" ht="13.5" customHeight="1">
      <c r="A8" s="1"/>
      <c r="B8" s="160" t="s">
        <v>86</v>
      </c>
      <c r="C8" s="161">
        <v>76.0</v>
      </c>
      <c r="D8" s="1"/>
      <c r="E8" s="160" t="s">
        <v>87</v>
      </c>
      <c r="F8" s="161">
        <v>9548.45</v>
      </c>
      <c r="G8" s="1"/>
      <c r="H8" s="160" t="s">
        <v>88</v>
      </c>
      <c r="I8" s="161">
        <v>300.0</v>
      </c>
      <c r="J8" s="1"/>
      <c r="K8" s="1"/>
      <c r="L8" s="1"/>
    </row>
    <row r="9" ht="12.75" customHeight="1">
      <c r="A9" s="1"/>
      <c r="B9" s="160" t="s">
        <v>89</v>
      </c>
      <c r="C9" s="161">
        <v>384.0</v>
      </c>
      <c r="D9" s="1"/>
      <c r="E9" s="160"/>
      <c r="F9" s="161"/>
      <c r="G9" s="1"/>
      <c r="H9" s="160" t="s">
        <v>90</v>
      </c>
      <c r="I9" s="161"/>
      <c r="J9" s="1"/>
      <c r="K9" s="1"/>
      <c r="L9" s="1"/>
    </row>
    <row r="10" ht="13.5" customHeight="1">
      <c r="A10" s="1"/>
      <c r="B10" s="160" t="s">
        <v>91</v>
      </c>
      <c r="C10" s="161">
        <v>420.0</v>
      </c>
      <c r="D10" s="1"/>
      <c r="E10" s="160" t="s">
        <v>92</v>
      </c>
      <c r="F10" s="161">
        <v>280.0</v>
      </c>
      <c r="G10" s="1"/>
      <c r="H10" s="160" t="s">
        <v>93</v>
      </c>
      <c r="I10" s="161">
        <v>600.0</v>
      </c>
      <c r="J10" s="1"/>
      <c r="K10" s="1"/>
      <c r="L10" s="1"/>
    </row>
    <row r="11" ht="13.5" customHeight="1">
      <c r="A11" s="1"/>
      <c r="B11" s="160" t="s">
        <v>94</v>
      </c>
      <c r="C11" s="161"/>
      <c r="D11" s="1"/>
      <c r="E11" s="160"/>
      <c r="F11" s="161"/>
      <c r="G11" s="1"/>
      <c r="H11" s="160" t="s">
        <v>95</v>
      </c>
      <c r="I11" s="161">
        <v>200.0</v>
      </c>
      <c r="J11" s="1"/>
      <c r="K11" s="1"/>
      <c r="L11" s="1"/>
    </row>
    <row r="12" ht="13.5" customHeight="1">
      <c r="A12" s="1"/>
      <c r="B12" s="160" t="s">
        <v>89</v>
      </c>
      <c r="C12" s="161">
        <v>460.0</v>
      </c>
      <c r="D12" s="1"/>
      <c r="E12" s="160"/>
      <c r="F12" s="161"/>
      <c r="G12" s="1"/>
      <c r="H12" s="160" t="s">
        <v>96</v>
      </c>
      <c r="I12" s="161">
        <v>250.0</v>
      </c>
      <c r="J12" s="1"/>
      <c r="K12" s="1"/>
      <c r="L12" s="1"/>
    </row>
    <row r="13" ht="13.5" customHeight="1">
      <c r="A13" s="1"/>
      <c r="B13" s="160" t="s">
        <v>91</v>
      </c>
      <c r="C13" s="161">
        <v>300.0</v>
      </c>
      <c r="D13" s="1"/>
      <c r="E13" s="160"/>
      <c r="F13" s="161"/>
      <c r="G13" s="1"/>
      <c r="H13" s="160" t="s">
        <v>97</v>
      </c>
      <c r="I13" s="161">
        <v>1140.0</v>
      </c>
      <c r="J13" s="1"/>
      <c r="K13" s="1"/>
      <c r="L13" s="1"/>
    </row>
    <row r="14" ht="13.5" customHeight="1">
      <c r="A14" s="1"/>
      <c r="B14" s="160"/>
      <c r="C14" s="161"/>
      <c r="D14" s="1"/>
      <c r="E14" s="160" t="s">
        <v>98</v>
      </c>
      <c r="F14" s="161">
        <v>500.0</v>
      </c>
      <c r="G14" s="1"/>
      <c r="H14" s="160" t="s">
        <v>99</v>
      </c>
      <c r="I14" s="161">
        <v>297.6</v>
      </c>
      <c r="J14" s="1"/>
      <c r="K14" s="1"/>
      <c r="L14" s="1"/>
    </row>
    <row r="15" ht="13.5" customHeight="1">
      <c r="A15" s="1"/>
      <c r="B15" s="160"/>
      <c r="C15" s="161"/>
      <c r="D15" s="1"/>
      <c r="E15" s="160"/>
      <c r="F15" s="161"/>
      <c r="G15" s="1"/>
      <c r="H15" s="160" t="s">
        <v>100</v>
      </c>
      <c r="I15" s="161">
        <v>230.0</v>
      </c>
      <c r="J15" s="1"/>
      <c r="K15" s="1"/>
      <c r="L15" s="1"/>
    </row>
    <row r="16" ht="13.5" customHeight="1">
      <c r="A16" s="1"/>
      <c r="B16" s="160"/>
      <c r="C16" s="161"/>
      <c r="D16" s="1"/>
      <c r="E16" s="160" t="s">
        <v>101</v>
      </c>
      <c r="F16" s="161">
        <v>930.0</v>
      </c>
      <c r="G16" s="1"/>
      <c r="H16" s="160" t="s">
        <v>102</v>
      </c>
      <c r="I16" s="161">
        <v>127.64</v>
      </c>
      <c r="J16" s="1"/>
      <c r="K16" s="1"/>
      <c r="L16" s="1"/>
    </row>
    <row r="17" ht="13.5" customHeight="1">
      <c r="A17" s="1"/>
      <c r="B17" s="160"/>
      <c r="C17" s="161"/>
      <c r="D17" s="1"/>
      <c r="E17" s="160"/>
      <c r="F17" s="161"/>
      <c r="G17" s="1"/>
      <c r="H17" s="160" t="s">
        <v>103</v>
      </c>
      <c r="I17" s="161">
        <v>60.0</v>
      </c>
      <c r="J17" s="1"/>
      <c r="K17" s="1"/>
      <c r="L17" s="1"/>
    </row>
    <row r="18" ht="13.5" customHeight="1">
      <c r="A18" s="1"/>
      <c r="B18" s="160"/>
      <c r="C18" s="161"/>
      <c r="D18" s="1"/>
      <c r="E18" s="160"/>
      <c r="F18" s="161"/>
      <c r="G18" s="1"/>
      <c r="H18" s="160" t="s">
        <v>104</v>
      </c>
      <c r="I18" s="161"/>
      <c r="J18" s="1"/>
      <c r="K18" s="1"/>
      <c r="L18" s="1"/>
    </row>
    <row r="19" ht="13.5" customHeight="1">
      <c r="A19" s="1"/>
      <c r="B19" s="160"/>
      <c r="C19" s="161"/>
      <c r="D19" s="1"/>
      <c r="E19" s="160"/>
      <c r="F19" s="161"/>
      <c r="G19" s="1"/>
      <c r="H19" s="160" t="s">
        <v>105</v>
      </c>
      <c r="I19" s="161">
        <v>500.0</v>
      </c>
      <c r="J19" s="1"/>
      <c r="K19" s="1"/>
      <c r="L19" s="1"/>
    </row>
    <row r="20" ht="13.5" customHeight="1">
      <c r="A20" s="1"/>
      <c r="B20" s="160"/>
      <c r="C20" s="161"/>
      <c r="D20" s="1"/>
      <c r="E20" s="160" t="s">
        <v>106</v>
      </c>
      <c r="F20" s="161">
        <v>50.0</v>
      </c>
      <c r="G20" s="1"/>
      <c r="H20" s="160" t="s">
        <v>107</v>
      </c>
      <c r="I20" s="161">
        <v>750.0</v>
      </c>
      <c r="J20" s="1"/>
      <c r="K20" s="1"/>
      <c r="L20" s="1"/>
    </row>
    <row r="21" ht="13.5" customHeight="1">
      <c r="A21" s="1"/>
      <c r="B21" s="160"/>
      <c r="C21" s="161"/>
      <c r="D21" s="1"/>
      <c r="E21" s="160"/>
      <c r="F21" s="161"/>
      <c r="G21" s="1"/>
      <c r="H21" s="160" t="s">
        <v>108</v>
      </c>
      <c r="I21" s="161">
        <v>110.0</v>
      </c>
      <c r="J21" s="1"/>
      <c r="K21" s="1"/>
      <c r="L21" s="1"/>
    </row>
    <row r="22" ht="13.5" customHeight="1">
      <c r="A22" s="1"/>
      <c r="B22" s="160"/>
      <c r="C22" s="161"/>
      <c r="D22" s="1"/>
      <c r="E22" s="160"/>
      <c r="F22" s="161"/>
      <c r="G22" s="1"/>
      <c r="H22" s="160" t="s">
        <v>109</v>
      </c>
      <c r="I22" s="161">
        <v>650.0</v>
      </c>
      <c r="J22" s="1"/>
      <c r="K22" s="1"/>
      <c r="L22" s="1"/>
    </row>
    <row r="23" ht="13.5" customHeight="1">
      <c r="A23" s="1"/>
      <c r="B23" s="160"/>
      <c r="C23" s="161"/>
      <c r="D23" s="1"/>
      <c r="E23" s="160"/>
      <c r="F23" s="161"/>
      <c r="G23" s="1"/>
      <c r="H23" s="160" t="s">
        <v>110</v>
      </c>
      <c r="I23" s="161">
        <v>2995.4</v>
      </c>
      <c r="J23" s="1"/>
      <c r="K23" s="1"/>
      <c r="L23" s="1"/>
    </row>
    <row r="24" ht="13.5" customHeight="1">
      <c r="A24" s="1"/>
      <c r="B24" s="160"/>
      <c r="C24" s="161"/>
      <c r="D24" s="1"/>
      <c r="E24" s="160"/>
      <c r="F24" s="161"/>
      <c r="G24" s="1"/>
      <c r="H24" s="160" t="s">
        <v>111</v>
      </c>
      <c r="I24" s="161" t="str">
        <f>L24/2</f>
        <v> R$ 1,230.57 </v>
      </c>
      <c r="J24" s="1"/>
      <c r="K24" s="1"/>
      <c r="L24" s="1">
        <v>2461.13</v>
      </c>
    </row>
    <row r="25" ht="13.5" customHeight="1">
      <c r="A25" s="1"/>
      <c r="B25" s="160"/>
      <c r="C25" s="161"/>
      <c r="D25" s="1"/>
      <c r="E25" s="160"/>
      <c r="F25" s="161"/>
      <c r="G25" s="1"/>
      <c r="H25" s="160" t="s">
        <v>112</v>
      </c>
      <c r="I25" s="161">
        <v>527.9</v>
      </c>
      <c r="J25" s="1"/>
      <c r="K25" s="1"/>
      <c r="L25" s="1"/>
    </row>
    <row r="26" ht="13.5" customHeight="1">
      <c r="A26" s="1"/>
      <c r="B26" s="160"/>
      <c r="C26" s="161"/>
      <c r="D26" s="1"/>
      <c r="E26" s="160"/>
      <c r="F26" s="161"/>
      <c r="G26" s="1"/>
      <c r="H26" s="160" t="s">
        <v>113</v>
      </c>
      <c r="I26" s="161">
        <v>38.0</v>
      </c>
      <c r="J26" s="1"/>
      <c r="K26" s="1"/>
      <c r="L26" s="1"/>
    </row>
    <row r="27" ht="13.5" customHeight="1">
      <c r="A27" s="1"/>
      <c r="B27" s="160"/>
      <c r="C27" s="161"/>
      <c r="D27" s="1"/>
      <c r="E27" s="160"/>
      <c r="F27" s="161"/>
      <c r="G27" s="1"/>
      <c r="H27" s="160"/>
      <c r="I27" s="161"/>
      <c r="J27" s="1"/>
      <c r="K27" s="1"/>
      <c r="L27" s="1"/>
    </row>
    <row r="28" ht="13.5" customHeight="1">
      <c r="A28" s="1"/>
      <c r="B28" s="160"/>
      <c r="C28" s="161"/>
      <c r="D28" s="1"/>
      <c r="E28" s="160"/>
      <c r="F28" s="161"/>
      <c r="G28" s="1"/>
      <c r="H28" s="160"/>
      <c r="I28" s="161"/>
      <c r="J28" s="1"/>
      <c r="K28" s="1"/>
      <c r="L28" s="1"/>
    </row>
    <row r="29" ht="13.5" customHeight="1">
      <c r="A29" s="1"/>
      <c r="B29" s="160"/>
      <c r="C29" s="161"/>
      <c r="D29" s="1"/>
      <c r="E29" s="160"/>
      <c r="F29" s="161"/>
      <c r="G29" s="1"/>
      <c r="H29" s="160"/>
      <c r="I29" s="161"/>
      <c r="J29" s="1"/>
      <c r="K29" s="1"/>
      <c r="L29" s="1"/>
    </row>
    <row r="30" ht="13.5" customHeight="1">
      <c r="A30" s="1"/>
      <c r="B30" s="160"/>
      <c r="C30" s="161"/>
      <c r="D30" s="1"/>
      <c r="E30" s="160"/>
      <c r="F30" s="161"/>
      <c r="G30" s="1"/>
      <c r="H30" s="160"/>
      <c r="I30" s="161"/>
      <c r="J30" s="1"/>
      <c r="K30" s="1"/>
      <c r="L30" s="1"/>
    </row>
    <row r="31" ht="13.5" customHeight="1">
      <c r="A31" s="1"/>
      <c r="B31" s="160"/>
      <c r="C31" s="161"/>
      <c r="D31" s="1"/>
      <c r="E31" s="160"/>
      <c r="F31" s="161"/>
      <c r="G31" s="1"/>
      <c r="H31" s="160"/>
      <c r="I31" s="161"/>
      <c r="J31" s="1"/>
      <c r="K31" s="1"/>
      <c r="L31" s="1"/>
    </row>
    <row r="32" ht="13.5" customHeight="1">
      <c r="A32" s="1"/>
      <c r="B32" s="160"/>
      <c r="C32" s="161"/>
      <c r="D32" s="1"/>
      <c r="E32" s="160"/>
      <c r="F32" s="161"/>
      <c r="G32" s="1"/>
      <c r="H32" s="160"/>
      <c r="I32" s="161"/>
      <c r="J32" s="1"/>
      <c r="K32" s="1"/>
      <c r="L32" s="1"/>
    </row>
    <row r="33" ht="12.75" customHeight="1">
      <c r="A33" s="1"/>
      <c r="B33" s="46"/>
      <c r="C33" s="162" t="str">
        <f>SUM(C7:C32)</f>
        <v> R$ 4,440.00 </v>
      </c>
      <c r="D33" s="1"/>
      <c r="E33" s="46"/>
      <c r="F33" s="162" t="str">
        <f>SUM(F7:F32)</f>
        <v> R$ 11,308.45 </v>
      </c>
      <c r="G33" s="1"/>
      <c r="H33" s="46"/>
      <c r="I33" s="162" t="str">
        <f>SUM(I7:I32)</f>
        <v> R$ 10,007.11 </v>
      </c>
      <c r="J33" s="1"/>
      <c r="K33" s="1"/>
      <c r="L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ht="12.75" customHeight="1">
      <c r="A35" s="1"/>
      <c r="B35" s="5" t="s">
        <v>59</v>
      </c>
      <c r="C35" s="5"/>
      <c r="D35" s="1"/>
      <c r="E35" s="5"/>
      <c r="F35" s="5"/>
      <c r="G35" s="1"/>
      <c r="H35" s="5"/>
      <c r="I35" s="5"/>
      <c r="J35" s="1"/>
      <c r="K35" s="1"/>
      <c r="L35" s="1"/>
    </row>
    <row r="36" ht="12.75" customHeight="1">
      <c r="A36" s="1"/>
      <c r="B36" s="5" t="s">
        <v>114</v>
      </c>
      <c r="C36" s="1"/>
      <c r="D36" s="1"/>
      <c r="E36" s="5"/>
      <c r="F36" s="1"/>
      <c r="G36" s="1"/>
      <c r="H36" s="5"/>
      <c r="I36" s="1"/>
      <c r="J36" s="1"/>
      <c r="K36" s="1"/>
      <c r="L36" s="1"/>
    </row>
    <row r="37" ht="12.75" customHeight="1">
      <c r="A37" s="1"/>
      <c r="B37" s="5" t="s">
        <v>61</v>
      </c>
      <c r="C37" s="1"/>
      <c r="D37" s="1"/>
      <c r="E37" s="5"/>
      <c r="F37" s="1"/>
      <c r="G37" s="1"/>
      <c r="H37" s="5"/>
      <c r="I37" s="1"/>
      <c r="J37" s="1"/>
      <c r="K37" s="1"/>
      <c r="L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</sheetData>
  <mergeCells count="1">
    <mergeCell ref="B2:I2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User</Company>
  <ScaleCrop>false</ScaleCrop>
  <HeadingPairs>
    <vt:vector baseType="variant" size="4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baseType="lpstr" size="10">
      <vt:lpstr>SIMULADOR</vt:lpstr>
      <vt:lpstr>RECEITA</vt:lpstr>
      <vt:lpstr>Bruno</vt:lpstr>
      <vt:lpstr>ESTRUTURA</vt:lpstr>
      <vt:lpstr>MAR</vt:lpstr>
      <vt:lpstr>FOLHA 03-17</vt:lpstr>
      <vt:lpstr>ESTRUTURA!Area_de_impressao</vt:lpstr>
      <vt:lpstr>MAR!Area_de_impressao</vt:lpstr>
      <vt:lpstr>RECEITA!Area_de_impressao</vt:lpstr>
      <vt:lpstr>SIMULADOR!Area_de_impressao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2006-10-16T16:35:12Z</dcterms:created>
  <dc:creator>User</dc:creator>
  <cp:lastModifiedBy>Cliente</cp:lastModifiedBy>
  <cp:lastPrinted>2017-04-10T21:43:03Z</cp:lastPrinted>
  <dcterms:modified xsi:type="dcterms:W3CDTF">2017-08-04T14:25:56Z</dcterms:modified>
</cp:coreProperties>
</file>