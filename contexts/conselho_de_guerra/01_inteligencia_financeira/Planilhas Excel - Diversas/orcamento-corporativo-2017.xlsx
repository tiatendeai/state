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0\"/>
    </mc:Choice>
  </mc:AlternateContent>
  <bookViews>
    <workbookView xWindow="0" yWindow="0" windowWidth="20490" windowHeight="77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8" i="1" l="1"/>
  <c r="O68" i="1"/>
  <c r="N68" i="1"/>
  <c r="L68" i="1"/>
  <c r="K68" i="1"/>
  <c r="J68" i="1"/>
  <c r="H68" i="1"/>
  <c r="G68" i="1"/>
  <c r="F68" i="1"/>
  <c r="D68" i="1"/>
  <c r="C68" i="1"/>
  <c r="B68" i="1"/>
  <c r="Q67" i="1"/>
  <c r="M67" i="1"/>
  <c r="I67" i="1"/>
  <c r="E67" i="1"/>
  <c r="Q66" i="1"/>
  <c r="M66" i="1"/>
  <c r="I66" i="1"/>
  <c r="E66" i="1"/>
  <c r="Q65" i="1"/>
  <c r="M65" i="1"/>
  <c r="I65" i="1"/>
  <c r="E65" i="1"/>
  <c r="Q64" i="1"/>
  <c r="M64" i="1"/>
  <c r="I64" i="1"/>
  <c r="E64" i="1"/>
  <c r="Q63" i="1"/>
  <c r="M63" i="1"/>
  <c r="I63" i="1"/>
  <c r="E63" i="1"/>
  <c r="Q62" i="1"/>
  <c r="M62" i="1"/>
  <c r="I62" i="1"/>
  <c r="E62" i="1"/>
  <c r="Q61" i="1"/>
  <c r="M61" i="1"/>
  <c r="I61" i="1"/>
  <c r="E61" i="1"/>
  <c r="Q60" i="1"/>
  <c r="M60" i="1"/>
  <c r="I60" i="1"/>
  <c r="E60" i="1"/>
  <c r="Q59" i="1"/>
  <c r="M59" i="1"/>
  <c r="I59" i="1"/>
  <c r="E59" i="1"/>
  <c r="Q58" i="1"/>
  <c r="M58" i="1"/>
  <c r="I58" i="1"/>
  <c r="E58" i="1"/>
  <c r="Q57" i="1"/>
  <c r="M57" i="1"/>
  <c r="M68" i="1" s="1"/>
  <c r="I57" i="1"/>
  <c r="I68" i="1" s="1"/>
  <c r="E57" i="1"/>
  <c r="E68" i="1" s="1"/>
  <c r="P54" i="1"/>
  <c r="O54" i="1"/>
  <c r="N54" i="1"/>
  <c r="L54" i="1"/>
  <c r="K54" i="1"/>
  <c r="J54" i="1"/>
  <c r="H54" i="1"/>
  <c r="G54" i="1"/>
  <c r="F54" i="1"/>
  <c r="D54" i="1"/>
  <c r="C54" i="1"/>
  <c r="B54" i="1"/>
  <c r="Q53" i="1"/>
  <c r="M53" i="1"/>
  <c r="I53" i="1"/>
  <c r="E53" i="1"/>
  <c r="Q52" i="1"/>
  <c r="M52" i="1"/>
  <c r="I52" i="1"/>
  <c r="I54" i="1" s="1"/>
  <c r="E52" i="1"/>
  <c r="E54" i="1" s="1"/>
  <c r="P49" i="1"/>
  <c r="O49" i="1"/>
  <c r="N49" i="1"/>
  <c r="L49" i="1"/>
  <c r="K49" i="1"/>
  <c r="J49" i="1"/>
  <c r="H49" i="1"/>
  <c r="G49" i="1"/>
  <c r="F49" i="1"/>
  <c r="D49" i="1"/>
  <c r="C49" i="1"/>
  <c r="B49" i="1"/>
  <c r="Q48" i="1"/>
  <c r="M48" i="1"/>
  <c r="I48" i="1"/>
  <c r="E48" i="1"/>
  <c r="Q47" i="1"/>
  <c r="M47" i="1"/>
  <c r="I47" i="1"/>
  <c r="E47" i="1"/>
  <c r="Q46" i="1"/>
  <c r="M46" i="1"/>
  <c r="I46" i="1"/>
  <c r="E46" i="1"/>
  <c r="Q45" i="1"/>
  <c r="Q49" i="1" s="1"/>
  <c r="M45" i="1"/>
  <c r="M49" i="1" s="1"/>
  <c r="I45" i="1"/>
  <c r="E45" i="1"/>
  <c r="E49" i="1" s="1"/>
  <c r="P42" i="1"/>
  <c r="O42" i="1"/>
  <c r="N42" i="1"/>
  <c r="L42" i="1"/>
  <c r="K42" i="1"/>
  <c r="J42" i="1"/>
  <c r="H42" i="1"/>
  <c r="G42" i="1"/>
  <c r="F42" i="1"/>
  <c r="D42" i="1"/>
  <c r="C42" i="1"/>
  <c r="B42" i="1"/>
  <c r="Q41" i="1"/>
  <c r="M41" i="1"/>
  <c r="I41" i="1"/>
  <c r="E41" i="1"/>
  <c r="Q40" i="1"/>
  <c r="M40" i="1"/>
  <c r="I40" i="1"/>
  <c r="E40" i="1"/>
  <c r="Q39" i="1"/>
  <c r="M39" i="1"/>
  <c r="I39" i="1"/>
  <c r="E39" i="1"/>
  <c r="Q38" i="1"/>
  <c r="M38" i="1"/>
  <c r="I38" i="1"/>
  <c r="E38" i="1"/>
  <c r="Q37" i="1"/>
  <c r="M37" i="1"/>
  <c r="I37" i="1"/>
  <c r="E37" i="1"/>
  <c r="Q36" i="1"/>
  <c r="M36" i="1"/>
  <c r="I36" i="1"/>
  <c r="I42" i="1" s="1"/>
  <c r="E36" i="1"/>
  <c r="E42" i="1" s="1"/>
  <c r="P33" i="1"/>
  <c r="O33" i="1"/>
  <c r="N33" i="1"/>
  <c r="L33" i="1"/>
  <c r="K33" i="1"/>
  <c r="J33" i="1"/>
  <c r="H33" i="1"/>
  <c r="G33" i="1"/>
  <c r="F33" i="1"/>
  <c r="D33" i="1"/>
  <c r="C33" i="1"/>
  <c r="B33" i="1"/>
  <c r="Q32" i="1"/>
  <c r="M32" i="1"/>
  <c r="I32" i="1"/>
  <c r="E32" i="1"/>
  <c r="Q31" i="1"/>
  <c r="M31" i="1"/>
  <c r="I31" i="1"/>
  <c r="E31" i="1"/>
  <c r="Q30" i="1"/>
  <c r="M30" i="1"/>
  <c r="I30" i="1"/>
  <c r="E30" i="1"/>
  <c r="Q29" i="1"/>
  <c r="M29" i="1"/>
  <c r="I29" i="1"/>
  <c r="E29" i="1"/>
  <c r="Q28" i="1"/>
  <c r="Q33" i="1" s="1"/>
  <c r="M28" i="1"/>
  <c r="M33" i="1" s="1"/>
  <c r="I28" i="1"/>
  <c r="I33" i="1" s="1"/>
  <c r="E28" i="1"/>
  <c r="E33" i="1" s="1"/>
  <c r="P25" i="1"/>
  <c r="O25" i="1"/>
  <c r="N25" i="1"/>
  <c r="L25" i="1"/>
  <c r="K25" i="1"/>
  <c r="J25" i="1"/>
  <c r="H25" i="1"/>
  <c r="G25" i="1"/>
  <c r="F25" i="1"/>
  <c r="D25" i="1"/>
  <c r="C25" i="1"/>
  <c r="B25" i="1"/>
  <c r="Q24" i="1"/>
  <c r="M24" i="1"/>
  <c r="I24" i="1"/>
  <c r="E24" i="1"/>
  <c r="Q22" i="1"/>
  <c r="M22" i="1"/>
  <c r="I22" i="1"/>
  <c r="E22" i="1"/>
  <c r="Q21" i="1"/>
  <c r="M21" i="1"/>
  <c r="I21" i="1"/>
  <c r="E21" i="1"/>
  <c r="Q20" i="1"/>
  <c r="M20" i="1"/>
  <c r="I20" i="1"/>
  <c r="E20" i="1"/>
  <c r="Q19" i="1"/>
  <c r="M19" i="1"/>
  <c r="I19" i="1"/>
  <c r="E19" i="1"/>
  <c r="Q18" i="1"/>
  <c r="M18" i="1"/>
  <c r="I18" i="1"/>
  <c r="I25" i="1" s="1"/>
  <c r="E18" i="1"/>
  <c r="P15" i="1"/>
  <c r="P70" i="1" s="1"/>
  <c r="O15" i="1"/>
  <c r="N15" i="1"/>
  <c r="L15" i="1"/>
  <c r="L70" i="1" s="1"/>
  <c r="K15" i="1"/>
  <c r="K70" i="1" s="1"/>
  <c r="J15" i="1"/>
  <c r="H15" i="1"/>
  <c r="G15" i="1"/>
  <c r="F15" i="1"/>
  <c r="D15" i="1"/>
  <c r="C15" i="1"/>
  <c r="B15" i="1"/>
  <c r="Q14" i="1"/>
  <c r="M14" i="1"/>
  <c r="I14" i="1"/>
  <c r="E14" i="1"/>
  <c r="Q13" i="1"/>
  <c r="M13" i="1"/>
  <c r="I13" i="1"/>
  <c r="E13" i="1"/>
  <c r="Q12" i="1"/>
  <c r="M12" i="1"/>
  <c r="I12" i="1"/>
  <c r="E12" i="1"/>
  <c r="Q11" i="1"/>
  <c r="M11" i="1"/>
  <c r="I11" i="1"/>
  <c r="E11" i="1"/>
  <c r="Q10" i="1"/>
  <c r="M10" i="1"/>
  <c r="I10" i="1"/>
  <c r="E10" i="1"/>
  <c r="Q9" i="1"/>
  <c r="M9" i="1"/>
  <c r="I9" i="1"/>
  <c r="I15" i="1" s="1"/>
  <c r="E9" i="1"/>
  <c r="E15" i="1" s="1"/>
  <c r="Q6" i="1"/>
  <c r="M6" i="1"/>
  <c r="I6" i="1"/>
  <c r="E6" i="1"/>
  <c r="Q5" i="1"/>
  <c r="M5" i="1"/>
  <c r="I5" i="1"/>
  <c r="E5" i="1"/>
  <c r="Q4" i="1"/>
  <c r="M4" i="1"/>
  <c r="I4" i="1"/>
  <c r="E4" i="1"/>
  <c r="R19" i="1" l="1"/>
  <c r="R21" i="1"/>
  <c r="R37" i="1"/>
  <c r="R38" i="1"/>
  <c r="R40" i="1"/>
  <c r="R46" i="1"/>
  <c r="R59" i="1"/>
  <c r="R60" i="1"/>
  <c r="R62" i="1"/>
  <c r="R63" i="1"/>
  <c r="R64" i="1"/>
  <c r="R66" i="1"/>
  <c r="R67" i="1"/>
  <c r="R6" i="1"/>
  <c r="R18" i="1"/>
  <c r="R22" i="1"/>
  <c r="B70" i="1"/>
  <c r="R39" i="1"/>
  <c r="R61" i="1"/>
  <c r="R65" i="1"/>
  <c r="M15" i="1"/>
  <c r="M25" i="1"/>
  <c r="M54" i="1"/>
  <c r="Q42" i="1"/>
  <c r="R36" i="1"/>
  <c r="R57" i="1"/>
  <c r="Q68" i="1"/>
  <c r="R58" i="1"/>
  <c r="G70" i="1"/>
  <c r="R20" i="1"/>
  <c r="N70" i="1"/>
  <c r="R41" i="1"/>
  <c r="R4" i="1"/>
  <c r="R5" i="1"/>
  <c r="C70" i="1"/>
  <c r="H70" i="1"/>
  <c r="Q25" i="1"/>
  <c r="R24" i="1"/>
  <c r="J70" i="1"/>
  <c r="R45" i="1"/>
  <c r="R47" i="1"/>
  <c r="R48" i="1"/>
  <c r="Q15" i="1"/>
  <c r="D70" i="1"/>
  <c r="O70" i="1"/>
  <c r="E25" i="1"/>
  <c r="E70" i="1" s="1"/>
  <c r="F70" i="1"/>
  <c r="M42" i="1"/>
  <c r="I49" i="1"/>
  <c r="I70" i="1" s="1"/>
  <c r="Q54" i="1"/>
  <c r="R52" i="1"/>
  <c r="R53" i="1"/>
  <c r="R68" i="1" l="1"/>
  <c r="R9" i="1"/>
  <c r="M70" i="1"/>
  <c r="R49" i="1"/>
  <c r="Q70" i="1"/>
  <c r="R25" i="1"/>
  <c r="R28" i="1" s="1"/>
  <c r="R29" i="1" s="1"/>
  <c r="R54" i="1"/>
  <c r="R42" i="1"/>
  <c r="R10" i="1"/>
  <c r="R11" i="1" s="1"/>
  <c r="R30" i="1" l="1"/>
  <c r="R31" i="1" s="1"/>
  <c r="R12" i="1"/>
  <c r="R32" i="1" l="1"/>
  <c r="R33" i="1"/>
  <c r="R13" i="1"/>
  <c r="R14" i="1" s="1"/>
  <c r="R15" i="1" s="1"/>
  <c r="R70" i="1" s="1"/>
</calcChain>
</file>

<file path=xl/sharedStrings.xml><?xml version="1.0" encoding="utf-8"?>
<sst xmlns="http://schemas.openxmlformats.org/spreadsheetml/2006/main" count="78" uniqueCount="78">
  <si>
    <t>Sumário</t>
  </si>
  <si>
    <t>Janeiro</t>
  </si>
  <si>
    <t>Fevereiro</t>
  </si>
  <si>
    <t>Março</t>
  </si>
  <si>
    <t>Trim1</t>
  </si>
  <si>
    <t>Abril</t>
  </si>
  <si>
    <t>Maio</t>
  </si>
  <si>
    <t>Junho</t>
  </si>
  <si>
    <t>Trim2</t>
  </si>
  <si>
    <t>Julho</t>
  </si>
  <si>
    <t>Agosto</t>
  </si>
  <si>
    <t>Setembro</t>
  </si>
  <si>
    <t>Trim3</t>
  </si>
  <si>
    <t>Outubro</t>
  </si>
  <si>
    <t>Novembro</t>
  </si>
  <si>
    <t>Dezembro</t>
  </si>
  <si>
    <t>Trim4</t>
  </si>
  <si>
    <t>Ano</t>
  </si>
  <si>
    <t>Unidades Projetadas</t>
  </si>
  <si>
    <t>Lucros Projetados</t>
  </si>
  <si>
    <t>Lucro Projetado Pré-Impostos</t>
  </si>
  <si>
    <t>Variável</t>
  </si>
  <si>
    <t>Tinta</t>
  </si>
  <si>
    <t>Emulsão</t>
  </si>
  <si>
    <t>Redutores</t>
  </si>
  <si>
    <t>Panos</t>
  </si>
  <si>
    <t>Mão-de-obra</t>
  </si>
  <si>
    <t>Total Variável</t>
  </si>
  <si>
    <t>Salários</t>
  </si>
  <si>
    <t>Proprietário</t>
  </si>
  <si>
    <t>Contador</t>
  </si>
  <si>
    <t>Exped./Recebimento</t>
  </si>
  <si>
    <t>Pedidos</t>
  </si>
  <si>
    <t>Projetista</t>
  </si>
  <si>
    <t>Total de Salários</t>
  </si>
  <si>
    <t>Benefícios e Impostos</t>
  </si>
  <si>
    <t>Total Salários e Benefícios</t>
  </si>
  <si>
    <t>Suprimentos</t>
  </si>
  <si>
    <t>Suprimentos para Arte</t>
  </si>
  <si>
    <t>Suprim. para Escritório</t>
  </si>
  <si>
    <t>Suprim. para Produção</t>
  </si>
  <si>
    <t>Telas</t>
  </si>
  <si>
    <t>Escorredores</t>
  </si>
  <si>
    <t>Total de Suprimentos</t>
  </si>
  <si>
    <t>Operacional</t>
  </si>
  <si>
    <t>Utilidades</t>
  </si>
  <si>
    <t>Telefone Principal</t>
  </si>
  <si>
    <t>Números 0800</t>
  </si>
  <si>
    <t>Despesas de Viagem</t>
  </si>
  <si>
    <t>Manut. de Equipam.</t>
  </si>
  <si>
    <t>Op./Manut. de Autom.</t>
  </si>
  <si>
    <t>Total Operacional</t>
  </si>
  <si>
    <t>Contratos</t>
  </si>
  <si>
    <t>Ag. de Marketing</t>
  </si>
  <si>
    <t>Coleta de Lixo</t>
  </si>
  <si>
    <t>Forneced. de Solvente</t>
  </si>
  <si>
    <t>Consult. de Impostos</t>
  </si>
  <si>
    <t>Total de Contratos</t>
  </si>
  <si>
    <t>Aluguéis</t>
  </si>
  <si>
    <t>Aluguel do Prédio</t>
  </si>
  <si>
    <t>Aluguel dos Carrors</t>
  </si>
  <si>
    <t>Total de Aluguéis</t>
  </si>
  <si>
    <t>Capital</t>
  </si>
  <si>
    <t>Prensa</t>
  </si>
  <si>
    <t>Forno</t>
  </si>
  <si>
    <t>Mesa de Exposição</t>
  </si>
  <si>
    <t>Mesa de Luz</t>
  </si>
  <si>
    <t>Mesa de Desenho</t>
  </si>
  <si>
    <t>Computador de Proj.</t>
  </si>
  <si>
    <t>Impressora de Proj.</t>
  </si>
  <si>
    <t>Computador do Escr.</t>
  </si>
  <si>
    <t>Impressora do Escr.</t>
  </si>
  <si>
    <t>Stat Camera</t>
  </si>
  <si>
    <t>Scanner</t>
  </si>
  <si>
    <t>Total do Capital</t>
  </si>
  <si>
    <t>Total de Despesas</t>
  </si>
  <si>
    <t>Outros Serviços</t>
  </si>
  <si>
    <t>Companhia XYZ - Orçamento Previsto para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</si>
</sst>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 indent="1"/>
    </xf>
    <xf numFmtId="3" fontId="0" fillId="0" borderId="0" xfId="0" applyNumberFormat="1"/>
    <xf numFmtId="3" fontId="1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3" fillId="0" borderId="0" xfId="0" applyFont="1" applyAlignment="1">
      <alignment horizontal="left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zoomScaleNormal="100" workbookViewId="0"/>
  </sheetViews>
  <sheetFormatPr defaultRowHeight="15" x14ac:dyDescent="0.25"/>
  <cols>
    <col min="1" max="1" width="29" bestFit="1" customWidth="1"/>
    <col min="2" max="4" width="10.7109375" customWidth="1"/>
    <col min="5" max="5" width="12.7109375" customWidth="1"/>
    <col min="6" max="8" width="10.7109375" customWidth="1"/>
    <col min="9" max="9" width="12.7109375" customWidth="1"/>
    <col min="10" max="12" width="10.7109375" customWidth="1"/>
    <col min="13" max="13" width="12.7109375" customWidth="1"/>
    <col min="14" max="16" width="10.7109375" customWidth="1"/>
    <col min="17" max="17" width="12.7109375" customWidth="1"/>
    <col min="18" max="18" width="14.7109375" customWidth="1"/>
  </cols>
  <sheetData>
    <row r="1" spans="1:18" ht="21" x14ac:dyDescent="0.35">
      <c r="A1" s="10" t="s">
        <v>77</v>
      </c>
      <c r="E1" s="1"/>
      <c r="I1" s="1"/>
      <c r="M1" s="1"/>
      <c r="Q1" s="1"/>
      <c r="R1" s="1"/>
    </row>
    <row r="2" spans="1:18" x14ac:dyDescent="0.25">
      <c r="E2" s="1"/>
      <c r="I2" s="1"/>
      <c r="M2" s="1"/>
      <c r="Q2" s="1"/>
      <c r="R2" s="1"/>
    </row>
    <row r="3" spans="1:18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4" t="s">
        <v>18</v>
      </c>
      <c r="B4" s="5">
        <v>33350</v>
      </c>
      <c r="C4" s="5">
        <v>34500</v>
      </c>
      <c r="D4" s="5">
        <v>35650</v>
      </c>
      <c r="E4" s="6">
        <f t="shared" ref="E4:E6" si="0">SUM(B4:D4)</f>
        <v>103500</v>
      </c>
      <c r="F4" s="5">
        <v>36800</v>
      </c>
      <c r="G4" s="5">
        <v>37950</v>
      </c>
      <c r="H4" s="5">
        <v>39100</v>
      </c>
      <c r="I4" s="6">
        <f t="shared" ref="I4:I6" si="1">SUM(F4:H4)</f>
        <v>113850</v>
      </c>
      <c r="J4" s="5">
        <v>40250</v>
      </c>
      <c r="K4" s="5">
        <v>40250</v>
      </c>
      <c r="L4" s="5">
        <v>41400</v>
      </c>
      <c r="M4" s="6">
        <f t="shared" ref="M4:M6" si="2">SUM(J4:L4)</f>
        <v>121900</v>
      </c>
      <c r="N4" s="5">
        <v>42550</v>
      </c>
      <c r="O4" s="5">
        <v>43700</v>
      </c>
      <c r="P4" s="5">
        <v>44850</v>
      </c>
      <c r="Q4" s="6">
        <f t="shared" ref="Q4:Q6" si="3">SUM(N4:P4)</f>
        <v>131100</v>
      </c>
      <c r="R4" s="6">
        <f t="shared" ref="R4:R6" si="4">SUM(Q4,M4,I4,E4)</f>
        <v>470350</v>
      </c>
    </row>
    <row r="5" spans="1:18" x14ac:dyDescent="0.25">
      <c r="A5" s="4" t="s">
        <v>19</v>
      </c>
      <c r="B5" s="7">
        <v>81650</v>
      </c>
      <c r="C5" s="7">
        <v>83950</v>
      </c>
      <c r="D5" s="7">
        <v>86250</v>
      </c>
      <c r="E5" s="8">
        <f t="shared" si="0"/>
        <v>251850</v>
      </c>
      <c r="F5" s="7">
        <v>88550</v>
      </c>
      <c r="G5" s="7">
        <v>90850</v>
      </c>
      <c r="H5" s="7">
        <v>93150</v>
      </c>
      <c r="I5" s="8">
        <f t="shared" si="1"/>
        <v>272550</v>
      </c>
      <c r="J5" s="7">
        <v>95449.999999999985</v>
      </c>
      <c r="K5" s="7">
        <v>97749.999999999985</v>
      </c>
      <c r="L5" s="7">
        <v>100049.99999999999</v>
      </c>
      <c r="M5" s="8">
        <f t="shared" si="2"/>
        <v>293249.99999999994</v>
      </c>
      <c r="N5" s="7">
        <v>102349.99999999999</v>
      </c>
      <c r="O5" s="7">
        <v>104649.99999999999</v>
      </c>
      <c r="P5" s="7">
        <v>106949.99999999999</v>
      </c>
      <c r="Q5" s="8">
        <f t="shared" si="3"/>
        <v>313949.99999999994</v>
      </c>
      <c r="R5" s="8">
        <f t="shared" si="4"/>
        <v>1131600</v>
      </c>
    </row>
    <row r="6" spans="1:18" x14ac:dyDescent="0.25">
      <c r="A6" s="4" t="s">
        <v>20</v>
      </c>
      <c r="B6" s="7">
        <v>30842.884999999998</v>
      </c>
      <c r="C6" s="7">
        <v>31116.584999999999</v>
      </c>
      <c r="D6" s="7">
        <v>34840.284999999996</v>
      </c>
      <c r="E6" s="8">
        <f t="shared" si="0"/>
        <v>96799.755000000005</v>
      </c>
      <c r="F6" s="7">
        <v>40288.985000000001</v>
      </c>
      <c r="G6" s="7">
        <v>42287.684999999998</v>
      </c>
      <c r="H6" s="7">
        <v>41986.385000000002</v>
      </c>
      <c r="I6" s="8">
        <f t="shared" si="1"/>
        <v>124563.05499999999</v>
      </c>
      <c r="J6" s="7">
        <v>42835.084999999999</v>
      </c>
      <c r="K6" s="7">
        <v>45135.084999999999</v>
      </c>
      <c r="L6" s="7">
        <v>47133.784999999996</v>
      </c>
      <c r="M6" s="8">
        <f t="shared" si="2"/>
        <v>135103.95499999999</v>
      </c>
      <c r="N6" s="7">
        <v>49707.485000000001</v>
      </c>
      <c r="O6" s="7">
        <v>46531.184999999998</v>
      </c>
      <c r="P6" s="7">
        <v>56579.884999999995</v>
      </c>
      <c r="Q6" s="8">
        <f t="shared" si="3"/>
        <v>152818.55499999999</v>
      </c>
      <c r="R6" s="8">
        <f t="shared" si="4"/>
        <v>509285.32</v>
      </c>
    </row>
    <row r="7" spans="1:18" x14ac:dyDescent="0.25">
      <c r="E7" s="1"/>
      <c r="I7" s="1"/>
      <c r="M7" s="1"/>
      <c r="Q7" s="1"/>
      <c r="R7" s="1"/>
    </row>
    <row r="8" spans="1:18" x14ac:dyDescent="0.25">
      <c r="A8" s="2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9" t="s">
        <v>22</v>
      </c>
      <c r="B9" s="7">
        <v>3168.2499999999995</v>
      </c>
      <c r="C9" s="7">
        <v>3277.4999999999995</v>
      </c>
      <c r="D9" s="7">
        <v>3386.7499999999995</v>
      </c>
      <c r="E9" s="8">
        <f t="shared" ref="E9:E14" si="5">SUM(B9:D9)</f>
        <v>9832.4999999999982</v>
      </c>
      <c r="F9" s="7">
        <v>3495.9999999999995</v>
      </c>
      <c r="G9" s="7">
        <v>3605.2499999999995</v>
      </c>
      <c r="H9" s="7">
        <v>3714.4999999999995</v>
      </c>
      <c r="I9" s="8">
        <f t="shared" ref="I9:I14" si="6">SUM(F9:H9)</f>
        <v>10815.749999999998</v>
      </c>
      <c r="J9" s="7">
        <v>3823.7499999999995</v>
      </c>
      <c r="K9" s="7">
        <v>3823.7499999999995</v>
      </c>
      <c r="L9" s="7">
        <v>3932.9999999999995</v>
      </c>
      <c r="M9" s="8">
        <f t="shared" ref="M9:M14" si="7">SUM(J9:L9)</f>
        <v>11580.499999999998</v>
      </c>
      <c r="N9" s="7">
        <v>4042.2499999999995</v>
      </c>
      <c r="O9" s="7">
        <v>4151.5</v>
      </c>
      <c r="P9" s="7">
        <v>4260.75</v>
      </c>
      <c r="Q9" s="8">
        <f t="shared" ref="Q9:Q14" si="8">SUM(N9:P9)</f>
        <v>12454.5</v>
      </c>
      <c r="R9" s="8">
        <f t="shared" ref="R9:R15" si="9">SUM(R4:R8)</f>
        <v>2111235.3199999998</v>
      </c>
    </row>
    <row r="10" spans="1:18" x14ac:dyDescent="0.25">
      <c r="A10" s="9" t="s">
        <v>23</v>
      </c>
      <c r="B10" s="7">
        <v>400.2</v>
      </c>
      <c r="C10" s="7">
        <v>413.99999999999994</v>
      </c>
      <c r="D10" s="7">
        <v>427.79999999999995</v>
      </c>
      <c r="E10" s="8">
        <f t="shared" si="5"/>
        <v>1242</v>
      </c>
      <c r="F10" s="7">
        <v>441.59999999999997</v>
      </c>
      <c r="G10" s="7">
        <v>455.4</v>
      </c>
      <c r="H10" s="7">
        <v>469.2</v>
      </c>
      <c r="I10" s="8">
        <f t="shared" si="6"/>
        <v>1366.2</v>
      </c>
      <c r="J10" s="7">
        <v>482.99999999999994</v>
      </c>
      <c r="K10" s="7">
        <v>482.99999999999994</v>
      </c>
      <c r="L10" s="7">
        <v>496.79999999999995</v>
      </c>
      <c r="M10" s="8">
        <f t="shared" si="7"/>
        <v>1462.7999999999997</v>
      </c>
      <c r="N10" s="7">
        <v>510.59999999999997</v>
      </c>
      <c r="O10" s="7">
        <v>524.4</v>
      </c>
      <c r="P10" s="7">
        <v>538.19999999999993</v>
      </c>
      <c r="Q10" s="8">
        <f t="shared" si="8"/>
        <v>1573.1999999999998</v>
      </c>
      <c r="R10" s="8">
        <f t="shared" si="9"/>
        <v>3752120.6399999997</v>
      </c>
    </row>
    <row r="11" spans="1:18" x14ac:dyDescent="0.25">
      <c r="A11" s="9" t="s">
        <v>24</v>
      </c>
      <c r="B11" s="7">
        <v>66.699999999999989</v>
      </c>
      <c r="C11" s="7">
        <v>69</v>
      </c>
      <c r="D11" s="7">
        <v>71.3</v>
      </c>
      <c r="E11" s="8">
        <f t="shared" si="5"/>
        <v>207</v>
      </c>
      <c r="F11" s="7">
        <v>73.599999999999994</v>
      </c>
      <c r="G11" s="7">
        <v>75.899999999999991</v>
      </c>
      <c r="H11" s="7">
        <v>78.199999999999989</v>
      </c>
      <c r="I11" s="8">
        <f t="shared" si="6"/>
        <v>227.7</v>
      </c>
      <c r="J11" s="7">
        <v>80.5</v>
      </c>
      <c r="K11" s="7">
        <v>80.5</v>
      </c>
      <c r="L11" s="7">
        <v>82.8</v>
      </c>
      <c r="M11" s="8">
        <f t="shared" si="7"/>
        <v>243.8</v>
      </c>
      <c r="N11" s="7">
        <v>85.1</v>
      </c>
      <c r="O11" s="7">
        <v>87.399999999999991</v>
      </c>
      <c r="P11" s="7">
        <v>89.699999999999989</v>
      </c>
      <c r="Q11" s="8">
        <f t="shared" si="8"/>
        <v>262.2</v>
      </c>
      <c r="R11" s="8">
        <f t="shared" si="9"/>
        <v>6372641.2799999993</v>
      </c>
    </row>
    <row r="12" spans="1:18" x14ac:dyDescent="0.25">
      <c r="A12" s="9" t="s">
        <v>25</v>
      </c>
      <c r="B12" s="7">
        <v>66.699999999999989</v>
      </c>
      <c r="C12" s="7">
        <v>69</v>
      </c>
      <c r="D12" s="7">
        <v>71.3</v>
      </c>
      <c r="E12" s="8">
        <f t="shared" si="5"/>
        <v>207</v>
      </c>
      <c r="F12" s="7">
        <v>73.599999999999994</v>
      </c>
      <c r="G12" s="7">
        <v>75.899999999999991</v>
      </c>
      <c r="H12" s="7">
        <v>78.199999999999989</v>
      </c>
      <c r="I12" s="8">
        <f t="shared" si="6"/>
        <v>227.7</v>
      </c>
      <c r="J12" s="7">
        <v>80.5</v>
      </c>
      <c r="K12" s="7">
        <v>80.5</v>
      </c>
      <c r="L12" s="7">
        <v>82.8</v>
      </c>
      <c r="M12" s="8">
        <f t="shared" si="7"/>
        <v>243.8</v>
      </c>
      <c r="N12" s="7">
        <v>85.1</v>
      </c>
      <c r="O12" s="7">
        <v>87.399999999999991</v>
      </c>
      <c r="P12" s="7">
        <v>89.699999999999989</v>
      </c>
      <c r="Q12" s="8">
        <f t="shared" si="8"/>
        <v>262.2</v>
      </c>
      <c r="R12" s="8">
        <f t="shared" si="9"/>
        <v>12235997.239999998</v>
      </c>
    </row>
    <row r="13" spans="1:18" x14ac:dyDescent="0.25">
      <c r="A13" s="9" t="s">
        <v>26</v>
      </c>
      <c r="B13" s="7">
        <v>4669</v>
      </c>
      <c r="C13" s="7">
        <v>4830</v>
      </c>
      <c r="D13" s="7">
        <v>4991</v>
      </c>
      <c r="E13" s="8">
        <f t="shared" si="5"/>
        <v>14490</v>
      </c>
      <c r="F13" s="7">
        <v>5152</v>
      </c>
      <c r="G13" s="7">
        <v>5313</v>
      </c>
      <c r="H13" s="7">
        <v>5474</v>
      </c>
      <c r="I13" s="8">
        <f t="shared" si="6"/>
        <v>15939</v>
      </c>
      <c r="J13" s="7">
        <v>5635.0000000000009</v>
      </c>
      <c r="K13" s="7">
        <v>5635.0000000000009</v>
      </c>
      <c r="L13" s="7">
        <v>5796.0000000000009</v>
      </c>
      <c r="M13" s="8">
        <f t="shared" si="7"/>
        <v>17066.000000000004</v>
      </c>
      <c r="N13" s="7">
        <v>5957.0000000000009</v>
      </c>
      <c r="O13" s="7">
        <v>6118.0000000000009</v>
      </c>
      <c r="P13" s="7">
        <v>6279.0000000000009</v>
      </c>
      <c r="Q13" s="8">
        <f t="shared" si="8"/>
        <v>18354.000000000004</v>
      </c>
      <c r="R13" s="8">
        <f t="shared" si="9"/>
        <v>24471994.479999997</v>
      </c>
    </row>
    <row r="14" spans="1:18" x14ac:dyDescent="0.25">
      <c r="A14" s="9" t="s">
        <v>76</v>
      </c>
      <c r="B14" s="7">
        <v>366.84999999999997</v>
      </c>
      <c r="C14" s="7">
        <v>379.49999999999994</v>
      </c>
      <c r="D14" s="7">
        <v>392.15</v>
      </c>
      <c r="E14" s="8">
        <f t="shared" si="5"/>
        <v>1138.5</v>
      </c>
      <c r="F14" s="7">
        <v>404.79999999999995</v>
      </c>
      <c r="G14" s="7">
        <v>417.45</v>
      </c>
      <c r="H14" s="7">
        <v>430.09999999999997</v>
      </c>
      <c r="I14" s="8">
        <f t="shared" si="6"/>
        <v>1252.3499999999999</v>
      </c>
      <c r="J14" s="7">
        <v>442.74999999999994</v>
      </c>
      <c r="K14" s="7">
        <v>442.74999999999994</v>
      </c>
      <c r="L14" s="7">
        <v>455.4</v>
      </c>
      <c r="M14" s="8">
        <f t="shared" si="7"/>
        <v>1340.8999999999999</v>
      </c>
      <c r="N14" s="7">
        <v>468.04999999999995</v>
      </c>
      <c r="O14" s="7">
        <v>480.7</v>
      </c>
      <c r="P14" s="7">
        <v>493.34999999999997</v>
      </c>
      <c r="Q14" s="8">
        <f t="shared" si="8"/>
        <v>1442.1</v>
      </c>
      <c r="R14" s="8">
        <f t="shared" si="9"/>
        <v>48943988.959999993</v>
      </c>
    </row>
    <row r="15" spans="1:18" x14ac:dyDescent="0.25">
      <c r="A15" s="2" t="s">
        <v>27</v>
      </c>
      <c r="B15" s="8">
        <f t="shared" ref="B15:Q15" si="10">SUM(B9:B14)</f>
        <v>8737.6999999999989</v>
      </c>
      <c r="C15" s="8">
        <f t="shared" si="10"/>
        <v>9039</v>
      </c>
      <c r="D15" s="8">
        <f t="shared" si="10"/>
        <v>9340.2999999999993</v>
      </c>
      <c r="E15" s="8">
        <f t="shared" si="10"/>
        <v>27117</v>
      </c>
      <c r="F15" s="8">
        <f t="shared" si="10"/>
        <v>9641.5999999999985</v>
      </c>
      <c r="G15" s="8">
        <f t="shared" si="10"/>
        <v>9942.9</v>
      </c>
      <c r="H15" s="8">
        <f t="shared" si="10"/>
        <v>10244.199999999999</v>
      </c>
      <c r="I15" s="8">
        <f t="shared" si="10"/>
        <v>29828.699999999997</v>
      </c>
      <c r="J15" s="8">
        <f t="shared" si="10"/>
        <v>10545.5</v>
      </c>
      <c r="K15" s="8">
        <f t="shared" si="10"/>
        <v>10545.5</v>
      </c>
      <c r="L15" s="8">
        <f t="shared" si="10"/>
        <v>10846.800000000001</v>
      </c>
      <c r="M15" s="8">
        <f t="shared" si="10"/>
        <v>31937.800000000003</v>
      </c>
      <c r="N15" s="8">
        <f t="shared" si="10"/>
        <v>11148.1</v>
      </c>
      <c r="O15" s="8">
        <f t="shared" si="10"/>
        <v>11449.400000000001</v>
      </c>
      <c r="P15" s="8">
        <f t="shared" si="10"/>
        <v>11750.7</v>
      </c>
      <c r="Q15" s="8">
        <f t="shared" si="10"/>
        <v>34348.200000000004</v>
      </c>
      <c r="R15" s="8">
        <f t="shared" si="9"/>
        <v>95776742.599999994</v>
      </c>
    </row>
    <row r="16" spans="1:18" x14ac:dyDescent="0.25">
      <c r="E16" s="1"/>
      <c r="I16" s="1"/>
      <c r="M16" s="1"/>
      <c r="Q16" s="1"/>
      <c r="R16" s="1"/>
    </row>
    <row r="17" spans="1:18" x14ac:dyDescent="0.25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9" t="s">
        <v>29</v>
      </c>
      <c r="B18" s="7">
        <v>9200</v>
      </c>
      <c r="C18" s="7">
        <v>9200</v>
      </c>
      <c r="D18" s="7">
        <v>9200</v>
      </c>
      <c r="E18" s="8">
        <f t="shared" ref="E18:E22" si="11">SUM(B18:D18)</f>
        <v>27600</v>
      </c>
      <c r="F18" s="7">
        <v>9200</v>
      </c>
      <c r="G18" s="7">
        <v>9200</v>
      </c>
      <c r="H18" s="7">
        <v>9200</v>
      </c>
      <c r="I18" s="8">
        <f t="shared" ref="I18:I22" si="12">SUM(F18:H18)</f>
        <v>27600</v>
      </c>
      <c r="J18" s="7">
        <v>9200</v>
      </c>
      <c r="K18" s="7">
        <v>9200</v>
      </c>
      <c r="L18" s="7">
        <v>9200</v>
      </c>
      <c r="M18" s="8">
        <f t="shared" ref="M18:M22" si="13">SUM(J18:L18)</f>
        <v>27600</v>
      </c>
      <c r="N18" s="7">
        <v>9200</v>
      </c>
      <c r="O18" s="7">
        <v>9200</v>
      </c>
      <c r="P18" s="7">
        <v>9200</v>
      </c>
      <c r="Q18" s="8">
        <f t="shared" ref="Q18:Q22" si="14">SUM(N18:P18)</f>
        <v>27600</v>
      </c>
      <c r="R18" s="8">
        <f t="shared" ref="R18:R24" si="15">SUM(Q18,M18,I18,E18)</f>
        <v>110400</v>
      </c>
    </row>
    <row r="19" spans="1:18" x14ac:dyDescent="0.25">
      <c r="A19" s="9" t="s">
        <v>30</v>
      </c>
      <c r="B19" s="7">
        <v>2875</v>
      </c>
      <c r="C19" s="7">
        <v>2875</v>
      </c>
      <c r="D19" s="7">
        <v>2875</v>
      </c>
      <c r="E19" s="8">
        <f t="shared" si="11"/>
        <v>8625</v>
      </c>
      <c r="F19" s="7">
        <v>2875</v>
      </c>
      <c r="G19" s="7">
        <v>2875</v>
      </c>
      <c r="H19" s="7">
        <v>2875</v>
      </c>
      <c r="I19" s="8">
        <f t="shared" si="12"/>
        <v>8625</v>
      </c>
      <c r="J19" s="7">
        <v>2875</v>
      </c>
      <c r="K19" s="7">
        <v>2875</v>
      </c>
      <c r="L19" s="7">
        <v>2875</v>
      </c>
      <c r="M19" s="8">
        <f t="shared" si="13"/>
        <v>8625</v>
      </c>
      <c r="N19" s="7">
        <v>2875</v>
      </c>
      <c r="O19" s="7">
        <v>2875</v>
      </c>
      <c r="P19" s="7">
        <v>2875</v>
      </c>
      <c r="Q19" s="8">
        <f t="shared" si="14"/>
        <v>8625</v>
      </c>
      <c r="R19" s="8">
        <f t="shared" si="15"/>
        <v>34500</v>
      </c>
    </row>
    <row r="20" spans="1:18" x14ac:dyDescent="0.25">
      <c r="A20" s="9" t="s">
        <v>31</v>
      </c>
      <c r="B20" s="7">
        <v>1416.8</v>
      </c>
      <c r="C20" s="7">
        <v>1416.8</v>
      </c>
      <c r="D20" s="7">
        <v>1416.8</v>
      </c>
      <c r="E20" s="8">
        <f t="shared" si="11"/>
        <v>4250.3999999999996</v>
      </c>
      <c r="F20" s="7">
        <v>1416.8</v>
      </c>
      <c r="G20" s="7">
        <v>1416.8</v>
      </c>
      <c r="H20" s="7">
        <v>1416.8</v>
      </c>
      <c r="I20" s="8">
        <f t="shared" si="12"/>
        <v>4250.3999999999996</v>
      </c>
      <c r="J20" s="7">
        <v>1416.8</v>
      </c>
      <c r="K20" s="7">
        <v>1416.8</v>
      </c>
      <c r="L20" s="7">
        <v>1416.8</v>
      </c>
      <c r="M20" s="8">
        <f t="shared" si="13"/>
        <v>4250.3999999999996</v>
      </c>
      <c r="N20" s="7">
        <v>1416.8</v>
      </c>
      <c r="O20" s="7">
        <v>1416.8</v>
      </c>
      <c r="P20" s="7">
        <v>1416.8</v>
      </c>
      <c r="Q20" s="8">
        <f t="shared" si="14"/>
        <v>4250.3999999999996</v>
      </c>
      <c r="R20" s="8">
        <f t="shared" si="15"/>
        <v>17001.599999999999</v>
      </c>
    </row>
    <row r="21" spans="1:18" x14ac:dyDescent="0.25">
      <c r="A21" s="9" t="s">
        <v>32</v>
      </c>
      <c r="B21" s="7">
        <v>2833.6</v>
      </c>
      <c r="C21" s="7">
        <v>2833.6</v>
      </c>
      <c r="D21" s="7">
        <v>2833.6</v>
      </c>
      <c r="E21" s="8">
        <f t="shared" si="11"/>
        <v>8500.7999999999993</v>
      </c>
      <c r="F21" s="7">
        <v>2833.6</v>
      </c>
      <c r="G21" s="7">
        <v>2833.6</v>
      </c>
      <c r="H21" s="7">
        <v>2833.6</v>
      </c>
      <c r="I21" s="8">
        <f t="shared" si="12"/>
        <v>8500.7999999999993</v>
      </c>
      <c r="J21" s="7">
        <v>2833.6</v>
      </c>
      <c r="K21" s="7">
        <v>2833.6</v>
      </c>
      <c r="L21" s="7">
        <v>2833.6</v>
      </c>
      <c r="M21" s="8">
        <f t="shared" si="13"/>
        <v>8500.7999999999993</v>
      </c>
      <c r="N21" s="7">
        <v>2833.6</v>
      </c>
      <c r="O21" s="7">
        <v>2833.6</v>
      </c>
      <c r="P21" s="7">
        <v>2833.6</v>
      </c>
      <c r="Q21" s="8">
        <f t="shared" si="14"/>
        <v>8500.7999999999993</v>
      </c>
      <c r="R21" s="8">
        <f t="shared" si="15"/>
        <v>34003.199999999997</v>
      </c>
    </row>
    <row r="22" spans="1:18" x14ac:dyDescent="0.25">
      <c r="A22" s="9" t="s">
        <v>33</v>
      </c>
      <c r="B22" s="7">
        <v>2702.5</v>
      </c>
      <c r="C22" s="7">
        <v>2702.5</v>
      </c>
      <c r="D22" s="7">
        <v>2702.5</v>
      </c>
      <c r="E22" s="8">
        <f t="shared" si="11"/>
        <v>8107.5</v>
      </c>
      <c r="F22" s="7">
        <v>2702.5</v>
      </c>
      <c r="G22" s="7">
        <v>2702.5</v>
      </c>
      <c r="H22" s="7">
        <v>2702.5</v>
      </c>
      <c r="I22" s="8">
        <f t="shared" si="12"/>
        <v>8107.5</v>
      </c>
      <c r="J22" s="7">
        <v>2702.5</v>
      </c>
      <c r="K22" s="7">
        <v>2702.5</v>
      </c>
      <c r="L22" s="7">
        <v>2702.5</v>
      </c>
      <c r="M22" s="8">
        <f t="shared" si="13"/>
        <v>8107.5</v>
      </c>
      <c r="N22" s="7">
        <v>2702.5</v>
      </c>
      <c r="O22" s="7">
        <v>2702.5</v>
      </c>
      <c r="P22" s="7">
        <v>2702.5</v>
      </c>
      <c r="Q22" s="8">
        <f t="shared" si="14"/>
        <v>8107.5</v>
      </c>
      <c r="R22" s="8">
        <f t="shared" si="15"/>
        <v>32430</v>
      </c>
    </row>
    <row r="23" spans="1:18" x14ac:dyDescent="0.25">
      <c r="A23" s="2" t="s">
        <v>34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25">
      <c r="A24" s="9" t="s">
        <v>35</v>
      </c>
      <c r="B24" s="7">
        <v>6659.7649999999985</v>
      </c>
      <c r="C24" s="7">
        <v>6659.7649999999985</v>
      </c>
      <c r="D24" s="7">
        <v>6659.7649999999985</v>
      </c>
      <c r="E24" s="8">
        <f>SUM(B24:D24)</f>
        <v>19979.294999999995</v>
      </c>
      <c r="F24" s="7">
        <v>6659.7649999999985</v>
      </c>
      <c r="G24" s="7">
        <v>6659.7649999999985</v>
      </c>
      <c r="H24" s="7">
        <v>6659.7649999999985</v>
      </c>
      <c r="I24" s="8">
        <f>SUM(F24:H24)</f>
        <v>19979.294999999995</v>
      </c>
      <c r="J24" s="7">
        <v>6659.7649999999985</v>
      </c>
      <c r="K24" s="7">
        <v>6659.7649999999985</v>
      </c>
      <c r="L24" s="7">
        <v>6659.7649999999985</v>
      </c>
      <c r="M24" s="8">
        <f>SUM(J24:L24)</f>
        <v>19979.294999999995</v>
      </c>
      <c r="N24" s="7">
        <v>6659.7649999999985</v>
      </c>
      <c r="O24" s="7">
        <v>6659.7649999999985</v>
      </c>
      <c r="P24" s="7">
        <v>6659.7649999999985</v>
      </c>
      <c r="Q24" s="8">
        <f>SUM(N24:P24)</f>
        <v>19979.294999999995</v>
      </c>
      <c r="R24" s="8">
        <f t="shared" si="15"/>
        <v>79917.179999999978</v>
      </c>
    </row>
    <row r="25" spans="1:18" x14ac:dyDescent="0.25">
      <c r="A25" s="2" t="s">
        <v>36</v>
      </c>
      <c r="B25" s="8">
        <f>SUM(B18:B22)+B24</f>
        <v>25687.665000000001</v>
      </c>
      <c r="C25" s="8">
        <f t="shared" ref="C25:R25" si="16">SUM(C18:C22)+C24</f>
        <v>25687.665000000001</v>
      </c>
      <c r="D25" s="8">
        <f t="shared" si="16"/>
        <v>25687.665000000001</v>
      </c>
      <c r="E25" s="8">
        <f t="shared" si="16"/>
        <v>77062.994999999995</v>
      </c>
      <c r="F25" s="8">
        <f t="shared" si="16"/>
        <v>25687.665000000001</v>
      </c>
      <c r="G25" s="8">
        <f t="shared" si="16"/>
        <v>25687.665000000001</v>
      </c>
      <c r="H25" s="8">
        <f t="shared" si="16"/>
        <v>25687.665000000001</v>
      </c>
      <c r="I25" s="8">
        <f t="shared" si="16"/>
        <v>77062.994999999995</v>
      </c>
      <c r="J25" s="8">
        <f t="shared" si="16"/>
        <v>25687.665000000001</v>
      </c>
      <c r="K25" s="8">
        <f t="shared" si="16"/>
        <v>25687.665000000001</v>
      </c>
      <c r="L25" s="8">
        <f t="shared" si="16"/>
        <v>25687.665000000001</v>
      </c>
      <c r="M25" s="8">
        <f t="shared" si="16"/>
        <v>77062.994999999995</v>
      </c>
      <c r="N25" s="8">
        <f t="shared" si="16"/>
        <v>25687.665000000001</v>
      </c>
      <c r="O25" s="8">
        <f t="shared" si="16"/>
        <v>25687.665000000001</v>
      </c>
      <c r="P25" s="8">
        <f t="shared" si="16"/>
        <v>25687.665000000001</v>
      </c>
      <c r="Q25" s="8">
        <f t="shared" si="16"/>
        <v>77062.994999999995</v>
      </c>
      <c r="R25" s="8">
        <f t="shared" si="16"/>
        <v>308251.98</v>
      </c>
    </row>
    <row r="26" spans="1:18" x14ac:dyDescent="0.25">
      <c r="E26" s="1"/>
      <c r="I26" s="1"/>
      <c r="M26" s="1"/>
      <c r="Q26" s="1"/>
      <c r="R26" s="1"/>
    </row>
    <row r="27" spans="1:18" x14ac:dyDescent="0.25">
      <c r="A27" s="2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9" t="s">
        <v>38</v>
      </c>
      <c r="B28" s="7">
        <v>345</v>
      </c>
      <c r="C28" s="7">
        <v>345</v>
      </c>
      <c r="D28" s="7">
        <v>345</v>
      </c>
      <c r="E28" s="8">
        <f t="shared" ref="E28:E32" si="17">SUM(B28:D28)</f>
        <v>1035</v>
      </c>
      <c r="F28" s="7">
        <v>345</v>
      </c>
      <c r="G28" s="7">
        <v>345</v>
      </c>
      <c r="H28" s="7">
        <v>345</v>
      </c>
      <c r="I28" s="8">
        <f t="shared" ref="I28:I32" si="18">SUM(F28:H28)</f>
        <v>1035</v>
      </c>
      <c r="J28" s="7">
        <v>345</v>
      </c>
      <c r="K28" s="7">
        <v>345</v>
      </c>
      <c r="L28" s="7">
        <v>345</v>
      </c>
      <c r="M28" s="8">
        <f t="shared" ref="M28:M32" si="19">SUM(J28:L28)</f>
        <v>1035</v>
      </c>
      <c r="N28" s="7">
        <v>345</v>
      </c>
      <c r="O28" s="7">
        <v>345</v>
      </c>
      <c r="P28" s="7">
        <v>345</v>
      </c>
      <c r="Q28" s="8">
        <f t="shared" ref="Q28:Q32" si="20">SUM(N28:P28)</f>
        <v>1035</v>
      </c>
      <c r="R28" s="8">
        <f t="shared" ref="R28:R32" si="21">SUM(R25:R27)</f>
        <v>308251.98</v>
      </c>
    </row>
    <row r="29" spans="1:18" x14ac:dyDescent="0.25">
      <c r="A29" s="9" t="s">
        <v>39</v>
      </c>
      <c r="B29" s="7">
        <v>229.99999999999997</v>
      </c>
      <c r="C29" s="7">
        <v>229.99999999999997</v>
      </c>
      <c r="D29" s="7">
        <v>229.99999999999997</v>
      </c>
      <c r="E29" s="8">
        <f t="shared" si="17"/>
        <v>689.99999999999989</v>
      </c>
      <c r="F29" s="7">
        <v>229.99999999999997</v>
      </c>
      <c r="G29" s="7">
        <v>229.99999999999997</v>
      </c>
      <c r="H29" s="7">
        <v>229.99999999999997</v>
      </c>
      <c r="I29" s="8">
        <f t="shared" si="18"/>
        <v>689.99999999999989</v>
      </c>
      <c r="J29" s="7">
        <v>229.99999999999997</v>
      </c>
      <c r="K29" s="7">
        <v>229.99999999999997</v>
      </c>
      <c r="L29" s="7">
        <v>229.99999999999997</v>
      </c>
      <c r="M29" s="8">
        <f t="shared" si="19"/>
        <v>689.99999999999989</v>
      </c>
      <c r="N29" s="7">
        <v>229.99999999999997</v>
      </c>
      <c r="O29" s="7">
        <v>229.99999999999997</v>
      </c>
      <c r="P29" s="7">
        <v>229.99999999999997</v>
      </c>
      <c r="Q29" s="8">
        <f t="shared" si="20"/>
        <v>689.99999999999989</v>
      </c>
      <c r="R29" s="8">
        <f t="shared" si="21"/>
        <v>308251.98</v>
      </c>
    </row>
    <row r="30" spans="1:18" x14ac:dyDescent="0.25">
      <c r="A30" s="9" t="s">
        <v>40</v>
      </c>
      <c r="B30" s="7">
        <v>114.99999999999999</v>
      </c>
      <c r="C30" s="7">
        <v>114.99999999999999</v>
      </c>
      <c r="D30" s="7">
        <v>114.99999999999999</v>
      </c>
      <c r="E30" s="8">
        <f t="shared" si="17"/>
        <v>344.99999999999994</v>
      </c>
      <c r="F30" s="7">
        <v>114.99999999999999</v>
      </c>
      <c r="G30" s="7">
        <v>114.99999999999999</v>
      </c>
      <c r="H30" s="7">
        <v>114.99999999999999</v>
      </c>
      <c r="I30" s="8">
        <f t="shared" si="18"/>
        <v>344.99999999999994</v>
      </c>
      <c r="J30" s="7">
        <v>114.99999999999999</v>
      </c>
      <c r="K30" s="7">
        <v>114.99999999999999</v>
      </c>
      <c r="L30" s="7">
        <v>114.99999999999999</v>
      </c>
      <c r="M30" s="8">
        <f t="shared" si="19"/>
        <v>344.99999999999994</v>
      </c>
      <c r="N30" s="7">
        <v>114.99999999999999</v>
      </c>
      <c r="O30" s="7">
        <v>114.99999999999999</v>
      </c>
      <c r="P30" s="7">
        <v>114.99999999999999</v>
      </c>
      <c r="Q30" s="8">
        <f t="shared" si="20"/>
        <v>344.99999999999994</v>
      </c>
      <c r="R30" s="8">
        <f t="shared" si="21"/>
        <v>616503.96</v>
      </c>
    </row>
    <row r="31" spans="1:18" x14ac:dyDescent="0.25">
      <c r="A31" s="9" t="s">
        <v>41</v>
      </c>
      <c r="B31" s="7">
        <v>161</v>
      </c>
      <c r="C31" s="7">
        <v>161</v>
      </c>
      <c r="D31" s="7">
        <v>161</v>
      </c>
      <c r="E31" s="8">
        <f t="shared" si="17"/>
        <v>483</v>
      </c>
      <c r="F31" s="7">
        <v>161</v>
      </c>
      <c r="G31" s="7">
        <v>161</v>
      </c>
      <c r="H31" s="7">
        <v>161</v>
      </c>
      <c r="I31" s="8">
        <f t="shared" si="18"/>
        <v>483</v>
      </c>
      <c r="J31" s="7">
        <v>161</v>
      </c>
      <c r="K31" s="7">
        <v>161</v>
      </c>
      <c r="L31" s="7">
        <v>161</v>
      </c>
      <c r="M31" s="8">
        <f t="shared" si="19"/>
        <v>483</v>
      </c>
      <c r="N31" s="7">
        <v>161</v>
      </c>
      <c r="O31" s="7">
        <v>161</v>
      </c>
      <c r="P31" s="7">
        <v>161</v>
      </c>
      <c r="Q31" s="8">
        <f t="shared" si="20"/>
        <v>483</v>
      </c>
      <c r="R31" s="8">
        <f t="shared" si="21"/>
        <v>1233007.92</v>
      </c>
    </row>
    <row r="32" spans="1:18" x14ac:dyDescent="0.25">
      <c r="A32" s="9" t="s">
        <v>42</v>
      </c>
      <c r="B32" s="7">
        <v>69</v>
      </c>
      <c r="C32" s="7">
        <v>69</v>
      </c>
      <c r="D32" s="7">
        <v>69</v>
      </c>
      <c r="E32" s="8">
        <f t="shared" si="17"/>
        <v>207</v>
      </c>
      <c r="F32" s="7">
        <v>69</v>
      </c>
      <c r="G32" s="7">
        <v>69</v>
      </c>
      <c r="H32" s="7">
        <v>69</v>
      </c>
      <c r="I32" s="8">
        <f t="shared" si="18"/>
        <v>207</v>
      </c>
      <c r="J32" s="7">
        <v>69</v>
      </c>
      <c r="K32" s="7">
        <v>69</v>
      </c>
      <c r="L32" s="7">
        <v>69</v>
      </c>
      <c r="M32" s="8">
        <f t="shared" si="19"/>
        <v>207</v>
      </c>
      <c r="N32" s="7">
        <v>69</v>
      </c>
      <c r="O32" s="7">
        <v>69</v>
      </c>
      <c r="P32" s="7">
        <v>69</v>
      </c>
      <c r="Q32" s="8">
        <f t="shared" si="20"/>
        <v>207</v>
      </c>
      <c r="R32" s="8">
        <f t="shared" si="21"/>
        <v>2157763.86</v>
      </c>
    </row>
    <row r="33" spans="1:18" x14ac:dyDescent="0.25">
      <c r="A33" s="2" t="s">
        <v>43</v>
      </c>
      <c r="B33" s="8">
        <f>SUM(B28:B32)</f>
        <v>920</v>
      </c>
      <c r="C33" s="8">
        <f t="shared" ref="C33:R33" si="22">SUM(C28:C32)</f>
        <v>920</v>
      </c>
      <c r="D33" s="8">
        <f t="shared" si="22"/>
        <v>920</v>
      </c>
      <c r="E33" s="8">
        <f t="shared" si="22"/>
        <v>2760</v>
      </c>
      <c r="F33" s="8">
        <f t="shared" si="22"/>
        <v>920</v>
      </c>
      <c r="G33" s="8">
        <f t="shared" si="22"/>
        <v>920</v>
      </c>
      <c r="H33" s="8">
        <f t="shared" si="22"/>
        <v>920</v>
      </c>
      <c r="I33" s="8">
        <f t="shared" si="22"/>
        <v>2760</v>
      </c>
      <c r="J33" s="8">
        <f t="shared" si="22"/>
        <v>920</v>
      </c>
      <c r="K33" s="8">
        <f t="shared" si="22"/>
        <v>920</v>
      </c>
      <c r="L33" s="8">
        <f t="shared" si="22"/>
        <v>920</v>
      </c>
      <c r="M33" s="8">
        <f t="shared" si="22"/>
        <v>2760</v>
      </c>
      <c r="N33" s="8">
        <f t="shared" si="22"/>
        <v>920</v>
      </c>
      <c r="O33" s="8">
        <f t="shared" si="22"/>
        <v>920</v>
      </c>
      <c r="P33" s="8">
        <f t="shared" si="22"/>
        <v>920</v>
      </c>
      <c r="Q33" s="8">
        <f t="shared" si="22"/>
        <v>2760</v>
      </c>
      <c r="R33" s="8">
        <f t="shared" si="22"/>
        <v>4623779.6999999993</v>
      </c>
    </row>
    <row r="34" spans="1:18" x14ac:dyDescent="0.25">
      <c r="E34" s="1"/>
      <c r="I34" s="1"/>
      <c r="M34" s="1"/>
      <c r="Q34" s="1"/>
      <c r="R34" s="1"/>
    </row>
    <row r="35" spans="1:18" x14ac:dyDescent="0.25">
      <c r="A35" s="2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9" t="s">
        <v>45</v>
      </c>
      <c r="B36" s="7">
        <v>345</v>
      </c>
      <c r="C36" s="7">
        <v>345</v>
      </c>
      <c r="D36" s="7">
        <v>345</v>
      </c>
      <c r="E36" s="8">
        <f t="shared" ref="E36:E41" si="23">SUM(B36:D36)</f>
        <v>1035</v>
      </c>
      <c r="F36" s="7">
        <v>345</v>
      </c>
      <c r="G36" s="7">
        <v>345</v>
      </c>
      <c r="H36" s="7">
        <v>345</v>
      </c>
      <c r="I36" s="8">
        <f t="shared" ref="I36:I41" si="24">SUM(F36:H36)</f>
        <v>1035</v>
      </c>
      <c r="J36" s="7">
        <v>345</v>
      </c>
      <c r="K36" s="7">
        <v>345</v>
      </c>
      <c r="L36" s="7">
        <v>345</v>
      </c>
      <c r="M36" s="8">
        <f t="shared" ref="M36:M41" si="25">SUM(J36:L36)</f>
        <v>1035</v>
      </c>
      <c r="N36" s="7">
        <v>345</v>
      </c>
      <c r="O36" s="7">
        <v>345</v>
      </c>
      <c r="P36" s="7">
        <v>345</v>
      </c>
      <c r="Q36" s="8">
        <f t="shared" ref="Q36:Q41" si="26">SUM(N36:P36)</f>
        <v>1035</v>
      </c>
      <c r="R36" s="8">
        <f t="shared" ref="R36:R41" si="27">SUM(Q36,M36,I36,E36)</f>
        <v>4140</v>
      </c>
    </row>
    <row r="37" spans="1:18" x14ac:dyDescent="0.25">
      <c r="A37" s="9" t="s">
        <v>46</v>
      </c>
      <c r="B37" s="7">
        <v>172.5</v>
      </c>
      <c r="C37" s="7">
        <v>172.5</v>
      </c>
      <c r="D37" s="7">
        <v>172.5</v>
      </c>
      <c r="E37" s="8">
        <f t="shared" si="23"/>
        <v>517.5</v>
      </c>
      <c r="F37" s="7">
        <v>172.5</v>
      </c>
      <c r="G37" s="7">
        <v>172.5</v>
      </c>
      <c r="H37" s="7">
        <v>172.5</v>
      </c>
      <c r="I37" s="8">
        <f t="shared" si="24"/>
        <v>517.5</v>
      </c>
      <c r="J37" s="7">
        <v>172.5</v>
      </c>
      <c r="K37" s="7">
        <v>172.5</v>
      </c>
      <c r="L37" s="7">
        <v>172.5</v>
      </c>
      <c r="M37" s="8">
        <f t="shared" si="25"/>
        <v>517.5</v>
      </c>
      <c r="N37" s="7">
        <v>172.5</v>
      </c>
      <c r="O37" s="7">
        <v>172.5</v>
      </c>
      <c r="P37" s="7">
        <v>172.5</v>
      </c>
      <c r="Q37" s="8">
        <f t="shared" si="26"/>
        <v>517.5</v>
      </c>
      <c r="R37" s="8">
        <f t="shared" si="27"/>
        <v>2070</v>
      </c>
    </row>
    <row r="38" spans="1:18" x14ac:dyDescent="0.25">
      <c r="A38" s="9" t="s">
        <v>47</v>
      </c>
      <c r="B38" s="7">
        <v>1150</v>
      </c>
      <c r="C38" s="7">
        <v>1150</v>
      </c>
      <c r="D38" s="7">
        <v>1150</v>
      </c>
      <c r="E38" s="8">
        <f t="shared" si="23"/>
        <v>3450</v>
      </c>
      <c r="F38" s="7">
        <v>1150</v>
      </c>
      <c r="G38" s="7">
        <v>1150</v>
      </c>
      <c r="H38" s="7">
        <v>1150</v>
      </c>
      <c r="I38" s="8">
        <f t="shared" si="24"/>
        <v>3450</v>
      </c>
      <c r="J38" s="7">
        <v>1150</v>
      </c>
      <c r="K38" s="7">
        <v>1150</v>
      </c>
      <c r="L38" s="7">
        <v>1150</v>
      </c>
      <c r="M38" s="8">
        <f t="shared" si="25"/>
        <v>3450</v>
      </c>
      <c r="N38" s="7">
        <v>1150</v>
      </c>
      <c r="O38" s="7">
        <v>1150</v>
      </c>
      <c r="P38" s="7">
        <v>1150</v>
      </c>
      <c r="Q38" s="8">
        <f t="shared" si="26"/>
        <v>3450</v>
      </c>
      <c r="R38" s="8">
        <f t="shared" si="27"/>
        <v>13800</v>
      </c>
    </row>
    <row r="39" spans="1:18" x14ac:dyDescent="0.25">
      <c r="A39" s="9" t="s">
        <v>48</v>
      </c>
      <c r="B39" s="7">
        <v>575</v>
      </c>
      <c r="C39" s="7">
        <v>2300</v>
      </c>
      <c r="D39" s="7">
        <v>575</v>
      </c>
      <c r="E39" s="8">
        <f t="shared" si="23"/>
        <v>3450</v>
      </c>
      <c r="F39" s="7">
        <v>575</v>
      </c>
      <c r="G39" s="7">
        <v>575</v>
      </c>
      <c r="H39" s="7">
        <v>2875</v>
      </c>
      <c r="I39" s="8">
        <f t="shared" si="24"/>
        <v>4025</v>
      </c>
      <c r="J39" s="7">
        <v>575</v>
      </c>
      <c r="K39" s="7">
        <v>575</v>
      </c>
      <c r="L39" s="7">
        <v>575</v>
      </c>
      <c r="M39" s="8">
        <f t="shared" si="25"/>
        <v>1725</v>
      </c>
      <c r="N39" s="7">
        <v>3449.9999999999995</v>
      </c>
      <c r="O39" s="7">
        <v>575</v>
      </c>
      <c r="P39" s="7">
        <v>575</v>
      </c>
      <c r="Q39" s="8">
        <f t="shared" si="26"/>
        <v>4600</v>
      </c>
      <c r="R39" s="8">
        <f t="shared" si="27"/>
        <v>13800</v>
      </c>
    </row>
    <row r="40" spans="1:18" x14ac:dyDescent="0.25">
      <c r="A40" s="9" t="s">
        <v>49</v>
      </c>
      <c r="B40" s="7">
        <v>57.499999999999993</v>
      </c>
      <c r="C40" s="7">
        <v>57.499999999999993</v>
      </c>
      <c r="D40" s="7">
        <v>57.499999999999993</v>
      </c>
      <c r="E40" s="8">
        <f t="shared" si="23"/>
        <v>172.49999999999997</v>
      </c>
      <c r="F40" s="7">
        <v>57.499999999999993</v>
      </c>
      <c r="G40" s="7">
        <v>57.499999999999993</v>
      </c>
      <c r="H40" s="7">
        <v>57.499999999999993</v>
      </c>
      <c r="I40" s="8">
        <f t="shared" si="24"/>
        <v>172.49999999999997</v>
      </c>
      <c r="J40" s="7">
        <v>57.499999999999993</v>
      </c>
      <c r="K40" s="7">
        <v>57.499999999999993</v>
      </c>
      <c r="L40" s="7">
        <v>57.499999999999993</v>
      </c>
      <c r="M40" s="8">
        <f t="shared" si="25"/>
        <v>172.49999999999997</v>
      </c>
      <c r="N40" s="7">
        <v>57.499999999999993</v>
      </c>
      <c r="O40" s="7">
        <v>57.499999999999993</v>
      </c>
      <c r="P40" s="7">
        <v>57.499999999999993</v>
      </c>
      <c r="Q40" s="8">
        <f t="shared" si="26"/>
        <v>172.49999999999997</v>
      </c>
      <c r="R40" s="8">
        <f t="shared" si="27"/>
        <v>689.99999999999989</v>
      </c>
    </row>
    <row r="41" spans="1:18" x14ac:dyDescent="0.25">
      <c r="A41" s="9" t="s">
        <v>50</v>
      </c>
      <c r="B41" s="7">
        <v>172.5</v>
      </c>
      <c r="C41" s="7">
        <v>172.5</v>
      </c>
      <c r="D41" s="7">
        <v>172.5</v>
      </c>
      <c r="E41" s="8">
        <f t="shared" si="23"/>
        <v>517.5</v>
      </c>
      <c r="F41" s="7">
        <v>172.5</v>
      </c>
      <c r="G41" s="7">
        <v>172.5</v>
      </c>
      <c r="H41" s="7">
        <v>172.5</v>
      </c>
      <c r="I41" s="8">
        <f t="shared" si="24"/>
        <v>517.5</v>
      </c>
      <c r="J41" s="7">
        <v>172.5</v>
      </c>
      <c r="K41" s="7">
        <v>172.5</v>
      </c>
      <c r="L41" s="7">
        <v>172.5</v>
      </c>
      <c r="M41" s="8">
        <f t="shared" si="25"/>
        <v>517.5</v>
      </c>
      <c r="N41" s="7">
        <v>172.5</v>
      </c>
      <c r="O41" s="7">
        <v>172.5</v>
      </c>
      <c r="P41" s="7">
        <v>172.5</v>
      </c>
      <c r="Q41" s="8">
        <f t="shared" si="26"/>
        <v>517.5</v>
      </c>
      <c r="R41" s="8">
        <f t="shared" si="27"/>
        <v>2070</v>
      </c>
    </row>
    <row r="42" spans="1:18" x14ac:dyDescent="0.25">
      <c r="A42" s="2" t="s">
        <v>51</v>
      </c>
      <c r="B42" s="8">
        <f t="shared" ref="B42:R42" si="28">SUM(B36:B41)</f>
        <v>2472.5</v>
      </c>
      <c r="C42" s="8">
        <f t="shared" si="28"/>
        <v>4197.5</v>
      </c>
      <c r="D42" s="8">
        <f t="shared" si="28"/>
        <v>2472.5</v>
      </c>
      <c r="E42" s="8">
        <f t="shared" si="28"/>
        <v>9142.5</v>
      </c>
      <c r="F42" s="8">
        <f t="shared" si="28"/>
        <v>2472.5</v>
      </c>
      <c r="G42" s="8">
        <f t="shared" si="28"/>
        <v>2472.5</v>
      </c>
      <c r="H42" s="8">
        <f t="shared" si="28"/>
        <v>4772.5</v>
      </c>
      <c r="I42" s="8">
        <f t="shared" si="28"/>
        <v>9717.5</v>
      </c>
      <c r="J42" s="8">
        <f t="shared" si="28"/>
        <v>2472.5</v>
      </c>
      <c r="K42" s="8">
        <f t="shared" si="28"/>
        <v>2472.5</v>
      </c>
      <c r="L42" s="8">
        <f t="shared" si="28"/>
        <v>2472.5</v>
      </c>
      <c r="M42" s="8">
        <f t="shared" si="28"/>
        <v>7417.5</v>
      </c>
      <c r="N42" s="8">
        <f t="shared" si="28"/>
        <v>5347.5</v>
      </c>
      <c r="O42" s="8">
        <f t="shared" si="28"/>
        <v>2472.5</v>
      </c>
      <c r="P42" s="8">
        <f t="shared" si="28"/>
        <v>2472.5</v>
      </c>
      <c r="Q42" s="8">
        <f t="shared" si="28"/>
        <v>10292.5</v>
      </c>
      <c r="R42" s="8">
        <f t="shared" si="28"/>
        <v>36570</v>
      </c>
    </row>
    <row r="43" spans="1:18" x14ac:dyDescent="0.25">
      <c r="E43" s="1"/>
      <c r="I43" s="1"/>
      <c r="M43" s="1"/>
      <c r="Q43" s="1"/>
      <c r="R43" s="1"/>
    </row>
    <row r="44" spans="1:18" x14ac:dyDescent="0.25">
      <c r="A44" s="2" t="s">
        <v>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9" t="s">
        <v>53</v>
      </c>
      <c r="B45" s="7">
        <v>9200</v>
      </c>
      <c r="C45" s="7">
        <v>9200</v>
      </c>
      <c r="D45" s="7">
        <v>9200</v>
      </c>
      <c r="E45" s="8">
        <f t="shared" ref="E45:E48" si="29">SUM(B45:D45)</f>
        <v>27600</v>
      </c>
      <c r="F45" s="7">
        <v>5750</v>
      </c>
      <c r="G45" s="7">
        <v>5750</v>
      </c>
      <c r="H45" s="7">
        <v>5750</v>
      </c>
      <c r="I45" s="8">
        <f t="shared" ref="I45:I48" si="30">SUM(F45:H45)</f>
        <v>17250</v>
      </c>
      <c r="J45" s="7">
        <v>9200</v>
      </c>
      <c r="K45" s="7">
        <v>9200</v>
      </c>
      <c r="L45" s="7">
        <v>9200</v>
      </c>
      <c r="M45" s="8">
        <f t="shared" ref="M45:M48" si="31">SUM(J45:L45)</f>
        <v>27600</v>
      </c>
      <c r="N45" s="7">
        <v>5750</v>
      </c>
      <c r="O45" s="7">
        <v>13799.999999999998</v>
      </c>
      <c r="P45" s="7">
        <v>5750</v>
      </c>
      <c r="Q45" s="8">
        <f t="shared" ref="Q45:Q48" si="32">SUM(N45:P45)</f>
        <v>25300</v>
      </c>
      <c r="R45" s="8">
        <f t="shared" ref="R45:R48" si="33">SUM(Q45,M45,I45,E45)</f>
        <v>97750</v>
      </c>
    </row>
    <row r="46" spans="1:18" x14ac:dyDescent="0.25">
      <c r="A46" s="9" t="s">
        <v>54</v>
      </c>
      <c r="B46" s="7">
        <v>172.5</v>
      </c>
      <c r="C46" s="7">
        <v>172.5</v>
      </c>
      <c r="D46" s="7">
        <v>172.5</v>
      </c>
      <c r="E46" s="8">
        <f t="shared" si="29"/>
        <v>517.5</v>
      </c>
      <c r="F46" s="7">
        <v>172.5</v>
      </c>
      <c r="G46" s="7">
        <v>172.5</v>
      </c>
      <c r="H46" s="7">
        <v>172.5</v>
      </c>
      <c r="I46" s="8">
        <f t="shared" si="30"/>
        <v>517.5</v>
      </c>
      <c r="J46" s="7">
        <v>172.5</v>
      </c>
      <c r="K46" s="7">
        <v>172.5</v>
      </c>
      <c r="L46" s="7">
        <v>172.5</v>
      </c>
      <c r="M46" s="8">
        <f t="shared" si="31"/>
        <v>517.5</v>
      </c>
      <c r="N46" s="7">
        <v>172.5</v>
      </c>
      <c r="O46" s="7">
        <v>172.5</v>
      </c>
      <c r="P46" s="7">
        <v>172.5</v>
      </c>
      <c r="Q46" s="8">
        <f t="shared" si="32"/>
        <v>517.5</v>
      </c>
      <c r="R46" s="8">
        <f t="shared" si="33"/>
        <v>2070</v>
      </c>
    </row>
    <row r="47" spans="1:18" x14ac:dyDescent="0.25">
      <c r="A47" s="9" t="s">
        <v>55</v>
      </c>
      <c r="B47" s="7">
        <v>345</v>
      </c>
      <c r="C47" s="7">
        <v>345</v>
      </c>
      <c r="D47" s="7">
        <v>345</v>
      </c>
      <c r="E47" s="8">
        <f t="shared" si="29"/>
        <v>1035</v>
      </c>
      <c r="F47" s="7">
        <v>345</v>
      </c>
      <c r="G47" s="7">
        <v>345</v>
      </c>
      <c r="H47" s="7">
        <v>345</v>
      </c>
      <c r="I47" s="8">
        <f t="shared" si="30"/>
        <v>1035</v>
      </c>
      <c r="J47" s="7">
        <v>345</v>
      </c>
      <c r="K47" s="7">
        <v>345</v>
      </c>
      <c r="L47" s="7">
        <v>345</v>
      </c>
      <c r="M47" s="8">
        <f t="shared" si="31"/>
        <v>1035</v>
      </c>
      <c r="N47" s="7">
        <v>345</v>
      </c>
      <c r="O47" s="7">
        <v>345</v>
      </c>
      <c r="P47" s="7">
        <v>345</v>
      </c>
      <c r="Q47" s="8">
        <f t="shared" si="32"/>
        <v>1035</v>
      </c>
      <c r="R47" s="8">
        <f t="shared" si="33"/>
        <v>4140</v>
      </c>
    </row>
    <row r="48" spans="1:18" x14ac:dyDescent="0.25">
      <c r="A48" s="9" t="s">
        <v>56</v>
      </c>
      <c r="B48" s="7">
        <v>57.499999999999993</v>
      </c>
      <c r="C48" s="7">
        <v>57.499999999999993</v>
      </c>
      <c r="D48" s="7">
        <v>57.499999999999993</v>
      </c>
      <c r="E48" s="8">
        <f t="shared" si="29"/>
        <v>172.49999999999997</v>
      </c>
      <c r="F48" s="7">
        <v>57.499999999999993</v>
      </c>
      <c r="G48" s="7">
        <v>57.499999999999993</v>
      </c>
      <c r="H48" s="7">
        <v>57.499999999999993</v>
      </c>
      <c r="I48" s="8">
        <f t="shared" si="30"/>
        <v>172.49999999999997</v>
      </c>
      <c r="J48" s="7">
        <v>57.499999999999993</v>
      </c>
      <c r="K48" s="7">
        <v>57.499999999999993</v>
      </c>
      <c r="L48" s="7">
        <v>57.499999999999993</v>
      </c>
      <c r="M48" s="8">
        <f t="shared" si="31"/>
        <v>172.49999999999997</v>
      </c>
      <c r="N48" s="7">
        <v>57.499999999999993</v>
      </c>
      <c r="O48" s="7">
        <v>57.499999999999993</v>
      </c>
      <c r="P48" s="7">
        <v>57.499999999999993</v>
      </c>
      <c r="Q48" s="8">
        <f t="shared" si="32"/>
        <v>172.49999999999997</v>
      </c>
      <c r="R48" s="8">
        <f t="shared" si="33"/>
        <v>689.99999999999989</v>
      </c>
    </row>
    <row r="49" spans="1:18" x14ac:dyDescent="0.25">
      <c r="A49" s="2" t="s">
        <v>57</v>
      </c>
      <c r="B49" s="8">
        <f t="shared" ref="B49:R49" si="34">SUM(B45:B48)</f>
        <v>9775</v>
      </c>
      <c r="C49" s="8">
        <f t="shared" si="34"/>
        <v>9775</v>
      </c>
      <c r="D49" s="8">
        <f t="shared" si="34"/>
        <v>9775</v>
      </c>
      <c r="E49" s="8">
        <f t="shared" si="34"/>
        <v>29325</v>
      </c>
      <c r="F49" s="8">
        <f t="shared" si="34"/>
        <v>6325</v>
      </c>
      <c r="G49" s="8">
        <f t="shared" si="34"/>
        <v>6325</v>
      </c>
      <c r="H49" s="8">
        <f t="shared" si="34"/>
        <v>6325</v>
      </c>
      <c r="I49" s="8">
        <f t="shared" si="34"/>
        <v>18975</v>
      </c>
      <c r="J49" s="8">
        <f t="shared" si="34"/>
        <v>9775</v>
      </c>
      <c r="K49" s="8">
        <f t="shared" si="34"/>
        <v>9775</v>
      </c>
      <c r="L49" s="8">
        <f t="shared" si="34"/>
        <v>9775</v>
      </c>
      <c r="M49" s="8">
        <f t="shared" si="34"/>
        <v>29325</v>
      </c>
      <c r="N49" s="8">
        <f t="shared" si="34"/>
        <v>6325</v>
      </c>
      <c r="O49" s="8">
        <f t="shared" si="34"/>
        <v>14374.999999999998</v>
      </c>
      <c r="P49" s="8">
        <f t="shared" si="34"/>
        <v>6325</v>
      </c>
      <c r="Q49" s="8">
        <f t="shared" si="34"/>
        <v>27025</v>
      </c>
      <c r="R49" s="8">
        <f t="shared" si="34"/>
        <v>104650</v>
      </c>
    </row>
    <row r="50" spans="1:18" x14ac:dyDescent="0.25">
      <c r="E50" s="1"/>
      <c r="I50" s="1"/>
      <c r="M50" s="1"/>
      <c r="Q50" s="1"/>
      <c r="R50" s="1"/>
    </row>
    <row r="51" spans="1:18" x14ac:dyDescent="0.25">
      <c r="A51" s="2" t="s">
        <v>58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9" t="s">
        <v>59</v>
      </c>
      <c r="B52" s="7">
        <v>1380</v>
      </c>
      <c r="C52" s="7">
        <v>1380</v>
      </c>
      <c r="D52" s="7">
        <v>1380</v>
      </c>
      <c r="E52" s="8">
        <f t="shared" ref="E52:E53" si="35">SUM(B52:D52)</f>
        <v>4140</v>
      </c>
      <c r="F52" s="7">
        <v>1380</v>
      </c>
      <c r="G52" s="7">
        <v>1380</v>
      </c>
      <c r="H52" s="7">
        <v>1380</v>
      </c>
      <c r="I52" s="8">
        <f t="shared" ref="I52:I53" si="36">SUM(F52:H52)</f>
        <v>4140</v>
      </c>
      <c r="J52" s="7">
        <v>1380</v>
      </c>
      <c r="K52" s="7">
        <v>1380</v>
      </c>
      <c r="L52" s="7">
        <v>1380</v>
      </c>
      <c r="M52" s="8">
        <f t="shared" ref="M52:M53" si="37">SUM(J52:L52)</f>
        <v>4140</v>
      </c>
      <c r="N52" s="7">
        <v>1380</v>
      </c>
      <c r="O52" s="7">
        <v>1380</v>
      </c>
      <c r="P52" s="7">
        <v>1380</v>
      </c>
      <c r="Q52" s="8">
        <f t="shared" ref="Q52:Q53" si="38">SUM(N52:P52)</f>
        <v>4140</v>
      </c>
      <c r="R52" s="8">
        <f t="shared" ref="R52:R53" si="39">SUM(Q52,M52,I52,E52)</f>
        <v>16560</v>
      </c>
    </row>
    <row r="53" spans="1:18" x14ac:dyDescent="0.25">
      <c r="A53" s="9" t="s">
        <v>60</v>
      </c>
      <c r="B53" s="7">
        <v>368</v>
      </c>
      <c r="C53" s="7">
        <v>368</v>
      </c>
      <c r="D53" s="7">
        <v>368</v>
      </c>
      <c r="E53" s="8">
        <f t="shared" si="35"/>
        <v>1104</v>
      </c>
      <c r="F53" s="7">
        <v>368</v>
      </c>
      <c r="G53" s="7">
        <v>368</v>
      </c>
      <c r="H53" s="7">
        <v>368</v>
      </c>
      <c r="I53" s="8">
        <f t="shared" si="36"/>
        <v>1104</v>
      </c>
      <c r="J53" s="7">
        <v>368</v>
      </c>
      <c r="K53" s="7">
        <v>368</v>
      </c>
      <c r="L53" s="7">
        <v>368</v>
      </c>
      <c r="M53" s="8">
        <f t="shared" si="37"/>
        <v>1104</v>
      </c>
      <c r="N53" s="7">
        <v>368</v>
      </c>
      <c r="O53" s="7">
        <v>368</v>
      </c>
      <c r="P53" s="7">
        <v>368</v>
      </c>
      <c r="Q53" s="8">
        <f t="shared" si="38"/>
        <v>1104</v>
      </c>
      <c r="R53" s="8">
        <f t="shared" si="39"/>
        <v>4416</v>
      </c>
    </row>
    <row r="54" spans="1:18" x14ac:dyDescent="0.25">
      <c r="A54" s="2" t="s">
        <v>61</v>
      </c>
      <c r="B54" s="8">
        <f t="shared" ref="B54:R54" si="40">SUM(B52:B53)</f>
        <v>1748</v>
      </c>
      <c r="C54" s="8">
        <f t="shared" si="40"/>
        <v>1748</v>
      </c>
      <c r="D54" s="8">
        <f t="shared" si="40"/>
        <v>1748</v>
      </c>
      <c r="E54" s="8">
        <f t="shared" si="40"/>
        <v>5244</v>
      </c>
      <c r="F54" s="8">
        <f t="shared" si="40"/>
        <v>1748</v>
      </c>
      <c r="G54" s="8">
        <f t="shared" si="40"/>
        <v>1748</v>
      </c>
      <c r="H54" s="8">
        <f t="shared" si="40"/>
        <v>1748</v>
      </c>
      <c r="I54" s="8">
        <f t="shared" si="40"/>
        <v>5244</v>
      </c>
      <c r="J54" s="8">
        <f t="shared" si="40"/>
        <v>1748</v>
      </c>
      <c r="K54" s="8">
        <f t="shared" si="40"/>
        <v>1748</v>
      </c>
      <c r="L54" s="8">
        <f t="shared" si="40"/>
        <v>1748</v>
      </c>
      <c r="M54" s="8">
        <f t="shared" si="40"/>
        <v>5244</v>
      </c>
      <c r="N54" s="8">
        <f t="shared" si="40"/>
        <v>1748</v>
      </c>
      <c r="O54" s="8">
        <f t="shared" si="40"/>
        <v>1748</v>
      </c>
      <c r="P54" s="8">
        <f t="shared" si="40"/>
        <v>1748</v>
      </c>
      <c r="Q54" s="8">
        <f t="shared" si="40"/>
        <v>5244</v>
      </c>
      <c r="R54" s="8">
        <f t="shared" si="40"/>
        <v>20976</v>
      </c>
    </row>
    <row r="55" spans="1:18" x14ac:dyDescent="0.25">
      <c r="E55" s="1"/>
      <c r="I55" s="1"/>
      <c r="M55" s="1"/>
      <c r="Q55" s="1"/>
      <c r="R55" s="1"/>
    </row>
    <row r="56" spans="1:18" x14ac:dyDescent="0.25">
      <c r="A56" s="2" t="s">
        <v>62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9" t="s">
        <v>63</v>
      </c>
      <c r="B57" s="7">
        <v>192.04999999999998</v>
      </c>
      <c r="C57" s="7">
        <v>192.04999999999998</v>
      </c>
      <c r="D57" s="7">
        <v>192.04999999999998</v>
      </c>
      <c r="E57" s="8">
        <f t="shared" ref="E57:E67" si="41">SUM(B57:D57)</f>
        <v>576.15</v>
      </c>
      <c r="F57" s="7">
        <v>192.04999999999998</v>
      </c>
      <c r="G57" s="7">
        <v>192.04999999999998</v>
      </c>
      <c r="H57" s="7">
        <v>192.04999999999998</v>
      </c>
      <c r="I57" s="8">
        <f t="shared" ref="I57:I67" si="42">SUM(F57:H57)</f>
        <v>576.15</v>
      </c>
      <c r="J57" s="7">
        <v>192.04999999999998</v>
      </c>
      <c r="K57" s="7">
        <v>192.04999999999998</v>
      </c>
      <c r="L57" s="7">
        <v>192.04999999999998</v>
      </c>
      <c r="M57" s="8">
        <f t="shared" ref="M57:M67" si="43">SUM(J57:L57)</f>
        <v>576.15</v>
      </c>
      <c r="N57" s="7">
        <v>192.04999999999998</v>
      </c>
      <c r="O57" s="7">
        <v>192.04999999999998</v>
      </c>
      <c r="P57" s="7">
        <v>192.04999999999998</v>
      </c>
      <c r="Q57" s="8">
        <f t="shared" ref="Q57:Q67" si="44">SUM(N57:P57)</f>
        <v>576.15</v>
      </c>
      <c r="R57" s="8">
        <f t="shared" ref="R57:R67" si="45">SUM(Q57,M57,I57,E57)</f>
        <v>2304.6</v>
      </c>
    </row>
    <row r="58" spans="1:18" x14ac:dyDescent="0.25">
      <c r="A58" s="9" t="s">
        <v>64</v>
      </c>
      <c r="B58" s="7">
        <v>192.04999999999998</v>
      </c>
      <c r="C58" s="7">
        <v>192.04999999999998</v>
      </c>
      <c r="D58" s="7">
        <v>192.04999999999998</v>
      </c>
      <c r="E58" s="8">
        <f t="shared" si="41"/>
        <v>576.15</v>
      </c>
      <c r="F58" s="7">
        <v>192.04999999999998</v>
      </c>
      <c r="G58" s="7">
        <v>192.04999999999998</v>
      </c>
      <c r="H58" s="7">
        <v>192.04999999999998</v>
      </c>
      <c r="I58" s="8">
        <f t="shared" si="42"/>
        <v>576.15</v>
      </c>
      <c r="J58" s="7">
        <v>192.04999999999998</v>
      </c>
      <c r="K58" s="7">
        <v>192.04999999999998</v>
      </c>
      <c r="L58" s="7">
        <v>192.04999999999998</v>
      </c>
      <c r="M58" s="8">
        <f t="shared" si="43"/>
        <v>576.15</v>
      </c>
      <c r="N58" s="7">
        <v>192.04999999999998</v>
      </c>
      <c r="O58" s="7">
        <v>192.04999999999998</v>
      </c>
      <c r="P58" s="7">
        <v>192.04999999999998</v>
      </c>
      <c r="Q58" s="8">
        <f t="shared" si="44"/>
        <v>576.15</v>
      </c>
      <c r="R58" s="8">
        <f t="shared" si="45"/>
        <v>2304.6</v>
      </c>
    </row>
    <row r="59" spans="1:18" x14ac:dyDescent="0.25">
      <c r="A59" s="9" t="s">
        <v>65</v>
      </c>
      <c r="B59" s="7">
        <v>124.19999999999999</v>
      </c>
      <c r="C59" s="7">
        <v>124.19999999999999</v>
      </c>
      <c r="D59" s="7">
        <v>124.19999999999999</v>
      </c>
      <c r="E59" s="8">
        <f t="shared" si="41"/>
        <v>372.59999999999997</v>
      </c>
      <c r="F59" s="7">
        <v>124.19999999999999</v>
      </c>
      <c r="G59" s="7">
        <v>124.19999999999999</v>
      </c>
      <c r="H59" s="7">
        <v>124.19999999999999</v>
      </c>
      <c r="I59" s="8">
        <f t="shared" si="42"/>
        <v>372.59999999999997</v>
      </c>
      <c r="J59" s="7">
        <v>124.19999999999999</v>
      </c>
      <c r="K59" s="7">
        <v>124.19999999999999</v>
      </c>
      <c r="L59" s="7">
        <v>124.19999999999999</v>
      </c>
      <c r="M59" s="8">
        <f t="shared" si="43"/>
        <v>372.59999999999997</v>
      </c>
      <c r="N59" s="7">
        <v>124.19999999999999</v>
      </c>
      <c r="O59" s="7">
        <v>124.19999999999999</v>
      </c>
      <c r="P59" s="7">
        <v>124.19999999999999</v>
      </c>
      <c r="Q59" s="8">
        <f t="shared" si="44"/>
        <v>372.59999999999997</v>
      </c>
      <c r="R59" s="8">
        <f t="shared" si="45"/>
        <v>1490.3999999999999</v>
      </c>
    </row>
    <row r="60" spans="1:18" x14ac:dyDescent="0.25">
      <c r="A60" s="9" t="s">
        <v>66</v>
      </c>
      <c r="B60" s="7">
        <v>79.349999999999994</v>
      </c>
      <c r="C60" s="7">
        <v>79.349999999999994</v>
      </c>
      <c r="D60" s="7">
        <v>79.349999999999994</v>
      </c>
      <c r="E60" s="8">
        <f t="shared" si="41"/>
        <v>238.04999999999998</v>
      </c>
      <c r="F60" s="7">
        <v>79.349999999999994</v>
      </c>
      <c r="G60" s="7">
        <v>79.349999999999994</v>
      </c>
      <c r="H60" s="7">
        <v>79.349999999999994</v>
      </c>
      <c r="I60" s="8">
        <f t="shared" si="42"/>
        <v>238.04999999999998</v>
      </c>
      <c r="J60" s="7">
        <v>79.349999999999994</v>
      </c>
      <c r="K60" s="7">
        <v>79.349999999999994</v>
      </c>
      <c r="L60" s="7">
        <v>79.349999999999994</v>
      </c>
      <c r="M60" s="8">
        <f t="shared" si="43"/>
        <v>238.04999999999998</v>
      </c>
      <c r="N60" s="7">
        <v>79.349999999999994</v>
      </c>
      <c r="O60" s="7">
        <v>79.349999999999994</v>
      </c>
      <c r="P60" s="7">
        <v>79.349999999999994</v>
      </c>
      <c r="Q60" s="8">
        <f t="shared" si="44"/>
        <v>238.04999999999998</v>
      </c>
      <c r="R60" s="8">
        <f t="shared" si="45"/>
        <v>952.19999999999993</v>
      </c>
    </row>
    <row r="61" spans="1:18" x14ac:dyDescent="0.25">
      <c r="A61" s="9" t="s">
        <v>67</v>
      </c>
      <c r="B61" s="7">
        <v>48.3</v>
      </c>
      <c r="C61" s="7">
        <v>48.3</v>
      </c>
      <c r="D61" s="7">
        <v>48.3</v>
      </c>
      <c r="E61" s="8">
        <f t="shared" si="41"/>
        <v>144.89999999999998</v>
      </c>
      <c r="F61" s="7">
        <v>48.3</v>
      </c>
      <c r="G61" s="7">
        <v>48.3</v>
      </c>
      <c r="H61" s="7">
        <v>48.3</v>
      </c>
      <c r="I61" s="8">
        <f t="shared" si="42"/>
        <v>144.89999999999998</v>
      </c>
      <c r="J61" s="7">
        <v>48.3</v>
      </c>
      <c r="K61" s="7">
        <v>48.3</v>
      </c>
      <c r="L61" s="7">
        <v>48.3</v>
      </c>
      <c r="M61" s="8">
        <f t="shared" si="43"/>
        <v>144.89999999999998</v>
      </c>
      <c r="N61" s="7">
        <v>48.3</v>
      </c>
      <c r="O61" s="7">
        <v>48.3</v>
      </c>
      <c r="P61" s="7">
        <v>48.3</v>
      </c>
      <c r="Q61" s="8">
        <f t="shared" si="44"/>
        <v>144.89999999999998</v>
      </c>
      <c r="R61" s="8">
        <f t="shared" si="45"/>
        <v>579.59999999999991</v>
      </c>
    </row>
    <row r="62" spans="1:18" x14ac:dyDescent="0.25">
      <c r="A62" s="9" t="s">
        <v>68</v>
      </c>
      <c r="B62" s="7">
        <v>159.85</v>
      </c>
      <c r="C62" s="7">
        <v>159.85</v>
      </c>
      <c r="D62" s="7">
        <v>159.85</v>
      </c>
      <c r="E62" s="8">
        <f t="shared" si="41"/>
        <v>479.54999999999995</v>
      </c>
      <c r="F62" s="7">
        <v>159.85</v>
      </c>
      <c r="G62" s="7">
        <v>159.85</v>
      </c>
      <c r="H62" s="7">
        <v>159.85</v>
      </c>
      <c r="I62" s="8">
        <f t="shared" si="42"/>
        <v>479.54999999999995</v>
      </c>
      <c r="J62" s="7">
        <v>159.85</v>
      </c>
      <c r="K62" s="7">
        <v>159.85</v>
      </c>
      <c r="L62" s="7">
        <v>159.85</v>
      </c>
      <c r="M62" s="8">
        <f t="shared" si="43"/>
        <v>479.54999999999995</v>
      </c>
      <c r="N62" s="7">
        <v>159.85</v>
      </c>
      <c r="O62" s="7">
        <v>159.85</v>
      </c>
      <c r="P62" s="7">
        <v>159.85</v>
      </c>
      <c r="Q62" s="8">
        <f t="shared" si="44"/>
        <v>479.54999999999995</v>
      </c>
      <c r="R62" s="8">
        <f t="shared" si="45"/>
        <v>1918.1999999999998</v>
      </c>
    </row>
    <row r="63" spans="1:18" x14ac:dyDescent="0.25">
      <c r="A63" s="9" t="s">
        <v>69</v>
      </c>
      <c r="B63" s="7">
        <v>255.29999999999998</v>
      </c>
      <c r="C63" s="7">
        <v>255.29999999999998</v>
      </c>
      <c r="D63" s="7">
        <v>255.29999999999998</v>
      </c>
      <c r="E63" s="8">
        <f t="shared" si="41"/>
        <v>765.9</v>
      </c>
      <c r="F63" s="7">
        <v>255.29999999999998</v>
      </c>
      <c r="G63" s="7">
        <v>255.29999999999998</v>
      </c>
      <c r="H63" s="7">
        <v>255.29999999999998</v>
      </c>
      <c r="I63" s="8">
        <f t="shared" si="42"/>
        <v>765.9</v>
      </c>
      <c r="J63" s="7">
        <v>255.29999999999998</v>
      </c>
      <c r="K63" s="7">
        <v>255.29999999999998</v>
      </c>
      <c r="L63" s="7">
        <v>255.29999999999998</v>
      </c>
      <c r="M63" s="8">
        <f t="shared" si="43"/>
        <v>765.9</v>
      </c>
      <c r="N63" s="7">
        <v>255.29999999999998</v>
      </c>
      <c r="O63" s="7">
        <v>255.29999999999998</v>
      </c>
      <c r="P63" s="7">
        <v>255.29999999999998</v>
      </c>
      <c r="Q63" s="8">
        <f t="shared" si="44"/>
        <v>765.9</v>
      </c>
      <c r="R63" s="8">
        <f t="shared" si="45"/>
        <v>3063.6</v>
      </c>
    </row>
    <row r="64" spans="1:18" x14ac:dyDescent="0.25">
      <c r="A64" s="9" t="s">
        <v>70</v>
      </c>
      <c r="B64" s="7">
        <v>95.449999999999989</v>
      </c>
      <c r="C64" s="7">
        <v>95.449999999999989</v>
      </c>
      <c r="D64" s="7">
        <v>95.449999999999989</v>
      </c>
      <c r="E64" s="8">
        <f t="shared" si="41"/>
        <v>286.34999999999997</v>
      </c>
      <c r="F64" s="7">
        <v>95.449999999999989</v>
      </c>
      <c r="G64" s="7">
        <v>95.449999999999989</v>
      </c>
      <c r="H64" s="7">
        <v>95.449999999999989</v>
      </c>
      <c r="I64" s="8">
        <f t="shared" si="42"/>
        <v>286.34999999999997</v>
      </c>
      <c r="J64" s="7">
        <v>95.449999999999989</v>
      </c>
      <c r="K64" s="7">
        <v>95.449999999999989</v>
      </c>
      <c r="L64" s="7">
        <v>95.449999999999989</v>
      </c>
      <c r="M64" s="8">
        <f t="shared" si="43"/>
        <v>286.34999999999997</v>
      </c>
      <c r="N64" s="7">
        <v>95.449999999999989</v>
      </c>
      <c r="O64" s="7">
        <v>95.449999999999989</v>
      </c>
      <c r="P64" s="7">
        <v>95.449999999999989</v>
      </c>
      <c r="Q64" s="8">
        <f t="shared" si="44"/>
        <v>286.34999999999997</v>
      </c>
      <c r="R64" s="8">
        <f t="shared" si="45"/>
        <v>1145.3999999999999</v>
      </c>
    </row>
    <row r="65" spans="1:18" x14ac:dyDescent="0.25">
      <c r="A65" s="9" t="s">
        <v>71</v>
      </c>
      <c r="B65" s="7">
        <v>64.399999999999991</v>
      </c>
      <c r="C65" s="7">
        <v>64.399999999999991</v>
      </c>
      <c r="D65" s="7">
        <v>64.399999999999991</v>
      </c>
      <c r="E65" s="8">
        <f t="shared" si="41"/>
        <v>193.2</v>
      </c>
      <c r="F65" s="7">
        <v>64.399999999999991</v>
      </c>
      <c r="G65" s="7">
        <v>64.399999999999991</v>
      </c>
      <c r="H65" s="7">
        <v>64.399999999999991</v>
      </c>
      <c r="I65" s="8">
        <f t="shared" si="42"/>
        <v>193.2</v>
      </c>
      <c r="J65" s="7">
        <v>64.399999999999991</v>
      </c>
      <c r="K65" s="7">
        <v>64.399999999999991</v>
      </c>
      <c r="L65" s="7">
        <v>64.399999999999991</v>
      </c>
      <c r="M65" s="8">
        <f t="shared" si="43"/>
        <v>193.2</v>
      </c>
      <c r="N65" s="7">
        <v>64.399999999999991</v>
      </c>
      <c r="O65" s="7">
        <v>64.399999999999991</v>
      </c>
      <c r="P65" s="7">
        <v>64.399999999999991</v>
      </c>
      <c r="Q65" s="8">
        <f t="shared" si="44"/>
        <v>193.2</v>
      </c>
      <c r="R65" s="8">
        <f t="shared" si="45"/>
        <v>772.8</v>
      </c>
    </row>
    <row r="66" spans="1:18" x14ac:dyDescent="0.25">
      <c r="A66" s="9" t="s">
        <v>72</v>
      </c>
      <c r="B66" s="7">
        <v>159.85</v>
      </c>
      <c r="C66" s="7">
        <v>159.85</v>
      </c>
      <c r="D66" s="7">
        <v>159.85</v>
      </c>
      <c r="E66" s="8">
        <f t="shared" si="41"/>
        <v>479.54999999999995</v>
      </c>
      <c r="F66" s="7">
        <v>159.85</v>
      </c>
      <c r="G66" s="7">
        <v>159.85</v>
      </c>
      <c r="H66" s="7">
        <v>159.85</v>
      </c>
      <c r="I66" s="8">
        <f t="shared" si="42"/>
        <v>479.54999999999995</v>
      </c>
      <c r="J66" s="7">
        <v>159.85</v>
      </c>
      <c r="K66" s="7">
        <v>159.85</v>
      </c>
      <c r="L66" s="7">
        <v>159.85</v>
      </c>
      <c r="M66" s="8">
        <f t="shared" si="43"/>
        <v>479.54999999999995</v>
      </c>
      <c r="N66" s="7">
        <v>159.85</v>
      </c>
      <c r="O66" s="7">
        <v>159.85</v>
      </c>
      <c r="P66" s="7">
        <v>159.85</v>
      </c>
      <c r="Q66" s="8">
        <f t="shared" si="44"/>
        <v>479.54999999999995</v>
      </c>
      <c r="R66" s="8">
        <f t="shared" si="45"/>
        <v>1918.1999999999998</v>
      </c>
    </row>
    <row r="67" spans="1:18" x14ac:dyDescent="0.25">
      <c r="A67" s="9" t="s">
        <v>73</v>
      </c>
      <c r="B67" s="7">
        <v>95.449999999999989</v>
      </c>
      <c r="C67" s="7">
        <v>95.449999999999989</v>
      </c>
      <c r="D67" s="7">
        <v>95.449999999999989</v>
      </c>
      <c r="E67" s="8">
        <f t="shared" si="41"/>
        <v>286.34999999999997</v>
      </c>
      <c r="F67" s="7">
        <v>95.449999999999989</v>
      </c>
      <c r="G67" s="7">
        <v>95.449999999999989</v>
      </c>
      <c r="H67" s="7">
        <v>95.449999999999989</v>
      </c>
      <c r="I67" s="8">
        <f t="shared" si="42"/>
        <v>286.34999999999997</v>
      </c>
      <c r="J67" s="7">
        <v>95.449999999999989</v>
      </c>
      <c r="K67" s="7">
        <v>95.449999999999989</v>
      </c>
      <c r="L67" s="7">
        <v>95.449999999999989</v>
      </c>
      <c r="M67" s="8">
        <f t="shared" si="43"/>
        <v>286.34999999999997</v>
      </c>
      <c r="N67" s="7">
        <v>95.449999999999989</v>
      </c>
      <c r="O67" s="7">
        <v>95.449999999999989</v>
      </c>
      <c r="P67" s="7">
        <v>95.449999999999989</v>
      </c>
      <c r="Q67" s="8">
        <f t="shared" si="44"/>
        <v>286.34999999999997</v>
      </c>
      <c r="R67" s="8">
        <f t="shared" si="45"/>
        <v>1145.3999999999999</v>
      </c>
    </row>
    <row r="68" spans="1:18" x14ac:dyDescent="0.25">
      <c r="A68" s="2" t="s">
        <v>74</v>
      </c>
      <c r="B68" s="8">
        <f t="shared" ref="B68:R68" si="46">SUM(B57:B67)</f>
        <v>1466.25</v>
      </c>
      <c r="C68" s="8">
        <f t="shared" si="46"/>
        <v>1466.25</v>
      </c>
      <c r="D68" s="8">
        <f t="shared" si="46"/>
        <v>1466.25</v>
      </c>
      <c r="E68" s="8">
        <f t="shared" si="46"/>
        <v>4398.75</v>
      </c>
      <c r="F68" s="8">
        <f t="shared" si="46"/>
        <v>1466.25</v>
      </c>
      <c r="G68" s="8">
        <f t="shared" si="46"/>
        <v>1466.25</v>
      </c>
      <c r="H68" s="8">
        <f t="shared" si="46"/>
        <v>1466.25</v>
      </c>
      <c r="I68" s="8">
        <f t="shared" si="46"/>
        <v>4398.75</v>
      </c>
      <c r="J68" s="8">
        <f t="shared" si="46"/>
        <v>1466.25</v>
      </c>
      <c r="K68" s="8">
        <f t="shared" si="46"/>
        <v>1466.25</v>
      </c>
      <c r="L68" s="8">
        <f t="shared" si="46"/>
        <v>1466.25</v>
      </c>
      <c r="M68" s="8">
        <f t="shared" si="46"/>
        <v>4398.75</v>
      </c>
      <c r="N68" s="8">
        <f t="shared" si="46"/>
        <v>1466.25</v>
      </c>
      <c r="O68" s="8">
        <f t="shared" si="46"/>
        <v>1466.25</v>
      </c>
      <c r="P68" s="8">
        <f t="shared" si="46"/>
        <v>1466.25</v>
      </c>
      <c r="Q68" s="8">
        <f t="shared" si="46"/>
        <v>4398.75</v>
      </c>
      <c r="R68" s="8">
        <f t="shared" si="46"/>
        <v>17595</v>
      </c>
    </row>
    <row r="69" spans="1:18" x14ac:dyDescent="0.25">
      <c r="E69" s="1"/>
      <c r="I69" s="1"/>
      <c r="M69" s="1"/>
      <c r="Q69" s="1"/>
      <c r="R69" s="1"/>
    </row>
    <row r="70" spans="1:18" x14ac:dyDescent="0.25">
      <c r="A70" s="2" t="s">
        <v>75</v>
      </c>
      <c r="B70" s="8">
        <f>B15+B25+B33+B42+B49+B54+B68</f>
        <v>50807.114999999998</v>
      </c>
      <c r="C70" s="8">
        <f t="shared" ref="C70:R70" si="47">C15+C25+C33+C42+C49+C54+C68</f>
        <v>52833.415000000001</v>
      </c>
      <c r="D70" s="8">
        <f t="shared" si="47"/>
        <v>51409.714999999997</v>
      </c>
      <c r="E70" s="8">
        <f t="shared" si="47"/>
        <v>155050.245</v>
      </c>
      <c r="F70" s="8">
        <f t="shared" si="47"/>
        <v>48261.014999999999</v>
      </c>
      <c r="G70" s="8">
        <f t="shared" si="47"/>
        <v>48562.315000000002</v>
      </c>
      <c r="H70" s="8">
        <f t="shared" si="47"/>
        <v>51163.614999999998</v>
      </c>
      <c r="I70" s="8">
        <f t="shared" si="47"/>
        <v>147986.94500000001</v>
      </c>
      <c r="J70" s="8">
        <f t="shared" si="47"/>
        <v>52614.915000000001</v>
      </c>
      <c r="K70" s="8">
        <f t="shared" si="47"/>
        <v>52614.915000000001</v>
      </c>
      <c r="L70" s="8">
        <f t="shared" si="47"/>
        <v>52916.215000000004</v>
      </c>
      <c r="M70" s="8">
        <f t="shared" si="47"/>
        <v>158146.04499999998</v>
      </c>
      <c r="N70" s="8">
        <f t="shared" si="47"/>
        <v>52642.514999999999</v>
      </c>
      <c r="O70" s="8">
        <f t="shared" si="47"/>
        <v>58118.815000000002</v>
      </c>
      <c r="P70" s="8">
        <f t="shared" si="47"/>
        <v>50370.115000000005</v>
      </c>
      <c r="Q70" s="8">
        <f t="shared" si="47"/>
        <v>161131.44500000001</v>
      </c>
      <c r="R70" s="8">
        <f t="shared" si="47"/>
        <v>100888565.28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Impacta Tecnologia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Orçamento Corporativo</dc:title>
  <dc:subject>Configuração de Página e Impressão</dc:subject>
  <dc:creator>fcnavarro@uol.com.br</dc:creator>
  <dc:description>Arquivo de exemplo criado para cursos de Excel, por Fernando de Carvalho Navarro.
fernando.c.navarro@gmail.com
http://www.fcn.eti.br/
</dc:description>
  <cp:lastModifiedBy>Fernando de Carvalho Navarro</cp:lastModifiedBy>
  <cp:lastPrinted>2014-01-09T17:28:27Z</cp:lastPrinted>
  <dcterms:created xsi:type="dcterms:W3CDTF">2014-01-09T17:26:25Z</dcterms:created>
  <dcterms:modified xsi:type="dcterms:W3CDTF">2016-01-24T19:26:29Z</dcterms:modified>
  <cp:category>Treinamento</cp:category>
</cp:coreProperties>
</file>