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5f9\AC\Temp\"/>
    </mc:Choice>
  </mc:AlternateContent>
  <xr:revisionPtr revIDLastSave="0" documentId="8_{F1200408-0AB0-3544-99CE-35D8ED2E2F53}" xr6:coauthVersionLast="28" xr6:coauthVersionMax="28" xr10:uidLastSave="{00000000-0000-0000-0000-000000000000}"/>
  <bookViews>
    <workbookView xWindow="0" yWindow="0" windowWidth="23040" windowHeight="7350" xr2:uid="{00000000-000D-0000-FFFF-FFFF00000000}"/>
  </bookViews>
  <sheets>
    <sheet name="Conceito" sheetId="9" r:id="rId1"/>
    <sheet name="Exemplo" sheetId="8" r:id="rId2"/>
    <sheet name="Controle de Estoque" sheetId="6" r:id="rId3"/>
    <sheet name="Gráfico" sheetId="7" r:id="rId4"/>
  </sheets>
  <definedNames>
    <definedName name="_xlnm.Print_Area" localSheetId="0">Conceito!$A$4:$A$16</definedName>
    <definedName name="_xlnm.Print_Area" localSheetId="2">'Controle de Estoque'!$B$1:$K$29</definedName>
    <definedName name="_xlnm.Print_Area" localSheetId="1">Exemplo!$F$7:$O$37</definedName>
    <definedName name="_xlnm.Print_Area" localSheetId="3">Gráfico!$A$1:$F$25</definedName>
  </definedNames>
  <calcPr calcId="171026"/>
</workbook>
</file>

<file path=xl/calcChain.xml><?xml version="1.0" encoding="utf-8"?>
<calcChain xmlns="http://schemas.openxmlformats.org/spreadsheetml/2006/main">
  <c r="O18" i="8" l="1"/>
  <c r="M19" i="8"/>
  <c r="N19" i="8"/>
  <c r="O19" i="8"/>
  <c r="L20" i="8"/>
  <c r="M20" i="8"/>
  <c r="N20" i="8"/>
  <c r="O20" i="8"/>
  <c r="M21" i="8"/>
  <c r="N21" i="8"/>
  <c r="L22" i="8"/>
  <c r="L37" i="8"/>
  <c r="I37" i="8"/>
  <c r="J37" i="8"/>
  <c r="K37" i="8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H13" i="6"/>
  <c r="K12" i="6"/>
  <c r="J13" i="6"/>
  <c r="F32" i="6"/>
  <c r="B24" i="7"/>
  <c r="G32" i="6"/>
  <c r="F24" i="7"/>
  <c r="E32" i="6"/>
  <c r="E24" i="7"/>
  <c r="M22" i="8"/>
  <c r="O21" i="8"/>
  <c r="N22" i="8"/>
  <c r="O22" i="8"/>
  <c r="H14" i="6"/>
  <c r="K13" i="6"/>
  <c r="J14" i="6"/>
  <c r="H15" i="6"/>
  <c r="K14" i="6"/>
  <c r="J15" i="6"/>
  <c r="H16" i="6"/>
  <c r="E25" i="7"/>
  <c r="I31" i="6"/>
  <c r="I30" i="6"/>
  <c r="K15" i="6"/>
  <c r="J16" i="6"/>
  <c r="K16" i="6"/>
  <c r="H17" i="6"/>
  <c r="J17" i="6"/>
  <c r="H18" i="6"/>
  <c r="K17" i="6"/>
  <c r="J18" i="6"/>
  <c r="H19" i="6"/>
  <c r="K18" i="6"/>
  <c r="J19" i="6"/>
  <c r="H20" i="6"/>
  <c r="K19" i="6"/>
  <c r="J20" i="6"/>
  <c r="H21" i="6"/>
  <c r="K20" i="6"/>
  <c r="J21" i="6"/>
  <c r="K21" i="6"/>
  <c r="H22" i="6"/>
  <c r="J22" i="6"/>
  <c r="H23" i="6"/>
  <c r="K22" i="6"/>
  <c r="J23" i="6"/>
  <c r="H24" i="6"/>
  <c r="K23" i="6"/>
  <c r="J24" i="6"/>
  <c r="K24" i="6"/>
  <c r="H25" i="6"/>
  <c r="J25" i="6"/>
  <c r="H26" i="6"/>
  <c r="K25" i="6"/>
  <c r="J26" i="6"/>
  <c r="K26" i="6"/>
  <c r="H27" i="6"/>
  <c r="J27" i="6"/>
  <c r="H28" i="6"/>
  <c r="K27" i="6"/>
  <c r="J28" i="6"/>
  <c r="H29" i="6"/>
  <c r="K28" i="6"/>
  <c r="J29" i="6"/>
  <c r="H30" i="6"/>
  <c r="K29" i="6"/>
  <c r="J30" i="6"/>
  <c r="K30" i="6"/>
  <c r="H31" i="6"/>
  <c r="H32" i="6"/>
  <c r="C24" i="7"/>
  <c r="B25" i="7"/>
  <c r="J31" i="6"/>
  <c r="K31" i="6"/>
</calcChain>
</file>

<file path=xl/sharedStrings.xml><?xml version="1.0" encoding="utf-8"?>
<sst xmlns="http://schemas.openxmlformats.org/spreadsheetml/2006/main" count="62" uniqueCount="32">
  <si>
    <t xml:space="preserve">Quantidade </t>
  </si>
  <si>
    <t>Valor Total</t>
  </si>
  <si>
    <t>Controle de Estoque</t>
  </si>
  <si>
    <t>Ferramenta: Controle de Estoque</t>
  </si>
  <si>
    <t>Saídas</t>
  </si>
  <si>
    <t>Finanças - Área: Estoque</t>
  </si>
  <si>
    <t>Entradas</t>
  </si>
  <si>
    <t>Controle de Estoque - GRÁFICO</t>
  </si>
  <si>
    <t>Saldo Total em Quantidade</t>
  </si>
  <si>
    <t>Movimentação do Estoque</t>
  </si>
  <si>
    <t>Nº Docum.</t>
  </si>
  <si>
    <t>Entrada</t>
  </si>
  <si>
    <t>Saída</t>
  </si>
  <si>
    <t>Saldo</t>
  </si>
  <si>
    <t>Preço Medio</t>
  </si>
  <si>
    <t>Data</t>
  </si>
  <si>
    <t>Produto:</t>
  </si>
  <si>
    <t>Especificação:</t>
  </si>
  <si>
    <t>Fornecedor:</t>
  </si>
  <si>
    <t>Cor:</t>
  </si>
  <si>
    <t>Tamanho:</t>
  </si>
  <si>
    <t>Localização no Estoque:</t>
  </si>
  <si>
    <t>TOTAL</t>
  </si>
  <si>
    <t>Saldo Total em Custos</t>
  </si>
  <si>
    <t>CONTROLE DE ESTOQUES</t>
  </si>
  <si>
    <t>Controlando os estoques existentes na sua empresa, você evita desvios, obtém informações para reposição dos produtos vendidos, evitando compras desnecessárias e ainda facilita a tomada de decisão para redução dos produtos parados no estoque ou com giro lento.
Este controle fornece ainda as seguintes informações:</t>
  </si>
  <si>
    <t>• O montante financeiro do estoque e o valor por linha de produtos;</t>
  </si>
  <si>
    <t>• As quantidades em cada item de estoque;</t>
  </si>
  <si>
    <t>• A quantidade e custo das mercadorias vendidas;</t>
  </si>
  <si>
    <t>• Os estoques sem movimentação;</t>
  </si>
  <si>
    <t>• A necessidade compras/reposição de estoques e fluxo de caixa.</t>
  </si>
  <si>
    <t>inventário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</si>
</sst>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Univers LT Std 57 Cn"/>
    </font>
    <font>
      <b/>
      <sz val="12"/>
      <name val="Univers LT Std 57 Cn"/>
    </font>
    <font>
      <sz val="12"/>
      <name val="Univers LT Std 57 Cn"/>
    </font>
    <font>
      <b/>
      <sz val="12"/>
      <color indexed="9"/>
      <name val="Univers LT Std 57 Cn"/>
    </font>
    <font>
      <b/>
      <sz val="12"/>
      <color indexed="8"/>
      <name val="Univers LT Std 57 Cn"/>
    </font>
    <font>
      <sz val="12"/>
      <color indexed="8"/>
      <name val="HelveticaNeue Medium"/>
    </font>
    <font>
      <b/>
      <sz val="26"/>
      <color indexed="8"/>
      <name val="Univers LT Std 57 Cn"/>
    </font>
    <font>
      <sz val="11"/>
      <color indexed="8"/>
      <name val="Univers LT Std 57 Cn"/>
    </font>
    <font>
      <b/>
      <sz val="10"/>
      <name val="Univers LT Std 57 Cn"/>
    </font>
    <font>
      <sz val="11"/>
      <color theme="1"/>
      <name val="Calibri"/>
      <family val="2"/>
      <scheme val="minor"/>
    </font>
    <font>
      <b/>
      <sz val="10"/>
      <color theme="1"/>
      <name val="Univers LT Std 57 Cn"/>
    </font>
    <font>
      <sz val="12"/>
      <color theme="0"/>
      <name val="Univers LT Std 57 Cn"/>
    </font>
    <font>
      <b/>
      <sz val="12"/>
      <color theme="0"/>
      <name val="Univers LT Std 57 Cn"/>
    </font>
    <font>
      <sz val="11"/>
      <color theme="1"/>
      <name val="Univers LT St_x0009_d 57 Cn"/>
    </font>
    <font>
      <b/>
      <sz val="18"/>
      <color rgb="FF00A295"/>
      <name val="Univers LT St_x0009_d 57 Cn"/>
    </font>
    <font>
      <sz val="12"/>
      <color rgb="FF000000"/>
      <name val="Univers LT St_x0009_d 57 Cn"/>
    </font>
    <font>
      <sz val="16"/>
      <color theme="1"/>
      <name val="Calibri"/>
      <family val="2"/>
      <scheme val="minor"/>
    </font>
    <font>
      <sz val="16"/>
      <color theme="1"/>
      <name val="Univers LT St_x0009_d 57 Cn"/>
    </font>
    <font>
      <b/>
      <sz val="14"/>
      <color theme="1"/>
      <name val="Univers LT St_x0009_d 57 Cn"/>
    </font>
    <font>
      <b/>
      <sz val="16"/>
      <color rgb="FF80898E"/>
      <name val="Univers LT Std 57 Cn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83BF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1ADB3"/>
        <bgColor indexed="64"/>
      </patternFill>
    </fill>
    <fill>
      <patternFill patternType="solid">
        <fgColor rgb="FF2A559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8CBCE"/>
        <bgColor indexed="64"/>
      </patternFill>
    </fill>
    <fill>
      <patternFill patternType="solid">
        <fgColor rgb="FF2E66B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38">
    <xf numFmtId="0" fontId="0" fillId="0" borderId="0" xfId="0"/>
    <xf numFmtId="1" fontId="2" fillId="2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Protection="1"/>
    <xf numFmtId="0" fontId="2" fillId="0" borderId="0" xfId="0" applyFont="1" applyProtection="1"/>
    <xf numFmtId="0" fontId="2" fillId="0" borderId="0" xfId="0" applyFont="1" applyAlignment="1" applyProtection="1"/>
    <xf numFmtId="0" fontId="2" fillId="2" borderId="0" xfId="0" applyFont="1" applyFill="1" applyAlignment="1" applyProtection="1"/>
    <xf numFmtId="0" fontId="2" fillId="0" borderId="0" xfId="0" applyFont="1" applyBorder="1" applyProtection="1"/>
    <xf numFmtId="0" fontId="3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Protection="1"/>
    <xf numFmtId="0" fontId="2" fillId="0" borderId="0" xfId="0" applyFont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164" fontId="2" fillId="2" borderId="1" xfId="1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wrapText="1"/>
    </xf>
    <xf numFmtId="0" fontId="5" fillId="3" borderId="2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wrapText="1"/>
    </xf>
    <xf numFmtId="164" fontId="2" fillId="2" borderId="3" xfId="1" applyNumberFormat="1" applyFont="1" applyFill="1" applyBorder="1" applyAlignment="1" applyProtection="1">
      <alignment vertical="center"/>
    </xf>
    <xf numFmtId="0" fontId="5" fillId="4" borderId="2" xfId="0" applyFont="1" applyFill="1" applyBorder="1" applyAlignment="1" applyProtection="1">
      <alignment horizontal="center" vertical="center"/>
    </xf>
    <xf numFmtId="0" fontId="9" fillId="2" borderId="0" xfId="0" applyFont="1" applyFill="1" applyBorder="1" applyProtection="1"/>
    <xf numFmtId="0" fontId="9" fillId="0" borderId="0" xfId="0" applyFont="1" applyBorder="1" applyProtection="1"/>
    <xf numFmtId="0" fontId="9" fillId="5" borderId="0" xfId="0" applyFont="1" applyFill="1" applyBorder="1" applyProtection="1"/>
    <xf numFmtId="164" fontId="12" fillId="6" borderId="1" xfId="1" applyFont="1" applyFill="1" applyBorder="1" applyAlignment="1" applyProtection="1">
      <alignment horizontal="center" vertical="center"/>
    </xf>
    <xf numFmtId="164" fontId="12" fillId="5" borderId="1" xfId="0" applyNumberFormat="1" applyFont="1" applyFill="1" applyBorder="1" applyAlignment="1" applyProtection="1">
      <alignment horizontal="center" vertical="center"/>
    </xf>
    <xf numFmtId="165" fontId="12" fillId="5" borderId="1" xfId="2" applyNumberFormat="1" applyFont="1" applyFill="1" applyBorder="1" applyAlignment="1" applyProtection="1">
      <alignment horizontal="left" vertical="center"/>
    </xf>
    <xf numFmtId="0" fontId="2" fillId="0" borderId="4" xfId="0" applyFont="1" applyBorder="1" applyProtection="1"/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NumberFormat="1" applyFont="1" applyFill="1" applyBorder="1" applyProtection="1"/>
    <xf numFmtId="1" fontId="13" fillId="7" borderId="2" xfId="0" applyNumberFormat="1" applyFont="1" applyFill="1" applyBorder="1" applyAlignment="1" applyProtection="1">
      <alignment vertical="center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Protection="1"/>
    <xf numFmtId="164" fontId="13" fillId="7" borderId="2" xfId="0" applyNumberFormat="1" applyFont="1" applyFill="1" applyBorder="1" applyAlignment="1" applyProtection="1">
      <alignment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center" vertical="center"/>
    </xf>
    <xf numFmtId="1" fontId="2" fillId="2" borderId="3" xfId="1" applyNumberFormat="1" applyFont="1" applyFill="1" applyBorder="1" applyAlignment="1" applyProtection="1">
      <alignment horizontal="center" vertical="center"/>
    </xf>
    <xf numFmtId="164" fontId="2" fillId="2" borderId="3" xfId="1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164" fontId="2" fillId="2" borderId="1" xfId="0" applyNumberFormat="1" applyFont="1" applyFill="1" applyBorder="1" applyAlignment="1" applyProtection="1">
      <alignment horizontal="center" vertical="center"/>
    </xf>
    <xf numFmtId="1" fontId="2" fillId="2" borderId="1" xfId="1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Protection="1">
      <protection locked="0"/>
    </xf>
    <xf numFmtId="164" fontId="2" fillId="0" borderId="4" xfId="0" applyNumberFormat="1" applyFont="1" applyBorder="1" applyProtection="1">
      <protection locked="0"/>
    </xf>
    <xf numFmtId="0" fontId="2" fillId="0" borderId="4" xfId="0" applyFont="1" applyBorder="1" applyProtection="1"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2" borderId="4" xfId="0" applyNumberFormat="1" applyFont="1" applyFill="1" applyBorder="1" applyProtection="1">
      <protection locked="0"/>
    </xf>
    <xf numFmtId="1" fontId="2" fillId="6" borderId="1" xfId="1" applyNumberFormat="1" applyFont="1" applyFill="1" applyBorder="1" applyAlignment="1" applyProtection="1">
      <alignment horizontal="center" vertical="center"/>
    </xf>
    <xf numFmtId="164" fontId="6" fillId="6" borderId="5" xfId="1" applyNumberFormat="1" applyFont="1" applyFill="1" applyBorder="1" applyAlignment="1" applyProtection="1">
      <alignment vertical="center"/>
    </xf>
    <xf numFmtId="1" fontId="14" fillId="7" borderId="2" xfId="0" applyNumberFormat="1" applyFont="1" applyFill="1" applyBorder="1" applyAlignment="1" applyProtection="1">
      <alignment horizontal="center" vertical="center"/>
    </xf>
    <xf numFmtId="164" fontId="14" fillId="7" borderId="2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  <protection locked="0"/>
    </xf>
    <xf numFmtId="1" fontId="2" fillId="0" borderId="3" xfId="0" applyNumberFormat="1" applyFont="1" applyFill="1" applyBorder="1" applyAlignment="1" applyProtection="1">
      <alignment horizontal="center" vertical="center"/>
      <protection locked="0"/>
    </xf>
    <xf numFmtId="164" fontId="2" fillId="0" borderId="3" xfId="0" applyNumberFormat="1" applyFont="1" applyFill="1" applyBorder="1" applyAlignment="1" applyProtection="1">
      <alignment horizontal="center" vertical="center"/>
      <protection locked="0"/>
    </xf>
    <xf numFmtId="1" fontId="2" fillId="0" borderId="3" xfId="1" applyNumberFormat="1" applyFont="1" applyFill="1" applyBorder="1" applyAlignment="1" applyProtection="1">
      <alignment horizontal="center" vertical="center"/>
      <protection locked="0"/>
    </xf>
    <xf numFmtId="1" fontId="2" fillId="2" borderId="3" xfId="0" applyNumberFormat="1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/>
    </xf>
    <xf numFmtId="1" fontId="2" fillId="2" borderId="4" xfId="0" applyNumberFormat="1" applyFont="1" applyFill="1" applyBorder="1" applyProtection="1"/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center" vertical="top" wrapText="1"/>
    </xf>
    <xf numFmtId="164" fontId="6" fillId="8" borderId="3" xfId="1" applyNumberFormat="1" applyFont="1" applyFill="1" applyBorder="1" applyAlignment="1" applyProtection="1">
      <alignment vertical="center"/>
      <protection locked="0"/>
    </xf>
    <xf numFmtId="164" fontId="6" fillId="8" borderId="3" xfId="1" applyNumberFormat="1" applyFont="1" applyFill="1" applyBorder="1" applyAlignment="1" applyProtection="1">
      <alignment horizontal="center" vertical="center"/>
      <protection locked="0"/>
    </xf>
    <xf numFmtId="164" fontId="6" fillId="8" borderId="1" xfId="1" applyNumberFormat="1" applyFont="1" applyFill="1" applyBorder="1" applyAlignment="1" applyProtection="1">
      <alignment vertical="center"/>
      <protection locked="0"/>
    </xf>
    <xf numFmtId="1" fontId="6" fillId="8" borderId="1" xfId="1" applyNumberFormat="1" applyFont="1" applyFill="1" applyBorder="1" applyAlignment="1" applyProtection="1">
      <alignment horizontal="center" vertical="center"/>
    </xf>
    <xf numFmtId="1" fontId="6" fillId="5" borderId="3" xfId="1" applyNumberFormat="1" applyFont="1" applyFill="1" applyBorder="1" applyAlignment="1" applyProtection="1">
      <alignment horizontal="center" vertical="center"/>
      <protection locked="0"/>
    </xf>
    <xf numFmtId="164" fontId="6" fillId="5" borderId="3" xfId="1" applyNumberFormat="1" applyFont="1" applyFill="1" applyBorder="1" applyAlignment="1" applyProtection="1">
      <alignment horizontal="center" vertical="center"/>
      <protection locked="0"/>
    </xf>
    <xf numFmtId="0" fontId="2" fillId="2" borderId="4" xfId="0" applyNumberFormat="1" applyFont="1" applyFill="1" applyBorder="1" applyAlignment="1" applyProtection="1">
      <alignment horizontal="center" vertical="center"/>
      <protection locked="0"/>
    </xf>
    <xf numFmtId="1" fontId="2" fillId="2" borderId="4" xfId="0" applyNumberFormat="1" applyFont="1" applyFill="1" applyBorder="1" applyAlignment="1" applyProtection="1">
      <alignment horizontal="center" vertical="center"/>
      <protection locked="0"/>
    </xf>
    <xf numFmtId="164" fontId="2" fillId="2" borderId="4" xfId="0" applyNumberFormat="1" applyFont="1" applyFill="1" applyBorder="1" applyAlignment="1" applyProtection="1">
      <alignment horizontal="center" vertical="center"/>
      <protection locked="0"/>
    </xf>
    <xf numFmtId="1" fontId="2" fillId="2" borderId="4" xfId="1" applyNumberFormat="1" applyFont="1" applyFill="1" applyBorder="1" applyAlignment="1" applyProtection="1">
      <alignment horizontal="center" vertical="center"/>
      <protection locked="0"/>
    </xf>
    <xf numFmtId="14" fontId="2" fillId="2" borderId="6" xfId="0" applyNumberFormat="1" applyFont="1" applyFill="1" applyBorder="1" applyAlignment="1" applyProtection="1">
      <alignment horizontal="center" vertical="center"/>
    </xf>
    <xf numFmtId="14" fontId="2" fillId="2" borderId="4" xfId="0" applyNumberFormat="1" applyFont="1" applyFill="1" applyBorder="1" applyAlignment="1" applyProtection="1">
      <alignment horizontal="center" vertical="center"/>
    </xf>
    <xf numFmtId="0" fontId="14" fillId="7" borderId="7" xfId="0" applyFont="1" applyFill="1" applyBorder="1" applyAlignment="1" applyProtection="1">
      <alignment horizontal="center" vertical="center"/>
    </xf>
    <xf numFmtId="0" fontId="14" fillId="7" borderId="8" xfId="0" applyFont="1" applyFill="1" applyBorder="1" applyAlignment="1" applyProtection="1">
      <alignment horizontal="center" vertical="center"/>
    </xf>
    <xf numFmtId="14" fontId="2" fillId="2" borderId="9" xfId="0" applyNumberFormat="1" applyFont="1" applyFill="1" applyBorder="1" applyAlignment="1" applyProtection="1">
      <alignment horizontal="center" vertical="center"/>
    </xf>
    <xf numFmtId="14" fontId="2" fillId="2" borderId="1" xfId="0" applyNumberFormat="1" applyFont="1" applyFill="1" applyBorder="1" applyAlignment="1" applyProtection="1">
      <alignment horizontal="center" vertical="center"/>
    </xf>
    <xf numFmtId="14" fontId="2" fillId="2" borderId="10" xfId="0" applyNumberFormat="1" applyFont="1" applyFill="1" applyBorder="1" applyAlignment="1" applyProtection="1">
      <alignment horizontal="center" vertical="center"/>
    </xf>
    <xf numFmtId="14" fontId="2" fillId="2" borderId="3" xfId="0" applyNumberFormat="1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12" xfId="0" applyFont="1" applyFill="1" applyBorder="1" applyAlignment="1" applyProtection="1">
      <alignment horizontal="right" vertical="center"/>
    </xf>
    <xf numFmtId="0" fontId="3" fillId="2" borderId="12" xfId="0" applyFont="1" applyFill="1" applyBorder="1" applyAlignment="1" applyProtection="1">
      <alignment vertical="center"/>
    </xf>
    <xf numFmtId="0" fontId="3" fillId="2" borderId="13" xfId="0" applyFont="1" applyFill="1" applyBorder="1" applyAlignment="1" applyProtection="1">
      <alignment vertical="center"/>
    </xf>
    <xf numFmtId="0" fontId="5" fillId="4" borderId="14" xfId="0" applyFont="1" applyFill="1" applyBorder="1" applyAlignment="1" applyProtection="1">
      <alignment horizontal="center" vertical="center"/>
    </xf>
    <xf numFmtId="0" fontId="5" fillId="4" borderId="15" xfId="0" applyFont="1" applyFill="1" applyBorder="1" applyAlignment="1" applyProtection="1">
      <alignment horizontal="center" vertical="center"/>
    </xf>
    <xf numFmtId="0" fontId="5" fillId="4" borderId="16" xfId="0" applyFont="1" applyFill="1" applyBorder="1" applyAlignment="1" applyProtection="1">
      <alignment horizontal="center" vertical="center"/>
    </xf>
    <xf numFmtId="0" fontId="5" fillId="4" borderId="17" xfId="0" applyFont="1" applyFill="1" applyBorder="1" applyAlignment="1" applyProtection="1">
      <alignment horizontal="center" vertical="center"/>
    </xf>
    <xf numFmtId="0" fontId="5" fillId="4" borderId="18" xfId="0" applyFont="1" applyFill="1" applyBorder="1" applyAlignment="1" applyProtection="1">
      <alignment horizontal="center" vertical="center"/>
    </xf>
    <xf numFmtId="0" fontId="5" fillId="4" borderId="11" xfId="0" applyFont="1" applyFill="1" applyBorder="1" applyAlignment="1" applyProtection="1">
      <alignment horizontal="center" vertical="center"/>
    </xf>
    <xf numFmtId="0" fontId="5" fillId="4" borderId="13" xfId="0" applyFont="1" applyFill="1" applyBorder="1" applyAlignment="1" applyProtection="1">
      <alignment horizontal="center" vertical="center"/>
    </xf>
    <xf numFmtId="0" fontId="5" fillId="4" borderId="19" xfId="0" applyFont="1" applyFill="1" applyBorder="1" applyAlignment="1" applyProtection="1">
      <alignment horizontal="center" vertical="center" wrapText="1"/>
    </xf>
    <xf numFmtId="0" fontId="5" fillId="4" borderId="20" xfId="0" applyFont="1" applyFill="1" applyBorder="1" applyAlignment="1" applyProtection="1">
      <alignment horizontal="center" vertical="center" wrapText="1"/>
    </xf>
    <xf numFmtId="0" fontId="5" fillId="3" borderId="14" xfId="0" applyFont="1" applyFill="1" applyBorder="1" applyAlignment="1" applyProtection="1">
      <alignment horizontal="center" vertical="center"/>
    </xf>
    <xf numFmtId="0" fontId="5" fillId="3" borderId="16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vertical="center"/>
    </xf>
    <xf numFmtId="0" fontId="3" fillId="2" borderId="2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/>
    </xf>
    <xf numFmtId="0" fontId="4" fillId="0" borderId="21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horizontal="center" vertical="center"/>
    </xf>
    <xf numFmtId="0" fontId="13" fillId="7" borderId="7" xfId="0" applyFont="1" applyFill="1" applyBorder="1" applyAlignment="1" applyProtection="1">
      <alignment vertical="center"/>
    </xf>
    <xf numFmtId="0" fontId="13" fillId="7" borderId="8" xfId="0" applyFont="1" applyFill="1" applyBorder="1" applyAlignment="1" applyProtection="1">
      <alignment vertical="center"/>
    </xf>
    <xf numFmtId="0" fontId="13" fillId="7" borderId="22" xfId="0" applyFont="1" applyFill="1" applyBorder="1" applyAlignment="1" applyProtection="1">
      <alignment vertical="center"/>
    </xf>
    <xf numFmtId="0" fontId="13" fillId="7" borderId="14" xfId="0" applyFont="1" applyFill="1" applyBorder="1" applyAlignment="1" applyProtection="1">
      <alignment vertical="center"/>
    </xf>
    <xf numFmtId="0" fontId="13" fillId="7" borderId="15" xfId="0" applyFont="1" applyFill="1" applyBorder="1" applyAlignment="1" applyProtection="1">
      <alignment vertical="center"/>
    </xf>
    <xf numFmtId="0" fontId="13" fillId="7" borderId="16" xfId="0" applyFont="1" applyFill="1" applyBorder="1" applyAlignment="1" applyProtection="1">
      <alignment vertical="center"/>
    </xf>
    <xf numFmtId="0" fontId="3" fillId="2" borderId="23" xfId="0" applyFont="1" applyFill="1" applyBorder="1" applyAlignment="1" applyProtection="1">
      <alignment horizontal="right" vertical="center"/>
    </xf>
    <xf numFmtId="0" fontId="3" fillId="2" borderId="24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horizontal="right" vertical="center"/>
    </xf>
    <xf numFmtId="0" fontId="3" fillId="2" borderId="5" xfId="0" applyFont="1" applyFill="1" applyBorder="1" applyAlignment="1" applyProtection="1">
      <alignment vertical="center"/>
    </xf>
    <xf numFmtId="1" fontId="13" fillId="7" borderId="7" xfId="0" applyNumberFormat="1" applyFont="1" applyFill="1" applyBorder="1" applyAlignment="1" applyProtection="1">
      <alignment horizontal="center" vertical="center"/>
    </xf>
    <xf numFmtId="1" fontId="13" fillId="7" borderId="8" xfId="0" applyNumberFormat="1" applyFont="1" applyFill="1" applyBorder="1" applyAlignment="1" applyProtection="1">
      <alignment horizontal="center" vertical="center"/>
    </xf>
    <xf numFmtId="1" fontId="13" fillId="7" borderId="22" xfId="0" applyNumberFormat="1" applyFont="1" applyFill="1" applyBorder="1" applyAlignment="1" applyProtection="1">
      <alignment horizontal="center" vertical="center"/>
    </xf>
    <xf numFmtId="14" fontId="2" fillId="2" borderId="9" xfId="0" applyNumberFormat="1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2" fillId="2" borderId="4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21" xfId="0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0" fontId="4" fillId="0" borderId="21" xfId="0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14" fontId="2" fillId="0" borderId="10" xfId="0" applyNumberFormat="1" applyFont="1" applyFill="1" applyBorder="1" applyAlignment="1" applyProtection="1">
      <alignment horizontal="center" vertical="center"/>
      <protection locked="0"/>
    </xf>
    <xf numFmtId="14" fontId="2" fillId="0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vertical="center"/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0" fontId="21" fillId="9" borderId="0" xfId="0" applyFont="1" applyFill="1" applyBorder="1" applyAlignment="1" applyProtection="1">
      <alignment horizontal="center" vertical="center"/>
    </xf>
    <xf numFmtId="164" fontId="12" fillId="5" borderId="1" xfId="0" applyNumberFormat="1" applyFont="1" applyFill="1" applyBorder="1" applyAlignment="1" applyProtection="1">
      <alignment horizontal="center" vertical="center"/>
    </xf>
    <xf numFmtId="43" fontId="12" fillId="5" borderId="1" xfId="2" applyFont="1" applyFill="1" applyBorder="1" applyAlignment="1" applyProtection="1">
      <alignment horizontal="left" vertical="center"/>
    </xf>
    <xf numFmtId="0" fontId="14" fillId="10" borderId="1" xfId="0" applyFont="1" applyFill="1" applyBorder="1" applyAlignment="1" applyProtection="1">
      <alignment horizontal="center" vertical="center"/>
    </xf>
    <xf numFmtId="164" fontId="10" fillId="6" borderId="4" xfId="1" applyFont="1" applyFill="1" applyBorder="1" applyAlignment="1" applyProtection="1">
      <alignment horizontal="center" vertical="center" wrapText="1"/>
    </xf>
    <xf numFmtId="164" fontId="10" fillId="6" borderId="25" xfId="1" applyFont="1" applyFill="1" applyBorder="1" applyAlignment="1" applyProtection="1">
      <alignment horizontal="center" vertical="center" wrapText="1"/>
    </xf>
    <xf numFmtId="164" fontId="10" fillId="6" borderId="3" xfId="1" applyFont="1" applyFill="1" applyBorder="1" applyAlignment="1" applyProtection="1">
      <alignment horizontal="center" vertical="center" wrapText="1"/>
    </xf>
    <xf numFmtId="164" fontId="12" fillId="6" borderId="4" xfId="1" applyFont="1" applyFill="1" applyBorder="1" applyAlignment="1" applyProtection="1">
      <alignment horizontal="center" vertical="center" wrapText="1"/>
    </xf>
    <xf numFmtId="164" fontId="12" fillId="6" borderId="25" xfId="1" applyFont="1" applyFill="1" applyBorder="1" applyAlignment="1" applyProtection="1">
      <alignment horizontal="center" vertical="center" wrapText="1"/>
    </xf>
    <xf numFmtId="164" fontId="12" fillId="6" borderId="3" xfId="1" applyFont="1" applyFill="1" applyBorder="1" applyAlignment="1" applyProtection="1">
      <alignment horizontal="center" vertical="center" wrapText="1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Custos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Gráfico!$B$23</c:f>
              <c:strCache>
                <c:ptCount val="1"/>
                <c:pt idx="0">
                  <c:v> Entradas </c:v>
                </c:pt>
              </c:strCache>
            </c:strRef>
          </c:tx>
          <c:spPr>
            <a:solidFill>
              <a:srgbClr val="83BF30"/>
            </a:solidFill>
          </c:spPr>
          <c:invertIfNegative val="0"/>
          <c:cat>
            <c:strRef>
              <c:f>Gráfico!$A$23</c:f>
              <c:strCache>
                <c:ptCount val="1"/>
                <c:pt idx="0">
                  <c:v> Saldo Total em Custos </c:v>
                </c:pt>
              </c:strCache>
            </c:strRef>
          </c:cat>
          <c:val>
            <c:numRef>
              <c:f>Gráfico!$B$24</c:f>
              <c:numCache>
                <c:formatCode>_-"R$"\ * #,##0.00_-;\-"R$"\ * #,##0.00_-;_-"R$"\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A-44A0-90AF-5C2BD6931801}"/>
            </c:ext>
          </c:extLst>
        </c:ser>
        <c:ser>
          <c:idx val="1"/>
          <c:order val="1"/>
          <c:tx>
            <c:strRef>
              <c:f>Gráfico!$C$23</c:f>
              <c:strCache>
                <c:ptCount val="1"/>
                <c:pt idx="0">
                  <c:v> Saídas </c:v>
                </c:pt>
              </c:strCache>
            </c:strRef>
          </c:tx>
          <c:spPr>
            <a:solidFill>
              <a:srgbClr val="FF8040"/>
            </a:solidFill>
          </c:spPr>
          <c:invertIfNegative val="0"/>
          <c:cat>
            <c:strRef>
              <c:f>Gráfico!$A$23</c:f>
              <c:strCache>
                <c:ptCount val="1"/>
                <c:pt idx="0">
                  <c:v> Saldo Total em Custos </c:v>
                </c:pt>
              </c:strCache>
            </c:strRef>
          </c:cat>
          <c:val>
            <c:numRef>
              <c:f>Gráfico!$C$24</c:f>
              <c:numCache>
                <c:formatCode>_-"R$"\ * #,##0.00_-;\-"R$"\ * #,##0.00_-;_-"R$"\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A-44A0-90AF-5C2BD693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6516320"/>
        <c:axId val="1"/>
        <c:axId val="0"/>
      </c:bar3DChart>
      <c:catAx>
        <c:axId val="8765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 i="0" baseline="0"/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_-&quot;R$&quot;\ * #,##0.00_-;\-&quot;R$&quot;\ * #,##0.00_-;_-&quot;R$&quot;\ 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b="1" i="0" baseline="0"/>
            </a:pPr>
            <a:endParaRPr lang="pt-BR"/>
          </a:p>
        </c:txPr>
        <c:crossAx val="8765163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883454443301684"/>
          <c:y val="0.48458335897477761"/>
          <c:w val="0.16284944721216862"/>
          <c:h val="0.14815287408146066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102" footer="0.314960620000001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Quantidade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Gráfico!$E$23</c:f>
              <c:strCache>
                <c:ptCount val="1"/>
                <c:pt idx="0">
                  <c:v> Entradas </c:v>
                </c:pt>
              </c:strCache>
            </c:strRef>
          </c:tx>
          <c:spPr>
            <a:solidFill>
              <a:srgbClr val="83BF30"/>
            </a:solidFill>
          </c:spPr>
          <c:invertIfNegative val="0"/>
          <c:cat>
            <c:strRef>
              <c:f>Gráfico!$D$23</c:f>
              <c:strCache>
                <c:ptCount val="1"/>
                <c:pt idx="0">
                  <c:v> Saldo Total em Quantidade </c:v>
                </c:pt>
              </c:strCache>
            </c:strRef>
          </c:cat>
          <c:val>
            <c:numRef>
              <c:f>Gráfico!$E$24</c:f>
              <c:numCache>
                <c:formatCode>_-* #,##0_-;\-* #,##0_-;_-*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6-445F-A266-61FF39F7664A}"/>
            </c:ext>
          </c:extLst>
        </c:ser>
        <c:ser>
          <c:idx val="1"/>
          <c:order val="1"/>
          <c:tx>
            <c:strRef>
              <c:f>Gráfico!$F$23</c:f>
              <c:strCache>
                <c:ptCount val="1"/>
                <c:pt idx="0">
                  <c:v> Saídas </c:v>
                </c:pt>
              </c:strCache>
            </c:strRef>
          </c:tx>
          <c:spPr>
            <a:solidFill>
              <a:srgbClr val="FF8040"/>
            </a:solidFill>
          </c:spPr>
          <c:invertIfNegative val="0"/>
          <c:cat>
            <c:strRef>
              <c:f>Gráfico!$D$23</c:f>
              <c:strCache>
                <c:ptCount val="1"/>
                <c:pt idx="0">
                  <c:v> Saldo Total em Quantidade </c:v>
                </c:pt>
              </c:strCache>
            </c:strRef>
          </c:cat>
          <c:val>
            <c:numRef>
              <c:f>Gráfico!$F$24</c:f>
              <c:numCache>
                <c:formatCode>_-* #,##0_-;\-* #,##0_-;_-*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6-445F-A266-61FF39F76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6512992"/>
        <c:axId val="1"/>
        <c:axId val="0"/>
      </c:bar3DChart>
      <c:catAx>
        <c:axId val="87651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 i="0" baseline="0"/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b="1" i="0" baseline="0"/>
            </a:pPr>
            <a:endParaRPr lang="pt-BR"/>
          </a:p>
        </c:txPr>
        <c:crossAx val="8765129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715506751447264"/>
          <c:y val="0.48458335897477761"/>
          <c:w val="0.16435696825361915"/>
          <c:h val="0.14815287408146066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102" footer="0.3149606200000010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braemg.com.br/atendimento/bibliotecadigital/documento/Cartilha-Manual-ou-Livro/Como-elaborar-Controles-Financeiros" TargetMode="External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hyperlink" Target="https://www.sebraemg.com.br/atendimento/conteudo/consultoria" TargetMode="Externa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 /><Relationship Id="rId2" Type="http://schemas.openxmlformats.org/officeDocument/2006/relationships/chart" Target="../charts/chart1.xml" /><Relationship Id="rId1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1880235</xdr:colOff>
      <xdr:row>6</xdr:row>
      <xdr:rowOff>1247775</xdr:rowOff>
    </xdr:from>
    <xdr:to>
      <xdr:col>0</xdr:col>
      <xdr:colOff>6185388</xdr:colOff>
      <xdr:row>8</xdr:row>
      <xdr:rowOff>87648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C00BE52-7138-47D2-9BCA-A9AD44F49580}"/>
            </a:ext>
          </a:extLst>
        </xdr:cNvPr>
        <xdr:cNvSpPr/>
      </xdr:nvSpPr>
      <xdr:spPr>
        <a:xfrm>
          <a:off x="1876425" y="2638425"/>
          <a:ext cx="4314825" cy="800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0</xdr:col>
      <xdr:colOff>161925</xdr:colOff>
      <xdr:row>3</xdr:row>
      <xdr:rowOff>142875</xdr:rowOff>
    </xdr:from>
    <xdr:to>
      <xdr:col>0</xdr:col>
      <xdr:colOff>1438275</xdr:colOff>
      <xdr:row>4</xdr:row>
      <xdr:rowOff>542925</xdr:rowOff>
    </xdr:to>
    <xdr:pic>
      <xdr:nvPicPr>
        <xdr:cNvPr id="1081" name="Imagem 2" descr="D:\Users\anymyuki\AppData\Local\Microsoft\Windows\Temporary Internet Files\Content.Outlook\WE6O9U5L\logo-sebrae_sem_assinatura.png">
          <a:extLst>
            <a:ext uri="{FF2B5EF4-FFF2-40B4-BE49-F238E27FC236}">
              <a16:creationId xmlns:a16="http://schemas.microsoft.com/office/drawing/2014/main" id="{12F1E5C4-DB97-499A-9A9D-2E5E63A1C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657225"/>
          <a:ext cx="12763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7248525</xdr:colOff>
      <xdr:row>11</xdr:row>
      <xdr:rowOff>228600</xdr:rowOff>
    </xdr:from>
    <xdr:to>
      <xdr:col>0</xdr:col>
      <xdr:colOff>8067675</xdr:colOff>
      <xdr:row>15</xdr:row>
      <xdr:rowOff>19050</xdr:rowOff>
    </xdr:to>
    <xdr:pic>
      <xdr:nvPicPr>
        <xdr:cNvPr id="1082" name="Imagem 3">
          <a:extLst>
            <a:ext uri="{FF2B5EF4-FFF2-40B4-BE49-F238E27FC236}">
              <a16:creationId xmlns:a16="http://schemas.microsoft.com/office/drawing/2014/main" id="{6F2D5B06-B7AB-411B-B46A-B8E0869A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4572000"/>
          <a:ext cx="8191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765810</xdr:colOff>
      <xdr:row>17</xdr:row>
      <xdr:rowOff>125730</xdr:rowOff>
    </xdr:from>
    <xdr:to>
      <xdr:col>0</xdr:col>
      <xdr:colOff>3339318</xdr:colOff>
      <xdr:row>23</xdr:row>
      <xdr:rowOff>38130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8F7D6A-A126-4753-AAB8-F208029A09CC}"/>
            </a:ext>
          </a:extLst>
        </xdr:cNvPr>
        <xdr:cNvSpPr/>
      </xdr:nvSpPr>
      <xdr:spPr>
        <a:xfrm>
          <a:off x="762000" y="5867400"/>
          <a:ext cx="2571750" cy="990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Como Elaborar Controles Financeiros</a:t>
          </a:r>
        </a:p>
        <a:p>
          <a:pPr algn="l"/>
          <a:endParaRPr lang="pt-BR" sz="1400"/>
        </a:p>
        <a:p>
          <a:pPr algn="ctr"/>
          <a:r>
            <a:rPr lang="pt-BR" sz="1400" u="sng"/>
            <a:t>CLIQUE AQUI</a:t>
          </a:r>
        </a:p>
      </xdr:txBody>
    </xdr:sp>
    <xdr:clientData/>
  </xdr:twoCellAnchor>
  <xdr:twoCellAnchor>
    <xdr:from>
      <xdr:col>0</xdr:col>
      <xdr:colOff>4842510</xdr:colOff>
      <xdr:row>17</xdr:row>
      <xdr:rowOff>125730</xdr:rowOff>
    </xdr:from>
    <xdr:to>
      <xdr:col>0</xdr:col>
      <xdr:colOff>7404626</xdr:colOff>
      <xdr:row>23</xdr:row>
      <xdr:rowOff>38130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E826CF-96F2-4695-BB69-EE4657C91236}"/>
            </a:ext>
          </a:extLst>
        </xdr:cNvPr>
        <xdr:cNvSpPr/>
      </xdr:nvSpPr>
      <xdr:spPr>
        <a:xfrm>
          <a:off x="4838700" y="5867400"/>
          <a:ext cx="2571750" cy="990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Consultoria</a:t>
          </a:r>
        </a:p>
        <a:p>
          <a:pPr algn="l"/>
          <a:endParaRPr lang="pt-BR" sz="1400"/>
        </a:p>
        <a:p>
          <a:pPr algn="ctr"/>
          <a:r>
            <a:rPr lang="pt-BR" sz="1400" u="sng"/>
            <a:t>CLIQUE AQUI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6</xdr:row>
      <xdr:rowOff>257175</xdr:rowOff>
    </xdr:from>
    <xdr:to>
      <xdr:col>6</xdr:col>
      <xdr:colOff>685800</xdr:colOff>
      <xdr:row>7</xdr:row>
      <xdr:rowOff>0</xdr:rowOff>
    </xdr:to>
    <xdr:pic>
      <xdr:nvPicPr>
        <xdr:cNvPr id="2159" name="Imagem 2" descr="D:\Users\anymyuki\AppData\Local\Microsoft\Windows\Temporary Internet Files\Content.Outlook\WE6O9U5L\logo-sebrae_sem_assinatura.png">
          <a:extLst>
            <a:ext uri="{FF2B5EF4-FFF2-40B4-BE49-F238E27FC236}">
              <a16:creationId xmlns:a16="http://schemas.microsoft.com/office/drawing/2014/main" id="{822AD980-26F3-473A-B7FD-182C6AF2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1971675"/>
          <a:ext cx="12287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274319</xdr:colOff>
      <xdr:row>10</xdr:row>
      <xdr:rowOff>209550</xdr:rowOff>
    </xdr:from>
    <xdr:to>
      <xdr:col>3</xdr:col>
      <xdr:colOff>348138</xdr:colOff>
      <xdr:row>14</xdr:row>
      <xdr:rowOff>28715</xdr:rowOff>
    </xdr:to>
    <xdr:sp macro="" textlink="">
      <xdr:nvSpPr>
        <xdr:cNvPr id="4" name="Texto Explicativo 1 (Borda e Ênfase) 3">
          <a:extLst>
            <a:ext uri="{FF2B5EF4-FFF2-40B4-BE49-F238E27FC236}">
              <a16:creationId xmlns:a16="http://schemas.microsoft.com/office/drawing/2014/main" id="{E425AB07-16B7-4F5D-A95E-C7C0BB231D6E}"/>
            </a:ext>
          </a:extLst>
        </xdr:cNvPr>
        <xdr:cNvSpPr>
          <a:spLocks/>
        </xdr:cNvSpPr>
      </xdr:nvSpPr>
      <xdr:spPr>
        <a:xfrm>
          <a:off x="276224" y="3590925"/>
          <a:ext cx="1902619" cy="962165"/>
        </a:xfrm>
        <a:prstGeom prst="accentBorderCallout1">
          <a:avLst>
            <a:gd name="adj1" fmla="val 42603"/>
            <a:gd name="adj2" fmla="val 108020"/>
            <a:gd name="adj3" fmla="val 160675"/>
            <a:gd name="adj4" fmla="val 16660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a data da movimentação do estoque de entrada ou de saída.</a:t>
          </a:r>
        </a:p>
      </xdr:txBody>
    </xdr:sp>
    <xdr:clientData/>
  </xdr:twoCellAnchor>
  <xdr:twoCellAnchor>
    <xdr:from>
      <xdr:col>0</xdr:col>
      <xdr:colOff>274320</xdr:colOff>
      <xdr:row>4</xdr:row>
      <xdr:rowOff>125730</xdr:rowOff>
    </xdr:from>
    <xdr:to>
      <xdr:col>4</xdr:col>
      <xdr:colOff>15</xdr:colOff>
      <xdr:row>9</xdr:row>
      <xdr:rowOff>11570</xdr:rowOff>
    </xdr:to>
    <xdr:sp macro="" textlink="">
      <xdr:nvSpPr>
        <xdr:cNvPr id="5" name="Texto Explicativo 1 (Borda e Ênfase) 4">
          <a:extLst>
            <a:ext uri="{FF2B5EF4-FFF2-40B4-BE49-F238E27FC236}">
              <a16:creationId xmlns:a16="http://schemas.microsoft.com/office/drawing/2014/main" id="{7EF00709-5C8E-4D60-B19E-348061303D99}"/>
            </a:ext>
          </a:extLst>
        </xdr:cNvPr>
        <xdr:cNvSpPr>
          <a:spLocks/>
        </xdr:cNvSpPr>
      </xdr:nvSpPr>
      <xdr:spPr>
        <a:xfrm>
          <a:off x="276225" y="1276350"/>
          <a:ext cx="2162175" cy="1838465"/>
        </a:xfrm>
        <a:prstGeom prst="accentBorderCallout1">
          <a:avLst>
            <a:gd name="adj1" fmla="val 42603"/>
            <a:gd name="adj2" fmla="val 108020"/>
            <a:gd name="adj3" fmla="val 202641"/>
            <a:gd name="adj4" fmla="val 226957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5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o número da Nota Fiscal de entrada. Já para a saída da mercadoria, vai depender do tamanho da empresa e de como é controlada esta movimentação.</a:t>
          </a:r>
        </a:p>
      </xdr:txBody>
    </xdr:sp>
    <xdr:clientData/>
  </xdr:twoCellAnchor>
  <xdr:twoCellAnchor>
    <xdr:from>
      <xdr:col>4</xdr:col>
      <xdr:colOff>510540</xdr:colOff>
      <xdr:row>0</xdr:row>
      <xdr:rowOff>276225</xdr:rowOff>
    </xdr:from>
    <xdr:to>
      <xdr:col>6</xdr:col>
      <xdr:colOff>777286</xdr:colOff>
      <xdr:row>4</xdr:row>
      <xdr:rowOff>190500</xdr:rowOff>
    </xdr:to>
    <xdr:sp macro="" textlink="">
      <xdr:nvSpPr>
        <xdr:cNvPr id="6" name="Texto Explicativo 1 (Borda e Ênfase) 5">
          <a:extLst>
            <a:ext uri="{FF2B5EF4-FFF2-40B4-BE49-F238E27FC236}">
              <a16:creationId xmlns:a16="http://schemas.microsoft.com/office/drawing/2014/main" id="{62505957-7C12-4158-B09C-0A3223D7CB4D}"/>
            </a:ext>
          </a:extLst>
        </xdr:cNvPr>
        <xdr:cNvSpPr>
          <a:spLocks/>
        </xdr:cNvSpPr>
      </xdr:nvSpPr>
      <xdr:spPr>
        <a:xfrm>
          <a:off x="2943225" y="276225"/>
          <a:ext cx="1943100" cy="1057275"/>
        </a:xfrm>
        <a:prstGeom prst="accentBorderCallout1">
          <a:avLst>
            <a:gd name="adj1" fmla="val 42603"/>
            <a:gd name="adj2" fmla="val 108020"/>
            <a:gd name="adj3" fmla="val 472387"/>
            <a:gd name="adj4" fmla="val 190134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4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a quantidade, em número de unidades, de entrada de mercadoria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436245</xdr:colOff>
      <xdr:row>0</xdr:row>
      <xdr:rowOff>142875</xdr:rowOff>
    </xdr:from>
    <xdr:to>
      <xdr:col>12</xdr:col>
      <xdr:colOff>588645</xdr:colOff>
      <xdr:row>4</xdr:row>
      <xdr:rowOff>257175</xdr:rowOff>
    </xdr:to>
    <xdr:sp macro="" textlink="">
      <xdr:nvSpPr>
        <xdr:cNvPr id="7" name="Texto Explicativo 1 (Borda e Ênfase) 6">
          <a:extLst>
            <a:ext uri="{FF2B5EF4-FFF2-40B4-BE49-F238E27FC236}">
              <a16:creationId xmlns:a16="http://schemas.microsoft.com/office/drawing/2014/main" id="{27A8FA5A-B79D-4B55-BC8A-A0DD6DF8965F}"/>
            </a:ext>
          </a:extLst>
        </xdr:cNvPr>
        <xdr:cNvSpPr>
          <a:spLocks/>
        </xdr:cNvSpPr>
      </xdr:nvSpPr>
      <xdr:spPr>
        <a:xfrm>
          <a:off x="8734425" y="142875"/>
          <a:ext cx="2247900" cy="1257300"/>
        </a:xfrm>
        <a:prstGeom prst="accentBorderCallout1">
          <a:avLst>
            <a:gd name="adj1" fmla="val 57816"/>
            <a:gd name="adj2" fmla="val -4667"/>
            <a:gd name="adj3" fmla="val 403591"/>
            <a:gd name="adj4" fmla="val -46372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5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o valor total de entrada das mercadorias </a:t>
          </a:r>
        </a:p>
        <a:p>
          <a:pPr algn="ctr">
            <a:lnSpc>
              <a:spcPts val="14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Atenção: este valor é o da Nota Fiscal ou pago ao fornecedor.</a:t>
          </a:r>
        </a:p>
      </xdr:txBody>
    </xdr:sp>
    <xdr:clientData/>
  </xdr:twoCellAnchor>
  <xdr:twoCellAnchor>
    <xdr:from>
      <xdr:col>13</xdr:col>
      <xdr:colOff>180975</xdr:colOff>
      <xdr:row>0</xdr:row>
      <xdr:rowOff>228600</xdr:rowOff>
    </xdr:from>
    <xdr:to>
      <xdr:col>15</xdr:col>
      <xdr:colOff>28575</xdr:colOff>
      <xdr:row>4</xdr:row>
      <xdr:rowOff>142875</xdr:rowOff>
    </xdr:to>
    <xdr:sp macro="" textlink="">
      <xdr:nvSpPr>
        <xdr:cNvPr id="8" name="Texto Explicativo 1 (Borda e Ênfase) 7">
          <a:extLst>
            <a:ext uri="{FF2B5EF4-FFF2-40B4-BE49-F238E27FC236}">
              <a16:creationId xmlns:a16="http://schemas.microsoft.com/office/drawing/2014/main" id="{683B3472-67FC-4C98-82D1-0D6BCBB2FC56}"/>
            </a:ext>
          </a:extLst>
        </xdr:cNvPr>
        <xdr:cNvSpPr>
          <a:spLocks/>
        </xdr:cNvSpPr>
      </xdr:nvSpPr>
      <xdr:spPr>
        <a:xfrm>
          <a:off x="11620500" y="228600"/>
          <a:ext cx="1943100" cy="1057275"/>
        </a:xfrm>
        <a:prstGeom prst="accentBorderCallout1">
          <a:avLst>
            <a:gd name="adj1" fmla="val 48909"/>
            <a:gd name="adj2" fmla="val -6196"/>
            <a:gd name="adj3" fmla="val 471486"/>
            <a:gd name="adj4" fmla="val -137317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a quantidade, em número de unidades, de saída (venda) de mercadoria.</a:t>
          </a:r>
        </a:p>
      </xdr:txBody>
    </xdr:sp>
    <xdr:clientData/>
  </xdr:twoCellAnchor>
  <xdr:twoCellAnchor>
    <xdr:from>
      <xdr:col>15</xdr:col>
      <xdr:colOff>586739</xdr:colOff>
      <xdr:row>4</xdr:row>
      <xdr:rowOff>228600</xdr:rowOff>
    </xdr:from>
    <xdr:to>
      <xdr:col>20</xdr:col>
      <xdr:colOff>19006</xdr:colOff>
      <xdr:row>9</xdr:row>
      <xdr:rowOff>125746</xdr:rowOff>
    </xdr:to>
    <xdr:sp macro="" textlink="">
      <xdr:nvSpPr>
        <xdr:cNvPr id="9" name="Texto Explicativo 1 (Borda e Ênfase) 8">
          <a:extLst>
            <a:ext uri="{FF2B5EF4-FFF2-40B4-BE49-F238E27FC236}">
              <a16:creationId xmlns:a16="http://schemas.microsoft.com/office/drawing/2014/main" id="{564852AC-EBCE-4385-8288-7203493C8EEF}"/>
            </a:ext>
          </a:extLst>
        </xdr:cNvPr>
        <xdr:cNvSpPr>
          <a:spLocks/>
        </xdr:cNvSpPr>
      </xdr:nvSpPr>
      <xdr:spPr>
        <a:xfrm>
          <a:off x="14125574" y="1371600"/>
          <a:ext cx="2543175" cy="1857375"/>
        </a:xfrm>
        <a:prstGeom prst="accentBorderCallout1">
          <a:avLst>
            <a:gd name="adj1" fmla="val 48909"/>
            <a:gd name="adj2" fmla="val -6196"/>
            <a:gd name="adj3" fmla="val 206940"/>
            <a:gd name="adj4" fmla="val -160290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6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o valor total de saída de mercadoria. </a:t>
          </a:r>
        </a:p>
        <a:p>
          <a:pPr algn="ctr">
            <a:lnSpc>
              <a:spcPts val="16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Atenção: o valor de saída é o valor de custo e NÃO do preço de venda. </a:t>
          </a:r>
        </a:p>
        <a:p>
          <a:pPr algn="ctr">
            <a:lnSpc>
              <a:spcPts val="1500"/>
            </a:lnSpc>
          </a:pPr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controle de estoque é todo ele feito a valores de aquisição, custo da mercadoria.</a:t>
          </a:r>
        </a:p>
      </xdr:txBody>
    </xdr:sp>
    <xdr:clientData/>
  </xdr:twoCellAnchor>
  <xdr:twoCellAnchor>
    <xdr:from>
      <xdr:col>15</xdr:col>
      <xdr:colOff>584835</xdr:colOff>
      <xdr:row>10</xdr:row>
      <xdr:rowOff>247650</xdr:rowOff>
    </xdr:from>
    <xdr:to>
      <xdr:col>19</xdr:col>
      <xdr:colOff>567696</xdr:colOff>
      <xdr:row>14</xdr:row>
      <xdr:rowOff>161925</xdr:rowOff>
    </xdr:to>
    <xdr:sp macro="" textlink="">
      <xdr:nvSpPr>
        <xdr:cNvPr id="10" name="Texto Explicativo 1 (Borda e Ênfase) 9">
          <a:extLst>
            <a:ext uri="{FF2B5EF4-FFF2-40B4-BE49-F238E27FC236}">
              <a16:creationId xmlns:a16="http://schemas.microsoft.com/office/drawing/2014/main" id="{31D3D219-3850-4D2F-96D4-FBB6C3632F5B}"/>
            </a:ext>
          </a:extLst>
        </xdr:cNvPr>
        <xdr:cNvSpPr>
          <a:spLocks/>
        </xdr:cNvSpPr>
      </xdr:nvSpPr>
      <xdr:spPr>
        <a:xfrm>
          <a:off x="14116050" y="3629025"/>
          <a:ext cx="2495550" cy="1057275"/>
        </a:xfrm>
        <a:prstGeom prst="accentBorderCallout1">
          <a:avLst>
            <a:gd name="adj1" fmla="val 48909"/>
            <a:gd name="adj2" fmla="val -6196"/>
            <a:gd name="adj3" fmla="val 149864"/>
            <a:gd name="adj4" fmla="val -12319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a quantidade, em número de unidades, que permanece em estoque.</a:t>
          </a:r>
        </a:p>
      </xdr:txBody>
    </xdr:sp>
    <xdr:clientData/>
  </xdr:twoCellAnchor>
  <xdr:twoCellAnchor>
    <xdr:from>
      <xdr:col>16</xdr:col>
      <xdr:colOff>57150</xdr:colOff>
      <xdr:row>24</xdr:row>
      <xdr:rowOff>104775</xdr:rowOff>
    </xdr:from>
    <xdr:to>
      <xdr:col>22</xdr:col>
      <xdr:colOff>47625</xdr:colOff>
      <xdr:row>32</xdr:row>
      <xdr:rowOff>28575</xdr:rowOff>
    </xdr:to>
    <xdr:sp macro="" textlink="">
      <xdr:nvSpPr>
        <xdr:cNvPr id="11" name="Texto Explicativo 1 (Borda e Ênfase) 10">
          <a:extLst>
            <a:ext uri="{FF2B5EF4-FFF2-40B4-BE49-F238E27FC236}">
              <a16:creationId xmlns:a16="http://schemas.microsoft.com/office/drawing/2014/main" id="{CAF4583F-7FE9-4F52-BE62-57095CC62FDB}"/>
            </a:ext>
          </a:extLst>
        </xdr:cNvPr>
        <xdr:cNvSpPr>
          <a:spLocks/>
        </xdr:cNvSpPr>
      </xdr:nvSpPr>
      <xdr:spPr>
        <a:xfrm>
          <a:off x="14582775" y="7486650"/>
          <a:ext cx="3333750" cy="2209800"/>
        </a:xfrm>
        <a:prstGeom prst="accentBorderCallout1">
          <a:avLst>
            <a:gd name="adj1" fmla="val 48909"/>
            <a:gd name="adj2" fmla="val -6196"/>
            <a:gd name="adj3" fmla="val -97724"/>
            <a:gd name="adj4" fmla="val -68279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nesta coluna o valor encontrado da divisão do valor de compra dividido pela quantidade de mercadoria.</a:t>
          </a:r>
        </a:p>
        <a:p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Caso haja mercadoria no estoque e o valor da nova aquisição seja maior ou menor do que aquele em estoque, deverá ser calculado o custo médio. A planilha em branco disponibilizada já está formatada contemplando este cálculo.</a:t>
          </a:r>
        </a:p>
      </xdr:txBody>
    </xdr:sp>
    <xdr:clientData/>
  </xdr:twoCellAnchor>
  <xdr:twoCellAnchor>
    <xdr:from>
      <xdr:col>15</xdr:col>
      <xdr:colOff>887730</xdr:colOff>
      <xdr:row>15</xdr:row>
      <xdr:rowOff>266700</xdr:rowOff>
    </xdr:from>
    <xdr:to>
      <xdr:col>20</xdr:col>
      <xdr:colOff>264783</xdr:colOff>
      <xdr:row>19</xdr:row>
      <xdr:rowOff>180975</xdr:rowOff>
    </xdr:to>
    <xdr:sp macro="" textlink="">
      <xdr:nvSpPr>
        <xdr:cNvPr id="12" name="Texto Explicativo 1 (Borda e Ênfase) 11">
          <a:extLst>
            <a:ext uri="{FF2B5EF4-FFF2-40B4-BE49-F238E27FC236}">
              <a16:creationId xmlns:a16="http://schemas.microsoft.com/office/drawing/2014/main" id="{CDA36F3F-B109-4225-A6DF-C76A304233CA}"/>
            </a:ext>
          </a:extLst>
        </xdr:cNvPr>
        <xdr:cNvSpPr>
          <a:spLocks/>
        </xdr:cNvSpPr>
      </xdr:nvSpPr>
      <xdr:spPr>
        <a:xfrm>
          <a:off x="14420850" y="5076825"/>
          <a:ext cx="2495550" cy="1057275"/>
        </a:xfrm>
        <a:prstGeom prst="accentBorderCallout1">
          <a:avLst>
            <a:gd name="adj1" fmla="val 48909"/>
            <a:gd name="adj2" fmla="val -6196"/>
            <a:gd name="adj3" fmla="val 14729"/>
            <a:gd name="adj4" fmla="val -65180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Anote o valor total de mercadoria em estoque, de custo.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257175</xdr:rowOff>
    </xdr:from>
    <xdr:to>
      <xdr:col>2</xdr:col>
      <xdr:colOff>685800</xdr:colOff>
      <xdr:row>1</xdr:row>
      <xdr:rowOff>9525</xdr:rowOff>
    </xdr:to>
    <xdr:pic>
      <xdr:nvPicPr>
        <xdr:cNvPr id="3084" name="Imagem 2" descr="D:\Users\anymyuki\AppData\Local\Microsoft\Windows\Temporary Internet Files\Content.Outlook\WE6O9U5L\logo-sebrae_sem_assinatura.png">
          <a:extLst>
            <a:ext uri="{FF2B5EF4-FFF2-40B4-BE49-F238E27FC236}">
              <a16:creationId xmlns:a16="http://schemas.microsoft.com/office/drawing/2014/main" id="{10666436-EF78-495C-A296-2C3185ED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257175"/>
          <a:ext cx="12287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47625</xdr:rowOff>
    </xdr:from>
    <xdr:to>
      <xdr:col>0</xdr:col>
      <xdr:colOff>676275</xdr:colOff>
      <xdr:row>2</xdr:row>
      <xdr:rowOff>0</xdr:rowOff>
    </xdr:to>
    <xdr:pic>
      <xdr:nvPicPr>
        <xdr:cNvPr id="4130" name="Imagem 2" descr="D:\Users\anymyuki\AppData\Local\Microsoft\Windows\Temporary Internet Files\Content.Outlook\WE6O9U5L\logo-sebrae_sem_assinatura.png">
          <a:extLst>
            <a:ext uri="{FF2B5EF4-FFF2-40B4-BE49-F238E27FC236}">
              <a16:creationId xmlns:a16="http://schemas.microsoft.com/office/drawing/2014/main" id="{70C740BB-B326-40C8-9DEF-6AEC987FB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28600"/>
          <a:ext cx="6000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9525</xdr:rowOff>
    </xdr:from>
    <xdr:to>
      <xdr:col>3</xdr:col>
      <xdr:colOff>9525</xdr:colOff>
      <xdr:row>19</xdr:row>
      <xdr:rowOff>19050</xdr:rowOff>
    </xdr:to>
    <xdr:graphicFrame macro="">
      <xdr:nvGraphicFramePr>
        <xdr:cNvPr id="4131" name="Gráfico 4">
          <a:extLst>
            <a:ext uri="{FF2B5EF4-FFF2-40B4-BE49-F238E27FC236}">
              <a16:creationId xmlns:a16="http://schemas.microsoft.com/office/drawing/2014/main" id="{C2E9B97F-C588-4FA4-82CD-3F5FCCEB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</xdr:row>
      <xdr:rowOff>9525</xdr:rowOff>
    </xdr:from>
    <xdr:to>
      <xdr:col>5</xdr:col>
      <xdr:colOff>1362075</xdr:colOff>
      <xdr:row>19</xdr:row>
      <xdr:rowOff>19050</xdr:rowOff>
    </xdr:to>
    <xdr:graphicFrame macro="">
      <xdr:nvGraphicFramePr>
        <xdr:cNvPr id="4132" name="Gráfico 4">
          <a:extLst>
            <a:ext uri="{FF2B5EF4-FFF2-40B4-BE49-F238E27FC236}">
              <a16:creationId xmlns:a16="http://schemas.microsoft.com/office/drawing/2014/main" id="{27EF3040-1BFC-4DFE-BCEC-A6E5DE8C4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A13"/>
  <sheetViews>
    <sheetView showGridLines="0" showRowColHeaders="0" tabSelected="1" zoomScaleNormal="100" zoomScaleSheetLayoutView="100" workbookViewId="0" xr3:uid="{AEA406A1-0E4B-5B11-9CD5-51D6E497D94C}">
      <selection activeCell="A20" sqref="A20"/>
    </sheetView>
  </sheetViews>
  <sheetFormatPr defaultColWidth="9.14453125" defaultRowHeight="15" x14ac:dyDescent="0.2"/>
  <cols>
    <col min="1" max="1" width="124.43359375" style="54" customWidth="1"/>
    <col min="2" max="16384" width="9.14453125" style="54"/>
  </cols>
  <sheetData>
    <row r="4" spans="1:1" ht="9" customHeight="1" x14ac:dyDescent="0.2"/>
    <row r="5" spans="1:1" ht="43.5" customHeight="1" x14ac:dyDescent="0.2">
      <c r="A5" s="55" t="s">
        <v>24</v>
      </c>
    </row>
    <row r="7" spans="1:1" ht="129" customHeight="1" x14ac:dyDescent="0.25">
      <c r="A7" s="59" t="s">
        <v>25</v>
      </c>
    </row>
    <row r="8" spans="1:1" ht="24.75" customHeight="1" x14ac:dyDescent="0.2">
      <c r="A8" s="56"/>
    </row>
    <row r="9" spans="1:1" s="58" customFormat="1" ht="26.25" customHeight="1" x14ac:dyDescent="0.3">
      <c r="A9" s="57" t="s">
        <v>26</v>
      </c>
    </row>
    <row r="10" spans="1:1" s="58" customFormat="1" ht="26.25" customHeight="1" x14ac:dyDescent="0.3">
      <c r="A10" s="57" t="s">
        <v>27</v>
      </c>
    </row>
    <row r="11" spans="1:1" s="58" customFormat="1" ht="26.25" customHeight="1" x14ac:dyDescent="0.3">
      <c r="A11" s="57" t="s">
        <v>28</v>
      </c>
    </row>
    <row r="12" spans="1:1" s="58" customFormat="1" ht="26.25" customHeight="1" x14ac:dyDescent="0.3">
      <c r="A12" s="57" t="s">
        <v>29</v>
      </c>
    </row>
    <row r="13" spans="1:1" s="58" customFormat="1" ht="26.25" customHeight="1" x14ac:dyDescent="0.3">
      <c r="A13" s="57" t="s">
        <v>30</v>
      </c>
    </row>
  </sheetData>
  <sheetProtection sheet="1" objects="1" scenarios="1" selectLockedCells="1" selectUnlockedCells="1"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F7:S49"/>
  <sheetViews>
    <sheetView showGridLines="0" showRowColHeaders="0" topLeftCell="F7" zoomScaleNormal="85" zoomScaleSheetLayoutView="100" zoomScalePageLayoutView="40" workbookViewId="0" xr3:uid="{958C4451-9541-5A59-BF78-D2F731DF1C81}">
      <selection activeCell="M18" sqref="M18"/>
    </sheetView>
  </sheetViews>
  <sheetFormatPr defaultColWidth="9.14453125" defaultRowHeight="22.5" customHeight="1" x14ac:dyDescent="0.2"/>
  <cols>
    <col min="1" max="4" width="9.14453125" style="3"/>
    <col min="5" max="5" width="9.14453125" style="3" customWidth="1"/>
    <col min="6" max="6" width="15.87109375" style="3" customWidth="1"/>
    <col min="7" max="7" width="12.64453125" style="3" customWidth="1"/>
    <col min="8" max="8" width="18.6953125" style="3" customWidth="1"/>
    <col min="9" max="13" width="15.73828125" style="3" customWidth="1"/>
    <col min="14" max="15" width="15.73828125" style="2" customWidth="1"/>
    <col min="16" max="16" width="14.796875" style="2" customWidth="1"/>
    <col min="17" max="17" width="4.4375" style="2" customWidth="1"/>
    <col min="18" max="18" width="9.14453125" style="2"/>
    <col min="19" max="16384" width="9.14453125" style="3"/>
  </cols>
  <sheetData>
    <row r="7" spans="6:19" ht="69.75" customHeight="1" x14ac:dyDescent="0.2">
      <c r="F7" s="99" t="s">
        <v>2</v>
      </c>
      <c r="G7" s="99"/>
      <c r="H7" s="99"/>
      <c r="I7" s="99"/>
      <c r="J7" s="99"/>
      <c r="K7" s="99"/>
      <c r="L7" s="99"/>
      <c r="M7" s="99"/>
      <c r="N7" s="99"/>
      <c r="O7" s="99"/>
      <c r="P7" s="99"/>
    </row>
    <row r="8" spans="6:19" ht="16.5" customHeight="1" thickBot="1" x14ac:dyDescent="0.25"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</row>
    <row r="9" spans="6:19" s="4" customFormat="1" ht="22.5" customHeight="1" thickBot="1" x14ac:dyDescent="0.25">
      <c r="F9" s="100" t="s">
        <v>5</v>
      </c>
      <c r="G9" s="101"/>
      <c r="H9" s="101"/>
      <c r="I9" s="101"/>
      <c r="J9" s="102"/>
      <c r="K9" s="103" t="s">
        <v>3</v>
      </c>
      <c r="L9" s="104"/>
      <c r="M9" s="104"/>
      <c r="N9" s="104"/>
      <c r="O9" s="105"/>
      <c r="P9" s="5"/>
      <c r="Q9" s="5"/>
      <c r="R9" s="5"/>
    </row>
    <row r="10" spans="6:19" s="4" customFormat="1" ht="22.5" customHeight="1" x14ac:dyDescent="0.2">
      <c r="F10" s="106" t="s">
        <v>16</v>
      </c>
      <c r="G10" s="107"/>
      <c r="H10" s="108"/>
      <c r="I10" s="108"/>
      <c r="J10" s="108"/>
      <c r="K10" s="109" t="s">
        <v>18</v>
      </c>
      <c r="L10" s="109"/>
      <c r="M10" s="108"/>
      <c r="N10" s="108"/>
      <c r="O10" s="110"/>
      <c r="P10" s="5"/>
      <c r="Q10" s="5"/>
      <c r="R10" s="5"/>
    </row>
    <row r="11" spans="6:19" s="4" customFormat="1" ht="22.5" customHeight="1" x14ac:dyDescent="0.2">
      <c r="F11" s="93" t="s">
        <v>17</v>
      </c>
      <c r="G11" s="94"/>
      <c r="H11" s="95"/>
      <c r="I11" s="95"/>
      <c r="J11" s="95"/>
      <c r="K11" s="95"/>
      <c r="L11" s="95"/>
      <c r="M11" s="95"/>
      <c r="N11" s="95"/>
      <c r="O11" s="96"/>
      <c r="P11" s="5"/>
      <c r="Q11" s="5"/>
      <c r="R11" s="5"/>
    </row>
    <row r="12" spans="6:19" s="4" customFormat="1" ht="22.5" customHeight="1" x14ac:dyDescent="0.2">
      <c r="F12" s="93" t="s">
        <v>20</v>
      </c>
      <c r="G12" s="94"/>
      <c r="H12" s="95"/>
      <c r="I12" s="95"/>
      <c r="J12" s="95"/>
      <c r="K12" s="94" t="s">
        <v>19</v>
      </c>
      <c r="L12" s="94"/>
      <c r="M12" s="97"/>
      <c r="N12" s="97"/>
      <c r="O12" s="98"/>
      <c r="P12" s="5"/>
      <c r="Q12" s="5"/>
      <c r="R12" s="5"/>
    </row>
    <row r="13" spans="6:19" ht="22.5" customHeight="1" thickBot="1" x14ac:dyDescent="0.25">
      <c r="F13" s="78" t="s">
        <v>21</v>
      </c>
      <c r="G13" s="79"/>
      <c r="H13" s="80"/>
      <c r="I13" s="80"/>
      <c r="J13" s="80"/>
      <c r="K13" s="80"/>
      <c r="L13" s="80"/>
      <c r="M13" s="80"/>
      <c r="N13" s="80"/>
      <c r="O13" s="81"/>
    </row>
    <row r="14" spans="6:19" s="6" customFormat="1" ht="22.5" customHeight="1" thickBot="1" x14ac:dyDescent="0.25">
      <c r="G14" s="7"/>
      <c r="H14" s="7"/>
      <c r="I14" s="8"/>
      <c r="J14" s="8"/>
      <c r="K14" s="8"/>
      <c r="L14" s="8"/>
      <c r="M14" s="8"/>
      <c r="N14" s="9"/>
      <c r="O14" s="9"/>
      <c r="P14" s="9"/>
      <c r="Q14" s="9"/>
      <c r="R14" s="9"/>
    </row>
    <row r="15" spans="6:19" ht="22.5" customHeight="1" thickBot="1" x14ac:dyDescent="0.25">
      <c r="F15" s="82" t="s">
        <v>9</v>
      </c>
      <c r="G15" s="83"/>
      <c r="H15" s="83"/>
      <c r="I15" s="83"/>
      <c r="J15" s="83"/>
      <c r="K15" s="83"/>
      <c r="L15" s="83"/>
      <c r="M15" s="83"/>
      <c r="N15" s="83"/>
      <c r="O15" s="84"/>
      <c r="S15" s="2"/>
    </row>
    <row r="16" spans="6:19" s="10" customFormat="1" ht="22.5" customHeight="1" thickBot="1" x14ac:dyDescent="0.25">
      <c r="F16" s="85" t="s">
        <v>15</v>
      </c>
      <c r="G16" s="86"/>
      <c r="H16" s="89" t="s">
        <v>10</v>
      </c>
      <c r="I16" s="82" t="s">
        <v>11</v>
      </c>
      <c r="J16" s="84"/>
      <c r="K16" s="91" t="s">
        <v>12</v>
      </c>
      <c r="L16" s="92"/>
      <c r="M16" s="82" t="s">
        <v>13</v>
      </c>
      <c r="N16" s="83"/>
      <c r="O16" s="84"/>
      <c r="P16" s="11"/>
      <c r="Q16" s="11"/>
      <c r="R16" s="11"/>
      <c r="S16" s="11"/>
    </row>
    <row r="17" spans="6:19" ht="22.5" customHeight="1" thickBot="1" x14ac:dyDescent="0.25">
      <c r="F17" s="87"/>
      <c r="G17" s="88"/>
      <c r="H17" s="90"/>
      <c r="I17" s="17" t="s">
        <v>0</v>
      </c>
      <c r="J17" s="17" t="s">
        <v>1</v>
      </c>
      <c r="K17" s="14" t="s">
        <v>0</v>
      </c>
      <c r="L17" s="14" t="s">
        <v>1</v>
      </c>
      <c r="M17" s="17" t="s">
        <v>0</v>
      </c>
      <c r="N17" s="17" t="s">
        <v>14</v>
      </c>
      <c r="O17" s="17" t="s">
        <v>1</v>
      </c>
      <c r="S17" s="2"/>
    </row>
    <row r="18" spans="6:19" ht="22.5" customHeight="1" x14ac:dyDescent="0.2">
      <c r="F18" s="76"/>
      <c r="G18" s="77"/>
      <c r="H18" s="31"/>
      <c r="I18" s="51"/>
      <c r="J18" s="32"/>
      <c r="K18" s="33"/>
      <c r="L18" s="16"/>
      <c r="M18" s="33">
        <v>175</v>
      </c>
      <c r="N18" s="34">
        <v>8.25</v>
      </c>
      <c r="O18" s="44">
        <f>N18*M18</f>
        <v>1443.75</v>
      </c>
      <c r="S18" s="2"/>
    </row>
    <row r="19" spans="6:19" ht="22.5" customHeight="1" x14ac:dyDescent="0.2">
      <c r="F19" s="74"/>
      <c r="G19" s="75"/>
      <c r="H19" s="35"/>
      <c r="I19" s="52"/>
      <c r="J19" s="36"/>
      <c r="K19" s="37">
        <v>60</v>
      </c>
      <c r="L19" s="12">
        <v>495</v>
      </c>
      <c r="M19" s="43">
        <f>M18+I19-K19</f>
        <v>115</v>
      </c>
      <c r="N19" s="34">
        <f>(O18+J19-L19)/M19</f>
        <v>8.25</v>
      </c>
      <c r="O19" s="44">
        <f>N19*M19</f>
        <v>948.75</v>
      </c>
      <c r="S19" s="2"/>
    </row>
    <row r="20" spans="6:19" ht="22.5" customHeight="1" x14ac:dyDescent="0.2">
      <c r="F20" s="74"/>
      <c r="G20" s="75"/>
      <c r="H20" s="35"/>
      <c r="I20" s="52"/>
      <c r="J20" s="36"/>
      <c r="K20" s="37">
        <v>75</v>
      </c>
      <c r="L20" s="12">
        <f>K20*N19</f>
        <v>618.75</v>
      </c>
      <c r="M20" s="43">
        <f>M19+I20-K20</f>
        <v>40</v>
      </c>
      <c r="N20" s="34">
        <f>(O19+J20-L20)/M20</f>
        <v>8.25</v>
      </c>
      <c r="O20" s="44">
        <f>N20*M20</f>
        <v>330</v>
      </c>
      <c r="S20" s="2"/>
    </row>
    <row r="21" spans="6:19" ht="22.5" customHeight="1" x14ac:dyDescent="0.2">
      <c r="F21" s="74"/>
      <c r="G21" s="75"/>
      <c r="H21" s="35"/>
      <c r="I21" s="52">
        <v>150</v>
      </c>
      <c r="J21" s="36">
        <v>1260</v>
      </c>
      <c r="K21" s="37"/>
      <c r="L21" s="12"/>
      <c r="M21" s="43">
        <f>M20+I21-K21</f>
        <v>190</v>
      </c>
      <c r="N21" s="34">
        <f>(O20+J21-L21)/M21</f>
        <v>8.3684210526315788</v>
      </c>
      <c r="O21" s="44">
        <f>N21*M21</f>
        <v>1590</v>
      </c>
      <c r="S21" s="2"/>
    </row>
    <row r="22" spans="6:19" ht="22.5" customHeight="1" x14ac:dyDescent="0.2">
      <c r="F22" s="74"/>
      <c r="G22" s="75"/>
      <c r="H22" s="35"/>
      <c r="I22" s="52"/>
      <c r="J22" s="36"/>
      <c r="K22" s="37">
        <v>60</v>
      </c>
      <c r="L22" s="12">
        <f>K22*N21</f>
        <v>502.10526315789474</v>
      </c>
      <c r="M22" s="43">
        <f>M21+I22-K22</f>
        <v>130</v>
      </c>
      <c r="N22" s="34">
        <f>(O21+J22-L22)/M22</f>
        <v>8.3684210526315788</v>
      </c>
      <c r="O22" s="44">
        <f>N22*M22</f>
        <v>1087.8947368421052</v>
      </c>
      <c r="S22" s="2"/>
    </row>
    <row r="23" spans="6:19" ht="22.5" customHeight="1" x14ac:dyDescent="0.2">
      <c r="F23" s="74"/>
      <c r="G23" s="75"/>
      <c r="H23" s="35"/>
      <c r="I23" s="52"/>
      <c r="J23" s="36"/>
      <c r="K23" s="37"/>
      <c r="L23" s="12"/>
      <c r="M23" s="43"/>
      <c r="N23" s="34"/>
      <c r="O23" s="44"/>
      <c r="S23" s="2"/>
    </row>
    <row r="24" spans="6:19" ht="22.5" customHeight="1" x14ac:dyDescent="0.2">
      <c r="F24" s="74"/>
      <c r="G24" s="75"/>
      <c r="H24" s="35"/>
      <c r="I24" s="52"/>
      <c r="J24" s="36"/>
      <c r="K24" s="37"/>
      <c r="L24" s="12"/>
      <c r="M24" s="43"/>
      <c r="N24" s="34"/>
      <c r="O24" s="44"/>
      <c r="S24" s="2"/>
    </row>
    <row r="25" spans="6:19" ht="22.5" customHeight="1" x14ac:dyDescent="0.2">
      <c r="F25" s="74"/>
      <c r="G25" s="75"/>
      <c r="H25" s="35"/>
      <c r="I25" s="52"/>
      <c r="J25" s="36"/>
      <c r="K25" s="37"/>
      <c r="L25" s="12"/>
      <c r="M25" s="43"/>
      <c r="N25" s="34"/>
      <c r="O25" s="44"/>
      <c r="S25" s="2"/>
    </row>
    <row r="26" spans="6:19" ht="22.5" customHeight="1" x14ac:dyDescent="0.2">
      <c r="F26" s="74"/>
      <c r="G26" s="75"/>
      <c r="H26" s="35"/>
      <c r="I26" s="52"/>
      <c r="J26" s="36"/>
      <c r="K26" s="37"/>
      <c r="L26" s="12"/>
      <c r="M26" s="43"/>
      <c r="N26" s="34"/>
      <c r="O26" s="44"/>
      <c r="S26" s="2"/>
    </row>
    <row r="27" spans="6:19" ht="22.5" customHeight="1" x14ac:dyDescent="0.2">
      <c r="F27" s="74"/>
      <c r="G27" s="75"/>
      <c r="H27" s="35"/>
      <c r="I27" s="52"/>
      <c r="J27" s="36"/>
      <c r="K27" s="37"/>
      <c r="L27" s="12"/>
      <c r="M27" s="43"/>
      <c r="N27" s="34"/>
      <c r="O27" s="44"/>
      <c r="S27" s="2"/>
    </row>
    <row r="28" spans="6:19" ht="22.5" customHeight="1" x14ac:dyDescent="0.2">
      <c r="F28" s="74"/>
      <c r="G28" s="75"/>
      <c r="H28" s="35"/>
      <c r="I28" s="52"/>
      <c r="J28" s="36"/>
      <c r="K28" s="37"/>
      <c r="L28" s="12"/>
      <c r="M28" s="43"/>
      <c r="N28" s="34"/>
      <c r="O28" s="44"/>
      <c r="S28" s="2"/>
    </row>
    <row r="29" spans="6:19" ht="22.5" customHeight="1" x14ac:dyDescent="0.2">
      <c r="F29" s="74"/>
      <c r="G29" s="75"/>
      <c r="H29" s="35"/>
      <c r="I29" s="52"/>
      <c r="J29" s="36"/>
      <c r="K29" s="37"/>
      <c r="L29" s="12"/>
      <c r="M29" s="43"/>
      <c r="N29" s="34"/>
      <c r="O29" s="44"/>
      <c r="S29" s="2"/>
    </row>
    <row r="30" spans="6:19" ht="22.5" customHeight="1" x14ac:dyDescent="0.2">
      <c r="F30" s="74"/>
      <c r="G30" s="75"/>
      <c r="H30" s="35"/>
      <c r="I30" s="52"/>
      <c r="J30" s="36"/>
      <c r="K30" s="37"/>
      <c r="L30" s="12"/>
      <c r="M30" s="43"/>
      <c r="N30" s="34"/>
      <c r="O30" s="44"/>
      <c r="S30" s="2"/>
    </row>
    <row r="31" spans="6:19" ht="22.5" customHeight="1" x14ac:dyDescent="0.2">
      <c r="F31" s="74"/>
      <c r="G31" s="75"/>
      <c r="H31" s="35"/>
      <c r="I31" s="52"/>
      <c r="J31" s="36"/>
      <c r="K31" s="37"/>
      <c r="L31" s="12"/>
      <c r="M31" s="43"/>
      <c r="N31" s="34"/>
      <c r="O31" s="44"/>
      <c r="S31" s="2"/>
    </row>
    <row r="32" spans="6:19" ht="22.5" customHeight="1" x14ac:dyDescent="0.2">
      <c r="F32" s="74"/>
      <c r="G32" s="75"/>
      <c r="H32" s="35"/>
      <c r="I32" s="52"/>
      <c r="J32" s="36"/>
      <c r="K32" s="37"/>
      <c r="L32" s="12"/>
      <c r="M32" s="43"/>
      <c r="N32" s="34"/>
      <c r="O32" s="44"/>
      <c r="S32" s="2"/>
    </row>
    <row r="33" spans="6:19" ht="22.5" customHeight="1" x14ac:dyDescent="0.2">
      <c r="F33" s="74"/>
      <c r="G33" s="75"/>
      <c r="H33" s="35"/>
      <c r="I33" s="52"/>
      <c r="J33" s="36"/>
      <c r="K33" s="37"/>
      <c r="L33" s="12"/>
      <c r="M33" s="43"/>
      <c r="N33" s="34"/>
      <c r="O33" s="44"/>
      <c r="S33" s="2"/>
    </row>
    <row r="34" spans="6:19" ht="22.5" customHeight="1" x14ac:dyDescent="0.2">
      <c r="F34" s="74"/>
      <c r="G34" s="75"/>
      <c r="H34" s="35"/>
      <c r="I34" s="52"/>
      <c r="J34" s="36"/>
      <c r="K34" s="37"/>
      <c r="L34" s="12"/>
      <c r="M34" s="43"/>
      <c r="N34" s="34"/>
      <c r="O34" s="44"/>
      <c r="S34" s="2"/>
    </row>
    <row r="35" spans="6:19" ht="22.5" customHeight="1" x14ac:dyDescent="0.2">
      <c r="F35" s="74"/>
      <c r="G35" s="75"/>
      <c r="H35" s="35"/>
      <c r="I35" s="52"/>
      <c r="J35" s="36"/>
      <c r="K35" s="37"/>
      <c r="L35" s="12"/>
      <c r="M35" s="43"/>
      <c r="N35" s="34"/>
      <c r="O35" s="44"/>
      <c r="S35" s="2"/>
    </row>
    <row r="36" spans="6:19" ht="22.5" customHeight="1" thickBot="1" x14ac:dyDescent="0.25">
      <c r="F36" s="70"/>
      <c r="G36" s="71"/>
      <c r="H36" s="26"/>
      <c r="I36" s="53"/>
      <c r="J36" s="29"/>
      <c r="K36" s="24"/>
      <c r="L36" s="29"/>
      <c r="M36" s="43"/>
      <c r="N36" s="34"/>
      <c r="O36" s="44"/>
      <c r="P36" s="3"/>
      <c r="Q36" s="3"/>
      <c r="R36" s="3"/>
    </row>
    <row r="37" spans="6:19" ht="22.5" customHeight="1" thickBot="1" x14ac:dyDescent="0.25">
      <c r="F37" s="72" t="s">
        <v>22</v>
      </c>
      <c r="G37" s="73"/>
      <c r="H37" s="73"/>
      <c r="I37" s="27">
        <f>SUM(I18:I36)</f>
        <v>150</v>
      </c>
      <c r="J37" s="30">
        <f>SUM(J18:J36)</f>
        <v>1260</v>
      </c>
      <c r="K37" s="27">
        <f>SUM(K18:K36)</f>
        <v>195</v>
      </c>
      <c r="L37" s="30">
        <f>SUM(L18:L36)</f>
        <v>1615.8552631578948</v>
      </c>
      <c r="M37" s="27"/>
      <c r="N37" s="30"/>
      <c r="O37" s="30"/>
      <c r="P37" s="3"/>
      <c r="Q37" s="3"/>
      <c r="R37" s="3"/>
    </row>
    <row r="38" spans="6:19" ht="22.5" customHeight="1" x14ac:dyDescent="0.2">
      <c r="F38" s="15"/>
      <c r="G38" s="15"/>
      <c r="H38" s="2"/>
      <c r="I38" s="2"/>
      <c r="N38" s="3"/>
      <c r="O38" s="3"/>
      <c r="P38" s="3"/>
      <c r="Q38" s="3"/>
      <c r="R38" s="3"/>
    </row>
    <row r="39" spans="6:19" ht="22.5" customHeight="1" x14ac:dyDescent="0.2">
      <c r="F39" s="15"/>
      <c r="G39" s="15"/>
      <c r="H39" s="2"/>
      <c r="I39" s="2"/>
      <c r="N39" s="3"/>
      <c r="O39" s="3"/>
      <c r="P39" s="3"/>
      <c r="Q39" s="3"/>
      <c r="R39" s="3"/>
    </row>
    <row r="40" spans="6:19" ht="22.5" customHeight="1" x14ac:dyDescent="0.2">
      <c r="F40" s="13"/>
      <c r="G40" s="13"/>
      <c r="H40" s="2"/>
      <c r="I40" s="2"/>
      <c r="N40" s="3"/>
      <c r="O40" s="3"/>
      <c r="P40" s="3"/>
      <c r="Q40" s="3"/>
      <c r="R40" s="3"/>
    </row>
    <row r="41" spans="6:19" ht="22.5" customHeight="1" x14ac:dyDescent="0.2">
      <c r="F41" s="2"/>
      <c r="G41" s="2"/>
      <c r="H41" s="2"/>
      <c r="I41" s="2"/>
      <c r="N41" s="3"/>
      <c r="O41" s="3"/>
      <c r="P41" s="3"/>
      <c r="Q41" s="3"/>
      <c r="R41" s="3"/>
    </row>
    <row r="42" spans="6:19" ht="22.5" customHeight="1" x14ac:dyDescent="0.2">
      <c r="F42" s="2"/>
      <c r="G42" s="2"/>
      <c r="H42" s="2"/>
      <c r="I42" s="2"/>
      <c r="N42" s="3"/>
      <c r="O42" s="3"/>
      <c r="P42" s="3"/>
      <c r="Q42" s="3"/>
      <c r="R42" s="3"/>
    </row>
    <row r="43" spans="6:19" ht="22.5" customHeight="1" x14ac:dyDescent="0.2">
      <c r="F43" s="2"/>
      <c r="G43" s="2"/>
      <c r="H43" s="2"/>
      <c r="I43" s="2"/>
      <c r="N43" s="3"/>
      <c r="O43" s="3"/>
      <c r="P43" s="3"/>
      <c r="Q43" s="3"/>
      <c r="R43" s="3"/>
    </row>
    <row r="44" spans="6:19" ht="22.5" customHeight="1" x14ac:dyDescent="0.2">
      <c r="G44" s="2"/>
      <c r="H44" s="2"/>
      <c r="I44" s="2"/>
      <c r="J44" s="2"/>
      <c r="K44" s="2"/>
      <c r="L44" s="2"/>
      <c r="M44" s="2"/>
    </row>
    <row r="45" spans="6:19" ht="22.5" customHeight="1" x14ac:dyDescent="0.2">
      <c r="G45" s="2"/>
      <c r="H45" s="2"/>
      <c r="I45" s="2"/>
      <c r="J45" s="2"/>
      <c r="K45" s="2"/>
      <c r="L45" s="2"/>
      <c r="M45" s="2"/>
    </row>
    <row r="46" spans="6:19" ht="22.5" customHeight="1" x14ac:dyDescent="0.2">
      <c r="G46" s="2"/>
      <c r="H46" s="2"/>
      <c r="I46" s="2"/>
      <c r="J46" s="2"/>
      <c r="K46" s="2"/>
      <c r="L46" s="2"/>
      <c r="M46" s="2"/>
    </row>
    <row r="47" spans="6:19" ht="22.5" customHeight="1" x14ac:dyDescent="0.2">
      <c r="G47" s="2"/>
      <c r="H47" s="2"/>
      <c r="I47" s="2"/>
      <c r="J47" s="2"/>
      <c r="K47" s="2"/>
      <c r="L47" s="2"/>
      <c r="M47" s="2"/>
    </row>
    <row r="48" spans="6:19" ht="22.5" customHeight="1" x14ac:dyDescent="0.2">
      <c r="G48" s="2"/>
      <c r="H48" s="2"/>
      <c r="I48" s="2"/>
      <c r="J48" s="2"/>
      <c r="K48" s="2"/>
      <c r="L48" s="2"/>
      <c r="M48" s="2"/>
    </row>
    <row r="49" spans="7:13" ht="22.5" customHeight="1" x14ac:dyDescent="0.2">
      <c r="G49" s="2"/>
      <c r="H49" s="2"/>
      <c r="I49" s="2"/>
      <c r="J49" s="2"/>
      <c r="K49" s="2"/>
      <c r="L49" s="2"/>
      <c r="M49" s="2"/>
    </row>
  </sheetData>
  <sheetProtection selectLockedCells="1" selectUnlockedCells="1"/>
  <mergeCells count="41">
    <mergeCell ref="F7:P8"/>
    <mergeCell ref="F9:J9"/>
    <mergeCell ref="K9:O9"/>
    <mergeCell ref="F10:G10"/>
    <mergeCell ref="H10:J10"/>
    <mergeCell ref="K10:L10"/>
    <mergeCell ref="M10:O10"/>
    <mergeCell ref="F11:G11"/>
    <mergeCell ref="H11:O11"/>
    <mergeCell ref="F12:G12"/>
    <mergeCell ref="H12:J12"/>
    <mergeCell ref="K12:L12"/>
    <mergeCell ref="M12:O12"/>
    <mergeCell ref="F13:G13"/>
    <mergeCell ref="H13:O13"/>
    <mergeCell ref="F15:O15"/>
    <mergeCell ref="F16:G17"/>
    <mergeCell ref="H16:H17"/>
    <mergeCell ref="I16:J16"/>
    <mergeCell ref="K16:L16"/>
    <mergeCell ref="M16:O16"/>
    <mergeCell ref="F29:G29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36:G36"/>
    <mergeCell ref="F37:H37"/>
    <mergeCell ref="F30:G30"/>
    <mergeCell ref="F31:G31"/>
    <mergeCell ref="F32:G32"/>
    <mergeCell ref="F33:G33"/>
    <mergeCell ref="F34:G34"/>
    <mergeCell ref="F35:G35"/>
  </mergeCells>
  <dataValidations count="3">
    <dataValidation type="decimal" allowBlank="1" showInputMessage="1" showErrorMessage="1" sqref="J18:J37 N18:O37 L18:L37" xr:uid="{00000000-0002-0000-0100-000000000000}">
      <formula1>1</formula1>
      <formula2>999999999</formula2>
    </dataValidation>
    <dataValidation type="whole" allowBlank="1" showInputMessage="1" showErrorMessage="1" sqref="I18:I36 K18:K36 M18:M36" xr:uid="{00000000-0002-0000-0100-000001000000}">
      <formula1>1</formula1>
      <formula2>999999999</formula2>
    </dataValidation>
    <dataValidation type="date" allowBlank="1" showInputMessage="1" showErrorMessage="1" errorTitle="Data" error="_x000a_Informe uma data no formato DD/MM/AAAA" sqref="F18:G36" xr:uid="{00000000-0002-0000-0100-000002000000}">
      <formula1>36526</formula1>
      <formula2>55153</formula2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r:id="rId1"/>
  <headerFooter alignWithMargins="0">
    <oddFooter>&amp;LSEBRAE - MG&amp;CMais Informações: Central de Relacionamento:  0800 570 0800  - Site: www.sebraemg.com.br&amp;RPágina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1ADB3"/>
    <pageSetUpPr fitToPage="1"/>
  </sheetPr>
  <dimension ref="B1:O44"/>
  <sheetViews>
    <sheetView showGridLines="0" topLeftCell="A4" zoomScale="85" zoomScaleNormal="85" zoomScaleSheetLayoutView="100" zoomScalePageLayoutView="40" workbookViewId="0" xr3:uid="{842E5F09-E766-5B8D-85AF-A39847EA96FD}">
      <selection activeCell="G19" sqref="G19"/>
    </sheetView>
  </sheetViews>
  <sheetFormatPr defaultColWidth="9.14453125" defaultRowHeight="22.5" customHeight="1" x14ac:dyDescent="0.2"/>
  <cols>
    <col min="1" max="1" width="9.14453125" style="3" customWidth="1"/>
    <col min="2" max="2" width="15.87109375" style="3" customWidth="1"/>
    <col min="3" max="3" width="12.64453125" style="3" customWidth="1"/>
    <col min="4" max="4" width="18.6953125" style="3" customWidth="1"/>
    <col min="5" max="9" width="15.73828125" style="3" customWidth="1"/>
    <col min="10" max="11" width="15.73828125" style="2" customWidth="1"/>
    <col min="12" max="12" width="14.796875" style="2" customWidth="1"/>
    <col min="13" max="13" width="4.4375" style="2" customWidth="1"/>
    <col min="14" max="14" width="9.14453125" style="2"/>
    <col min="15" max="16384" width="9.14453125" style="3"/>
  </cols>
  <sheetData>
    <row r="1" spans="2:15" ht="69" customHeight="1" x14ac:dyDescent="0.2">
      <c r="B1" s="99" t="s">
        <v>2</v>
      </c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2:15" ht="9.75" customHeight="1" thickBot="1" x14ac:dyDescent="0.25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2:15" s="4" customFormat="1" ht="22.5" customHeight="1" thickBot="1" x14ac:dyDescent="0.25">
      <c r="B3" s="100" t="s">
        <v>5</v>
      </c>
      <c r="C3" s="101"/>
      <c r="D3" s="101"/>
      <c r="E3" s="101"/>
      <c r="F3" s="102"/>
      <c r="G3" s="103" t="s">
        <v>3</v>
      </c>
      <c r="H3" s="104"/>
      <c r="I3" s="104"/>
      <c r="J3" s="104"/>
      <c r="K3" s="105"/>
      <c r="L3" s="5"/>
      <c r="M3" s="5"/>
      <c r="N3" s="5"/>
    </row>
    <row r="4" spans="2:15" s="4" customFormat="1" ht="22.5" customHeight="1" x14ac:dyDescent="0.2">
      <c r="B4" s="106" t="s">
        <v>16</v>
      </c>
      <c r="C4" s="107"/>
      <c r="D4" s="122"/>
      <c r="E4" s="122"/>
      <c r="F4" s="122"/>
      <c r="G4" s="109" t="s">
        <v>18</v>
      </c>
      <c r="H4" s="109"/>
      <c r="I4" s="122"/>
      <c r="J4" s="122"/>
      <c r="K4" s="123"/>
      <c r="L4" s="5"/>
      <c r="M4" s="5"/>
      <c r="N4" s="5"/>
    </row>
    <row r="5" spans="2:15" s="4" customFormat="1" ht="22.5" customHeight="1" x14ac:dyDescent="0.2">
      <c r="B5" s="93" t="s">
        <v>17</v>
      </c>
      <c r="C5" s="94"/>
      <c r="D5" s="118"/>
      <c r="E5" s="118"/>
      <c r="F5" s="118"/>
      <c r="G5" s="118"/>
      <c r="H5" s="118"/>
      <c r="I5" s="118"/>
      <c r="J5" s="118"/>
      <c r="K5" s="119"/>
      <c r="L5" s="5"/>
      <c r="M5" s="5"/>
      <c r="N5" s="5"/>
    </row>
    <row r="6" spans="2:15" s="4" customFormat="1" ht="22.5" customHeight="1" x14ac:dyDescent="0.2">
      <c r="B6" s="93" t="s">
        <v>20</v>
      </c>
      <c r="C6" s="94"/>
      <c r="D6" s="118"/>
      <c r="E6" s="118"/>
      <c r="F6" s="118"/>
      <c r="G6" s="94" t="s">
        <v>19</v>
      </c>
      <c r="H6" s="94"/>
      <c r="I6" s="120"/>
      <c r="J6" s="120"/>
      <c r="K6" s="121"/>
      <c r="L6" s="5"/>
      <c r="M6" s="5"/>
      <c r="N6" s="5"/>
    </row>
    <row r="7" spans="2:15" ht="22.5" customHeight="1" thickBot="1" x14ac:dyDescent="0.25">
      <c r="B7" s="78" t="s">
        <v>21</v>
      </c>
      <c r="C7" s="79"/>
      <c r="D7" s="126"/>
      <c r="E7" s="126"/>
      <c r="F7" s="126"/>
      <c r="G7" s="126"/>
      <c r="H7" s="126"/>
      <c r="I7" s="126"/>
      <c r="J7" s="126"/>
      <c r="K7" s="127"/>
    </row>
    <row r="8" spans="2:15" s="6" customFormat="1" ht="22.5" customHeight="1" thickBot="1" x14ac:dyDescent="0.25">
      <c r="C8" s="7"/>
      <c r="D8" s="7"/>
      <c r="E8" s="8"/>
      <c r="F8" s="8"/>
      <c r="G8" s="8"/>
      <c r="H8" s="8"/>
      <c r="I8" s="8"/>
      <c r="J8" s="9"/>
      <c r="K8" s="9"/>
      <c r="L8" s="9"/>
      <c r="M8" s="9"/>
      <c r="N8" s="9"/>
    </row>
    <row r="9" spans="2:15" ht="22.5" customHeight="1" thickBot="1" x14ac:dyDescent="0.25">
      <c r="B9" s="82" t="s">
        <v>9</v>
      </c>
      <c r="C9" s="83"/>
      <c r="D9" s="83"/>
      <c r="E9" s="83"/>
      <c r="F9" s="83"/>
      <c r="G9" s="83"/>
      <c r="H9" s="83"/>
      <c r="I9" s="83"/>
      <c r="J9" s="83"/>
      <c r="K9" s="84"/>
      <c r="O9" s="2"/>
    </row>
    <row r="10" spans="2:15" s="10" customFormat="1" ht="22.5" customHeight="1" thickBot="1" x14ac:dyDescent="0.25">
      <c r="B10" s="85" t="s">
        <v>15</v>
      </c>
      <c r="C10" s="86"/>
      <c r="D10" s="89" t="s">
        <v>10</v>
      </c>
      <c r="E10" s="82" t="s">
        <v>11</v>
      </c>
      <c r="F10" s="84"/>
      <c r="G10" s="91" t="s">
        <v>12</v>
      </c>
      <c r="H10" s="92"/>
      <c r="I10" s="82" t="s">
        <v>13</v>
      </c>
      <c r="J10" s="83"/>
      <c r="K10" s="84"/>
      <c r="L10" s="11"/>
      <c r="M10" s="11"/>
      <c r="N10" s="11"/>
      <c r="O10" s="11"/>
    </row>
    <row r="11" spans="2:15" ht="22.5" customHeight="1" thickBot="1" x14ac:dyDescent="0.25">
      <c r="B11" s="87"/>
      <c r="C11" s="88"/>
      <c r="D11" s="90"/>
      <c r="E11" s="17" t="s">
        <v>0</v>
      </c>
      <c r="F11" s="17" t="s">
        <v>1</v>
      </c>
      <c r="G11" s="14" t="s">
        <v>0</v>
      </c>
      <c r="H11" s="14" t="s">
        <v>1</v>
      </c>
      <c r="I11" s="17" t="s">
        <v>0</v>
      </c>
      <c r="J11" s="17" t="s">
        <v>14</v>
      </c>
      <c r="K11" s="17" t="s">
        <v>1</v>
      </c>
      <c r="O11" s="2"/>
    </row>
    <row r="12" spans="2:15" ht="22.5" customHeight="1" x14ac:dyDescent="0.2">
      <c r="B12" s="124"/>
      <c r="C12" s="125"/>
      <c r="D12" s="47" t="s">
        <v>31</v>
      </c>
      <c r="E12" s="48"/>
      <c r="F12" s="49"/>
      <c r="G12" s="50"/>
      <c r="H12" s="60"/>
      <c r="I12" s="64">
        <v>175</v>
      </c>
      <c r="J12" s="65">
        <v>8.25</v>
      </c>
      <c r="K12" s="44">
        <f>J12*I12</f>
        <v>1443.75</v>
      </c>
      <c r="O12" s="2"/>
    </row>
    <row r="13" spans="2:15" ht="22.5" customHeight="1" x14ac:dyDescent="0.2">
      <c r="B13" s="114"/>
      <c r="C13" s="115"/>
      <c r="D13" s="25"/>
      <c r="E13" s="41"/>
      <c r="F13" s="28"/>
      <c r="G13" s="1"/>
      <c r="H13" s="62">
        <f>IF( G13= " ", "  ", G13*J12)</f>
        <v>0</v>
      </c>
      <c r="I13" s="63">
        <f>I12+E13-G13</f>
        <v>175</v>
      </c>
      <c r="J13" s="61">
        <f>(K12+F13-H13)/I13</f>
        <v>8.25</v>
      </c>
      <c r="K13" s="44">
        <f t="shared" ref="K13:K31" si="0">J13*I13</f>
        <v>1443.75</v>
      </c>
      <c r="O13" s="2"/>
    </row>
    <row r="14" spans="2:15" ht="22.5" customHeight="1" x14ac:dyDescent="0.2">
      <c r="B14" s="114"/>
      <c r="C14" s="115"/>
      <c r="D14" s="25"/>
      <c r="E14" s="41"/>
      <c r="F14" s="28"/>
      <c r="G14" s="41"/>
      <c r="H14" s="62">
        <f>IF( G14= " ", "  ", G14*J13)</f>
        <v>0</v>
      </c>
      <c r="I14" s="63">
        <f>I13+E14-G14</f>
        <v>175</v>
      </c>
      <c r="J14" s="61">
        <f>(K13+F14-H14)/I14</f>
        <v>8.25</v>
      </c>
      <c r="K14" s="44">
        <f t="shared" si="0"/>
        <v>1443.75</v>
      </c>
      <c r="O14" s="2"/>
    </row>
    <row r="15" spans="2:15" ht="22.5" customHeight="1" x14ac:dyDescent="0.2">
      <c r="B15" s="114"/>
      <c r="C15" s="115"/>
      <c r="D15" s="25"/>
      <c r="E15" s="41"/>
      <c r="F15" s="28"/>
      <c r="G15" s="1"/>
      <c r="H15" s="62">
        <f>IF( G15= " ", "  ", G15*J14)</f>
        <v>0</v>
      </c>
      <c r="I15" s="63">
        <f t="shared" ref="I15:I29" si="1">I14+E15-G15</f>
        <v>175</v>
      </c>
      <c r="J15" s="61">
        <f>(K14+F15-H15)/I15</f>
        <v>8.25</v>
      </c>
      <c r="K15" s="44">
        <f t="shared" si="0"/>
        <v>1443.75</v>
      </c>
      <c r="O15" s="2"/>
    </row>
    <row r="16" spans="2:15" ht="22.5" customHeight="1" x14ac:dyDescent="0.2">
      <c r="B16" s="114"/>
      <c r="C16" s="115"/>
      <c r="D16" s="25"/>
      <c r="E16" s="41"/>
      <c r="F16" s="28"/>
      <c r="G16" s="1"/>
      <c r="H16" s="62">
        <f>G16*J15</f>
        <v>0</v>
      </c>
      <c r="I16" s="63">
        <f t="shared" si="1"/>
        <v>175</v>
      </c>
      <c r="J16" s="61">
        <f>(K15+F16-H16)/I16</f>
        <v>8.25</v>
      </c>
      <c r="K16" s="44">
        <f t="shared" si="0"/>
        <v>1443.75</v>
      </c>
      <c r="O16" s="2"/>
    </row>
    <row r="17" spans="2:15" ht="22.5" customHeight="1" x14ac:dyDescent="0.2">
      <c r="B17" s="114"/>
      <c r="C17" s="115"/>
      <c r="D17" s="25"/>
      <c r="E17" s="41"/>
      <c r="F17" s="28"/>
      <c r="G17" s="1"/>
      <c r="H17" s="62">
        <f t="shared" ref="H17:H31" si="2">G17*J16</f>
        <v>0</v>
      </c>
      <c r="I17" s="63">
        <f t="shared" si="1"/>
        <v>175</v>
      </c>
      <c r="J17" s="61">
        <f t="shared" ref="J17:J29" si="3">(K16+F17-H17)/I17</f>
        <v>8.25</v>
      </c>
      <c r="K17" s="44">
        <f t="shared" si="0"/>
        <v>1443.75</v>
      </c>
      <c r="O17" s="2"/>
    </row>
    <row r="18" spans="2:15" ht="22.5" customHeight="1" x14ac:dyDescent="0.2">
      <c r="B18" s="114"/>
      <c r="C18" s="115"/>
      <c r="D18" s="25"/>
      <c r="E18" s="41"/>
      <c r="F18" s="28"/>
      <c r="G18" s="1"/>
      <c r="H18" s="62">
        <f t="shared" si="2"/>
        <v>0</v>
      </c>
      <c r="I18" s="63">
        <f t="shared" si="1"/>
        <v>175</v>
      </c>
      <c r="J18" s="61">
        <f t="shared" si="3"/>
        <v>8.25</v>
      </c>
      <c r="K18" s="44">
        <f t="shared" si="0"/>
        <v>1443.75</v>
      </c>
      <c r="O18" s="2"/>
    </row>
    <row r="19" spans="2:15" ht="22.5" customHeight="1" x14ac:dyDescent="0.2">
      <c r="B19" s="114"/>
      <c r="C19" s="115"/>
      <c r="D19" s="25"/>
      <c r="E19" s="41"/>
      <c r="F19" s="28"/>
      <c r="G19" s="1"/>
      <c r="H19" s="62">
        <f t="shared" si="2"/>
        <v>0</v>
      </c>
      <c r="I19" s="63">
        <f t="shared" si="1"/>
        <v>175</v>
      </c>
      <c r="J19" s="61">
        <f t="shared" si="3"/>
        <v>8.25</v>
      </c>
      <c r="K19" s="44">
        <f t="shared" si="0"/>
        <v>1443.75</v>
      </c>
      <c r="O19" s="2"/>
    </row>
    <row r="20" spans="2:15" ht="22.5" customHeight="1" x14ac:dyDescent="0.2">
      <c r="B20" s="114"/>
      <c r="C20" s="115"/>
      <c r="D20" s="25"/>
      <c r="E20" s="41"/>
      <c r="F20" s="28"/>
      <c r="G20" s="1"/>
      <c r="H20" s="62">
        <f t="shared" si="2"/>
        <v>0</v>
      </c>
      <c r="I20" s="63">
        <f t="shared" si="1"/>
        <v>175</v>
      </c>
      <c r="J20" s="61">
        <f t="shared" si="3"/>
        <v>8.25</v>
      </c>
      <c r="K20" s="44">
        <f t="shared" si="0"/>
        <v>1443.75</v>
      </c>
      <c r="O20" s="2"/>
    </row>
    <row r="21" spans="2:15" ht="22.5" customHeight="1" x14ac:dyDescent="0.2">
      <c r="B21" s="114"/>
      <c r="C21" s="115"/>
      <c r="D21" s="25"/>
      <c r="E21" s="41"/>
      <c r="F21" s="28"/>
      <c r="G21" s="1"/>
      <c r="H21" s="62">
        <f t="shared" si="2"/>
        <v>0</v>
      </c>
      <c r="I21" s="63">
        <f t="shared" si="1"/>
        <v>175</v>
      </c>
      <c r="J21" s="61">
        <f t="shared" si="3"/>
        <v>8.25</v>
      </c>
      <c r="K21" s="44">
        <f t="shared" si="0"/>
        <v>1443.75</v>
      </c>
      <c r="O21" s="2"/>
    </row>
    <row r="22" spans="2:15" ht="22.5" customHeight="1" x14ac:dyDescent="0.2">
      <c r="B22" s="114"/>
      <c r="C22" s="115"/>
      <c r="D22" s="25"/>
      <c r="E22" s="41"/>
      <c r="F22" s="28"/>
      <c r="G22" s="1"/>
      <c r="H22" s="62">
        <f t="shared" si="2"/>
        <v>0</v>
      </c>
      <c r="I22" s="63">
        <f t="shared" si="1"/>
        <v>175</v>
      </c>
      <c r="J22" s="61">
        <f t="shared" si="3"/>
        <v>8.25</v>
      </c>
      <c r="K22" s="44">
        <f t="shared" si="0"/>
        <v>1443.75</v>
      </c>
      <c r="O22" s="2"/>
    </row>
    <row r="23" spans="2:15" ht="22.5" customHeight="1" x14ac:dyDescent="0.2">
      <c r="B23" s="114"/>
      <c r="C23" s="115"/>
      <c r="D23" s="25"/>
      <c r="E23" s="41"/>
      <c r="F23" s="28"/>
      <c r="G23" s="1"/>
      <c r="H23" s="62">
        <f t="shared" si="2"/>
        <v>0</v>
      </c>
      <c r="I23" s="63">
        <f t="shared" si="1"/>
        <v>175</v>
      </c>
      <c r="J23" s="61">
        <f t="shared" si="3"/>
        <v>8.25</v>
      </c>
      <c r="K23" s="44">
        <f t="shared" si="0"/>
        <v>1443.75</v>
      </c>
      <c r="O23" s="2"/>
    </row>
    <row r="24" spans="2:15" ht="22.5" customHeight="1" x14ac:dyDescent="0.2">
      <c r="B24" s="114"/>
      <c r="C24" s="115"/>
      <c r="D24" s="25"/>
      <c r="E24" s="41"/>
      <c r="F24" s="28"/>
      <c r="G24" s="1"/>
      <c r="H24" s="62">
        <f t="shared" si="2"/>
        <v>0</v>
      </c>
      <c r="I24" s="63">
        <f t="shared" si="1"/>
        <v>175</v>
      </c>
      <c r="J24" s="61">
        <f t="shared" si="3"/>
        <v>8.25</v>
      </c>
      <c r="K24" s="44">
        <f t="shared" si="0"/>
        <v>1443.75</v>
      </c>
      <c r="O24" s="2"/>
    </row>
    <row r="25" spans="2:15" ht="22.5" customHeight="1" x14ac:dyDescent="0.2">
      <c r="B25" s="114"/>
      <c r="C25" s="115"/>
      <c r="D25" s="25"/>
      <c r="E25" s="41"/>
      <c r="F25" s="28"/>
      <c r="G25" s="1"/>
      <c r="H25" s="62">
        <f t="shared" si="2"/>
        <v>0</v>
      </c>
      <c r="I25" s="63">
        <f t="shared" si="1"/>
        <v>175</v>
      </c>
      <c r="J25" s="61">
        <f t="shared" si="3"/>
        <v>8.25</v>
      </c>
      <c r="K25" s="44">
        <f t="shared" si="0"/>
        <v>1443.75</v>
      </c>
      <c r="O25" s="2"/>
    </row>
    <row r="26" spans="2:15" ht="22.5" customHeight="1" x14ac:dyDescent="0.2">
      <c r="B26" s="114"/>
      <c r="C26" s="115"/>
      <c r="D26" s="25"/>
      <c r="E26" s="41"/>
      <c r="F26" s="28"/>
      <c r="G26" s="1"/>
      <c r="H26" s="62">
        <f t="shared" si="2"/>
        <v>0</v>
      </c>
      <c r="I26" s="63">
        <f t="shared" si="1"/>
        <v>175</v>
      </c>
      <c r="J26" s="61">
        <f t="shared" si="3"/>
        <v>8.25</v>
      </c>
      <c r="K26" s="44">
        <f t="shared" si="0"/>
        <v>1443.75</v>
      </c>
      <c r="O26" s="2"/>
    </row>
    <row r="27" spans="2:15" ht="22.5" customHeight="1" x14ac:dyDescent="0.2">
      <c r="B27" s="114"/>
      <c r="C27" s="115"/>
      <c r="D27" s="25"/>
      <c r="E27" s="41"/>
      <c r="F27" s="28"/>
      <c r="G27" s="1"/>
      <c r="H27" s="62">
        <f t="shared" si="2"/>
        <v>0</v>
      </c>
      <c r="I27" s="63">
        <f t="shared" si="1"/>
        <v>175</v>
      </c>
      <c r="J27" s="61">
        <f t="shared" si="3"/>
        <v>8.25</v>
      </c>
      <c r="K27" s="44">
        <f t="shared" si="0"/>
        <v>1443.75</v>
      </c>
      <c r="O27" s="2"/>
    </row>
    <row r="28" spans="2:15" ht="22.5" customHeight="1" x14ac:dyDescent="0.2">
      <c r="B28" s="114"/>
      <c r="C28" s="115"/>
      <c r="D28" s="25"/>
      <c r="E28" s="41"/>
      <c r="F28" s="28"/>
      <c r="G28" s="1"/>
      <c r="H28" s="62">
        <f t="shared" si="2"/>
        <v>0</v>
      </c>
      <c r="I28" s="63">
        <f t="shared" si="1"/>
        <v>175</v>
      </c>
      <c r="J28" s="61">
        <f t="shared" si="3"/>
        <v>8.25</v>
      </c>
      <c r="K28" s="44">
        <f t="shared" si="0"/>
        <v>1443.75</v>
      </c>
      <c r="O28" s="2"/>
    </row>
    <row r="29" spans="2:15" ht="22.5" customHeight="1" x14ac:dyDescent="0.2">
      <c r="B29" s="114"/>
      <c r="C29" s="115"/>
      <c r="D29" s="25"/>
      <c r="E29" s="41"/>
      <c r="F29" s="28"/>
      <c r="G29" s="1"/>
      <c r="H29" s="62">
        <f t="shared" si="2"/>
        <v>0</v>
      </c>
      <c r="I29" s="63">
        <f t="shared" si="1"/>
        <v>175</v>
      </c>
      <c r="J29" s="61">
        <f t="shared" si="3"/>
        <v>8.25</v>
      </c>
      <c r="K29" s="44">
        <f t="shared" si="0"/>
        <v>1443.75</v>
      </c>
      <c r="O29" s="2"/>
    </row>
    <row r="30" spans="2:15" ht="22.5" customHeight="1" x14ac:dyDescent="0.2">
      <c r="B30" s="114"/>
      <c r="C30" s="115"/>
      <c r="D30" s="66"/>
      <c r="E30" s="67"/>
      <c r="F30" s="68"/>
      <c r="G30" s="69"/>
      <c r="H30" s="62">
        <f t="shared" si="2"/>
        <v>0</v>
      </c>
      <c r="I30" s="63">
        <f>I29+E30-G30</f>
        <v>175</v>
      </c>
      <c r="J30" s="61">
        <f>(K29+F30-H30)/I30</f>
        <v>8.25</v>
      </c>
      <c r="K30" s="44">
        <f>J30*I30</f>
        <v>1443.75</v>
      </c>
      <c r="O30" s="2"/>
    </row>
    <row r="31" spans="2:15" ht="22.5" customHeight="1" thickBot="1" x14ac:dyDescent="0.25">
      <c r="B31" s="116"/>
      <c r="C31" s="117"/>
      <c r="D31" s="38"/>
      <c r="E31" s="42"/>
      <c r="F31" s="39"/>
      <c r="G31" s="40"/>
      <c r="H31" s="62">
        <f t="shared" si="2"/>
        <v>0</v>
      </c>
      <c r="I31" s="63">
        <f>I29+E31-G31</f>
        <v>175</v>
      </c>
      <c r="J31" s="61">
        <f>(K29+F31-H31)/I31</f>
        <v>8.25</v>
      </c>
      <c r="K31" s="44">
        <f t="shared" si="0"/>
        <v>1443.75</v>
      </c>
      <c r="L31" s="3"/>
      <c r="M31" s="3"/>
      <c r="N31" s="3"/>
    </row>
    <row r="32" spans="2:15" ht="22.5" customHeight="1" thickBot="1" x14ac:dyDescent="0.25">
      <c r="B32" s="72" t="s">
        <v>22</v>
      </c>
      <c r="C32" s="73"/>
      <c r="D32" s="73"/>
      <c r="E32" s="45">
        <f>SUM(E12:E31)</f>
        <v>0</v>
      </c>
      <c r="F32" s="46">
        <f>SUM(F12:F31)</f>
        <v>0</v>
      </c>
      <c r="G32" s="45">
        <f>SUM(G12:G31)</f>
        <v>0</v>
      </c>
      <c r="H32" s="46">
        <f>SUM(H12:H31)</f>
        <v>0</v>
      </c>
      <c r="I32" s="111"/>
      <c r="J32" s="112"/>
      <c r="K32" s="113"/>
      <c r="L32" s="3"/>
      <c r="M32" s="3"/>
      <c r="N32" s="3"/>
    </row>
    <row r="33" spans="2:14" ht="22.5" customHeight="1" x14ac:dyDescent="0.2">
      <c r="B33" s="15"/>
      <c r="C33" s="15"/>
      <c r="D33" s="2"/>
      <c r="E33" s="2"/>
      <c r="J33" s="3"/>
      <c r="K33" s="3"/>
      <c r="L33" s="3"/>
      <c r="M33" s="3"/>
      <c r="N33" s="3"/>
    </row>
    <row r="34" spans="2:14" ht="22.5" customHeight="1" x14ac:dyDescent="0.2">
      <c r="B34" s="15"/>
      <c r="C34" s="15"/>
      <c r="D34" s="2"/>
      <c r="E34" s="2"/>
      <c r="J34" s="3"/>
      <c r="K34" s="3"/>
      <c r="L34" s="3"/>
      <c r="M34" s="3"/>
      <c r="N34" s="3"/>
    </row>
    <row r="35" spans="2:14" ht="22.5" customHeight="1" x14ac:dyDescent="0.2">
      <c r="B35" s="13"/>
      <c r="C35" s="13"/>
      <c r="D35" s="2"/>
      <c r="E35" s="2"/>
      <c r="J35" s="3"/>
      <c r="K35" s="3"/>
      <c r="L35" s="3"/>
      <c r="M35" s="3"/>
      <c r="N35" s="3"/>
    </row>
    <row r="36" spans="2:14" ht="22.5" customHeight="1" x14ac:dyDescent="0.2">
      <c r="B36" s="2"/>
      <c r="C36" s="2"/>
      <c r="D36" s="2"/>
      <c r="E36" s="2"/>
      <c r="J36" s="3"/>
      <c r="K36" s="3"/>
      <c r="L36" s="3"/>
      <c r="M36" s="3"/>
      <c r="N36" s="3"/>
    </row>
    <row r="37" spans="2:14" ht="22.5" customHeight="1" x14ac:dyDescent="0.2">
      <c r="B37" s="2"/>
      <c r="C37" s="2"/>
      <c r="D37" s="2"/>
      <c r="E37" s="2"/>
      <c r="J37" s="3"/>
      <c r="K37" s="3"/>
      <c r="L37" s="3"/>
      <c r="M37" s="3"/>
      <c r="N37" s="3"/>
    </row>
    <row r="38" spans="2:14" ht="22.5" customHeight="1" x14ac:dyDescent="0.2">
      <c r="B38" s="2"/>
      <c r="C38" s="2"/>
      <c r="D38" s="2"/>
      <c r="E38" s="2"/>
      <c r="J38" s="3"/>
      <c r="K38" s="3"/>
      <c r="L38" s="3"/>
      <c r="M38" s="3"/>
      <c r="N38" s="3"/>
    </row>
    <row r="39" spans="2:14" ht="22.5" customHeight="1" x14ac:dyDescent="0.2">
      <c r="C39" s="2"/>
      <c r="D39" s="2"/>
      <c r="E39" s="2"/>
      <c r="F39" s="2"/>
      <c r="G39" s="2"/>
      <c r="H39" s="2"/>
      <c r="I39" s="2"/>
    </row>
    <row r="40" spans="2:14" ht="22.5" customHeight="1" x14ac:dyDescent="0.2">
      <c r="C40" s="2"/>
      <c r="D40" s="2"/>
      <c r="E40" s="2"/>
      <c r="F40" s="2"/>
      <c r="G40" s="2"/>
      <c r="H40" s="2"/>
      <c r="I40" s="2"/>
    </row>
    <row r="41" spans="2:14" ht="22.5" customHeight="1" x14ac:dyDescent="0.2">
      <c r="C41" s="2"/>
      <c r="D41" s="2"/>
      <c r="E41" s="2"/>
      <c r="F41" s="2"/>
      <c r="G41" s="2"/>
      <c r="H41" s="2"/>
      <c r="I41" s="2"/>
    </row>
    <row r="42" spans="2:14" ht="22.5" customHeight="1" x14ac:dyDescent="0.2">
      <c r="C42" s="2"/>
      <c r="D42" s="2"/>
      <c r="E42" s="2"/>
      <c r="F42" s="2"/>
      <c r="G42" s="2"/>
      <c r="H42" s="2"/>
      <c r="I42" s="2"/>
    </row>
    <row r="43" spans="2:14" ht="22.5" customHeight="1" x14ac:dyDescent="0.2">
      <c r="C43" s="2"/>
      <c r="D43" s="2"/>
      <c r="E43" s="2"/>
      <c r="F43" s="2"/>
      <c r="G43" s="2"/>
      <c r="H43" s="2"/>
      <c r="I43" s="2"/>
    </row>
    <row r="44" spans="2:14" ht="22.5" customHeight="1" x14ac:dyDescent="0.2">
      <c r="C44" s="2"/>
      <c r="D44" s="2"/>
      <c r="E44" s="2"/>
      <c r="F44" s="2"/>
      <c r="G44" s="2"/>
      <c r="H44" s="2"/>
      <c r="I44" s="2"/>
    </row>
  </sheetData>
  <sheetProtection selectLockedCells="1"/>
  <mergeCells count="43">
    <mergeCell ref="G4:H4"/>
    <mergeCell ref="G6:H6"/>
    <mergeCell ref="B1:L2"/>
    <mergeCell ref="B14:C14"/>
    <mergeCell ref="B13:C13"/>
    <mergeCell ref="G10:H10"/>
    <mergeCell ref="E10:F10"/>
    <mergeCell ref="G3:K3"/>
    <mergeCell ref="I6:K6"/>
    <mergeCell ref="B3:F3"/>
    <mergeCell ref="B4:C4"/>
    <mergeCell ref="B5:C5"/>
    <mergeCell ref="B6:C6"/>
    <mergeCell ref="D4:F4"/>
    <mergeCell ref="I4:K4"/>
    <mergeCell ref="B10:C11"/>
    <mergeCell ref="B12:C12"/>
    <mergeCell ref="D7:K7"/>
    <mergeCell ref="D6:F6"/>
    <mergeCell ref="D5:K5"/>
    <mergeCell ref="B30:C30"/>
    <mergeCell ref="I10:K10"/>
    <mergeCell ref="B25:C25"/>
    <mergeCell ref="B26:C26"/>
    <mergeCell ref="B24:C24"/>
    <mergeCell ref="B7:C7"/>
    <mergeCell ref="B9:K9"/>
    <mergeCell ref="D10:D11"/>
    <mergeCell ref="B23:C23"/>
    <mergeCell ref="I32:K32"/>
    <mergeCell ref="B20:C20"/>
    <mergeCell ref="B21:C21"/>
    <mergeCell ref="B22:C22"/>
    <mergeCell ref="B15:C15"/>
    <mergeCell ref="B16:C16"/>
    <mergeCell ref="B17:C17"/>
    <mergeCell ref="B18:C18"/>
    <mergeCell ref="B19:C19"/>
    <mergeCell ref="B32:D32"/>
    <mergeCell ref="B27:C27"/>
    <mergeCell ref="B28:C28"/>
    <mergeCell ref="B29:C29"/>
    <mergeCell ref="B31:C31"/>
  </mergeCells>
  <phoneticPr fontId="0" type="noConversion"/>
  <dataValidations count="3">
    <dataValidation type="date" allowBlank="1" showInputMessage="1" showErrorMessage="1" errorTitle="Data" error="_x000a_Informe uma data no formato DD/MM/AAAA" sqref="B12:C31" xr:uid="{00000000-0002-0000-0200-000000000000}">
      <formula1>36526</formula1>
      <formula2>55153</formula2>
    </dataValidation>
    <dataValidation type="whole" allowBlank="1" showInputMessage="1" showErrorMessage="1" sqref="E12:E31 G12:G31 I12:I31" xr:uid="{00000000-0002-0000-0200-000001000000}">
      <formula1>1</formula1>
      <formula2>999999999</formula2>
    </dataValidation>
    <dataValidation type="decimal" allowBlank="1" showInputMessage="1" showErrorMessage="1" sqref="F12:F32 J12:K31 H12:H32" xr:uid="{00000000-0002-0000-0200-000002000000}">
      <formula1>1</formula1>
      <formula2>999999999</formula2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orientation="landscape" r:id="rId1"/>
  <headerFooter alignWithMargins="0">
    <oddFooter>&amp;LSEBRAE - MG&amp;CMais Informações: Central de Relacionamento:  0800 570 0800  - Site: www.sebraemg.com.br&amp;RPágina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5597"/>
    <pageSetUpPr fitToPage="1"/>
  </sheetPr>
  <dimension ref="A1:F25"/>
  <sheetViews>
    <sheetView showGridLines="0" zoomScaleNormal="100" zoomScaleSheetLayoutView="115" workbookViewId="0" xr3:uid="{51F8DEE0-4D01-5F28-A812-FC0BD7CAC4A5}">
      <selection activeCell="B24" sqref="B24"/>
    </sheetView>
  </sheetViews>
  <sheetFormatPr defaultColWidth="19.1015625" defaultRowHeight="15" x14ac:dyDescent="0.2"/>
  <cols>
    <col min="1" max="6" width="20.71484375" style="20" customWidth="1"/>
    <col min="7" max="16384" width="19.1015625" style="20"/>
  </cols>
  <sheetData>
    <row r="1" spans="1:6" s="19" customFormat="1" x14ac:dyDescent="0.2">
      <c r="A1" s="18"/>
      <c r="B1" s="18"/>
      <c r="C1" s="18"/>
      <c r="D1" s="18"/>
      <c r="E1" s="18"/>
      <c r="F1" s="18"/>
    </row>
    <row r="2" spans="1:6" ht="30.75" customHeight="1" x14ac:dyDescent="0.2">
      <c r="A2" s="128" t="s">
        <v>7</v>
      </c>
      <c r="B2" s="128"/>
      <c r="C2" s="128"/>
      <c r="D2" s="128"/>
      <c r="E2" s="128"/>
      <c r="F2" s="128"/>
    </row>
    <row r="3" spans="1:6" x14ac:dyDescent="0.2">
      <c r="A3" s="18"/>
      <c r="B3" s="18"/>
      <c r="C3" s="18"/>
      <c r="D3" s="18"/>
      <c r="E3" s="18"/>
      <c r="F3" s="18"/>
    </row>
    <row r="4" spans="1:6" x14ac:dyDescent="0.2">
      <c r="A4" s="18"/>
      <c r="B4" s="18"/>
      <c r="C4" s="18"/>
      <c r="D4" s="18"/>
      <c r="E4" s="18"/>
      <c r="F4" s="18"/>
    </row>
    <row r="5" spans="1:6" x14ac:dyDescent="0.2">
      <c r="A5" s="18"/>
      <c r="B5" s="18"/>
      <c r="C5" s="18"/>
      <c r="D5" s="18"/>
      <c r="E5" s="18"/>
      <c r="F5" s="18"/>
    </row>
    <row r="6" spans="1:6" x14ac:dyDescent="0.2">
      <c r="A6" s="18"/>
      <c r="B6" s="18"/>
      <c r="C6" s="18"/>
      <c r="D6" s="18"/>
      <c r="E6" s="18"/>
      <c r="F6" s="18"/>
    </row>
    <row r="22" spans="1:6" ht="19.5" customHeight="1" x14ac:dyDescent="0.2">
      <c r="A22" s="131" t="s">
        <v>2</v>
      </c>
      <c r="B22" s="131"/>
      <c r="C22" s="131"/>
      <c r="D22" s="131"/>
      <c r="E22" s="131"/>
      <c r="F22" s="131"/>
    </row>
    <row r="23" spans="1:6" ht="16.5" customHeight="1" x14ac:dyDescent="0.2">
      <c r="A23" s="132" t="s">
        <v>23</v>
      </c>
      <c r="B23" s="21" t="s">
        <v>6</v>
      </c>
      <c r="C23" s="21" t="s">
        <v>4</v>
      </c>
      <c r="D23" s="135" t="s">
        <v>8</v>
      </c>
      <c r="E23" s="21" t="s">
        <v>6</v>
      </c>
      <c r="F23" s="21" t="s">
        <v>4</v>
      </c>
    </row>
    <row r="24" spans="1:6" ht="21" customHeight="1" x14ac:dyDescent="0.2">
      <c r="A24" s="133"/>
      <c r="B24" s="22">
        <f>'Controle de Estoque'!F32</f>
        <v>0</v>
      </c>
      <c r="C24" s="22">
        <f>'Controle de Estoque'!H32</f>
        <v>0</v>
      </c>
      <c r="D24" s="136"/>
      <c r="E24" s="23">
        <f>'Controle de Estoque'!E32</f>
        <v>0</v>
      </c>
      <c r="F24" s="23">
        <f>'Controle de Estoque'!G32</f>
        <v>0</v>
      </c>
    </row>
    <row r="25" spans="1:6" ht="21" customHeight="1" x14ac:dyDescent="0.2">
      <c r="A25" s="134"/>
      <c r="B25" s="129">
        <f>B24-C24</f>
        <v>0</v>
      </c>
      <c r="C25" s="129"/>
      <c r="D25" s="137"/>
      <c r="E25" s="130">
        <f>E24-F24</f>
        <v>0</v>
      </c>
      <c r="F25" s="130"/>
    </row>
  </sheetData>
  <sheetProtection sheet="1" objects="1" scenarios="1" selectLockedCells="1" selectUnlockedCells="1"/>
  <mergeCells count="6">
    <mergeCell ref="A2:F2"/>
    <mergeCell ref="B25:C25"/>
    <mergeCell ref="E25:F25"/>
    <mergeCell ref="A22:F22"/>
    <mergeCell ref="A23:A25"/>
    <mergeCell ref="D23:D2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Footer>&amp;LSEBRAE - MG&amp;CMais Informações: Central de Relacionamento:  0800 570 0800  - Site: www.sebraemg.com.br&amp;RPágina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Conceito</vt:lpstr>
      <vt:lpstr>Exemplo</vt:lpstr>
      <vt:lpstr>Controle de Estoque</vt:lpstr>
      <vt:lpstr>Gráfico</vt:lpstr>
      <vt:lpstr>Conceito!Area_de_impressao</vt:lpstr>
      <vt:lpstr>Controle de Estoque!Area_de_impressao</vt:lpstr>
      <vt:lpstr>Exemplo!Area_de_impressao</vt:lpstr>
      <vt:lpstr>Gráfico!Area_de_impressao</vt:lpstr>
    </vt:vector>
  </TitlesOfParts>
  <Company>Ing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Ingridi</dc:creator>
  <cp:lastModifiedBy>X</cp:lastModifiedBy>
  <cp:lastPrinted>2016-03-11T18:32:48Z</cp:lastPrinted>
  <dcterms:created xsi:type="dcterms:W3CDTF">2010-01-28T17:17:05Z</dcterms:created>
  <dcterms:modified xsi:type="dcterms:W3CDTF">2018-03-02T14:56:30Z</dcterms:modified>
</cp:coreProperties>
</file>