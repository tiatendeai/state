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19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75.png" ContentType="image/png"/>
  <Override PartName="/xl/media/image9.png" ContentType="image/png"/>
  <Override PartName="/xl/media/image57.png" ContentType="image/png"/>
  <Override PartName="/xl/media/image1.png" ContentType="image/png"/>
  <Override PartName="/xl/media/image58.png" ContentType="image/png"/>
  <Override PartName="/xl/media/image2.png" ContentType="image/png"/>
  <Override PartName="/xl/media/image59.png" ContentType="image/png"/>
  <Override PartName="/xl/media/image3.png" ContentType="image/png"/>
  <Override PartName="/xl/media/image70.png" ContentType="image/png"/>
  <Override PartName="/xl/media/image4.png" ContentType="image/png"/>
  <Override PartName="/xl/media/image71.png" ContentType="image/png"/>
  <Override PartName="/xl/media/image5.png" ContentType="image/png"/>
  <Override PartName="/xl/media/image72.png" ContentType="image/png"/>
  <Override PartName="/xl/media/image6.png" ContentType="image/png"/>
  <Override PartName="/xl/media/image73.png" ContentType="image/png"/>
  <Override PartName="/xl/media/image7.png" ContentType="image/png"/>
  <Override PartName="/xl/media/image74.png" ContentType="image/png"/>
  <Override PartName="/xl/media/image8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3.png" ContentType="image/png"/>
  <Override PartName="/xl/media/image14.png" ContentType="image/png"/>
  <Override PartName="/xl/media/image15.png" ContentType="image/png"/>
  <Override PartName="/xl/media/image16.png" ContentType="image/png"/>
  <Override PartName="/xl/media/image17.png" ContentType="image/png"/>
  <Override PartName="/xl/media/image18.png" ContentType="image/png"/>
  <Override PartName="/xl/media/image19.png" ContentType="image/png"/>
  <Override PartName="/xl/media/image20.png" ContentType="image/png"/>
  <Override PartName="/xl/media/image21.png" ContentType="image/png"/>
  <Override PartName="/xl/media/image22.png" ContentType="image/png"/>
  <Override PartName="/xl/media/image23.png" ContentType="image/png"/>
  <Override PartName="/xl/media/image24.png" ContentType="image/png"/>
  <Override PartName="/xl/media/image25.png" ContentType="image/png"/>
  <Override PartName="/xl/media/image26.png" ContentType="image/png"/>
  <Override PartName="/xl/media/image27.png" ContentType="image/png"/>
  <Override PartName="/xl/media/image28.png" ContentType="image/png"/>
  <Override PartName="/xl/media/image29.png" ContentType="image/png"/>
  <Override PartName="/xl/media/image30.png" ContentType="image/png"/>
  <Override PartName="/xl/media/image31.png" ContentType="image/png"/>
  <Override PartName="/xl/media/image32.png" ContentType="image/png"/>
  <Override PartName="/xl/media/image33.png" ContentType="image/png"/>
  <Override PartName="/xl/media/image34.png" ContentType="image/png"/>
  <Override PartName="/xl/media/image35.png" ContentType="image/png"/>
  <Override PartName="/xl/media/image36.png" ContentType="image/png"/>
  <Override PartName="/xl/media/image37.png" ContentType="image/png"/>
  <Override PartName="/xl/media/image38.png" ContentType="image/png"/>
  <Override PartName="/xl/media/image39.png" ContentType="image/png"/>
  <Override PartName="/xl/media/image40.png" ContentType="image/png"/>
  <Override PartName="/xl/media/image41.png" ContentType="image/png"/>
  <Override PartName="/xl/media/image42.png" ContentType="image/png"/>
  <Override PartName="/xl/media/image43.png" ContentType="image/png"/>
  <Override PartName="/xl/media/image44.png" ContentType="image/png"/>
  <Override PartName="/xl/media/image45.png" ContentType="image/png"/>
  <Override PartName="/xl/media/image46.png" ContentType="image/png"/>
  <Override PartName="/xl/media/image47.png" ContentType="image/png"/>
  <Override PartName="/xl/media/image48.png" ContentType="image/png"/>
  <Override PartName="/xl/media/image49.png" ContentType="image/png"/>
  <Override PartName="/xl/media/image50.png" ContentType="image/png"/>
  <Override PartName="/xl/media/image51.png" ContentType="image/png"/>
  <Override PartName="/xl/media/image52.png" ContentType="image/png"/>
  <Override PartName="/xl/media/image53.png" ContentType="image/png"/>
  <Override PartName="/xl/media/image54.png" ContentType="image/png"/>
  <Override PartName="/xl/media/image55.png" ContentType="image/png"/>
  <Override PartName="/xl/media/image56.png" ContentType="image/png"/>
  <Override PartName="/xl/media/image60.png" ContentType="image/png"/>
  <Override PartName="/xl/media/image61.png" ContentType="image/png"/>
  <Override PartName="/xl/media/image62.png" ContentType="image/png"/>
  <Override PartName="/xl/media/image63.png" ContentType="image/png"/>
  <Override PartName="/xl/media/image64.png" ContentType="image/png"/>
  <Override PartName="/xl/media/image65.png" ContentType="image/png"/>
  <Override PartName="/xl/media/image66.png" ContentType="image/png"/>
  <Override PartName="/xl/media/image67.png" ContentType="image/png"/>
  <Override PartName="/xl/media/image68.png" ContentType="image/png"/>
  <Override PartName="/xl/media/image69.png" ContentType="image/png"/>
  <Override PartName="/xl/media/image76.png" ContentType="image/png"/>
  <Override PartName="/xl/media/image77.png" ContentType="image/png"/>
  <Override PartName="/xl/media/image78.png" ContentType="image/png"/>
  <Override PartName="/xl/media/image79.png" ContentType="image/png"/>
  <Override PartName="/xl/media/image80.png" ContentType="image/png"/>
  <Override PartName="/xl/media/image81.png" ContentType="image/png"/>
  <Override PartName="/xl/media/image82.png" ContentType="image/png"/>
  <Override PartName="/xl/media/image83.png" ContentType="image/png"/>
  <Override PartName="/xl/media/image84.png" ContentType="image/png"/>
  <Override PartName="/xl/media/image85.png" ContentType="image/png"/>
  <Override PartName="/xl/media/image86.png" ContentType="image/png"/>
  <Override PartName="/xl/media/image87.png" ContentType="image/png"/>
  <Override PartName="/xl/media/image88.png" ContentType="image/png"/>
  <Override PartName="/xl/media/image89.png" ContentType="image/png"/>
  <Override PartName="/xl/media/image90.png" ContentType="image/png"/>
  <Override PartName="/xl/media/image91.png" ContentType="image/png"/>
  <Override PartName="/xl/media/image92.png" ContentType="image/png"/>
  <Override PartName="/xl/media/image93.png" ContentType="image/png"/>
  <Override PartName="/xl/media/image94.png" ContentType="image/png"/>
  <Override PartName="/xl/media/image95.png" ContentType="image/png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_rels/drawing9.xml.rels" ContentType="application/vnd.openxmlformats-package.relationships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drawings/_rels/drawing10.xml.rels" ContentType="application/vnd.openxmlformats-package.relationships+xml"/>
  <Override PartName="/xl/drawings/_rels/drawing11.xml.rels" ContentType="application/vnd.openxmlformats-package.relationships+xml"/>
  <Override PartName="/xl/drawings/_rels/drawing12.xml.rels" ContentType="application/vnd.openxmlformats-package.relationships+xml"/>
  <Override PartName="/xl/drawings/_rels/drawing13.xml.rels" ContentType="application/vnd.openxmlformats-package.relationships+xml"/>
  <Override PartName="/xl/drawings/_rels/drawing14.xml.rels" ContentType="application/vnd.openxmlformats-package.relationships+xml"/>
  <Override PartName="/xl/drawings/_rels/drawing15.xml.rels" ContentType="application/vnd.openxmlformats-package.relationships+xml"/>
  <Override PartName="/xl/drawings/_rels/drawing16.xml.rels" ContentType="application/vnd.openxmlformats-package.relationships+xml"/>
  <Override PartName="/xl/drawings/_rels/drawing17.xml.rels" ContentType="application/vnd.openxmlformats-package.relationships+xml"/>
  <Override PartName="/xl/drawings/_rels/drawing18.xml.rels" ContentType="application/vnd.openxmlformats-package.relationships+xml"/>
  <Override PartName="/xl/drawings/_rels/drawing19.xml.rels" ContentType="application/vnd.openxmlformats-package.relationships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7"/>
  </bookViews>
  <sheets>
    <sheet name="Painel Inicial" sheetId="1" state="visible" r:id="rId2"/>
    <sheet name="Como Utilizar" sheetId="2" state="visible" r:id="rId3"/>
    <sheet name="Cadastro Institucional" sheetId="3" state="visible" r:id="rId4"/>
    <sheet name="Etapas" sheetId="4" state="visible" r:id="rId5"/>
    <sheet name="Itens de Contrato" sheetId="5" state="visible" r:id="rId6"/>
    <sheet name="Medição Consolidada (Itens de C" sheetId="6" state="visible" r:id="rId7"/>
    <sheet name="Medição Consolidada (Etapas)" sheetId="7" state="visible" r:id="rId8"/>
    <sheet name="Medição 01" sheetId="8" state="visible" r:id="rId9"/>
    <sheet name="Medição 02" sheetId="9" state="visible" r:id="rId10"/>
    <sheet name="Medição 03" sheetId="10" state="visible" r:id="rId11"/>
    <sheet name="Medição 04" sheetId="11" state="visible" r:id="rId12"/>
    <sheet name="Medição 05" sheetId="12" state="visible" r:id="rId13"/>
    <sheet name="Medição 06" sheetId="13" state="visible" r:id="rId14"/>
    <sheet name="Medição 07" sheetId="14" state="visible" r:id="rId15"/>
    <sheet name="Medição 08" sheetId="15" state="visible" r:id="rId16"/>
    <sheet name="Medição 09" sheetId="16" state="visible" r:id="rId17"/>
    <sheet name="Medição 10" sheetId="17" state="visible" r:id="rId18"/>
    <sheet name="Medição 11" sheetId="18" state="visible" r:id="rId19"/>
    <sheet name="Medição 12" sheetId="19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<sst xmlns="http://schemas.openxmlformats.org/spreadsheetml/2006/main" count="320" uniqueCount="37">
  <si>
    <r>
      <rPr>
        <b val="true"/>
        <sz val="16"/>
        <color rgb="FF687EEA"/>
        <rFont val="Calibri1"/>
        <family val="0"/>
        <charset val="1"/>
      </rPr>
      <t xml:space="preserve">Bem-vindo à Planilha de Medição de Obra do Sienge
</t>
    </r>
    <r>
      <rPr>
        <sz val="11"/>
        <color rgb="FF000000"/>
        <rFont val="Calibri1"/>
        <family val="0"/>
        <charset val="1"/>
      </rPr>
      <t xml:space="preserve">
</t>
    </r>
    <r>
      <rPr>
        <sz val="11"/>
        <color rgb="FF333333"/>
        <rFont val="Calibri1"/>
        <family val="0"/>
        <charset val="1"/>
      </rPr>
      <t xml:space="preserve">Esse modelo de Planilha de Medição de Obra permite fazer as medições individuais, ter uma visão consolidada, permitindo de maneira fácil visualizar a evolução da obra e ter uma ferramenta para auxiliar na prestação de contas.
Acesse um dos botões do menu abaixo:  
    </t>
    </r>
  </si>
  <si>
    <r>
      <rPr>
        <b val="true"/>
        <sz val="9"/>
        <color rgb="FF333333"/>
        <rFont val="Calibri1"/>
        <family val="0"/>
        <charset val="1"/>
      </rPr>
      <t xml:space="preserve">
</t>
    </r>
    <r>
      <rPr>
        <sz val="9"/>
        <color rgb="FF333333"/>
        <rFont val="Calibri1"/>
        <family val="0"/>
        <charset val="1"/>
      </rPr>
      <t xml:space="preserve">Apareceu uma barra rosa no topo do arquivo dizendo que a planilha não é segura? 
Basta clicar em "</t>
    </r>
    <r>
      <rPr>
        <u val="single"/>
        <sz val="9"/>
        <color rgb="FF333333"/>
        <rFont val="Calibri1"/>
        <family val="0"/>
        <charset val="1"/>
      </rPr>
      <t xml:space="preserve">Obter mais detalhes"</t>
    </r>
    <r>
      <rPr>
        <sz val="9"/>
        <color rgb="FF333333"/>
        <rFont val="Calibri1"/>
        <family val="0"/>
        <charset val="1"/>
      </rPr>
      <t xml:space="preserve"> 
e posteriormente clicar no 
botão “</t>
    </r>
    <r>
      <rPr>
        <u val="single"/>
        <sz val="9"/>
        <color rgb="FF333333"/>
        <rFont val="Calibri1"/>
        <family val="0"/>
        <charset val="1"/>
      </rPr>
      <t xml:space="preserve">Editar mesmo assim</t>
    </r>
    <r>
      <rPr>
        <sz val="9"/>
        <color rgb="FF333333"/>
        <rFont val="Calibri1"/>
        <family val="0"/>
        <charset val="1"/>
      </rPr>
      <t xml:space="preserve">”.</t>
    </r>
  </si>
  <si>
    <r>
      <rPr>
        <sz val="11"/>
        <rFont val="Arial"/>
        <family val="2"/>
        <charset val="1"/>
      </rPr>
      <t xml:space="preserve">Caso você precise fazer algum tipo de edição, fique tranquilo, pois esse arquivo é desbloqueado e permite a adaptação para sua empresa. 
E não esqueça, se as planilhas não permitirem mais o desempenho desejado para sua empresa e você quiser uma gestão mais madura, sem retrabalho e que permita fácil acesso a informações gerenciais, você precisa de um ERP, um Software de Gestão de Obras. Quem sabe não é a hora de conhecer o Sienge? Acesse: </t>
    </r>
    <r>
      <rPr>
        <u val="single"/>
        <sz val="11"/>
        <rFont val="Arial"/>
        <family val="2"/>
        <charset val="1"/>
      </rPr>
      <t xml:space="preserve">www.sienge.com.br</t>
    </r>
    <r>
      <rPr>
        <sz val="11"/>
        <rFont val="Arial"/>
        <family val="2"/>
        <charset val="1"/>
      </rPr>
      <t xml:space="preserve"> .</t>
    </r>
  </si>
  <si>
    <t xml:space="preserve">Faça a gestão completa de sua obra com o Sienge, saiba mais em www.sienge.com.br ou (48) 3027 8110.</t>
  </si>
  <si>
    <t xml:space="preserve">Em todas as abas da Planilha de Medição de Obras, preencha apenas os campos com fundo azul claro. 
Todos as outras informações são geradas automaticamente.</t>
  </si>
  <si>
    <t xml:space="preserve">Fatores de Cálculo</t>
  </si>
  <si>
    <t xml:space="preserve">BDI</t>
  </si>
  <si>
    <t xml:space="preserve">LS (Encargos Sociais)</t>
  </si>
  <si>
    <t xml:space="preserve">Preencha apenas as células com esse azul claro como cor de fundo!</t>
  </si>
  <si>
    <t xml:space="preserve">Obra</t>
  </si>
  <si>
    <t xml:space="preserve">Nome</t>
  </si>
  <si>
    <t xml:space="preserve">Endereço</t>
  </si>
  <si>
    <t xml:space="preserve">Informações Institucionais</t>
  </si>
  <si>
    <t xml:space="preserve">Razão Social</t>
  </si>
  <si>
    <t xml:space="preserve">CNPJ</t>
  </si>
  <si>
    <t xml:space="preserve">Inscrição Estadual</t>
  </si>
  <si>
    <t xml:space="preserve">Responsável</t>
  </si>
  <si>
    <t xml:space="preserve">Cargo</t>
  </si>
  <si>
    <t xml:space="preserve">Telefone</t>
  </si>
  <si>
    <t xml:space="preserve">E-mail</t>
  </si>
  <si>
    <t xml:space="preserve">OBRA</t>
  </si>
  <si>
    <t xml:space="preserve">Etapa</t>
  </si>
  <si>
    <t xml:space="preserve">Descrição</t>
  </si>
  <si>
    <t xml:space="preserve">Item</t>
  </si>
  <si>
    <t xml:space="preserve">Unidade</t>
  </si>
  <si>
    <t xml:space="preserve">Quantidade</t>
  </si>
  <si>
    <t xml:space="preserve">Valor Unitário</t>
  </si>
  <si>
    <t xml:space="preserve">Valor Total</t>
  </si>
  <si>
    <t xml:space="preserve">Quantidade Contratada</t>
  </si>
  <si>
    <t xml:space="preserve">Valor Contratado</t>
  </si>
  <si>
    <t xml:space="preserve">Saldo Total
à Medir</t>
  </si>
  <si>
    <t xml:space="preserve">Quantidade Executada</t>
  </si>
  <si>
    <t xml:space="preserve">% Executado</t>
  </si>
  <si>
    <t xml:space="preserve">Valor Executado</t>
  </si>
  <si>
    <t xml:space="preserve">Nº</t>
  </si>
  <si>
    <t xml:space="preserve">Medição Nº</t>
  </si>
  <si>
    <t xml:space="preserve">Período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</si>
</sst>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@"/>
    <numFmt numFmtId="167" formatCode="0"/>
    <numFmt numFmtId="168" formatCode="#,##0.00"/>
    <numFmt numFmtId="169" formatCode="[$R$ -416]#,##0.00"/>
  </numFmts>
  <fonts count="3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6"/>
      <color rgb="FF687EEA"/>
      <name val="Calibri1"/>
      <family val="0"/>
      <charset val="1"/>
    </font>
    <font>
      <sz val="11"/>
      <color rgb="FF000000"/>
      <name val="Calibri1"/>
      <family val="0"/>
      <charset val="1"/>
    </font>
    <font>
      <sz val="11"/>
      <color rgb="FF333333"/>
      <name val="Calibri1"/>
      <family val="0"/>
      <charset val="1"/>
    </font>
    <font>
      <b val="true"/>
      <sz val="9"/>
      <color rgb="FF333333"/>
      <name val="Calibri1"/>
      <family val="0"/>
      <charset val="1"/>
    </font>
    <font>
      <sz val="9"/>
      <color rgb="FF333333"/>
      <name val="Calibri1"/>
      <family val="0"/>
      <charset val="1"/>
    </font>
    <font>
      <u val="single"/>
      <sz val="9"/>
      <color rgb="FF333333"/>
      <name val="Calibri1"/>
      <family val="0"/>
      <charset val="1"/>
    </font>
    <font>
      <sz val="11"/>
      <name val="Arial"/>
      <family val="2"/>
      <charset val="1"/>
    </font>
    <font>
      <u val="single"/>
      <sz val="11"/>
      <name val="Arial"/>
      <family val="2"/>
      <charset val="1"/>
    </font>
    <font>
      <sz val="10"/>
      <name val="Arial"/>
      <family val="2"/>
      <charset val="1"/>
    </font>
    <font>
      <u val="single"/>
      <sz val="11"/>
      <color rgb="FFFFFFFF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b val="true"/>
      <sz val="10.5"/>
      <color rgb="FFFFFFFF"/>
      <name val="Calibri"/>
      <family val="0"/>
    </font>
    <font>
      <b val="true"/>
      <sz val="11"/>
      <color rgb="FFFFFFFF"/>
      <name val="Calibri"/>
      <family val="0"/>
    </font>
    <font>
      <sz val="10"/>
      <color rgb="FF0070C0"/>
      <name val="Arial"/>
      <family val="2"/>
      <charset val="1"/>
    </font>
    <font>
      <b val="true"/>
      <sz val="10.5"/>
      <color rgb="FF000000"/>
      <name val="Calibri"/>
      <family val="0"/>
    </font>
    <font>
      <sz val="10"/>
      <color rgb="FFFFFFFF"/>
      <name val="Arial"/>
      <family val="0"/>
      <charset val="1"/>
    </font>
    <font>
      <sz val="10"/>
      <color rgb="FFFFFFFF"/>
      <name val="Arial"/>
      <family val="2"/>
      <charset val="1"/>
    </font>
    <font>
      <sz val="10"/>
      <color rgb="FF595959"/>
      <name val="Arial"/>
      <family val="0"/>
      <charset val="1"/>
    </font>
    <font>
      <b val="true"/>
      <sz val="11"/>
      <color rgb="FF0070C0"/>
      <name val="Calibri"/>
      <family val="2"/>
      <charset val="1"/>
    </font>
    <font>
      <b val="true"/>
      <sz val="10"/>
      <color rgb="FFDAE3F3"/>
      <name val="Arial"/>
      <family val="2"/>
      <charset val="1"/>
    </font>
    <font>
      <sz val="7"/>
      <color rgb="FFDAE3F3"/>
      <name val="Arial"/>
      <family val="2"/>
      <charset val="1"/>
    </font>
    <font>
      <sz val="8"/>
      <color rgb="FFDAE3F3"/>
      <name val="Arial"/>
      <family val="2"/>
      <charset val="1"/>
    </font>
    <font>
      <sz val="7"/>
      <color rgb="FF595959"/>
      <name val="Arial"/>
      <family val="2"/>
      <charset val="1"/>
    </font>
    <font>
      <sz val="8"/>
      <color rgb="FF595959"/>
      <name val="Arial"/>
      <family val="0"/>
      <charset val="1"/>
    </font>
    <font>
      <sz val="7"/>
      <color rgb="FF595959"/>
      <name val="Arial"/>
      <family val="0"/>
      <charset val="1"/>
    </font>
    <font>
      <sz val="8"/>
      <color rgb="FFFFFFFF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687EEA"/>
        <bgColor rgb="FF2E75B6"/>
      </patternFill>
    </fill>
    <fill>
      <patternFill patternType="solid">
        <fgColor rgb="FFFFD9D9"/>
        <bgColor rgb="FFEFEFEF"/>
      </patternFill>
    </fill>
    <fill>
      <patternFill patternType="solid">
        <fgColor rgb="FFC00000"/>
        <bgColor rgb="FF800000"/>
      </patternFill>
    </fill>
    <fill>
      <patternFill patternType="solid">
        <fgColor rgb="FFDEEBF7"/>
        <bgColor rgb="FFDAE3F3"/>
      </patternFill>
    </fill>
    <fill>
      <patternFill patternType="solid">
        <fgColor rgb="FF3552E3"/>
        <bgColor rgb="FF2E75B6"/>
      </patternFill>
    </fill>
    <fill>
      <patternFill patternType="solid">
        <fgColor rgb="FFDAE3F3"/>
        <bgColor rgb="FFDEEBF7"/>
      </patternFill>
    </fill>
    <fill>
      <patternFill patternType="solid">
        <fgColor rgb="FFFFFFFF"/>
        <bgColor rgb="FFEFEFEF"/>
      </patternFill>
    </fill>
    <fill>
      <patternFill patternType="solid">
        <fgColor rgb="FF002060"/>
        <bgColor rgb="FF000080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>
        <color rgb="FFFF5050"/>
      </left>
      <right style="medium">
        <color rgb="FFFF5050"/>
      </right>
      <top style="medium">
        <color rgb="FFFF5050"/>
      </top>
      <bottom style="medium">
        <color rgb="FFFF5050"/>
      </bottom>
      <diagonal/>
    </border>
    <border diagonalUp="false" diagonalDown="false"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/>
      <diagonal/>
    </border>
    <border diagonalUp="false" diagonalDown="false">
      <left/>
      <right style="thin">
        <color rgb="FFEFEFEF"/>
      </right>
      <top/>
      <bottom style="thin">
        <color rgb="FFEFEFEF"/>
      </bottom>
      <diagonal/>
    </border>
    <border diagonalUp="false" diagonalDown="false">
      <left style="thin">
        <color rgb="FFEFEFEF"/>
      </left>
      <right style="thin">
        <color rgb="FFEFEFEF"/>
      </right>
      <top/>
      <bottom style="thin">
        <color rgb="FFEFEFEF"/>
      </bottom>
      <diagonal/>
    </border>
    <border diagonalUp="false" diagonalDown="false">
      <left style="thin">
        <color rgb="FFEFEFEF"/>
      </left>
      <right style="thin">
        <color rgb="FFEFEFEF"/>
      </right>
      <top/>
      <bottom/>
      <diagonal/>
    </border>
    <border diagonalUp="false" diagonalDown="false"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 diagonalUp="false" diagonalDown="false">
      <left style="thin">
        <color rgb="FFCCC99F"/>
      </left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/>
      <bottom style="thin">
        <color rgb="FF2E75B6"/>
      </bottom>
      <diagonal/>
    </border>
    <border diagonalUp="false" diagonalDown="false">
      <left/>
      <right style="thin">
        <color rgb="FFEFEFEF"/>
      </right>
      <top style="thin">
        <color rgb="FFEFEFEF"/>
      </top>
      <bottom style="thin">
        <color rgb="FFEFEFEF"/>
      </bottom>
      <diagonal/>
    </border>
    <border diagonalUp="false" diagonalDown="false">
      <left style="thin">
        <color rgb="FFEFEFEF"/>
      </left>
      <right/>
      <top/>
      <bottom style="thin">
        <color rgb="FFEFEFEF"/>
      </bottom>
      <diagonal/>
    </border>
    <border diagonalUp="false" diagonalDown="false">
      <left style="thin">
        <color rgb="FFEFEFEF"/>
      </left>
      <right/>
      <top style="thin">
        <color rgb="FFEFEFEF"/>
      </top>
      <bottom style="thin">
        <color rgb="FFEFEFE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8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dxfs count="43">
    <dxf>
      <font>
        <color rgb="FFC53929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09300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0B8043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C53929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09300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0B8043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C53929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C53929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09300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0B8043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C53929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09300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0B8043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C53929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09300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0B8043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C53929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09300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0B8043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C53929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09300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0B8043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C53929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09300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0B8043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C53929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09300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0B8043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C53929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09300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0B8043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C53929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09300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0B8043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C53929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09300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0B8043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C53929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09300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0B8043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C53929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09300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0B8043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8043"/>
      <rgbColor rgb="FFCCC99F"/>
      <rgbColor rgb="FF808080"/>
      <rgbColor rgb="FF687EEA"/>
      <rgbColor rgb="FF993366"/>
      <rgbColor rgb="FFEFEFEF"/>
      <rgbColor rgb="FFDEEBF7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70C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D9"/>
      <rgbColor rgb="FF3552E3"/>
      <rgbColor rgb="FF33CCCC"/>
      <rgbColor rgb="FF99CC00"/>
      <rgbColor rgb="FFFFCC00"/>
      <rgbColor rgb="FFF09300"/>
      <rgbColor rgb="FFFF5050"/>
      <rgbColor rgb="FF595959"/>
      <rgbColor rgb="FF969696"/>
      <rgbColor rgb="FF002060"/>
      <rgbColor rgb="FF2E75B6"/>
      <rgbColor rgb="FF003300"/>
      <rgbColor rgb="FF333300"/>
      <rgbColor rgb="FFC5392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#&apos;Como Utilizar&apos;!A1" TargetMode="External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hyperlink" Target="#&apos;Cadastro Institucional&apos;!A1" TargetMode="External"/><Relationship Id="rId5" Type="http://schemas.openxmlformats.org/officeDocument/2006/relationships/hyperlink" Target="#Etapas!A1" TargetMode="External"/><Relationship Id="rId6" Type="http://schemas.openxmlformats.org/officeDocument/2006/relationships/hyperlink" Target="#&apos;Itens de Contrato&apos;!A1" TargetMode="External"/><Relationship Id="rId7" Type="http://schemas.openxmlformats.org/officeDocument/2006/relationships/hyperlink" Target="#&apos;Medi&#231;&#227;o Consolidada (Itens de C&apos;!A1" TargetMode="External"/><Relationship Id="rId8" Type="http://schemas.openxmlformats.org/officeDocument/2006/relationships/hyperlink" Target="#&apos;Medi&#231;&#227;o Consolidada (Etapas)&apos;!A1" TargetMode="External"/><Relationship Id="rId9" Type="http://schemas.openxmlformats.org/officeDocument/2006/relationships/hyperlink" Target="#&apos;Medi&#231;&#227;o 01&apos;!A1" TargetMode="External"/><Relationship Id="rId10" Type="http://schemas.openxmlformats.org/officeDocument/2006/relationships/hyperlink" Target="#&apos;Medi&#231;&#227;o 02&apos;!A1" TargetMode="External"/><Relationship Id="rId11" Type="http://schemas.openxmlformats.org/officeDocument/2006/relationships/hyperlink" Target="#&apos;Medi&#231;&#227;o 03&apos;!A1" TargetMode="External"/><Relationship Id="rId12" Type="http://schemas.openxmlformats.org/officeDocument/2006/relationships/hyperlink" Target="#&apos;Medi&#231;&#227;o 04&apos;!A1" TargetMode="External"/><Relationship Id="rId13" Type="http://schemas.openxmlformats.org/officeDocument/2006/relationships/hyperlink" Target="#&apos;Medi&#231;&#227;o 05&apos;!A1" TargetMode="External"/><Relationship Id="rId14" Type="http://schemas.openxmlformats.org/officeDocument/2006/relationships/hyperlink" Target="#&apos;Medi&#231;&#227;o 06&apos;!A1" TargetMode="External"/><Relationship Id="rId15" Type="http://schemas.openxmlformats.org/officeDocument/2006/relationships/hyperlink" Target="#&apos;Medi&#231;&#227;o 07&apos;!A1" TargetMode="External"/><Relationship Id="rId16" Type="http://schemas.openxmlformats.org/officeDocument/2006/relationships/hyperlink" Target="#&apos;Medi&#231;&#227;o 08&apos;!A1" TargetMode="External"/><Relationship Id="rId17" Type="http://schemas.openxmlformats.org/officeDocument/2006/relationships/hyperlink" Target="#&apos;Medi&#231;&#227;o 09&apos;!A1" TargetMode="External"/><Relationship Id="rId18" Type="http://schemas.openxmlformats.org/officeDocument/2006/relationships/hyperlink" Target="#&apos;Medi&#231;&#227;o 10&apos;!A1" TargetMode="External"/><Relationship Id="rId19" Type="http://schemas.openxmlformats.org/officeDocument/2006/relationships/hyperlink" Target="#&apos;Medi&#231;&#227;o 11&apos;!A1" TargetMode="External"/><Relationship Id="rId20" Type="http://schemas.openxmlformats.org/officeDocument/2006/relationships/hyperlink" Target="#&apos;Medi&#231;&#227;o 12&apos;!A1" TargetMode="External"/><Relationship Id="rId21" Type="http://schemas.openxmlformats.org/officeDocument/2006/relationships/image" Target="../media/image3.png"/><Relationship Id="rId22" Type="http://schemas.openxmlformats.org/officeDocument/2006/relationships/image" Target="../media/image4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hyperlink" Target="#&apos;Painel Inicial&apos;!A1" TargetMode="External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8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hyperlink" Target="#&apos;Painel Inicial&apos;!A1" TargetMode="External"/><Relationship Id="rId3" Type="http://schemas.openxmlformats.org/officeDocument/2006/relationships/image" Target="../media/image10.png"/><Relationship Id="rId4" Type="http://schemas.openxmlformats.org/officeDocument/2006/relationships/image" Target="../media/image1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hyperlink" Target="#&apos;Painel Inicial&apos;!A1" TargetMode="External"/><Relationship Id="rId3" Type="http://schemas.openxmlformats.org/officeDocument/2006/relationships/image" Target="../media/image13.png"/><Relationship Id="rId4" Type="http://schemas.openxmlformats.org/officeDocument/2006/relationships/image" Target="../media/image14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hyperlink" Target="#&apos;Painel Inicial&apos;!A1" TargetMode="External"/><Relationship Id="rId3" Type="http://schemas.openxmlformats.org/officeDocument/2006/relationships/image" Target="../media/image16.png"/><Relationship Id="rId4" Type="http://schemas.openxmlformats.org/officeDocument/2006/relationships/image" Target="../media/image17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hyperlink" Target="#&apos;Painel Inicial&apos;!A1" TargetMode="External"/><Relationship Id="rId3" Type="http://schemas.openxmlformats.org/officeDocument/2006/relationships/image" Target="../media/image19.png"/><Relationship Id="rId4" Type="http://schemas.openxmlformats.org/officeDocument/2006/relationships/image" Target="../media/image20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hyperlink" Target="#&apos;Painel Inicial&apos;!A1" TargetMode="External"/><Relationship Id="rId3" Type="http://schemas.openxmlformats.org/officeDocument/2006/relationships/image" Target="../media/image22.png"/><Relationship Id="rId4" Type="http://schemas.openxmlformats.org/officeDocument/2006/relationships/image" Target="../media/image23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hyperlink" Target="#&apos;Painel Inicial&apos;!A1" TargetMode="External"/><Relationship Id="rId3" Type="http://schemas.openxmlformats.org/officeDocument/2006/relationships/image" Target="../media/image25.png"/><Relationship Id="rId4" Type="http://schemas.openxmlformats.org/officeDocument/2006/relationships/image" Target="../media/image26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hyperlink" Target="#&apos;Painel Inicial&apos;!A1" TargetMode="External"/><Relationship Id="rId3" Type="http://schemas.openxmlformats.org/officeDocument/2006/relationships/image" Target="../media/image28.png"/><Relationship Id="rId4" Type="http://schemas.openxmlformats.org/officeDocument/2006/relationships/image" Target="../media/image29.png"/><Relationship Id="rId5" Type="http://schemas.openxmlformats.org/officeDocument/2006/relationships/image" Target="../media/image30.png"/><Relationship Id="rId6" Type="http://schemas.openxmlformats.org/officeDocument/2006/relationships/hyperlink" Target="#&apos;Painel Inicial&apos;!A1" TargetMode="External"/><Relationship Id="rId7" Type="http://schemas.openxmlformats.org/officeDocument/2006/relationships/image" Target="../media/image31.png"/><Relationship Id="rId8" Type="http://schemas.openxmlformats.org/officeDocument/2006/relationships/image" Target="../media/image32.png"/><Relationship Id="rId9" Type="http://schemas.openxmlformats.org/officeDocument/2006/relationships/image" Target="../media/image33.png"/><Relationship Id="rId10" Type="http://schemas.openxmlformats.org/officeDocument/2006/relationships/hyperlink" Target="#&apos;Painel Inicial&apos;!A1" TargetMode="External"/><Relationship Id="rId11" Type="http://schemas.openxmlformats.org/officeDocument/2006/relationships/image" Target="../media/image34.png"/><Relationship Id="rId12" Type="http://schemas.openxmlformats.org/officeDocument/2006/relationships/image" Target="../media/image35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hyperlink" Target="#&apos;Painel Inicial&apos;!A1" TargetMode="External"/><Relationship Id="rId3" Type="http://schemas.openxmlformats.org/officeDocument/2006/relationships/image" Target="../media/image37.png"/><Relationship Id="rId4" Type="http://schemas.openxmlformats.org/officeDocument/2006/relationships/image" Target="../media/image38.png"/><Relationship Id="rId5" Type="http://schemas.openxmlformats.org/officeDocument/2006/relationships/image" Target="../media/image39.png"/><Relationship Id="rId6" Type="http://schemas.openxmlformats.org/officeDocument/2006/relationships/hyperlink" Target="#&apos;Painel Inicial&apos;!A1" TargetMode="External"/><Relationship Id="rId7" Type="http://schemas.openxmlformats.org/officeDocument/2006/relationships/image" Target="../media/image40.png"/><Relationship Id="rId8" Type="http://schemas.openxmlformats.org/officeDocument/2006/relationships/image" Target="../media/image41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hyperlink" Target="#&apos;Painel Inicial&apos;!A1" TargetMode="External"/><Relationship Id="rId3" Type="http://schemas.openxmlformats.org/officeDocument/2006/relationships/image" Target="../media/image43.png"/><Relationship Id="rId4" Type="http://schemas.openxmlformats.org/officeDocument/2006/relationships/image" Target="../media/image44.png"/><Relationship Id="rId5" Type="http://schemas.openxmlformats.org/officeDocument/2006/relationships/image" Target="../media/image45.png"/><Relationship Id="rId6" Type="http://schemas.openxmlformats.org/officeDocument/2006/relationships/hyperlink" Target="#&apos;Painel Inicial&apos;!A1" TargetMode="External"/><Relationship Id="rId7" Type="http://schemas.openxmlformats.org/officeDocument/2006/relationships/image" Target="../media/image46.png"/><Relationship Id="rId8" Type="http://schemas.openxmlformats.org/officeDocument/2006/relationships/image" Target="../media/image47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hyperlink" Target="#&apos;Painel Inicial&apos;!A1" TargetMode="External"/><Relationship Id="rId3" Type="http://schemas.openxmlformats.org/officeDocument/2006/relationships/image" Target="../media/image49.png"/><Relationship Id="rId4" Type="http://schemas.openxmlformats.org/officeDocument/2006/relationships/image" Target="../media/image50.png"/><Relationship Id="rId5" Type="http://schemas.openxmlformats.org/officeDocument/2006/relationships/image" Target="../media/image51.png"/><Relationship Id="rId6" Type="http://schemas.openxmlformats.org/officeDocument/2006/relationships/hyperlink" Target="#&apos;Painel Inicial&apos;!A1" TargetMode="External"/><Relationship Id="rId7" Type="http://schemas.openxmlformats.org/officeDocument/2006/relationships/image" Target="../media/image52.png"/><Relationship Id="rId8" Type="http://schemas.openxmlformats.org/officeDocument/2006/relationships/image" Target="../media/image53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hyperlink" Target="#&apos;Painel Inicial&apos;!A1" TargetMode="External"/><Relationship Id="rId3" Type="http://schemas.openxmlformats.org/officeDocument/2006/relationships/image" Target="../media/image55.png"/><Relationship Id="rId4" Type="http://schemas.openxmlformats.org/officeDocument/2006/relationships/image" Target="../media/image56.png"/><Relationship Id="rId5" Type="http://schemas.openxmlformats.org/officeDocument/2006/relationships/image" Target="../media/image57.png"/><Relationship Id="rId6" Type="http://schemas.openxmlformats.org/officeDocument/2006/relationships/hyperlink" Target="#&apos;Painel Inicial&apos;!A1" TargetMode="External"/><Relationship Id="rId7" Type="http://schemas.openxmlformats.org/officeDocument/2006/relationships/image" Target="../media/image58.png"/><Relationship Id="rId8" Type="http://schemas.openxmlformats.org/officeDocument/2006/relationships/image" Target="../media/image59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hyperlink" Target="#&apos;Painel Inicial&apos;!A1" TargetMode="External"/><Relationship Id="rId3" Type="http://schemas.openxmlformats.org/officeDocument/2006/relationships/image" Target="../media/image61.png"/><Relationship Id="rId4" Type="http://schemas.openxmlformats.org/officeDocument/2006/relationships/image" Target="../media/image62.png"/><Relationship Id="rId5" Type="http://schemas.openxmlformats.org/officeDocument/2006/relationships/image" Target="../media/image63.png"/><Relationship Id="rId6" Type="http://schemas.openxmlformats.org/officeDocument/2006/relationships/hyperlink" Target="#&apos;Painel Inicial&apos;!A1" TargetMode="External"/><Relationship Id="rId7" Type="http://schemas.openxmlformats.org/officeDocument/2006/relationships/image" Target="../media/image64.png"/><Relationship Id="rId8" Type="http://schemas.openxmlformats.org/officeDocument/2006/relationships/image" Target="../media/image65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hyperlink" Target="#&apos;Painel Inicial&apos;!A1" TargetMode="External"/><Relationship Id="rId3" Type="http://schemas.openxmlformats.org/officeDocument/2006/relationships/image" Target="../media/image67.png"/><Relationship Id="rId4" Type="http://schemas.openxmlformats.org/officeDocument/2006/relationships/image" Target="../media/image68.png"/><Relationship Id="rId5" Type="http://schemas.openxmlformats.org/officeDocument/2006/relationships/image" Target="../media/image69.png"/><Relationship Id="rId6" Type="http://schemas.openxmlformats.org/officeDocument/2006/relationships/hyperlink" Target="#&apos;Painel Inicial&apos;!A1" TargetMode="External"/><Relationship Id="rId7" Type="http://schemas.openxmlformats.org/officeDocument/2006/relationships/image" Target="../media/image70.png"/><Relationship Id="rId8" Type="http://schemas.openxmlformats.org/officeDocument/2006/relationships/image" Target="../media/image71.pn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hyperlink" Target="#&apos;Painel Inicial&apos;!A1" TargetMode="External"/><Relationship Id="rId3" Type="http://schemas.openxmlformats.org/officeDocument/2006/relationships/image" Target="../media/image73.png"/><Relationship Id="rId4" Type="http://schemas.openxmlformats.org/officeDocument/2006/relationships/image" Target="../media/image74.png"/><Relationship Id="rId5" Type="http://schemas.openxmlformats.org/officeDocument/2006/relationships/image" Target="../media/image75.png"/><Relationship Id="rId6" Type="http://schemas.openxmlformats.org/officeDocument/2006/relationships/hyperlink" Target="#&apos;Painel Inicial&apos;!A1" TargetMode="External"/><Relationship Id="rId7" Type="http://schemas.openxmlformats.org/officeDocument/2006/relationships/image" Target="../media/image76.png"/><Relationship Id="rId8" Type="http://schemas.openxmlformats.org/officeDocument/2006/relationships/image" Target="../media/image77.png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hyperlink" Target="#&apos;Painel Inicial&apos;!A1" TargetMode="External"/><Relationship Id="rId3" Type="http://schemas.openxmlformats.org/officeDocument/2006/relationships/image" Target="../media/image79.png"/><Relationship Id="rId4" Type="http://schemas.openxmlformats.org/officeDocument/2006/relationships/image" Target="../media/image80.png"/><Relationship Id="rId5" Type="http://schemas.openxmlformats.org/officeDocument/2006/relationships/image" Target="../media/image81.png"/><Relationship Id="rId6" Type="http://schemas.openxmlformats.org/officeDocument/2006/relationships/hyperlink" Target="#&apos;Painel Inicial&apos;!A1" TargetMode="External"/><Relationship Id="rId7" Type="http://schemas.openxmlformats.org/officeDocument/2006/relationships/image" Target="../media/image82.png"/><Relationship Id="rId8" Type="http://schemas.openxmlformats.org/officeDocument/2006/relationships/image" Target="../media/image83.png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image" Target="../media/image84.png"/><Relationship Id="rId2" Type="http://schemas.openxmlformats.org/officeDocument/2006/relationships/hyperlink" Target="#&apos;Painel Inicial&apos;!A1" TargetMode="External"/><Relationship Id="rId3" Type="http://schemas.openxmlformats.org/officeDocument/2006/relationships/image" Target="../media/image85.png"/><Relationship Id="rId4" Type="http://schemas.openxmlformats.org/officeDocument/2006/relationships/image" Target="../media/image86.png"/><Relationship Id="rId5" Type="http://schemas.openxmlformats.org/officeDocument/2006/relationships/image" Target="../media/image87.png"/><Relationship Id="rId6" Type="http://schemas.openxmlformats.org/officeDocument/2006/relationships/hyperlink" Target="#&apos;Painel Inicial&apos;!A1" TargetMode="External"/><Relationship Id="rId7" Type="http://schemas.openxmlformats.org/officeDocument/2006/relationships/image" Target="../media/image88.png"/><Relationship Id="rId8" Type="http://schemas.openxmlformats.org/officeDocument/2006/relationships/image" Target="../media/image89.png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image" Target="../media/image90.png"/><Relationship Id="rId2" Type="http://schemas.openxmlformats.org/officeDocument/2006/relationships/hyperlink" Target="#&apos;Painel Inicial&apos;!A1" TargetMode="External"/><Relationship Id="rId3" Type="http://schemas.openxmlformats.org/officeDocument/2006/relationships/image" Target="../media/image91.png"/><Relationship Id="rId4" Type="http://schemas.openxmlformats.org/officeDocument/2006/relationships/image" Target="../media/image92.png"/><Relationship Id="rId5" Type="http://schemas.openxmlformats.org/officeDocument/2006/relationships/image" Target="../media/image93.png"/><Relationship Id="rId6" Type="http://schemas.openxmlformats.org/officeDocument/2006/relationships/hyperlink" Target="#&apos;Painel Inicial&apos;!A1" TargetMode="External"/><Relationship Id="rId7" Type="http://schemas.openxmlformats.org/officeDocument/2006/relationships/image" Target="../media/image94.png"/><Relationship Id="rId8" Type="http://schemas.openxmlformats.org/officeDocument/2006/relationships/image" Target="../media/image9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9360</xdr:colOff>
      <xdr:row>2</xdr:row>
      <xdr:rowOff>1247760</xdr:rowOff>
    </xdr:from>
    <xdr:to>
      <xdr:col>2</xdr:col>
      <xdr:colOff>755280</xdr:colOff>
      <xdr:row>2</xdr:row>
      <xdr:rowOff>1697760</xdr:rowOff>
    </xdr:to>
    <xdr:sp>
      <xdr:nvSpPr>
        <xdr:cNvPr id="0" name="CustomShape 1">
          <a:hlinkClick r:id="rId1"/>
        </xdr:cNvPr>
        <xdr:cNvSpPr/>
      </xdr:nvSpPr>
      <xdr:spPr>
        <a:xfrm>
          <a:off x="482760" y="2028600"/>
          <a:ext cx="1501560" cy="45000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Como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Utilizar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0</xdr:colOff>
      <xdr:row>0</xdr:row>
      <xdr:rowOff>129960</xdr:rowOff>
    </xdr:from>
    <xdr:to>
      <xdr:col>4</xdr:col>
      <xdr:colOff>294840</xdr:colOff>
      <xdr:row>0</xdr:row>
      <xdr:rowOff>478800</xdr:rowOff>
    </xdr:to>
    <xdr:pic>
      <xdr:nvPicPr>
        <xdr:cNvPr id="1" name="image01.png" descr=""/>
        <xdr:cNvPicPr/>
      </xdr:nvPicPr>
      <xdr:blipFill>
        <a:blip r:embed="rId2"/>
        <a:stretch/>
      </xdr:blipFill>
      <xdr:spPr>
        <a:xfrm>
          <a:off x="473400" y="129960"/>
          <a:ext cx="2561760" cy="34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14</xdr:col>
      <xdr:colOff>228600</xdr:colOff>
      <xdr:row>2</xdr:row>
      <xdr:rowOff>190440</xdr:rowOff>
    </xdr:from>
    <xdr:to>
      <xdr:col>16</xdr:col>
      <xdr:colOff>704520</xdr:colOff>
      <xdr:row>2</xdr:row>
      <xdr:rowOff>409320</xdr:rowOff>
    </xdr:to>
    <xdr:pic>
      <xdr:nvPicPr>
        <xdr:cNvPr id="2" name="Imagem 1" descr=""/>
        <xdr:cNvPicPr/>
      </xdr:nvPicPr>
      <xdr:blipFill>
        <a:blip r:embed="rId3"/>
        <a:srcRect l="267" t="6611" r="85846" b="90638"/>
        <a:stretch/>
      </xdr:blipFill>
      <xdr:spPr>
        <a:xfrm>
          <a:off x="10657080" y="971280"/>
          <a:ext cx="1987200" cy="2188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66600</xdr:colOff>
      <xdr:row>2</xdr:row>
      <xdr:rowOff>1247760</xdr:rowOff>
    </xdr:from>
    <xdr:to>
      <xdr:col>5</xdr:col>
      <xdr:colOff>56880</xdr:colOff>
      <xdr:row>2</xdr:row>
      <xdr:rowOff>1697760</xdr:rowOff>
    </xdr:to>
    <xdr:sp>
      <xdr:nvSpPr>
        <xdr:cNvPr id="3" name="CustomShape 1">
          <a:hlinkClick r:id="rId4"/>
        </xdr:cNvPr>
        <xdr:cNvSpPr/>
      </xdr:nvSpPr>
      <xdr:spPr>
        <a:xfrm>
          <a:off x="2051280" y="2028600"/>
          <a:ext cx="1501560" cy="45000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Preencher Cadastro Institucional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5</xdr:col>
      <xdr:colOff>123840</xdr:colOff>
      <xdr:row>2</xdr:row>
      <xdr:rowOff>1247760</xdr:rowOff>
    </xdr:from>
    <xdr:to>
      <xdr:col>7</xdr:col>
      <xdr:colOff>114120</xdr:colOff>
      <xdr:row>2</xdr:row>
      <xdr:rowOff>1697760</xdr:rowOff>
    </xdr:to>
    <xdr:sp>
      <xdr:nvSpPr>
        <xdr:cNvPr id="4" name="CustomShape 1">
          <a:hlinkClick r:id="rId5"/>
        </xdr:cNvPr>
        <xdr:cNvSpPr/>
      </xdr:nvSpPr>
      <xdr:spPr>
        <a:xfrm>
          <a:off x="3619800" y="2028600"/>
          <a:ext cx="1501920" cy="45000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Inserir Etapas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da Obra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7</xdr:col>
      <xdr:colOff>181080</xdr:colOff>
      <xdr:row>2</xdr:row>
      <xdr:rowOff>1247760</xdr:rowOff>
    </xdr:from>
    <xdr:to>
      <xdr:col>9</xdr:col>
      <xdr:colOff>171360</xdr:colOff>
      <xdr:row>2</xdr:row>
      <xdr:rowOff>1697760</xdr:rowOff>
    </xdr:to>
    <xdr:sp>
      <xdr:nvSpPr>
        <xdr:cNvPr id="5" name="CustomShape 1">
          <a:hlinkClick r:id="rId6"/>
        </xdr:cNvPr>
        <xdr:cNvSpPr/>
      </xdr:nvSpPr>
      <xdr:spPr>
        <a:xfrm>
          <a:off x="5188680" y="2028600"/>
          <a:ext cx="1501560" cy="45000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Inserir Itens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de Contrato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237960</xdr:colOff>
      <xdr:row>2</xdr:row>
      <xdr:rowOff>1247760</xdr:rowOff>
    </xdr:from>
    <xdr:to>
      <xdr:col>11</xdr:col>
      <xdr:colOff>228240</xdr:colOff>
      <xdr:row>2</xdr:row>
      <xdr:rowOff>1697760</xdr:rowOff>
    </xdr:to>
    <xdr:sp>
      <xdr:nvSpPr>
        <xdr:cNvPr id="6" name="CustomShape 1">
          <a:hlinkClick r:id="rId7"/>
        </xdr:cNvPr>
        <xdr:cNvSpPr/>
      </xdr:nvSpPr>
      <xdr:spPr>
        <a:xfrm>
          <a:off x="6756840" y="2028600"/>
          <a:ext cx="1501560" cy="45000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Medição Consolidada (Itens de Contrato)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11</xdr:col>
      <xdr:colOff>295200</xdr:colOff>
      <xdr:row>2</xdr:row>
      <xdr:rowOff>1247760</xdr:rowOff>
    </xdr:from>
    <xdr:to>
      <xdr:col>13</xdr:col>
      <xdr:colOff>475920</xdr:colOff>
      <xdr:row>2</xdr:row>
      <xdr:rowOff>1697760</xdr:rowOff>
    </xdr:to>
    <xdr:sp>
      <xdr:nvSpPr>
        <xdr:cNvPr id="7" name="CustomShape 1">
          <a:hlinkClick r:id="rId8"/>
        </xdr:cNvPr>
        <xdr:cNvSpPr/>
      </xdr:nvSpPr>
      <xdr:spPr>
        <a:xfrm>
          <a:off x="8325360" y="2028600"/>
          <a:ext cx="1490760" cy="45000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Medição Consolidada (Etapas)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9360</xdr:colOff>
      <xdr:row>3</xdr:row>
      <xdr:rowOff>133200</xdr:rowOff>
    </xdr:from>
    <xdr:to>
      <xdr:col>2</xdr:col>
      <xdr:colOff>755280</xdr:colOff>
      <xdr:row>3</xdr:row>
      <xdr:rowOff>389880</xdr:rowOff>
    </xdr:to>
    <xdr:sp>
      <xdr:nvSpPr>
        <xdr:cNvPr id="8" name="CustomShape 1">
          <a:hlinkClick r:id="rId9"/>
        </xdr:cNvPr>
        <xdr:cNvSpPr/>
      </xdr:nvSpPr>
      <xdr:spPr>
        <a:xfrm>
          <a:off x="482760" y="2628720"/>
          <a:ext cx="1501560" cy="25668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10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Medição 01</a:t>
          </a: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66600</xdr:colOff>
      <xdr:row>3</xdr:row>
      <xdr:rowOff>133200</xdr:rowOff>
    </xdr:from>
    <xdr:to>
      <xdr:col>5</xdr:col>
      <xdr:colOff>56880</xdr:colOff>
      <xdr:row>3</xdr:row>
      <xdr:rowOff>389880</xdr:rowOff>
    </xdr:to>
    <xdr:sp>
      <xdr:nvSpPr>
        <xdr:cNvPr id="9" name="CustomShape 1">
          <a:hlinkClick r:id="rId10"/>
        </xdr:cNvPr>
        <xdr:cNvSpPr/>
      </xdr:nvSpPr>
      <xdr:spPr>
        <a:xfrm>
          <a:off x="2051280" y="2628720"/>
          <a:ext cx="1501560" cy="25668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10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Medição 02</a:t>
          </a: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5</xdr:col>
      <xdr:colOff>123840</xdr:colOff>
      <xdr:row>3</xdr:row>
      <xdr:rowOff>133200</xdr:rowOff>
    </xdr:from>
    <xdr:to>
      <xdr:col>7</xdr:col>
      <xdr:colOff>114120</xdr:colOff>
      <xdr:row>3</xdr:row>
      <xdr:rowOff>389880</xdr:rowOff>
    </xdr:to>
    <xdr:sp>
      <xdr:nvSpPr>
        <xdr:cNvPr id="10" name="CustomShape 1">
          <a:hlinkClick r:id="rId11"/>
        </xdr:cNvPr>
        <xdr:cNvSpPr/>
      </xdr:nvSpPr>
      <xdr:spPr>
        <a:xfrm>
          <a:off x="3619800" y="2628720"/>
          <a:ext cx="1501920" cy="25668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10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Medição 03</a:t>
          </a: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7</xdr:col>
      <xdr:colOff>181080</xdr:colOff>
      <xdr:row>3</xdr:row>
      <xdr:rowOff>133200</xdr:rowOff>
    </xdr:from>
    <xdr:to>
      <xdr:col>9</xdr:col>
      <xdr:colOff>171360</xdr:colOff>
      <xdr:row>3</xdr:row>
      <xdr:rowOff>389880</xdr:rowOff>
    </xdr:to>
    <xdr:sp>
      <xdr:nvSpPr>
        <xdr:cNvPr id="11" name="CustomShape 1">
          <a:hlinkClick r:id="rId12"/>
        </xdr:cNvPr>
        <xdr:cNvSpPr/>
      </xdr:nvSpPr>
      <xdr:spPr>
        <a:xfrm>
          <a:off x="5188680" y="2628720"/>
          <a:ext cx="1501560" cy="25668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10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Medição 04</a:t>
          </a: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237960</xdr:colOff>
      <xdr:row>3</xdr:row>
      <xdr:rowOff>133200</xdr:rowOff>
    </xdr:from>
    <xdr:to>
      <xdr:col>11</xdr:col>
      <xdr:colOff>228240</xdr:colOff>
      <xdr:row>3</xdr:row>
      <xdr:rowOff>389880</xdr:rowOff>
    </xdr:to>
    <xdr:sp>
      <xdr:nvSpPr>
        <xdr:cNvPr id="12" name="CustomShape 1">
          <a:hlinkClick r:id="rId13"/>
        </xdr:cNvPr>
        <xdr:cNvSpPr/>
      </xdr:nvSpPr>
      <xdr:spPr>
        <a:xfrm>
          <a:off x="6756840" y="2628720"/>
          <a:ext cx="1501560" cy="25668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10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Medição 05</a:t>
          </a: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11</xdr:col>
      <xdr:colOff>295200</xdr:colOff>
      <xdr:row>3</xdr:row>
      <xdr:rowOff>133200</xdr:rowOff>
    </xdr:from>
    <xdr:to>
      <xdr:col>13</xdr:col>
      <xdr:colOff>475920</xdr:colOff>
      <xdr:row>3</xdr:row>
      <xdr:rowOff>389880</xdr:rowOff>
    </xdr:to>
    <xdr:sp>
      <xdr:nvSpPr>
        <xdr:cNvPr id="13" name="CustomShape 1">
          <a:hlinkClick r:id="rId14"/>
        </xdr:cNvPr>
        <xdr:cNvSpPr/>
      </xdr:nvSpPr>
      <xdr:spPr>
        <a:xfrm>
          <a:off x="8325360" y="2628720"/>
          <a:ext cx="1490760" cy="25668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10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Medição 06</a:t>
          </a: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9360</xdr:colOff>
      <xdr:row>3</xdr:row>
      <xdr:rowOff>466560</xdr:rowOff>
    </xdr:from>
    <xdr:to>
      <xdr:col>2</xdr:col>
      <xdr:colOff>755280</xdr:colOff>
      <xdr:row>4</xdr:row>
      <xdr:rowOff>104400</xdr:rowOff>
    </xdr:to>
    <xdr:sp>
      <xdr:nvSpPr>
        <xdr:cNvPr id="14" name="CustomShape 1">
          <a:hlinkClick r:id="rId15"/>
        </xdr:cNvPr>
        <xdr:cNvSpPr/>
      </xdr:nvSpPr>
      <xdr:spPr>
        <a:xfrm>
          <a:off x="482760" y="2962080"/>
          <a:ext cx="1501560" cy="25668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10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Medição 07</a:t>
          </a: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66600</xdr:colOff>
      <xdr:row>3</xdr:row>
      <xdr:rowOff>466560</xdr:rowOff>
    </xdr:from>
    <xdr:to>
      <xdr:col>5</xdr:col>
      <xdr:colOff>56880</xdr:colOff>
      <xdr:row>4</xdr:row>
      <xdr:rowOff>104400</xdr:rowOff>
    </xdr:to>
    <xdr:sp>
      <xdr:nvSpPr>
        <xdr:cNvPr id="15" name="CustomShape 1">
          <a:hlinkClick r:id="rId16"/>
        </xdr:cNvPr>
        <xdr:cNvSpPr/>
      </xdr:nvSpPr>
      <xdr:spPr>
        <a:xfrm>
          <a:off x="2051280" y="2962080"/>
          <a:ext cx="1501560" cy="25668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10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Medição 08</a:t>
          </a: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5</xdr:col>
      <xdr:colOff>123840</xdr:colOff>
      <xdr:row>3</xdr:row>
      <xdr:rowOff>466560</xdr:rowOff>
    </xdr:from>
    <xdr:to>
      <xdr:col>7</xdr:col>
      <xdr:colOff>114120</xdr:colOff>
      <xdr:row>4</xdr:row>
      <xdr:rowOff>104400</xdr:rowOff>
    </xdr:to>
    <xdr:sp>
      <xdr:nvSpPr>
        <xdr:cNvPr id="16" name="CustomShape 1">
          <a:hlinkClick r:id="rId17"/>
        </xdr:cNvPr>
        <xdr:cNvSpPr/>
      </xdr:nvSpPr>
      <xdr:spPr>
        <a:xfrm>
          <a:off x="3619800" y="2962080"/>
          <a:ext cx="1501920" cy="25668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10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Medição 09</a:t>
          </a: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7</xdr:col>
      <xdr:colOff>181080</xdr:colOff>
      <xdr:row>3</xdr:row>
      <xdr:rowOff>466560</xdr:rowOff>
    </xdr:from>
    <xdr:to>
      <xdr:col>9</xdr:col>
      <xdr:colOff>171360</xdr:colOff>
      <xdr:row>4</xdr:row>
      <xdr:rowOff>104400</xdr:rowOff>
    </xdr:to>
    <xdr:sp>
      <xdr:nvSpPr>
        <xdr:cNvPr id="17" name="CustomShape 1">
          <a:hlinkClick r:id="rId18"/>
        </xdr:cNvPr>
        <xdr:cNvSpPr/>
      </xdr:nvSpPr>
      <xdr:spPr>
        <a:xfrm>
          <a:off x="5188680" y="2962080"/>
          <a:ext cx="1501560" cy="25668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10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Medição 10</a:t>
          </a: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237960</xdr:colOff>
      <xdr:row>3</xdr:row>
      <xdr:rowOff>466560</xdr:rowOff>
    </xdr:from>
    <xdr:to>
      <xdr:col>11</xdr:col>
      <xdr:colOff>228240</xdr:colOff>
      <xdr:row>4</xdr:row>
      <xdr:rowOff>104400</xdr:rowOff>
    </xdr:to>
    <xdr:sp>
      <xdr:nvSpPr>
        <xdr:cNvPr id="18" name="CustomShape 1">
          <a:hlinkClick r:id="rId19"/>
        </xdr:cNvPr>
        <xdr:cNvSpPr/>
      </xdr:nvSpPr>
      <xdr:spPr>
        <a:xfrm>
          <a:off x="6756840" y="2962080"/>
          <a:ext cx="1501560" cy="25668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10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Medição 11</a:t>
          </a: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11</xdr:col>
      <xdr:colOff>295200</xdr:colOff>
      <xdr:row>3</xdr:row>
      <xdr:rowOff>466560</xdr:rowOff>
    </xdr:from>
    <xdr:to>
      <xdr:col>13</xdr:col>
      <xdr:colOff>475920</xdr:colOff>
      <xdr:row>4</xdr:row>
      <xdr:rowOff>104400</xdr:rowOff>
    </xdr:to>
    <xdr:sp>
      <xdr:nvSpPr>
        <xdr:cNvPr id="19" name="CustomShape 1">
          <a:hlinkClick r:id="rId20"/>
        </xdr:cNvPr>
        <xdr:cNvSpPr/>
      </xdr:nvSpPr>
      <xdr:spPr>
        <a:xfrm>
          <a:off x="8325360" y="2962080"/>
          <a:ext cx="1490760" cy="25668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10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Medição 12</a:t>
          </a: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28440</xdr:colOff>
      <xdr:row>8</xdr:row>
      <xdr:rowOff>70200</xdr:rowOff>
    </xdr:from>
    <xdr:to>
      <xdr:col>8</xdr:col>
      <xdr:colOff>151920</xdr:colOff>
      <xdr:row>11</xdr:row>
      <xdr:rowOff>75960</xdr:rowOff>
    </xdr:to>
    <xdr:pic>
      <xdr:nvPicPr>
        <xdr:cNvPr id="20" name="Imagem 1" descr=""/>
        <xdr:cNvPicPr/>
      </xdr:nvPicPr>
      <xdr:blipFill>
        <a:blip r:embed="rId21"/>
        <a:stretch/>
      </xdr:blipFill>
      <xdr:spPr>
        <a:xfrm>
          <a:off x="501840" y="4013280"/>
          <a:ext cx="5413320" cy="548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9</xdr:col>
      <xdr:colOff>561960</xdr:colOff>
      <xdr:row>0</xdr:row>
      <xdr:rowOff>0</xdr:rowOff>
    </xdr:from>
    <xdr:to>
      <xdr:col>13</xdr:col>
      <xdr:colOff>495000</xdr:colOff>
      <xdr:row>0</xdr:row>
      <xdr:rowOff>599760</xdr:rowOff>
    </xdr:to>
    <xdr:pic>
      <xdr:nvPicPr>
        <xdr:cNvPr id="21" name="Imagem 2" descr=""/>
        <xdr:cNvPicPr/>
      </xdr:nvPicPr>
      <xdr:blipFill>
        <a:blip r:embed="rId22"/>
        <a:stretch/>
      </xdr:blipFill>
      <xdr:spPr>
        <a:xfrm>
          <a:off x="7080840" y="0"/>
          <a:ext cx="2754360" cy="5997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752400</xdr:colOff>
      <xdr:row>0</xdr:row>
      <xdr:rowOff>120600</xdr:rowOff>
    </xdr:from>
    <xdr:to>
      <xdr:col>3</xdr:col>
      <xdr:colOff>94680</xdr:colOff>
      <xdr:row>0</xdr:row>
      <xdr:rowOff>488520</xdr:rowOff>
    </xdr:to>
    <xdr:pic>
      <xdr:nvPicPr>
        <xdr:cNvPr id="22" name="image01.png" descr=""/>
        <xdr:cNvPicPr/>
      </xdr:nvPicPr>
      <xdr:blipFill>
        <a:blip r:embed="rId1"/>
        <a:stretch/>
      </xdr:blipFill>
      <xdr:spPr>
        <a:xfrm>
          <a:off x="752400" y="120600"/>
          <a:ext cx="2759040" cy="367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933480</xdr:colOff>
      <xdr:row>0</xdr:row>
      <xdr:rowOff>162000</xdr:rowOff>
    </xdr:from>
    <xdr:to>
      <xdr:col>6</xdr:col>
      <xdr:colOff>428400</xdr:colOff>
      <xdr:row>0</xdr:row>
      <xdr:rowOff>456840</xdr:rowOff>
    </xdr:to>
    <xdr:sp>
      <xdr:nvSpPr>
        <xdr:cNvPr id="23" name="CustomShape 1">
          <a:hlinkClick r:id="rId2"/>
        </xdr:cNvPr>
        <xdr:cNvSpPr/>
      </xdr:nvSpPr>
      <xdr:spPr>
        <a:xfrm>
          <a:off x="7444440" y="162000"/>
          <a:ext cx="153072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628560</xdr:colOff>
      <xdr:row>0</xdr:row>
      <xdr:rowOff>0</xdr:rowOff>
    </xdr:from>
    <xdr:to>
      <xdr:col>4</xdr:col>
      <xdr:colOff>304200</xdr:colOff>
      <xdr:row>0</xdr:row>
      <xdr:rowOff>599760</xdr:rowOff>
    </xdr:to>
    <xdr:pic>
      <xdr:nvPicPr>
        <xdr:cNvPr id="24" name="Imagem 4" descr=""/>
        <xdr:cNvPicPr/>
      </xdr:nvPicPr>
      <xdr:blipFill>
        <a:blip r:embed="rId3"/>
        <a:stretch/>
      </xdr:blipFill>
      <xdr:spPr>
        <a:xfrm>
          <a:off x="4045320" y="0"/>
          <a:ext cx="276984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200160</xdr:colOff>
      <xdr:row>0</xdr:row>
      <xdr:rowOff>0</xdr:rowOff>
    </xdr:from>
    <xdr:to>
      <xdr:col>9</xdr:col>
      <xdr:colOff>637920</xdr:colOff>
      <xdr:row>0</xdr:row>
      <xdr:rowOff>590040</xdr:rowOff>
    </xdr:to>
    <xdr:pic>
      <xdr:nvPicPr>
        <xdr:cNvPr id="25" name="Imagem 5" descr=""/>
        <xdr:cNvPicPr/>
      </xdr:nvPicPr>
      <xdr:blipFill>
        <a:blip r:embed="rId4"/>
        <a:stretch/>
      </xdr:blipFill>
      <xdr:spPr>
        <a:xfrm>
          <a:off x="976500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581040</xdr:colOff>
      <xdr:row>7</xdr:row>
      <xdr:rowOff>76320</xdr:rowOff>
    </xdr:from>
    <xdr:to>
      <xdr:col>6</xdr:col>
      <xdr:colOff>123480</xdr:colOff>
      <xdr:row>45</xdr:row>
      <xdr:rowOff>114120</xdr:rowOff>
    </xdr:to>
    <xdr:pic>
      <xdr:nvPicPr>
        <xdr:cNvPr id="26" name="Imagem 2" descr=""/>
        <xdr:cNvPicPr/>
      </xdr:nvPicPr>
      <xdr:blipFill>
        <a:blip r:embed="rId5"/>
        <a:stretch/>
      </xdr:blipFill>
      <xdr:spPr>
        <a:xfrm>
          <a:off x="581040" y="1666800"/>
          <a:ext cx="8089200" cy="619092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752400</xdr:colOff>
      <xdr:row>0</xdr:row>
      <xdr:rowOff>120600</xdr:rowOff>
    </xdr:from>
    <xdr:to>
      <xdr:col>3</xdr:col>
      <xdr:colOff>94680</xdr:colOff>
      <xdr:row>0</xdr:row>
      <xdr:rowOff>488520</xdr:rowOff>
    </xdr:to>
    <xdr:pic>
      <xdr:nvPicPr>
        <xdr:cNvPr id="27" name="image01.png" descr=""/>
        <xdr:cNvPicPr/>
      </xdr:nvPicPr>
      <xdr:blipFill>
        <a:blip r:embed="rId1"/>
        <a:stretch/>
      </xdr:blipFill>
      <xdr:spPr>
        <a:xfrm>
          <a:off x="752400" y="120600"/>
          <a:ext cx="2759040" cy="367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5</xdr:col>
      <xdr:colOff>57240</xdr:colOff>
      <xdr:row>0</xdr:row>
      <xdr:rowOff>162000</xdr:rowOff>
    </xdr:from>
    <xdr:to>
      <xdr:col>6</xdr:col>
      <xdr:colOff>514080</xdr:colOff>
      <xdr:row>0</xdr:row>
      <xdr:rowOff>456840</xdr:rowOff>
    </xdr:to>
    <xdr:sp>
      <xdr:nvSpPr>
        <xdr:cNvPr id="28" name="CustomShape 1">
          <a:hlinkClick r:id="rId2"/>
        </xdr:cNvPr>
        <xdr:cNvSpPr/>
      </xdr:nvSpPr>
      <xdr:spPr>
        <a:xfrm>
          <a:off x="7586280" y="162000"/>
          <a:ext cx="147456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752400</xdr:colOff>
      <xdr:row>0</xdr:row>
      <xdr:rowOff>0</xdr:rowOff>
    </xdr:from>
    <xdr:to>
      <xdr:col>4</xdr:col>
      <xdr:colOff>428040</xdr:colOff>
      <xdr:row>0</xdr:row>
      <xdr:rowOff>599760</xdr:rowOff>
    </xdr:to>
    <xdr:pic>
      <xdr:nvPicPr>
        <xdr:cNvPr id="29" name="Imagem 3" descr=""/>
        <xdr:cNvPicPr/>
      </xdr:nvPicPr>
      <xdr:blipFill>
        <a:blip r:embed="rId3"/>
        <a:stretch/>
      </xdr:blipFill>
      <xdr:spPr>
        <a:xfrm>
          <a:off x="4169160" y="0"/>
          <a:ext cx="276984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324000</xdr:colOff>
      <xdr:row>0</xdr:row>
      <xdr:rowOff>0</xdr:rowOff>
    </xdr:from>
    <xdr:to>
      <xdr:col>9</xdr:col>
      <xdr:colOff>761760</xdr:colOff>
      <xdr:row>0</xdr:row>
      <xdr:rowOff>590040</xdr:rowOff>
    </xdr:to>
    <xdr:pic>
      <xdr:nvPicPr>
        <xdr:cNvPr id="30" name="Imagem 4" descr=""/>
        <xdr:cNvPicPr/>
      </xdr:nvPicPr>
      <xdr:blipFill>
        <a:blip r:embed="rId4"/>
        <a:stretch/>
      </xdr:blipFill>
      <xdr:spPr>
        <a:xfrm>
          <a:off x="988884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756360</xdr:colOff>
      <xdr:row>0</xdr:row>
      <xdr:rowOff>104760</xdr:rowOff>
    </xdr:from>
    <xdr:to>
      <xdr:col>3</xdr:col>
      <xdr:colOff>90720</xdr:colOff>
      <xdr:row>0</xdr:row>
      <xdr:rowOff>504360</xdr:rowOff>
    </xdr:to>
    <xdr:pic>
      <xdr:nvPicPr>
        <xdr:cNvPr id="31" name="image01.png" descr=""/>
        <xdr:cNvPicPr/>
      </xdr:nvPicPr>
      <xdr:blipFill>
        <a:blip r:embed="rId1"/>
        <a:stretch/>
      </xdr:blipFill>
      <xdr:spPr>
        <a:xfrm>
          <a:off x="756360" y="104760"/>
          <a:ext cx="2993040" cy="399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237960</xdr:colOff>
      <xdr:row>0</xdr:row>
      <xdr:rowOff>162000</xdr:rowOff>
    </xdr:from>
    <xdr:to>
      <xdr:col>8</xdr:col>
      <xdr:colOff>694800</xdr:colOff>
      <xdr:row>0</xdr:row>
      <xdr:rowOff>456840</xdr:rowOff>
    </xdr:to>
    <xdr:sp>
      <xdr:nvSpPr>
        <xdr:cNvPr id="32" name="CustomShape 1">
          <a:hlinkClick r:id="rId2"/>
        </xdr:cNvPr>
        <xdr:cNvSpPr/>
      </xdr:nvSpPr>
      <xdr:spPr>
        <a:xfrm>
          <a:off x="7968240" y="162000"/>
          <a:ext cx="147492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304920</xdr:colOff>
      <xdr:row>0</xdr:row>
      <xdr:rowOff>0</xdr:rowOff>
    </xdr:from>
    <xdr:to>
      <xdr:col>12</xdr:col>
      <xdr:colOff>18720</xdr:colOff>
      <xdr:row>0</xdr:row>
      <xdr:rowOff>599760</xdr:rowOff>
    </xdr:to>
    <xdr:pic>
      <xdr:nvPicPr>
        <xdr:cNvPr id="33" name="Imagem 3" descr=""/>
        <xdr:cNvPicPr/>
      </xdr:nvPicPr>
      <xdr:blipFill>
        <a:blip r:embed="rId3"/>
        <a:stretch/>
      </xdr:blipFill>
      <xdr:spPr>
        <a:xfrm>
          <a:off x="10071000" y="0"/>
          <a:ext cx="276768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485640</xdr:colOff>
      <xdr:row>0</xdr:row>
      <xdr:rowOff>0</xdr:rowOff>
    </xdr:from>
    <xdr:to>
      <xdr:col>14</xdr:col>
      <xdr:colOff>923400</xdr:colOff>
      <xdr:row>0</xdr:row>
      <xdr:rowOff>590040</xdr:rowOff>
    </xdr:to>
    <xdr:pic>
      <xdr:nvPicPr>
        <xdr:cNvPr id="34" name="Imagem 4" descr=""/>
        <xdr:cNvPicPr/>
      </xdr:nvPicPr>
      <xdr:blipFill>
        <a:blip r:embed="rId4"/>
        <a:stretch/>
      </xdr:blipFill>
      <xdr:spPr>
        <a:xfrm>
          <a:off x="1330560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756360</xdr:colOff>
      <xdr:row>0</xdr:row>
      <xdr:rowOff>104760</xdr:rowOff>
    </xdr:from>
    <xdr:to>
      <xdr:col>3</xdr:col>
      <xdr:colOff>90720</xdr:colOff>
      <xdr:row>0</xdr:row>
      <xdr:rowOff>504360</xdr:rowOff>
    </xdr:to>
    <xdr:pic>
      <xdr:nvPicPr>
        <xdr:cNvPr id="35" name="image01.png" descr=""/>
        <xdr:cNvPicPr/>
      </xdr:nvPicPr>
      <xdr:blipFill>
        <a:blip r:embed="rId1"/>
        <a:stretch/>
      </xdr:blipFill>
      <xdr:spPr>
        <a:xfrm>
          <a:off x="756360" y="104760"/>
          <a:ext cx="2993040" cy="399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237960</xdr:colOff>
      <xdr:row>0</xdr:row>
      <xdr:rowOff>162000</xdr:rowOff>
    </xdr:from>
    <xdr:to>
      <xdr:col>8</xdr:col>
      <xdr:colOff>694800</xdr:colOff>
      <xdr:row>0</xdr:row>
      <xdr:rowOff>456840</xdr:rowOff>
    </xdr:to>
    <xdr:sp>
      <xdr:nvSpPr>
        <xdr:cNvPr id="36" name="CustomShape 1">
          <a:hlinkClick r:id="rId2"/>
        </xdr:cNvPr>
        <xdr:cNvSpPr/>
      </xdr:nvSpPr>
      <xdr:spPr>
        <a:xfrm>
          <a:off x="7968240" y="162000"/>
          <a:ext cx="147492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676080</xdr:colOff>
      <xdr:row>0</xdr:row>
      <xdr:rowOff>599760</xdr:rowOff>
    </xdr:to>
    <xdr:pic>
      <xdr:nvPicPr>
        <xdr:cNvPr id="37" name="Imagem 4" descr=""/>
        <xdr:cNvPicPr/>
      </xdr:nvPicPr>
      <xdr:blipFill>
        <a:blip r:embed="rId3"/>
        <a:stretch/>
      </xdr:blipFill>
      <xdr:spPr>
        <a:xfrm>
          <a:off x="9766080" y="0"/>
          <a:ext cx="271188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618840</xdr:colOff>
      <xdr:row>0</xdr:row>
      <xdr:rowOff>590040</xdr:rowOff>
    </xdr:to>
    <xdr:pic>
      <xdr:nvPicPr>
        <xdr:cNvPr id="38" name="Imagem 5" descr=""/>
        <xdr:cNvPicPr/>
      </xdr:nvPicPr>
      <xdr:blipFill>
        <a:blip r:embed="rId4"/>
        <a:stretch/>
      </xdr:blipFill>
      <xdr:spPr>
        <a:xfrm>
          <a:off x="1300104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752400</xdr:colOff>
      <xdr:row>0</xdr:row>
      <xdr:rowOff>106920</xdr:rowOff>
    </xdr:from>
    <xdr:to>
      <xdr:col>3</xdr:col>
      <xdr:colOff>94680</xdr:colOff>
      <xdr:row>0</xdr:row>
      <xdr:rowOff>502200</xdr:rowOff>
    </xdr:to>
    <xdr:pic>
      <xdr:nvPicPr>
        <xdr:cNvPr id="39" name="image01.png" descr=""/>
        <xdr:cNvPicPr/>
      </xdr:nvPicPr>
      <xdr:blipFill>
        <a:blip r:embed="rId1"/>
        <a:stretch/>
      </xdr:blipFill>
      <xdr:spPr>
        <a:xfrm>
          <a:off x="752400" y="106920"/>
          <a:ext cx="2960280" cy="39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237960</xdr:colOff>
      <xdr:row>0</xdr:row>
      <xdr:rowOff>162000</xdr:rowOff>
    </xdr:from>
    <xdr:to>
      <xdr:col>8</xdr:col>
      <xdr:colOff>694800</xdr:colOff>
      <xdr:row>0</xdr:row>
      <xdr:rowOff>456840</xdr:rowOff>
    </xdr:to>
    <xdr:sp>
      <xdr:nvSpPr>
        <xdr:cNvPr id="40" name="CustomShape 1">
          <a:hlinkClick r:id="rId2"/>
        </xdr:cNvPr>
        <xdr:cNvSpPr/>
      </xdr:nvSpPr>
      <xdr:spPr>
        <a:xfrm>
          <a:off x="7927560" y="162000"/>
          <a:ext cx="147492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676080</xdr:colOff>
      <xdr:row>0</xdr:row>
      <xdr:rowOff>599760</xdr:rowOff>
    </xdr:to>
    <xdr:pic>
      <xdr:nvPicPr>
        <xdr:cNvPr id="41" name="Imagem 4" descr=""/>
        <xdr:cNvPicPr/>
      </xdr:nvPicPr>
      <xdr:blipFill>
        <a:blip r:embed="rId3"/>
        <a:stretch/>
      </xdr:blipFill>
      <xdr:spPr>
        <a:xfrm>
          <a:off x="9725400" y="0"/>
          <a:ext cx="271188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618840</xdr:colOff>
      <xdr:row>0</xdr:row>
      <xdr:rowOff>590040</xdr:rowOff>
    </xdr:to>
    <xdr:pic>
      <xdr:nvPicPr>
        <xdr:cNvPr id="42" name="Imagem 5" descr=""/>
        <xdr:cNvPicPr/>
      </xdr:nvPicPr>
      <xdr:blipFill>
        <a:blip r:embed="rId4"/>
        <a:stretch/>
      </xdr:blipFill>
      <xdr:spPr>
        <a:xfrm>
          <a:off x="1296036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752400</xdr:colOff>
      <xdr:row>0</xdr:row>
      <xdr:rowOff>106920</xdr:rowOff>
    </xdr:from>
    <xdr:to>
      <xdr:col>3</xdr:col>
      <xdr:colOff>94680</xdr:colOff>
      <xdr:row>0</xdr:row>
      <xdr:rowOff>502200</xdr:rowOff>
    </xdr:to>
    <xdr:pic>
      <xdr:nvPicPr>
        <xdr:cNvPr id="43" name="image01.png" descr=""/>
        <xdr:cNvPicPr/>
      </xdr:nvPicPr>
      <xdr:blipFill>
        <a:blip r:embed="rId1"/>
        <a:stretch/>
      </xdr:blipFill>
      <xdr:spPr>
        <a:xfrm>
          <a:off x="752400" y="106920"/>
          <a:ext cx="2960280" cy="39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237960</xdr:colOff>
      <xdr:row>0</xdr:row>
      <xdr:rowOff>162000</xdr:rowOff>
    </xdr:from>
    <xdr:to>
      <xdr:col>8</xdr:col>
      <xdr:colOff>694800</xdr:colOff>
      <xdr:row>0</xdr:row>
      <xdr:rowOff>456840</xdr:rowOff>
    </xdr:to>
    <xdr:sp>
      <xdr:nvSpPr>
        <xdr:cNvPr id="44" name="CustomShape 1">
          <a:hlinkClick r:id="rId2"/>
        </xdr:cNvPr>
        <xdr:cNvSpPr/>
      </xdr:nvSpPr>
      <xdr:spPr>
        <a:xfrm>
          <a:off x="7927560" y="162000"/>
          <a:ext cx="147492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676080</xdr:colOff>
      <xdr:row>0</xdr:row>
      <xdr:rowOff>599760</xdr:rowOff>
    </xdr:to>
    <xdr:pic>
      <xdr:nvPicPr>
        <xdr:cNvPr id="45" name="Imagem 4" descr=""/>
        <xdr:cNvPicPr/>
      </xdr:nvPicPr>
      <xdr:blipFill>
        <a:blip r:embed="rId3"/>
        <a:stretch/>
      </xdr:blipFill>
      <xdr:spPr>
        <a:xfrm>
          <a:off x="9725400" y="0"/>
          <a:ext cx="271188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618840</xdr:colOff>
      <xdr:row>0</xdr:row>
      <xdr:rowOff>590040</xdr:rowOff>
    </xdr:to>
    <xdr:pic>
      <xdr:nvPicPr>
        <xdr:cNvPr id="46" name="Imagem 5" descr=""/>
        <xdr:cNvPicPr/>
      </xdr:nvPicPr>
      <xdr:blipFill>
        <a:blip r:embed="rId4"/>
        <a:stretch/>
      </xdr:blipFill>
      <xdr:spPr>
        <a:xfrm>
          <a:off x="1296036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752400</xdr:colOff>
      <xdr:row>0</xdr:row>
      <xdr:rowOff>106920</xdr:rowOff>
    </xdr:from>
    <xdr:to>
      <xdr:col>3</xdr:col>
      <xdr:colOff>94680</xdr:colOff>
      <xdr:row>0</xdr:row>
      <xdr:rowOff>502200</xdr:rowOff>
    </xdr:to>
    <xdr:pic>
      <xdr:nvPicPr>
        <xdr:cNvPr id="47" name="image01.png" descr=""/>
        <xdr:cNvPicPr/>
      </xdr:nvPicPr>
      <xdr:blipFill>
        <a:blip r:embed="rId1"/>
        <a:stretch/>
      </xdr:blipFill>
      <xdr:spPr>
        <a:xfrm>
          <a:off x="752400" y="106920"/>
          <a:ext cx="2960280" cy="39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237960</xdr:colOff>
      <xdr:row>0</xdr:row>
      <xdr:rowOff>162000</xdr:rowOff>
    </xdr:from>
    <xdr:to>
      <xdr:col>8</xdr:col>
      <xdr:colOff>694800</xdr:colOff>
      <xdr:row>0</xdr:row>
      <xdr:rowOff>456840</xdr:rowOff>
    </xdr:to>
    <xdr:sp>
      <xdr:nvSpPr>
        <xdr:cNvPr id="48" name="CustomShape 1">
          <a:hlinkClick r:id="rId2"/>
        </xdr:cNvPr>
        <xdr:cNvSpPr/>
      </xdr:nvSpPr>
      <xdr:spPr>
        <a:xfrm>
          <a:off x="7927560" y="162000"/>
          <a:ext cx="147492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676080</xdr:colOff>
      <xdr:row>0</xdr:row>
      <xdr:rowOff>599760</xdr:rowOff>
    </xdr:to>
    <xdr:pic>
      <xdr:nvPicPr>
        <xdr:cNvPr id="49" name="Imagem 4" descr=""/>
        <xdr:cNvPicPr/>
      </xdr:nvPicPr>
      <xdr:blipFill>
        <a:blip r:embed="rId3"/>
        <a:stretch/>
      </xdr:blipFill>
      <xdr:spPr>
        <a:xfrm>
          <a:off x="9725400" y="0"/>
          <a:ext cx="271188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618840</xdr:colOff>
      <xdr:row>0</xdr:row>
      <xdr:rowOff>590040</xdr:rowOff>
    </xdr:to>
    <xdr:pic>
      <xdr:nvPicPr>
        <xdr:cNvPr id="50" name="Imagem 5" descr=""/>
        <xdr:cNvPicPr/>
      </xdr:nvPicPr>
      <xdr:blipFill>
        <a:blip r:embed="rId4"/>
        <a:stretch/>
      </xdr:blipFill>
      <xdr:spPr>
        <a:xfrm>
          <a:off x="1296036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752400</xdr:colOff>
      <xdr:row>0</xdr:row>
      <xdr:rowOff>104760</xdr:rowOff>
    </xdr:from>
    <xdr:to>
      <xdr:col>3</xdr:col>
      <xdr:colOff>94680</xdr:colOff>
      <xdr:row>0</xdr:row>
      <xdr:rowOff>504360</xdr:rowOff>
    </xdr:to>
    <xdr:pic>
      <xdr:nvPicPr>
        <xdr:cNvPr id="51" name="image01.png" descr=""/>
        <xdr:cNvPicPr/>
      </xdr:nvPicPr>
      <xdr:blipFill>
        <a:blip r:embed="rId1"/>
        <a:stretch/>
      </xdr:blipFill>
      <xdr:spPr>
        <a:xfrm>
          <a:off x="752400" y="104760"/>
          <a:ext cx="2960280" cy="399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237960</xdr:colOff>
      <xdr:row>0</xdr:row>
      <xdr:rowOff>162000</xdr:rowOff>
    </xdr:from>
    <xdr:to>
      <xdr:col>8</xdr:col>
      <xdr:colOff>694800</xdr:colOff>
      <xdr:row>0</xdr:row>
      <xdr:rowOff>456840</xdr:rowOff>
    </xdr:to>
    <xdr:sp>
      <xdr:nvSpPr>
        <xdr:cNvPr id="52" name="CustomShape 1">
          <a:hlinkClick r:id="rId2"/>
        </xdr:cNvPr>
        <xdr:cNvSpPr/>
      </xdr:nvSpPr>
      <xdr:spPr>
        <a:xfrm>
          <a:off x="7927560" y="162000"/>
          <a:ext cx="147492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676080</xdr:colOff>
      <xdr:row>0</xdr:row>
      <xdr:rowOff>599760</xdr:rowOff>
    </xdr:to>
    <xdr:pic>
      <xdr:nvPicPr>
        <xdr:cNvPr id="53" name="Imagem 4" descr=""/>
        <xdr:cNvPicPr/>
      </xdr:nvPicPr>
      <xdr:blipFill>
        <a:blip r:embed="rId3"/>
        <a:stretch/>
      </xdr:blipFill>
      <xdr:spPr>
        <a:xfrm>
          <a:off x="9725400" y="0"/>
          <a:ext cx="271188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618840</xdr:colOff>
      <xdr:row>0</xdr:row>
      <xdr:rowOff>590040</xdr:rowOff>
    </xdr:to>
    <xdr:pic>
      <xdr:nvPicPr>
        <xdr:cNvPr id="54" name="Imagem 5" descr=""/>
        <xdr:cNvPicPr/>
      </xdr:nvPicPr>
      <xdr:blipFill>
        <a:blip r:embed="rId4"/>
        <a:stretch/>
      </xdr:blipFill>
      <xdr:spPr>
        <a:xfrm>
          <a:off x="1296036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752400</xdr:colOff>
      <xdr:row>0</xdr:row>
      <xdr:rowOff>106920</xdr:rowOff>
    </xdr:from>
    <xdr:to>
      <xdr:col>3</xdr:col>
      <xdr:colOff>94680</xdr:colOff>
      <xdr:row>0</xdr:row>
      <xdr:rowOff>502200</xdr:rowOff>
    </xdr:to>
    <xdr:pic>
      <xdr:nvPicPr>
        <xdr:cNvPr id="55" name="image01.png" descr=""/>
        <xdr:cNvPicPr/>
      </xdr:nvPicPr>
      <xdr:blipFill>
        <a:blip r:embed="rId5"/>
        <a:stretch/>
      </xdr:blipFill>
      <xdr:spPr>
        <a:xfrm>
          <a:off x="752400" y="106920"/>
          <a:ext cx="2960280" cy="39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237960</xdr:colOff>
      <xdr:row>0</xdr:row>
      <xdr:rowOff>162000</xdr:rowOff>
    </xdr:from>
    <xdr:to>
      <xdr:col>8</xdr:col>
      <xdr:colOff>694800</xdr:colOff>
      <xdr:row>0</xdr:row>
      <xdr:rowOff>456840</xdr:rowOff>
    </xdr:to>
    <xdr:sp>
      <xdr:nvSpPr>
        <xdr:cNvPr id="56" name="CustomShape 1">
          <a:hlinkClick r:id="rId6"/>
        </xdr:cNvPr>
        <xdr:cNvSpPr/>
      </xdr:nvSpPr>
      <xdr:spPr>
        <a:xfrm>
          <a:off x="7927560" y="162000"/>
          <a:ext cx="147492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676080</xdr:colOff>
      <xdr:row>0</xdr:row>
      <xdr:rowOff>599760</xdr:rowOff>
    </xdr:to>
    <xdr:pic>
      <xdr:nvPicPr>
        <xdr:cNvPr id="57" name="Imagem 8" descr=""/>
        <xdr:cNvPicPr/>
      </xdr:nvPicPr>
      <xdr:blipFill>
        <a:blip r:embed="rId7"/>
        <a:stretch/>
      </xdr:blipFill>
      <xdr:spPr>
        <a:xfrm>
          <a:off x="9725400" y="0"/>
          <a:ext cx="271188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618840</xdr:colOff>
      <xdr:row>0</xdr:row>
      <xdr:rowOff>590040</xdr:rowOff>
    </xdr:to>
    <xdr:pic>
      <xdr:nvPicPr>
        <xdr:cNvPr id="58" name="Imagem 9" descr=""/>
        <xdr:cNvPicPr/>
      </xdr:nvPicPr>
      <xdr:blipFill>
        <a:blip r:embed="rId8"/>
        <a:stretch/>
      </xdr:blipFill>
      <xdr:spPr>
        <a:xfrm>
          <a:off x="1296036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752400</xdr:colOff>
      <xdr:row>0</xdr:row>
      <xdr:rowOff>106920</xdr:rowOff>
    </xdr:from>
    <xdr:to>
      <xdr:col>3</xdr:col>
      <xdr:colOff>94680</xdr:colOff>
      <xdr:row>0</xdr:row>
      <xdr:rowOff>502200</xdr:rowOff>
    </xdr:to>
    <xdr:pic>
      <xdr:nvPicPr>
        <xdr:cNvPr id="59" name="image01.png" descr=""/>
        <xdr:cNvPicPr/>
      </xdr:nvPicPr>
      <xdr:blipFill>
        <a:blip r:embed="rId9"/>
        <a:stretch/>
      </xdr:blipFill>
      <xdr:spPr>
        <a:xfrm>
          <a:off x="752400" y="106920"/>
          <a:ext cx="2960280" cy="39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237960</xdr:colOff>
      <xdr:row>0</xdr:row>
      <xdr:rowOff>162000</xdr:rowOff>
    </xdr:from>
    <xdr:to>
      <xdr:col>8</xdr:col>
      <xdr:colOff>694800</xdr:colOff>
      <xdr:row>0</xdr:row>
      <xdr:rowOff>456840</xdr:rowOff>
    </xdr:to>
    <xdr:sp>
      <xdr:nvSpPr>
        <xdr:cNvPr id="60" name="CustomShape 1">
          <a:hlinkClick r:id="rId10"/>
        </xdr:cNvPr>
        <xdr:cNvSpPr/>
      </xdr:nvSpPr>
      <xdr:spPr>
        <a:xfrm>
          <a:off x="7927560" y="162000"/>
          <a:ext cx="147492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676080</xdr:colOff>
      <xdr:row>0</xdr:row>
      <xdr:rowOff>599760</xdr:rowOff>
    </xdr:to>
    <xdr:pic>
      <xdr:nvPicPr>
        <xdr:cNvPr id="61" name="Imagem 12" descr=""/>
        <xdr:cNvPicPr/>
      </xdr:nvPicPr>
      <xdr:blipFill>
        <a:blip r:embed="rId11"/>
        <a:stretch/>
      </xdr:blipFill>
      <xdr:spPr>
        <a:xfrm>
          <a:off x="9725400" y="0"/>
          <a:ext cx="271188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618840</xdr:colOff>
      <xdr:row>0</xdr:row>
      <xdr:rowOff>590040</xdr:rowOff>
    </xdr:to>
    <xdr:pic>
      <xdr:nvPicPr>
        <xdr:cNvPr id="62" name="Imagem 13" descr=""/>
        <xdr:cNvPicPr/>
      </xdr:nvPicPr>
      <xdr:blipFill>
        <a:blip r:embed="rId12"/>
        <a:stretch/>
      </xdr:blipFill>
      <xdr:spPr>
        <a:xfrm>
          <a:off x="1296036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752400</xdr:colOff>
      <xdr:row>0</xdr:row>
      <xdr:rowOff>104760</xdr:rowOff>
    </xdr:from>
    <xdr:to>
      <xdr:col>3</xdr:col>
      <xdr:colOff>94680</xdr:colOff>
      <xdr:row>0</xdr:row>
      <xdr:rowOff>504360</xdr:rowOff>
    </xdr:to>
    <xdr:pic>
      <xdr:nvPicPr>
        <xdr:cNvPr id="63" name="image01.png" descr=""/>
        <xdr:cNvPicPr/>
      </xdr:nvPicPr>
      <xdr:blipFill>
        <a:blip r:embed="rId1"/>
        <a:stretch/>
      </xdr:blipFill>
      <xdr:spPr>
        <a:xfrm>
          <a:off x="752400" y="104760"/>
          <a:ext cx="2960280" cy="399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237960</xdr:colOff>
      <xdr:row>0</xdr:row>
      <xdr:rowOff>162000</xdr:rowOff>
    </xdr:from>
    <xdr:to>
      <xdr:col>8</xdr:col>
      <xdr:colOff>694800</xdr:colOff>
      <xdr:row>0</xdr:row>
      <xdr:rowOff>456840</xdr:rowOff>
    </xdr:to>
    <xdr:sp>
      <xdr:nvSpPr>
        <xdr:cNvPr id="64" name="CustomShape 1">
          <a:hlinkClick r:id="rId2"/>
        </xdr:cNvPr>
        <xdr:cNvSpPr/>
      </xdr:nvSpPr>
      <xdr:spPr>
        <a:xfrm>
          <a:off x="7927560" y="162000"/>
          <a:ext cx="147492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676080</xdr:colOff>
      <xdr:row>0</xdr:row>
      <xdr:rowOff>599760</xdr:rowOff>
    </xdr:to>
    <xdr:pic>
      <xdr:nvPicPr>
        <xdr:cNvPr id="65" name="Imagem 3" descr=""/>
        <xdr:cNvPicPr/>
      </xdr:nvPicPr>
      <xdr:blipFill>
        <a:blip r:embed="rId3"/>
        <a:stretch/>
      </xdr:blipFill>
      <xdr:spPr>
        <a:xfrm>
          <a:off x="9725400" y="0"/>
          <a:ext cx="271188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618840</xdr:colOff>
      <xdr:row>0</xdr:row>
      <xdr:rowOff>590040</xdr:rowOff>
    </xdr:to>
    <xdr:pic>
      <xdr:nvPicPr>
        <xdr:cNvPr id="66" name="Imagem 4" descr=""/>
        <xdr:cNvPicPr/>
      </xdr:nvPicPr>
      <xdr:blipFill>
        <a:blip r:embed="rId4"/>
        <a:stretch/>
      </xdr:blipFill>
      <xdr:spPr>
        <a:xfrm>
          <a:off x="1296036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752400</xdr:colOff>
      <xdr:row>0</xdr:row>
      <xdr:rowOff>106920</xdr:rowOff>
    </xdr:from>
    <xdr:to>
      <xdr:col>3</xdr:col>
      <xdr:colOff>94680</xdr:colOff>
      <xdr:row>0</xdr:row>
      <xdr:rowOff>502200</xdr:rowOff>
    </xdr:to>
    <xdr:pic>
      <xdr:nvPicPr>
        <xdr:cNvPr id="67" name="image01.png" descr=""/>
        <xdr:cNvPicPr/>
      </xdr:nvPicPr>
      <xdr:blipFill>
        <a:blip r:embed="rId5"/>
        <a:stretch/>
      </xdr:blipFill>
      <xdr:spPr>
        <a:xfrm>
          <a:off x="752400" y="106920"/>
          <a:ext cx="2960280" cy="39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237960</xdr:colOff>
      <xdr:row>0</xdr:row>
      <xdr:rowOff>162000</xdr:rowOff>
    </xdr:from>
    <xdr:to>
      <xdr:col>8</xdr:col>
      <xdr:colOff>694800</xdr:colOff>
      <xdr:row>0</xdr:row>
      <xdr:rowOff>456840</xdr:rowOff>
    </xdr:to>
    <xdr:sp>
      <xdr:nvSpPr>
        <xdr:cNvPr id="68" name="CustomShape 1">
          <a:hlinkClick r:id="rId6"/>
        </xdr:cNvPr>
        <xdr:cNvSpPr/>
      </xdr:nvSpPr>
      <xdr:spPr>
        <a:xfrm>
          <a:off x="7927560" y="162000"/>
          <a:ext cx="147492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676080</xdr:colOff>
      <xdr:row>0</xdr:row>
      <xdr:rowOff>599760</xdr:rowOff>
    </xdr:to>
    <xdr:pic>
      <xdr:nvPicPr>
        <xdr:cNvPr id="69" name="Imagem 7" descr=""/>
        <xdr:cNvPicPr/>
      </xdr:nvPicPr>
      <xdr:blipFill>
        <a:blip r:embed="rId7"/>
        <a:stretch/>
      </xdr:blipFill>
      <xdr:spPr>
        <a:xfrm>
          <a:off x="9725400" y="0"/>
          <a:ext cx="271188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618840</xdr:colOff>
      <xdr:row>0</xdr:row>
      <xdr:rowOff>590040</xdr:rowOff>
    </xdr:to>
    <xdr:pic>
      <xdr:nvPicPr>
        <xdr:cNvPr id="70" name="Imagem 8" descr=""/>
        <xdr:cNvPicPr/>
      </xdr:nvPicPr>
      <xdr:blipFill>
        <a:blip r:embed="rId8"/>
        <a:stretch/>
      </xdr:blipFill>
      <xdr:spPr>
        <a:xfrm>
          <a:off x="1296036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752400</xdr:colOff>
      <xdr:row>0</xdr:row>
      <xdr:rowOff>104760</xdr:rowOff>
    </xdr:from>
    <xdr:to>
      <xdr:col>3</xdr:col>
      <xdr:colOff>94680</xdr:colOff>
      <xdr:row>0</xdr:row>
      <xdr:rowOff>504360</xdr:rowOff>
    </xdr:to>
    <xdr:pic>
      <xdr:nvPicPr>
        <xdr:cNvPr id="71" name="image01.png" descr=""/>
        <xdr:cNvPicPr/>
      </xdr:nvPicPr>
      <xdr:blipFill>
        <a:blip r:embed="rId1"/>
        <a:stretch/>
      </xdr:blipFill>
      <xdr:spPr>
        <a:xfrm>
          <a:off x="752400" y="104760"/>
          <a:ext cx="2960280" cy="399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237960</xdr:colOff>
      <xdr:row>0</xdr:row>
      <xdr:rowOff>162000</xdr:rowOff>
    </xdr:from>
    <xdr:to>
      <xdr:col>8</xdr:col>
      <xdr:colOff>694800</xdr:colOff>
      <xdr:row>0</xdr:row>
      <xdr:rowOff>456840</xdr:rowOff>
    </xdr:to>
    <xdr:sp>
      <xdr:nvSpPr>
        <xdr:cNvPr id="72" name="CustomShape 1">
          <a:hlinkClick r:id="rId2"/>
        </xdr:cNvPr>
        <xdr:cNvSpPr/>
      </xdr:nvSpPr>
      <xdr:spPr>
        <a:xfrm>
          <a:off x="7927560" y="162000"/>
          <a:ext cx="147492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676080</xdr:colOff>
      <xdr:row>0</xdr:row>
      <xdr:rowOff>599760</xdr:rowOff>
    </xdr:to>
    <xdr:pic>
      <xdr:nvPicPr>
        <xdr:cNvPr id="73" name="Imagem 3" descr=""/>
        <xdr:cNvPicPr/>
      </xdr:nvPicPr>
      <xdr:blipFill>
        <a:blip r:embed="rId3"/>
        <a:stretch/>
      </xdr:blipFill>
      <xdr:spPr>
        <a:xfrm>
          <a:off x="9725400" y="0"/>
          <a:ext cx="271188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618840</xdr:colOff>
      <xdr:row>0</xdr:row>
      <xdr:rowOff>590040</xdr:rowOff>
    </xdr:to>
    <xdr:pic>
      <xdr:nvPicPr>
        <xdr:cNvPr id="74" name="Imagem 4" descr=""/>
        <xdr:cNvPicPr/>
      </xdr:nvPicPr>
      <xdr:blipFill>
        <a:blip r:embed="rId4"/>
        <a:stretch/>
      </xdr:blipFill>
      <xdr:spPr>
        <a:xfrm>
          <a:off x="1296036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752400</xdr:colOff>
      <xdr:row>0</xdr:row>
      <xdr:rowOff>106920</xdr:rowOff>
    </xdr:from>
    <xdr:to>
      <xdr:col>3</xdr:col>
      <xdr:colOff>94680</xdr:colOff>
      <xdr:row>0</xdr:row>
      <xdr:rowOff>502200</xdr:rowOff>
    </xdr:to>
    <xdr:pic>
      <xdr:nvPicPr>
        <xdr:cNvPr id="75" name="image01.png" descr=""/>
        <xdr:cNvPicPr/>
      </xdr:nvPicPr>
      <xdr:blipFill>
        <a:blip r:embed="rId5"/>
        <a:stretch/>
      </xdr:blipFill>
      <xdr:spPr>
        <a:xfrm>
          <a:off x="752400" y="106920"/>
          <a:ext cx="2960280" cy="39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237960</xdr:colOff>
      <xdr:row>0</xdr:row>
      <xdr:rowOff>162000</xdr:rowOff>
    </xdr:from>
    <xdr:to>
      <xdr:col>8</xdr:col>
      <xdr:colOff>694800</xdr:colOff>
      <xdr:row>0</xdr:row>
      <xdr:rowOff>456840</xdr:rowOff>
    </xdr:to>
    <xdr:sp>
      <xdr:nvSpPr>
        <xdr:cNvPr id="76" name="CustomShape 1">
          <a:hlinkClick r:id="rId6"/>
        </xdr:cNvPr>
        <xdr:cNvSpPr/>
      </xdr:nvSpPr>
      <xdr:spPr>
        <a:xfrm>
          <a:off x="7927560" y="162000"/>
          <a:ext cx="147492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676080</xdr:colOff>
      <xdr:row>0</xdr:row>
      <xdr:rowOff>599760</xdr:rowOff>
    </xdr:to>
    <xdr:pic>
      <xdr:nvPicPr>
        <xdr:cNvPr id="77" name="Imagem 7" descr=""/>
        <xdr:cNvPicPr/>
      </xdr:nvPicPr>
      <xdr:blipFill>
        <a:blip r:embed="rId7"/>
        <a:stretch/>
      </xdr:blipFill>
      <xdr:spPr>
        <a:xfrm>
          <a:off x="9725400" y="0"/>
          <a:ext cx="271188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618840</xdr:colOff>
      <xdr:row>0</xdr:row>
      <xdr:rowOff>590040</xdr:rowOff>
    </xdr:to>
    <xdr:pic>
      <xdr:nvPicPr>
        <xdr:cNvPr id="78" name="Imagem 8" descr=""/>
        <xdr:cNvPicPr/>
      </xdr:nvPicPr>
      <xdr:blipFill>
        <a:blip r:embed="rId8"/>
        <a:stretch/>
      </xdr:blipFill>
      <xdr:spPr>
        <a:xfrm>
          <a:off x="1296036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752400</xdr:colOff>
      <xdr:row>0</xdr:row>
      <xdr:rowOff>104760</xdr:rowOff>
    </xdr:from>
    <xdr:to>
      <xdr:col>3</xdr:col>
      <xdr:colOff>94680</xdr:colOff>
      <xdr:row>0</xdr:row>
      <xdr:rowOff>504360</xdr:rowOff>
    </xdr:to>
    <xdr:pic>
      <xdr:nvPicPr>
        <xdr:cNvPr id="79" name="image01.png" descr=""/>
        <xdr:cNvPicPr/>
      </xdr:nvPicPr>
      <xdr:blipFill>
        <a:blip r:embed="rId1"/>
        <a:stretch/>
      </xdr:blipFill>
      <xdr:spPr>
        <a:xfrm>
          <a:off x="752400" y="104760"/>
          <a:ext cx="2960280" cy="399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237960</xdr:colOff>
      <xdr:row>0</xdr:row>
      <xdr:rowOff>162000</xdr:rowOff>
    </xdr:from>
    <xdr:to>
      <xdr:col>8</xdr:col>
      <xdr:colOff>694800</xdr:colOff>
      <xdr:row>0</xdr:row>
      <xdr:rowOff>456840</xdr:rowOff>
    </xdr:to>
    <xdr:sp>
      <xdr:nvSpPr>
        <xdr:cNvPr id="80" name="CustomShape 1">
          <a:hlinkClick r:id="rId2"/>
        </xdr:cNvPr>
        <xdr:cNvSpPr/>
      </xdr:nvSpPr>
      <xdr:spPr>
        <a:xfrm>
          <a:off x="7927560" y="162000"/>
          <a:ext cx="147492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676080</xdr:colOff>
      <xdr:row>0</xdr:row>
      <xdr:rowOff>599760</xdr:rowOff>
    </xdr:to>
    <xdr:pic>
      <xdr:nvPicPr>
        <xdr:cNvPr id="81" name="Imagem 3" descr=""/>
        <xdr:cNvPicPr/>
      </xdr:nvPicPr>
      <xdr:blipFill>
        <a:blip r:embed="rId3"/>
        <a:stretch/>
      </xdr:blipFill>
      <xdr:spPr>
        <a:xfrm>
          <a:off x="9725400" y="0"/>
          <a:ext cx="271188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618840</xdr:colOff>
      <xdr:row>0</xdr:row>
      <xdr:rowOff>590040</xdr:rowOff>
    </xdr:to>
    <xdr:pic>
      <xdr:nvPicPr>
        <xdr:cNvPr id="82" name="Imagem 4" descr=""/>
        <xdr:cNvPicPr/>
      </xdr:nvPicPr>
      <xdr:blipFill>
        <a:blip r:embed="rId4"/>
        <a:stretch/>
      </xdr:blipFill>
      <xdr:spPr>
        <a:xfrm>
          <a:off x="1296036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752400</xdr:colOff>
      <xdr:row>0</xdr:row>
      <xdr:rowOff>106920</xdr:rowOff>
    </xdr:from>
    <xdr:to>
      <xdr:col>3</xdr:col>
      <xdr:colOff>94680</xdr:colOff>
      <xdr:row>0</xdr:row>
      <xdr:rowOff>502200</xdr:rowOff>
    </xdr:to>
    <xdr:pic>
      <xdr:nvPicPr>
        <xdr:cNvPr id="83" name="image01.png" descr=""/>
        <xdr:cNvPicPr/>
      </xdr:nvPicPr>
      <xdr:blipFill>
        <a:blip r:embed="rId5"/>
        <a:stretch/>
      </xdr:blipFill>
      <xdr:spPr>
        <a:xfrm>
          <a:off x="752400" y="106920"/>
          <a:ext cx="2960280" cy="39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237960</xdr:colOff>
      <xdr:row>0</xdr:row>
      <xdr:rowOff>162000</xdr:rowOff>
    </xdr:from>
    <xdr:to>
      <xdr:col>8</xdr:col>
      <xdr:colOff>694800</xdr:colOff>
      <xdr:row>0</xdr:row>
      <xdr:rowOff>456840</xdr:rowOff>
    </xdr:to>
    <xdr:sp>
      <xdr:nvSpPr>
        <xdr:cNvPr id="84" name="CustomShape 1">
          <a:hlinkClick r:id="rId6"/>
        </xdr:cNvPr>
        <xdr:cNvSpPr/>
      </xdr:nvSpPr>
      <xdr:spPr>
        <a:xfrm>
          <a:off x="7927560" y="162000"/>
          <a:ext cx="147492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676080</xdr:colOff>
      <xdr:row>0</xdr:row>
      <xdr:rowOff>599760</xdr:rowOff>
    </xdr:to>
    <xdr:pic>
      <xdr:nvPicPr>
        <xdr:cNvPr id="85" name="Imagem 7" descr=""/>
        <xdr:cNvPicPr/>
      </xdr:nvPicPr>
      <xdr:blipFill>
        <a:blip r:embed="rId7"/>
        <a:stretch/>
      </xdr:blipFill>
      <xdr:spPr>
        <a:xfrm>
          <a:off x="9725400" y="0"/>
          <a:ext cx="271188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618840</xdr:colOff>
      <xdr:row>0</xdr:row>
      <xdr:rowOff>590040</xdr:rowOff>
    </xdr:to>
    <xdr:pic>
      <xdr:nvPicPr>
        <xdr:cNvPr id="86" name="Imagem 8" descr=""/>
        <xdr:cNvPicPr/>
      </xdr:nvPicPr>
      <xdr:blipFill>
        <a:blip r:embed="rId8"/>
        <a:stretch/>
      </xdr:blipFill>
      <xdr:spPr>
        <a:xfrm>
          <a:off x="1296036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752400</xdr:colOff>
      <xdr:row>0</xdr:row>
      <xdr:rowOff>104760</xdr:rowOff>
    </xdr:from>
    <xdr:to>
      <xdr:col>3</xdr:col>
      <xdr:colOff>94680</xdr:colOff>
      <xdr:row>0</xdr:row>
      <xdr:rowOff>504360</xdr:rowOff>
    </xdr:to>
    <xdr:pic>
      <xdr:nvPicPr>
        <xdr:cNvPr id="87" name="image01.png" descr=""/>
        <xdr:cNvPicPr/>
      </xdr:nvPicPr>
      <xdr:blipFill>
        <a:blip r:embed="rId1"/>
        <a:stretch/>
      </xdr:blipFill>
      <xdr:spPr>
        <a:xfrm>
          <a:off x="752400" y="104760"/>
          <a:ext cx="2960280" cy="399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237960</xdr:colOff>
      <xdr:row>0</xdr:row>
      <xdr:rowOff>162000</xdr:rowOff>
    </xdr:from>
    <xdr:to>
      <xdr:col>8</xdr:col>
      <xdr:colOff>694800</xdr:colOff>
      <xdr:row>0</xdr:row>
      <xdr:rowOff>456840</xdr:rowOff>
    </xdr:to>
    <xdr:sp>
      <xdr:nvSpPr>
        <xdr:cNvPr id="88" name="CustomShape 1">
          <a:hlinkClick r:id="rId2"/>
        </xdr:cNvPr>
        <xdr:cNvSpPr/>
      </xdr:nvSpPr>
      <xdr:spPr>
        <a:xfrm>
          <a:off x="7927560" y="162000"/>
          <a:ext cx="147492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676080</xdr:colOff>
      <xdr:row>0</xdr:row>
      <xdr:rowOff>599760</xdr:rowOff>
    </xdr:to>
    <xdr:pic>
      <xdr:nvPicPr>
        <xdr:cNvPr id="89" name="Imagem 3" descr=""/>
        <xdr:cNvPicPr/>
      </xdr:nvPicPr>
      <xdr:blipFill>
        <a:blip r:embed="rId3"/>
        <a:stretch/>
      </xdr:blipFill>
      <xdr:spPr>
        <a:xfrm>
          <a:off x="9725400" y="0"/>
          <a:ext cx="271188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618840</xdr:colOff>
      <xdr:row>0</xdr:row>
      <xdr:rowOff>590040</xdr:rowOff>
    </xdr:to>
    <xdr:pic>
      <xdr:nvPicPr>
        <xdr:cNvPr id="90" name="Imagem 4" descr=""/>
        <xdr:cNvPicPr/>
      </xdr:nvPicPr>
      <xdr:blipFill>
        <a:blip r:embed="rId4"/>
        <a:stretch/>
      </xdr:blipFill>
      <xdr:spPr>
        <a:xfrm>
          <a:off x="1296036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752400</xdr:colOff>
      <xdr:row>0</xdr:row>
      <xdr:rowOff>106920</xdr:rowOff>
    </xdr:from>
    <xdr:to>
      <xdr:col>3</xdr:col>
      <xdr:colOff>94680</xdr:colOff>
      <xdr:row>0</xdr:row>
      <xdr:rowOff>502200</xdr:rowOff>
    </xdr:to>
    <xdr:pic>
      <xdr:nvPicPr>
        <xdr:cNvPr id="91" name="image01.png" descr=""/>
        <xdr:cNvPicPr/>
      </xdr:nvPicPr>
      <xdr:blipFill>
        <a:blip r:embed="rId5"/>
        <a:stretch/>
      </xdr:blipFill>
      <xdr:spPr>
        <a:xfrm>
          <a:off x="752400" y="106920"/>
          <a:ext cx="2960280" cy="39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237960</xdr:colOff>
      <xdr:row>0</xdr:row>
      <xdr:rowOff>162000</xdr:rowOff>
    </xdr:from>
    <xdr:to>
      <xdr:col>8</xdr:col>
      <xdr:colOff>694800</xdr:colOff>
      <xdr:row>0</xdr:row>
      <xdr:rowOff>456840</xdr:rowOff>
    </xdr:to>
    <xdr:sp>
      <xdr:nvSpPr>
        <xdr:cNvPr id="92" name="CustomShape 1">
          <a:hlinkClick r:id="rId6"/>
        </xdr:cNvPr>
        <xdr:cNvSpPr/>
      </xdr:nvSpPr>
      <xdr:spPr>
        <a:xfrm>
          <a:off x="7927560" y="162000"/>
          <a:ext cx="147492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676080</xdr:colOff>
      <xdr:row>0</xdr:row>
      <xdr:rowOff>599760</xdr:rowOff>
    </xdr:to>
    <xdr:pic>
      <xdr:nvPicPr>
        <xdr:cNvPr id="93" name="Imagem 7" descr=""/>
        <xdr:cNvPicPr/>
      </xdr:nvPicPr>
      <xdr:blipFill>
        <a:blip r:embed="rId7"/>
        <a:stretch/>
      </xdr:blipFill>
      <xdr:spPr>
        <a:xfrm>
          <a:off x="9725400" y="0"/>
          <a:ext cx="271188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618840</xdr:colOff>
      <xdr:row>0</xdr:row>
      <xdr:rowOff>590040</xdr:rowOff>
    </xdr:to>
    <xdr:pic>
      <xdr:nvPicPr>
        <xdr:cNvPr id="94" name="Imagem 8" descr=""/>
        <xdr:cNvPicPr/>
      </xdr:nvPicPr>
      <xdr:blipFill>
        <a:blip r:embed="rId8"/>
        <a:stretch/>
      </xdr:blipFill>
      <xdr:spPr>
        <a:xfrm>
          <a:off x="1296036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752400</xdr:colOff>
      <xdr:row>0</xdr:row>
      <xdr:rowOff>104760</xdr:rowOff>
    </xdr:from>
    <xdr:to>
      <xdr:col>3</xdr:col>
      <xdr:colOff>94680</xdr:colOff>
      <xdr:row>0</xdr:row>
      <xdr:rowOff>504360</xdr:rowOff>
    </xdr:to>
    <xdr:pic>
      <xdr:nvPicPr>
        <xdr:cNvPr id="95" name="image01.png" descr=""/>
        <xdr:cNvPicPr/>
      </xdr:nvPicPr>
      <xdr:blipFill>
        <a:blip r:embed="rId1"/>
        <a:stretch/>
      </xdr:blipFill>
      <xdr:spPr>
        <a:xfrm>
          <a:off x="752400" y="104760"/>
          <a:ext cx="2960280" cy="399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237960</xdr:colOff>
      <xdr:row>0</xdr:row>
      <xdr:rowOff>162000</xdr:rowOff>
    </xdr:from>
    <xdr:to>
      <xdr:col>8</xdr:col>
      <xdr:colOff>694800</xdr:colOff>
      <xdr:row>0</xdr:row>
      <xdr:rowOff>456840</xdr:rowOff>
    </xdr:to>
    <xdr:sp>
      <xdr:nvSpPr>
        <xdr:cNvPr id="96" name="CustomShape 1">
          <a:hlinkClick r:id="rId2"/>
        </xdr:cNvPr>
        <xdr:cNvSpPr/>
      </xdr:nvSpPr>
      <xdr:spPr>
        <a:xfrm>
          <a:off x="7927560" y="162000"/>
          <a:ext cx="147492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676080</xdr:colOff>
      <xdr:row>0</xdr:row>
      <xdr:rowOff>599760</xdr:rowOff>
    </xdr:to>
    <xdr:pic>
      <xdr:nvPicPr>
        <xdr:cNvPr id="97" name="Imagem 3" descr=""/>
        <xdr:cNvPicPr/>
      </xdr:nvPicPr>
      <xdr:blipFill>
        <a:blip r:embed="rId3"/>
        <a:stretch/>
      </xdr:blipFill>
      <xdr:spPr>
        <a:xfrm>
          <a:off x="9725400" y="0"/>
          <a:ext cx="271188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618840</xdr:colOff>
      <xdr:row>0</xdr:row>
      <xdr:rowOff>590040</xdr:rowOff>
    </xdr:to>
    <xdr:pic>
      <xdr:nvPicPr>
        <xdr:cNvPr id="98" name="Imagem 4" descr=""/>
        <xdr:cNvPicPr/>
      </xdr:nvPicPr>
      <xdr:blipFill>
        <a:blip r:embed="rId4"/>
        <a:stretch/>
      </xdr:blipFill>
      <xdr:spPr>
        <a:xfrm>
          <a:off x="1296036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752400</xdr:colOff>
      <xdr:row>0</xdr:row>
      <xdr:rowOff>106920</xdr:rowOff>
    </xdr:from>
    <xdr:to>
      <xdr:col>3</xdr:col>
      <xdr:colOff>94680</xdr:colOff>
      <xdr:row>0</xdr:row>
      <xdr:rowOff>502200</xdr:rowOff>
    </xdr:to>
    <xdr:pic>
      <xdr:nvPicPr>
        <xdr:cNvPr id="99" name="image01.png" descr=""/>
        <xdr:cNvPicPr/>
      </xdr:nvPicPr>
      <xdr:blipFill>
        <a:blip r:embed="rId5"/>
        <a:stretch/>
      </xdr:blipFill>
      <xdr:spPr>
        <a:xfrm>
          <a:off x="752400" y="106920"/>
          <a:ext cx="2960280" cy="39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237960</xdr:colOff>
      <xdr:row>0</xdr:row>
      <xdr:rowOff>162000</xdr:rowOff>
    </xdr:from>
    <xdr:to>
      <xdr:col>8</xdr:col>
      <xdr:colOff>694800</xdr:colOff>
      <xdr:row>0</xdr:row>
      <xdr:rowOff>456840</xdr:rowOff>
    </xdr:to>
    <xdr:sp>
      <xdr:nvSpPr>
        <xdr:cNvPr id="100" name="CustomShape 1">
          <a:hlinkClick r:id="rId6"/>
        </xdr:cNvPr>
        <xdr:cNvSpPr/>
      </xdr:nvSpPr>
      <xdr:spPr>
        <a:xfrm>
          <a:off x="7927560" y="162000"/>
          <a:ext cx="147492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676080</xdr:colOff>
      <xdr:row>0</xdr:row>
      <xdr:rowOff>599760</xdr:rowOff>
    </xdr:to>
    <xdr:pic>
      <xdr:nvPicPr>
        <xdr:cNvPr id="101" name="Imagem 7" descr=""/>
        <xdr:cNvPicPr/>
      </xdr:nvPicPr>
      <xdr:blipFill>
        <a:blip r:embed="rId7"/>
        <a:stretch/>
      </xdr:blipFill>
      <xdr:spPr>
        <a:xfrm>
          <a:off x="9725400" y="0"/>
          <a:ext cx="271188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618840</xdr:colOff>
      <xdr:row>0</xdr:row>
      <xdr:rowOff>590040</xdr:rowOff>
    </xdr:to>
    <xdr:pic>
      <xdr:nvPicPr>
        <xdr:cNvPr id="102" name="Imagem 8" descr=""/>
        <xdr:cNvPicPr/>
      </xdr:nvPicPr>
      <xdr:blipFill>
        <a:blip r:embed="rId8"/>
        <a:stretch/>
      </xdr:blipFill>
      <xdr:spPr>
        <a:xfrm>
          <a:off x="1296036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752400</xdr:colOff>
      <xdr:row>0</xdr:row>
      <xdr:rowOff>104760</xdr:rowOff>
    </xdr:from>
    <xdr:to>
      <xdr:col>3</xdr:col>
      <xdr:colOff>94680</xdr:colOff>
      <xdr:row>0</xdr:row>
      <xdr:rowOff>504360</xdr:rowOff>
    </xdr:to>
    <xdr:pic>
      <xdr:nvPicPr>
        <xdr:cNvPr id="103" name="image01.png" descr=""/>
        <xdr:cNvPicPr/>
      </xdr:nvPicPr>
      <xdr:blipFill>
        <a:blip r:embed="rId1"/>
        <a:stretch/>
      </xdr:blipFill>
      <xdr:spPr>
        <a:xfrm>
          <a:off x="752400" y="104760"/>
          <a:ext cx="2960280" cy="399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237960</xdr:colOff>
      <xdr:row>0</xdr:row>
      <xdr:rowOff>162000</xdr:rowOff>
    </xdr:from>
    <xdr:to>
      <xdr:col>8</xdr:col>
      <xdr:colOff>694800</xdr:colOff>
      <xdr:row>0</xdr:row>
      <xdr:rowOff>456840</xdr:rowOff>
    </xdr:to>
    <xdr:sp>
      <xdr:nvSpPr>
        <xdr:cNvPr id="104" name="CustomShape 1">
          <a:hlinkClick r:id="rId2"/>
        </xdr:cNvPr>
        <xdr:cNvSpPr/>
      </xdr:nvSpPr>
      <xdr:spPr>
        <a:xfrm>
          <a:off x="7927560" y="162000"/>
          <a:ext cx="147492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676080</xdr:colOff>
      <xdr:row>0</xdr:row>
      <xdr:rowOff>599760</xdr:rowOff>
    </xdr:to>
    <xdr:pic>
      <xdr:nvPicPr>
        <xdr:cNvPr id="105" name="Imagem 3" descr=""/>
        <xdr:cNvPicPr/>
      </xdr:nvPicPr>
      <xdr:blipFill>
        <a:blip r:embed="rId3"/>
        <a:stretch/>
      </xdr:blipFill>
      <xdr:spPr>
        <a:xfrm>
          <a:off x="9725400" y="0"/>
          <a:ext cx="271188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618840</xdr:colOff>
      <xdr:row>0</xdr:row>
      <xdr:rowOff>590040</xdr:rowOff>
    </xdr:to>
    <xdr:pic>
      <xdr:nvPicPr>
        <xdr:cNvPr id="106" name="Imagem 4" descr=""/>
        <xdr:cNvPicPr/>
      </xdr:nvPicPr>
      <xdr:blipFill>
        <a:blip r:embed="rId4"/>
        <a:stretch/>
      </xdr:blipFill>
      <xdr:spPr>
        <a:xfrm>
          <a:off x="1296036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752400</xdr:colOff>
      <xdr:row>0</xdr:row>
      <xdr:rowOff>106920</xdr:rowOff>
    </xdr:from>
    <xdr:to>
      <xdr:col>3</xdr:col>
      <xdr:colOff>94680</xdr:colOff>
      <xdr:row>0</xdr:row>
      <xdr:rowOff>502200</xdr:rowOff>
    </xdr:to>
    <xdr:pic>
      <xdr:nvPicPr>
        <xdr:cNvPr id="107" name="image01.png" descr=""/>
        <xdr:cNvPicPr/>
      </xdr:nvPicPr>
      <xdr:blipFill>
        <a:blip r:embed="rId5"/>
        <a:stretch/>
      </xdr:blipFill>
      <xdr:spPr>
        <a:xfrm>
          <a:off x="752400" y="106920"/>
          <a:ext cx="2960280" cy="39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237960</xdr:colOff>
      <xdr:row>0</xdr:row>
      <xdr:rowOff>162000</xdr:rowOff>
    </xdr:from>
    <xdr:to>
      <xdr:col>8</xdr:col>
      <xdr:colOff>694800</xdr:colOff>
      <xdr:row>0</xdr:row>
      <xdr:rowOff>456840</xdr:rowOff>
    </xdr:to>
    <xdr:sp>
      <xdr:nvSpPr>
        <xdr:cNvPr id="108" name="CustomShape 1">
          <a:hlinkClick r:id="rId6"/>
        </xdr:cNvPr>
        <xdr:cNvSpPr/>
      </xdr:nvSpPr>
      <xdr:spPr>
        <a:xfrm>
          <a:off x="7927560" y="162000"/>
          <a:ext cx="147492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676080</xdr:colOff>
      <xdr:row>0</xdr:row>
      <xdr:rowOff>599760</xdr:rowOff>
    </xdr:to>
    <xdr:pic>
      <xdr:nvPicPr>
        <xdr:cNvPr id="109" name="Imagem 7" descr=""/>
        <xdr:cNvPicPr/>
      </xdr:nvPicPr>
      <xdr:blipFill>
        <a:blip r:embed="rId7"/>
        <a:stretch/>
      </xdr:blipFill>
      <xdr:spPr>
        <a:xfrm>
          <a:off x="9725400" y="0"/>
          <a:ext cx="271188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618840</xdr:colOff>
      <xdr:row>0</xdr:row>
      <xdr:rowOff>590040</xdr:rowOff>
    </xdr:to>
    <xdr:pic>
      <xdr:nvPicPr>
        <xdr:cNvPr id="110" name="Imagem 8" descr=""/>
        <xdr:cNvPicPr/>
      </xdr:nvPicPr>
      <xdr:blipFill>
        <a:blip r:embed="rId8"/>
        <a:stretch/>
      </xdr:blipFill>
      <xdr:spPr>
        <a:xfrm>
          <a:off x="1296036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752400</xdr:colOff>
      <xdr:row>0</xdr:row>
      <xdr:rowOff>104760</xdr:rowOff>
    </xdr:from>
    <xdr:to>
      <xdr:col>3</xdr:col>
      <xdr:colOff>94680</xdr:colOff>
      <xdr:row>0</xdr:row>
      <xdr:rowOff>504360</xdr:rowOff>
    </xdr:to>
    <xdr:pic>
      <xdr:nvPicPr>
        <xdr:cNvPr id="111" name="image01.png" descr=""/>
        <xdr:cNvPicPr/>
      </xdr:nvPicPr>
      <xdr:blipFill>
        <a:blip r:embed="rId1"/>
        <a:stretch/>
      </xdr:blipFill>
      <xdr:spPr>
        <a:xfrm>
          <a:off x="752400" y="104760"/>
          <a:ext cx="2960280" cy="399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237960</xdr:colOff>
      <xdr:row>0</xdr:row>
      <xdr:rowOff>162000</xdr:rowOff>
    </xdr:from>
    <xdr:to>
      <xdr:col>8</xdr:col>
      <xdr:colOff>694800</xdr:colOff>
      <xdr:row>0</xdr:row>
      <xdr:rowOff>456840</xdr:rowOff>
    </xdr:to>
    <xdr:sp>
      <xdr:nvSpPr>
        <xdr:cNvPr id="112" name="CustomShape 1">
          <a:hlinkClick r:id="rId2"/>
        </xdr:cNvPr>
        <xdr:cNvSpPr/>
      </xdr:nvSpPr>
      <xdr:spPr>
        <a:xfrm>
          <a:off x="7927560" y="162000"/>
          <a:ext cx="147492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676080</xdr:colOff>
      <xdr:row>0</xdr:row>
      <xdr:rowOff>599760</xdr:rowOff>
    </xdr:to>
    <xdr:pic>
      <xdr:nvPicPr>
        <xdr:cNvPr id="113" name="Imagem 3" descr=""/>
        <xdr:cNvPicPr/>
      </xdr:nvPicPr>
      <xdr:blipFill>
        <a:blip r:embed="rId3"/>
        <a:stretch/>
      </xdr:blipFill>
      <xdr:spPr>
        <a:xfrm>
          <a:off x="9725400" y="0"/>
          <a:ext cx="271188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618840</xdr:colOff>
      <xdr:row>0</xdr:row>
      <xdr:rowOff>590040</xdr:rowOff>
    </xdr:to>
    <xdr:pic>
      <xdr:nvPicPr>
        <xdr:cNvPr id="114" name="Imagem 4" descr=""/>
        <xdr:cNvPicPr/>
      </xdr:nvPicPr>
      <xdr:blipFill>
        <a:blip r:embed="rId4"/>
        <a:stretch/>
      </xdr:blipFill>
      <xdr:spPr>
        <a:xfrm>
          <a:off x="1296036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752400</xdr:colOff>
      <xdr:row>0</xdr:row>
      <xdr:rowOff>106920</xdr:rowOff>
    </xdr:from>
    <xdr:to>
      <xdr:col>3</xdr:col>
      <xdr:colOff>94680</xdr:colOff>
      <xdr:row>0</xdr:row>
      <xdr:rowOff>502200</xdr:rowOff>
    </xdr:to>
    <xdr:pic>
      <xdr:nvPicPr>
        <xdr:cNvPr id="115" name="image01.png" descr=""/>
        <xdr:cNvPicPr/>
      </xdr:nvPicPr>
      <xdr:blipFill>
        <a:blip r:embed="rId5"/>
        <a:stretch/>
      </xdr:blipFill>
      <xdr:spPr>
        <a:xfrm>
          <a:off x="752400" y="106920"/>
          <a:ext cx="2960280" cy="39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237960</xdr:colOff>
      <xdr:row>0</xdr:row>
      <xdr:rowOff>162000</xdr:rowOff>
    </xdr:from>
    <xdr:to>
      <xdr:col>8</xdr:col>
      <xdr:colOff>694800</xdr:colOff>
      <xdr:row>0</xdr:row>
      <xdr:rowOff>456840</xdr:rowOff>
    </xdr:to>
    <xdr:sp>
      <xdr:nvSpPr>
        <xdr:cNvPr id="116" name="CustomShape 1">
          <a:hlinkClick r:id="rId6"/>
        </xdr:cNvPr>
        <xdr:cNvSpPr/>
      </xdr:nvSpPr>
      <xdr:spPr>
        <a:xfrm>
          <a:off x="7927560" y="162000"/>
          <a:ext cx="147492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676080</xdr:colOff>
      <xdr:row>0</xdr:row>
      <xdr:rowOff>599760</xdr:rowOff>
    </xdr:to>
    <xdr:pic>
      <xdr:nvPicPr>
        <xdr:cNvPr id="117" name="Imagem 7" descr=""/>
        <xdr:cNvPicPr/>
      </xdr:nvPicPr>
      <xdr:blipFill>
        <a:blip r:embed="rId7"/>
        <a:stretch/>
      </xdr:blipFill>
      <xdr:spPr>
        <a:xfrm>
          <a:off x="9725400" y="0"/>
          <a:ext cx="271188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618840</xdr:colOff>
      <xdr:row>0</xdr:row>
      <xdr:rowOff>590040</xdr:rowOff>
    </xdr:to>
    <xdr:pic>
      <xdr:nvPicPr>
        <xdr:cNvPr id="118" name="Imagem 8" descr=""/>
        <xdr:cNvPicPr/>
      </xdr:nvPicPr>
      <xdr:blipFill>
        <a:blip r:embed="rId8"/>
        <a:stretch/>
      </xdr:blipFill>
      <xdr:spPr>
        <a:xfrm>
          <a:off x="1296036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752400</xdr:colOff>
      <xdr:row>0</xdr:row>
      <xdr:rowOff>104760</xdr:rowOff>
    </xdr:from>
    <xdr:to>
      <xdr:col>3</xdr:col>
      <xdr:colOff>94680</xdr:colOff>
      <xdr:row>0</xdr:row>
      <xdr:rowOff>504360</xdr:rowOff>
    </xdr:to>
    <xdr:pic>
      <xdr:nvPicPr>
        <xdr:cNvPr id="119" name="image01.png" descr=""/>
        <xdr:cNvPicPr/>
      </xdr:nvPicPr>
      <xdr:blipFill>
        <a:blip r:embed="rId1"/>
        <a:stretch/>
      </xdr:blipFill>
      <xdr:spPr>
        <a:xfrm>
          <a:off x="752400" y="104760"/>
          <a:ext cx="2960280" cy="399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237960</xdr:colOff>
      <xdr:row>0</xdr:row>
      <xdr:rowOff>162000</xdr:rowOff>
    </xdr:from>
    <xdr:to>
      <xdr:col>8</xdr:col>
      <xdr:colOff>694800</xdr:colOff>
      <xdr:row>0</xdr:row>
      <xdr:rowOff>456840</xdr:rowOff>
    </xdr:to>
    <xdr:sp>
      <xdr:nvSpPr>
        <xdr:cNvPr id="120" name="CustomShape 1">
          <a:hlinkClick r:id="rId2"/>
        </xdr:cNvPr>
        <xdr:cNvSpPr/>
      </xdr:nvSpPr>
      <xdr:spPr>
        <a:xfrm>
          <a:off x="7927560" y="162000"/>
          <a:ext cx="147492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676080</xdr:colOff>
      <xdr:row>0</xdr:row>
      <xdr:rowOff>599760</xdr:rowOff>
    </xdr:to>
    <xdr:pic>
      <xdr:nvPicPr>
        <xdr:cNvPr id="121" name="Imagem 3" descr=""/>
        <xdr:cNvPicPr/>
      </xdr:nvPicPr>
      <xdr:blipFill>
        <a:blip r:embed="rId3"/>
        <a:stretch/>
      </xdr:blipFill>
      <xdr:spPr>
        <a:xfrm>
          <a:off x="9725400" y="0"/>
          <a:ext cx="271188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618840</xdr:colOff>
      <xdr:row>0</xdr:row>
      <xdr:rowOff>590040</xdr:rowOff>
    </xdr:to>
    <xdr:pic>
      <xdr:nvPicPr>
        <xdr:cNvPr id="122" name="Imagem 4" descr=""/>
        <xdr:cNvPicPr/>
      </xdr:nvPicPr>
      <xdr:blipFill>
        <a:blip r:embed="rId4"/>
        <a:stretch/>
      </xdr:blipFill>
      <xdr:spPr>
        <a:xfrm>
          <a:off x="1296036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752400</xdr:colOff>
      <xdr:row>0</xdr:row>
      <xdr:rowOff>106920</xdr:rowOff>
    </xdr:from>
    <xdr:to>
      <xdr:col>3</xdr:col>
      <xdr:colOff>94680</xdr:colOff>
      <xdr:row>0</xdr:row>
      <xdr:rowOff>502200</xdr:rowOff>
    </xdr:to>
    <xdr:pic>
      <xdr:nvPicPr>
        <xdr:cNvPr id="123" name="image01.png" descr=""/>
        <xdr:cNvPicPr/>
      </xdr:nvPicPr>
      <xdr:blipFill>
        <a:blip r:embed="rId5"/>
        <a:stretch/>
      </xdr:blipFill>
      <xdr:spPr>
        <a:xfrm>
          <a:off x="752400" y="106920"/>
          <a:ext cx="2960280" cy="39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237960</xdr:colOff>
      <xdr:row>0</xdr:row>
      <xdr:rowOff>162000</xdr:rowOff>
    </xdr:from>
    <xdr:to>
      <xdr:col>8</xdr:col>
      <xdr:colOff>694800</xdr:colOff>
      <xdr:row>0</xdr:row>
      <xdr:rowOff>456840</xdr:rowOff>
    </xdr:to>
    <xdr:sp>
      <xdr:nvSpPr>
        <xdr:cNvPr id="124" name="CustomShape 1">
          <a:hlinkClick r:id="rId6"/>
        </xdr:cNvPr>
        <xdr:cNvSpPr/>
      </xdr:nvSpPr>
      <xdr:spPr>
        <a:xfrm>
          <a:off x="7927560" y="162000"/>
          <a:ext cx="147492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676080</xdr:colOff>
      <xdr:row>0</xdr:row>
      <xdr:rowOff>599760</xdr:rowOff>
    </xdr:to>
    <xdr:pic>
      <xdr:nvPicPr>
        <xdr:cNvPr id="125" name="Imagem 7" descr=""/>
        <xdr:cNvPicPr/>
      </xdr:nvPicPr>
      <xdr:blipFill>
        <a:blip r:embed="rId7"/>
        <a:stretch/>
      </xdr:blipFill>
      <xdr:spPr>
        <a:xfrm>
          <a:off x="9725400" y="0"/>
          <a:ext cx="271188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618840</xdr:colOff>
      <xdr:row>0</xdr:row>
      <xdr:rowOff>590040</xdr:rowOff>
    </xdr:to>
    <xdr:pic>
      <xdr:nvPicPr>
        <xdr:cNvPr id="126" name="Imagem 8" descr=""/>
        <xdr:cNvPicPr/>
      </xdr:nvPicPr>
      <xdr:blipFill>
        <a:blip r:embed="rId8"/>
        <a:stretch/>
      </xdr:blipFill>
      <xdr:spPr>
        <a:xfrm>
          <a:off x="1296036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752400</xdr:colOff>
      <xdr:row>0</xdr:row>
      <xdr:rowOff>104760</xdr:rowOff>
    </xdr:from>
    <xdr:to>
      <xdr:col>3</xdr:col>
      <xdr:colOff>94680</xdr:colOff>
      <xdr:row>0</xdr:row>
      <xdr:rowOff>504360</xdr:rowOff>
    </xdr:to>
    <xdr:pic>
      <xdr:nvPicPr>
        <xdr:cNvPr id="127" name="image01.png" descr=""/>
        <xdr:cNvPicPr/>
      </xdr:nvPicPr>
      <xdr:blipFill>
        <a:blip r:embed="rId1"/>
        <a:stretch/>
      </xdr:blipFill>
      <xdr:spPr>
        <a:xfrm>
          <a:off x="752400" y="104760"/>
          <a:ext cx="2960280" cy="399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237960</xdr:colOff>
      <xdr:row>0</xdr:row>
      <xdr:rowOff>162000</xdr:rowOff>
    </xdr:from>
    <xdr:to>
      <xdr:col>8</xdr:col>
      <xdr:colOff>694800</xdr:colOff>
      <xdr:row>0</xdr:row>
      <xdr:rowOff>456840</xdr:rowOff>
    </xdr:to>
    <xdr:sp>
      <xdr:nvSpPr>
        <xdr:cNvPr id="128" name="CustomShape 1">
          <a:hlinkClick r:id="rId2"/>
        </xdr:cNvPr>
        <xdr:cNvSpPr/>
      </xdr:nvSpPr>
      <xdr:spPr>
        <a:xfrm>
          <a:off x="7927560" y="162000"/>
          <a:ext cx="147492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676080</xdr:colOff>
      <xdr:row>0</xdr:row>
      <xdr:rowOff>599760</xdr:rowOff>
    </xdr:to>
    <xdr:pic>
      <xdr:nvPicPr>
        <xdr:cNvPr id="129" name="Imagem 3" descr=""/>
        <xdr:cNvPicPr/>
      </xdr:nvPicPr>
      <xdr:blipFill>
        <a:blip r:embed="rId3"/>
        <a:stretch/>
      </xdr:blipFill>
      <xdr:spPr>
        <a:xfrm>
          <a:off x="9725400" y="0"/>
          <a:ext cx="271188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618840</xdr:colOff>
      <xdr:row>0</xdr:row>
      <xdr:rowOff>590040</xdr:rowOff>
    </xdr:to>
    <xdr:pic>
      <xdr:nvPicPr>
        <xdr:cNvPr id="130" name="Imagem 4" descr=""/>
        <xdr:cNvPicPr/>
      </xdr:nvPicPr>
      <xdr:blipFill>
        <a:blip r:embed="rId4"/>
        <a:stretch/>
      </xdr:blipFill>
      <xdr:spPr>
        <a:xfrm>
          <a:off x="1296036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752400</xdr:colOff>
      <xdr:row>0</xdr:row>
      <xdr:rowOff>106920</xdr:rowOff>
    </xdr:from>
    <xdr:to>
      <xdr:col>3</xdr:col>
      <xdr:colOff>94680</xdr:colOff>
      <xdr:row>0</xdr:row>
      <xdr:rowOff>502200</xdr:rowOff>
    </xdr:to>
    <xdr:pic>
      <xdr:nvPicPr>
        <xdr:cNvPr id="131" name="image01.png" descr=""/>
        <xdr:cNvPicPr/>
      </xdr:nvPicPr>
      <xdr:blipFill>
        <a:blip r:embed="rId5"/>
        <a:stretch/>
      </xdr:blipFill>
      <xdr:spPr>
        <a:xfrm>
          <a:off x="752400" y="106920"/>
          <a:ext cx="2960280" cy="39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237960</xdr:colOff>
      <xdr:row>0</xdr:row>
      <xdr:rowOff>162000</xdr:rowOff>
    </xdr:from>
    <xdr:to>
      <xdr:col>8</xdr:col>
      <xdr:colOff>694800</xdr:colOff>
      <xdr:row>0</xdr:row>
      <xdr:rowOff>456840</xdr:rowOff>
    </xdr:to>
    <xdr:sp>
      <xdr:nvSpPr>
        <xdr:cNvPr id="132" name="CustomShape 1">
          <a:hlinkClick r:id="rId6"/>
        </xdr:cNvPr>
        <xdr:cNvSpPr/>
      </xdr:nvSpPr>
      <xdr:spPr>
        <a:xfrm>
          <a:off x="7927560" y="162000"/>
          <a:ext cx="147492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676080</xdr:colOff>
      <xdr:row>0</xdr:row>
      <xdr:rowOff>599760</xdr:rowOff>
    </xdr:to>
    <xdr:pic>
      <xdr:nvPicPr>
        <xdr:cNvPr id="133" name="Imagem 7" descr=""/>
        <xdr:cNvPicPr/>
      </xdr:nvPicPr>
      <xdr:blipFill>
        <a:blip r:embed="rId7"/>
        <a:stretch/>
      </xdr:blipFill>
      <xdr:spPr>
        <a:xfrm>
          <a:off x="9725400" y="0"/>
          <a:ext cx="271188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618840</xdr:colOff>
      <xdr:row>0</xdr:row>
      <xdr:rowOff>590040</xdr:rowOff>
    </xdr:to>
    <xdr:pic>
      <xdr:nvPicPr>
        <xdr:cNvPr id="134" name="Imagem 8" descr=""/>
        <xdr:cNvPicPr/>
      </xdr:nvPicPr>
      <xdr:blipFill>
        <a:blip r:embed="rId8"/>
        <a:stretch/>
      </xdr:blipFill>
      <xdr:spPr>
        <a:xfrm>
          <a:off x="1296036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752400</xdr:colOff>
      <xdr:row>0</xdr:row>
      <xdr:rowOff>104760</xdr:rowOff>
    </xdr:from>
    <xdr:to>
      <xdr:col>3</xdr:col>
      <xdr:colOff>94680</xdr:colOff>
      <xdr:row>0</xdr:row>
      <xdr:rowOff>504360</xdr:rowOff>
    </xdr:to>
    <xdr:pic>
      <xdr:nvPicPr>
        <xdr:cNvPr id="135" name="image01.png" descr=""/>
        <xdr:cNvPicPr/>
      </xdr:nvPicPr>
      <xdr:blipFill>
        <a:blip r:embed="rId1"/>
        <a:stretch/>
      </xdr:blipFill>
      <xdr:spPr>
        <a:xfrm>
          <a:off x="752400" y="104760"/>
          <a:ext cx="2960280" cy="399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237960</xdr:colOff>
      <xdr:row>0</xdr:row>
      <xdr:rowOff>162000</xdr:rowOff>
    </xdr:from>
    <xdr:to>
      <xdr:col>8</xdr:col>
      <xdr:colOff>694800</xdr:colOff>
      <xdr:row>0</xdr:row>
      <xdr:rowOff>456840</xdr:rowOff>
    </xdr:to>
    <xdr:sp>
      <xdr:nvSpPr>
        <xdr:cNvPr id="136" name="CustomShape 1">
          <a:hlinkClick r:id="rId2"/>
        </xdr:cNvPr>
        <xdr:cNvSpPr/>
      </xdr:nvSpPr>
      <xdr:spPr>
        <a:xfrm>
          <a:off x="7927560" y="162000"/>
          <a:ext cx="147492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676080</xdr:colOff>
      <xdr:row>0</xdr:row>
      <xdr:rowOff>599760</xdr:rowOff>
    </xdr:to>
    <xdr:pic>
      <xdr:nvPicPr>
        <xdr:cNvPr id="137" name="Imagem 3" descr=""/>
        <xdr:cNvPicPr/>
      </xdr:nvPicPr>
      <xdr:blipFill>
        <a:blip r:embed="rId3"/>
        <a:stretch/>
      </xdr:blipFill>
      <xdr:spPr>
        <a:xfrm>
          <a:off x="9725400" y="0"/>
          <a:ext cx="271188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618840</xdr:colOff>
      <xdr:row>0</xdr:row>
      <xdr:rowOff>590040</xdr:rowOff>
    </xdr:to>
    <xdr:pic>
      <xdr:nvPicPr>
        <xdr:cNvPr id="138" name="Imagem 4" descr=""/>
        <xdr:cNvPicPr/>
      </xdr:nvPicPr>
      <xdr:blipFill>
        <a:blip r:embed="rId4"/>
        <a:stretch/>
      </xdr:blipFill>
      <xdr:spPr>
        <a:xfrm>
          <a:off x="1296036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752400</xdr:colOff>
      <xdr:row>0</xdr:row>
      <xdr:rowOff>106920</xdr:rowOff>
    </xdr:from>
    <xdr:to>
      <xdr:col>3</xdr:col>
      <xdr:colOff>94680</xdr:colOff>
      <xdr:row>0</xdr:row>
      <xdr:rowOff>502200</xdr:rowOff>
    </xdr:to>
    <xdr:pic>
      <xdr:nvPicPr>
        <xdr:cNvPr id="139" name="image01.png" descr=""/>
        <xdr:cNvPicPr/>
      </xdr:nvPicPr>
      <xdr:blipFill>
        <a:blip r:embed="rId5"/>
        <a:stretch/>
      </xdr:blipFill>
      <xdr:spPr>
        <a:xfrm>
          <a:off x="752400" y="106920"/>
          <a:ext cx="2960280" cy="39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237960</xdr:colOff>
      <xdr:row>0</xdr:row>
      <xdr:rowOff>162000</xdr:rowOff>
    </xdr:from>
    <xdr:to>
      <xdr:col>8</xdr:col>
      <xdr:colOff>694800</xdr:colOff>
      <xdr:row>0</xdr:row>
      <xdr:rowOff>456840</xdr:rowOff>
    </xdr:to>
    <xdr:sp>
      <xdr:nvSpPr>
        <xdr:cNvPr id="140" name="CustomShape 1">
          <a:hlinkClick r:id="rId6"/>
        </xdr:cNvPr>
        <xdr:cNvSpPr/>
      </xdr:nvSpPr>
      <xdr:spPr>
        <a:xfrm>
          <a:off x="7927560" y="162000"/>
          <a:ext cx="1474920" cy="294840"/>
        </a:xfrm>
        <a:prstGeom prst="rect">
          <a:avLst/>
        </a:prstGeom>
        <a:ln>
          <a:noFill/>
        </a:ln>
        <a:effectLst>
          <a:outerShdw algn="ctr" blurRad="57150" dir="5400000" dist="19050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t-BR" sz="105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Menu Principal</a:t>
          </a:r>
          <a:endParaRPr b="0" lang="pt-BR" sz="105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676080</xdr:colOff>
      <xdr:row>0</xdr:row>
      <xdr:rowOff>599760</xdr:rowOff>
    </xdr:to>
    <xdr:pic>
      <xdr:nvPicPr>
        <xdr:cNvPr id="141" name="Imagem 7" descr=""/>
        <xdr:cNvPicPr/>
      </xdr:nvPicPr>
      <xdr:blipFill>
        <a:blip r:embed="rId7"/>
        <a:stretch/>
      </xdr:blipFill>
      <xdr:spPr>
        <a:xfrm>
          <a:off x="9725400" y="0"/>
          <a:ext cx="271188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618840</xdr:colOff>
      <xdr:row>0</xdr:row>
      <xdr:rowOff>590040</xdr:rowOff>
    </xdr:to>
    <xdr:pic>
      <xdr:nvPicPr>
        <xdr:cNvPr id="142" name="Imagem 8" descr=""/>
        <xdr:cNvPicPr/>
      </xdr:nvPicPr>
      <xdr:blipFill>
        <a:blip r:embed="rId8"/>
        <a:stretch/>
      </xdr:blipFill>
      <xdr:spPr>
        <a:xfrm>
          <a:off x="12960360" y="0"/>
          <a:ext cx="2473560" cy="59004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sienge.com.br/demonstracao/?utm_source=materiais-uteis&amp;utm_medium=links-planilha&amp;utm_campaign=planilha-de-cronograma-de-obra" TargetMode="External"/><Relationship Id="rId2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5" activeCellId="0" sqref="O5"/>
    </sheetView>
  </sheetViews>
  <sheetFormatPr defaultRowHeight="15.75" zeroHeight="false" outlineLevelRow="0" outlineLevelCol="0"/>
  <cols>
    <col collapsed="false" customWidth="true" hidden="false" outlineLevel="0" max="1" min="1" style="1" width="6.71"/>
    <col collapsed="false" customWidth="true" hidden="false" outlineLevel="0" max="11" min="2" style="1" width="10.71"/>
    <col collapsed="false" customWidth="true" hidden="false" outlineLevel="0" max="12" min="12" style="1" width="7.86"/>
    <col collapsed="false" customWidth="true" hidden="false" outlineLevel="0" max="13" min="13" style="1" width="10.71"/>
    <col collapsed="false" customWidth="true" hidden="false" outlineLevel="0" max="14" min="14" style="1" width="15.42"/>
    <col collapsed="false" customWidth="true" hidden="false" outlineLevel="0" max="16" min="15" style="1" width="10.71"/>
    <col collapsed="false" customWidth="true" hidden="false" outlineLevel="0" max="17" min="17" style="1" width="16.57"/>
    <col collapsed="false" customWidth="true" hidden="false" outlineLevel="0" max="1025" min="18" style="1" width="14.43"/>
  </cols>
  <sheetData>
    <row r="1" s="3" customFormat="true" ht="48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3.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customFormat="false" ht="135" hidden="false" customHeight="true" outlineLevel="0" collapsed="false">
      <c r="A3" s="4"/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7" t="s">
        <v>1</v>
      </c>
      <c r="P3" s="7"/>
      <c r="Q3" s="7"/>
      <c r="R3" s="4"/>
      <c r="S3" s="4"/>
      <c r="T3" s="4"/>
      <c r="U3" s="4"/>
      <c r="V3" s="4"/>
      <c r="W3" s="4"/>
      <c r="X3" s="4"/>
      <c r="Y3" s="4"/>
      <c r="Z3" s="4"/>
      <c r="AA3" s="4"/>
    </row>
    <row r="4" customFormat="false" ht="48.75" hidden="false" customHeight="true" outlineLevel="0" collapsed="false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customFormat="false" ht="22.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customFormat="false" ht="14.25" hidden="false" customHeight="true" outlineLevel="0" collapsed="false">
      <c r="A6" s="4"/>
      <c r="B6" s="8" t="s">
        <v>2</v>
      </c>
      <c r="C6" s="8"/>
      <c r="D6" s="8"/>
      <c r="E6" s="8"/>
      <c r="F6" s="8"/>
      <c r="G6" s="8"/>
      <c r="H6" s="8"/>
      <c r="I6" s="8"/>
      <c r="J6" s="8"/>
      <c r="K6" s="8"/>
      <c r="L6" s="8"/>
      <c r="M6" s="9"/>
      <c r="N6" s="9"/>
      <c r="O6" s="9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customFormat="false" ht="14.25" hidden="false" customHeight="true" outlineLevel="0" collapsed="false">
      <c r="A7" s="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9"/>
      <c r="N7" s="9"/>
      <c r="O7" s="9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customFormat="false" ht="14.25" hidden="false" customHeight="true" outlineLevel="0" collapsed="false">
      <c r="A8" s="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9"/>
      <c r="N8" s="9"/>
      <c r="O8" s="9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customFormat="false" ht="14.25" hidden="false" customHeight="true" outlineLevel="0" collapsed="false">
      <c r="A9" s="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9"/>
      <c r="N9" s="9"/>
      <c r="O9" s="9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customFormat="false" ht="14.25" hidden="false" customHeight="true" outlineLevel="0" collapsed="false">
      <c r="A10" s="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9"/>
      <c r="N10" s="9"/>
      <c r="O10" s="9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customFormat="false" ht="14.25" hidden="false" customHeight="true" outlineLevel="0" collapsed="false">
      <c r="A11" s="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9"/>
      <c r="N11" s="9"/>
      <c r="O11" s="9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customFormat="false" ht="14.25" hidden="false" customHeight="true" outlineLevel="0" collapsed="false">
      <c r="A12" s="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9"/>
      <c r="N12" s="9"/>
      <c r="O12" s="9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customFormat="false" ht="14.25" hidden="false" customHeight="true" outlineLevel="0" collapsed="false">
      <c r="A13" s="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9"/>
      <c r="N13" s="9"/>
      <c r="O13" s="9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customFormat="false" ht="14.25" hidden="false" customHeight="true" outlineLevel="0" collapsed="false">
      <c r="A14" s="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9"/>
      <c r="N14" s="9"/>
      <c r="O14" s="9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customFormat="false" ht="14.25" hidden="false" customHeight="true" outlineLevel="0" collapsed="false">
      <c r="A15" s="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9"/>
      <c r="N15" s="9"/>
      <c r="O15" s="9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customFormat="false" ht="12.75" hidden="false" customHeight="false" outlineLevel="0" collapsed="false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9"/>
      <c r="N16" s="9"/>
      <c r="O16" s="9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customFormat="false" ht="12.75" hidden="false" customHeight="false" outlineLevel="0" collapsed="false">
      <c r="A17" s="4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="12" customFormat="true" ht="15" hidden="false" customHeight="false" outlineLevel="0" collapsed="false">
      <c r="A18" s="10"/>
      <c r="B18" s="11" t="s">
        <v>3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customFormat="false" ht="12.75" hidden="false" customHeight="false" outlineLevel="0" collapsed="false"/>
    <row r="20" customFormat="false" ht="12.75" hidden="false" customHeight="false" outlineLevel="0" collapsed="false"/>
    <row r="21" customFormat="false" ht="12.75" hidden="false" customHeight="false" outlineLevel="0" collapsed="false"/>
    <row r="22" customFormat="false" ht="12.75" hidden="false" customHeight="false" outlineLevel="0" collapsed="false"/>
    <row r="23" customFormat="false" ht="12.75" hidden="false" customHeight="false" outlineLevel="0" collapsed="false"/>
    <row r="24" customFormat="false" ht="12.75" hidden="false" customHeight="false" outlineLevel="0" collapsed="false"/>
    <row r="25" customFormat="false" ht="12.75" hidden="false" customHeight="false" outlineLevel="0" collapsed="false"/>
    <row r="26" customFormat="false" ht="12.75" hidden="false" customHeight="false" outlineLevel="0" collapsed="false"/>
    <row r="27" customFormat="false" ht="12.75" hidden="false" customHeight="false" outlineLevel="0" collapsed="false"/>
    <row r="28" customFormat="false" ht="12.75" hidden="false" customHeight="false" outlineLevel="0" collapsed="false"/>
    <row r="29" customFormat="false" ht="12.75" hidden="false" customHeight="false" outlineLevel="0" collapsed="false"/>
    <row r="30" customFormat="false" ht="12.75" hidden="false" customHeight="false" outlineLevel="0" collapsed="false"/>
    <row r="31" customFormat="false" ht="12.75" hidden="false" customHeight="false" outlineLevel="0" collapsed="false"/>
    <row r="32" customFormat="false" ht="12.75" hidden="false" customHeight="false" outlineLevel="0" collapsed="false"/>
    <row r="33" customFormat="false" ht="12.75" hidden="false" customHeight="false" outlineLevel="0" collapsed="false"/>
    <row r="34" customFormat="false" ht="12.75" hidden="false" customHeight="false" outlineLevel="0" collapsed="false"/>
    <row r="35" customFormat="false" ht="12.75" hidden="false" customHeight="false" outlineLevel="0" collapsed="false"/>
    <row r="36" customFormat="false" ht="12.75" hidden="false" customHeight="false" outlineLevel="0" collapsed="false"/>
    <row r="37" customFormat="false" ht="12.75" hidden="false" customHeight="false" outlineLevel="0" collapsed="false"/>
    <row r="38" customFormat="false" ht="12.75" hidden="false" customHeight="false" outlineLevel="0" collapsed="false"/>
    <row r="39" customFormat="false" ht="12.75" hidden="false" customHeight="false" outlineLevel="0" collapsed="false"/>
    <row r="40" customFormat="false" ht="12.75" hidden="false" customHeight="false" outlineLevel="0" collapsed="false"/>
    <row r="41" customFormat="false" ht="12.75" hidden="false" customHeight="false" outlineLevel="0" collapsed="false"/>
    <row r="42" customFormat="false" ht="12.75" hidden="false" customHeight="false" outlineLevel="0" collapsed="false"/>
    <row r="43" customFormat="false" ht="12.75" hidden="false" customHeight="false" outlineLevel="0" collapsed="false"/>
    <row r="44" customFormat="false" ht="12.75" hidden="false" customHeight="false" outlineLevel="0" collapsed="false"/>
    <row r="45" customFormat="false" ht="12.75" hidden="false" customHeight="false" outlineLevel="0" collapsed="false"/>
    <row r="46" customFormat="false" ht="12.75" hidden="false" customHeight="false" outlineLevel="0" collapsed="false"/>
    <row r="47" customFormat="false" ht="12.75" hidden="false" customHeight="false" outlineLevel="0" collapsed="false"/>
    <row r="48" customFormat="false" ht="12.75" hidden="false" customHeight="false" outlineLevel="0" collapsed="false"/>
    <row r="49" customFormat="false" ht="12.75" hidden="false" customHeight="false" outlineLevel="0" collapsed="false"/>
    <row r="50" customFormat="false" ht="12.75" hidden="false" customHeight="false" outlineLevel="0" collapsed="false"/>
    <row r="51" customFormat="false" ht="12.75" hidden="false" customHeight="false" outlineLevel="0" collapsed="false"/>
    <row r="52" customFormat="false" ht="12.75" hidden="false" customHeight="false" outlineLevel="0" collapsed="false"/>
    <row r="53" customFormat="false" ht="12.75" hidden="false" customHeight="false" outlineLevel="0" collapsed="false"/>
    <row r="54" customFormat="false" ht="12.75" hidden="false" customHeight="false" outlineLevel="0" collapsed="false"/>
    <row r="55" customFormat="false" ht="12.75" hidden="false" customHeight="false" outlineLevel="0" collapsed="false"/>
    <row r="56" customFormat="false" ht="12.75" hidden="false" customHeight="false" outlineLevel="0" collapsed="false"/>
    <row r="57" customFormat="false" ht="12.75" hidden="false" customHeight="false" outlineLevel="0" collapsed="false"/>
    <row r="58" customFormat="false" ht="12.75" hidden="false" customHeight="false" outlineLevel="0" collapsed="false"/>
    <row r="59" customFormat="false" ht="12.75" hidden="false" customHeight="false" outlineLevel="0" collapsed="false"/>
    <row r="60" customFormat="false" ht="12.75" hidden="false" customHeight="false" outlineLevel="0" collapsed="false"/>
    <row r="61" customFormat="false" ht="12.75" hidden="false" customHeight="false" outlineLevel="0" collapsed="false"/>
    <row r="62" customFormat="false" ht="12.75" hidden="false" customHeight="false" outlineLevel="0" collapsed="false"/>
    <row r="63" customFormat="false" ht="12.75" hidden="false" customHeight="false" outlineLevel="0" collapsed="false"/>
    <row r="64" customFormat="false" ht="12.75" hidden="false" customHeight="false" outlineLevel="0" collapsed="false"/>
    <row r="65" customFormat="false" ht="12.75" hidden="false" customHeight="false" outlineLevel="0" collapsed="false"/>
    <row r="66" customFormat="false" ht="12.75" hidden="false" customHeight="false" outlineLevel="0" collapsed="false"/>
    <row r="67" customFormat="false" ht="12.75" hidden="false" customHeight="false" outlineLevel="0" collapsed="false"/>
    <row r="68" customFormat="false" ht="12.75" hidden="false" customHeight="false" outlineLevel="0" collapsed="false"/>
    <row r="69" customFormat="false" ht="12.75" hidden="false" customHeight="false" outlineLevel="0" collapsed="false"/>
    <row r="70" customFormat="false" ht="12.75" hidden="false" customHeight="false" outlineLevel="0" collapsed="false"/>
    <row r="71" customFormat="false" ht="12.75" hidden="false" customHeight="false" outlineLevel="0" collapsed="false"/>
    <row r="72" customFormat="false" ht="12.75" hidden="false" customHeight="false" outlineLevel="0" collapsed="false"/>
    <row r="73" customFormat="false" ht="12.75" hidden="false" customHeight="false" outlineLevel="0" collapsed="false"/>
    <row r="74" customFormat="false" ht="12.75" hidden="false" customHeight="false" outlineLevel="0" collapsed="false"/>
    <row r="75" customFormat="false" ht="12.75" hidden="false" customHeight="false" outlineLevel="0" collapsed="false"/>
    <row r="76" customFormat="false" ht="12.75" hidden="false" customHeight="false" outlineLevel="0" collapsed="false"/>
    <row r="77" customFormat="false" ht="12.75" hidden="false" customHeight="false" outlineLevel="0" collapsed="false"/>
    <row r="78" customFormat="false" ht="12.75" hidden="false" customHeight="false" outlineLevel="0" collapsed="false"/>
    <row r="79" customFormat="false" ht="12.75" hidden="false" customHeight="false" outlineLevel="0" collapsed="false"/>
    <row r="80" customFormat="false" ht="12.75" hidden="false" customHeight="false" outlineLevel="0" collapsed="false"/>
    <row r="81" customFormat="false" ht="12.75" hidden="false" customHeight="false" outlineLevel="0" collapsed="false"/>
    <row r="82" customFormat="false" ht="12.75" hidden="false" customHeight="false" outlineLevel="0" collapsed="false"/>
    <row r="83" customFormat="false" ht="12.75" hidden="false" customHeight="false" outlineLevel="0" collapsed="false"/>
    <row r="84" customFormat="false" ht="12.75" hidden="false" customHeight="false" outlineLevel="0" collapsed="false"/>
    <row r="85" customFormat="false" ht="12.75" hidden="false" customHeight="false" outlineLevel="0" collapsed="false"/>
    <row r="86" customFormat="false" ht="12.75" hidden="false" customHeight="false" outlineLevel="0" collapsed="false"/>
    <row r="87" customFormat="false" ht="12.75" hidden="false" customHeight="false" outlineLevel="0" collapsed="false"/>
    <row r="88" customFormat="false" ht="12.75" hidden="false" customHeight="false" outlineLevel="0" collapsed="false"/>
    <row r="89" customFormat="false" ht="12.75" hidden="false" customHeight="false" outlineLevel="0" collapsed="false"/>
    <row r="90" customFormat="false" ht="12.75" hidden="false" customHeight="false" outlineLevel="0" collapsed="false"/>
    <row r="91" customFormat="false" ht="12.75" hidden="false" customHeight="false" outlineLevel="0" collapsed="false"/>
    <row r="92" customFormat="false" ht="12.75" hidden="false" customHeight="false" outlineLevel="0" collapsed="false"/>
    <row r="93" customFormat="false" ht="12.75" hidden="false" customHeight="false" outlineLevel="0" collapsed="false"/>
    <row r="94" customFormat="false" ht="12.75" hidden="false" customHeight="false" outlineLevel="0" collapsed="false"/>
    <row r="95" customFormat="false" ht="12.75" hidden="false" customHeight="false" outlineLevel="0" collapsed="false"/>
    <row r="96" customFormat="false" ht="12.75" hidden="false" customHeight="false" outlineLevel="0" collapsed="false"/>
    <row r="97" customFormat="false" ht="12.75" hidden="false" customHeight="false" outlineLevel="0" collapsed="false"/>
    <row r="98" customFormat="false" ht="12.75" hidden="false" customHeight="false" outlineLevel="0" collapsed="false"/>
    <row r="99" customFormat="false" ht="12.75" hidden="false" customHeight="false" outlineLevel="0" collapsed="false"/>
    <row r="100" customFormat="false" ht="12.75" hidden="false" customHeight="false" outlineLevel="0" collapsed="false"/>
    <row r="101" customFormat="false" ht="12.75" hidden="false" customHeight="false" outlineLevel="0" collapsed="false"/>
    <row r="102" customFormat="false" ht="12.75" hidden="false" customHeight="false" outlineLevel="0" collapsed="false"/>
    <row r="103" customFormat="false" ht="12.75" hidden="false" customHeight="false" outlineLevel="0" collapsed="false"/>
    <row r="104" customFormat="false" ht="12.75" hidden="false" customHeight="false" outlineLevel="0" collapsed="false"/>
    <row r="105" customFormat="false" ht="12.75" hidden="false" customHeight="false" outlineLevel="0" collapsed="false"/>
    <row r="106" customFormat="false" ht="12.75" hidden="false" customHeight="false" outlineLevel="0" collapsed="false"/>
    <row r="107" customFormat="false" ht="12.75" hidden="false" customHeight="false" outlineLevel="0" collapsed="false"/>
    <row r="108" customFormat="false" ht="12.75" hidden="false" customHeight="false" outlineLevel="0" collapsed="false"/>
    <row r="109" customFormat="false" ht="12.75" hidden="false" customHeight="false" outlineLevel="0" collapsed="false"/>
    <row r="110" customFormat="false" ht="12.75" hidden="false" customHeight="false" outlineLevel="0" collapsed="false"/>
    <row r="111" customFormat="false" ht="12.75" hidden="false" customHeight="false" outlineLevel="0" collapsed="false"/>
    <row r="112" customFormat="false" ht="12.75" hidden="false" customHeight="false" outlineLevel="0" collapsed="false"/>
    <row r="113" customFormat="false" ht="12.75" hidden="false" customHeight="false" outlineLevel="0" collapsed="false"/>
    <row r="114" customFormat="false" ht="12.75" hidden="false" customHeight="false" outlineLevel="0" collapsed="false"/>
    <row r="115" customFormat="false" ht="12.75" hidden="false" customHeight="false" outlineLevel="0" collapsed="false"/>
    <row r="116" customFormat="false" ht="12.75" hidden="false" customHeight="false" outlineLevel="0" collapsed="false"/>
    <row r="117" customFormat="false" ht="12.75" hidden="false" customHeight="false" outlineLevel="0" collapsed="false"/>
    <row r="118" customFormat="false" ht="12.75" hidden="false" customHeight="false" outlineLevel="0" collapsed="false"/>
    <row r="119" customFormat="false" ht="12.75" hidden="false" customHeight="false" outlineLevel="0" collapsed="false"/>
    <row r="120" customFormat="false" ht="12.75" hidden="false" customHeight="false" outlineLevel="0" collapsed="false"/>
    <row r="121" customFormat="false" ht="12.75" hidden="false" customHeight="false" outlineLevel="0" collapsed="false"/>
    <row r="122" customFormat="false" ht="12.75" hidden="false" customHeight="false" outlineLevel="0" collapsed="false"/>
    <row r="123" customFormat="false" ht="12.75" hidden="false" customHeight="false" outlineLevel="0" collapsed="false"/>
    <row r="124" customFormat="false" ht="12.75" hidden="false" customHeight="false" outlineLevel="0" collapsed="false"/>
    <row r="125" customFormat="false" ht="12.75" hidden="false" customHeight="false" outlineLevel="0" collapsed="false"/>
    <row r="126" customFormat="false" ht="12.75" hidden="false" customHeight="false" outlineLevel="0" collapsed="false"/>
    <row r="127" customFormat="false" ht="12.75" hidden="false" customHeight="false" outlineLevel="0" collapsed="false"/>
    <row r="128" customFormat="false" ht="12.75" hidden="false" customHeight="false" outlineLevel="0" collapsed="false"/>
    <row r="129" customFormat="false" ht="12.75" hidden="false" customHeight="false" outlineLevel="0" collapsed="false"/>
    <row r="130" customFormat="false" ht="12.75" hidden="false" customHeight="false" outlineLevel="0" collapsed="false"/>
    <row r="131" customFormat="false" ht="12.75" hidden="false" customHeight="false" outlineLevel="0" collapsed="false"/>
    <row r="132" customFormat="false" ht="12.75" hidden="false" customHeight="false" outlineLevel="0" collapsed="false"/>
    <row r="133" customFormat="false" ht="12.75" hidden="false" customHeight="false" outlineLevel="0" collapsed="false"/>
    <row r="134" customFormat="false" ht="12.75" hidden="false" customHeight="false" outlineLevel="0" collapsed="false"/>
    <row r="135" customFormat="false" ht="12.75" hidden="false" customHeight="false" outlineLevel="0" collapsed="false"/>
    <row r="136" customFormat="false" ht="12.75" hidden="false" customHeight="false" outlineLevel="0" collapsed="false"/>
    <row r="137" customFormat="false" ht="12.75" hidden="false" customHeight="false" outlineLevel="0" collapsed="false"/>
    <row r="138" customFormat="false" ht="12.75" hidden="false" customHeight="false" outlineLevel="0" collapsed="false"/>
    <row r="139" customFormat="false" ht="12.75" hidden="false" customHeight="false" outlineLevel="0" collapsed="false"/>
    <row r="140" customFormat="false" ht="12.75" hidden="false" customHeight="false" outlineLevel="0" collapsed="false"/>
    <row r="141" customFormat="false" ht="12.75" hidden="false" customHeight="false" outlineLevel="0" collapsed="false"/>
    <row r="142" customFormat="false" ht="12.75" hidden="false" customHeight="false" outlineLevel="0" collapsed="false"/>
    <row r="143" customFormat="false" ht="12.75" hidden="false" customHeight="false" outlineLevel="0" collapsed="false"/>
    <row r="144" customFormat="false" ht="12.75" hidden="false" customHeight="false" outlineLevel="0" collapsed="false"/>
    <row r="145" customFormat="false" ht="12.75" hidden="false" customHeight="false" outlineLevel="0" collapsed="false"/>
    <row r="146" customFormat="false" ht="12.75" hidden="false" customHeight="false" outlineLevel="0" collapsed="false"/>
    <row r="147" customFormat="false" ht="12.75" hidden="false" customHeight="false" outlineLevel="0" collapsed="false"/>
    <row r="148" customFormat="false" ht="12.75" hidden="false" customHeight="false" outlineLevel="0" collapsed="false"/>
    <row r="149" customFormat="false" ht="12.75" hidden="false" customHeight="false" outlineLevel="0" collapsed="false"/>
    <row r="150" customFormat="false" ht="12.75" hidden="false" customHeight="false" outlineLevel="0" collapsed="false"/>
    <row r="151" customFormat="false" ht="12.75" hidden="false" customHeight="false" outlineLevel="0" collapsed="false"/>
    <row r="152" customFormat="false" ht="12.75" hidden="false" customHeight="false" outlineLevel="0" collapsed="false"/>
    <row r="153" customFormat="false" ht="12.75" hidden="false" customHeight="false" outlineLevel="0" collapsed="false"/>
    <row r="154" customFormat="false" ht="12.75" hidden="false" customHeight="false" outlineLevel="0" collapsed="false"/>
    <row r="155" customFormat="false" ht="12.75" hidden="false" customHeight="false" outlineLevel="0" collapsed="false"/>
    <row r="156" customFormat="false" ht="12.75" hidden="false" customHeight="false" outlineLevel="0" collapsed="false"/>
    <row r="157" customFormat="false" ht="12.75" hidden="false" customHeight="false" outlineLevel="0" collapsed="false"/>
    <row r="158" customFormat="false" ht="12.75" hidden="false" customHeight="false" outlineLevel="0" collapsed="false"/>
    <row r="159" customFormat="false" ht="12.75" hidden="false" customHeight="false" outlineLevel="0" collapsed="false"/>
    <row r="160" customFormat="false" ht="12.75" hidden="false" customHeight="false" outlineLevel="0" collapsed="false"/>
    <row r="161" customFormat="false" ht="12.75" hidden="false" customHeight="false" outlineLevel="0" collapsed="false"/>
    <row r="162" customFormat="false" ht="12.75" hidden="false" customHeight="false" outlineLevel="0" collapsed="false"/>
    <row r="163" customFormat="false" ht="12.75" hidden="false" customHeight="false" outlineLevel="0" collapsed="false"/>
    <row r="164" customFormat="false" ht="12.75" hidden="false" customHeight="false" outlineLevel="0" collapsed="false"/>
    <row r="165" customFormat="false" ht="12.75" hidden="false" customHeight="false" outlineLevel="0" collapsed="false"/>
    <row r="166" customFormat="false" ht="12.75" hidden="false" customHeight="false" outlineLevel="0" collapsed="false"/>
    <row r="167" customFormat="false" ht="12.75" hidden="false" customHeight="false" outlineLevel="0" collapsed="false"/>
    <row r="168" customFormat="false" ht="12.75" hidden="false" customHeight="false" outlineLevel="0" collapsed="false"/>
    <row r="169" customFormat="false" ht="12.75" hidden="false" customHeight="false" outlineLevel="0" collapsed="false"/>
    <row r="170" customFormat="false" ht="12.75" hidden="false" customHeight="false" outlineLevel="0" collapsed="false"/>
    <row r="171" customFormat="false" ht="12.75" hidden="false" customHeight="false" outlineLevel="0" collapsed="false"/>
    <row r="172" customFormat="false" ht="12.75" hidden="false" customHeight="false" outlineLevel="0" collapsed="false"/>
    <row r="173" customFormat="false" ht="12.75" hidden="false" customHeight="false" outlineLevel="0" collapsed="false"/>
    <row r="174" customFormat="false" ht="12.75" hidden="false" customHeight="false" outlineLevel="0" collapsed="false"/>
    <row r="175" customFormat="false" ht="12.75" hidden="false" customHeight="false" outlineLevel="0" collapsed="false"/>
    <row r="176" customFormat="false" ht="12.75" hidden="false" customHeight="false" outlineLevel="0" collapsed="false"/>
    <row r="177" customFormat="false" ht="12.75" hidden="false" customHeight="false" outlineLevel="0" collapsed="false"/>
    <row r="178" customFormat="false" ht="12.75" hidden="false" customHeight="false" outlineLevel="0" collapsed="false"/>
    <row r="179" customFormat="false" ht="12.75" hidden="false" customHeight="false" outlineLevel="0" collapsed="false"/>
    <row r="180" customFormat="false" ht="12.75" hidden="false" customHeight="false" outlineLevel="0" collapsed="false"/>
    <row r="181" customFormat="false" ht="12.75" hidden="false" customHeight="false" outlineLevel="0" collapsed="false"/>
    <row r="182" customFormat="false" ht="12.75" hidden="false" customHeight="false" outlineLevel="0" collapsed="false"/>
    <row r="183" customFormat="false" ht="12.75" hidden="false" customHeight="false" outlineLevel="0" collapsed="false"/>
    <row r="184" customFormat="false" ht="12.75" hidden="false" customHeight="false" outlineLevel="0" collapsed="false"/>
    <row r="185" customFormat="false" ht="12.75" hidden="false" customHeight="false" outlineLevel="0" collapsed="false"/>
    <row r="186" customFormat="false" ht="12.75" hidden="false" customHeight="false" outlineLevel="0" collapsed="false"/>
    <row r="187" customFormat="false" ht="12.75" hidden="false" customHeight="false" outlineLevel="0" collapsed="false"/>
    <row r="188" customFormat="false" ht="12.75" hidden="false" customHeight="false" outlineLevel="0" collapsed="false"/>
    <row r="189" customFormat="false" ht="12.75" hidden="false" customHeight="false" outlineLevel="0" collapsed="false"/>
    <row r="190" customFormat="false" ht="12.75" hidden="false" customHeight="false" outlineLevel="0" collapsed="false"/>
    <row r="191" customFormat="false" ht="12.75" hidden="false" customHeight="false" outlineLevel="0" collapsed="false"/>
    <row r="192" customFormat="false" ht="12.75" hidden="false" customHeight="false" outlineLevel="0" collapsed="false"/>
    <row r="193" customFormat="false" ht="12.75" hidden="false" customHeight="false" outlineLevel="0" collapsed="false"/>
    <row r="194" customFormat="false" ht="12.75" hidden="false" customHeight="false" outlineLevel="0" collapsed="false"/>
    <row r="195" customFormat="false" ht="12.75" hidden="false" customHeight="false" outlineLevel="0" collapsed="false"/>
    <row r="196" customFormat="false" ht="12.75" hidden="false" customHeight="false" outlineLevel="0" collapsed="false"/>
    <row r="197" customFormat="false" ht="12.75" hidden="false" customHeight="false" outlineLevel="0" collapsed="false"/>
    <row r="198" customFormat="false" ht="12.75" hidden="false" customHeight="false" outlineLevel="0" collapsed="false"/>
    <row r="199" customFormat="false" ht="12.75" hidden="false" customHeight="false" outlineLevel="0" collapsed="false"/>
    <row r="200" customFormat="false" ht="12.75" hidden="false" customHeight="false" outlineLevel="0" collapsed="false"/>
    <row r="201" customFormat="false" ht="12.75" hidden="false" customHeight="false" outlineLevel="0" collapsed="false"/>
    <row r="202" customFormat="false" ht="12.75" hidden="false" customHeight="false" outlineLevel="0" collapsed="false"/>
    <row r="203" customFormat="false" ht="12.75" hidden="false" customHeight="false" outlineLevel="0" collapsed="false"/>
    <row r="204" customFormat="false" ht="12.75" hidden="false" customHeight="false" outlineLevel="0" collapsed="false"/>
    <row r="205" customFormat="false" ht="12.75" hidden="false" customHeight="false" outlineLevel="0" collapsed="false"/>
    <row r="206" customFormat="false" ht="12.75" hidden="false" customHeight="false" outlineLevel="0" collapsed="false"/>
    <row r="207" customFormat="false" ht="12.75" hidden="false" customHeight="false" outlineLevel="0" collapsed="false"/>
    <row r="208" customFormat="false" ht="12.75" hidden="false" customHeight="false" outlineLevel="0" collapsed="false"/>
    <row r="209" customFormat="false" ht="12.75" hidden="false" customHeight="false" outlineLevel="0" collapsed="false"/>
    <row r="210" customFormat="false" ht="12.75" hidden="false" customHeight="false" outlineLevel="0" collapsed="false"/>
    <row r="211" customFormat="false" ht="12.75" hidden="false" customHeight="false" outlineLevel="0" collapsed="false"/>
    <row r="212" customFormat="false" ht="12.75" hidden="false" customHeight="false" outlineLevel="0" collapsed="false"/>
    <row r="213" customFormat="false" ht="12.75" hidden="false" customHeight="false" outlineLevel="0" collapsed="false"/>
    <row r="214" customFormat="false" ht="12.75" hidden="false" customHeight="false" outlineLevel="0" collapsed="false"/>
    <row r="215" customFormat="false" ht="12.75" hidden="false" customHeight="false" outlineLevel="0" collapsed="false"/>
    <row r="216" customFormat="false" ht="12.75" hidden="false" customHeight="false" outlineLevel="0" collapsed="false"/>
    <row r="217" customFormat="false" ht="12.75" hidden="false" customHeight="false" outlineLevel="0" collapsed="false"/>
    <row r="218" customFormat="false" ht="12.75" hidden="false" customHeight="false" outlineLevel="0" collapsed="false"/>
    <row r="219" customFormat="false" ht="12.75" hidden="false" customHeight="false" outlineLevel="0" collapsed="false"/>
    <row r="220" customFormat="false" ht="12.75" hidden="false" customHeight="false" outlineLevel="0" collapsed="false"/>
    <row r="221" customFormat="false" ht="12.75" hidden="false" customHeight="false" outlineLevel="0" collapsed="false"/>
    <row r="222" customFormat="false" ht="12.75" hidden="false" customHeight="false" outlineLevel="0" collapsed="false"/>
    <row r="223" customFormat="false" ht="12.75" hidden="false" customHeight="false" outlineLevel="0" collapsed="false"/>
    <row r="224" customFormat="false" ht="12.75" hidden="false" customHeight="false" outlineLevel="0" collapsed="false"/>
    <row r="225" customFormat="false" ht="12.75" hidden="false" customHeight="false" outlineLevel="0" collapsed="false"/>
    <row r="226" customFormat="false" ht="12.75" hidden="false" customHeight="false" outlineLevel="0" collapsed="false"/>
    <row r="227" customFormat="false" ht="12.75" hidden="false" customHeight="false" outlineLevel="0" collapsed="false"/>
    <row r="228" customFormat="false" ht="12.75" hidden="false" customHeight="false" outlineLevel="0" collapsed="false"/>
    <row r="229" customFormat="false" ht="12.75" hidden="false" customHeight="false" outlineLevel="0" collapsed="false"/>
    <row r="230" customFormat="false" ht="12.75" hidden="false" customHeight="false" outlineLevel="0" collapsed="false"/>
    <row r="231" customFormat="false" ht="12.75" hidden="false" customHeight="false" outlineLevel="0" collapsed="false"/>
    <row r="232" customFormat="false" ht="12.75" hidden="false" customHeight="false" outlineLevel="0" collapsed="false"/>
    <row r="233" customFormat="false" ht="12.75" hidden="false" customHeight="false" outlineLevel="0" collapsed="false"/>
    <row r="234" customFormat="false" ht="12.75" hidden="false" customHeight="false" outlineLevel="0" collapsed="false"/>
    <row r="235" customFormat="false" ht="12.75" hidden="false" customHeight="false" outlineLevel="0" collapsed="false"/>
    <row r="236" customFormat="false" ht="12.75" hidden="false" customHeight="false" outlineLevel="0" collapsed="false"/>
    <row r="237" customFormat="false" ht="12.75" hidden="false" customHeight="false" outlineLevel="0" collapsed="false"/>
    <row r="238" customFormat="false" ht="12.75" hidden="false" customHeight="false" outlineLevel="0" collapsed="false"/>
    <row r="239" customFormat="false" ht="12.75" hidden="false" customHeight="false" outlineLevel="0" collapsed="false"/>
    <row r="240" customFormat="false" ht="12.75" hidden="false" customHeight="false" outlineLevel="0" collapsed="false"/>
    <row r="241" customFormat="false" ht="12.75" hidden="false" customHeight="false" outlineLevel="0" collapsed="false"/>
    <row r="242" customFormat="false" ht="12.75" hidden="false" customHeight="false" outlineLevel="0" collapsed="false"/>
    <row r="243" customFormat="false" ht="12.75" hidden="false" customHeight="false" outlineLevel="0" collapsed="false"/>
    <row r="244" customFormat="false" ht="12.75" hidden="false" customHeight="false" outlineLevel="0" collapsed="false"/>
    <row r="245" customFormat="false" ht="12.75" hidden="false" customHeight="false" outlineLevel="0" collapsed="false"/>
    <row r="246" customFormat="false" ht="12.75" hidden="false" customHeight="false" outlineLevel="0" collapsed="false"/>
    <row r="247" customFormat="false" ht="12.75" hidden="false" customHeight="false" outlineLevel="0" collapsed="false"/>
    <row r="248" customFormat="false" ht="12.75" hidden="false" customHeight="false" outlineLevel="0" collapsed="false"/>
    <row r="249" customFormat="false" ht="12.75" hidden="false" customHeight="false" outlineLevel="0" collapsed="false"/>
    <row r="250" customFormat="false" ht="12.75" hidden="false" customHeight="false" outlineLevel="0" collapsed="false"/>
    <row r="251" customFormat="false" ht="12.75" hidden="false" customHeight="false" outlineLevel="0" collapsed="false"/>
    <row r="252" customFormat="false" ht="12.75" hidden="false" customHeight="false" outlineLevel="0" collapsed="false"/>
    <row r="253" customFormat="false" ht="12.75" hidden="false" customHeight="false" outlineLevel="0" collapsed="false"/>
    <row r="254" customFormat="false" ht="12.75" hidden="false" customHeight="false" outlineLevel="0" collapsed="false"/>
    <row r="255" customFormat="false" ht="12.75" hidden="false" customHeight="false" outlineLevel="0" collapsed="false"/>
    <row r="256" customFormat="false" ht="12.75" hidden="false" customHeight="false" outlineLevel="0" collapsed="false"/>
    <row r="257" customFormat="false" ht="12.75" hidden="false" customHeight="false" outlineLevel="0" collapsed="false"/>
    <row r="258" customFormat="false" ht="12.75" hidden="false" customHeight="false" outlineLevel="0" collapsed="false"/>
    <row r="259" customFormat="false" ht="12.75" hidden="false" customHeight="false" outlineLevel="0" collapsed="false"/>
    <row r="260" customFormat="false" ht="12.75" hidden="false" customHeight="false" outlineLevel="0" collapsed="false"/>
    <row r="261" customFormat="false" ht="12.75" hidden="false" customHeight="false" outlineLevel="0" collapsed="false"/>
    <row r="262" customFormat="false" ht="12.75" hidden="false" customHeight="false" outlineLevel="0" collapsed="false"/>
    <row r="263" customFormat="false" ht="12.75" hidden="false" customHeight="false" outlineLevel="0" collapsed="false"/>
    <row r="264" customFormat="false" ht="12.75" hidden="false" customHeight="false" outlineLevel="0" collapsed="false"/>
    <row r="265" customFormat="false" ht="12.75" hidden="false" customHeight="false" outlineLevel="0" collapsed="false"/>
    <row r="266" customFormat="false" ht="12.75" hidden="false" customHeight="false" outlineLevel="0" collapsed="false"/>
    <row r="267" customFormat="false" ht="12.75" hidden="false" customHeight="false" outlineLevel="0" collapsed="false"/>
    <row r="268" customFormat="false" ht="12.75" hidden="false" customHeight="false" outlineLevel="0" collapsed="false"/>
    <row r="269" customFormat="false" ht="12.75" hidden="false" customHeight="false" outlineLevel="0" collapsed="false"/>
    <row r="270" customFormat="false" ht="12.75" hidden="false" customHeight="false" outlineLevel="0" collapsed="false"/>
    <row r="271" customFormat="false" ht="12.75" hidden="false" customHeight="false" outlineLevel="0" collapsed="false"/>
    <row r="272" customFormat="false" ht="12.75" hidden="false" customHeight="false" outlineLevel="0" collapsed="false"/>
    <row r="273" customFormat="false" ht="12.75" hidden="false" customHeight="fals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12.75" hidden="false" customHeight="false" outlineLevel="0" collapsed="false"/>
    <row r="283" customFormat="false" ht="12.75" hidden="false" customHeight="false" outlineLevel="0" collapsed="false"/>
    <row r="284" customFormat="false" ht="12.75" hidden="false" customHeight="fals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12.75" hidden="false" customHeight="false" outlineLevel="0" collapsed="false"/>
    <row r="291" customFormat="false" ht="12.75" hidden="false" customHeight="false" outlineLevel="0" collapsed="false"/>
    <row r="292" customFormat="false" ht="12.75" hidden="false" customHeight="false" outlineLevel="0" collapsed="false"/>
    <row r="293" customFormat="false" ht="12.75" hidden="false" customHeight="false" outlineLevel="0" collapsed="false"/>
    <row r="294" customFormat="false" ht="12.75" hidden="false" customHeight="false" outlineLevel="0" collapsed="false"/>
    <row r="295" customFormat="false" ht="12.75" hidden="false" customHeight="fals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12.75" hidden="false" customHeight="false" outlineLevel="0" collapsed="false"/>
    <row r="299" customFormat="false" ht="12.75" hidden="false" customHeight="false" outlineLevel="0" collapsed="false"/>
    <row r="300" customFormat="false" ht="12.75" hidden="false" customHeight="fals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12.75" hidden="false" customHeight="false" outlineLevel="0" collapsed="false"/>
    <row r="308" customFormat="false" ht="12.75" hidden="false" customHeight="false" outlineLevel="0" collapsed="false"/>
    <row r="309" customFormat="false" ht="12.75" hidden="false" customHeight="false" outlineLevel="0" collapsed="false"/>
    <row r="310" customFormat="false" ht="12.75" hidden="false" customHeight="false" outlineLevel="0" collapsed="false"/>
    <row r="311" customFormat="false" ht="12.75" hidden="false" customHeight="false" outlineLevel="0" collapsed="false"/>
    <row r="312" customFormat="false" ht="12.75" hidden="false" customHeight="false" outlineLevel="0" collapsed="false"/>
    <row r="313" customFormat="false" ht="12.75" hidden="false" customHeight="false" outlineLevel="0" collapsed="false"/>
    <row r="314" customFormat="false" ht="12.75" hidden="false" customHeight="fals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12.75" hidden="false" customHeight="fals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  <row r="344" customFormat="false" ht="12.75" hidden="false" customHeight="false" outlineLevel="0" collapsed="false"/>
    <row r="345" customFormat="false" ht="12.75" hidden="false" customHeight="false" outlineLevel="0" collapsed="false"/>
    <row r="346" customFormat="false" ht="12.75" hidden="false" customHeight="false" outlineLevel="0" collapsed="false"/>
    <row r="347" customFormat="false" ht="12.75" hidden="false" customHeight="false" outlineLevel="0" collapsed="false"/>
    <row r="348" customFormat="false" ht="12.75" hidden="false" customHeight="false" outlineLevel="0" collapsed="false"/>
    <row r="349" customFormat="false" ht="12.75" hidden="false" customHeight="false" outlineLevel="0" collapsed="false"/>
    <row r="350" customFormat="false" ht="12.75" hidden="false" customHeight="false" outlineLevel="0" collapsed="false"/>
    <row r="351" customFormat="false" ht="12.75" hidden="false" customHeight="false" outlineLevel="0" collapsed="false"/>
    <row r="352" customFormat="false" ht="12.75" hidden="false" customHeight="false" outlineLevel="0" collapsed="false"/>
    <row r="353" customFormat="false" ht="12.75" hidden="false" customHeight="false" outlineLevel="0" collapsed="false"/>
    <row r="354" customFormat="false" ht="12.75" hidden="false" customHeight="false" outlineLevel="0" collapsed="false"/>
    <row r="355" customFormat="false" ht="12.75" hidden="false" customHeight="false" outlineLevel="0" collapsed="false"/>
    <row r="356" customFormat="false" ht="12.75" hidden="false" customHeight="false" outlineLevel="0" collapsed="false"/>
    <row r="357" customFormat="false" ht="12.75" hidden="false" customHeight="false" outlineLevel="0" collapsed="false"/>
    <row r="358" customFormat="false" ht="12.75" hidden="false" customHeight="false" outlineLevel="0" collapsed="false"/>
    <row r="359" customFormat="false" ht="12.75" hidden="false" customHeight="false" outlineLevel="0" collapsed="false"/>
    <row r="360" customFormat="false" ht="12.75" hidden="false" customHeight="false" outlineLevel="0" collapsed="false"/>
    <row r="361" customFormat="false" ht="12.75" hidden="false" customHeight="false" outlineLevel="0" collapsed="false"/>
    <row r="362" customFormat="false" ht="12.75" hidden="false" customHeight="false" outlineLevel="0" collapsed="false"/>
    <row r="363" customFormat="false" ht="12.75" hidden="false" customHeight="false" outlineLevel="0" collapsed="false"/>
    <row r="364" customFormat="false" ht="12.75" hidden="false" customHeight="false" outlineLevel="0" collapsed="false"/>
    <row r="365" customFormat="false" ht="12.75" hidden="false" customHeight="false" outlineLevel="0" collapsed="false"/>
    <row r="366" customFormat="false" ht="12.75" hidden="false" customHeight="false" outlineLevel="0" collapsed="false"/>
    <row r="367" customFormat="false" ht="12.75" hidden="false" customHeight="false" outlineLevel="0" collapsed="false"/>
    <row r="368" customFormat="false" ht="12.75" hidden="false" customHeight="false" outlineLevel="0" collapsed="false"/>
    <row r="369" customFormat="false" ht="12.75" hidden="false" customHeight="false" outlineLevel="0" collapsed="false"/>
    <row r="370" customFormat="false" ht="12.75" hidden="false" customHeight="false" outlineLevel="0" collapsed="false"/>
    <row r="371" customFormat="false" ht="12.75" hidden="false" customHeight="false" outlineLevel="0" collapsed="false"/>
    <row r="372" customFormat="false" ht="12.75" hidden="false" customHeight="false" outlineLevel="0" collapsed="false"/>
    <row r="373" customFormat="false" ht="12.75" hidden="false" customHeight="false" outlineLevel="0" collapsed="false"/>
    <row r="374" customFormat="false" ht="12.75" hidden="false" customHeight="false" outlineLevel="0" collapsed="false"/>
    <row r="375" customFormat="false" ht="12.75" hidden="false" customHeight="false" outlineLevel="0" collapsed="false"/>
    <row r="376" customFormat="false" ht="12.75" hidden="false" customHeight="false" outlineLevel="0" collapsed="false"/>
    <row r="377" customFormat="false" ht="12.75" hidden="false" customHeight="false" outlineLevel="0" collapsed="false"/>
    <row r="378" customFormat="false" ht="12.75" hidden="false" customHeight="false" outlineLevel="0" collapsed="false"/>
    <row r="379" customFormat="false" ht="12.75" hidden="false" customHeight="false" outlineLevel="0" collapsed="false"/>
    <row r="380" customFormat="false" ht="12.75" hidden="false" customHeight="false" outlineLevel="0" collapsed="false"/>
    <row r="381" customFormat="false" ht="12.75" hidden="false" customHeight="false" outlineLevel="0" collapsed="false"/>
    <row r="382" customFormat="false" ht="12.75" hidden="false" customHeight="false" outlineLevel="0" collapsed="false"/>
    <row r="383" customFormat="false" ht="12.75" hidden="false" customHeight="false" outlineLevel="0" collapsed="false"/>
    <row r="384" customFormat="false" ht="12.75" hidden="false" customHeight="false" outlineLevel="0" collapsed="false"/>
    <row r="385" customFormat="false" ht="12.75" hidden="false" customHeight="false" outlineLevel="0" collapsed="false"/>
    <row r="386" customFormat="false" ht="12.75" hidden="false" customHeight="false" outlineLevel="0" collapsed="false"/>
    <row r="387" customFormat="false" ht="12.75" hidden="false" customHeight="false" outlineLevel="0" collapsed="false"/>
    <row r="388" customFormat="false" ht="12.75" hidden="false" customHeight="false" outlineLevel="0" collapsed="false"/>
    <row r="389" customFormat="false" ht="12.75" hidden="false" customHeight="false" outlineLevel="0" collapsed="false"/>
    <row r="390" customFormat="false" ht="12.75" hidden="false" customHeight="false" outlineLevel="0" collapsed="false"/>
    <row r="391" customFormat="false" ht="12.75" hidden="false" customHeight="false" outlineLevel="0" collapsed="false"/>
    <row r="392" customFormat="false" ht="12.75" hidden="false" customHeight="false" outlineLevel="0" collapsed="false"/>
    <row r="393" customFormat="false" ht="12.75" hidden="false" customHeight="false" outlineLevel="0" collapsed="false"/>
    <row r="394" customFormat="false" ht="12.75" hidden="false" customHeight="false" outlineLevel="0" collapsed="false"/>
    <row r="395" customFormat="false" ht="12.75" hidden="false" customHeight="false" outlineLevel="0" collapsed="false"/>
    <row r="396" customFormat="false" ht="12.75" hidden="false" customHeight="false" outlineLevel="0" collapsed="false"/>
    <row r="397" customFormat="false" ht="12.75" hidden="false" customHeight="false" outlineLevel="0" collapsed="false"/>
    <row r="398" customFormat="false" ht="12.75" hidden="false" customHeight="false" outlineLevel="0" collapsed="false"/>
    <row r="399" customFormat="false" ht="12.75" hidden="false" customHeight="false" outlineLevel="0" collapsed="false"/>
    <row r="400" customFormat="false" ht="12.75" hidden="false" customHeight="false" outlineLevel="0" collapsed="false"/>
    <row r="401" customFormat="false" ht="12.75" hidden="false" customHeight="false" outlineLevel="0" collapsed="false"/>
    <row r="402" customFormat="false" ht="12.75" hidden="false" customHeight="false" outlineLevel="0" collapsed="false"/>
    <row r="403" customFormat="false" ht="12.75" hidden="false" customHeight="false" outlineLevel="0" collapsed="false"/>
    <row r="404" customFormat="false" ht="12.75" hidden="false" customHeight="false" outlineLevel="0" collapsed="false"/>
    <row r="405" customFormat="false" ht="12.75" hidden="false" customHeight="false" outlineLevel="0" collapsed="false"/>
    <row r="406" customFormat="false" ht="12.75" hidden="false" customHeight="false" outlineLevel="0" collapsed="false"/>
    <row r="407" customFormat="false" ht="12.75" hidden="false" customHeight="false" outlineLevel="0" collapsed="false"/>
    <row r="408" customFormat="false" ht="12.75" hidden="false" customHeight="false" outlineLevel="0" collapsed="false"/>
    <row r="409" customFormat="false" ht="12.75" hidden="false" customHeight="false" outlineLevel="0" collapsed="false"/>
    <row r="410" customFormat="false" ht="12.75" hidden="false" customHeight="false" outlineLevel="0" collapsed="false"/>
    <row r="411" customFormat="false" ht="12.75" hidden="false" customHeight="false" outlineLevel="0" collapsed="false"/>
    <row r="412" customFormat="false" ht="12.75" hidden="false" customHeight="false" outlineLevel="0" collapsed="false"/>
    <row r="413" customFormat="false" ht="12.75" hidden="false" customHeight="false" outlineLevel="0" collapsed="false"/>
    <row r="414" customFormat="false" ht="12.75" hidden="false" customHeight="false" outlineLevel="0" collapsed="false"/>
    <row r="415" customFormat="false" ht="12.75" hidden="false" customHeight="false" outlineLevel="0" collapsed="false"/>
    <row r="416" customFormat="false" ht="12.75" hidden="false" customHeight="false" outlineLevel="0" collapsed="false"/>
    <row r="417" customFormat="false" ht="12.75" hidden="false" customHeight="false" outlineLevel="0" collapsed="false"/>
    <row r="418" customFormat="false" ht="12.75" hidden="false" customHeight="false" outlineLevel="0" collapsed="false"/>
    <row r="419" customFormat="false" ht="12.75" hidden="false" customHeight="false" outlineLevel="0" collapsed="false"/>
    <row r="420" customFormat="false" ht="12.75" hidden="false" customHeight="false" outlineLevel="0" collapsed="false"/>
    <row r="421" customFormat="false" ht="12.75" hidden="false" customHeight="false" outlineLevel="0" collapsed="false"/>
    <row r="422" customFormat="false" ht="12.75" hidden="false" customHeight="false" outlineLevel="0" collapsed="false"/>
    <row r="423" customFormat="false" ht="12.75" hidden="false" customHeight="false" outlineLevel="0" collapsed="false"/>
    <row r="424" customFormat="false" ht="12.75" hidden="false" customHeight="false" outlineLevel="0" collapsed="false"/>
    <row r="425" customFormat="false" ht="12.75" hidden="false" customHeight="false" outlineLevel="0" collapsed="false"/>
    <row r="426" customFormat="false" ht="12.75" hidden="false" customHeight="false" outlineLevel="0" collapsed="false"/>
    <row r="427" customFormat="false" ht="12.75" hidden="false" customHeight="false" outlineLevel="0" collapsed="false"/>
    <row r="428" customFormat="false" ht="12.75" hidden="false" customHeight="false" outlineLevel="0" collapsed="false"/>
    <row r="429" customFormat="false" ht="12.75" hidden="false" customHeight="false" outlineLevel="0" collapsed="false"/>
    <row r="430" customFormat="false" ht="12.75" hidden="false" customHeight="false" outlineLevel="0" collapsed="false"/>
    <row r="431" customFormat="false" ht="12.75" hidden="false" customHeight="false" outlineLevel="0" collapsed="false"/>
    <row r="432" customFormat="false" ht="12.75" hidden="false" customHeight="false" outlineLevel="0" collapsed="false"/>
    <row r="433" customFormat="false" ht="12.75" hidden="false" customHeight="false" outlineLevel="0" collapsed="false"/>
    <row r="434" customFormat="false" ht="12.75" hidden="false" customHeight="false" outlineLevel="0" collapsed="false"/>
    <row r="435" customFormat="false" ht="12.75" hidden="false" customHeight="false" outlineLevel="0" collapsed="false"/>
    <row r="436" customFormat="false" ht="12.75" hidden="false" customHeight="false" outlineLevel="0" collapsed="false"/>
    <row r="437" customFormat="false" ht="12.75" hidden="false" customHeight="false" outlineLevel="0" collapsed="false"/>
    <row r="438" customFormat="false" ht="12.75" hidden="false" customHeight="false" outlineLevel="0" collapsed="false"/>
    <row r="439" customFormat="false" ht="12.75" hidden="false" customHeight="false" outlineLevel="0" collapsed="false"/>
    <row r="440" customFormat="false" ht="12.75" hidden="false" customHeight="false" outlineLevel="0" collapsed="false"/>
    <row r="441" customFormat="false" ht="12.75" hidden="false" customHeight="false" outlineLevel="0" collapsed="false"/>
    <row r="442" customFormat="false" ht="12.75" hidden="false" customHeight="false" outlineLevel="0" collapsed="false"/>
    <row r="443" customFormat="false" ht="12.75" hidden="false" customHeight="false" outlineLevel="0" collapsed="false"/>
    <row r="444" customFormat="false" ht="12.75" hidden="false" customHeight="false" outlineLevel="0" collapsed="false"/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/>
    <row r="455" customFormat="false" ht="12.75" hidden="false" customHeight="false" outlineLevel="0" collapsed="false"/>
    <row r="456" customFormat="false" ht="12.75" hidden="false" customHeight="false" outlineLevel="0" collapsed="false"/>
    <row r="457" customFormat="false" ht="12.75" hidden="false" customHeight="false" outlineLevel="0" collapsed="false"/>
    <row r="458" customFormat="false" ht="12.75" hidden="false" customHeight="false" outlineLevel="0" collapsed="false"/>
    <row r="459" customFormat="false" ht="12.75" hidden="false" customHeight="false" outlineLevel="0" collapsed="false"/>
    <row r="460" customFormat="false" ht="12.75" hidden="false" customHeight="false" outlineLevel="0" collapsed="false"/>
    <row r="461" customFormat="false" ht="12.75" hidden="false" customHeight="false" outlineLevel="0" collapsed="false"/>
    <row r="462" customFormat="false" ht="12.75" hidden="false" customHeight="false" outlineLevel="0" collapsed="false"/>
    <row r="463" customFormat="false" ht="12.75" hidden="false" customHeight="false" outlineLevel="0" collapsed="false"/>
    <row r="464" customFormat="false" ht="12.75" hidden="false" customHeight="false" outlineLevel="0" collapsed="false"/>
    <row r="465" customFormat="false" ht="12.75" hidden="false" customHeight="false" outlineLevel="0" collapsed="false"/>
    <row r="466" customFormat="false" ht="12.75" hidden="false" customHeight="false" outlineLevel="0" collapsed="false"/>
    <row r="467" customFormat="false" ht="12.75" hidden="false" customHeight="false" outlineLevel="0" collapsed="false"/>
    <row r="468" customFormat="false" ht="12.75" hidden="false" customHeight="false" outlineLevel="0" collapsed="false"/>
    <row r="469" customFormat="false" ht="12.75" hidden="false" customHeight="false" outlineLevel="0" collapsed="false"/>
    <row r="470" customFormat="false" ht="12.75" hidden="false" customHeight="false" outlineLevel="0" collapsed="false"/>
    <row r="471" customFormat="false" ht="12.75" hidden="false" customHeight="false" outlineLevel="0" collapsed="false"/>
    <row r="472" customFormat="false" ht="12.75" hidden="false" customHeight="false" outlineLevel="0" collapsed="false"/>
    <row r="473" customFormat="false" ht="12.75" hidden="false" customHeight="false" outlineLevel="0" collapsed="false"/>
    <row r="474" customFormat="false" ht="12.75" hidden="false" customHeight="false" outlineLevel="0" collapsed="false"/>
    <row r="475" customFormat="false" ht="12.75" hidden="false" customHeight="false" outlineLevel="0" collapsed="false"/>
    <row r="476" customFormat="false" ht="12.75" hidden="false" customHeight="false" outlineLevel="0" collapsed="false"/>
    <row r="477" customFormat="false" ht="12.75" hidden="false" customHeight="false" outlineLevel="0" collapsed="false"/>
    <row r="478" customFormat="false" ht="12.75" hidden="false" customHeight="false" outlineLevel="0" collapsed="false"/>
    <row r="479" customFormat="false" ht="12.75" hidden="false" customHeight="false" outlineLevel="0" collapsed="false"/>
    <row r="480" customFormat="false" ht="12.75" hidden="false" customHeight="false" outlineLevel="0" collapsed="false"/>
    <row r="481" customFormat="false" ht="12.75" hidden="false" customHeight="false" outlineLevel="0" collapsed="false"/>
    <row r="482" customFormat="false" ht="12.75" hidden="false" customHeight="false" outlineLevel="0" collapsed="false"/>
    <row r="483" customFormat="false" ht="12.75" hidden="false" customHeight="false" outlineLevel="0" collapsed="false"/>
    <row r="484" customFormat="false" ht="12.75" hidden="false" customHeight="false" outlineLevel="0" collapsed="false"/>
    <row r="485" customFormat="false" ht="12.75" hidden="false" customHeight="false" outlineLevel="0" collapsed="false"/>
    <row r="486" customFormat="false" ht="12.75" hidden="false" customHeight="false" outlineLevel="0" collapsed="false"/>
    <row r="487" customFormat="false" ht="12.75" hidden="false" customHeight="false" outlineLevel="0" collapsed="false"/>
    <row r="488" customFormat="false" ht="12.75" hidden="false" customHeight="false" outlineLevel="0" collapsed="false"/>
    <row r="489" customFormat="false" ht="12.75" hidden="false" customHeight="false" outlineLevel="0" collapsed="false"/>
    <row r="490" customFormat="false" ht="12.75" hidden="false" customHeight="false" outlineLevel="0" collapsed="false"/>
    <row r="491" customFormat="false" ht="12.75" hidden="false" customHeight="false" outlineLevel="0" collapsed="false"/>
    <row r="492" customFormat="false" ht="12.75" hidden="false" customHeight="false" outlineLevel="0" collapsed="false"/>
    <row r="493" customFormat="false" ht="12.75" hidden="false" customHeight="false" outlineLevel="0" collapsed="false"/>
    <row r="494" customFormat="false" ht="12.75" hidden="false" customHeight="false" outlineLevel="0" collapsed="false"/>
    <row r="495" customFormat="false" ht="12.75" hidden="false" customHeight="false" outlineLevel="0" collapsed="false"/>
    <row r="496" customFormat="false" ht="12.75" hidden="false" customHeight="false" outlineLevel="0" collapsed="false"/>
    <row r="497" customFormat="false" ht="12.75" hidden="false" customHeight="false" outlineLevel="0" collapsed="false"/>
    <row r="498" customFormat="false" ht="12.75" hidden="false" customHeight="false" outlineLevel="0" collapsed="false"/>
    <row r="499" customFormat="false" ht="12.75" hidden="false" customHeight="false" outlineLevel="0" collapsed="false"/>
    <row r="500" customFormat="false" ht="12.75" hidden="false" customHeight="false" outlineLevel="0" collapsed="false"/>
    <row r="501" customFormat="false" ht="12.75" hidden="false" customHeight="false" outlineLevel="0" collapsed="false"/>
    <row r="502" customFormat="false" ht="12.75" hidden="false" customHeight="false" outlineLevel="0" collapsed="false"/>
    <row r="503" customFormat="false" ht="12.75" hidden="false" customHeight="false" outlineLevel="0" collapsed="false"/>
    <row r="504" customFormat="false" ht="12.75" hidden="false" customHeight="false" outlineLevel="0" collapsed="false"/>
    <row r="505" customFormat="false" ht="12.75" hidden="false" customHeight="false" outlineLevel="0" collapsed="false"/>
    <row r="506" customFormat="false" ht="12.75" hidden="false" customHeight="false" outlineLevel="0" collapsed="false"/>
    <row r="507" customFormat="false" ht="12.75" hidden="false" customHeight="false" outlineLevel="0" collapsed="false"/>
    <row r="508" customFormat="false" ht="12.75" hidden="false" customHeight="false" outlineLevel="0" collapsed="false"/>
    <row r="509" customFormat="false" ht="12.75" hidden="false" customHeight="false" outlineLevel="0" collapsed="false"/>
    <row r="510" customFormat="false" ht="12.75" hidden="false" customHeight="false" outlineLevel="0" collapsed="false"/>
    <row r="511" customFormat="false" ht="12.75" hidden="false" customHeight="false" outlineLevel="0" collapsed="false"/>
    <row r="512" customFormat="false" ht="12.75" hidden="false" customHeight="false" outlineLevel="0" collapsed="false"/>
    <row r="513" customFormat="false" ht="12.75" hidden="false" customHeight="false" outlineLevel="0" collapsed="false"/>
    <row r="514" customFormat="false" ht="12.75" hidden="false" customHeight="false" outlineLevel="0" collapsed="false"/>
    <row r="515" customFormat="false" ht="12.75" hidden="false" customHeight="false" outlineLevel="0" collapsed="false"/>
    <row r="516" customFormat="false" ht="12.75" hidden="false" customHeight="false" outlineLevel="0" collapsed="false"/>
    <row r="517" customFormat="false" ht="12.75" hidden="false" customHeight="false" outlineLevel="0" collapsed="false"/>
    <row r="518" customFormat="false" ht="12.75" hidden="false" customHeight="false" outlineLevel="0" collapsed="false"/>
    <row r="519" customFormat="false" ht="12.75" hidden="false" customHeight="false" outlineLevel="0" collapsed="false"/>
    <row r="520" customFormat="false" ht="12.75" hidden="false" customHeight="false" outlineLevel="0" collapsed="false"/>
    <row r="521" customFormat="false" ht="12.75" hidden="false" customHeight="false" outlineLevel="0" collapsed="false"/>
    <row r="522" customFormat="false" ht="12.75" hidden="false" customHeight="false" outlineLevel="0" collapsed="false"/>
    <row r="523" customFormat="false" ht="12.75" hidden="false" customHeight="false" outlineLevel="0" collapsed="false"/>
    <row r="524" customFormat="false" ht="12.75" hidden="false" customHeight="false" outlineLevel="0" collapsed="false"/>
    <row r="525" customFormat="false" ht="12.75" hidden="false" customHeight="false" outlineLevel="0" collapsed="false"/>
    <row r="526" customFormat="false" ht="12.75" hidden="false" customHeight="false" outlineLevel="0" collapsed="false"/>
    <row r="527" customFormat="false" ht="12.75" hidden="false" customHeight="false" outlineLevel="0" collapsed="false"/>
    <row r="528" customFormat="false" ht="12.75" hidden="false" customHeight="false" outlineLevel="0" collapsed="false"/>
    <row r="529" customFormat="false" ht="12.75" hidden="false" customHeight="false" outlineLevel="0" collapsed="false"/>
    <row r="530" customFormat="false" ht="12.75" hidden="false" customHeight="false" outlineLevel="0" collapsed="false"/>
    <row r="531" customFormat="false" ht="12.75" hidden="false" customHeight="false" outlineLevel="0" collapsed="false"/>
    <row r="532" customFormat="false" ht="12.75" hidden="false" customHeight="false" outlineLevel="0" collapsed="false"/>
    <row r="533" customFormat="false" ht="12.75" hidden="false" customHeight="false" outlineLevel="0" collapsed="false"/>
    <row r="534" customFormat="false" ht="12.75" hidden="false" customHeight="false" outlineLevel="0" collapsed="false"/>
    <row r="535" customFormat="false" ht="12.75" hidden="false" customHeight="false" outlineLevel="0" collapsed="false"/>
    <row r="536" customFormat="false" ht="12.75" hidden="false" customHeight="false" outlineLevel="0" collapsed="false"/>
    <row r="537" customFormat="false" ht="12.75" hidden="false" customHeight="false" outlineLevel="0" collapsed="false"/>
    <row r="538" customFormat="false" ht="12.75" hidden="false" customHeight="false" outlineLevel="0" collapsed="false"/>
    <row r="539" customFormat="false" ht="12.75" hidden="false" customHeight="false" outlineLevel="0" collapsed="false"/>
    <row r="540" customFormat="false" ht="12.75" hidden="false" customHeight="false" outlineLevel="0" collapsed="false"/>
    <row r="541" customFormat="false" ht="12.75" hidden="false" customHeight="false" outlineLevel="0" collapsed="false"/>
    <row r="542" customFormat="false" ht="12.75" hidden="false" customHeight="false" outlineLevel="0" collapsed="false"/>
    <row r="543" customFormat="false" ht="12.75" hidden="false" customHeight="false" outlineLevel="0" collapsed="false"/>
    <row r="544" customFormat="false" ht="12.75" hidden="false" customHeight="false" outlineLevel="0" collapsed="false"/>
    <row r="545" customFormat="false" ht="12.75" hidden="false" customHeight="false" outlineLevel="0" collapsed="false"/>
    <row r="546" customFormat="false" ht="12.75" hidden="false" customHeight="false" outlineLevel="0" collapsed="false"/>
    <row r="547" customFormat="false" ht="12.75" hidden="false" customHeight="false" outlineLevel="0" collapsed="false"/>
    <row r="548" customFormat="false" ht="12.75" hidden="false" customHeight="false" outlineLevel="0" collapsed="false"/>
    <row r="549" customFormat="false" ht="12.75" hidden="false" customHeight="false" outlineLevel="0" collapsed="false"/>
    <row r="550" customFormat="false" ht="12.75" hidden="false" customHeight="false" outlineLevel="0" collapsed="false"/>
    <row r="551" customFormat="false" ht="12.75" hidden="false" customHeight="false" outlineLevel="0" collapsed="false"/>
    <row r="552" customFormat="false" ht="12.75" hidden="false" customHeight="false" outlineLevel="0" collapsed="false"/>
    <row r="553" customFormat="false" ht="12.75" hidden="false" customHeight="false" outlineLevel="0" collapsed="false"/>
    <row r="554" customFormat="false" ht="12.75" hidden="false" customHeight="false" outlineLevel="0" collapsed="false"/>
    <row r="555" customFormat="false" ht="12.75" hidden="false" customHeight="false" outlineLevel="0" collapsed="false"/>
    <row r="556" customFormat="false" ht="12.75" hidden="false" customHeight="false" outlineLevel="0" collapsed="false"/>
    <row r="557" customFormat="false" ht="12.75" hidden="false" customHeight="false" outlineLevel="0" collapsed="false"/>
    <row r="558" customFormat="false" ht="12.75" hidden="false" customHeight="false" outlineLevel="0" collapsed="false"/>
    <row r="559" customFormat="false" ht="12.75" hidden="false" customHeight="false" outlineLevel="0" collapsed="false"/>
    <row r="560" customFormat="false" ht="12.75" hidden="false" customHeight="false" outlineLevel="0" collapsed="false"/>
    <row r="561" customFormat="false" ht="12.75" hidden="false" customHeight="false" outlineLevel="0" collapsed="false"/>
    <row r="562" customFormat="false" ht="12.75" hidden="false" customHeight="false" outlineLevel="0" collapsed="false"/>
    <row r="563" customFormat="false" ht="12.75" hidden="false" customHeight="false" outlineLevel="0" collapsed="false"/>
    <row r="564" customFormat="false" ht="12.75" hidden="false" customHeight="false" outlineLevel="0" collapsed="false"/>
    <row r="565" customFormat="false" ht="12.75" hidden="false" customHeight="false" outlineLevel="0" collapsed="false"/>
    <row r="566" customFormat="false" ht="12.75" hidden="false" customHeight="false" outlineLevel="0" collapsed="false"/>
    <row r="567" customFormat="false" ht="12.75" hidden="false" customHeight="false" outlineLevel="0" collapsed="false"/>
    <row r="568" customFormat="false" ht="12.75" hidden="false" customHeight="false" outlineLevel="0" collapsed="false"/>
    <row r="569" customFormat="false" ht="12.75" hidden="false" customHeight="false" outlineLevel="0" collapsed="false"/>
    <row r="570" customFormat="false" ht="12.75" hidden="false" customHeight="false" outlineLevel="0" collapsed="false"/>
    <row r="571" customFormat="false" ht="12.75" hidden="false" customHeight="false" outlineLevel="0" collapsed="false"/>
    <row r="572" customFormat="false" ht="12.75" hidden="false" customHeight="false" outlineLevel="0" collapsed="false"/>
    <row r="573" customFormat="false" ht="12.75" hidden="false" customHeight="false" outlineLevel="0" collapsed="false"/>
    <row r="574" customFormat="false" ht="12.75" hidden="false" customHeight="false" outlineLevel="0" collapsed="false"/>
    <row r="575" customFormat="false" ht="12.75" hidden="false" customHeight="false" outlineLevel="0" collapsed="false"/>
    <row r="576" customFormat="false" ht="12.75" hidden="false" customHeight="false" outlineLevel="0" collapsed="false"/>
    <row r="577" customFormat="false" ht="12.75" hidden="false" customHeight="false" outlineLevel="0" collapsed="false"/>
    <row r="578" customFormat="false" ht="12.75" hidden="false" customHeight="false" outlineLevel="0" collapsed="false"/>
    <row r="579" customFormat="false" ht="12.75" hidden="false" customHeight="false" outlineLevel="0" collapsed="false"/>
    <row r="580" customFormat="false" ht="12.75" hidden="false" customHeight="false" outlineLevel="0" collapsed="false"/>
    <row r="581" customFormat="false" ht="12.75" hidden="false" customHeight="false" outlineLevel="0" collapsed="false"/>
    <row r="582" customFormat="false" ht="12.75" hidden="false" customHeight="false" outlineLevel="0" collapsed="false"/>
    <row r="583" customFormat="false" ht="12.75" hidden="false" customHeight="false" outlineLevel="0" collapsed="false"/>
    <row r="584" customFormat="false" ht="12.75" hidden="false" customHeight="false" outlineLevel="0" collapsed="false"/>
    <row r="585" customFormat="false" ht="12.75" hidden="false" customHeight="false" outlineLevel="0" collapsed="false"/>
    <row r="586" customFormat="false" ht="12.75" hidden="false" customHeight="false" outlineLevel="0" collapsed="false"/>
    <row r="587" customFormat="false" ht="12.75" hidden="false" customHeight="false" outlineLevel="0" collapsed="false"/>
    <row r="588" customFormat="false" ht="12.75" hidden="false" customHeight="false" outlineLevel="0" collapsed="false"/>
    <row r="589" customFormat="false" ht="12.75" hidden="false" customHeight="false" outlineLevel="0" collapsed="false"/>
    <row r="590" customFormat="false" ht="12.75" hidden="false" customHeight="false" outlineLevel="0" collapsed="false"/>
    <row r="591" customFormat="false" ht="12.75" hidden="false" customHeight="false" outlineLevel="0" collapsed="false"/>
    <row r="592" customFormat="false" ht="12.75" hidden="false" customHeight="false" outlineLevel="0" collapsed="false"/>
    <row r="593" customFormat="false" ht="12.75" hidden="false" customHeight="false" outlineLevel="0" collapsed="false"/>
    <row r="594" customFormat="false" ht="12.75" hidden="false" customHeight="false" outlineLevel="0" collapsed="false"/>
    <row r="595" customFormat="false" ht="12.75" hidden="false" customHeight="false" outlineLevel="0" collapsed="false"/>
    <row r="596" customFormat="false" ht="12.75" hidden="false" customHeight="false" outlineLevel="0" collapsed="false"/>
    <row r="597" customFormat="false" ht="12.75" hidden="false" customHeight="false" outlineLevel="0" collapsed="false"/>
    <row r="598" customFormat="false" ht="12.75" hidden="false" customHeight="false" outlineLevel="0" collapsed="false"/>
    <row r="599" customFormat="false" ht="12.75" hidden="false" customHeight="false" outlineLevel="0" collapsed="false"/>
    <row r="600" customFormat="false" ht="12.75" hidden="false" customHeight="false" outlineLevel="0" collapsed="false"/>
    <row r="601" customFormat="false" ht="12.75" hidden="false" customHeight="false" outlineLevel="0" collapsed="false"/>
    <row r="602" customFormat="false" ht="12.75" hidden="false" customHeight="false" outlineLevel="0" collapsed="false"/>
    <row r="603" customFormat="false" ht="12.75" hidden="false" customHeight="false" outlineLevel="0" collapsed="false"/>
    <row r="604" customFormat="false" ht="12.75" hidden="false" customHeight="false" outlineLevel="0" collapsed="false"/>
    <row r="605" customFormat="false" ht="12.75" hidden="false" customHeight="false" outlineLevel="0" collapsed="false"/>
    <row r="606" customFormat="false" ht="12.75" hidden="false" customHeight="false" outlineLevel="0" collapsed="false"/>
    <row r="607" customFormat="false" ht="12.75" hidden="false" customHeight="false" outlineLevel="0" collapsed="false"/>
    <row r="608" customFormat="false" ht="12.75" hidden="false" customHeight="false" outlineLevel="0" collapsed="false"/>
    <row r="609" customFormat="false" ht="12.75" hidden="false" customHeight="false" outlineLevel="0" collapsed="false"/>
    <row r="610" customFormat="false" ht="12.75" hidden="false" customHeight="false" outlineLevel="0" collapsed="false"/>
    <row r="611" customFormat="false" ht="12.75" hidden="false" customHeight="false" outlineLevel="0" collapsed="false"/>
    <row r="612" customFormat="false" ht="12.75" hidden="false" customHeight="false" outlineLevel="0" collapsed="false"/>
    <row r="613" customFormat="false" ht="12.75" hidden="false" customHeight="false" outlineLevel="0" collapsed="false"/>
    <row r="614" customFormat="false" ht="12.75" hidden="false" customHeight="false" outlineLevel="0" collapsed="false"/>
    <row r="615" customFormat="false" ht="12.75" hidden="false" customHeight="false" outlineLevel="0" collapsed="false"/>
    <row r="616" customFormat="false" ht="12.75" hidden="false" customHeight="false" outlineLevel="0" collapsed="false"/>
    <row r="617" customFormat="false" ht="12.75" hidden="false" customHeight="false" outlineLevel="0" collapsed="false"/>
    <row r="618" customFormat="false" ht="12.75" hidden="false" customHeight="false" outlineLevel="0" collapsed="false"/>
    <row r="619" customFormat="false" ht="12.75" hidden="false" customHeight="false" outlineLevel="0" collapsed="false"/>
    <row r="620" customFormat="false" ht="12.75" hidden="false" customHeight="false" outlineLevel="0" collapsed="false"/>
    <row r="621" customFormat="false" ht="12.75" hidden="false" customHeight="false" outlineLevel="0" collapsed="false"/>
    <row r="622" customFormat="false" ht="12.75" hidden="false" customHeight="false" outlineLevel="0" collapsed="false"/>
    <row r="623" customFormat="false" ht="12.75" hidden="false" customHeight="false" outlineLevel="0" collapsed="false"/>
    <row r="624" customFormat="false" ht="12.75" hidden="false" customHeight="false" outlineLevel="0" collapsed="false"/>
    <row r="625" customFormat="false" ht="12.75" hidden="false" customHeight="false" outlineLevel="0" collapsed="false"/>
    <row r="626" customFormat="false" ht="12.75" hidden="false" customHeight="false" outlineLevel="0" collapsed="false"/>
    <row r="627" customFormat="false" ht="12.75" hidden="false" customHeight="false" outlineLevel="0" collapsed="false"/>
    <row r="628" customFormat="false" ht="12.75" hidden="false" customHeight="false" outlineLevel="0" collapsed="false"/>
    <row r="629" customFormat="false" ht="12.75" hidden="false" customHeight="false" outlineLevel="0" collapsed="false"/>
    <row r="630" customFormat="false" ht="12.75" hidden="false" customHeight="false" outlineLevel="0" collapsed="false"/>
    <row r="631" customFormat="false" ht="12.75" hidden="false" customHeight="false" outlineLevel="0" collapsed="false"/>
    <row r="632" customFormat="false" ht="12.75" hidden="false" customHeight="false" outlineLevel="0" collapsed="false"/>
    <row r="633" customFormat="false" ht="12.75" hidden="false" customHeight="false" outlineLevel="0" collapsed="false"/>
    <row r="634" customFormat="false" ht="12.75" hidden="false" customHeight="false" outlineLevel="0" collapsed="false"/>
    <row r="635" customFormat="false" ht="12.75" hidden="false" customHeight="false" outlineLevel="0" collapsed="false"/>
    <row r="636" customFormat="false" ht="12.75" hidden="false" customHeight="false" outlineLevel="0" collapsed="false"/>
    <row r="637" customFormat="false" ht="12.75" hidden="false" customHeight="false" outlineLevel="0" collapsed="false"/>
    <row r="638" customFormat="false" ht="12.75" hidden="false" customHeight="false" outlineLevel="0" collapsed="false"/>
    <row r="639" customFormat="false" ht="12.75" hidden="false" customHeight="false" outlineLevel="0" collapsed="false"/>
    <row r="640" customFormat="false" ht="12.75" hidden="false" customHeight="false" outlineLevel="0" collapsed="false"/>
    <row r="641" customFormat="false" ht="12.75" hidden="false" customHeight="false" outlineLevel="0" collapsed="false"/>
    <row r="642" customFormat="false" ht="12.75" hidden="false" customHeight="false" outlineLevel="0" collapsed="false"/>
    <row r="643" customFormat="false" ht="12.75" hidden="false" customHeight="false" outlineLevel="0" collapsed="false"/>
    <row r="644" customFormat="false" ht="12.75" hidden="false" customHeight="false" outlineLevel="0" collapsed="false"/>
    <row r="645" customFormat="false" ht="12.75" hidden="false" customHeight="false" outlineLevel="0" collapsed="false"/>
    <row r="646" customFormat="false" ht="12.75" hidden="false" customHeight="false" outlineLevel="0" collapsed="false"/>
    <row r="647" customFormat="false" ht="12.75" hidden="false" customHeight="false" outlineLevel="0" collapsed="false"/>
    <row r="648" customFormat="false" ht="12.75" hidden="false" customHeight="false" outlineLevel="0" collapsed="false"/>
    <row r="649" customFormat="false" ht="12.75" hidden="false" customHeight="false" outlineLevel="0" collapsed="false"/>
    <row r="650" customFormat="false" ht="12.75" hidden="false" customHeight="false" outlineLevel="0" collapsed="false"/>
    <row r="651" customFormat="false" ht="12.75" hidden="false" customHeight="false" outlineLevel="0" collapsed="false"/>
    <row r="652" customFormat="false" ht="12.75" hidden="false" customHeight="false" outlineLevel="0" collapsed="false"/>
    <row r="653" customFormat="false" ht="12.75" hidden="false" customHeight="false" outlineLevel="0" collapsed="false"/>
    <row r="654" customFormat="false" ht="12.75" hidden="false" customHeight="false" outlineLevel="0" collapsed="false"/>
    <row r="655" customFormat="false" ht="12.75" hidden="false" customHeight="false" outlineLevel="0" collapsed="false"/>
    <row r="656" customFormat="false" ht="12.75" hidden="false" customHeight="false" outlineLevel="0" collapsed="false"/>
    <row r="657" customFormat="false" ht="12.75" hidden="false" customHeight="false" outlineLevel="0" collapsed="false"/>
    <row r="658" customFormat="false" ht="12.75" hidden="false" customHeight="false" outlineLevel="0" collapsed="false"/>
    <row r="659" customFormat="false" ht="12.75" hidden="false" customHeight="false" outlineLevel="0" collapsed="false"/>
    <row r="660" customFormat="false" ht="12.75" hidden="false" customHeight="false" outlineLevel="0" collapsed="false"/>
    <row r="661" customFormat="false" ht="12.75" hidden="false" customHeight="false" outlineLevel="0" collapsed="false"/>
    <row r="662" customFormat="false" ht="12.75" hidden="false" customHeight="false" outlineLevel="0" collapsed="false"/>
    <row r="663" customFormat="false" ht="12.75" hidden="false" customHeight="false" outlineLevel="0" collapsed="false"/>
    <row r="664" customFormat="false" ht="12.75" hidden="false" customHeight="false" outlineLevel="0" collapsed="false"/>
    <row r="665" customFormat="false" ht="12.75" hidden="false" customHeight="false" outlineLevel="0" collapsed="false"/>
    <row r="666" customFormat="false" ht="12.75" hidden="false" customHeight="false" outlineLevel="0" collapsed="false"/>
    <row r="667" customFormat="false" ht="12.75" hidden="false" customHeight="false" outlineLevel="0" collapsed="false"/>
    <row r="668" customFormat="false" ht="12.75" hidden="false" customHeight="false" outlineLevel="0" collapsed="false"/>
    <row r="669" customFormat="false" ht="12.75" hidden="false" customHeight="false" outlineLevel="0" collapsed="false"/>
    <row r="670" customFormat="false" ht="12.75" hidden="false" customHeight="false" outlineLevel="0" collapsed="false"/>
    <row r="671" customFormat="false" ht="12.75" hidden="false" customHeight="false" outlineLevel="0" collapsed="false"/>
    <row r="672" customFormat="false" ht="12.75" hidden="false" customHeight="false" outlineLevel="0" collapsed="false"/>
    <row r="673" customFormat="false" ht="12.75" hidden="false" customHeight="false" outlineLevel="0" collapsed="false"/>
    <row r="674" customFormat="false" ht="12.75" hidden="false" customHeight="false" outlineLevel="0" collapsed="false"/>
    <row r="675" customFormat="false" ht="12.75" hidden="false" customHeight="false" outlineLevel="0" collapsed="false"/>
    <row r="676" customFormat="false" ht="12.75" hidden="false" customHeight="false" outlineLevel="0" collapsed="false"/>
    <row r="677" customFormat="false" ht="12.75" hidden="false" customHeight="false" outlineLevel="0" collapsed="false"/>
    <row r="678" customFormat="false" ht="12.75" hidden="false" customHeight="false" outlineLevel="0" collapsed="false"/>
    <row r="679" customFormat="false" ht="12.75" hidden="false" customHeight="false" outlineLevel="0" collapsed="false"/>
    <row r="680" customFormat="false" ht="12.75" hidden="false" customHeight="false" outlineLevel="0" collapsed="false"/>
    <row r="681" customFormat="false" ht="12.75" hidden="false" customHeight="false" outlineLevel="0" collapsed="false"/>
    <row r="682" customFormat="false" ht="12.75" hidden="false" customHeight="false" outlineLevel="0" collapsed="false"/>
    <row r="683" customFormat="false" ht="12.75" hidden="false" customHeight="false" outlineLevel="0" collapsed="false"/>
    <row r="684" customFormat="false" ht="12.75" hidden="false" customHeight="false" outlineLevel="0" collapsed="false"/>
    <row r="685" customFormat="false" ht="12.75" hidden="false" customHeight="false" outlineLevel="0" collapsed="false"/>
    <row r="686" customFormat="false" ht="12.75" hidden="false" customHeight="false" outlineLevel="0" collapsed="false"/>
    <row r="687" customFormat="false" ht="12.75" hidden="false" customHeight="false" outlineLevel="0" collapsed="false"/>
    <row r="688" customFormat="false" ht="12.75" hidden="false" customHeight="false" outlineLevel="0" collapsed="false"/>
    <row r="689" customFormat="false" ht="12.75" hidden="false" customHeight="false" outlineLevel="0" collapsed="false"/>
    <row r="690" customFormat="false" ht="12.75" hidden="false" customHeight="false" outlineLevel="0" collapsed="false"/>
    <row r="691" customFormat="false" ht="12.75" hidden="false" customHeight="false" outlineLevel="0" collapsed="false"/>
    <row r="692" customFormat="false" ht="12.75" hidden="false" customHeight="false" outlineLevel="0" collapsed="false"/>
    <row r="693" customFormat="false" ht="12.75" hidden="false" customHeight="false" outlineLevel="0" collapsed="false"/>
    <row r="694" customFormat="false" ht="12.75" hidden="false" customHeight="false" outlineLevel="0" collapsed="false"/>
    <row r="695" customFormat="false" ht="12.75" hidden="false" customHeight="false" outlineLevel="0" collapsed="false"/>
    <row r="696" customFormat="false" ht="12.75" hidden="false" customHeight="false" outlineLevel="0" collapsed="false"/>
    <row r="697" customFormat="false" ht="12.75" hidden="false" customHeight="false" outlineLevel="0" collapsed="false"/>
    <row r="698" customFormat="false" ht="12.75" hidden="false" customHeight="false" outlineLevel="0" collapsed="false"/>
    <row r="699" customFormat="false" ht="12.75" hidden="false" customHeight="false" outlineLevel="0" collapsed="false"/>
    <row r="700" customFormat="false" ht="12.75" hidden="false" customHeight="false" outlineLevel="0" collapsed="false"/>
    <row r="701" customFormat="false" ht="12.75" hidden="false" customHeight="false" outlineLevel="0" collapsed="false"/>
    <row r="702" customFormat="false" ht="12.75" hidden="false" customHeight="false" outlineLevel="0" collapsed="false"/>
    <row r="703" customFormat="false" ht="12.75" hidden="false" customHeight="false" outlineLevel="0" collapsed="false"/>
    <row r="704" customFormat="false" ht="12.75" hidden="false" customHeight="false" outlineLevel="0" collapsed="false"/>
    <row r="705" customFormat="false" ht="12.75" hidden="false" customHeight="false" outlineLevel="0" collapsed="false"/>
    <row r="706" customFormat="false" ht="12.75" hidden="false" customHeight="false" outlineLevel="0" collapsed="false"/>
    <row r="707" customFormat="false" ht="12.75" hidden="false" customHeight="false" outlineLevel="0" collapsed="false"/>
    <row r="708" customFormat="false" ht="12.75" hidden="false" customHeight="false" outlineLevel="0" collapsed="false"/>
    <row r="709" customFormat="false" ht="12.75" hidden="false" customHeight="false" outlineLevel="0" collapsed="false"/>
    <row r="710" customFormat="false" ht="12.75" hidden="false" customHeight="false" outlineLevel="0" collapsed="false"/>
    <row r="711" customFormat="false" ht="12.75" hidden="false" customHeight="false" outlineLevel="0" collapsed="false"/>
    <row r="712" customFormat="false" ht="12.75" hidden="false" customHeight="false" outlineLevel="0" collapsed="false"/>
    <row r="713" customFormat="false" ht="12.75" hidden="false" customHeight="false" outlineLevel="0" collapsed="false"/>
    <row r="714" customFormat="false" ht="12.75" hidden="false" customHeight="false" outlineLevel="0" collapsed="false"/>
    <row r="715" customFormat="false" ht="12.75" hidden="false" customHeight="false" outlineLevel="0" collapsed="false"/>
    <row r="716" customFormat="false" ht="12.75" hidden="false" customHeight="false" outlineLevel="0" collapsed="false"/>
    <row r="717" customFormat="false" ht="12.75" hidden="false" customHeight="false" outlineLevel="0" collapsed="false"/>
    <row r="718" customFormat="false" ht="12.75" hidden="false" customHeight="false" outlineLevel="0" collapsed="false"/>
    <row r="719" customFormat="false" ht="12.75" hidden="false" customHeight="false" outlineLevel="0" collapsed="false"/>
    <row r="720" customFormat="false" ht="12.75" hidden="false" customHeight="false" outlineLevel="0" collapsed="false"/>
    <row r="721" customFormat="false" ht="12.75" hidden="false" customHeight="false" outlineLevel="0" collapsed="false"/>
    <row r="722" customFormat="false" ht="12.75" hidden="false" customHeight="false" outlineLevel="0" collapsed="false"/>
    <row r="723" customFormat="false" ht="12.75" hidden="false" customHeight="false" outlineLevel="0" collapsed="false"/>
    <row r="724" customFormat="false" ht="12.75" hidden="false" customHeight="false" outlineLevel="0" collapsed="false"/>
    <row r="725" customFormat="false" ht="12.75" hidden="false" customHeight="false" outlineLevel="0" collapsed="false"/>
    <row r="726" customFormat="false" ht="12.75" hidden="false" customHeight="false" outlineLevel="0" collapsed="false"/>
    <row r="727" customFormat="false" ht="12.75" hidden="false" customHeight="false" outlineLevel="0" collapsed="false"/>
    <row r="728" customFormat="false" ht="12.75" hidden="false" customHeight="false" outlineLevel="0" collapsed="false"/>
    <row r="729" customFormat="false" ht="12.75" hidden="false" customHeight="false" outlineLevel="0" collapsed="false"/>
    <row r="730" customFormat="false" ht="12.75" hidden="false" customHeight="false" outlineLevel="0" collapsed="false"/>
    <row r="731" customFormat="false" ht="12.75" hidden="false" customHeight="false" outlineLevel="0" collapsed="false"/>
    <row r="732" customFormat="false" ht="12.75" hidden="false" customHeight="false" outlineLevel="0" collapsed="false"/>
    <row r="733" customFormat="false" ht="12.75" hidden="false" customHeight="false" outlineLevel="0" collapsed="false"/>
    <row r="734" customFormat="false" ht="12.75" hidden="false" customHeight="false" outlineLevel="0" collapsed="false"/>
    <row r="735" customFormat="false" ht="12.75" hidden="false" customHeight="false" outlineLevel="0" collapsed="false"/>
    <row r="736" customFormat="false" ht="12.75" hidden="false" customHeight="false" outlineLevel="0" collapsed="false"/>
    <row r="737" customFormat="false" ht="12.75" hidden="false" customHeight="false" outlineLevel="0" collapsed="false"/>
    <row r="738" customFormat="false" ht="12.75" hidden="false" customHeight="false" outlineLevel="0" collapsed="false"/>
    <row r="739" customFormat="false" ht="12.75" hidden="false" customHeight="false" outlineLevel="0" collapsed="false"/>
    <row r="740" customFormat="false" ht="12.75" hidden="false" customHeight="false" outlineLevel="0" collapsed="false"/>
    <row r="741" customFormat="false" ht="12.75" hidden="false" customHeight="false" outlineLevel="0" collapsed="false"/>
    <row r="742" customFormat="false" ht="12.75" hidden="false" customHeight="false" outlineLevel="0" collapsed="false"/>
    <row r="743" customFormat="false" ht="12.75" hidden="false" customHeight="false" outlineLevel="0" collapsed="false"/>
    <row r="744" customFormat="false" ht="12.75" hidden="false" customHeight="false" outlineLevel="0" collapsed="false"/>
    <row r="745" customFormat="false" ht="12.75" hidden="false" customHeight="false" outlineLevel="0" collapsed="false"/>
    <row r="746" customFormat="false" ht="12.75" hidden="false" customHeight="false" outlineLevel="0" collapsed="false"/>
    <row r="747" customFormat="false" ht="12.75" hidden="false" customHeight="false" outlineLevel="0" collapsed="false"/>
    <row r="748" customFormat="false" ht="12.75" hidden="false" customHeight="false" outlineLevel="0" collapsed="false"/>
    <row r="749" customFormat="false" ht="12.75" hidden="false" customHeight="false" outlineLevel="0" collapsed="false"/>
    <row r="750" customFormat="false" ht="12.75" hidden="false" customHeight="false" outlineLevel="0" collapsed="false"/>
    <row r="751" customFormat="false" ht="12.75" hidden="false" customHeight="false" outlineLevel="0" collapsed="false"/>
    <row r="752" customFormat="false" ht="12.75" hidden="false" customHeight="false" outlineLevel="0" collapsed="false"/>
    <row r="753" customFormat="false" ht="12.75" hidden="false" customHeight="false" outlineLevel="0" collapsed="false"/>
    <row r="754" customFormat="false" ht="12.75" hidden="false" customHeight="false" outlineLevel="0" collapsed="false"/>
    <row r="755" customFormat="false" ht="12.75" hidden="false" customHeight="false" outlineLevel="0" collapsed="false"/>
    <row r="756" customFormat="false" ht="12.75" hidden="false" customHeight="false" outlineLevel="0" collapsed="false"/>
    <row r="757" customFormat="false" ht="12.75" hidden="false" customHeight="false" outlineLevel="0" collapsed="false"/>
    <row r="758" customFormat="false" ht="12.75" hidden="false" customHeight="false" outlineLevel="0" collapsed="false"/>
    <row r="759" customFormat="false" ht="12.75" hidden="false" customHeight="false" outlineLevel="0" collapsed="false"/>
    <row r="760" customFormat="false" ht="12.75" hidden="false" customHeight="false" outlineLevel="0" collapsed="false"/>
    <row r="761" customFormat="false" ht="12.75" hidden="false" customHeight="false" outlineLevel="0" collapsed="false"/>
    <row r="762" customFormat="false" ht="12.75" hidden="false" customHeight="false" outlineLevel="0" collapsed="false"/>
    <row r="763" customFormat="false" ht="12.75" hidden="false" customHeight="false" outlineLevel="0" collapsed="false"/>
    <row r="764" customFormat="false" ht="12.75" hidden="false" customHeight="false" outlineLevel="0" collapsed="false"/>
    <row r="765" customFormat="false" ht="12.75" hidden="false" customHeight="false" outlineLevel="0" collapsed="false"/>
    <row r="766" customFormat="false" ht="12.75" hidden="false" customHeight="false" outlineLevel="0" collapsed="false"/>
    <row r="767" customFormat="false" ht="12.75" hidden="false" customHeight="false" outlineLevel="0" collapsed="false"/>
    <row r="768" customFormat="false" ht="12.75" hidden="false" customHeight="false" outlineLevel="0" collapsed="false"/>
    <row r="769" customFormat="false" ht="12.75" hidden="false" customHeight="false" outlineLevel="0" collapsed="false"/>
    <row r="770" customFormat="false" ht="12.75" hidden="false" customHeight="false" outlineLevel="0" collapsed="false"/>
    <row r="771" customFormat="false" ht="12.75" hidden="false" customHeight="false" outlineLevel="0" collapsed="false"/>
    <row r="772" customFormat="false" ht="12.75" hidden="false" customHeight="false" outlineLevel="0" collapsed="false"/>
    <row r="773" customFormat="false" ht="12.75" hidden="false" customHeight="false" outlineLevel="0" collapsed="false"/>
    <row r="774" customFormat="false" ht="12.75" hidden="false" customHeight="false" outlineLevel="0" collapsed="false"/>
    <row r="775" customFormat="false" ht="12.75" hidden="false" customHeight="false" outlineLevel="0" collapsed="false"/>
    <row r="776" customFormat="false" ht="12.75" hidden="false" customHeight="false" outlineLevel="0" collapsed="false"/>
    <row r="777" customFormat="false" ht="12.75" hidden="false" customHeight="false" outlineLevel="0" collapsed="false"/>
    <row r="778" customFormat="false" ht="12.75" hidden="false" customHeight="false" outlineLevel="0" collapsed="false"/>
    <row r="779" customFormat="false" ht="12.75" hidden="false" customHeight="false" outlineLevel="0" collapsed="false"/>
    <row r="780" customFormat="false" ht="12.75" hidden="false" customHeight="false" outlineLevel="0" collapsed="false"/>
    <row r="781" customFormat="false" ht="12.75" hidden="false" customHeight="false" outlineLevel="0" collapsed="false"/>
    <row r="782" customFormat="false" ht="12.75" hidden="false" customHeight="false" outlineLevel="0" collapsed="false"/>
    <row r="783" customFormat="false" ht="12.75" hidden="false" customHeight="false" outlineLevel="0" collapsed="false"/>
    <row r="784" customFormat="false" ht="12.75" hidden="false" customHeight="false" outlineLevel="0" collapsed="false"/>
    <row r="785" customFormat="false" ht="12.75" hidden="false" customHeight="false" outlineLevel="0" collapsed="false"/>
    <row r="786" customFormat="false" ht="12.75" hidden="false" customHeight="false" outlineLevel="0" collapsed="false"/>
    <row r="787" customFormat="false" ht="12.75" hidden="false" customHeight="false" outlineLevel="0" collapsed="false"/>
    <row r="788" customFormat="false" ht="12.75" hidden="false" customHeight="false" outlineLevel="0" collapsed="false"/>
    <row r="789" customFormat="false" ht="12.75" hidden="false" customHeight="false" outlineLevel="0" collapsed="false"/>
    <row r="790" customFormat="false" ht="12.75" hidden="false" customHeight="false" outlineLevel="0" collapsed="false"/>
    <row r="791" customFormat="false" ht="12.75" hidden="false" customHeight="false" outlineLevel="0" collapsed="false"/>
    <row r="792" customFormat="false" ht="12.75" hidden="false" customHeight="false" outlineLevel="0" collapsed="false"/>
    <row r="793" customFormat="false" ht="12.75" hidden="false" customHeight="false" outlineLevel="0" collapsed="false"/>
    <row r="794" customFormat="false" ht="12.75" hidden="false" customHeight="false" outlineLevel="0" collapsed="false"/>
    <row r="795" customFormat="false" ht="12.75" hidden="false" customHeight="false" outlineLevel="0" collapsed="false"/>
    <row r="796" customFormat="false" ht="12.75" hidden="false" customHeight="false" outlineLevel="0" collapsed="false"/>
    <row r="797" customFormat="false" ht="12.75" hidden="false" customHeight="false" outlineLevel="0" collapsed="false"/>
    <row r="798" customFormat="false" ht="12.75" hidden="false" customHeight="false" outlineLevel="0" collapsed="false"/>
    <row r="799" customFormat="false" ht="12.75" hidden="false" customHeight="false" outlineLevel="0" collapsed="false"/>
    <row r="800" customFormat="false" ht="12.75" hidden="false" customHeight="false" outlineLevel="0" collapsed="false"/>
    <row r="801" customFormat="false" ht="12.75" hidden="false" customHeight="false" outlineLevel="0" collapsed="false"/>
    <row r="802" customFormat="false" ht="12.75" hidden="false" customHeight="false" outlineLevel="0" collapsed="false"/>
    <row r="803" customFormat="false" ht="12.75" hidden="false" customHeight="false" outlineLevel="0" collapsed="false"/>
    <row r="804" customFormat="false" ht="12.75" hidden="false" customHeight="false" outlineLevel="0" collapsed="false"/>
    <row r="805" customFormat="false" ht="12.75" hidden="false" customHeight="false" outlineLevel="0" collapsed="false"/>
    <row r="806" customFormat="false" ht="12.75" hidden="false" customHeight="false" outlineLevel="0" collapsed="false"/>
    <row r="807" customFormat="false" ht="12.75" hidden="false" customHeight="false" outlineLevel="0" collapsed="false"/>
    <row r="808" customFormat="false" ht="12.75" hidden="false" customHeight="false" outlineLevel="0" collapsed="false"/>
    <row r="809" customFormat="false" ht="12.75" hidden="false" customHeight="false" outlineLevel="0" collapsed="false"/>
    <row r="810" customFormat="false" ht="12.75" hidden="false" customHeight="false" outlineLevel="0" collapsed="false"/>
    <row r="811" customFormat="false" ht="12.75" hidden="false" customHeight="false" outlineLevel="0" collapsed="false"/>
    <row r="812" customFormat="false" ht="12.75" hidden="false" customHeight="false" outlineLevel="0" collapsed="false"/>
    <row r="813" customFormat="false" ht="12.75" hidden="false" customHeight="false" outlineLevel="0" collapsed="false"/>
    <row r="814" customFormat="false" ht="12.75" hidden="false" customHeight="false" outlineLevel="0" collapsed="false"/>
    <row r="815" customFormat="false" ht="12.75" hidden="false" customHeight="false" outlineLevel="0" collapsed="false"/>
    <row r="816" customFormat="false" ht="12.75" hidden="false" customHeight="false" outlineLevel="0" collapsed="false"/>
    <row r="817" customFormat="false" ht="12.75" hidden="false" customHeight="false" outlineLevel="0" collapsed="false"/>
    <row r="818" customFormat="false" ht="12.75" hidden="false" customHeight="false" outlineLevel="0" collapsed="false"/>
    <row r="819" customFormat="false" ht="12.75" hidden="false" customHeight="false" outlineLevel="0" collapsed="false"/>
    <row r="820" customFormat="false" ht="12.75" hidden="false" customHeight="false" outlineLevel="0" collapsed="false"/>
    <row r="821" customFormat="false" ht="12.75" hidden="false" customHeight="false" outlineLevel="0" collapsed="false"/>
    <row r="822" customFormat="false" ht="12.75" hidden="false" customHeight="false" outlineLevel="0" collapsed="false"/>
    <row r="823" customFormat="false" ht="12.75" hidden="false" customHeight="false" outlineLevel="0" collapsed="false"/>
    <row r="824" customFormat="false" ht="12.75" hidden="false" customHeight="false" outlineLevel="0" collapsed="false"/>
    <row r="825" customFormat="false" ht="12.75" hidden="false" customHeight="false" outlineLevel="0" collapsed="false"/>
    <row r="826" customFormat="false" ht="12.75" hidden="false" customHeight="false" outlineLevel="0" collapsed="false"/>
    <row r="827" customFormat="false" ht="12.75" hidden="false" customHeight="false" outlineLevel="0" collapsed="false"/>
    <row r="828" customFormat="false" ht="12.75" hidden="false" customHeight="false" outlineLevel="0" collapsed="false"/>
    <row r="829" customFormat="false" ht="12.75" hidden="false" customHeight="false" outlineLevel="0" collapsed="false"/>
    <row r="830" customFormat="false" ht="12.75" hidden="false" customHeight="false" outlineLevel="0" collapsed="false"/>
    <row r="831" customFormat="false" ht="12.75" hidden="false" customHeight="false" outlineLevel="0" collapsed="false"/>
    <row r="832" customFormat="false" ht="12.75" hidden="false" customHeight="false" outlineLevel="0" collapsed="false"/>
    <row r="833" customFormat="false" ht="12.75" hidden="false" customHeight="false" outlineLevel="0" collapsed="false"/>
    <row r="834" customFormat="false" ht="12.75" hidden="false" customHeight="false" outlineLevel="0" collapsed="false"/>
    <row r="835" customFormat="false" ht="12.75" hidden="false" customHeight="false" outlineLevel="0" collapsed="false"/>
    <row r="836" customFormat="false" ht="12.75" hidden="false" customHeight="false" outlineLevel="0" collapsed="false"/>
    <row r="837" customFormat="false" ht="12.75" hidden="false" customHeight="false" outlineLevel="0" collapsed="false"/>
    <row r="838" customFormat="false" ht="12.75" hidden="false" customHeight="false" outlineLevel="0" collapsed="false"/>
    <row r="839" customFormat="false" ht="12.75" hidden="false" customHeight="false" outlineLevel="0" collapsed="false"/>
    <row r="840" customFormat="false" ht="12.75" hidden="false" customHeight="false" outlineLevel="0" collapsed="false"/>
    <row r="841" customFormat="false" ht="12.75" hidden="false" customHeight="false" outlineLevel="0" collapsed="false"/>
    <row r="842" customFormat="false" ht="12.75" hidden="false" customHeight="false" outlineLevel="0" collapsed="false"/>
    <row r="843" customFormat="false" ht="12.75" hidden="false" customHeight="false" outlineLevel="0" collapsed="false"/>
    <row r="844" customFormat="false" ht="12.75" hidden="false" customHeight="false" outlineLevel="0" collapsed="false"/>
    <row r="845" customFormat="false" ht="12.75" hidden="false" customHeight="false" outlineLevel="0" collapsed="false"/>
    <row r="846" customFormat="false" ht="12.75" hidden="false" customHeight="false" outlineLevel="0" collapsed="false"/>
    <row r="847" customFormat="false" ht="12.75" hidden="false" customHeight="false" outlineLevel="0" collapsed="false"/>
    <row r="848" customFormat="false" ht="12.75" hidden="false" customHeight="false" outlineLevel="0" collapsed="false"/>
    <row r="849" customFormat="false" ht="12.75" hidden="false" customHeight="false" outlineLevel="0" collapsed="false"/>
    <row r="850" customFormat="false" ht="12.75" hidden="false" customHeight="false" outlineLevel="0" collapsed="false"/>
    <row r="851" customFormat="false" ht="12.75" hidden="false" customHeight="false" outlineLevel="0" collapsed="false"/>
    <row r="852" customFormat="false" ht="12.75" hidden="false" customHeight="false" outlineLevel="0" collapsed="false"/>
    <row r="853" customFormat="false" ht="12.75" hidden="false" customHeight="false" outlineLevel="0" collapsed="false"/>
    <row r="854" customFormat="false" ht="12.75" hidden="false" customHeight="false" outlineLevel="0" collapsed="false"/>
    <row r="855" customFormat="false" ht="12.75" hidden="false" customHeight="false" outlineLevel="0" collapsed="false"/>
    <row r="856" customFormat="false" ht="12.75" hidden="false" customHeight="false" outlineLevel="0" collapsed="false"/>
    <row r="857" customFormat="false" ht="12.75" hidden="false" customHeight="false" outlineLevel="0" collapsed="false"/>
    <row r="858" customFormat="false" ht="12.75" hidden="false" customHeight="false" outlineLevel="0" collapsed="false"/>
    <row r="859" customFormat="false" ht="12.75" hidden="false" customHeight="false" outlineLevel="0" collapsed="false"/>
    <row r="860" customFormat="false" ht="12.75" hidden="false" customHeight="false" outlineLevel="0" collapsed="false"/>
    <row r="861" customFormat="false" ht="12.75" hidden="false" customHeight="false" outlineLevel="0" collapsed="false"/>
    <row r="862" customFormat="false" ht="12.75" hidden="false" customHeight="false" outlineLevel="0" collapsed="false"/>
    <row r="863" customFormat="false" ht="12.75" hidden="false" customHeight="false" outlineLevel="0" collapsed="false"/>
    <row r="864" customFormat="false" ht="12.75" hidden="false" customHeight="false" outlineLevel="0" collapsed="false"/>
    <row r="865" customFormat="false" ht="12.75" hidden="false" customHeight="false" outlineLevel="0" collapsed="false"/>
    <row r="866" customFormat="false" ht="12.75" hidden="false" customHeight="false" outlineLevel="0" collapsed="false"/>
    <row r="867" customFormat="false" ht="12.75" hidden="false" customHeight="false" outlineLevel="0" collapsed="false"/>
    <row r="868" customFormat="false" ht="12.75" hidden="false" customHeight="false" outlineLevel="0" collapsed="false"/>
    <row r="869" customFormat="false" ht="12.75" hidden="false" customHeight="false" outlineLevel="0" collapsed="false"/>
    <row r="870" customFormat="false" ht="12.75" hidden="false" customHeight="false" outlineLevel="0" collapsed="false"/>
    <row r="871" customFormat="false" ht="12.75" hidden="false" customHeight="false" outlineLevel="0" collapsed="false"/>
    <row r="872" customFormat="false" ht="12.75" hidden="false" customHeight="false" outlineLevel="0" collapsed="false"/>
    <row r="873" customFormat="false" ht="12.75" hidden="false" customHeight="false" outlineLevel="0" collapsed="false"/>
    <row r="874" customFormat="false" ht="12.75" hidden="false" customHeight="false" outlineLevel="0" collapsed="false"/>
    <row r="875" customFormat="false" ht="12.75" hidden="false" customHeight="false" outlineLevel="0" collapsed="false"/>
    <row r="876" customFormat="false" ht="12.75" hidden="false" customHeight="false" outlineLevel="0" collapsed="false"/>
    <row r="877" customFormat="false" ht="12.75" hidden="false" customHeight="false" outlineLevel="0" collapsed="false"/>
    <row r="878" customFormat="false" ht="12.75" hidden="false" customHeight="false" outlineLevel="0" collapsed="false"/>
    <row r="879" customFormat="false" ht="12.75" hidden="false" customHeight="false" outlineLevel="0" collapsed="false"/>
    <row r="880" customFormat="false" ht="12.75" hidden="false" customHeight="false" outlineLevel="0" collapsed="false"/>
    <row r="881" customFormat="false" ht="12.75" hidden="false" customHeight="false" outlineLevel="0" collapsed="false"/>
    <row r="882" customFormat="false" ht="12.75" hidden="false" customHeight="false" outlineLevel="0" collapsed="false"/>
    <row r="883" customFormat="false" ht="12.75" hidden="false" customHeight="false" outlineLevel="0" collapsed="false"/>
    <row r="884" customFormat="false" ht="12.75" hidden="false" customHeight="false" outlineLevel="0" collapsed="false"/>
    <row r="885" customFormat="false" ht="12.75" hidden="false" customHeight="false" outlineLevel="0" collapsed="false"/>
    <row r="886" customFormat="false" ht="12.75" hidden="false" customHeight="false" outlineLevel="0" collapsed="false"/>
    <row r="887" customFormat="false" ht="12.75" hidden="false" customHeight="false" outlineLevel="0" collapsed="false"/>
    <row r="888" customFormat="false" ht="12.75" hidden="false" customHeight="false" outlineLevel="0" collapsed="false"/>
    <row r="889" customFormat="false" ht="12.75" hidden="false" customHeight="false" outlineLevel="0" collapsed="false"/>
    <row r="890" customFormat="false" ht="12.75" hidden="false" customHeight="false" outlineLevel="0" collapsed="false"/>
    <row r="891" customFormat="false" ht="12.75" hidden="false" customHeight="false" outlineLevel="0" collapsed="false"/>
    <row r="892" customFormat="false" ht="12.75" hidden="false" customHeight="false" outlineLevel="0" collapsed="false"/>
    <row r="893" customFormat="false" ht="12.75" hidden="false" customHeight="false" outlineLevel="0" collapsed="false"/>
    <row r="894" customFormat="false" ht="12.75" hidden="false" customHeight="false" outlineLevel="0" collapsed="false"/>
    <row r="895" customFormat="false" ht="12.75" hidden="false" customHeight="false" outlineLevel="0" collapsed="false"/>
    <row r="896" customFormat="false" ht="12.75" hidden="false" customHeight="false" outlineLevel="0" collapsed="false"/>
    <row r="897" customFormat="false" ht="12.75" hidden="false" customHeight="false" outlineLevel="0" collapsed="false"/>
    <row r="898" customFormat="false" ht="12.75" hidden="false" customHeight="false" outlineLevel="0" collapsed="false"/>
    <row r="899" customFormat="false" ht="12.75" hidden="false" customHeight="false" outlineLevel="0" collapsed="false"/>
    <row r="900" customFormat="false" ht="12.75" hidden="false" customHeight="false" outlineLevel="0" collapsed="false"/>
    <row r="901" customFormat="false" ht="12.75" hidden="false" customHeight="false" outlineLevel="0" collapsed="false"/>
    <row r="902" customFormat="false" ht="12.75" hidden="false" customHeight="false" outlineLevel="0" collapsed="false"/>
    <row r="903" customFormat="false" ht="12.75" hidden="false" customHeight="false" outlineLevel="0" collapsed="false"/>
    <row r="904" customFormat="false" ht="12.75" hidden="false" customHeight="false" outlineLevel="0" collapsed="false"/>
    <row r="905" customFormat="false" ht="12.75" hidden="false" customHeight="false" outlineLevel="0" collapsed="false"/>
    <row r="906" customFormat="false" ht="12.75" hidden="false" customHeight="false" outlineLevel="0" collapsed="false"/>
    <row r="907" customFormat="false" ht="12.75" hidden="false" customHeight="false" outlineLevel="0" collapsed="false"/>
    <row r="908" customFormat="false" ht="12.75" hidden="false" customHeight="false" outlineLevel="0" collapsed="false"/>
    <row r="909" customFormat="false" ht="12.75" hidden="false" customHeight="false" outlineLevel="0" collapsed="false"/>
    <row r="910" customFormat="false" ht="12.75" hidden="false" customHeight="false" outlineLevel="0" collapsed="false"/>
    <row r="911" customFormat="false" ht="12.75" hidden="false" customHeight="false" outlineLevel="0" collapsed="false"/>
    <row r="912" customFormat="false" ht="12.75" hidden="false" customHeight="false" outlineLevel="0" collapsed="false"/>
    <row r="913" customFormat="false" ht="12.75" hidden="false" customHeight="false" outlineLevel="0" collapsed="false"/>
    <row r="914" customFormat="false" ht="12.75" hidden="false" customHeight="false" outlineLevel="0" collapsed="false"/>
    <row r="915" customFormat="false" ht="12.75" hidden="false" customHeight="false" outlineLevel="0" collapsed="false"/>
    <row r="916" customFormat="false" ht="12.75" hidden="false" customHeight="false" outlineLevel="0" collapsed="false"/>
    <row r="917" customFormat="false" ht="12.75" hidden="false" customHeight="false" outlineLevel="0" collapsed="false"/>
    <row r="918" customFormat="false" ht="12.75" hidden="false" customHeight="false" outlineLevel="0" collapsed="false"/>
    <row r="919" customFormat="false" ht="12.75" hidden="false" customHeight="false" outlineLevel="0" collapsed="false"/>
    <row r="920" customFormat="false" ht="12.75" hidden="false" customHeight="false" outlineLevel="0" collapsed="false"/>
    <row r="921" customFormat="false" ht="12.75" hidden="false" customHeight="false" outlineLevel="0" collapsed="false"/>
    <row r="922" customFormat="false" ht="12.75" hidden="false" customHeight="false" outlineLevel="0" collapsed="false"/>
    <row r="923" customFormat="false" ht="12.75" hidden="false" customHeight="false" outlineLevel="0" collapsed="false"/>
    <row r="924" customFormat="false" ht="12.75" hidden="false" customHeight="false" outlineLevel="0" collapsed="false"/>
    <row r="925" customFormat="false" ht="12.75" hidden="false" customHeight="false" outlineLevel="0" collapsed="false"/>
    <row r="926" customFormat="false" ht="12.75" hidden="false" customHeight="false" outlineLevel="0" collapsed="false"/>
    <row r="927" customFormat="false" ht="12.75" hidden="false" customHeight="false" outlineLevel="0" collapsed="false"/>
    <row r="928" customFormat="false" ht="12.75" hidden="false" customHeight="false" outlineLevel="0" collapsed="false"/>
    <row r="929" customFormat="false" ht="12.75" hidden="false" customHeight="false" outlineLevel="0" collapsed="false"/>
    <row r="930" customFormat="false" ht="12.75" hidden="false" customHeight="false" outlineLevel="0" collapsed="false"/>
    <row r="931" customFormat="false" ht="12.75" hidden="false" customHeight="false" outlineLevel="0" collapsed="false"/>
    <row r="932" customFormat="false" ht="12.75" hidden="false" customHeight="false" outlineLevel="0" collapsed="false"/>
    <row r="933" customFormat="false" ht="12.75" hidden="false" customHeight="false" outlineLevel="0" collapsed="false"/>
    <row r="934" customFormat="false" ht="12.75" hidden="false" customHeight="false" outlineLevel="0" collapsed="false"/>
    <row r="935" customFormat="false" ht="12.75" hidden="false" customHeight="false" outlineLevel="0" collapsed="false"/>
    <row r="936" customFormat="false" ht="12.75" hidden="false" customHeight="false" outlineLevel="0" collapsed="false"/>
    <row r="937" customFormat="false" ht="12.75" hidden="false" customHeight="false" outlineLevel="0" collapsed="false"/>
    <row r="938" customFormat="false" ht="12.75" hidden="false" customHeight="false" outlineLevel="0" collapsed="false"/>
    <row r="939" customFormat="false" ht="12.75" hidden="false" customHeight="false" outlineLevel="0" collapsed="false"/>
    <row r="940" customFormat="false" ht="12.75" hidden="false" customHeight="false" outlineLevel="0" collapsed="false"/>
    <row r="941" customFormat="false" ht="12.75" hidden="false" customHeight="false" outlineLevel="0" collapsed="false"/>
    <row r="942" customFormat="false" ht="12.75" hidden="false" customHeight="false" outlineLevel="0" collapsed="false"/>
    <row r="943" customFormat="false" ht="12.75" hidden="false" customHeight="false" outlineLevel="0" collapsed="false"/>
    <row r="944" customFormat="false" ht="12.75" hidden="false" customHeight="false" outlineLevel="0" collapsed="false"/>
    <row r="945" customFormat="false" ht="12.75" hidden="false" customHeight="false" outlineLevel="0" collapsed="false"/>
    <row r="946" customFormat="false" ht="12.75" hidden="false" customHeight="false" outlineLevel="0" collapsed="false"/>
    <row r="947" customFormat="false" ht="12.75" hidden="false" customHeight="false" outlineLevel="0" collapsed="false"/>
    <row r="948" customFormat="false" ht="12.75" hidden="false" customHeight="false" outlineLevel="0" collapsed="false"/>
    <row r="949" customFormat="false" ht="12.75" hidden="false" customHeight="false" outlineLevel="0" collapsed="false"/>
    <row r="950" customFormat="false" ht="12.75" hidden="false" customHeight="false" outlineLevel="0" collapsed="false"/>
    <row r="951" customFormat="false" ht="12.75" hidden="false" customHeight="false" outlineLevel="0" collapsed="false"/>
    <row r="952" customFormat="false" ht="12.75" hidden="false" customHeight="false" outlineLevel="0" collapsed="false"/>
    <row r="953" customFormat="false" ht="12.75" hidden="false" customHeight="false" outlineLevel="0" collapsed="false"/>
    <row r="954" customFormat="false" ht="12.75" hidden="false" customHeight="false" outlineLevel="0" collapsed="false"/>
    <row r="955" customFormat="false" ht="12.75" hidden="false" customHeight="false" outlineLevel="0" collapsed="false"/>
    <row r="956" customFormat="false" ht="12.75" hidden="false" customHeight="false" outlineLevel="0" collapsed="false"/>
    <row r="957" customFormat="false" ht="12.75" hidden="false" customHeight="false" outlineLevel="0" collapsed="false"/>
    <row r="958" customFormat="false" ht="12.75" hidden="false" customHeight="false" outlineLevel="0" collapsed="false"/>
    <row r="959" customFormat="false" ht="12.75" hidden="false" customHeight="false" outlineLevel="0" collapsed="false"/>
    <row r="960" customFormat="false" ht="12.75" hidden="false" customHeight="false" outlineLevel="0" collapsed="false"/>
    <row r="961" customFormat="false" ht="12.75" hidden="false" customHeight="false" outlineLevel="0" collapsed="false"/>
    <row r="962" customFormat="false" ht="12.75" hidden="false" customHeight="false" outlineLevel="0" collapsed="false"/>
    <row r="963" customFormat="false" ht="12.75" hidden="false" customHeight="false" outlineLevel="0" collapsed="false"/>
    <row r="964" customFormat="false" ht="12.75" hidden="false" customHeight="false" outlineLevel="0" collapsed="false"/>
    <row r="965" customFormat="false" ht="12.75" hidden="false" customHeight="false" outlineLevel="0" collapsed="false"/>
    <row r="966" customFormat="false" ht="12.75" hidden="false" customHeight="false" outlineLevel="0" collapsed="false"/>
    <row r="967" customFormat="false" ht="12.75" hidden="false" customHeight="false" outlineLevel="0" collapsed="false"/>
    <row r="968" customFormat="false" ht="12.75" hidden="false" customHeight="false" outlineLevel="0" collapsed="false"/>
    <row r="969" customFormat="false" ht="12.75" hidden="false" customHeight="false" outlineLevel="0" collapsed="false"/>
    <row r="970" customFormat="false" ht="12.75" hidden="false" customHeight="false" outlineLevel="0" collapsed="false"/>
    <row r="971" customFormat="false" ht="12.75" hidden="false" customHeight="false" outlineLevel="0" collapsed="false"/>
    <row r="972" customFormat="false" ht="12.75" hidden="false" customHeight="false" outlineLevel="0" collapsed="false"/>
    <row r="973" customFormat="false" ht="12.75" hidden="false" customHeight="false" outlineLevel="0" collapsed="false"/>
    <row r="974" customFormat="false" ht="12.75" hidden="false" customHeight="false" outlineLevel="0" collapsed="false"/>
    <row r="975" customFormat="false" ht="12.75" hidden="false" customHeight="false" outlineLevel="0" collapsed="false"/>
    <row r="976" customFormat="false" ht="12.75" hidden="false" customHeight="false" outlineLevel="0" collapsed="false"/>
    <row r="977" customFormat="false" ht="12.75" hidden="false" customHeight="false" outlineLevel="0" collapsed="false"/>
    <row r="978" customFormat="false" ht="12.75" hidden="false" customHeight="false" outlineLevel="0" collapsed="false"/>
    <row r="979" customFormat="false" ht="12.75" hidden="false" customHeight="false" outlineLevel="0" collapsed="false"/>
    <row r="980" customFormat="false" ht="12.75" hidden="false" customHeight="false" outlineLevel="0" collapsed="false"/>
    <row r="981" customFormat="false" ht="12.75" hidden="false" customHeight="false" outlineLevel="0" collapsed="false"/>
    <row r="982" customFormat="false" ht="12.75" hidden="false" customHeight="false" outlineLevel="0" collapsed="false"/>
    <row r="983" customFormat="false" ht="12.75" hidden="false" customHeight="false" outlineLevel="0" collapsed="false"/>
    <row r="984" customFormat="false" ht="12.75" hidden="false" customHeight="false" outlineLevel="0" collapsed="false"/>
    <row r="985" customFormat="false" ht="12.75" hidden="false" customHeight="false" outlineLevel="0" collapsed="false"/>
    <row r="986" customFormat="false" ht="12.75" hidden="false" customHeight="false" outlineLevel="0" collapsed="false"/>
    <row r="987" customFormat="false" ht="12.75" hidden="false" customHeight="false" outlineLevel="0" collapsed="false"/>
    <row r="988" customFormat="false" ht="12.75" hidden="false" customHeight="false" outlineLevel="0" collapsed="false"/>
    <row r="989" customFormat="false" ht="12.75" hidden="false" customHeight="false" outlineLevel="0" collapsed="false"/>
    <row r="990" customFormat="false" ht="12.75" hidden="false" customHeight="false" outlineLevel="0" collapsed="false"/>
    <row r="991" customFormat="false" ht="12.75" hidden="false" customHeight="false" outlineLevel="0" collapsed="false"/>
    <row r="992" customFormat="false" ht="12.75" hidden="false" customHeight="false" outlineLevel="0" collapsed="false"/>
    <row r="993" customFormat="false" ht="12.75" hidden="false" customHeight="false" outlineLevel="0" collapsed="false"/>
    <row r="994" customFormat="false" ht="12.75" hidden="false" customHeight="false" outlineLevel="0" collapsed="false"/>
    <row r="995" customFormat="false" ht="12.75" hidden="false" customHeight="false" outlineLevel="0" collapsed="false"/>
    <row r="996" customFormat="false" ht="12.75" hidden="false" customHeight="false" outlineLevel="0" collapsed="false"/>
    <row r="997" customFormat="false" ht="12.75" hidden="false" customHeight="false" outlineLevel="0" collapsed="false"/>
    <row r="998" customFormat="false" ht="12.75" hidden="false" customHeight="false" outlineLevel="0" collapsed="false"/>
    <row r="999" customFormat="false" ht="12.75" hidden="false" customHeight="false" outlineLevel="0" collapsed="false"/>
  </sheetData>
  <mergeCells count="4">
    <mergeCell ref="B3:M4"/>
    <mergeCell ref="O3:Q3"/>
    <mergeCell ref="B6:L16"/>
    <mergeCell ref="B18:P18"/>
  </mergeCells>
  <hyperlinks>
    <hyperlink ref="B18" r:id="rId1" display="Faça a gestão completa de sua obra com o Sienge, saiba mais em www.sienge.com.br ou (48) 3027 8110."/>
  </hyperlink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RowHeight="15.75" zeroHeight="false" outlineLevelRow="0" outlineLevelCol="0"/>
  <cols>
    <col collapsed="false" customWidth="true" hidden="false" outlineLevel="0" max="2" min="1" style="1" width="14.43"/>
    <col collapsed="false" customWidth="true" hidden="false" outlineLevel="0" max="3" min="3" style="1" width="19.57"/>
    <col collapsed="false" customWidth="true" hidden="false" outlineLevel="0" max="4" min="4" style="1" width="43.85"/>
    <col collapsed="false" customWidth="true" hidden="false" outlineLevel="0" max="1025" min="5" style="1" width="14.43"/>
  </cols>
  <sheetData>
    <row r="1" s="3" customFormat="true" ht="48" hidden="false" customHeight="true" outlineLevel="0" collapsed="false">
      <c r="A1" s="2"/>
      <c r="B1" s="2"/>
      <c r="C1" s="2"/>
      <c r="D1" s="2"/>
      <c r="E1" s="13"/>
      <c r="F1" s="1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4"/>
    </row>
    <row r="2" customFormat="false" ht="12.75" hidden="false" customHeight="false" outlineLevel="0" collapsed="false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customFormat="false" ht="12.75" hidden="false" customHeight="true" outlineLevel="0" collapsed="false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customFormat="false" ht="12.75" hidden="false" customHeight="true" outlineLevel="0" collapsed="false">
      <c r="A4" s="15"/>
      <c r="B4" s="16" t="s">
        <v>4</v>
      </c>
      <c r="C4" s="16"/>
      <c r="D4" s="16"/>
      <c r="E4" s="16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customFormat="false" ht="12.75" hidden="false" customHeight="true" outlineLevel="0" collapsed="false">
      <c r="A5" s="15"/>
      <c r="B5" s="16"/>
      <c r="C5" s="16"/>
      <c r="D5" s="16"/>
      <c r="E5" s="16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customFormat="false" ht="13.5" hidden="false" customHeight="false" outlineLevel="0" collapsed="false">
      <c r="A6" s="15"/>
      <c r="B6" s="16"/>
      <c r="C6" s="16"/>
      <c r="D6" s="16"/>
      <c r="E6" s="16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customFormat="false" ht="12.75" hidden="false" customHeight="false" outlineLevel="0" collapsed="false"/>
    <row r="8" customFormat="false" ht="12.75" hidden="false" customHeight="false" outlineLevel="0" collapsed="false"/>
    <row r="9" customFormat="false" ht="12.75" hidden="false" customHeight="false" outlineLevel="0" collapsed="false"/>
    <row r="10" customFormat="false" ht="12.75" hidden="false" customHeight="false" outlineLevel="0" collapsed="false"/>
    <row r="11" customFormat="false" ht="12.75" hidden="false" customHeight="false" outlineLevel="0" collapsed="false"/>
    <row r="12" customFormat="false" ht="12.75" hidden="false" customHeight="false" outlineLevel="0" collapsed="false"/>
    <row r="13" customFormat="false" ht="12.75" hidden="false" customHeight="false" outlineLevel="0" collapsed="false"/>
    <row r="14" customFormat="false" ht="12.75" hidden="false" customHeight="false" outlineLevel="0" collapsed="false"/>
    <row r="15" customFormat="false" ht="12.75" hidden="false" customHeight="false" outlineLevel="0" collapsed="false"/>
    <row r="16" customFormat="false" ht="12.75" hidden="false" customHeight="false" outlineLevel="0" collapsed="false"/>
    <row r="17" customFormat="false" ht="12.75" hidden="false" customHeight="false" outlineLevel="0" collapsed="false"/>
    <row r="18" customFormat="false" ht="12.75" hidden="false" customHeight="false" outlineLevel="0" collapsed="false"/>
    <row r="19" customFormat="false" ht="12.75" hidden="false" customHeight="false" outlineLevel="0" collapsed="false"/>
    <row r="20" customFormat="false" ht="12.75" hidden="false" customHeight="false" outlineLevel="0" collapsed="false"/>
    <row r="21" customFormat="false" ht="12.75" hidden="false" customHeight="false" outlineLevel="0" collapsed="false"/>
    <row r="22" customFormat="false" ht="12.75" hidden="false" customHeight="false" outlineLevel="0" collapsed="false"/>
    <row r="23" customFormat="false" ht="12.75" hidden="false" customHeight="false" outlineLevel="0" collapsed="false"/>
    <row r="24" customFormat="false" ht="12.75" hidden="false" customHeight="false" outlineLevel="0" collapsed="false"/>
    <row r="25" customFormat="false" ht="12.75" hidden="false" customHeight="false" outlineLevel="0" collapsed="false"/>
    <row r="26" customFormat="false" ht="12.75" hidden="false" customHeight="false" outlineLevel="0" collapsed="false"/>
    <row r="27" customFormat="false" ht="12.75" hidden="false" customHeight="false" outlineLevel="0" collapsed="false"/>
    <row r="28" customFormat="false" ht="12.75" hidden="false" customHeight="false" outlineLevel="0" collapsed="false"/>
    <row r="29" customFormat="false" ht="12.75" hidden="false" customHeight="false" outlineLevel="0" collapsed="false"/>
    <row r="30" customFormat="false" ht="12.75" hidden="false" customHeight="false" outlineLevel="0" collapsed="false"/>
    <row r="31" customFormat="false" ht="12.75" hidden="false" customHeight="false" outlineLevel="0" collapsed="false"/>
    <row r="32" customFormat="false" ht="12.75" hidden="false" customHeight="false" outlineLevel="0" collapsed="false"/>
    <row r="33" customFormat="false" ht="12.75" hidden="false" customHeight="false" outlineLevel="0" collapsed="false"/>
    <row r="34" customFormat="false" ht="12.75" hidden="false" customHeight="false" outlineLevel="0" collapsed="false"/>
    <row r="35" customFormat="false" ht="12.75" hidden="false" customHeight="false" outlineLevel="0" collapsed="false"/>
    <row r="36" customFormat="false" ht="12.75" hidden="false" customHeight="false" outlineLevel="0" collapsed="false"/>
    <row r="37" customFormat="false" ht="12.75" hidden="false" customHeight="false" outlineLevel="0" collapsed="false"/>
    <row r="38" customFormat="false" ht="12.75" hidden="false" customHeight="false" outlineLevel="0" collapsed="false"/>
    <row r="39" customFormat="false" ht="12.75" hidden="false" customHeight="false" outlineLevel="0" collapsed="false"/>
    <row r="40" customFormat="false" ht="12.75" hidden="false" customHeight="false" outlineLevel="0" collapsed="false"/>
    <row r="41" customFormat="false" ht="12.75" hidden="false" customHeight="false" outlineLevel="0" collapsed="false"/>
    <row r="42" customFormat="false" ht="12.75" hidden="false" customHeight="false" outlineLevel="0" collapsed="false"/>
    <row r="43" customFormat="false" ht="12.75" hidden="false" customHeight="false" outlineLevel="0" collapsed="false"/>
    <row r="44" customFormat="false" ht="12.75" hidden="false" customHeight="false" outlineLevel="0" collapsed="false"/>
    <row r="45" customFormat="false" ht="12.75" hidden="false" customHeight="false" outlineLevel="0" collapsed="false"/>
    <row r="46" customFormat="false" ht="12.75" hidden="false" customHeight="false" outlineLevel="0" collapsed="false"/>
    <row r="47" customFormat="false" ht="12.75" hidden="false" customHeight="false" outlineLevel="0" collapsed="false"/>
    <row r="48" customFormat="false" ht="12.75" hidden="false" customHeight="false" outlineLevel="0" collapsed="false"/>
    <row r="49" customFormat="false" ht="12.75" hidden="false" customHeight="false" outlineLevel="0" collapsed="false"/>
    <row r="50" customFormat="false" ht="12.75" hidden="false" customHeight="false" outlineLevel="0" collapsed="false"/>
    <row r="51" customFormat="false" ht="12.75" hidden="false" customHeight="false" outlineLevel="0" collapsed="false"/>
    <row r="52" customFormat="false" ht="12.75" hidden="false" customHeight="false" outlineLevel="0" collapsed="false"/>
    <row r="53" customFormat="false" ht="12.75" hidden="false" customHeight="false" outlineLevel="0" collapsed="false"/>
    <row r="54" customFormat="false" ht="12.75" hidden="false" customHeight="false" outlineLevel="0" collapsed="false"/>
    <row r="55" customFormat="false" ht="12.75" hidden="false" customHeight="false" outlineLevel="0" collapsed="false"/>
    <row r="56" customFormat="false" ht="12.75" hidden="false" customHeight="false" outlineLevel="0" collapsed="false"/>
    <row r="57" customFormat="false" ht="12.75" hidden="false" customHeight="false" outlineLevel="0" collapsed="false"/>
    <row r="58" customFormat="false" ht="12.75" hidden="false" customHeight="false" outlineLevel="0" collapsed="false"/>
    <row r="59" customFormat="false" ht="12.75" hidden="false" customHeight="false" outlineLevel="0" collapsed="false"/>
    <row r="60" customFormat="false" ht="12.75" hidden="false" customHeight="false" outlineLevel="0" collapsed="false"/>
    <row r="61" customFormat="false" ht="12.75" hidden="false" customHeight="false" outlineLevel="0" collapsed="false"/>
    <row r="62" customFormat="false" ht="12.75" hidden="false" customHeight="false" outlineLevel="0" collapsed="false"/>
    <row r="63" customFormat="false" ht="12.75" hidden="false" customHeight="false" outlineLevel="0" collapsed="false"/>
    <row r="64" customFormat="false" ht="12.75" hidden="false" customHeight="false" outlineLevel="0" collapsed="false"/>
    <row r="65" customFormat="false" ht="12.75" hidden="false" customHeight="false" outlineLevel="0" collapsed="false"/>
    <row r="66" customFormat="false" ht="12.75" hidden="false" customHeight="false" outlineLevel="0" collapsed="false"/>
    <row r="67" customFormat="false" ht="12.75" hidden="false" customHeight="false" outlineLevel="0" collapsed="false"/>
    <row r="68" customFormat="false" ht="12.75" hidden="false" customHeight="false" outlineLevel="0" collapsed="false"/>
    <row r="69" customFormat="false" ht="12.75" hidden="false" customHeight="false" outlineLevel="0" collapsed="false"/>
    <row r="70" customFormat="false" ht="12.75" hidden="false" customHeight="false" outlineLevel="0" collapsed="false"/>
    <row r="71" customFormat="false" ht="12.75" hidden="false" customHeight="false" outlineLevel="0" collapsed="false"/>
    <row r="72" customFormat="false" ht="12.75" hidden="false" customHeight="false" outlineLevel="0" collapsed="false"/>
    <row r="73" customFormat="false" ht="12.75" hidden="false" customHeight="false" outlineLevel="0" collapsed="false"/>
    <row r="74" customFormat="false" ht="12.75" hidden="false" customHeight="false" outlineLevel="0" collapsed="false"/>
    <row r="75" customFormat="false" ht="12.75" hidden="false" customHeight="false" outlineLevel="0" collapsed="false"/>
    <row r="76" customFormat="false" ht="12.75" hidden="false" customHeight="false" outlineLevel="0" collapsed="false"/>
    <row r="77" customFormat="false" ht="12.75" hidden="false" customHeight="false" outlineLevel="0" collapsed="false"/>
    <row r="78" customFormat="false" ht="12.75" hidden="false" customHeight="false" outlineLevel="0" collapsed="false"/>
    <row r="79" customFormat="false" ht="12.75" hidden="false" customHeight="false" outlineLevel="0" collapsed="false"/>
    <row r="80" customFormat="false" ht="12.75" hidden="false" customHeight="false" outlineLevel="0" collapsed="false"/>
    <row r="81" customFormat="false" ht="12.75" hidden="false" customHeight="false" outlineLevel="0" collapsed="false"/>
    <row r="82" customFormat="false" ht="12.75" hidden="false" customHeight="false" outlineLevel="0" collapsed="false"/>
    <row r="83" customFormat="false" ht="12.75" hidden="false" customHeight="false" outlineLevel="0" collapsed="false"/>
    <row r="84" customFormat="false" ht="12.75" hidden="false" customHeight="false" outlineLevel="0" collapsed="false"/>
    <row r="85" customFormat="false" ht="12.75" hidden="false" customHeight="false" outlineLevel="0" collapsed="false"/>
    <row r="86" customFormat="false" ht="12.75" hidden="false" customHeight="false" outlineLevel="0" collapsed="false"/>
    <row r="87" customFormat="false" ht="12.75" hidden="false" customHeight="false" outlineLevel="0" collapsed="false"/>
    <row r="88" customFormat="false" ht="12.75" hidden="false" customHeight="false" outlineLevel="0" collapsed="false"/>
    <row r="89" customFormat="false" ht="12.75" hidden="false" customHeight="false" outlineLevel="0" collapsed="false"/>
    <row r="90" customFormat="false" ht="12.75" hidden="false" customHeight="false" outlineLevel="0" collapsed="false"/>
    <row r="91" customFormat="false" ht="12.75" hidden="false" customHeight="false" outlineLevel="0" collapsed="false"/>
    <row r="92" customFormat="false" ht="12.75" hidden="false" customHeight="false" outlineLevel="0" collapsed="false"/>
    <row r="93" customFormat="false" ht="12.75" hidden="false" customHeight="false" outlineLevel="0" collapsed="false"/>
    <row r="94" customFormat="false" ht="12.75" hidden="false" customHeight="false" outlineLevel="0" collapsed="false"/>
    <row r="95" customFormat="false" ht="12.75" hidden="false" customHeight="false" outlineLevel="0" collapsed="false"/>
    <row r="96" customFormat="false" ht="12.75" hidden="false" customHeight="false" outlineLevel="0" collapsed="false"/>
    <row r="97" customFormat="false" ht="12.75" hidden="false" customHeight="false" outlineLevel="0" collapsed="false"/>
    <row r="98" customFormat="false" ht="12.75" hidden="false" customHeight="false" outlineLevel="0" collapsed="false"/>
    <row r="99" customFormat="false" ht="12.75" hidden="false" customHeight="false" outlineLevel="0" collapsed="false"/>
    <row r="100" customFormat="false" ht="12.75" hidden="false" customHeight="false" outlineLevel="0" collapsed="false"/>
    <row r="101" customFormat="false" ht="12.75" hidden="false" customHeight="false" outlineLevel="0" collapsed="false"/>
    <row r="102" customFormat="false" ht="12.75" hidden="false" customHeight="false" outlineLevel="0" collapsed="false"/>
    <row r="103" customFormat="false" ht="12.75" hidden="false" customHeight="false" outlineLevel="0" collapsed="false"/>
    <row r="104" customFormat="false" ht="12.75" hidden="false" customHeight="false" outlineLevel="0" collapsed="false"/>
    <row r="105" customFormat="false" ht="12.75" hidden="false" customHeight="false" outlineLevel="0" collapsed="false"/>
    <row r="106" customFormat="false" ht="12.75" hidden="false" customHeight="false" outlineLevel="0" collapsed="false"/>
    <row r="107" customFormat="false" ht="12.75" hidden="false" customHeight="false" outlineLevel="0" collapsed="false"/>
    <row r="108" customFormat="false" ht="12.75" hidden="false" customHeight="false" outlineLevel="0" collapsed="false"/>
    <row r="109" customFormat="false" ht="12.75" hidden="false" customHeight="false" outlineLevel="0" collapsed="false"/>
    <row r="110" customFormat="false" ht="12.75" hidden="false" customHeight="false" outlineLevel="0" collapsed="false"/>
    <row r="111" customFormat="false" ht="12.75" hidden="false" customHeight="false" outlineLevel="0" collapsed="false"/>
    <row r="112" customFormat="false" ht="12.75" hidden="false" customHeight="false" outlineLevel="0" collapsed="false"/>
    <row r="113" customFormat="false" ht="12.75" hidden="false" customHeight="false" outlineLevel="0" collapsed="false"/>
    <row r="114" customFormat="false" ht="12.75" hidden="false" customHeight="false" outlineLevel="0" collapsed="false"/>
    <row r="115" customFormat="false" ht="12.75" hidden="false" customHeight="false" outlineLevel="0" collapsed="false"/>
    <row r="116" customFormat="false" ht="12.75" hidden="false" customHeight="false" outlineLevel="0" collapsed="false"/>
    <row r="117" customFormat="false" ht="12.75" hidden="false" customHeight="false" outlineLevel="0" collapsed="false"/>
    <row r="118" customFormat="false" ht="12.75" hidden="false" customHeight="false" outlineLevel="0" collapsed="false"/>
    <row r="119" customFormat="false" ht="12.75" hidden="false" customHeight="false" outlineLevel="0" collapsed="false"/>
    <row r="120" customFormat="false" ht="12.75" hidden="false" customHeight="false" outlineLevel="0" collapsed="false"/>
    <row r="121" customFormat="false" ht="12.75" hidden="false" customHeight="false" outlineLevel="0" collapsed="false"/>
    <row r="122" customFormat="false" ht="12.75" hidden="false" customHeight="false" outlineLevel="0" collapsed="false"/>
    <row r="123" customFormat="false" ht="12.75" hidden="false" customHeight="false" outlineLevel="0" collapsed="false"/>
    <row r="124" customFormat="false" ht="12.75" hidden="false" customHeight="false" outlineLevel="0" collapsed="false"/>
    <row r="125" customFormat="false" ht="12.75" hidden="false" customHeight="false" outlineLevel="0" collapsed="false"/>
    <row r="126" customFormat="false" ht="12.75" hidden="false" customHeight="false" outlineLevel="0" collapsed="false"/>
    <row r="127" customFormat="false" ht="12.75" hidden="false" customHeight="false" outlineLevel="0" collapsed="false"/>
    <row r="128" customFormat="false" ht="12.75" hidden="false" customHeight="false" outlineLevel="0" collapsed="false"/>
    <row r="129" customFormat="false" ht="12.75" hidden="false" customHeight="false" outlineLevel="0" collapsed="false"/>
    <row r="130" customFormat="false" ht="12.75" hidden="false" customHeight="false" outlineLevel="0" collapsed="false"/>
    <row r="131" customFormat="false" ht="12.75" hidden="false" customHeight="false" outlineLevel="0" collapsed="false"/>
    <row r="132" customFormat="false" ht="12.75" hidden="false" customHeight="false" outlineLevel="0" collapsed="false"/>
    <row r="133" customFormat="false" ht="12.75" hidden="false" customHeight="false" outlineLevel="0" collapsed="false"/>
    <row r="134" customFormat="false" ht="12.75" hidden="false" customHeight="false" outlineLevel="0" collapsed="false"/>
    <row r="135" customFormat="false" ht="12.75" hidden="false" customHeight="false" outlineLevel="0" collapsed="false"/>
    <row r="136" customFormat="false" ht="12.75" hidden="false" customHeight="false" outlineLevel="0" collapsed="false"/>
    <row r="137" customFormat="false" ht="12.75" hidden="false" customHeight="false" outlineLevel="0" collapsed="false"/>
    <row r="138" customFormat="false" ht="12.75" hidden="false" customHeight="false" outlineLevel="0" collapsed="false"/>
    <row r="139" customFormat="false" ht="12.75" hidden="false" customHeight="false" outlineLevel="0" collapsed="false"/>
    <row r="140" customFormat="false" ht="12.75" hidden="false" customHeight="false" outlineLevel="0" collapsed="false"/>
    <row r="141" customFormat="false" ht="12.75" hidden="false" customHeight="false" outlineLevel="0" collapsed="false"/>
    <row r="142" customFormat="false" ht="12.75" hidden="false" customHeight="false" outlineLevel="0" collapsed="false"/>
    <row r="143" customFormat="false" ht="12.75" hidden="false" customHeight="false" outlineLevel="0" collapsed="false"/>
    <row r="144" customFormat="false" ht="12.75" hidden="false" customHeight="false" outlineLevel="0" collapsed="false"/>
    <row r="145" customFormat="false" ht="12.75" hidden="false" customHeight="false" outlineLevel="0" collapsed="false"/>
    <row r="146" customFormat="false" ht="12.75" hidden="false" customHeight="false" outlineLevel="0" collapsed="false"/>
    <row r="147" customFormat="false" ht="12.75" hidden="false" customHeight="false" outlineLevel="0" collapsed="false"/>
    <row r="148" customFormat="false" ht="12.75" hidden="false" customHeight="false" outlineLevel="0" collapsed="false"/>
    <row r="149" customFormat="false" ht="12.75" hidden="false" customHeight="false" outlineLevel="0" collapsed="false"/>
    <row r="150" customFormat="false" ht="12.75" hidden="false" customHeight="false" outlineLevel="0" collapsed="false"/>
    <row r="151" customFormat="false" ht="12.75" hidden="false" customHeight="false" outlineLevel="0" collapsed="false"/>
    <row r="152" customFormat="false" ht="12.75" hidden="false" customHeight="false" outlineLevel="0" collapsed="false"/>
    <row r="153" customFormat="false" ht="12.75" hidden="false" customHeight="false" outlineLevel="0" collapsed="false"/>
    <row r="154" customFormat="false" ht="12.75" hidden="false" customHeight="false" outlineLevel="0" collapsed="false"/>
    <row r="155" customFormat="false" ht="12.75" hidden="false" customHeight="false" outlineLevel="0" collapsed="false"/>
    <row r="156" customFormat="false" ht="12.75" hidden="false" customHeight="false" outlineLevel="0" collapsed="false"/>
    <row r="157" customFormat="false" ht="12.75" hidden="false" customHeight="false" outlineLevel="0" collapsed="false"/>
    <row r="158" customFormat="false" ht="12.75" hidden="false" customHeight="false" outlineLevel="0" collapsed="false"/>
    <row r="159" customFormat="false" ht="12.75" hidden="false" customHeight="false" outlineLevel="0" collapsed="false"/>
    <row r="160" customFormat="false" ht="12.75" hidden="false" customHeight="false" outlineLevel="0" collapsed="false"/>
    <row r="161" customFormat="false" ht="12.75" hidden="false" customHeight="false" outlineLevel="0" collapsed="false"/>
    <row r="162" customFormat="false" ht="12.75" hidden="false" customHeight="false" outlineLevel="0" collapsed="false"/>
    <row r="163" customFormat="false" ht="12.75" hidden="false" customHeight="false" outlineLevel="0" collapsed="false"/>
    <row r="164" customFormat="false" ht="12.75" hidden="false" customHeight="false" outlineLevel="0" collapsed="false"/>
    <row r="165" customFormat="false" ht="12.75" hidden="false" customHeight="false" outlineLevel="0" collapsed="false"/>
    <row r="166" customFormat="false" ht="12.75" hidden="false" customHeight="false" outlineLevel="0" collapsed="false"/>
    <row r="167" customFormat="false" ht="12.75" hidden="false" customHeight="false" outlineLevel="0" collapsed="false"/>
    <row r="168" customFormat="false" ht="12.75" hidden="false" customHeight="false" outlineLevel="0" collapsed="false"/>
    <row r="169" customFormat="false" ht="12.75" hidden="false" customHeight="false" outlineLevel="0" collapsed="false"/>
    <row r="170" customFormat="false" ht="12.75" hidden="false" customHeight="false" outlineLevel="0" collapsed="false"/>
    <row r="171" customFormat="false" ht="12.75" hidden="false" customHeight="false" outlineLevel="0" collapsed="false"/>
    <row r="172" customFormat="false" ht="12.75" hidden="false" customHeight="false" outlineLevel="0" collapsed="false"/>
    <row r="173" customFormat="false" ht="12.75" hidden="false" customHeight="false" outlineLevel="0" collapsed="false"/>
    <row r="174" customFormat="false" ht="12.75" hidden="false" customHeight="false" outlineLevel="0" collapsed="false"/>
    <row r="175" customFormat="false" ht="12.75" hidden="false" customHeight="false" outlineLevel="0" collapsed="false"/>
    <row r="176" customFormat="false" ht="12.75" hidden="false" customHeight="false" outlineLevel="0" collapsed="false"/>
    <row r="177" customFormat="false" ht="12.75" hidden="false" customHeight="false" outlineLevel="0" collapsed="false"/>
    <row r="178" customFormat="false" ht="12.75" hidden="false" customHeight="false" outlineLevel="0" collapsed="false"/>
    <row r="179" customFormat="false" ht="12.75" hidden="false" customHeight="false" outlineLevel="0" collapsed="false"/>
    <row r="180" customFormat="false" ht="12.75" hidden="false" customHeight="false" outlineLevel="0" collapsed="false"/>
    <row r="181" customFormat="false" ht="12.75" hidden="false" customHeight="false" outlineLevel="0" collapsed="false"/>
    <row r="182" customFormat="false" ht="12.75" hidden="false" customHeight="false" outlineLevel="0" collapsed="false"/>
    <row r="183" customFormat="false" ht="12.75" hidden="false" customHeight="false" outlineLevel="0" collapsed="false"/>
    <row r="184" customFormat="false" ht="12.75" hidden="false" customHeight="false" outlineLevel="0" collapsed="false"/>
    <row r="185" customFormat="false" ht="12.75" hidden="false" customHeight="false" outlineLevel="0" collapsed="false"/>
    <row r="186" customFormat="false" ht="12.75" hidden="false" customHeight="false" outlineLevel="0" collapsed="false"/>
    <row r="187" customFormat="false" ht="12.75" hidden="false" customHeight="false" outlineLevel="0" collapsed="false"/>
    <row r="188" customFormat="false" ht="12.75" hidden="false" customHeight="false" outlineLevel="0" collapsed="false"/>
    <row r="189" customFormat="false" ht="12.75" hidden="false" customHeight="false" outlineLevel="0" collapsed="false"/>
    <row r="190" customFormat="false" ht="12.75" hidden="false" customHeight="false" outlineLevel="0" collapsed="false"/>
    <row r="191" customFormat="false" ht="12.75" hidden="false" customHeight="false" outlineLevel="0" collapsed="false"/>
    <row r="192" customFormat="false" ht="12.75" hidden="false" customHeight="false" outlineLevel="0" collapsed="false"/>
    <row r="193" customFormat="false" ht="12.75" hidden="false" customHeight="false" outlineLevel="0" collapsed="false"/>
    <row r="194" customFormat="false" ht="12.75" hidden="false" customHeight="false" outlineLevel="0" collapsed="false"/>
    <row r="195" customFormat="false" ht="12.75" hidden="false" customHeight="false" outlineLevel="0" collapsed="false"/>
    <row r="196" customFormat="false" ht="12.75" hidden="false" customHeight="false" outlineLevel="0" collapsed="false"/>
    <row r="197" customFormat="false" ht="12.75" hidden="false" customHeight="false" outlineLevel="0" collapsed="false"/>
    <row r="198" customFormat="false" ht="12.75" hidden="false" customHeight="false" outlineLevel="0" collapsed="false"/>
    <row r="199" customFormat="false" ht="12.75" hidden="false" customHeight="false" outlineLevel="0" collapsed="false"/>
    <row r="200" customFormat="false" ht="12.75" hidden="false" customHeight="false" outlineLevel="0" collapsed="false"/>
    <row r="201" customFormat="false" ht="12.75" hidden="false" customHeight="false" outlineLevel="0" collapsed="false"/>
    <row r="202" customFormat="false" ht="12.75" hidden="false" customHeight="false" outlineLevel="0" collapsed="false"/>
    <row r="203" customFormat="false" ht="12.75" hidden="false" customHeight="false" outlineLevel="0" collapsed="false"/>
    <row r="204" customFormat="false" ht="12.75" hidden="false" customHeight="false" outlineLevel="0" collapsed="false"/>
    <row r="205" customFormat="false" ht="12.75" hidden="false" customHeight="false" outlineLevel="0" collapsed="false"/>
    <row r="206" customFormat="false" ht="12.75" hidden="false" customHeight="false" outlineLevel="0" collapsed="false"/>
    <row r="207" customFormat="false" ht="12.75" hidden="false" customHeight="false" outlineLevel="0" collapsed="false"/>
    <row r="208" customFormat="false" ht="12.75" hidden="false" customHeight="false" outlineLevel="0" collapsed="false"/>
    <row r="209" customFormat="false" ht="12.75" hidden="false" customHeight="false" outlineLevel="0" collapsed="false"/>
    <row r="210" customFormat="false" ht="12.75" hidden="false" customHeight="false" outlineLevel="0" collapsed="false"/>
    <row r="211" customFormat="false" ht="12.75" hidden="false" customHeight="false" outlineLevel="0" collapsed="false"/>
    <row r="212" customFormat="false" ht="12.75" hidden="false" customHeight="false" outlineLevel="0" collapsed="false"/>
    <row r="213" customFormat="false" ht="12.75" hidden="false" customHeight="false" outlineLevel="0" collapsed="false"/>
    <row r="214" customFormat="false" ht="12.75" hidden="false" customHeight="false" outlineLevel="0" collapsed="false"/>
    <row r="215" customFormat="false" ht="12.75" hidden="false" customHeight="false" outlineLevel="0" collapsed="false"/>
    <row r="216" customFormat="false" ht="12.75" hidden="false" customHeight="false" outlineLevel="0" collapsed="false"/>
    <row r="217" customFormat="false" ht="12.75" hidden="false" customHeight="false" outlineLevel="0" collapsed="false"/>
    <row r="218" customFormat="false" ht="12.75" hidden="false" customHeight="false" outlineLevel="0" collapsed="false"/>
    <row r="219" customFormat="false" ht="12.75" hidden="false" customHeight="false" outlineLevel="0" collapsed="false"/>
    <row r="220" customFormat="false" ht="12.75" hidden="false" customHeight="false" outlineLevel="0" collapsed="false"/>
    <row r="221" customFormat="false" ht="12.75" hidden="false" customHeight="false" outlineLevel="0" collapsed="false"/>
    <row r="222" customFormat="false" ht="12.75" hidden="false" customHeight="false" outlineLevel="0" collapsed="false"/>
    <row r="223" customFormat="false" ht="12.75" hidden="false" customHeight="false" outlineLevel="0" collapsed="false"/>
    <row r="224" customFormat="false" ht="12.75" hidden="false" customHeight="false" outlineLevel="0" collapsed="false"/>
    <row r="225" customFormat="false" ht="12.75" hidden="false" customHeight="false" outlineLevel="0" collapsed="false"/>
    <row r="226" customFormat="false" ht="12.75" hidden="false" customHeight="false" outlineLevel="0" collapsed="false"/>
    <row r="227" customFormat="false" ht="12.75" hidden="false" customHeight="false" outlineLevel="0" collapsed="false"/>
    <row r="228" customFormat="false" ht="12.75" hidden="false" customHeight="false" outlineLevel="0" collapsed="false"/>
    <row r="229" customFormat="false" ht="12.75" hidden="false" customHeight="false" outlineLevel="0" collapsed="false"/>
    <row r="230" customFormat="false" ht="12.75" hidden="false" customHeight="false" outlineLevel="0" collapsed="false"/>
    <row r="231" customFormat="false" ht="12.75" hidden="false" customHeight="false" outlineLevel="0" collapsed="false"/>
    <row r="232" customFormat="false" ht="12.75" hidden="false" customHeight="false" outlineLevel="0" collapsed="false"/>
    <row r="233" customFormat="false" ht="12.75" hidden="false" customHeight="false" outlineLevel="0" collapsed="false"/>
    <row r="234" customFormat="false" ht="12.75" hidden="false" customHeight="false" outlineLevel="0" collapsed="false"/>
    <row r="235" customFormat="false" ht="12.75" hidden="false" customHeight="false" outlineLevel="0" collapsed="false"/>
    <row r="236" customFormat="false" ht="12.75" hidden="false" customHeight="false" outlineLevel="0" collapsed="false"/>
    <row r="237" customFormat="false" ht="12.75" hidden="false" customHeight="false" outlineLevel="0" collapsed="false"/>
    <row r="238" customFormat="false" ht="12.75" hidden="false" customHeight="false" outlineLevel="0" collapsed="false"/>
    <row r="239" customFormat="false" ht="12.75" hidden="false" customHeight="false" outlineLevel="0" collapsed="false"/>
    <row r="240" customFormat="false" ht="12.75" hidden="false" customHeight="false" outlineLevel="0" collapsed="false"/>
    <row r="241" customFormat="false" ht="12.75" hidden="false" customHeight="false" outlineLevel="0" collapsed="false"/>
    <row r="242" customFormat="false" ht="12.75" hidden="false" customHeight="false" outlineLevel="0" collapsed="false"/>
    <row r="243" customFormat="false" ht="12.75" hidden="false" customHeight="false" outlineLevel="0" collapsed="false"/>
    <row r="244" customFormat="false" ht="12.75" hidden="false" customHeight="false" outlineLevel="0" collapsed="false"/>
    <row r="245" customFormat="false" ht="12.75" hidden="false" customHeight="false" outlineLevel="0" collapsed="false"/>
    <row r="246" customFormat="false" ht="12.75" hidden="false" customHeight="false" outlineLevel="0" collapsed="false"/>
    <row r="247" customFormat="false" ht="12.75" hidden="false" customHeight="false" outlineLevel="0" collapsed="false"/>
    <row r="248" customFormat="false" ht="12.75" hidden="false" customHeight="false" outlineLevel="0" collapsed="false"/>
    <row r="249" customFormat="false" ht="12.75" hidden="false" customHeight="false" outlineLevel="0" collapsed="false"/>
    <row r="250" customFormat="false" ht="12.75" hidden="false" customHeight="false" outlineLevel="0" collapsed="false"/>
    <row r="251" customFormat="false" ht="12.75" hidden="false" customHeight="false" outlineLevel="0" collapsed="false"/>
    <row r="252" customFormat="false" ht="12.75" hidden="false" customHeight="false" outlineLevel="0" collapsed="false"/>
    <row r="253" customFormat="false" ht="12.75" hidden="false" customHeight="false" outlineLevel="0" collapsed="false"/>
    <row r="254" customFormat="false" ht="12.75" hidden="false" customHeight="false" outlineLevel="0" collapsed="false"/>
    <row r="255" customFormat="false" ht="12.75" hidden="false" customHeight="false" outlineLevel="0" collapsed="false"/>
    <row r="256" customFormat="false" ht="12.75" hidden="false" customHeight="false" outlineLevel="0" collapsed="false"/>
    <row r="257" customFormat="false" ht="12.75" hidden="false" customHeight="false" outlineLevel="0" collapsed="false"/>
    <row r="258" customFormat="false" ht="12.75" hidden="false" customHeight="false" outlineLevel="0" collapsed="false"/>
    <row r="259" customFormat="false" ht="12.75" hidden="false" customHeight="false" outlineLevel="0" collapsed="false"/>
    <row r="260" customFormat="false" ht="12.75" hidden="false" customHeight="false" outlineLevel="0" collapsed="false"/>
    <row r="261" customFormat="false" ht="12.75" hidden="false" customHeight="false" outlineLevel="0" collapsed="false"/>
    <row r="262" customFormat="false" ht="12.75" hidden="false" customHeight="false" outlineLevel="0" collapsed="false"/>
    <row r="263" customFormat="false" ht="12.75" hidden="false" customHeight="false" outlineLevel="0" collapsed="false"/>
    <row r="264" customFormat="false" ht="12.75" hidden="false" customHeight="false" outlineLevel="0" collapsed="false"/>
    <row r="265" customFormat="false" ht="12.75" hidden="false" customHeight="false" outlineLevel="0" collapsed="false"/>
    <row r="266" customFormat="false" ht="12.75" hidden="false" customHeight="false" outlineLevel="0" collapsed="false"/>
    <row r="267" customFormat="false" ht="12.75" hidden="false" customHeight="false" outlineLevel="0" collapsed="false"/>
    <row r="268" customFormat="false" ht="12.75" hidden="false" customHeight="false" outlineLevel="0" collapsed="false"/>
    <row r="269" customFormat="false" ht="12.75" hidden="false" customHeight="false" outlineLevel="0" collapsed="false"/>
    <row r="270" customFormat="false" ht="12.75" hidden="false" customHeight="false" outlineLevel="0" collapsed="false"/>
    <row r="271" customFormat="false" ht="12.75" hidden="false" customHeight="false" outlineLevel="0" collapsed="false"/>
    <row r="272" customFormat="false" ht="12.75" hidden="false" customHeight="false" outlineLevel="0" collapsed="false"/>
    <row r="273" customFormat="false" ht="12.75" hidden="false" customHeight="fals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12.75" hidden="false" customHeight="false" outlineLevel="0" collapsed="false"/>
    <row r="283" customFormat="false" ht="12.75" hidden="false" customHeight="false" outlineLevel="0" collapsed="false"/>
    <row r="284" customFormat="false" ht="12.75" hidden="false" customHeight="fals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12.75" hidden="false" customHeight="false" outlineLevel="0" collapsed="false"/>
    <row r="291" customFormat="false" ht="12.75" hidden="false" customHeight="false" outlineLevel="0" collapsed="false"/>
    <row r="292" customFormat="false" ht="12.75" hidden="false" customHeight="false" outlineLevel="0" collapsed="false"/>
    <row r="293" customFormat="false" ht="12.75" hidden="false" customHeight="false" outlineLevel="0" collapsed="false"/>
    <row r="294" customFormat="false" ht="12.75" hidden="false" customHeight="false" outlineLevel="0" collapsed="false"/>
    <row r="295" customFormat="false" ht="12.75" hidden="false" customHeight="fals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12.75" hidden="false" customHeight="false" outlineLevel="0" collapsed="false"/>
    <row r="299" customFormat="false" ht="12.75" hidden="false" customHeight="false" outlineLevel="0" collapsed="false"/>
    <row r="300" customFormat="false" ht="12.75" hidden="false" customHeight="fals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12.75" hidden="false" customHeight="false" outlineLevel="0" collapsed="false"/>
    <row r="308" customFormat="false" ht="12.75" hidden="false" customHeight="false" outlineLevel="0" collapsed="false"/>
    <row r="309" customFormat="false" ht="12.75" hidden="false" customHeight="false" outlineLevel="0" collapsed="false"/>
    <row r="310" customFormat="false" ht="12.75" hidden="false" customHeight="false" outlineLevel="0" collapsed="false"/>
    <row r="311" customFormat="false" ht="12.75" hidden="false" customHeight="false" outlineLevel="0" collapsed="false"/>
    <row r="312" customFormat="false" ht="12.75" hidden="false" customHeight="false" outlineLevel="0" collapsed="false"/>
    <row r="313" customFormat="false" ht="12.75" hidden="false" customHeight="false" outlineLevel="0" collapsed="false"/>
    <row r="314" customFormat="false" ht="12.75" hidden="false" customHeight="fals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12.75" hidden="false" customHeight="fals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  <row r="344" customFormat="false" ht="12.75" hidden="false" customHeight="false" outlineLevel="0" collapsed="false"/>
    <row r="345" customFormat="false" ht="12.75" hidden="false" customHeight="false" outlineLevel="0" collapsed="false"/>
    <row r="346" customFormat="false" ht="12.75" hidden="false" customHeight="false" outlineLevel="0" collapsed="false"/>
    <row r="347" customFormat="false" ht="12.75" hidden="false" customHeight="false" outlineLevel="0" collapsed="false"/>
    <row r="348" customFormat="false" ht="12.75" hidden="false" customHeight="false" outlineLevel="0" collapsed="false"/>
    <row r="349" customFormat="false" ht="12.75" hidden="false" customHeight="false" outlineLevel="0" collapsed="false"/>
    <row r="350" customFormat="false" ht="12.75" hidden="false" customHeight="false" outlineLevel="0" collapsed="false"/>
    <row r="351" customFormat="false" ht="12.75" hidden="false" customHeight="false" outlineLevel="0" collapsed="false"/>
    <row r="352" customFormat="false" ht="12.75" hidden="false" customHeight="false" outlineLevel="0" collapsed="false"/>
    <row r="353" customFormat="false" ht="12.75" hidden="false" customHeight="false" outlineLevel="0" collapsed="false"/>
    <row r="354" customFormat="false" ht="12.75" hidden="false" customHeight="false" outlineLevel="0" collapsed="false"/>
    <row r="355" customFormat="false" ht="12.75" hidden="false" customHeight="false" outlineLevel="0" collapsed="false"/>
    <row r="356" customFormat="false" ht="12.75" hidden="false" customHeight="false" outlineLevel="0" collapsed="false"/>
    <row r="357" customFormat="false" ht="12.75" hidden="false" customHeight="false" outlineLevel="0" collapsed="false"/>
    <row r="358" customFormat="false" ht="12.75" hidden="false" customHeight="false" outlineLevel="0" collapsed="false"/>
    <row r="359" customFormat="false" ht="12.75" hidden="false" customHeight="false" outlineLevel="0" collapsed="false"/>
    <row r="360" customFormat="false" ht="12.75" hidden="false" customHeight="false" outlineLevel="0" collapsed="false"/>
    <row r="361" customFormat="false" ht="12.75" hidden="false" customHeight="false" outlineLevel="0" collapsed="false"/>
    <row r="362" customFormat="false" ht="12.75" hidden="false" customHeight="false" outlineLevel="0" collapsed="false"/>
    <row r="363" customFormat="false" ht="12.75" hidden="false" customHeight="false" outlineLevel="0" collapsed="false"/>
    <row r="364" customFormat="false" ht="12.75" hidden="false" customHeight="false" outlineLevel="0" collapsed="false"/>
    <row r="365" customFormat="false" ht="12.75" hidden="false" customHeight="false" outlineLevel="0" collapsed="false"/>
    <row r="366" customFormat="false" ht="12.75" hidden="false" customHeight="false" outlineLevel="0" collapsed="false"/>
    <row r="367" customFormat="false" ht="12.75" hidden="false" customHeight="false" outlineLevel="0" collapsed="false"/>
    <row r="368" customFormat="false" ht="12.75" hidden="false" customHeight="false" outlineLevel="0" collapsed="false"/>
    <row r="369" customFormat="false" ht="12.75" hidden="false" customHeight="false" outlineLevel="0" collapsed="false"/>
    <row r="370" customFormat="false" ht="12.75" hidden="false" customHeight="false" outlineLevel="0" collapsed="false"/>
    <row r="371" customFormat="false" ht="12.75" hidden="false" customHeight="false" outlineLevel="0" collapsed="false"/>
    <row r="372" customFormat="false" ht="12.75" hidden="false" customHeight="false" outlineLevel="0" collapsed="false"/>
    <row r="373" customFormat="false" ht="12.75" hidden="false" customHeight="false" outlineLevel="0" collapsed="false"/>
    <row r="374" customFormat="false" ht="12.75" hidden="false" customHeight="false" outlineLevel="0" collapsed="false"/>
    <row r="375" customFormat="false" ht="12.75" hidden="false" customHeight="false" outlineLevel="0" collapsed="false"/>
    <row r="376" customFormat="false" ht="12.75" hidden="false" customHeight="false" outlineLevel="0" collapsed="false"/>
    <row r="377" customFormat="false" ht="12.75" hidden="false" customHeight="false" outlineLevel="0" collapsed="false"/>
    <row r="378" customFormat="false" ht="12.75" hidden="false" customHeight="false" outlineLevel="0" collapsed="false"/>
    <row r="379" customFormat="false" ht="12.75" hidden="false" customHeight="false" outlineLevel="0" collapsed="false"/>
    <row r="380" customFormat="false" ht="12.75" hidden="false" customHeight="false" outlineLevel="0" collapsed="false"/>
    <row r="381" customFormat="false" ht="12.75" hidden="false" customHeight="false" outlineLevel="0" collapsed="false"/>
    <row r="382" customFormat="false" ht="12.75" hidden="false" customHeight="false" outlineLevel="0" collapsed="false"/>
    <row r="383" customFormat="false" ht="12.75" hidden="false" customHeight="false" outlineLevel="0" collapsed="false"/>
    <row r="384" customFormat="false" ht="12.75" hidden="false" customHeight="false" outlineLevel="0" collapsed="false"/>
    <row r="385" customFormat="false" ht="12.75" hidden="false" customHeight="false" outlineLevel="0" collapsed="false"/>
    <row r="386" customFormat="false" ht="12.75" hidden="false" customHeight="false" outlineLevel="0" collapsed="false"/>
    <row r="387" customFormat="false" ht="12.75" hidden="false" customHeight="false" outlineLevel="0" collapsed="false"/>
    <row r="388" customFormat="false" ht="12.75" hidden="false" customHeight="false" outlineLevel="0" collapsed="false"/>
    <row r="389" customFormat="false" ht="12.75" hidden="false" customHeight="false" outlineLevel="0" collapsed="false"/>
    <row r="390" customFormat="false" ht="12.75" hidden="false" customHeight="false" outlineLevel="0" collapsed="false"/>
    <row r="391" customFormat="false" ht="12.75" hidden="false" customHeight="false" outlineLevel="0" collapsed="false"/>
    <row r="392" customFormat="false" ht="12.75" hidden="false" customHeight="false" outlineLevel="0" collapsed="false"/>
    <row r="393" customFormat="false" ht="12.75" hidden="false" customHeight="false" outlineLevel="0" collapsed="false"/>
    <row r="394" customFormat="false" ht="12.75" hidden="false" customHeight="false" outlineLevel="0" collapsed="false"/>
    <row r="395" customFormat="false" ht="12.75" hidden="false" customHeight="false" outlineLevel="0" collapsed="false"/>
    <row r="396" customFormat="false" ht="12.75" hidden="false" customHeight="false" outlineLevel="0" collapsed="false"/>
    <row r="397" customFormat="false" ht="12.75" hidden="false" customHeight="false" outlineLevel="0" collapsed="false"/>
    <row r="398" customFormat="false" ht="12.75" hidden="false" customHeight="false" outlineLevel="0" collapsed="false"/>
    <row r="399" customFormat="false" ht="12.75" hidden="false" customHeight="false" outlineLevel="0" collapsed="false"/>
    <row r="400" customFormat="false" ht="12.75" hidden="false" customHeight="false" outlineLevel="0" collapsed="false"/>
    <row r="401" customFormat="false" ht="12.75" hidden="false" customHeight="false" outlineLevel="0" collapsed="false"/>
    <row r="402" customFormat="false" ht="12.75" hidden="false" customHeight="false" outlineLevel="0" collapsed="false"/>
    <row r="403" customFormat="false" ht="12.75" hidden="false" customHeight="false" outlineLevel="0" collapsed="false"/>
    <row r="404" customFormat="false" ht="12.75" hidden="false" customHeight="false" outlineLevel="0" collapsed="false"/>
    <row r="405" customFormat="false" ht="12.75" hidden="false" customHeight="false" outlineLevel="0" collapsed="false"/>
    <row r="406" customFormat="false" ht="12.75" hidden="false" customHeight="false" outlineLevel="0" collapsed="false"/>
    <row r="407" customFormat="false" ht="12.75" hidden="false" customHeight="false" outlineLevel="0" collapsed="false"/>
    <row r="408" customFormat="false" ht="12.75" hidden="false" customHeight="false" outlineLevel="0" collapsed="false"/>
    <row r="409" customFormat="false" ht="12.75" hidden="false" customHeight="false" outlineLevel="0" collapsed="false"/>
    <row r="410" customFormat="false" ht="12.75" hidden="false" customHeight="false" outlineLevel="0" collapsed="false"/>
    <row r="411" customFormat="false" ht="12.75" hidden="false" customHeight="false" outlineLevel="0" collapsed="false"/>
    <row r="412" customFormat="false" ht="12.75" hidden="false" customHeight="false" outlineLevel="0" collapsed="false"/>
    <row r="413" customFormat="false" ht="12.75" hidden="false" customHeight="false" outlineLevel="0" collapsed="false"/>
    <row r="414" customFormat="false" ht="12.75" hidden="false" customHeight="false" outlineLevel="0" collapsed="false"/>
    <row r="415" customFormat="false" ht="12.75" hidden="false" customHeight="false" outlineLevel="0" collapsed="false"/>
    <row r="416" customFormat="false" ht="12.75" hidden="false" customHeight="false" outlineLevel="0" collapsed="false"/>
    <row r="417" customFormat="false" ht="12.75" hidden="false" customHeight="false" outlineLevel="0" collapsed="false"/>
    <row r="418" customFormat="false" ht="12.75" hidden="false" customHeight="false" outlineLevel="0" collapsed="false"/>
    <row r="419" customFormat="false" ht="12.75" hidden="false" customHeight="false" outlineLevel="0" collapsed="false"/>
    <row r="420" customFormat="false" ht="12.75" hidden="false" customHeight="false" outlineLevel="0" collapsed="false"/>
    <row r="421" customFormat="false" ht="12.75" hidden="false" customHeight="false" outlineLevel="0" collapsed="false"/>
    <row r="422" customFormat="false" ht="12.75" hidden="false" customHeight="false" outlineLevel="0" collapsed="false"/>
    <row r="423" customFormat="false" ht="12.75" hidden="false" customHeight="false" outlineLevel="0" collapsed="false"/>
    <row r="424" customFormat="false" ht="12.75" hidden="false" customHeight="false" outlineLevel="0" collapsed="false"/>
    <row r="425" customFormat="false" ht="12.75" hidden="false" customHeight="false" outlineLevel="0" collapsed="false"/>
    <row r="426" customFormat="false" ht="12.75" hidden="false" customHeight="false" outlineLevel="0" collapsed="false"/>
    <row r="427" customFormat="false" ht="12.75" hidden="false" customHeight="false" outlineLevel="0" collapsed="false"/>
    <row r="428" customFormat="false" ht="12.75" hidden="false" customHeight="false" outlineLevel="0" collapsed="false"/>
    <row r="429" customFormat="false" ht="12.75" hidden="false" customHeight="false" outlineLevel="0" collapsed="false"/>
    <row r="430" customFormat="false" ht="12.75" hidden="false" customHeight="false" outlineLevel="0" collapsed="false"/>
    <row r="431" customFormat="false" ht="12.75" hidden="false" customHeight="false" outlineLevel="0" collapsed="false"/>
    <row r="432" customFormat="false" ht="12.75" hidden="false" customHeight="false" outlineLevel="0" collapsed="false"/>
    <row r="433" customFormat="false" ht="12.75" hidden="false" customHeight="false" outlineLevel="0" collapsed="false"/>
    <row r="434" customFormat="false" ht="12.75" hidden="false" customHeight="false" outlineLevel="0" collapsed="false"/>
    <row r="435" customFormat="false" ht="12.75" hidden="false" customHeight="false" outlineLevel="0" collapsed="false"/>
    <row r="436" customFormat="false" ht="12.75" hidden="false" customHeight="false" outlineLevel="0" collapsed="false"/>
    <row r="437" customFormat="false" ht="12.75" hidden="false" customHeight="false" outlineLevel="0" collapsed="false"/>
    <row r="438" customFormat="false" ht="12.75" hidden="false" customHeight="false" outlineLevel="0" collapsed="false"/>
    <row r="439" customFormat="false" ht="12.75" hidden="false" customHeight="false" outlineLevel="0" collapsed="false"/>
    <row r="440" customFormat="false" ht="12.75" hidden="false" customHeight="false" outlineLevel="0" collapsed="false"/>
    <row r="441" customFormat="false" ht="12.75" hidden="false" customHeight="false" outlineLevel="0" collapsed="false"/>
    <row r="442" customFormat="false" ht="12.75" hidden="false" customHeight="false" outlineLevel="0" collapsed="false"/>
    <row r="443" customFormat="false" ht="12.75" hidden="false" customHeight="false" outlineLevel="0" collapsed="false"/>
    <row r="444" customFormat="false" ht="12.75" hidden="false" customHeight="false" outlineLevel="0" collapsed="false"/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/>
    <row r="455" customFormat="false" ht="12.75" hidden="false" customHeight="false" outlineLevel="0" collapsed="false"/>
    <row r="456" customFormat="false" ht="12.75" hidden="false" customHeight="false" outlineLevel="0" collapsed="false"/>
    <row r="457" customFormat="false" ht="12.75" hidden="false" customHeight="false" outlineLevel="0" collapsed="false"/>
    <row r="458" customFormat="false" ht="12.75" hidden="false" customHeight="false" outlineLevel="0" collapsed="false"/>
    <row r="459" customFormat="false" ht="12.75" hidden="false" customHeight="false" outlineLevel="0" collapsed="false"/>
    <row r="460" customFormat="false" ht="12.75" hidden="false" customHeight="false" outlineLevel="0" collapsed="false"/>
    <row r="461" customFormat="false" ht="12.75" hidden="false" customHeight="false" outlineLevel="0" collapsed="false"/>
    <row r="462" customFormat="false" ht="12.75" hidden="false" customHeight="false" outlineLevel="0" collapsed="false"/>
    <row r="463" customFormat="false" ht="12.75" hidden="false" customHeight="false" outlineLevel="0" collapsed="false"/>
    <row r="464" customFormat="false" ht="12.75" hidden="false" customHeight="false" outlineLevel="0" collapsed="false"/>
    <row r="465" customFormat="false" ht="12.75" hidden="false" customHeight="false" outlineLevel="0" collapsed="false"/>
    <row r="466" customFormat="false" ht="12.75" hidden="false" customHeight="false" outlineLevel="0" collapsed="false"/>
    <row r="467" customFormat="false" ht="12.75" hidden="false" customHeight="false" outlineLevel="0" collapsed="false"/>
    <row r="468" customFormat="false" ht="12.75" hidden="false" customHeight="false" outlineLevel="0" collapsed="false"/>
    <row r="469" customFormat="false" ht="12.75" hidden="false" customHeight="false" outlineLevel="0" collapsed="false"/>
    <row r="470" customFormat="false" ht="12.75" hidden="false" customHeight="false" outlineLevel="0" collapsed="false"/>
    <row r="471" customFormat="false" ht="12.75" hidden="false" customHeight="false" outlineLevel="0" collapsed="false"/>
    <row r="472" customFormat="false" ht="12.75" hidden="false" customHeight="false" outlineLevel="0" collapsed="false"/>
    <row r="473" customFormat="false" ht="12.75" hidden="false" customHeight="false" outlineLevel="0" collapsed="false"/>
    <row r="474" customFormat="false" ht="12.75" hidden="false" customHeight="false" outlineLevel="0" collapsed="false"/>
    <row r="475" customFormat="false" ht="12.75" hidden="false" customHeight="false" outlineLevel="0" collapsed="false"/>
    <row r="476" customFormat="false" ht="12.75" hidden="false" customHeight="false" outlineLevel="0" collapsed="false"/>
    <row r="477" customFormat="false" ht="12.75" hidden="false" customHeight="false" outlineLevel="0" collapsed="false"/>
    <row r="478" customFormat="false" ht="12.75" hidden="false" customHeight="false" outlineLevel="0" collapsed="false"/>
    <row r="479" customFormat="false" ht="12.75" hidden="false" customHeight="false" outlineLevel="0" collapsed="false"/>
    <row r="480" customFormat="false" ht="12.75" hidden="false" customHeight="false" outlineLevel="0" collapsed="false"/>
    <row r="481" customFormat="false" ht="12.75" hidden="false" customHeight="false" outlineLevel="0" collapsed="false"/>
    <row r="482" customFormat="false" ht="12.75" hidden="false" customHeight="false" outlineLevel="0" collapsed="false"/>
    <row r="483" customFormat="false" ht="12.75" hidden="false" customHeight="false" outlineLevel="0" collapsed="false"/>
    <row r="484" customFormat="false" ht="12.75" hidden="false" customHeight="false" outlineLevel="0" collapsed="false"/>
    <row r="485" customFormat="false" ht="12.75" hidden="false" customHeight="false" outlineLevel="0" collapsed="false"/>
    <row r="486" customFormat="false" ht="12.75" hidden="false" customHeight="false" outlineLevel="0" collapsed="false"/>
    <row r="487" customFormat="false" ht="12.75" hidden="false" customHeight="false" outlineLevel="0" collapsed="false"/>
    <row r="488" customFormat="false" ht="12.75" hidden="false" customHeight="false" outlineLevel="0" collapsed="false"/>
    <row r="489" customFormat="false" ht="12.75" hidden="false" customHeight="false" outlineLevel="0" collapsed="false"/>
    <row r="490" customFormat="false" ht="12.75" hidden="false" customHeight="false" outlineLevel="0" collapsed="false"/>
    <row r="491" customFormat="false" ht="12.75" hidden="false" customHeight="false" outlineLevel="0" collapsed="false"/>
    <row r="492" customFormat="false" ht="12.75" hidden="false" customHeight="false" outlineLevel="0" collapsed="false"/>
    <row r="493" customFormat="false" ht="12.75" hidden="false" customHeight="false" outlineLevel="0" collapsed="false"/>
    <row r="494" customFormat="false" ht="12.75" hidden="false" customHeight="false" outlineLevel="0" collapsed="false"/>
    <row r="495" customFormat="false" ht="12.75" hidden="false" customHeight="false" outlineLevel="0" collapsed="false"/>
    <row r="496" customFormat="false" ht="12.75" hidden="false" customHeight="false" outlineLevel="0" collapsed="false"/>
    <row r="497" customFormat="false" ht="12.75" hidden="false" customHeight="false" outlineLevel="0" collapsed="false"/>
    <row r="498" customFormat="false" ht="12.75" hidden="false" customHeight="false" outlineLevel="0" collapsed="false"/>
    <row r="499" customFormat="false" ht="12.75" hidden="false" customHeight="false" outlineLevel="0" collapsed="false"/>
    <row r="500" customFormat="false" ht="12.75" hidden="false" customHeight="false" outlineLevel="0" collapsed="false"/>
    <row r="501" customFormat="false" ht="12.75" hidden="false" customHeight="false" outlineLevel="0" collapsed="false"/>
    <row r="502" customFormat="false" ht="12.75" hidden="false" customHeight="false" outlineLevel="0" collapsed="false"/>
    <row r="503" customFormat="false" ht="12.75" hidden="false" customHeight="false" outlineLevel="0" collapsed="false"/>
    <row r="504" customFormat="false" ht="12.75" hidden="false" customHeight="false" outlineLevel="0" collapsed="false"/>
    <row r="505" customFormat="false" ht="12.75" hidden="false" customHeight="false" outlineLevel="0" collapsed="false"/>
    <row r="506" customFormat="false" ht="12.75" hidden="false" customHeight="false" outlineLevel="0" collapsed="false"/>
    <row r="507" customFormat="false" ht="12.75" hidden="false" customHeight="false" outlineLevel="0" collapsed="false"/>
    <row r="508" customFormat="false" ht="12.75" hidden="false" customHeight="false" outlineLevel="0" collapsed="false"/>
    <row r="509" customFormat="false" ht="12.75" hidden="false" customHeight="false" outlineLevel="0" collapsed="false"/>
    <row r="510" customFormat="false" ht="12.75" hidden="false" customHeight="false" outlineLevel="0" collapsed="false"/>
    <row r="511" customFormat="false" ht="12.75" hidden="false" customHeight="false" outlineLevel="0" collapsed="false"/>
    <row r="512" customFormat="false" ht="12.75" hidden="false" customHeight="false" outlineLevel="0" collapsed="false"/>
    <row r="513" customFormat="false" ht="12.75" hidden="false" customHeight="false" outlineLevel="0" collapsed="false"/>
    <row r="514" customFormat="false" ht="12.75" hidden="false" customHeight="false" outlineLevel="0" collapsed="false"/>
    <row r="515" customFormat="false" ht="12.75" hidden="false" customHeight="false" outlineLevel="0" collapsed="false"/>
    <row r="516" customFormat="false" ht="12.75" hidden="false" customHeight="false" outlineLevel="0" collapsed="false"/>
    <row r="517" customFormat="false" ht="12.75" hidden="false" customHeight="false" outlineLevel="0" collapsed="false"/>
    <row r="518" customFormat="false" ht="12.75" hidden="false" customHeight="false" outlineLevel="0" collapsed="false"/>
    <row r="519" customFormat="false" ht="12.75" hidden="false" customHeight="false" outlineLevel="0" collapsed="false"/>
    <row r="520" customFormat="false" ht="12.75" hidden="false" customHeight="false" outlineLevel="0" collapsed="false"/>
    <row r="521" customFormat="false" ht="12.75" hidden="false" customHeight="false" outlineLevel="0" collapsed="false"/>
    <row r="522" customFormat="false" ht="12.75" hidden="false" customHeight="false" outlineLevel="0" collapsed="false"/>
    <row r="523" customFormat="false" ht="12.75" hidden="false" customHeight="false" outlineLevel="0" collapsed="false"/>
    <row r="524" customFormat="false" ht="12.75" hidden="false" customHeight="false" outlineLevel="0" collapsed="false"/>
    <row r="525" customFormat="false" ht="12.75" hidden="false" customHeight="false" outlineLevel="0" collapsed="false"/>
    <row r="526" customFormat="false" ht="12.75" hidden="false" customHeight="false" outlineLevel="0" collapsed="false"/>
    <row r="527" customFormat="false" ht="12.75" hidden="false" customHeight="false" outlineLevel="0" collapsed="false"/>
    <row r="528" customFormat="false" ht="12.75" hidden="false" customHeight="false" outlineLevel="0" collapsed="false"/>
    <row r="529" customFormat="false" ht="12.75" hidden="false" customHeight="false" outlineLevel="0" collapsed="false"/>
    <row r="530" customFormat="false" ht="12.75" hidden="false" customHeight="false" outlineLevel="0" collapsed="false"/>
    <row r="531" customFormat="false" ht="12.75" hidden="false" customHeight="false" outlineLevel="0" collapsed="false"/>
    <row r="532" customFormat="false" ht="12.75" hidden="false" customHeight="false" outlineLevel="0" collapsed="false"/>
    <row r="533" customFormat="false" ht="12.75" hidden="false" customHeight="false" outlineLevel="0" collapsed="false"/>
    <row r="534" customFormat="false" ht="12.75" hidden="false" customHeight="false" outlineLevel="0" collapsed="false"/>
    <row r="535" customFormat="false" ht="12.75" hidden="false" customHeight="false" outlineLevel="0" collapsed="false"/>
    <row r="536" customFormat="false" ht="12.75" hidden="false" customHeight="false" outlineLevel="0" collapsed="false"/>
    <row r="537" customFormat="false" ht="12.75" hidden="false" customHeight="false" outlineLevel="0" collapsed="false"/>
    <row r="538" customFormat="false" ht="12.75" hidden="false" customHeight="false" outlineLevel="0" collapsed="false"/>
    <row r="539" customFormat="false" ht="12.75" hidden="false" customHeight="false" outlineLevel="0" collapsed="false"/>
    <row r="540" customFormat="false" ht="12.75" hidden="false" customHeight="false" outlineLevel="0" collapsed="false"/>
    <row r="541" customFormat="false" ht="12.75" hidden="false" customHeight="false" outlineLevel="0" collapsed="false"/>
    <row r="542" customFormat="false" ht="12.75" hidden="false" customHeight="false" outlineLevel="0" collapsed="false"/>
    <row r="543" customFormat="false" ht="12.75" hidden="false" customHeight="false" outlineLevel="0" collapsed="false"/>
    <row r="544" customFormat="false" ht="12.75" hidden="false" customHeight="false" outlineLevel="0" collapsed="false"/>
    <row r="545" customFormat="false" ht="12.75" hidden="false" customHeight="false" outlineLevel="0" collapsed="false"/>
    <row r="546" customFormat="false" ht="12.75" hidden="false" customHeight="false" outlineLevel="0" collapsed="false"/>
    <row r="547" customFormat="false" ht="12.75" hidden="false" customHeight="false" outlineLevel="0" collapsed="false"/>
    <row r="548" customFormat="false" ht="12.75" hidden="false" customHeight="false" outlineLevel="0" collapsed="false"/>
    <row r="549" customFormat="false" ht="12.75" hidden="false" customHeight="false" outlineLevel="0" collapsed="false"/>
    <row r="550" customFormat="false" ht="12.75" hidden="false" customHeight="false" outlineLevel="0" collapsed="false"/>
    <row r="551" customFormat="false" ht="12.75" hidden="false" customHeight="false" outlineLevel="0" collapsed="false"/>
    <row r="552" customFormat="false" ht="12.75" hidden="false" customHeight="false" outlineLevel="0" collapsed="false"/>
    <row r="553" customFormat="false" ht="12.75" hidden="false" customHeight="false" outlineLevel="0" collapsed="false"/>
    <row r="554" customFormat="false" ht="12.75" hidden="false" customHeight="false" outlineLevel="0" collapsed="false"/>
    <row r="555" customFormat="false" ht="12.75" hidden="false" customHeight="false" outlineLevel="0" collapsed="false"/>
    <row r="556" customFormat="false" ht="12.75" hidden="false" customHeight="false" outlineLevel="0" collapsed="false"/>
    <row r="557" customFormat="false" ht="12.75" hidden="false" customHeight="false" outlineLevel="0" collapsed="false"/>
    <row r="558" customFormat="false" ht="12.75" hidden="false" customHeight="false" outlineLevel="0" collapsed="false"/>
    <row r="559" customFormat="false" ht="12.75" hidden="false" customHeight="false" outlineLevel="0" collapsed="false"/>
    <row r="560" customFormat="false" ht="12.75" hidden="false" customHeight="false" outlineLevel="0" collapsed="false"/>
    <row r="561" customFormat="false" ht="12.75" hidden="false" customHeight="false" outlineLevel="0" collapsed="false"/>
    <row r="562" customFormat="false" ht="12.75" hidden="false" customHeight="false" outlineLevel="0" collapsed="false"/>
    <row r="563" customFormat="false" ht="12.75" hidden="false" customHeight="false" outlineLevel="0" collapsed="false"/>
    <row r="564" customFormat="false" ht="12.75" hidden="false" customHeight="false" outlineLevel="0" collapsed="false"/>
    <row r="565" customFormat="false" ht="12.75" hidden="false" customHeight="false" outlineLevel="0" collapsed="false"/>
    <row r="566" customFormat="false" ht="12.75" hidden="false" customHeight="false" outlineLevel="0" collapsed="false"/>
    <row r="567" customFormat="false" ht="12.75" hidden="false" customHeight="false" outlineLevel="0" collapsed="false"/>
    <row r="568" customFormat="false" ht="12.75" hidden="false" customHeight="false" outlineLevel="0" collapsed="false"/>
    <row r="569" customFormat="false" ht="12.75" hidden="false" customHeight="false" outlineLevel="0" collapsed="false"/>
    <row r="570" customFormat="false" ht="12.75" hidden="false" customHeight="false" outlineLevel="0" collapsed="false"/>
    <row r="571" customFormat="false" ht="12.75" hidden="false" customHeight="false" outlineLevel="0" collapsed="false"/>
    <row r="572" customFormat="false" ht="12.75" hidden="false" customHeight="false" outlineLevel="0" collapsed="false"/>
    <row r="573" customFormat="false" ht="12.75" hidden="false" customHeight="false" outlineLevel="0" collapsed="false"/>
    <row r="574" customFormat="false" ht="12.75" hidden="false" customHeight="false" outlineLevel="0" collapsed="false"/>
    <row r="575" customFormat="false" ht="12.75" hidden="false" customHeight="false" outlineLevel="0" collapsed="false"/>
    <row r="576" customFormat="false" ht="12.75" hidden="false" customHeight="false" outlineLevel="0" collapsed="false"/>
    <row r="577" customFormat="false" ht="12.75" hidden="false" customHeight="false" outlineLevel="0" collapsed="false"/>
    <row r="578" customFormat="false" ht="12.75" hidden="false" customHeight="false" outlineLevel="0" collapsed="false"/>
    <row r="579" customFormat="false" ht="12.75" hidden="false" customHeight="false" outlineLevel="0" collapsed="false"/>
    <row r="580" customFormat="false" ht="12.75" hidden="false" customHeight="false" outlineLevel="0" collapsed="false"/>
    <row r="581" customFormat="false" ht="12.75" hidden="false" customHeight="false" outlineLevel="0" collapsed="false"/>
    <row r="582" customFormat="false" ht="12.75" hidden="false" customHeight="false" outlineLevel="0" collapsed="false"/>
    <row r="583" customFormat="false" ht="12.75" hidden="false" customHeight="false" outlineLevel="0" collapsed="false"/>
    <row r="584" customFormat="false" ht="12.75" hidden="false" customHeight="false" outlineLevel="0" collapsed="false"/>
    <row r="585" customFormat="false" ht="12.75" hidden="false" customHeight="false" outlineLevel="0" collapsed="false"/>
    <row r="586" customFormat="false" ht="12.75" hidden="false" customHeight="false" outlineLevel="0" collapsed="false"/>
    <row r="587" customFormat="false" ht="12.75" hidden="false" customHeight="false" outlineLevel="0" collapsed="false"/>
    <row r="588" customFormat="false" ht="12.75" hidden="false" customHeight="false" outlineLevel="0" collapsed="false"/>
    <row r="589" customFormat="false" ht="12.75" hidden="false" customHeight="false" outlineLevel="0" collapsed="false"/>
    <row r="590" customFormat="false" ht="12.75" hidden="false" customHeight="false" outlineLevel="0" collapsed="false"/>
    <row r="591" customFormat="false" ht="12.75" hidden="false" customHeight="false" outlineLevel="0" collapsed="false"/>
    <row r="592" customFormat="false" ht="12.75" hidden="false" customHeight="false" outlineLevel="0" collapsed="false"/>
    <row r="593" customFormat="false" ht="12.75" hidden="false" customHeight="false" outlineLevel="0" collapsed="false"/>
    <row r="594" customFormat="false" ht="12.75" hidden="false" customHeight="false" outlineLevel="0" collapsed="false"/>
    <row r="595" customFormat="false" ht="12.75" hidden="false" customHeight="false" outlineLevel="0" collapsed="false"/>
    <row r="596" customFormat="false" ht="12.75" hidden="false" customHeight="false" outlineLevel="0" collapsed="false"/>
    <row r="597" customFormat="false" ht="12.75" hidden="false" customHeight="false" outlineLevel="0" collapsed="false"/>
    <row r="598" customFormat="false" ht="12.75" hidden="false" customHeight="false" outlineLevel="0" collapsed="false"/>
    <row r="599" customFormat="false" ht="12.75" hidden="false" customHeight="false" outlineLevel="0" collapsed="false"/>
    <row r="600" customFormat="false" ht="12.75" hidden="false" customHeight="false" outlineLevel="0" collapsed="false"/>
    <row r="601" customFormat="false" ht="12.75" hidden="false" customHeight="false" outlineLevel="0" collapsed="false"/>
    <row r="602" customFormat="false" ht="12.75" hidden="false" customHeight="false" outlineLevel="0" collapsed="false"/>
    <row r="603" customFormat="false" ht="12.75" hidden="false" customHeight="false" outlineLevel="0" collapsed="false"/>
    <row r="604" customFormat="false" ht="12.75" hidden="false" customHeight="false" outlineLevel="0" collapsed="false"/>
    <row r="605" customFormat="false" ht="12.75" hidden="false" customHeight="false" outlineLevel="0" collapsed="false"/>
    <row r="606" customFormat="false" ht="12.75" hidden="false" customHeight="false" outlineLevel="0" collapsed="false"/>
    <row r="607" customFormat="false" ht="12.75" hidden="false" customHeight="false" outlineLevel="0" collapsed="false"/>
    <row r="608" customFormat="false" ht="12.75" hidden="false" customHeight="false" outlineLevel="0" collapsed="false"/>
    <row r="609" customFormat="false" ht="12.75" hidden="false" customHeight="false" outlineLevel="0" collapsed="false"/>
    <row r="610" customFormat="false" ht="12.75" hidden="false" customHeight="false" outlineLevel="0" collapsed="false"/>
    <row r="611" customFormat="false" ht="12.75" hidden="false" customHeight="false" outlineLevel="0" collapsed="false"/>
    <row r="612" customFormat="false" ht="12.75" hidden="false" customHeight="false" outlineLevel="0" collapsed="false"/>
    <row r="613" customFormat="false" ht="12.75" hidden="false" customHeight="false" outlineLevel="0" collapsed="false"/>
    <row r="614" customFormat="false" ht="12.75" hidden="false" customHeight="false" outlineLevel="0" collapsed="false"/>
    <row r="615" customFormat="false" ht="12.75" hidden="false" customHeight="false" outlineLevel="0" collapsed="false"/>
    <row r="616" customFormat="false" ht="12.75" hidden="false" customHeight="false" outlineLevel="0" collapsed="false"/>
    <row r="617" customFormat="false" ht="12.75" hidden="false" customHeight="false" outlineLevel="0" collapsed="false"/>
    <row r="618" customFormat="false" ht="12.75" hidden="false" customHeight="false" outlineLevel="0" collapsed="false"/>
    <row r="619" customFormat="false" ht="12.75" hidden="false" customHeight="false" outlineLevel="0" collapsed="false"/>
    <row r="620" customFormat="false" ht="12.75" hidden="false" customHeight="false" outlineLevel="0" collapsed="false"/>
    <row r="621" customFormat="false" ht="12.75" hidden="false" customHeight="false" outlineLevel="0" collapsed="false"/>
    <row r="622" customFormat="false" ht="12.75" hidden="false" customHeight="false" outlineLevel="0" collapsed="false"/>
    <row r="623" customFormat="false" ht="12.75" hidden="false" customHeight="false" outlineLevel="0" collapsed="false"/>
    <row r="624" customFormat="false" ht="12.75" hidden="false" customHeight="false" outlineLevel="0" collapsed="false"/>
    <row r="625" customFormat="false" ht="12.75" hidden="false" customHeight="false" outlineLevel="0" collapsed="false"/>
    <row r="626" customFormat="false" ht="12.75" hidden="false" customHeight="false" outlineLevel="0" collapsed="false"/>
    <row r="627" customFormat="false" ht="12.75" hidden="false" customHeight="false" outlineLevel="0" collapsed="false"/>
    <row r="628" customFormat="false" ht="12.75" hidden="false" customHeight="false" outlineLevel="0" collapsed="false"/>
    <row r="629" customFormat="false" ht="12.75" hidden="false" customHeight="false" outlineLevel="0" collapsed="false"/>
    <row r="630" customFormat="false" ht="12.75" hidden="false" customHeight="false" outlineLevel="0" collapsed="false"/>
    <row r="631" customFormat="false" ht="12.75" hidden="false" customHeight="false" outlineLevel="0" collapsed="false"/>
    <row r="632" customFormat="false" ht="12.75" hidden="false" customHeight="false" outlineLevel="0" collapsed="false"/>
    <row r="633" customFormat="false" ht="12.75" hidden="false" customHeight="false" outlineLevel="0" collapsed="false"/>
    <row r="634" customFormat="false" ht="12.75" hidden="false" customHeight="false" outlineLevel="0" collapsed="false"/>
    <row r="635" customFormat="false" ht="12.75" hidden="false" customHeight="false" outlineLevel="0" collapsed="false"/>
    <row r="636" customFormat="false" ht="12.75" hidden="false" customHeight="false" outlineLevel="0" collapsed="false"/>
    <row r="637" customFormat="false" ht="12.75" hidden="false" customHeight="false" outlineLevel="0" collapsed="false"/>
    <row r="638" customFormat="false" ht="12.75" hidden="false" customHeight="false" outlineLevel="0" collapsed="false"/>
    <row r="639" customFormat="false" ht="12.75" hidden="false" customHeight="false" outlineLevel="0" collapsed="false"/>
    <row r="640" customFormat="false" ht="12.75" hidden="false" customHeight="false" outlineLevel="0" collapsed="false"/>
    <row r="641" customFormat="false" ht="12.75" hidden="false" customHeight="false" outlineLevel="0" collapsed="false"/>
    <row r="642" customFormat="false" ht="12.75" hidden="false" customHeight="false" outlineLevel="0" collapsed="false"/>
    <row r="643" customFormat="false" ht="12.75" hidden="false" customHeight="false" outlineLevel="0" collapsed="false"/>
    <row r="644" customFormat="false" ht="12.75" hidden="false" customHeight="false" outlineLevel="0" collapsed="false"/>
    <row r="645" customFormat="false" ht="12.75" hidden="false" customHeight="false" outlineLevel="0" collapsed="false"/>
    <row r="646" customFormat="false" ht="12.75" hidden="false" customHeight="false" outlineLevel="0" collapsed="false"/>
    <row r="647" customFormat="false" ht="12.75" hidden="false" customHeight="false" outlineLevel="0" collapsed="false"/>
    <row r="648" customFormat="false" ht="12.75" hidden="false" customHeight="false" outlineLevel="0" collapsed="false"/>
    <row r="649" customFormat="false" ht="12.75" hidden="false" customHeight="false" outlineLevel="0" collapsed="false"/>
    <row r="650" customFormat="false" ht="12.75" hidden="false" customHeight="false" outlineLevel="0" collapsed="false"/>
    <row r="651" customFormat="false" ht="12.75" hidden="false" customHeight="false" outlineLevel="0" collapsed="false"/>
    <row r="652" customFormat="false" ht="12.75" hidden="false" customHeight="false" outlineLevel="0" collapsed="false"/>
    <row r="653" customFormat="false" ht="12.75" hidden="false" customHeight="false" outlineLevel="0" collapsed="false"/>
    <row r="654" customFormat="false" ht="12.75" hidden="false" customHeight="false" outlineLevel="0" collapsed="false"/>
    <row r="655" customFormat="false" ht="12.75" hidden="false" customHeight="false" outlineLevel="0" collapsed="false"/>
    <row r="656" customFormat="false" ht="12.75" hidden="false" customHeight="false" outlineLevel="0" collapsed="false"/>
    <row r="657" customFormat="false" ht="12.75" hidden="false" customHeight="false" outlineLevel="0" collapsed="false"/>
    <row r="658" customFormat="false" ht="12.75" hidden="false" customHeight="false" outlineLevel="0" collapsed="false"/>
    <row r="659" customFormat="false" ht="12.75" hidden="false" customHeight="false" outlineLevel="0" collapsed="false"/>
    <row r="660" customFormat="false" ht="12.75" hidden="false" customHeight="false" outlineLevel="0" collapsed="false"/>
    <row r="661" customFormat="false" ht="12.75" hidden="false" customHeight="false" outlineLevel="0" collapsed="false"/>
    <row r="662" customFormat="false" ht="12.75" hidden="false" customHeight="false" outlineLevel="0" collapsed="false"/>
    <row r="663" customFormat="false" ht="12.75" hidden="false" customHeight="false" outlineLevel="0" collapsed="false"/>
    <row r="664" customFormat="false" ht="12.75" hidden="false" customHeight="false" outlineLevel="0" collapsed="false"/>
    <row r="665" customFormat="false" ht="12.75" hidden="false" customHeight="false" outlineLevel="0" collapsed="false"/>
    <row r="666" customFormat="false" ht="12.75" hidden="false" customHeight="false" outlineLevel="0" collapsed="false"/>
    <row r="667" customFormat="false" ht="12.75" hidden="false" customHeight="false" outlineLevel="0" collapsed="false"/>
    <row r="668" customFormat="false" ht="12.75" hidden="false" customHeight="false" outlineLevel="0" collapsed="false"/>
    <row r="669" customFormat="false" ht="12.75" hidden="false" customHeight="false" outlineLevel="0" collapsed="false"/>
    <row r="670" customFormat="false" ht="12.75" hidden="false" customHeight="false" outlineLevel="0" collapsed="false"/>
    <row r="671" customFormat="false" ht="12.75" hidden="false" customHeight="false" outlineLevel="0" collapsed="false"/>
    <row r="672" customFormat="false" ht="12.75" hidden="false" customHeight="false" outlineLevel="0" collapsed="false"/>
    <row r="673" customFormat="false" ht="12.75" hidden="false" customHeight="false" outlineLevel="0" collapsed="false"/>
    <row r="674" customFormat="false" ht="12.75" hidden="false" customHeight="false" outlineLevel="0" collapsed="false"/>
    <row r="675" customFormat="false" ht="12.75" hidden="false" customHeight="false" outlineLevel="0" collapsed="false"/>
    <row r="676" customFormat="false" ht="12.75" hidden="false" customHeight="false" outlineLevel="0" collapsed="false"/>
    <row r="677" customFormat="false" ht="12.75" hidden="false" customHeight="false" outlineLevel="0" collapsed="false"/>
    <row r="678" customFormat="false" ht="12.75" hidden="false" customHeight="false" outlineLevel="0" collapsed="false"/>
    <row r="679" customFormat="false" ht="12.75" hidden="false" customHeight="false" outlineLevel="0" collapsed="false"/>
    <row r="680" customFormat="false" ht="12.75" hidden="false" customHeight="false" outlineLevel="0" collapsed="false"/>
    <row r="681" customFormat="false" ht="12.75" hidden="false" customHeight="false" outlineLevel="0" collapsed="false"/>
    <row r="682" customFormat="false" ht="12.75" hidden="false" customHeight="false" outlineLevel="0" collapsed="false"/>
    <row r="683" customFormat="false" ht="12.75" hidden="false" customHeight="false" outlineLevel="0" collapsed="false"/>
    <row r="684" customFormat="false" ht="12.75" hidden="false" customHeight="false" outlineLevel="0" collapsed="false"/>
    <row r="685" customFormat="false" ht="12.75" hidden="false" customHeight="false" outlineLevel="0" collapsed="false"/>
    <row r="686" customFormat="false" ht="12.75" hidden="false" customHeight="false" outlineLevel="0" collapsed="false"/>
    <row r="687" customFormat="false" ht="12.75" hidden="false" customHeight="false" outlineLevel="0" collapsed="false"/>
    <row r="688" customFormat="false" ht="12.75" hidden="false" customHeight="false" outlineLevel="0" collapsed="false"/>
    <row r="689" customFormat="false" ht="12.75" hidden="false" customHeight="false" outlineLevel="0" collapsed="false"/>
    <row r="690" customFormat="false" ht="12.75" hidden="false" customHeight="false" outlineLevel="0" collapsed="false"/>
    <row r="691" customFormat="false" ht="12.75" hidden="false" customHeight="false" outlineLevel="0" collapsed="false"/>
    <row r="692" customFormat="false" ht="12.75" hidden="false" customHeight="false" outlineLevel="0" collapsed="false"/>
    <row r="693" customFormat="false" ht="12.75" hidden="false" customHeight="false" outlineLevel="0" collapsed="false"/>
    <row r="694" customFormat="false" ht="12.75" hidden="false" customHeight="false" outlineLevel="0" collapsed="false"/>
    <row r="695" customFormat="false" ht="12.75" hidden="false" customHeight="false" outlineLevel="0" collapsed="false"/>
    <row r="696" customFormat="false" ht="12.75" hidden="false" customHeight="false" outlineLevel="0" collapsed="false"/>
    <row r="697" customFormat="false" ht="12.75" hidden="false" customHeight="false" outlineLevel="0" collapsed="false"/>
    <row r="698" customFormat="false" ht="12.75" hidden="false" customHeight="false" outlineLevel="0" collapsed="false"/>
    <row r="699" customFormat="false" ht="12.75" hidden="false" customHeight="false" outlineLevel="0" collapsed="false"/>
    <row r="700" customFormat="false" ht="12.75" hidden="false" customHeight="false" outlineLevel="0" collapsed="false"/>
    <row r="701" customFormat="false" ht="12.75" hidden="false" customHeight="false" outlineLevel="0" collapsed="false"/>
    <row r="702" customFormat="false" ht="12.75" hidden="false" customHeight="false" outlineLevel="0" collapsed="false"/>
    <row r="703" customFormat="false" ht="12.75" hidden="false" customHeight="false" outlineLevel="0" collapsed="false"/>
    <row r="704" customFormat="false" ht="12.75" hidden="false" customHeight="false" outlineLevel="0" collapsed="false"/>
    <row r="705" customFormat="false" ht="12.75" hidden="false" customHeight="false" outlineLevel="0" collapsed="false"/>
    <row r="706" customFormat="false" ht="12.75" hidden="false" customHeight="false" outlineLevel="0" collapsed="false"/>
    <row r="707" customFormat="false" ht="12.75" hidden="false" customHeight="false" outlineLevel="0" collapsed="false"/>
    <row r="708" customFormat="false" ht="12.75" hidden="false" customHeight="false" outlineLevel="0" collapsed="false"/>
    <row r="709" customFormat="false" ht="12.75" hidden="false" customHeight="false" outlineLevel="0" collapsed="false"/>
    <row r="710" customFormat="false" ht="12.75" hidden="false" customHeight="false" outlineLevel="0" collapsed="false"/>
    <row r="711" customFormat="false" ht="12.75" hidden="false" customHeight="false" outlineLevel="0" collapsed="false"/>
    <row r="712" customFormat="false" ht="12.75" hidden="false" customHeight="false" outlineLevel="0" collapsed="false"/>
    <row r="713" customFormat="false" ht="12.75" hidden="false" customHeight="false" outlineLevel="0" collapsed="false"/>
    <row r="714" customFormat="false" ht="12.75" hidden="false" customHeight="false" outlineLevel="0" collapsed="false"/>
    <row r="715" customFormat="false" ht="12.75" hidden="false" customHeight="false" outlineLevel="0" collapsed="false"/>
    <row r="716" customFormat="false" ht="12.75" hidden="false" customHeight="false" outlineLevel="0" collapsed="false"/>
    <row r="717" customFormat="false" ht="12.75" hidden="false" customHeight="false" outlineLevel="0" collapsed="false"/>
    <row r="718" customFormat="false" ht="12.75" hidden="false" customHeight="false" outlineLevel="0" collapsed="false"/>
    <row r="719" customFormat="false" ht="12.75" hidden="false" customHeight="false" outlineLevel="0" collapsed="false"/>
    <row r="720" customFormat="false" ht="12.75" hidden="false" customHeight="false" outlineLevel="0" collapsed="false"/>
    <row r="721" customFormat="false" ht="12.75" hidden="false" customHeight="false" outlineLevel="0" collapsed="false"/>
    <row r="722" customFormat="false" ht="12.75" hidden="false" customHeight="false" outlineLevel="0" collapsed="false"/>
    <row r="723" customFormat="false" ht="12.75" hidden="false" customHeight="false" outlineLevel="0" collapsed="false"/>
    <row r="724" customFormat="false" ht="12.75" hidden="false" customHeight="false" outlineLevel="0" collapsed="false"/>
    <row r="725" customFormat="false" ht="12.75" hidden="false" customHeight="false" outlineLevel="0" collapsed="false"/>
    <row r="726" customFormat="false" ht="12.75" hidden="false" customHeight="false" outlineLevel="0" collapsed="false"/>
    <row r="727" customFormat="false" ht="12.75" hidden="false" customHeight="false" outlineLevel="0" collapsed="false"/>
    <row r="728" customFormat="false" ht="12.75" hidden="false" customHeight="false" outlineLevel="0" collapsed="false"/>
    <row r="729" customFormat="false" ht="12.75" hidden="false" customHeight="false" outlineLevel="0" collapsed="false"/>
    <row r="730" customFormat="false" ht="12.75" hidden="false" customHeight="false" outlineLevel="0" collapsed="false"/>
    <row r="731" customFormat="false" ht="12.75" hidden="false" customHeight="false" outlineLevel="0" collapsed="false"/>
    <row r="732" customFormat="false" ht="12.75" hidden="false" customHeight="false" outlineLevel="0" collapsed="false"/>
    <row r="733" customFormat="false" ht="12.75" hidden="false" customHeight="false" outlineLevel="0" collapsed="false"/>
    <row r="734" customFormat="false" ht="12.75" hidden="false" customHeight="false" outlineLevel="0" collapsed="false"/>
    <row r="735" customFormat="false" ht="12.75" hidden="false" customHeight="false" outlineLevel="0" collapsed="false"/>
    <row r="736" customFormat="false" ht="12.75" hidden="false" customHeight="false" outlineLevel="0" collapsed="false"/>
    <row r="737" customFormat="false" ht="12.75" hidden="false" customHeight="false" outlineLevel="0" collapsed="false"/>
    <row r="738" customFormat="false" ht="12.75" hidden="false" customHeight="false" outlineLevel="0" collapsed="false"/>
    <row r="739" customFormat="false" ht="12.75" hidden="false" customHeight="false" outlineLevel="0" collapsed="false"/>
    <row r="740" customFormat="false" ht="12.75" hidden="false" customHeight="false" outlineLevel="0" collapsed="false"/>
    <row r="741" customFormat="false" ht="12.75" hidden="false" customHeight="false" outlineLevel="0" collapsed="false"/>
    <row r="742" customFormat="false" ht="12.75" hidden="false" customHeight="false" outlineLevel="0" collapsed="false"/>
    <row r="743" customFormat="false" ht="12.75" hidden="false" customHeight="false" outlineLevel="0" collapsed="false"/>
    <row r="744" customFormat="false" ht="12.75" hidden="false" customHeight="false" outlineLevel="0" collapsed="false"/>
    <row r="745" customFormat="false" ht="12.75" hidden="false" customHeight="false" outlineLevel="0" collapsed="false"/>
    <row r="746" customFormat="false" ht="12.75" hidden="false" customHeight="false" outlineLevel="0" collapsed="false"/>
    <row r="747" customFormat="false" ht="12.75" hidden="false" customHeight="false" outlineLevel="0" collapsed="false"/>
    <row r="748" customFormat="false" ht="12.75" hidden="false" customHeight="false" outlineLevel="0" collapsed="false"/>
    <row r="749" customFormat="false" ht="12.75" hidden="false" customHeight="false" outlineLevel="0" collapsed="false"/>
    <row r="750" customFormat="false" ht="12.75" hidden="false" customHeight="false" outlineLevel="0" collapsed="false"/>
    <row r="751" customFormat="false" ht="12.75" hidden="false" customHeight="false" outlineLevel="0" collapsed="false"/>
    <row r="752" customFormat="false" ht="12.75" hidden="false" customHeight="false" outlineLevel="0" collapsed="false"/>
    <row r="753" customFormat="false" ht="12.75" hidden="false" customHeight="false" outlineLevel="0" collapsed="false"/>
    <row r="754" customFormat="false" ht="12.75" hidden="false" customHeight="false" outlineLevel="0" collapsed="false"/>
    <row r="755" customFormat="false" ht="12.75" hidden="false" customHeight="false" outlineLevel="0" collapsed="false"/>
    <row r="756" customFormat="false" ht="12.75" hidden="false" customHeight="false" outlineLevel="0" collapsed="false"/>
    <row r="757" customFormat="false" ht="12.75" hidden="false" customHeight="false" outlineLevel="0" collapsed="false"/>
    <row r="758" customFormat="false" ht="12.75" hidden="false" customHeight="false" outlineLevel="0" collapsed="false"/>
    <row r="759" customFormat="false" ht="12.75" hidden="false" customHeight="false" outlineLevel="0" collapsed="false"/>
    <row r="760" customFormat="false" ht="12.75" hidden="false" customHeight="false" outlineLevel="0" collapsed="false"/>
    <row r="761" customFormat="false" ht="12.75" hidden="false" customHeight="false" outlineLevel="0" collapsed="false"/>
    <row r="762" customFormat="false" ht="12.75" hidden="false" customHeight="false" outlineLevel="0" collapsed="false"/>
    <row r="763" customFormat="false" ht="12.75" hidden="false" customHeight="false" outlineLevel="0" collapsed="false"/>
    <row r="764" customFormat="false" ht="12.75" hidden="false" customHeight="false" outlineLevel="0" collapsed="false"/>
    <row r="765" customFormat="false" ht="12.75" hidden="false" customHeight="false" outlineLevel="0" collapsed="false"/>
    <row r="766" customFormat="false" ht="12.75" hidden="false" customHeight="false" outlineLevel="0" collapsed="false"/>
    <row r="767" customFormat="false" ht="12.75" hidden="false" customHeight="false" outlineLevel="0" collapsed="false"/>
    <row r="768" customFormat="false" ht="12.75" hidden="false" customHeight="false" outlineLevel="0" collapsed="false"/>
    <row r="769" customFormat="false" ht="12.75" hidden="false" customHeight="false" outlineLevel="0" collapsed="false"/>
    <row r="770" customFormat="false" ht="12.75" hidden="false" customHeight="false" outlineLevel="0" collapsed="false"/>
    <row r="771" customFormat="false" ht="12.75" hidden="false" customHeight="false" outlineLevel="0" collapsed="false"/>
    <row r="772" customFormat="false" ht="12.75" hidden="false" customHeight="false" outlineLevel="0" collapsed="false"/>
    <row r="773" customFormat="false" ht="12.75" hidden="false" customHeight="false" outlineLevel="0" collapsed="false"/>
    <row r="774" customFormat="false" ht="12.75" hidden="false" customHeight="false" outlineLevel="0" collapsed="false"/>
    <row r="775" customFormat="false" ht="12.75" hidden="false" customHeight="false" outlineLevel="0" collapsed="false"/>
    <row r="776" customFormat="false" ht="12.75" hidden="false" customHeight="false" outlineLevel="0" collapsed="false"/>
    <row r="777" customFormat="false" ht="12.75" hidden="false" customHeight="false" outlineLevel="0" collapsed="false"/>
    <row r="778" customFormat="false" ht="12.75" hidden="false" customHeight="false" outlineLevel="0" collapsed="false"/>
    <row r="779" customFormat="false" ht="12.75" hidden="false" customHeight="false" outlineLevel="0" collapsed="false"/>
    <row r="780" customFormat="false" ht="12.75" hidden="false" customHeight="false" outlineLevel="0" collapsed="false"/>
    <row r="781" customFormat="false" ht="12.75" hidden="false" customHeight="false" outlineLevel="0" collapsed="false"/>
    <row r="782" customFormat="false" ht="12.75" hidden="false" customHeight="false" outlineLevel="0" collapsed="false"/>
    <row r="783" customFormat="false" ht="12.75" hidden="false" customHeight="false" outlineLevel="0" collapsed="false"/>
    <row r="784" customFormat="false" ht="12.75" hidden="false" customHeight="false" outlineLevel="0" collapsed="false"/>
    <row r="785" customFormat="false" ht="12.75" hidden="false" customHeight="false" outlineLevel="0" collapsed="false"/>
    <row r="786" customFormat="false" ht="12.75" hidden="false" customHeight="false" outlineLevel="0" collapsed="false"/>
    <row r="787" customFormat="false" ht="12.75" hidden="false" customHeight="false" outlineLevel="0" collapsed="false"/>
    <row r="788" customFormat="false" ht="12.75" hidden="false" customHeight="false" outlineLevel="0" collapsed="false"/>
    <row r="789" customFormat="false" ht="12.75" hidden="false" customHeight="false" outlineLevel="0" collapsed="false"/>
    <row r="790" customFormat="false" ht="12.75" hidden="false" customHeight="false" outlineLevel="0" collapsed="false"/>
    <row r="791" customFormat="false" ht="12.75" hidden="false" customHeight="false" outlineLevel="0" collapsed="false"/>
    <row r="792" customFormat="false" ht="12.75" hidden="false" customHeight="false" outlineLevel="0" collapsed="false"/>
    <row r="793" customFormat="false" ht="12.75" hidden="false" customHeight="false" outlineLevel="0" collapsed="false"/>
    <row r="794" customFormat="false" ht="12.75" hidden="false" customHeight="false" outlineLevel="0" collapsed="false"/>
    <row r="795" customFormat="false" ht="12.75" hidden="false" customHeight="false" outlineLevel="0" collapsed="false"/>
    <row r="796" customFormat="false" ht="12.75" hidden="false" customHeight="false" outlineLevel="0" collapsed="false"/>
    <row r="797" customFormat="false" ht="12.75" hidden="false" customHeight="false" outlineLevel="0" collapsed="false"/>
    <row r="798" customFormat="false" ht="12.75" hidden="false" customHeight="false" outlineLevel="0" collapsed="false"/>
    <row r="799" customFormat="false" ht="12.75" hidden="false" customHeight="false" outlineLevel="0" collapsed="false"/>
    <row r="800" customFormat="false" ht="12.75" hidden="false" customHeight="false" outlineLevel="0" collapsed="false"/>
    <row r="801" customFormat="false" ht="12.75" hidden="false" customHeight="false" outlineLevel="0" collapsed="false"/>
    <row r="802" customFormat="false" ht="12.75" hidden="false" customHeight="false" outlineLevel="0" collapsed="false"/>
    <row r="803" customFormat="false" ht="12.75" hidden="false" customHeight="false" outlineLevel="0" collapsed="false"/>
    <row r="804" customFormat="false" ht="12.75" hidden="false" customHeight="false" outlineLevel="0" collapsed="false"/>
    <row r="805" customFormat="false" ht="12.75" hidden="false" customHeight="false" outlineLevel="0" collapsed="false"/>
    <row r="806" customFormat="false" ht="12.75" hidden="false" customHeight="false" outlineLevel="0" collapsed="false"/>
    <row r="807" customFormat="false" ht="12.75" hidden="false" customHeight="false" outlineLevel="0" collapsed="false"/>
    <row r="808" customFormat="false" ht="12.75" hidden="false" customHeight="false" outlineLevel="0" collapsed="false"/>
    <row r="809" customFormat="false" ht="12.75" hidden="false" customHeight="false" outlineLevel="0" collapsed="false"/>
    <row r="810" customFormat="false" ht="12.75" hidden="false" customHeight="false" outlineLevel="0" collapsed="false"/>
    <row r="811" customFormat="false" ht="12.75" hidden="false" customHeight="false" outlineLevel="0" collapsed="false"/>
    <row r="812" customFormat="false" ht="12.75" hidden="false" customHeight="false" outlineLevel="0" collapsed="false"/>
    <row r="813" customFormat="false" ht="12.75" hidden="false" customHeight="false" outlineLevel="0" collapsed="false"/>
    <row r="814" customFormat="false" ht="12.75" hidden="false" customHeight="false" outlineLevel="0" collapsed="false"/>
    <row r="815" customFormat="false" ht="12.75" hidden="false" customHeight="false" outlineLevel="0" collapsed="false"/>
    <row r="816" customFormat="false" ht="12.75" hidden="false" customHeight="false" outlineLevel="0" collapsed="false"/>
    <row r="817" customFormat="false" ht="12.75" hidden="false" customHeight="false" outlineLevel="0" collapsed="false"/>
    <row r="818" customFormat="false" ht="12.75" hidden="false" customHeight="false" outlineLevel="0" collapsed="false"/>
    <row r="819" customFormat="false" ht="12.75" hidden="false" customHeight="false" outlineLevel="0" collapsed="false"/>
    <row r="820" customFormat="false" ht="12.75" hidden="false" customHeight="false" outlineLevel="0" collapsed="false"/>
    <row r="821" customFormat="false" ht="12.75" hidden="false" customHeight="false" outlineLevel="0" collapsed="false"/>
    <row r="822" customFormat="false" ht="12.75" hidden="false" customHeight="false" outlineLevel="0" collapsed="false"/>
    <row r="823" customFormat="false" ht="12.75" hidden="false" customHeight="false" outlineLevel="0" collapsed="false"/>
    <row r="824" customFormat="false" ht="12.75" hidden="false" customHeight="false" outlineLevel="0" collapsed="false"/>
    <row r="825" customFormat="false" ht="12.75" hidden="false" customHeight="false" outlineLevel="0" collapsed="false"/>
    <row r="826" customFormat="false" ht="12.75" hidden="false" customHeight="false" outlineLevel="0" collapsed="false"/>
    <row r="827" customFormat="false" ht="12.75" hidden="false" customHeight="false" outlineLevel="0" collapsed="false"/>
    <row r="828" customFormat="false" ht="12.75" hidden="false" customHeight="false" outlineLevel="0" collapsed="false"/>
    <row r="829" customFormat="false" ht="12.75" hidden="false" customHeight="false" outlineLevel="0" collapsed="false"/>
    <row r="830" customFormat="false" ht="12.75" hidden="false" customHeight="false" outlineLevel="0" collapsed="false"/>
    <row r="831" customFormat="false" ht="12.75" hidden="false" customHeight="false" outlineLevel="0" collapsed="false"/>
    <row r="832" customFormat="false" ht="12.75" hidden="false" customHeight="false" outlineLevel="0" collapsed="false"/>
    <row r="833" customFormat="false" ht="12.75" hidden="false" customHeight="false" outlineLevel="0" collapsed="false"/>
    <row r="834" customFormat="false" ht="12.75" hidden="false" customHeight="false" outlineLevel="0" collapsed="false"/>
    <row r="835" customFormat="false" ht="12.75" hidden="false" customHeight="false" outlineLevel="0" collapsed="false"/>
    <row r="836" customFormat="false" ht="12.75" hidden="false" customHeight="false" outlineLevel="0" collapsed="false"/>
    <row r="837" customFormat="false" ht="12.75" hidden="false" customHeight="false" outlineLevel="0" collapsed="false"/>
    <row r="838" customFormat="false" ht="12.75" hidden="false" customHeight="false" outlineLevel="0" collapsed="false"/>
    <row r="839" customFormat="false" ht="12.75" hidden="false" customHeight="false" outlineLevel="0" collapsed="false"/>
    <row r="840" customFormat="false" ht="12.75" hidden="false" customHeight="false" outlineLevel="0" collapsed="false"/>
    <row r="841" customFormat="false" ht="12.75" hidden="false" customHeight="false" outlineLevel="0" collapsed="false"/>
    <row r="842" customFormat="false" ht="12.75" hidden="false" customHeight="false" outlineLevel="0" collapsed="false"/>
    <row r="843" customFormat="false" ht="12.75" hidden="false" customHeight="false" outlineLevel="0" collapsed="false"/>
    <row r="844" customFormat="false" ht="12.75" hidden="false" customHeight="false" outlineLevel="0" collapsed="false"/>
    <row r="845" customFormat="false" ht="12.75" hidden="false" customHeight="false" outlineLevel="0" collapsed="false"/>
    <row r="846" customFormat="false" ht="12.75" hidden="false" customHeight="false" outlineLevel="0" collapsed="false"/>
    <row r="847" customFormat="false" ht="12.75" hidden="false" customHeight="false" outlineLevel="0" collapsed="false"/>
    <row r="848" customFormat="false" ht="12.75" hidden="false" customHeight="false" outlineLevel="0" collapsed="false"/>
    <row r="849" customFormat="false" ht="12.75" hidden="false" customHeight="false" outlineLevel="0" collapsed="false"/>
    <row r="850" customFormat="false" ht="12.75" hidden="false" customHeight="false" outlineLevel="0" collapsed="false"/>
    <row r="851" customFormat="false" ht="12.75" hidden="false" customHeight="false" outlineLevel="0" collapsed="false"/>
    <row r="852" customFormat="false" ht="12.75" hidden="false" customHeight="false" outlineLevel="0" collapsed="false"/>
    <row r="853" customFormat="false" ht="12.75" hidden="false" customHeight="false" outlineLevel="0" collapsed="false"/>
    <row r="854" customFormat="false" ht="12.75" hidden="false" customHeight="false" outlineLevel="0" collapsed="false"/>
    <row r="855" customFormat="false" ht="12.75" hidden="false" customHeight="false" outlineLevel="0" collapsed="false"/>
    <row r="856" customFormat="false" ht="12.75" hidden="false" customHeight="false" outlineLevel="0" collapsed="false"/>
    <row r="857" customFormat="false" ht="12.75" hidden="false" customHeight="false" outlineLevel="0" collapsed="false"/>
    <row r="858" customFormat="false" ht="12.75" hidden="false" customHeight="false" outlineLevel="0" collapsed="false"/>
    <row r="859" customFormat="false" ht="12.75" hidden="false" customHeight="false" outlineLevel="0" collapsed="false"/>
    <row r="860" customFormat="false" ht="12.75" hidden="false" customHeight="false" outlineLevel="0" collapsed="false"/>
    <row r="861" customFormat="false" ht="12.75" hidden="false" customHeight="false" outlineLevel="0" collapsed="false"/>
    <row r="862" customFormat="false" ht="12.75" hidden="false" customHeight="false" outlineLevel="0" collapsed="false"/>
    <row r="863" customFormat="false" ht="12.75" hidden="false" customHeight="false" outlineLevel="0" collapsed="false"/>
    <row r="864" customFormat="false" ht="12.75" hidden="false" customHeight="false" outlineLevel="0" collapsed="false"/>
    <row r="865" customFormat="false" ht="12.75" hidden="false" customHeight="false" outlineLevel="0" collapsed="false"/>
    <row r="866" customFormat="false" ht="12.75" hidden="false" customHeight="false" outlineLevel="0" collapsed="false"/>
    <row r="867" customFormat="false" ht="12.75" hidden="false" customHeight="false" outlineLevel="0" collapsed="false"/>
    <row r="868" customFormat="false" ht="12.75" hidden="false" customHeight="false" outlineLevel="0" collapsed="false"/>
    <row r="869" customFormat="false" ht="12.75" hidden="false" customHeight="false" outlineLevel="0" collapsed="false"/>
    <row r="870" customFormat="false" ht="12.75" hidden="false" customHeight="false" outlineLevel="0" collapsed="false"/>
    <row r="871" customFormat="false" ht="12.75" hidden="false" customHeight="false" outlineLevel="0" collapsed="false"/>
    <row r="872" customFormat="false" ht="12.75" hidden="false" customHeight="false" outlineLevel="0" collapsed="false"/>
    <row r="873" customFormat="false" ht="12.75" hidden="false" customHeight="false" outlineLevel="0" collapsed="false"/>
    <row r="874" customFormat="false" ht="12.75" hidden="false" customHeight="false" outlineLevel="0" collapsed="false"/>
    <row r="875" customFormat="false" ht="12.75" hidden="false" customHeight="false" outlineLevel="0" collapsed="false"/>
    <row r="876" customFormat="false" ht="12.75" hidden="false" customHeight="false" outlineLevel="0" collapsed="false"/>
    <row r="877" customFormat="false" ht="12.75" hidden="false" customHeight="false" outlineLevel="0" collapsed="false"/>
    <row r="878" customFormat="false" ht="12.75" hidden="false" customHeight="false" outlineLevel="0" collapsed="false"/>
    <row r="879" customFormat="false" ht="12.75" hidden="false" customHeight="false" outlineLevel="0" collapsed="false"/>
    <row r="880" customFormat="false" ht="12.75" hidden="false" customHeight="false" outlineLevel="0" collapsed="false"/>
    <row r="881" customFormat="false" ht="12.75" hidden="false" customHeight="false" outlineLevel="0" collapsed="false"/>
    <row r="882" customFormat="false" ht="12.75" hidden="false" customHeight="false" outlineLevel="0" collapsed="false"/>
    <row r="883" customFormat="false" ht="12.75" hidden="false" customHeight="false" outlineLevel="0" collapsed="false"/>
    <row r="884" customFormat="false" ht="12.75" hidden="false" customHeight="false" outlineLevel="0" collapsed="false"/>
    <row r="885" customFormat="false" ht="12.75" hidden="false" customHeight="false" outlineLevel="0" collapsed="false"/>
    <row r="886" customFormat="false" ht="12.75" hidden="false" customHeight="false" outlineLevel="0" collapsed="false"/>
    <row r="887" customFormat="false" ht="12.75" hidden="false" customHeight="false" outlineLevel="0" collapsed="false"/>
    <row r="888" customFormat="false" ht="12.75" hidden="false" customHeight="false" outlineLevel="0" collapsed="false"/>
    <row r="889" customFormat="false" ht="12.75" hidden="false" customHeight="false" outlineLevel="0" collapsed="false"/>
    <row r="890" customFormat="false" ht="12.75" hidden="false" customHeight="false" outlineLevel="0" collapsed="false"/>
    <row r="891" customFormat="false" ht="12.75" hidden="false" customHeight="false" outlineLevel="0" collapsed="false"/>
    <row r="892" customFormat="false" ht="12.75" hidden="false" customHeight="false" outlineLevel="0" collapsed="false"/>
    <row r="893" customFormat="false" ht="12.75" hidden="false" customHeight="false" outlineLevel="0" collapsed="false"/>
    <row r="894" customFormat="false" ht="12.75" hidden="false" customHeight="false" outlineLevel="0" collapsed="false"/>
    <row r="895" customFormat="false" ht="12.75" hidden="false" customHeight="false" outlineLevel="0" collapsed="false"/>
    <row r="896" customFormat="false" ht="12.75" hidden="false" customHeight="false" outlineLevel="0" collapsed="false"/>
    <row r="897" customFormat="false" ht="12.75" hidden="false" customHeight="false" outlineLevel="0" collapsed="false"/>
    <row r="898" customFormat="false" ht="12.75" hidden="false" customHeight="false" outlineLevel="0" collapsed="false"/>
    <row r="899" customFormat="false" ht="12.75" hidden="false" customHeight="false" outlineLevel="0" collapsed="false"/>
    <row r="900" customFormat="false" ht="12.75" hidden="false" customHeight="false" outlineLevel="0" collapsed="false"/>
    <row r="901" customFormat="false" ht="12.75" hidden="false" customHeight="false" outlineLevel="0" collapsed="false"/>
    <row r="902" customFormat="false" ht="12.75" hidden="false" customHeight="false" outlineLevel="0" collapsed="false"/>
    <row r="903" customFormat="false" ht="12.75" hidden="false" customHeight="false" outlineLevel="0" collapsed="false"/>
    <row r="904" customFormat="false" ht="12.75" hidden="false" customHeight="false" outlineLevel="0" collapsed="false"/>
    <row r="905" customFormat="false" ht="12.75" hidden="false" customHeight="false" outlineLevel="0" collapsed="false"/>
    <row r="906" customFormat="false" ht="12.75" hidden="false" customHeight="false" outlineLevel="0" collapsed="false"/>
    <row r="907" customFormat="false" ht="12.75" hidden="false" customHeight="false" outlineLevel="0" collapsed="false"/>
    <row r="908" customFormat="false" ht="12.75" hidden="false" customHeight="false" outlineLevel="0" collapsed="false"/>
    <row r="909" customFormat="false" ht="12.75" hidden="false" customHeight="false" outlineLevel="0" collapsed="false"/>
    <row r="910" customFormat="false" ht="12.75" hidden="false" customHeight="false" outlineLevel="0" collapsed="false"/>
    <row r="911" customFormat="false" ht="12.75" hidden="false" customHeight="false" outlineLevel="0" collapsed="false"/>
    <row r="912" customFormat="false" ht="12.75" hidden="false" customHeight="false" outlineLevel="0" collapsed="false"/>
    <row r="913" customFormat="false" ht="12.75" hidden="false" customHeight="false" outlineLevel="0" collapsed="false"/>
    <row r="914" customFormat="false" ht="12.75" hidden="false" customHeight="false" outlineLevel="0" collapsed="false"/>
    <row r="915" customFormat="false" ht="12.75" hidden="false" customHeight="false" outlineLevel="0" collapsed="false"/>
    <row r="916" customFormat="false" ht="12.75" hidden="false" customHeight="false" outlineLevel="0" collapsed="false"/>
    <row r="917" customFormat="false" ht="12.75" hidden="false" customHeight="false" outlineLevel="0" collapsed="false"/>
    <row r="918" customFormat="false" ht="12.75" hidden="false" customHeight="false" outlineLevel="0" collapsed="false"/>
    <row r="919" customFormat="false" ht="12.75" hidden="false" customHeight="false" outlineLevel="0" collapsed="false"/>
    <row r="920" customFormat="false" ht="12.75" hidden="false" customHeight="false" outlineLevel="0" collapsed="false"/>
    <row r="921" customFormat="false" ht="12.75" hidden="false" customHeight="false" outlineLevel="0" collapsed="false"/>
    <row r="922" customFormat="false" ht="12.75" hidden="false" customHeight="false" outlineLevel="0" collapsed="false"/>
    <row r="923" customFormat="false" ht="12.75" hidden="false" customHeight="false" outlineLevel="0" collapsed="false"/>
    <row r="924" customFormat="false" ht="12.75" hidden="false" customHeight="false" outlineLevel="0" collapsed="false"/>
    <row r="925" customFormat="false" ht="12.75" hidden="false" customHeight="false" outlineLevel="0" collapsed="false"/>
    <row r="926" customFormat="false" ht="12.75" hidden="false" customHeight="false" outlineLevel="0" collapsed="false"/>
    <row r="927" customFormat="false" ht="12.75" hidden="false" customHeight="false" outlineLevel="0" collapsed="false"/>
    <row r="928" customFormat="false" ht="12.75" hidden="false" customHeight="false" outlineLevel="0" collapsed="false"/>
    <row r="929" customFormat="false" ht="12.75" hidden="false" customHeight="false" outlineLevel="0" collapsed="false"/>
    <row r="930" customFormat="false" ht="12.75" hidden="false" customHeight="false" outlineLevel="0" collapsed="false"/>
    <row r="931" customFormat="false" ht="12.75" hidden="false" customHeight="false" outlineLevel="0" collapsed="false"/>
    <row r="932" customFormat="false" ht="12.75" hidden="false" customHeight="false" outlineLevel="0" collapsed="false"/>
    <row r="933" customFormat="false" ht="12.75" hidden="false" customHeight="false" outlineLevel="0" collapsed="false"/>
    <row r="934" customFormat="false" ht="12.75" hidden="false" customHeight="false" outlineLevel="0" collapsed="false"/>
    <row r="935" customFormat="false" ht="12.75" hidden="false" customHeight="false" outlineLevel="0" collapsed="false"/>
    <row r="936" customFormat="false" ht="12.75" hidden="false" customHeight="false" outlineLevel="0" collapsed="false"/>
    <row r="937" customFormat="false" ht="12.75" hidden="false" customHeight="false" outlineLevel="0" collapsed="false"/>
    <row r="938" customFormat="false" ht="12.75" hidden="false" customHeight="false" outlineLevel="0" collapsed="false"/>
    <row r="939" customFormat="false" ht="12.75" hidden="false" customHeight="false" outlineLevel="0" collapsed="false"/>
    <row r="940" customFormat="false" ht="12.75" hidden="false" customHeight="false" outlineLevel="0" collapsed="false"/>
    <row r="941" customFormat="false" ht="12.75" hidden="false" customHeight="false" outlineLevel="0" collapsed="false"/>
    <row r="942" customFormat="false" ht="12.75" hidden="false" customHeight="false" outlineLevel="0" collapsed="false"/>
    <row r="943" customFormat="false" ht="12.75" hidden="false" customHeight="false" outlineLevel="0" collapsed="false"/>
    <row r="944" customFormat="false" ht="12.75" hidden="false" customHeight="false" outlineLevel="0" collapsed="false"/>
    <row r="945" customFormat="false" ht="12.75" hidden="false" customHeight="false" outlineLevel="0" collapsed="false"/>
    <row r="946" customFormat="false" ht="12.75" hidden="false" customHeight="false" outlineLevel="0" collapsed="false"/>
    <row r="947" customFormat="false" ht="12.75" hidden="false" customHeight="false" outlineLevel="0" collapsed="false"/>
    <row r="948" customFormat="false" ht="12.75" hidden="false" customHeight="false" outlineLevel="0" collapsed="false"/>
    <row r="949" customFormat="false" ht="12.75" hidden="false" customHeight="false" outlineLevel="0" collapsed="false"/>
    <row r="950" customFormat="false" ht="12.75" hidden="false" customHeight="false" outlineLevel="0" collapsed="false"/>
    <row r="951" customFormat="false" ht="12.75" hidden="false" customHeight="false" outlineLevel="0" collapsed="false"/>
    <row r="952" customFormat="false" ht="12.75" hidden="false" customHeight="false" outlineLevel="0" collapsed="false"/>
    <row r="953" customFormat="false" ht="12.75" hidden="false" customHeight="false" outlineLevel="0" collapsed="false"/>
    <row r="954" customFormat="false" ht="12.75" hidden="false" customHeight="false" outlineLevel="0" collapsed="false"/>
    <row r="955" customFormat="false" ht="12.75" hidden="false" customHeight="false" outlineLevel="0" collapsed="false"/>
    <row r="956" customFormat="false" ht="12.75" hidden="false" customHeight="false" outlineLevel="0" collapsed="false"/>
    <row r="957" customFormat="false" ht="12.75" hidden="false" customHeight="false" outlineLevel="0" collapsed="false"/>
    <row r="958" customFormat="false" ht="12.75" hidden="false" customHeight="false" outlineLevel="0" collapsed="false"/>
    <row r="959" customFormat="false" ht="12.75" hidden="false" customHeight="false" outlineLevel="0" collapsed="false"/>
    <row r="960" customFormat="false" ht="12.75" hidden="false" customHeight="false" outlineLevel="0" collapsed="false"/>
    <row r="961" customFormat="false" ht="12.75" hidden="false" customHeight="false" outlineLevel="0" collapsed="false"/>
    <row r="962" customFormat="false" ht="12.75" hidden="false" customHeight="false" outlineLevel="0" collapsed="false"/>
    <row r="963" customFormat="false" ht="12.75" hidden="false" customHeight="false" outlineLevel="0" collapsed="false"/>
    <row r="964" customFormat="false" ht="12.75" hidden="false" customHeight="false" outlineLevel="0" collapsed="false"/>
    <row r="965" customFormat="false" ht="12.75" hidden="false" customHeight="false" outlineLevel="0" collapsed="false"/>
    <row r="966" customFormat="false" ht="12.75" hidden="false" customHeight="false" outlineLevel="0" collapsed="false"/>
    <row r="967" customFormat="false" ht="12.75" hidden="false" customHeight="false" outlineLevel="0" collapsed="false"/>
    <row r="968" customFormat="false" ht="12.75" hidden="false" customHeight="false" outlineLevel="0" collapsed="false"/>
    <row r="969" customFormat="false" ht="12.75" hidden="false" customHeight="false" outlineLevel="0" collapsed="false"/>
    <row r="970" customFormat="false" ht="12.75" hidden="false" customHeight="false" outlineLevel="0" collapsed="false"/>
    <row r="971" customFormat="false" ht="12.75" hidden="false" customHeight="false" outlineLevel="0" collapsed="false"/>
    <row r="972" customFormat="false" ht="12.75" hidden="false" customHeight="false" outlineLevel="0" collapsed="false"/>
    <row r="973" customFormat="false" ht="12.75" hidden="false" customHeight="false" outlineLevel="0" collapsed="false"/>
    <row r="974" customFormat="false" ht="12.75" hidden="false" customHeight="false" outlineLevel="0" collapsed="false"/>
    <row r="975" customFormat="false" ht="12.75" hidden="false" customHeight="false" outlineLevel="0" collapsed="false"/>
    <row r="976" customFormat="false" ht="12.75" hidden="false" customHeight="false" outlineLevel="0" collapsed="false"/>
    <row r="977" customFormat="false" ht="12.75" hidden="false" customHeight="false" outlineLevel="0" collapsed="false"/>
    <row r="978" customFormat="false" ht="12.75" hidden="false" customHeight="false" outlineLevel="0" collapsed="false"/>
    <row r="979" customFormat="false" ht="12.75" hidden="false" customHeight="false" outlineLevel="0" collapsed="false"/>
    <row r="980" customFormat="false" ht="12.75" hidden="false" customHeight="false" outlineLevel="0" collapsed="false"/>
    <row r="981" customFormat="false" ht="12.75" hidden="false" customHeight="false" outlineLevel="0" collapsed="false"/>
    <row r="982" customFormat="false" ht="12.75" hidden="false" customHeight="false" outlineLevel="0" collapsed="false"/>
    <row r="983" customFormat="false" ht="12.75" hidden="false" customHeight="false" outlineLevel="0" collapsed="false"/>
    <row r="984" customFormat="false" ht="12.75" hidden="false" customHeight="false" outlineLevel="0" collapsed="false"/>
    <row r="985" customFormat="false" ht="12.75" hidden="false" customHeight="false" outlineLevel="0" collapsed="false"/>
    <row r="986" customFormat="false" ht="12.75" hidden="false" customHeight="false" outlineLevel="0" collapsed="false"/>
    <row r="987" customFormat="false" ht="12.75" hidden="false" customHeight="false" outlineLevel="0" collapsed="false"/>
    <row r="988" customFormat="false" ht="12.75" hidden="false" customHeight="false" outlineLevel="0" collapsed="false"/>
    <row r="989" customFormat="false" ht="12.75" hidden="false" customHeight="false" outlineLevel="0" collapsed="false"/>
    <row r="990" customFormat="false" ht="12.75" hidden="false" customHeight="false" outlineLevel="0" collapsed="false"/>
    <row r="991" customFormat="false" ht="12.75" hidden="false" customHeight="false" outlineLevel="0" collapsed="false"/>
    <row r="992" customFormat="false" ht="12.75" hidden="false" customHeight="false" outlineLevel="0" collapsed="false"/>
    <row r="993" customFormat="false" ht="12.75" hidden="false" customHeight="false" outlineLevel="0" collapsed="false"/>
    <row r="994" customFormat="false" ht="12.75" hidden="false" customHeight="false" outlineLevel="0" collapsed="false"/>
    <row r="995" customFormat="false" ht="12.75" hidden="false" customHeight="false" outlineLevel="0" collapsed="false"/>
    <row r="996" customFormat="false" ht="12.75" hidden="false" customHeight="false" outlineLevel="0" collapsed="false"/>
    <row r="997" customFormat="false" ht="12.75" hidden="false" customHeight="false" outlineLevel="0" collapsed="false"/>
    <row r="998" customFormat="false" ht="12.75" hidden="false" customHeight="false" outlineLevel="0" collapsed="false"/>
    <row r="999" customFormat="false" ht="12.75" hidden="false" customHeight="false" outlineLevel="0" collapsed="false"/>
    <row r="1000" customFormat="false" ht="12.75" hidden="false" customHeight="false" outlineLevel="0" collapsed="false"/>
    <row r="1001" customFormat="false" ht="12.75" hidden="false" customHeight="false" outlineLevel="0" collapsed="false"/>
  </sheetData>
  <mergeCells count="2">
    <mergeCell ref="E1:F1"/>
    <mergeCell ref="B4:E6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RowHeight="15.75" zeroHeight="false" outlineLevelRow="0" outlineLevelCol="0"/>
  <cols>
    <col collapsed="false" customWidth="true" hidden="false" outlineLevel="0" max="2" min="1" style="1" width="14.43"/>
    <col collapsed="false" customWidth="true" hidden="false" outlineLevel="0" max="3" min="3" style="1" width="19.57"/>
    <col collapsed="false" customWidth="true" hidden="false" outlineLevel="0" max="4" min="4" style="1" width="43.85"/>
    <col collapsed="false" customWidth="true" hidden="false" outlineLevel="0" max="1025" min="5" style="1" width="14.43"/>
  </cols>
  <sheetData>
    <row r="1" s="3" customFormat="true" ht="48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4"/>
    </row>
    <row r="2" customFormat="false" ht="12.75" hidden="false" customHeight="false" outlineLevel="0" collapsed="false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customFormat="false" ht="12.75" hidden="false" customHeight="true" outlineLevel="0" collapsed="false">
      <c r="A3" s="15"/>
      <c r="B3" s="17" t="s">
        <v>5</v>
      </c>
      <c r="C3" s="18" t="s">
        <v>6</v>
      </c>
      <c r="D3" s="19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customFormat="false" ht="12.75" hidden="false" customHeight="true" outlineLevel="0" collapsed="false">
      <c r="A4" s="15"/>
      <c r="B4" s="17"/>
      <c r="C4" s="18" t="s">
        <v>7</v>
      </c>
      <c r="D4" s="19"/>
      <c r="E4" s="15"/>
      <c r="F4" s="20" t="s">
        <v>8</v>
      </c>
      <c r="G4" s="20"/>
      <c r="H4" s="20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customFormat="false" ht="12.75" hidden="false" customHeight="true" outlineLevel="0" collapsed="false">
      <c r="A5" s="15"/>
      <c r="B5" s="15"/>
      <c r="C5" s="15"/>
      <c r="D5" s="15"/>
      <c r="E5" s="15"/>
      <c r="F5" s="20"/>
      <c r="G5" s="20"/>
      <c r="H5" s="20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customFormat="false" ht="12.75" hidden="false" customHeight="true" outlineLevel="0" collapsed="false">
      <c r="A6" s="15"/>
      <c r="B6" s="17" t="s">
        <v>9</v>
      </c>
      <c r="C6" s="18" t="s">
        <v>10</v>
      </c>
      <c r="D6" s="21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customFormat="false" ht="12.75" hidden="false" customHeight="true" outlineLevel="0" collapsed="false">
      <c r="A7" s="15"/>
      <c r="B7" s="17"/>
      <c r="C7" s="18" t="s">
        <v>11</v>
      </c>
      <c r="D7" s="21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customFormat="false" ht="12.75" hidden="false" customHeight="false" outlineLevel="0" collapsed="false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customFormat="false" ht="12.75" hidden="false" customHeight="true" outlineLevel="0" collapsed="false">
      <c r="A9" s="15"/>
      <c r="B9" s="17" t="s">
        <v>12</v>
      </c>
      <c r="C9" s="18" t="s">
        <v>13</v>
      </c>
      <c r="D9" s="2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customFormat="false" ht="12.75" hidden="false" customHeight="false" outlineLevel="0" collapsed="false">
      <c r="A10" s="15"/>
      <c r="B10" s="17"/>
      <c r="C10" s="18" t="s">
        <v>14</v>
      </c>
      <c r="D10" s="2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customFormat="false" ht="12.75" hidden="false" customHeight="false" outlineLevel="0" collapsed="false">
      <c r="A11" s="15"/>
      <c r="B11" s="17"/>
      <c r="C11" s="18" t="s">
        <v>15</v>
      </c>
      <c r="D11" s="2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customFormat="false" ht="12.75" hidden="false" customHeight="false" outlineLevel="0" collapsed="false">
      <c r="A12" s="15"/>
      <c r="B12" s="17"/>
      <c r="C12" s="18" t="s">
        <v>16</v>
      </c>
      <c r="D12" s="2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customFormat="false" ht="12.75" hidden="false" customHeight="false" outlineLevel="0" collapsed="false">
      <c r="A13" s="15"/>
      <c r="B13" s="17"/>
      <c r="C13" s="18" t="s">
        <v>17</v>
      </c>
      <c r="D13" s="2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customFormat="false" ht="12.75" hidden="false" customHeight="false" outlineLevel="0" collapsed="false">
      <c r="A14" s="15"/>
      <c r="B14" s="17"/>
      <c r="C14" s="18" t="s">
        <v>18</v>
      </c>
      <c r="D14" s="2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customFormat="false" ht="12.75" hidden="false" customHeight="false" outlineLevel="0" collapsed="false">
      <c r="A15" s="15"/>
      <c r="B15" s="17"/>
      <c r="C15" s="18" t="s">
        <v>19</v>
      </c>
      <c r="D15" s="2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customFormat="false" ht="12.75" hidden="false" customHeight="false" outlineLevel="0" collapsed="false"/>
    <row r="17" customFormat="false" ht="12.75" hidden="false" customHeight="false" outlineLevel="0" collapsed="false"/>
    <row r="18" customFormat="false" ht="12.75" hidden="false" customHeight="false" outlineLevel="0" collapsed="false"/>
    <row r="19" customFormat="false" ht="12.75" hidden="false" customHeight="false" outlineLevel="0" collapsed="false"/>
    <row r="20" customFormat="false" ht="12.75" hidden="false" customHeight="false" outlineLevel="0" collapsed="false"/>
    <row r="21" customFormat="false" ht="12.75" hidden="false" customHeight="false" outlineLevel="0" collapsed="false"/>
    <row r="22" customFormat="false" ht="12.75" hidden="false" customHeight="false" outlineLevel="0" collapsed="false"/>
    <row r="23" customFormat="false" ht="12.75" hidden="false" customHeight="false" outlineLevel="0" collapsed="false"/>
    <row r="24" customFormat="false" ht="12.75" hidden="false" customHeight="false" outlineLevel="0" collapsed="false"/>
    <row r="25" customFormat="false" ht="12.75" hidden="false" customHeight="false" outlineLevel="0" collapsed="false"/>
    <row r="26" customFormat="false" ht="12.75" hidden="false" customHeight="false" outlineLevel="0" collapsed="false"/>
    <row r="27" customFormat="false" ht="12.75" hidden="false" customHeight="false" outlineLevel="0" collapsed="false"/>
    <row r="28" customFormat="false" ht="12.75" hidden="false" customHeight="false" outlineLevel="0" collapsed="false"/>
    <row r="29" customFormat="false" ht="12.75" hidden="false" customHeight="false" outlineLevel="0" collapsed="false"/>
    <row r="30" customFormat="false" ht="12.75" hidden="false" customHeight="false" outlineLevel="0" collapsed="false"/>
    <row r="31" customFormat="false" ht="12.75" hidden="false" customHeight="false" outlineLevel="0" collapsed="false"/>
    <row r="32" customFormat="false" ht="12.75" hidden="false" customHeight="false" outlineLevel="0" collapsed="false"/>
    <row r="33" customFormat="false" ht="12.75" hidden="false" customHeight="false" outlineLevel="0" collapsed="false"/>
    <row r="34" customFormat="false" ht="12.75" hidden="false" customHeight="false" outlineLevel="0" collapsed="false"/>
    <row r="35" customFormat="false" ht="12.75" hidden="false" customHeight="false" outlineLevel="0" collapsed="false"/>
    <row r="36" customFormat="false" ht="12.75" hidden="false" customHeight="false" outlineLevel="0" collapsed="false"/>
    <row r="37" customFormat="false" ht="12.75" hidden="false" customHeight="false" outlineLevel="0" collapsed="false"/>
    <row r="38" customFormat="false" ht="12.75" hidden="false" customHeight="false" outlineLevel="0" collapsed="false"/>
    <row r="39" customFormat="false" ht="12.75" hidden="false" customHeight="false" outlineLevel="0" collapsed="false"/>
    <row r="40" customFormat="false" ht="12.75" hidden="false" customHeight="false" outlineLevel="0" collapsed="false"/>
    <row r="41" customFormat="false" ht="12.75" hidden="false" customHeight="false" outlineLevel="0" collapsed="false"/>
    <row r="42" customFormat="false" ht="12.75" hidden="false" customHeight="false" outlineLevel="0" collapsed="false"/>
    <row r="43" customFormat="false" ht="12.75" hidden="false" customHeight="false" outlineLevel="0" collapsed="false"/>
    <row r="44" customFormat="false" ht="12.75" hidden="false" customHeight="false" outlineLevel="0" collapsed="false"/>
    <row r="45" customFormat="false" ht="12.75" hidden="false" customHeight="false" outlineLevel="0" collapsed="false"/>
    <row r="46" customFormat="false" ht="12.75" hidden="false" customHeight="false" outlineLevel="0" collapsed="false"/>
    <row r="47" customFormat="false" ht="12.75" hidden="false" customHeight="false" outlineLevel="0" collapsed="false"/>
    <row r="48" customFormat="false" ht="12.75" hidden="false" customHeight="false" outlineLevel="0" collapsed="false"/>
    <row r="49" customFormat="false" ht="12.75" hidden="false" customHeight="false" outlineLevel="0" collapsed="false"/>
    <row r="50" customFormat="false" ht="12.75" hidden="false" customHeight="false" outlineLevel="0" collapsed="false"/>
    <row r="51" customFormat="false" ht="12.75" hidden="false" customHeight="false" outlineLevel="0" collapsed="false"/>
    <row r="52" customFormat="false" ht="12.75" hidden="false" customHeight="false" outlineLevel="0" collapsed="false"/>
    <row r="53" customFormat="false" ht="12.75" hidden="false" customHeight="false" outlineLevel="0" collapsed="false"/>
    <row r="54" customFormat="false" ht="12.75" hidden="false" customHeight="false" outlineLevel="0" collapsed="false"/>
    <row r="55" customFormat="false" ht="12.75" hidden="false" customHeight="false" outlineLevel="0" collapsed="false"/>
    <row r="56" customFormat="false" ht="12.75" hidden="false" customHeight="false" outlineLevel="0" collapsed="false"/>
    <row r="57" customFormat="false" ht="12.75" hidden="false" customHeight="false" outlineLevel="0" collapsed="false"/>
    <row r="58" customFormat="false" ht="12.75" hidden="false" customHeight="false" outlineLevel="0" collapsed="false"/>
    <row r="59" customFormat="false" ht="12.75" hidden="false" customHeight="false" outlineLevel="0" collapsed="false"/>
    <row r="60" customFormat="false" ht="12.75" hidden="false" customHeight="false" outlineLevel="0" collapsed="false"/>
    <row r="61" customFormat="false" ht="12.75" hidden="false" customHeight="false" outlineLevel="0" collapsed="false"/>
    <row r="62" customFormat="false" ht="12.75" hidden="false" customHeight="false" outlineLevel="0" collapsed="false"/>
    <row r="63" customFormat="false" ht="12.75" hidden="false" customHeight="false" outlineLevel="0" collapsed="false"/>
    <row r="64" customFormat="false" ht="12.75" hidden="false" customHeight="false" outlineLevel="0" collapsed="false"/>
    <row r="65" customFormat="false" ht="12.75" hidden="false" customHeight="false" outlineLevel="0" collapsed="false"/>
    <row r="66" customFormat="false" ht="12.75" hidden="false" customHeight="false" outlineLevel="0" collapsed="false"/>
    <row r="67" customFormat="false" ht="12.75" hidden="false" customHeight="false" outlineLevel="0" collapsed="false"/>
    <row r="68" customFormat="false" ht="12.75" hidden="false" customHeight="false" outlineLevel="0" collapsed="false"/>
    <row r="69" customFormat="false" ht="12.75" hidden="false" customHeight="false" outlineLevel="0" collapsed="false"/>
    <row r="70" customFormat="false" ht="12.75" hidden="false" customHeight="false" outlineLevel="0" collapsed="false"/>
    <row r="71" customFormat="false" ht="12.75" hidden="false" customHeight="false" outlineLevel="0" collapsed="false"/>
    <row r="72" customFormat="false" ht="12.75" hidden="false" customHeight="false" outlineLevel="0" collapsed="false"/>
    <row r="73" customFormat="false" ht="12.75" hidden="false" customHeight="false" outlineLevel="0" collapsed="false"/>
    <row r="74" customFormat="false" ht="12.75" hidden="false" customHeight="false" outlineLevel="0" collapsed="false"/>
    <row r="75" customFormat="false" ht="12.75" hidden="false" customHeight="false" outlineLevel="0" collapsed="false"/>
    <row r="76" customFormat="false" ht="12.75" hidden="false" customHeight="false" outlineLevel="0" collapsed="false"/>
    <row r="77" customFormat="false" ht="12.75" hidden="false" customHeight="false" outlineLevel="0" collapsed="false"/>
    <row r="78" customFormat="false" ht="12.75" hidden="false" customHeight="false" outlineLevel="0" collapsed="false"/>
    <row r="79" customFormat="false" ht="12.75" hidden="false" customHeight="false" outlineLevel="0" collapsed="false"/>
    <row r="80" customFormat="false" ht="12.75" hidden="false" customHeight="false" outlineLevel="0" collapsed="false"/>
    <row r="81" customFormat="false" ht="12.75" hidden="false" customHeight="false" outlineLevel="0" collapsed="false"/>
    <row r="82" customFormat="false" ht="12.75" hidden="false" customHeight="false" outlineLevel="0" collapsed="false"/>
    <row r="83" customFormat="false" ht="12.75" hidden="false" customHeight="false" outlineLevel="0" collapsed="false"/>
    <row r="84" customFormat="false" ht="12.75" hidden="false" customHeight="false" outlineLevel="0" collapsed="false"/>
    <row r="85" customFormat="false" ht="12.75" hidden="false" customHeight="false" outlineLevel="0" collapsed="false"/>
    <row r="86" customFormat="false" ht="12.75" hidden="false" customHeight="false" outlineLevel="0" collapsed="false"/>
    <row r="87" customFormat="false" ht="12.75" hidden="false" customHeight="false" outlineLevel="0" collapsed="false"/>
    <row r="88" customFormat="false" ht="12.75" hidden="false" customHeight="false" outlineLevel="0" collapsed="false"/>
    <row r="89" customFormat="false" ht="12.75" hidden="false" customHeight="false" outlineLevel="0" collapsed="false"/>
    <row r="90" customFormat="false" ht="12.75" hidden="false" customHeight="false" outlineLevel="0" collapsed="false"/>
    <row r="91" customFormat="false" ht="12.75" hidden="false" customHeight="false" outlineLevel="0" collapsed="false"/>
    <row r="92" customFormat="false" ht="12.75" hidden="false" customHeight="false" outlineLevel="0" collapsed="false"/>
    <row r="93" customFormat="false" ht="12.75" hidden="false" customHeight="false" outlineLevel="0" collapsed="false"/>
    <row r="94" customFormat="false" ht="12.75" hidden="false" customHeight="false" outlineLevel="0" collapsed="false"/>
    <row r="95" customFormat="false" ht="12.75" hidden="false" customHeight="false" outlineLevel="0" collapsed="false"/>
    <row r="96" customFormat="false" ht="12.75" hidden="false" customHeight="false" outlineLevel="0" collapsed="false"/>
    <row r="97" customFormat="false" ht="12.75" hidden="false" customHeight="false" outlineLevel="0" collapsed="false"/>
    <row r="98" customFormat="false" ht="12.75" hidden="false" customHeight="false" outlineLevel="0" collapsed="false"/>
    <row r="99" customFormat="false" ht="12.75" hidden="false" customHeight="false" outlineLevel="0" collapsed="false"/>
    <row r="100" customFormat="false" ht="12.75" hidden="false" customHeight="false" outlineLevel="0" collapsed="false"/>
    <row r="101" customFormat="false" ht="12.75" hidden="false" customHeight="false" outlineLevel="0" collapsed="false"/>
    <row r="102" customFormat="false" ht="12.75" hidden="false" customHeight="false" outlineLevel="0" collapsed="false"/>
    <row r="103" customFormat="false" ht="12.75" hidden="false" customHeight="false" outlineLevel="0" collapsed="false"/>
    <row r="104" customFormat="false" ht="12.75" hidden="false" customHeight="false" outlineLevel="0" collapsed="false"/>
    <row r="105" customFormat="false" ht="12.75" hidden="false" customHeight="false" outlineLevel="0" collapsed="false"/>
    <row r="106" customFormat="false" ht="12.75" hidden="false" customHeight="false" outlineLevel="0" collapsed="false"/>
    <row r="107" customFormat="false" ht="12.75" hidden="false" customHeight="false" outlineLevel="0" collapsed="false"/>
    <row r="108" customFormat="false" ht="12.75" hidden="false" customHeight="false" outlineLevel="0" collapsed="false"/>
    <row r="109" customFormat="false" ht="12.75" hidden="false" customHeight="false" outlineLevel="0" collapsed="false"/>
    <row r="110" customFormat="false" ht="12.75" hidden="false" customHeight="false" outlineLevel="0" collapsed="false"/>
    <row r="111" customFormat="false" ht="12.75" hidden="false" customHeight="false" outlineLevel="0" collapsed="false"/>
    <row r="112" customFormat="false" ht="12.75" hidden="false" customHeight="false" outlineLevel="0" collapsed="false"/>
    <row r="113" customFormat="false" ht="12.75" hidden="false" customHeight="false" outlineLevel="0" collapsed="false"/>
    <row r="114" customFormat="false" ht="12.75" hidden="false" customHeight="false" outlineLevel="0" collapsed="false"/>
    <row r="115" customFormat="false" ht="12.75" hidden="false" customHeight="false" outlineLevel="0" collapsed="false"/>
    <row r="116" customFormat="false" ht="12.75" hidden="false" customHeight="false" outlineLevel="0" collapsed="false"/>
    <row r="117" customFormat="false" ht="12.75" hidden="false" customHeight="false" outlineLevel="0" collapsed="false"/>
    <row r="118" customFormat="false" ht="12.75" hidden="false" customHeight="false" outlineLevel="0" collapsed="false"/>
    <row r="119" customFormat="false" ht="12.75" hidden="false" customHeight="false" outlineLevel="0" collapsed="false"/>
    <row r="120" customFormat="false" ht="12.75" hidden="false" customHeight="false" outlineLevel="0" collapsed="false"/>
    <row r="121" customFormat="false" ht="12.75" hidden="false" customHeight="false" outlineLevel="0" collapsed="false"/>
    <row r="122" customFormat="false" ht="12.75" hidden="false" customHeight="false" outlineLevel="0" collapsed="false"/>
    <row r="123" customFormat="false" ht="12.75" hidden="false" customHeight="false" outlineLevel="0" collapsed="false"/>
    <row r="124" customFormat="false" ht="12.75" hidden="false" customHeight="false" outlineLevel="0" collapsed="false"/>
    <row r="125" customFormat="false" ht="12.75" hidden="false" customHeight="false" outlineLevel="0" collapsed="false"/>
    <row r="126" customFormat="false" ht="12.75" hidden="false" customHeight="false" outlineLevel="0" collapsed="false"/>
    <row r="127" customFormat="false" ht="12.75" hidden="false" customHeight="false" outlineLevel="0" collapsed="false"/>
    <row r="128" customFormat="false" ht="12.75" hidden="false" customHeight="false" outlineLevel="0" collapsed="false"/>
    <row r="129" customFormat="false" ht="12.75" hidden="false" customHeight="false" outlineLevel="0" collapsed="false"/>
    <row r="130" customFormat="false" ht="12.75" hidden="false" customHeight="false" outlineLevel="0" collapsed="false"/>
    <row r="131" customFormat="false" ht="12.75" hidden="false" customHeight="false" outlineLevel="0" collapsed="false"/>
    <row r="132" customFormat="false" ht="12.75" hidden="false" customHeight="false" outlineLevel="0" collapsed="false"/>
    <row r="133" customFormat="false" ht="12.75" hidden="false" customHeight="false" outlineLevel="0" collapsed="false"/>
    <row r="134" customFormat="false" ht="12.75" hidden="false" customHeight="false" outlineLevel="0" collapsed="false"/>
    <row r="135" customFormat="false" ht="12.75" hidden="false" customHeight="false" outlineLevel="0" collapsed="false"/>
    <row r="136" customFormat="false" ht="12.75" hidden="false" customHeight="false" outlineLevel="0" collapsed="false"/>
    <row r="137" customFormat="false" ht="12.75" hidden="false" customHeight="false" outlineLevel="0" collapsed="false"/>
    <row r="138" customFormat="false" ht="12.75" hidden="false" customHeight="false" outlineLevel="0" collapsed="false"/>
    <row r="139" customFormat="false" ht="12.75" hidden="false" customHeight="false" outlineLevel="0" collapsed="false"/>
    <row r="140" customFormat="false" ht="12.75" hidden="false" customHeight="false" outlineLevel="0" collapsed="false"/>
    <row r="141" customFormat="false" ht="12.75" hidden="false" customHeight="false" outlineLevel="0" collapsed="false"/>
    <row r="142" customFormat="false" ht="12.75" hidden="false" customHeight="false" outlineLevel="0" collapsed="false"/>
    <row r="143" customFormat="false" ht="12.75" hidden="false" customHeight="false" outlineLevel="0" collapsed="false"/>
    <row r="144" customFormat="false" ht="12.75" hidden="false" customHeight="false" outlineLevel="0" collapsed="false"/>
    <row r="145" customFormat="false" ht="12.75" hidden="false" customHeight="false" outlineLevel="0" collapsed="false"/>
    <row r="146" customFormat="false" ht="12.75" hidden="false" customHeight="false" outlineLevel="0" collapsed="false"/>
    <row r="147" customFormat="false" ht="12.75" hidden="false" customHeight="false" outlineLevel="0" collapsed="false"/>
    <row r="148" customFormat="false" ht="12.75" hidden="false" customHeight="false" outlineLevel="0" collapsed="false"/>
    <row r="149" customFormat="false" ht="12.75" hidden="false" customHeight="false" outlineLevel="0" collapsed="false"/>
    <row r="150" customFormat="false" ht="12.75" hidden="false" customHeight="false" outlineLevel="0" collapsed="false"/>
    <row r="151" customFormat="false" ht="12.75" hidden="false" customHeight="false" outlineLevel="0" collapsed="false"/>
    <row r="152" customFormat="false" ht="12.75" hidden="false" customHeight="false" outlineLevel="0" collapsed="false"/>
    <row r="153" customFormat="false" ht="12.75" hidden="false" customHeight="false" outlineLevel="0" collapsed="false"/>
    <row r="154" customFormat="false" ht="12.75" hidden="false" customHeight="false" outlineLevel="0" collapsed="false"/>
    <row r="155" customFormat="false" ht="12.75" hidden="false" customHeight="false" outlineLevel="0" collapsed="false"/>
    <row r="156" customFormat="false" ht="12.75" hidden="false" customHeight="false" outlineLevel="0" collapsed="false"/>
    <row r="157" customFormat="false" ht="12.75" hidden="false" customHeight="false" outlineLevel="0" collapsed="false"/>
    <row r="158" customFormat="false" ht="12.75" hidden="false" customHeight="false" outlineLevel="0" collapsed="false"/>
    <row r="159" customFormat="false" ht="12.75" hidden="false" customHeight="false" outlineLevel="0" collapsed="false"/>
    <row r="160" customFormat="false" ht="12.75" hidden="false" customHeight="false" outlineLevel="0" collapsed="false"/>
    <row r="161" customFormat="false" ht="12.75" hidden="false" customHeight="false" outlineLevel="0" collapsed="false"/>
    <row r="162" customFormat="false" ht="12.75" hidden="false" customHeight="false" outlineLevel="0" collapsed="false"/>
    <row r="163" customFormat="false" ht="12.75" hidden="false" customHeight="false" outlineLevel="0" collapsed="false"/>
    <row r="164" customFormat="false" ht="12.75" hidden="false" customHeight="false" outlineLevel="0" collapsed="false"/>
    <row r="165" customFormat="false" ht="12.75" hidden="false" customHeight="false" outlineLevel="0" collapsed="false"/>
    <row r="166" customFormat="false" ht="12.75" hidden="false" customHeight="false" outlineLevel="0" collapsed="false"/>
    <row r="167" customFormat="false" ht="12.75" hidden="false" customHeight="false" outlineLevel="0" collapsed="false"/>
    <row r="168" customFormat="false" ht="12.75" hidden="false" customHeight="false" outlineLevel="0" collapsed="false"/>
    <row r="169" customFormat="false" ht="12.75" hidden="false" customHeight="false" outlineLevel="0" collapsed="false"/>
    <row r="170" customFormat="false" ht="12.75" hidden="false" customHeight="false" outlineLevel="0" collapsed="false"/>
    <row r="171" customFormat="false" ht="12.75" hidden="false" customHeight="false" outlineLevel="0" collapsed="false"/>
    <row r="172" customFormat="false" ht="12.75" hidden="false" customHeight="false" outlineLevel="0" collapsed="false"/>
    <row r="173" customFormat="false" ht="12.75" hidden="false" customHeight="false" outlineLevel="0" collapsed="false"/>
    <row r="174" customFormat="false" ht="12.75" hidden="false" customHeight="false" outlineLevel="0" collapsed="false"/>
    <row r="175" customFormat="false" ht="12.75" hidden="false" customHeight="false" outlineLevel="0" collapsed="false"/>
    <row r="176" customFormat="false" ht="12.75" hidden="false" customHeight="false" outlineLevel="0" collapsed="false"/>
    <row r="177" customFormat="false" ht="12.75" hidden="false" customHeight="false" outlineLevel="0" collapsed="false"/>
    <row r="178" customFormat="false" ht="12.75" hidden="false" customHeight="false" outlineLevel="0" collapsed="false"/>
    <row r="179" customFormat="false" ht="12.75" hidden="false" customHeight="false" outlineLevel="0" collapsed="false"/>
    <row r="180" customFormat="false" ht="12.75" hidden="false" customHeight="false" outlineLevel="0" collapsed="false"/>
    <row r="181" customFormat="false" ht="12.75" hidden="false" customHeight="false" outlineLevel="0" collapsed="false"/>
    <row r="182" customFormat="false" ht="12.75" hidden="false" customHeight="false" outlineLevel="0" collapsed="false"/>
    <row r="183" customFormat="false" ht="12.75" hidden="false" customHeight="false" outlineLevel="0" collapsed="false"/>
    <row r="184" customFormat="false" ht="12.75" hidden="false" customHeight="false" outlineLevel="0" collapsed="false"/>
    <row r="185" customFormat="false" ht="12.75" hidden="false" customHeight="false" outlineLevel="0" collapsed="false"/>
    <row r="186" customFormat="false" ht="12.75" hidden="false" customHeight="false" outlineLevel="0" collapsed="false"/>
    <row r="187" customFormat="false" ht="12.75" hidden="false" customHeight="false" outlineLevel="0" collapsed="false"/>
    <row r="188" customFormat="false" ht="12.75" hidden="false" customHeight="false" outlineLevel="0" collapsed="false"/>
    <row r="189" customFormat="false" ht="12.75" hidden="false" customHeight="false" outlineLevel="0" collapsed="false"/>
    <row r="190" customFormat="false" ht="12.75" hidden="false" customHeight="false" outlineLevel="0" collapsed="false"/>
    <row r="191" customFormat="false" ht="12.75" hidden="false" customHeight="false" outlineLevel="0" collapsed="false"/>
    <row r="192" customFormat="false" ht="12.75" hidden="false" customHeight="false" outlineLevel="0" collapsed="false"/>
    <row r="193" customFormat="false" ht="12.75" hidden="false" customHeight="false" outlineLevel="0" collapsed="false"/>
    <row r="194" customFormat="false" ht="12.75" hidden="false" customHeight="false" outlineLevel="0" collapsed="false"/>
    <row r="195" customFormat="false" ht="12.75" hidden="false" customHeight="false" outlineLevel="0" collapsed="false"/>
    <row r="196" customFormat="false" ht="12.75" hidden="false" customHeight="false" outlineLevel="0" collapsed="false"/>
    <row r="197" customFormat="false" ht="12.75" hidden="false" customHeight="false" outlineLevel="0" collapsed="false"/>
    <row r="198" customFormat="false" ht="12.75" hidden="false" customHeight="false" outlineLevel="0" collapsed="false"/>
    <row r="199" customFormat="false" ht="12.75" hidden="false" customHeight="false" outlineLevel="0" collapsed="false"/>
    <row r="200" customFormat="false" ht="12.75" hidden="false" customHeight="false" outlineLevel="0" collapsed="false"/>
    <row r="201" customFormat="false" ht="12.75" hidden="false" customHeight="false" outlineLevel="0" collapsed="false"/>
    <row r="202" customFormat="false" ht="12.75" hidden="false" customHeight="false" outlineLevel="0" collapsed="false"/>
    <row r="203" customFormat="false" ht="12.75" hidden="false" customHeight="false" outlineLevel="0" collapsed="false"/>
    <row r="204" customFormat="false" ht="12.75" hidden="false" customHeight="false" outlineLevel="0" collapsed="false"/>
    <row r="205" customFormat="false" ht="12.75" hidden="false" customHeight="false" outlineLevel="0" collapsed="false"/>
    <row r="206" customFormat="false" ht="12.75" hidden="false" customHeight="false" outlineLevel="0" collapsed="false"/>
    <row r="207" customFormat="false" ht="12.75" hidden="false" customHeight="false" outlineLevel="0" collapsed="false"/>
    <row r="208" customFormat="false" ht="12.75" hidden="false" customHeight="false" outlineLevel="0" collapsed="false"/>
    <row r="209" customFormat="false" ht="12.75" hidden="false" customHeight="false" outlineLevel="0" collapsed="false"/>
    <row r="210" customFormat="false" ht="12.75" hidden="false" customHeight="false" outlineLevel="0" collapsed="false"/>
    <row r="211" customFormat="false" ht="12.75" hidden="false" customHeight="false" outlineLevel="0" collapsed="false"/>
    <row r="212" customFormat="false" ht="12.75" hidden="false" customHeight="false" outlineLevel="0" collapsed="false"/>
    <row r="213" customFormat="false" ht="12.75" hidden="false" customHeight="false" outlineLevel="0" collapsed="false"/>
    <row r="214" customFormat="false" ht="12.75" hidden="false" customHeight="false" outlineLevel="0" collapsed="false"/>
    <row r="215" customFormat="false" ht="12.75" hidden="false" customHeight="false" outlineLevel="0" collapsed="false"/>
    <row r="216" customFormat="false" ht="12.75" hidden="false" customHeight="false" outlineLevel="0" collapsed="false"/>
    <row r="217" customFormat="false" ht="12.75" hidden="false" customHeight="false" outlineLevel="0" collapsed="false"/>
    <row r="218" customFormat="false" ht="12.75" hidden="false" customHeight="false" outlineLevel="0" collapsed="false"/>
    <row r="219" customFormat="false" ht="12.75" hidden="false" customHeight="false" outlineLevel="0" collapsed="false"/>
    <row r="220" customFormat="false" ht="12.75" hidden="false" customHeight="false" outlineLevel="0" collapsed="false"/>
    <row r="221" customFormat="false" ht="12.75" hidden="false" customHeight="false" outlineLevel="0" collapsed="false"/>
    <row r="222" customFormat="false" ht="12.75" hidden="false" customHeight="false" outlineLevel="0" collapsed="false"/>
    <row r="223" customFormat="false" ht="12.75" hidden="false" customHeight="false" outlineLevel="0" collapsed="false"/>
    <row r="224" customFormat="false" ht="12.75" hidden="false" customHeight="false" outlineLevel="0" collapsed="false"/>
    <row r="225" customFormat="false" ht="12.75" hidden="false" customHeight="false" outlineLevel="0" collapsed="false"/>
    <row r="226" customFormat="false" ht="12.75" hidden="false" customHeight="false" outlineLevel="0" collapsed="false"/>
    <row r="227" customFormat="false" ht="12.75" hidden="false" customHeight="false" outlineLevel="0" collapsed="false"/>
    <row r="228" customFormat="false" ht="12.75" hidden="false" customHeight="false" outlineLevel="0" collapsed="false"/>
    <row r="229" customFormat="false" ht="12.75" hidden="false" customHeight="false" outlineLevel="0" collapsed="false"/>
    <row r="230" customFormat="false" ht="12.75" hidden="false" customHeight="false" outlineLevel="0" collapsed="false"/>
    <row r="231" customFormat="false" ht="12.75" hidden="false" customHeight="false" outlineLevel="0" collapsed="false"/>
    <row r="232" customFormat="false" ht="12.75" hidden="false" customHeight="false" outlineLevel="0" collapsed="false"/>
    <row r="233" customFormat="false" ht="12.75" hidden="false" customHeight="false" outlineLevel="0" collapsed="false"/>
    <row r="234" customFormat="false" ht="12.75" hidden="false" customHeight="false" outlineLevel="0" collapsed="false"/>
    <row r="235" customFormat="false" ht="12.75" hidden="false" customHeight="false" outlineLevel="0" collapsed="false"/>
    <row r="236" customFormat="false" ht="12.75" hidden="false" customHeight="false" outlineLevel="0" collapsed="false"/>
    <row r="237" customFormat="false" ht="12.75" hidden="false" customHeight="false" outlineLevel="0" collapsed="false"/>
    <row r="238" customFormat="false" ht="12.75" hidden="false" customHeight="false" outlineLevel="0" collapsed="false"/>
    <row r="239" customFormat="false" ht="12.75" hidden="false" customHeight="false" outlineLevel="0" collapsed="false"/>
    <row r="240" customFormat="false" ht="12.75" hidden="false" customHeight="false" outlineLevel="0" collapsed="false"/>
    <row r="241" customFormat="false" ht="12.75" hidden="false" customHeight="false" outlineLevel="0" collapsed="false"/>
    <row r="242" customFormat="false" ht="12.75" hidden="false" customHeight="false" outlineLevel="0" collapsed="false"/>
    <row r="243" customFormat="false" ht="12.75" hidden="false" customHeight="false" outlineLevel="0" collapsed="false"/>
    <row r="244" customFormat="false" ht="12.75" hidden="false" customHeight="false" outlineLevel="0" collapsed="false"/>
    <row r="245" customFormat="false" ht="12.75" hidden="false" customHeight="false" outlineLevel="0" collapsed="false"/>
    <row r="246" customFormat="false" ht="12.75" hidden="false" customHeight="false" outlineLevel="0" collapsed="false"/>
    <row r="247" customFormat="false" ht="12.75" hidden="false" customHeight="false" outlineLevel="0" collapsed="false"/>
    <row r="248" customFormat="false" ht="12.75" hidden="false" customHeight="false" outlineLevel="0" collapsed="false"/>
    <row r="249" customFormat="false" ht="12.75" hidden="false" customHeight="false" outlineLevel="0" collapsed="false"/>
    <row r="250" customFormat="false" ht="12.75" hidden="false" customHeight="false" outlineLevel="0" collapsed="false"/>
    <row r="251" customFormat="false" ht="12.75" hidden="false" customHeight="false" outlineLevel="0" collapsed="false"/>
    <row r="252" customFormat="false" ht="12.75" hidden="false" customHeight="false" outlineLevel="0" collapsed="false"/>
    <row r="253" customFormat="false" ht="12.75" hidden="false" customHeight="false" outlineLevel="0" collapsed="false"/>
    <row r="254" customFormat="false" ht="12.75" hidden="false" customHeight="false" outlineLevel="0" collapsed="false"/>
    <row r="255" customFormat="false" ht="12.75" hidden="false" customHeight="false" outlineLevel="0" collapsed="false"/>
    <row r="256" customFormat="false" ht="12.75" hidden="false" customHeight="false" outlineLevel="0" collapsed="false"/>
    <row r="257" customFormat="false" ht="12.75" hidden="false" customHeight="false" outlineLevel="0" collapsed="false"/>
    <row r="258" customFormat="false" ht="12.75" hidden="false" customHeight="false" outlineLevel="0" collapsed="false"/>
    <row r="259" customFormat="false" ht="12.75" hidden="false" customHeight="false" outlineLevel="0" collapsed="false"/>
    <row r="260" customFormat="false" ht="12.75" hidden="false" customHeight="false" outlineLevel="0" collapsed="false"/>
    <row r="261" customFormat="false" ht="12.75" hidden="false" customHeight="false" outlineLevel="0" collapsed="false"/>
    <row r="262" customFormat="false" ht="12.75" hidden="false" customHeight="false" outlineLevel="0" collapsed="false"/>
    <row r="263" customFormat="false" ht="12.75" hidden="false" customHeight="false" outlineLevel="0" collapsed="false"/>
    <row r="264" customFormat="false" ht="12.75" hidden="false" customHeight="false" outlineLevel="0" collapsed="false"/>
    <row r="265" customFormat="false" ht="12.75" hidden="false" customHeight="false" outlineLevel="0" collapsed="false"/>
    <row r="266" customFormat="false" ht="12.75" hidden="false" customHeight="false" outlineLevel="0" collapsed="false"/>
    <row r="267" customFormat="false" ht="12.75" hidden="false" customHeight="false" outlineLevel="0" collapsed="false"/>
    <row r="268" customFormat="false" ht="12.75" hidden="false" customHeight="false" outlineLevel="0" collapsed="false"/>
    <row r="269" customFormat="false" ht="12.75" hidden="false" customHeight="false" outlineLevel="0" collapsed="false"/>
    <row r="270" customFormat="false" ht="12.75" hidden="false" customHeight="false" outlineLevel="0" collapsed="false"/>
    <row r="271" customFormat="false" ht="12.75" hidden="false" customHeight="false" outlineLevel="0" collapsed="false"/>
    <row r="272" customFormat="false" ht="12.75" hidden="false" customHeight="false" outlineLevel="0" collapsed="false"/>
    <row r="273" customFormat="false" ht="12.75" hidden="false" customHeight="fals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12.75" hidden="false" customHeight="false" outlineLevel="0" collapsed="false"/>
    <row r="283" customFormat="false" ht="12.75" hidden="false" customHeight="false" outlineLevel="0" collapsed="false"/>
    <row r="284" customFormat="false" ht="12.75" hidden="false" customHeight="fals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12.75" hidden="false" customHeight="false" outlineLevel="0" collapsed="false"/>
    <row r="291" customFormat="false" ht="12.75" hidden="false" customHeight="false" outlineLevel="0" collapsed="false"/>
    <row r="292" customFormat="false" ht="12.75" hidden="false" customHeight="false" outlineLevel="0" collapsed="false"/>
    <row r="293" customFormat="false" ht="12.75" hidden="false" customHeight="false" outlineLevel="0" collapsed="false"/>
    <row r="294" customFormat="false" ht="12.75" hidden="false" customHeight="false" outlineLevel="0" collapsed="false"/>
    <row r="295" customFormat="false" ht="12.75" hidden="false" customHeight="fals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12.75" hidden="false" customHeight="false" outlineLevel="0" collapsed="false"/>
    <row r="299" customFormat="false" ht="12.75" hidden="false" customHeight="false" outlineLevel="0" collapsed="false"/>
    <row r="300" customFormat="false" ht="12.75" hidden="false" customHeight="fals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12.75" hidden="false" customHeight="false" outlineLevel="0" collapsed="false"/>
    <row r="308" customFormat="false" ht="12.75" hidden="false" customHeight="false" outlineLevel="0" collapsed="false"/>
    <row r="309" customFormat="false" ht="12.75" hidden="false" customHeight="false" outlineLevel="0" collapsed="false"/>
    <row r="310" customFormat="false" ht="12.75" hidden="false" customHeight="false" outlineLevel="0" collapsed="false"/>
    <row r="311" customFormat="false" ht="12.75" hidden="false" customHeight="false" outlineLevel="0" collapsed="false"/>
    <row r="312" customFormat="false" ht="12.75" hidden="false" customHeight="false" outlineLevel="0" collapsed="false"/>
    <row r="313" customFormat="false" ht="12.75" hidden="false" customHeight="false" outlineLevel="0" collapsed="false"/>
    <row r="314" customFormat="false" ht="12.75" hidden="false" customHeight="fals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12.75" hidden="false" customHeight="fals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  <row r="344" customFormat="false" ht="12.75" hidden="false" customHeight="false" outlineLevel="0" collapsed="false"/>
    <row r="345" customFormat="false" ht="12.75" hidden="false" customHeight="false" outlineLevel="0" collapsed="false"/>
    <row r="346" customFormat="false" ht="12.75" hidden="false" customHeight="false" outlineLevel="0" collapsed="false"/>
    <row r="347" customFormat="false" ht="12.75" hidden="false" customHeight="false" outlineLevel="0" collapsed="false"/>
    <row r="348" customFormat="false" ht="12.75" hidden="false" customHeight="false" outlineLevel="0" collapsed="false"/>
    <row r="349" customFormat="false" ht="12.75" hidden="false" customHeight="false" outlineLevel="0" collapsed="false"/>
    <row r="350" customFormat="false" ht="12.75" hidden="false" customHeight="false" outlineLevel="0" collapsed="false"/>
    <row r="351" customFormat="false" ht="12.75" hidden="false" customHeight="false" outlineLevel="0" collapsed="false"/>
    <row r="352" customFormat="false" ht="12.75" hidden="false" customHeight="false" outlineLevel="0" collapsed="false"/>
    <row r="353" customFormat="false" ht="12.75" hidden="false" customHeight="false" outlineLevel="0" collapsed="false"/>
    <row r="354" customFormat="false" ht="12.75" hidden="false" customHeight="false" outlineLevel="0" collapsed="false"/>
    <row r="355" customFormat="false" ht="12.75" hidden="false" customHeight="false" outlineLevel="0" collapsed="false"/>
    <row r="356" customFormat="false" ht="12.75" hidden="false" customHeight="false" outlineLevel="0" collapsed="false"/>
    <row r="357" customFormat="false" ht="12.75" hidden="false" customHeight="false" outlineLevel="0" collapsed="false"/>
    <row r="358" customFormat="false" ht="12.75" hidden="false" customHeight="false" outlineLevel="0" collapsed="false"/>
    <row r="359" customFormat="false" ht="12.75" hidden="false" customHeight="false" outlineLevel="0" collapsed="false"/>
    <row r="360" customFormat="false" ht="12.75" hidden="false" customHeight="false" outlineLevel="0" collapsed="false"/>
    <row r="361" customFormat="false" ht="12.75" hidden="false" customHeight="false" outlineLevel="0" collapsed="false"/>
    <row r="362" customFormat="false" ht="12.75" hidden="false" customHeight="false" outlineLevel="0" collapsed="false"/>
    <row r="363" customFormat="false" ht="12.75" hidden="false" customHeight="false" outlineLevel="0" collapsed="false"/>
    <row r="364" customFormat="false" ht="12.75" hidden="false" customHeight="false" outlineLevel="0" collapsed="false"/>
    <row r="365" customFormat="false" ht="12.75" hidden="false" customHeight="false" outlineLevel="0" collapsed="false"/>
    <row r="366" customFormat="false" ht="12.75" hidden="false" customHeight="false" outlineLevel="0" collapsed="false"/>
    <row r="367" customFormat="false" ht="12.75" hidden="false" customHeight="false" outlineLevel="0" collapsed="false"/>
    <row r="368" customFormat="false" ht="12.75" hidden="false" customHeight="false" outlineLevel="0" collapsed="false"/>
    <row r="369" customFormat="false" ht="12.75" hidden="false" customHeight="false" outlineLevel="0" collapsed="false"/>
    <row r="370" customFormat="false" ht="12.75" hidden="false" customHeight="false" outlineLevel="0" collapsed="false"/>
    <row r="371" customFormat="false" ht="12.75" hidden="false" customHeight="false" outlineLevel="0" collapsed="false"/>
    <row r="372" customFormat="false" ht="12.75" hidden="false" customHeight="false" outlineLevel="0" collapsed="false"/>
    <row r="373" customFormat="false" ht="12.75" hidden="false" customHeight="false" outlineLevel="0" collapsed="false"/>
    <row r="374" customFormat="false" ht="12.75" hidden="false" customHeight="false" outlineLevel="0" collapsed="false"/>
    <row r="375" customFormat="false" ht="12.75" hidden="false" customHeight="false" outlineLevel="0" collapsed="false"/>
    <row r="376" customFormat="false" ht="12.75" hidden="false" customHeight="false" outlineLevel="0" collapsed="false"/>
    <row r="377" customFormat="false" ht="12.75" hidden="false" customHeight="false" outlineLevel="0" collapsed="false"/>
    <row r="378" customFormat="false" ht="12.75" hidden="false" customHeight="false" outlineLevel="0" collapsed="false"/>
    <row r="379" customFormat="false" ht="12.75" hidden="false" customHeight="false" outlineLevel="0" collapsed="false"/>
    <row r="380" customFormat="false" ht="12.75" hidden="false" customHeight="false" outlineLevel="0" collapsed="false"/>
    <row r="381" customFormat="false" ht="12.75" hidden="false" customHeight="false" outlineLevel="0" collapsed="false"/>
    <row r="382" customFormat="false" ht="12.75" hidden="false" customHeight="false" outlineLevel="0" collapsed="false"/>
    <row r="383" customFormat="false" ht="12.75" hidden="false" customHeight="false" outlineLevel="0" collapsed="false"/>
    <row r="384" customFormat="false" ht="12.75" hidden="false" customHeight="false" outlineLevel="0" collapsed="false"/>
    <row r="385" customFormat="false" ht="12.75" hidden="false" customHeight="false" outlineLevel="0" collapsed="false"/>
    <row r="386" customFormat="false" ht="12.75" hidden="false" customHeight="false" outlineLevel="0" collapsed="false"/>
    <row r="387" customFormat="false" ht="12.75" hidden="false" customHeight="false" outlineLevel="0" collapsed="false"/>
    <row r="388" customFormat="false" ht="12.75" hidden="false" customHeight="false" outlineLevel="0" collapsed="false"/>
    <row r="389" customFormat="false" ht="12.75" hidden="false" customHeight="false" outlineLevel="0" collapsed="false"/>
    <row r="390" customFormat="false" ht="12.75" hidden="false" customHeight="false" outlineLevel="0" collapsed="false"/>
    <row r="391" customFormat="false" ht="12.75" hidden="false" customHeight="false" outlineLevel="0" collapsed="false"/>
    <row r="392" customFormat="false" ht="12.75" hidden="false" customHeight="false" outlineLevel="0" collapsed="false"/>
    <row r="393" customFormat="false" ht="12.75" hidden="false" customHeight="false" outlineLevel="0" collapsed="false"/>
    <row r="394" customFormat="false" ht="12.75" hidden="false" customHeight="false" outlineLevel="0" collapsed="false"/>
    <row r="395" customFormat="false" ht="12.75" hidden="false" customHeight="false" outlineLevel="0" collapsed="false"/>
    <row r="396" customFormat="false" ht="12.75" hidden="false" customHeight="false" outlineLevel="0" collapsed="false"/>
    <row r="397" customFormat="false" ht="12.75" hidden="false" customHeight="false" outlineLevel="0" collapsed="false"/>
    <row r="398" customFormat="false" ht="12.75" hidden="false" customHeight="false" outlineLevel="0" collapsed="false"/>
    <row r="399" customFormat="false" ht="12.75" hidden="false" customHeight="false" outlineLevel="0" collapsed="false"/>
    <row r="400" customFormat="false" ht="12.75" hidden="false" customHeight="false" outlineLevel="0" collapsed="false"/>
    <row r="401" customFormat="false" ht="12.75" hidden="false" customHeight="false" outlineLevel="0" collapsed="false"/>
    <row r="402" customFormat="false" ht="12.75" hidden="false" customHeight="false" outlineLevel="0" collapsed="false"/>
    <row r="403" customFormat="false" ht="12.75" hidden="false" customHeight="false" outlineLevel="0" collapsed="false"/>
    <row r="404" customFormat="false" ht="12.75" hidden="false" customHeight="false" outlineLevel="0" collapsed="false"/>
    <row r="405" customFormat="false" ht="12.75" hidden="false" customHeight="false" outlineLevel="0" collapsed="false"/>
    <row r="406" customFormat="false" ht="12.75" hidden="false" customHeight="false" outlineLevel="0" collapsed="false"/>
    <row r="407" customFormat="false" ht="12.75" hidden="false" customHeight="false" outlineLevel="0" collapsed="false"/>
    <row r="408" customFormat="false" ht="12.75" hidden="false" customHeight="false" outlineLevel="0" collapsed="false"/>
    <row r="409" customFormat="false" ht="12.75" hidden="false" customHeight="false" outlineLevel="0" collapsed="false"/>
    <row r="410" customFormat="false" ht="12.75" hidden="false" customHeight="false" outlineLevel="0" collapsed="false"/>
    <row r="411" customFormat="false" ht="12.75" hidden="false" customHeight="false" outlineLevel="0" collapsed="false"/>
    <row r="412" customFormat="false" ht="12.75" hidden="false" customHeight="false" outlineLevel="0" collapsed="false"/>
    <row r="413" customFormat="false" ht="12.75" hidden="false" customHeight="false" outlineLevel="0" collapsed="false"/>
    <row r="414" customFormat="false" ht="12.75" hidden="false" customHeight="false" outlineLevel="0" collapsed="false"/>
    <row r="415" customFormat="false" ht="12.75" hidden="false" customHeight="false" outlineLevel="0" collapsed="false"/>
    <row r="416" customFormat="false" ht="12.75" hidden="false" customHeight="false" outlineLevel="0" collapsed="false"/>
    <row r="417" customFormat="false" ht="12.75" hidden="false" customHeight="false" outlineLevel="0" collapsed="false"/>
    <row r="418" customFormat="false" ht="12.75" hidden="false" customHeight="false" outlineLevel="0" collapsed="false"/>
    <row r="419" customFormat="false" ht="12.75" hidden="false" customHeight="false" outlineLevel="0" collapsed="false"/>
    <row r="420" customFormat="false" ht="12.75" hidden="false" customHeight="false" outlineLevel="0" collapsed="false"/>
    <row r="421" customFormat="false" ht="12.75" hidden="false" customHeight="false" outlineLevel="0" collapsed="false"/>
    <row r="422" customFormat="false" ht="12.75" hidden="false" customHeight="false" outlineLevel="0" collapsed="false"/>
    <row r="423" customFormat="false" ht="12.75" hidden="false" customHeight="false" outlineLevel="0" collapsed="false"/>
    <row r="424" customFormat="false" ht="12.75" hidden="false" customHeight="false" outlineLevel="0" collapsed="false"/>
    <row r="425" customFormat="false" ht="12.75" hidden="false" customHeight="false" outlineLevel="0" collapsed="false"/>
    <row r="426" customFormat="false" ht="12.75" hidden="false" customHeight="false" outlineLevel="0" collapsed="false"/>
    <row r="427" customFormat="false" ht="12.75" hidden="false" customHeight="false" outlineLevel="0" collapsed="false"/>
    <row r="428" customFormat="false" ht="12.75" hidden="false" customHeight="false" outlineLevel="0" collapsed="false"/>
    <row r="429" customFormat="false" ht="12.75" hidden="false" customHeight="false" outlineLevel="0" collapsed="false"/>
    <row r="430" customFormat="false" ht="12.75" hidden="false" customHeight="false" outlineLevel="0" collapsed="false"/>
    <row r="431" customFormat="false" ht="12.75" hidden="false" customHeight="false" outlineLevel="0" collapsed="false"/>
    <row r="432" customFormat="false" ht="12.75" hidden="false" customHeight="false" outlineLevel="0" collapsed="false"/>
    <row r="433" customFormat="false" ht="12.75" hidden="false" customHeight="false" outlineLevel="0" collapsed="false"/>
    <row r="434" customFormat="false" ht="12.75" hidden="false" customHeight="false" outlineLevel="0" collapsed="false"/>
    <row r="435" customFormat="false" ht="12.75" hidden="false" customHeight="false" outlineLevel="0" collapsed="false"/>
    <row r="436" customFormat="false" ht="12.75" hidden="false" customHeight="false" outlineLevel="0" collapsed="false"/>
    <row r="437" customFormat="false" ht="12.75" hidden="false" customHeight="false" outlineLevel="0" collapsed="false"/>
    <row r="438" customFormat="false" ht="12.75" hidden="false" customHeight="false" outlineLevel="0" collapsed="false"/>
    <row r="439" customFormat="false" ht="12.75" hidden="false" customHeight="false" outlineLevel="0" collapsed="false"/>
    <row r="440" customFormat="false" ht="12.75" hidden="false" customHeight="false" outlineLevel="0" collapsed="false"/>
    <row r="441" customFormat="false" ht="12.75" hidden="false" customHeight="false" outlineLevel="0" collapsed="false"/>
    <row r="442" customFormat="false" ht="12.75" hidden="false" customHeight="false" outlineLevel="0" collapsed="false"/>
    <row r="443" customFormat="false" ht="12.75" hidden="false" customHeight="false" outlineLevel="0" collapsed="false"/>
    <row r="444" customFormat="false" ht="12.75" hidden="false" customHeight="false" outlineLevel="0" collapsed="false"/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/>
    <row r="455" customFormat="false" ht="12.75" hidden="false" customHeight="false" outlineLevel="0" collapsed="false"/>
    <row r="456" customFormat="false" ht="12.75" hidden="false" customHeight="false" outlineLevel="0" collapsed="false"/>
    <row r="457" customFormat="false" ht="12.75" hidden="false" customHeight="false" outlineLevel="0" collapsed="false"/>
    <row r="458" customFormat="false" ht="12.75" hidden="false" customHeight="false" outlineLevel="0" collapsed="false"/>
    <row r="459" customFormat="false" ht="12.75" hidden="false" customHeight="false" outlineLevel="0" collapsed="false"/>
    <row r="460" customFormat="false" ht="12.75" hidden="false" customHeight="false" outlineLevel="0" collapsed="false"/>
    <row r="461" customFormat="false" ht="12.75" hidden="false" customHeight="false" outlineLevel="0" collapsed="false"/>
    <row r="462" customFormat="false" ht="12.75" hidden="false" customHeight="false" outlineLevel="0" collapsed="false"/>
    <row r="463" customFormat="false" ht="12.75" hidden="false" customHeight="false" outlineLevel="0" collapsed="false"/>
    <row r="464" customFormat="false" ht="12.75" hidden="false" customHeight="false" outlineLevel="0" collapsed="false"/>
    <row r="465" customFormat="false" ht="12.75" hidden="false" customHeight="false" outlineLevel="0" collapsed="false"/>
    <row r="466" customFormat="false" ht="12.75" hidden="false" customHeight="false" outlineLevel="0" collapsed="false"/>
    <row r="467" customFormat="false" ht="12.75" hidden="false" customHeight="false" outlineLevel="0" collapsed="false"/>
    <row r="468" customFormat="false" ht="12.75" hidden="false" customHeight="false" outlineLevel="0" collapsed="false"/>
    <row r="469" customFormat="false" ht="12.75" hidden="false" customHeight="false" outlineLevel="0" collapsed="false"/>
    <row r="470" customFormat="false" ht="12.75" hidden="false" customHeight="false" outlineLevel="0" collapsed="false"/>
    <row r="471" customFormat="false" ht="12.75" hidden="false" customHeight="false" outlineLevel="0" collapsed="false"/>
    <row r="472" customFormat="false" ht="12.75" hidden="false" customHeight="false" outlineLevel="0" collapsed="false"/>
    <row r="473" customFormat="false" ht="12.75" hidden="false" customHeight="false" outlineLevel="0" collapsed="false"/>
    <row r="474" customFormat="false" ht="12.75" hidden="false" customHeight="false" outlineLevel="0" collapsed="false"/>
    <row r="475" customFormat="false" ht="12.75" hidden="false" customHeight="false" outlineLevel="0" collapsed="false"/>
    <row r="476" customFormat="false" ht="12.75" hidden="false" customHeight="false" outlineLevel="0" collapsed="false"/>
    <row r="477" customFormat="false" ht="12.75" hidden="false" customHeight="false" outlineLevel="0" collapsed="false"/>
    <row r="478" customFormat="false" ht="12.75" hidden="false" customHeight="false" outlineLevel="0" collapsed="false"/>
    <row r="479" customFormat="false" ht="12.75" hidden="false" customHeight="false" outlineLevel="0" collapsed="false"/>
    <row r="480" customFormat="false" ht="12.75" hidden="false" customHeight="false" outlineLevel="0" collapsed="false"/>
    <row r="481" customFormat="false" ht="12.75" hidden="false" customHeight="false" outlineLevel="0" collapsed="false"/>
    <row r="482" customFormat="false" ht="12.75" hidden="false" customHeight="false" outlineLevel="0" collapsed="false"/>
    <row r="483" customFormat="false" ht="12.75" hidden="false" customHeight="false" outlineLevel="0" collapsed="false"/>
    <row r="484" customFormat="false" ht="12.75" hidden="false" customHeight="false" outlineLevel="0" collapsed="false"/>
    <row r="485" customFormat="false" ht="12.75" hidden="false" customHeight="false" outlineLevel="0" collapsed="false"/>
    <row r="486" customFormat="false" ht="12.75" hidden="false" customHeight="false" outlineLevel="0" collapsed="false"/>
    <row r="487" customFormat="false" ht="12.75" hidden="false" customHeight="false" outlineLevel="0" collapsed="false"/>
    <row r="488" customFormat="false" ht="12.75" hidden="false" customHeight="false" outlineLevel="0" collapsed="false"/>
    <row r="489" customFormat="false" ht="12.75" hidden="false" customHeight="false" outlineLevel="0" collapsed="false"/>
    <row r="490" customFormat="false" ht="12.75" hidden="false" customHeight="false" outlineLevel="0" collapsed="false"/>
    <row r="491" customFormat="false" ht="12.75" hidden="false" customHeight="false" outlineLevel="0" collapsed="false"/>
    <row r="492" customFormat="false" ht="12.75" hidden="false" customHeight="false" outlineLevel="0" collapsed="false"/>
    <row r="493" customFormat="false" ht="12.75" hidden="false" customHeight="false" outlineLevel="0" collapsed="false"/>
    <row r="494" customFormat="false" ht="12.75" hidden="false" customHeight="false" outlineLevel="0" collapsed="false"/>
    <row r="495" customFormat="false" ht="12.75" hidden="false" customHeight="false" outlineLevel="0" collapsed="false"/>
    <row r="496" customFormat="false" ht="12.75" hidden="false" customHeight="false" outlineLevel="0" collapsed="false"/>
    <row r="497" customFormat="false" ht="12.75" hidden="false" customHeight="false" outlineLevel="0" collapsed="false"/>
    <row r="498" customFormat="false" ht="12.75" hidden="false" customHeight="false" outlineLevel="0" collapsed="false"/>
    <row r="499" customFormat="false" ht="12.75" hidden="false" customHeight="false" outlineLevel="0" collapsed="false"/>
    <row r="500" customFormat="false" ht="12.75" hidden="false" customHeight="false" outlineLevel="0" collapsed="false"/>
    <row r="501" customFormat="false" ht="12.75" hidden="false" customHeight="false" outlineLevel="0" collapsed="false"/>
    <row r="502" customFormat="false" ht="12.75" hidden="false" customHeight="false" outlineLevel="0" collapsed="false"/>
    <row r="503" customFormat="false" ht="12.75" hidden="false" customHeight="false" outlineLevel="0" collapsed="false"/>
    <row r="504" customFormat="false" ht="12.75" hidden="false" customHeight="false" outlineLevel="0" collapsed="false"/>
    <row r="505" customFormat="false" ht="12.75" hidden="false" customHeight="false" outlineLevel="0" collapsed="false"/>
    <row r="506" customFormat="false" ht="12.75" hidden="false" customHeight="false" outlineLevel="0" collapsed="false"/>
    <row r="507" customFormat="false" ht="12.75" hidden="false" customHeight="false" outlineLevel="0" collapsed="false"/>
    <row r="508" customFormat="false" ht="12.75" hidden="false" customHeight="false" outlineLevel="0" collapsed="false"/>
    <row r="509" customFormat="false" ht="12.75" hidden="false" customHeight="false" outlineLevel="0" collapsed="false"/>
    <row r="510" customFormat="false" ht="12.75" hidden="false" customHeight="false" outlineLevel="0" collapsed="false"/>
    <row r="511" customFormat="false" ht="12.75" hidden="false" customHeight="false" outlineLevel="0" collapsed="false"/>
    <row r="512" customFormat="false" ht="12.75" hidden="false" customHeight="false" outlineLevel="0" collapsed="false"/>
    <row r="513" customFormat="false" ht="12.75" hidden="false" customHeight="false" outlineLevel="0" collapsed="false"/>
    <row r="514" customFormat="false" ht="12.75" hidden="false" customHeight="false" outlineLevel="0" collapsed="false"/>
    <row r="515" customFormat="false" ht="12.75" hidden="false" customHeight="false" outlineLevel="0" collapsed="false"/>
    <row r="516" customFormat="false" ht="12.75" hidden="false" customHeight="false" outlineLevel="0" collapsed="false"/>
    <row r="517" customFormat="false" ht="12.75" hidden="false" customHeight="false" outlineLevel="0" collapsed="false"/>
    <row r="518" customFormat="false" ht="12.75" hidden="false" customHeight="false" outlineLevel="0" collapsed="false"/>
    <row r="519" customFormat="false" ht="12.75" hidden="false" customHeight="false" outlineLevel="0" collapsed="false"/>
    <row r="520" customFormat="false" ht="12.75" hidden="false" customHeight="false" outlineLevel="0" collapsed="false"/>
    <row r="521" customFormat="false" ht="12.75" hidden="false" customHeight="false" outlineLevel="0" collapsed="false"/>
    <row r="522" customFormat="false" ht="12.75" hidden="false" customHeight="false" outlineLevel="0" collapsed="false"/>
    <row r="523" customFormat="false" ht="12.75" hidden="false" customHeight="false" outlineLevel="0" collapsed="false"/>
    <row r="524" customFormat="false" ht="12.75" hidden="false" customHeight="false" outlineLevel="0" collapsed="false"/>
    <row r="525" customFormat="false" ht="12.75" hidden="false" customHeight="false" outlineLevel="0" collapsed="false"/>
    <row r="526" customFormat="false" ht="12.75" hidden="false" customHeight="false" outlineLevel="0" collapsed="false"/>
    <row r="527" customFormat="false" ht="12.75" hidden="false" customHeight="false" outlineLevel="0" collapsed="false"/>
    <row r="528" customFormat="false" ht="12.75" hidden="false" customHeight="false" outlineLevel="0" collapsed="false"/>
    <row r="529" customFormat="false" ht="12.75" hidden="false" customHeight="false" outlineLevel="0" collapsed="false"/>
    <row r="530" customFormat="false" ht="12.75" hidden="false" customHeight="false" outlineLevel="0" collapsed="false"/>
    <row r="531" customFormat="false" ht="12.75" hidden="false" customHeight="false" outlineLevel="0" collapsed="false"/>
    <row r="532" customFormat="false" ht="12.75" hidden="false" customHeight="false" outlineLevel="0" collapsed="false"/>
    <row r="533" customFormat="false" ht="12.75" hidden="false" customHeight="false" outlineLevel="0" collapsed="false"/>
    <row r="534" customFormat="false" ht="12.75" hidden="false" customHeight="false" outlineLevel="0" collapsed="false"/>
    <row r="535" customFormat="false" ht="12.75" hidden="false" customHeight="false" outlineLevel="0" collapsed="false"/>
    <row r="536" customFormat="false" ht="12.75" hidden="false" customHeight="false" outlineLevel="0" collapsed="false"/>
    <row r="537" customFormat="false" ht="12.75" hidden="false" customHeight="false" outlineLevel="0" collapsed="false"/>
    <row r="538" customFormat="false" ht="12.75" hidden="false" customHeight="false" outlineLevel="0" collapsed="false"/>
    <row r="539" customFormat="false" ht="12.75" hidden="false" customHeight="false" outlineLevel="0" collapsed="false"/>
    <row r="540" customFormat="false" ht="12.75" hidden="false" customHeight="false" outlineLevel="0" collapsed="false"/>
    <row r="541" customFormat="false" ht="12.75" hidden="false" customHeight="false" outlineLevel="0" collapsed="false"/>
    <row r="542" customFormat="false" ht="12.75" hidden="false" customHeight="false" outlineLevel="0" collapsed="false"/>
    <row r="543" customFormat="false" ht="12.75" hidden="false" customHeight="false" outlineLevel="0" collapsed="false"/>
    <row r="544" customFormat="false" ht="12.75" hidden="false" customHeight="false" outlineLevel="0" collapsed="false"/>
    <row r="545" customFormat="false" ht="12.75" hidden="false" customHeight="false" outlineLevel="0" collapsed="false"/>
    <row r="546" customFormat="false" ht="12.75" hidden="false" customHeight="false" outlineLevel="0" collapsed="false"/>
    <row r="547" customFormat="false" ht="12.75" hidden="false" customHeight="false" outlineLevel="0" collapsed="false"/>
    <row r="548" customFormat="false" ht="12.75" hidden="false" customHeight="false" outlineLevel="0" collapsed="false"/>
    <row r="549" customFormat="false" ht="12.75" hidden="false" customHeight="false" outlineLevel="0" collapsed="false"/>
    <row r="550" customFormat="false" ht="12.75" hidden="false" customHeight="false" outlineLevel="0" collapsed="false"/>
    <row r="551" customFormat="false" ht="12.75" hidden="false" customHeight="false" outlineLevel="0" collapsed="false"/>
    <row r="552" customFormat="false" ht="12.75" hidden="false" customHeight="false" outlineLevel="0" collapsed="false"/>
    <row r="553" customFormat="false" ht="12.75" hidden="false" customHeight="false" outlineLevel="0" collapsed="false"/>
    <row r="554" customFormat="false" ht="12.75" hidden="false" customHeight="false" outlineLevel="0" collapsed="false"/>
    <row r="555" customFormat="false" ht="12.75" hidden="false" customHeight="false" outlineLevel="0" collapsed="false"/>
    <row r="556" customFormat="false" ht="12.75" hidden="false" customHeight="false" outlineLevel="0" collapsed="false"/>
    <row r="557" customFormat="false" ht="12.75" hidden="false" customHeight="false" outlineLevel="0" collapsed="false"/>
    <row r="558" customFormat="false" ht="12.75" hidden="false" customHeight="false" outlineLevel="0" collapsed="false"/>
    <row r="559" customFormat="false" ht="12.75" hidden="false" customHeight="false" outlineLevel="0" collapsed="false"/>
    <row r="560" customFormat="false" ht="12.75" hidden="false" customHeight="false" outlineLevel="0" collapsed="false"/>
    <row r="561" customFormat="false" ht="12.75" hidden="false" customHeight="false" outlineLevel="0" collapsed="false"/>
    <row r="562" customFormat="false" ht="12.75" hidden="false" customHeight="false" outlineLevel="0" collapsed="false"/>
    <row r="563" customFormat="false" ht="12.75" hidden="false" customHeight="false" outlineLevel="0" collapsed="false"/>
    <row r="564" customFormat="false" ht="12.75" hidden="false" customHeight="false" outlineLevel="0" collapsed="false"/>
    <row r="565" customFormat="false" ht="12.75" hidden="false" customHeight="false" outlineLevel="0" collapsed="false"/>
    <row r="566" customFormat="false" ht="12.75" hidden="false" customHeight="false" outlineLevel="0" collapsed="false"/>
    <row r="567" customFormat="false" ht="12.75" hidden="false" customHeight="false" outlineLevel="0" collapsed="false"/>
    <row r="568" customFormat="false" ht="12.75" hidden="false" customHeight="false" outlineLevel="0" collapsed="false"/>
    <row r="569" customFormat="false" ht="12.75" hidden="false" customHeight="false" outlineLevel="0" collapsed="false"/>
    <row r="570" customFormat="false" ht="12.75" hidden="false" customHeight="false" outlineLevel="0" collapsed="false"/>
    <row r="571" customFormat="false" ht="12.75" hidden="false" customHeight="false" outlineLevel="0" collapsed="false"/>
    <row r="572" customFormat="false" ht="12.75" hidden="false" customHeight="false" outlineLevel="0" collapsed="false"/>
    <row r="573" customFormat="false" ht="12.75" hidden="false" customHeight="false" outlineLevel="0" collapsed="false"/>
    <row r="574" customFormat="false" ht="12.75" hidden="false" customHeight="false" outlineLevel="0" collapsed="false"/>
    <row r="575" customFormat="false" ht="12.75" hidden="false" customHeight="false" outlineLevel="0" collapsed="false"/>
    <row r="576" customFormat="false" ht="12.75" hidden="false" customHeight="false" outlineLevel="0" collapsed="false"/>
    <row r="577" customFormat="false" ht="12.75" hidden="false" customHeight="false" outlineLevel="0" collapsed="false"/>
    <row r="578" customFormat="false" ht="12.75" hidden="false" customHeight="false" outlineLevel="0" collapsed="false"/>
    <row r="579" customFormat="false" ht="12.75" hidden="false" customHeight="false" outlineLevel="0" collapsed="false"/>
    <row r="580" customFormat="false" ht="12.75" hidden="false" customHeight="false" outlineLevel="0" collapsed="false"/>
    <row r="581" customFormat="false" ht="12.75" hidden="false" customHeight="false" outlineLevel="0" collapsed="false"/>
    <row r="582" customFormat="false" ht="12.75" hidden="false" customHeight="false" outlineLevel="0" collapsed="false"/>
    <row r="583" customFormat="false" ht="12.75" hidden="false" customHeight="false" outlineLevel="0" collapsed="false"/>
    <row r="584" customFormat="false" ht="12.75" hidden="false" customHeight="false" outlineLevel="0" collapsed="false"/>
    <row r="585" customFormat="false" ht="12.75" hidden="false" customHeight="false" outlineLevel="0" collapsed="false"/>
    <row r="586" customFormat="false" ht="12.75" hidden="false" customHeight="false" outlineLevel="0" collapsed="false"/>
    <row r="587" customFormat="false" ht="12.75" hidden="false" customHeight="false" outlineLevel="0" collapsed="false"/>
    <row r="588" customFormat="false" ht="12.75" hidden="false" customHeight="false" outlineLevel="0" collapsed="false"/>
    <row r="589" customFormat="false" ht="12.75" hidden="false" customHeight="false" outlineLevel="0" collapsed="false"/>
    <row r="590" customFormat="false" ht="12.75" hidden="false" customHeight="false" outlineLevel="0" collapsed="false"/>
    <row r="591" customFormat="false" ht="12.75" hidden="false" customHeight="false" outlineLevel="0" collapsed="false"/>
    <row r="592" customFormat="false" ht="12.75" hidden="false" customHeight="false" outlineLevel="0" collapsed="false"/>
    <row r="593" customFormat="false" ht="12.75" hidden="false" customHeight="false" outlineLevel="0" collapsed="false"/>
    <row r="594" customFormat="false" ht="12.75" hidden="false" customHeight="false" outlineLevel="0" collapsed="false"/>
    <row r="595" customFormat="false" ht="12.75" hidden="false" customHeight="false" outlineLevel="0" collapsed="false"/>
    <row r="596" customFormat="false" ht="12.75" hidden="false" customHeight="false" outlineLevel="0" collapsed="false"/>
    <row r="597" customFormat="false" ht="12.75" hidden="false" customHeight="false" outlineLevel="0" collapsed="false"/>
    <row r="598" customFormat="false" ht="12.75" hidden="false" customHeight="false" outlineLevel="0" collapsed="false"/>
    <row r="599" customFormat="false" ht="12.75" hidden="false" customHeight="false" outlineLevel="0" collapsed="false"/>
    <row r="600" customFormat="false" ht="12.75" hidden="false" customHeight="false" outlineLevel="0" collapsed="false"/>
    <row r="601" customFormat="false" ht="12.75" hidden="false" customHeight="false" outlineLevel="0" collapsed="false"/>
    <row r="602" customFormat="false" ht="12.75" hidden="false" customHeight="false" outlineLevel="0" collapsed="false"/>
    <row r="603" customFormat="false" ht="12.75" hidden="false" customHeight="false" outlineLevel="0" collapsed="false"/>
    <row r="604" customFormat="false" ht="12.75" hidden="false" customHeight="false" outlineLevel="0" collapsed="false"/>
    <row r="605" customFormat="false" ht="12.75" hidden="false" customHeight="false" outlineLevel="0" collapsed="false"/>
    <row r="606" customFormat="false" ht="12.75" hidden="false" customHeight="false" outlineLevel="0" collapsed="false"/>
    <row r="607" customFormat="false" ht="12.75" hidden="false" customHeight="false" outlineLevel="0" collapsed="false"/>
    <row r="608" customFormat="false" ht="12.75" hidden="false" customHeight="false" outlineLevel="0" collapsed="false"/>
    <row r="609" customFormat="false" ht="12.75" hidden="false" customHeight="false" outlineLevel="0" collapsed="false"/>
    <row r="610" customFormat="false" ht="12.75" hidden="false" customHeight="false" outlineLevel="0" collapsed="false"/>
    <row r="611" customFormat="false" ht="12.75" hidden="false" customHeight="false" outlineLevel="0" collapsed="false"/>
    <row r="612" customFormat="false" ht="12.75" hidden="false" customHeight="false" outlineLevel="0" collapsed="false"/>
    <row r="613" customFormat="false" ht="12.75" hidden="false" customHeight="false" outlineLevel="0" collapsed="false"/>
    <row r="614" customFormat="false" ht="12.75" hidden="false" customHeight="false" outlineLevel="0" collapsed="false"/>
    <row r="615" customFormat="false" ht="12.75" hidden="false" customHeight="false" outlineLevel="0" collapsed="false"/>
    <row r="616" customFormat="false" ht="12.75" hidden="false" customHeight="false" outlineLevel="0" collapsed="false"/>
    <row r="617" customFormat="false" ht="12.75" hidden="false" customHeight="false" outlineLevel="0" collapsed="false"/>
    <row r="618" customFormat="false" ht="12.75" hidden="false" customHeight="false" outlineLevel="0" collapsed="false"/>
    <row r="619" customFormat="false" ht="12.75" hidden="false" customHeight="false" outlineLevel="0" collapsed="false"/>
    <row r="620" customFormat="false" ht="12.75" hidden="false" customHeight="false" outlineLevel="0" collapsed="false"/>
    <row r="621" customFormat="false" ht="12.75" hidden="false" customHeight="false" outlineLevel="0" collapsed="false"/>
    <row r="622" customFormat="false" ht="12.75" hidden="false" customHeight="false" outlineLevel="0" collapsed="false"/>
    <row r="623" customFormat="false" ht="12.75" hidden="false" customHeight="false" outlineLevel="0" collapsed="false"/>
    <row r="624" customFormat="false" ht="12.75" hidden="false" customHeight="false" outlineLevel="0" collapsed="false"/>
    <row r="625" customFormat="false" ht="12.75" hidden="false" customHeight="false" outlineLevel="0" collapsed="false"/>
    <row r="626" customFormat="false" ht="12.75" hidden="false" customHeight="false" outlineLevel="0" collapsed="false"/>
    <row r="627" customFormat="false" ht="12.75" hidden="false" customHeight="false" outlineLevel="0" collapsed="false"/>
    <row r="628" customFormat="false" ht="12.75" hidden="false" customHeight="false" outlineLevel="0" collapsed="false"/>
    <row r="629" customFormat="false" ht="12.75" hidden="false" customHeight="false" outlineLevel="0" collapsed="false"/>
    <row r="630" customFormat="false" ht="12.75" hidden="false" customHeight="false" outlineLevel="0" collapsed="false"/>
    <row r="631" customFormat="false" ht="12.75" hidden="false" customHeight="false" outlineLevel="0" collapsed="false"/>
    <row r="632" customFormat="false" ht="12.75" hidden="false" customHeight="false" outlineLevel="0" collapsed="false"/>
    <row r="633" customFormat="false" ht="12.75" hidden="false" customHeight="false" outlineLevel="0" collapsed="false"/>
    <row r="634" customFormat="false" ht="12.75" hidden="false" customHeight="false" outlineLevel="0" collapsed="false"/>
    <row r="635" customFormat="false" ht="12.75" hidden="false" customHeight="false" outlineLevel="0" collapsed="false"/>
    <row r="636" customFormat="false" ht="12.75" hidden="false" customHeight="false" outlineLevel="0" collapsed="false"/>
    <row r="637" customFormat="false" ht="12.75" hidden="false" customHeight="false" outlineLevel="0" collapsed="false"/>
    <row r="638" customFormat="false" ht="12.75" hidden="false" customHeight="false" outlineLevel="0" collapsed="false"/>
    <row r="639" customFormat="false" ht="12.75" hidden="false" customHeight="false" outlineLevel="0" collapsed="false"/>
    <row r="640" customFormat="false" ht="12.75" hidden="false" customHeight="false" outlineLevel="0" collapsed="false"/>
    <row r="641" customFormat="false" ht="12.75" hidden="false" customHeight="false" outlineLevel="0" collapsed="false"/>
    <row r="642" customFormat="false" ht="12.75" hidden="false" customHeight="false" outlineLevel="0" collapsed="false"/>
    <row r="643" customFormat="false" ht="12.75" hidden="false" customHeight="false" outlineLevel="0" collapsed="false"/>
    <row r="644" customFormat="false" ht="12.75" hidden="false" customHeight="false" outlineLevel="0" collapsed="false"/>
    <row r="645" customFormat="false" ht="12.75" hidden="false" customHeight="false" outlineLevel="0" collapsed="false"/>
    <row r="646" customFormat="false" ht="12.75" hidden="false" customHeight="false" outlineLevel="0" collapsed="false"/>
    <row r="647" customFormat="false" ht="12.75" hidden="false" customHeight="false" outlineLevel="0" collapsed="false"/>
    <row r="648" customFormat="false" ht="12.75" hidden="false" customHeight="false" outlineLevel="0" collapsed="false"/>
    <row r="649" customFormat="false" ht="12.75" hidden="false" customHeight="false" outlineLevel="0" collapsed="false"/>
    <row r="650" customFormat="false" ht="12.75" hidden="false" customHeight="false" outlineLevel="0" collapsed="false"/>
    <row r="651" customFormat="false" ht="12.75" hidden="false" customHeight="false" outlineLevel="0" collapsed="false"/>
    <row r="652" customFormat="false" ht="12.75" hidden="false" customHeight="false" outlineLevel="0" collapsed="false"/>
    <row r="653" customFormat="false" ht="12.75" hidden="false" customHeight="false" outlineLevel="0" collapsed="false"/>
    <row r="654" customFormat="false" ht="12.75" hidden="false" customHeight="false" outlineLevel="0" collapsed="false"/>
    <row r="655" customFormat="false" ht="12.75" hidden="false" customHeight="false" outlineLevel="0" collapsed="false"/>
    <row r="656" customFormat="false" ht="12.75" hidden="false" customHeight="false" outlineLevel="0" collapsed="false"/>
    <row r="657" customFormat="false" ht="12.75" hidden="false" customHeight="false" outlineLevel="0" collapsed="false"/>
    <row r="658" customFormat="false" ht="12.75" hidden="false" customHeight="false" outlineLevel="0" collapsed="false"/>
    <row r="659" customFormat="false" ht="12.75" hidden="false" customHeight="false" outlineLevel="0" collapsed="false"/>
    <row r="660" customFormat="false" ht="12.75" hidden="false" customHeight="false" outlineLevel="0" collapsed="false"/>
    <row r="661" customFormat="false" ht="12.75" hidden="false" customHeight="false" outlineLevel="0" collapsed="false"/>
    <row r="662" customFormat="false" ht="12.75" hidden="false" customHeight="false" outlineLevel="0" collapsed="false"/>
    <row r="663" customFormat="false" ht="12.75" hidden="false" customHeight="false" outlineLevel="0" collapsed="false"/>
    <row r="664" customFormat="false" ht="12.75" hidden="false" customHeight="false" outlineLevel="0" collapsed="false"/>
    <row r="665" customFormat="false" ht="12.75" hidden="false" customHeight="false" outlineLevel="0" collapsed="false"/>
    <row r="666" customFormat="false" ht="12.75" hidden="false" customHeight="false" outlineLevel="0" collapsed="false"/>
    <row r="667" customFormat="false" ht="12.75" hidden="false" customHeight="false" outlineLevel="0" collapsed="false"/>
    <row r="668" customFormat="false" ht="12.75" hidden="false" customHeight="false" outlineLevel="0" collapsed="false"/>
    <row r="669" customFormat="false" ht="12.75" hidden="false" customHeight="false" outlineLevel="0" collapsed="false"/>
    <row r="670" customFormat="false" ht="12.75" hidden="false" customHeight="false" outlineLevel="0" collapsed="false"/>
    <row r="671" customFormat="false" ht="12.75" hidden="false" customHeight="false" outlineLevel="0" collapsed="false"/>
    <row r="672" customFormat="false" ht="12.75" hidden="false" customHeight="false" outlineLevel="0" collapsed="false"/>
    <row r="673" customFormat="false" ht="12.75" hidden="false" customHeight="false" outlineLevel="0" collapsed="false"/>
    <row r="674" customFormat="false" ht="12.75" hidden="false" customHeight="false" outlineLevel="0" collapsed="false"/>
    <row r="675" customFormat="false" ht="12.75" hidden="false" customHeight="false" outlineLevel="0" collapsed="false"/>
    <row r="676" customFormat="false" ht="12.75" hidden="false" customHeight="false" outlineLevel="0" collapsed="false"/>
    <row r="677" customFormat="false" ht="12.75" hidden="false" customHeight="false" outlineLevel="0" collapsed="false"/>
    <row r="678" customFormat="false" ht="12.75" hidden="false" customHeight="false" outlineLevel="0" collapsed="false"/>
    <row r="679" customFormat="false" ht="12.75" hidden="false" customHeight="false" outlineLevel="0" collapsed="false"/>
    <row r="680" customFormat="false" ht="12.75" hidden="false" customHeight="false" outlineLevel="0" collapsed="false"/>
    <row r="681" customFormat="false" ht="12.75" hidden="false" customHeight="false" outlineLevel="0" collapsed="false"/>
    <row r="682" customFormat="false" ht="12.75" hidden="false" customHeight="false" outlineLevel="0" collapsed="false"/>
    <row r="683" customFormat="false" ht="12.75" hidden="false" customHeight="false" outlineLevel="0" collapsed="false"/>
    <row r="684" customFormat="false" ht="12.75" hidden="false" customHeight="false" outlineLevel="0" collapsed="false"/>
    <row r="685" customFormat="false" ht="12.75" hidden="false" customHeight="false" outlineLevel="0" collapsed="false"/>
    <row r="686" customFormat="false" ht="12.75" hidden="false" customHeight="false" outlineLevel="0" collapsed="false"/>
    <row r="687" customFormat="false" ht="12.75" hidden="false" customHeight="false" outlineLevel="0" collapsed="false"/>
    <row r="688" customFormat="false" ht="12.75" hidden="false" customHeight="false" outlineLevel="0" collapsed="false"/>
    <row r="689" customFormat="false" ht="12.75" hidden="false" customHeight="false" outlineLevel="0" collapsed="false"/>
    <row r="690" customFormat="false" ht="12.75" hidden="false" customHeight="false" outlineLevel="0" collapsed="false"/>
    <row r="691" customFormat="false" ht="12.75" hidden="false" customHeight="false" outlineLevel="0" collapsed="false"/>
    <row r="692" customFormat="false" ht="12.75" hidden="false" customHeight="false" outlineLevel="0" collapsed="false"/>
    <row r="693" customFormat="false" ht="12.75" hidden="false" customHeight="false" outlineLevel="0" collapsed="false"/>
    <row r="694" customFormat="false" ht="12.75" hidden="false" customHeight="false" outlineLevel="0" collapsed="false"/>
    <row r="695" customFormat="false" ht="12.75" hidden="false" customHeight="false" outlineLevel="0" collapsed="false"/>
    <row r="696" customFormat="false" ht="12.75" hidden="false" customHeight="false" outlineLevel="0" collapsed="false"/>
    <row r="697" customFormat="false" ht="12.75" hidden="false" customHeight="false" outlineLevel="0" collapsed="false"/>
    <row r="698" customFormat="false" ht="12.75" hidden="false" customHeight="false" outlineLevel="0" collapsed="false"/>
    <row r="699" customFormat="false" ht="12.75" hidden="false" customHeight="false" outlineLevel="0" collapsed="false"/>
    <row r="700" customFormat="false" ht="12.75" hidden="false" customHeight="false" outlineLevel="0" collapsed="false"/>
    <row r="701" customFormat="false" ht="12.75" hidden="false" customHeight="false" outlineLevel="0" collapsed="false"/>
    <row r="702" customFormat="false" ht="12.75" hidden="false" customHeight="false" outlineLevel="0" collapsed="false"/>
    <row r="703" customFormat="false" ht="12.75" hidden="false" customHeight="false" outlineLevel="0" collapsed="false"/>
    <row r="704" customFormat="false" ht="12.75" hidden="false" customHeight="false" outlineLevel="0" collapsed="false"/>
    <row r="705" customFormat="false" ht="12.75" hidden="false" customHeight="false" outlineLevel="0" collapsed="false"/>
    <row r="706" customFormat="false" ht="12.75" hidden="false" customHeight="false" outlineLevel="0" collapsed="false"/>
    <row r="707" customFormat="false" ht="12.75" hidden="false" customHeight="false" outlineLevel="0" collapsed="false"/>
    <row r="708" customFormat="false" ht="12.75" hidden="false" customHeight="false" outlineLevel="0" collapsed="false"/>
    <row r="709" customFormat="false" ht="12.75" hidden="false" customHeight="false" outlineLevel="0" collapsed="false"/>
    <row r="710" customFormat="false" ht="12.75" hidden="false" customHeight="false" outlineLevel="0" collapsed="false"/>
    <row r="711" customFormat="false" ht="12.75" hidden="false" customHeight="false" outlineLevel="0" collapsed="false"/>
    <row r="712" customFormat="false" ht="12.75" hidden="false" customHeight="false" outlineLevel="0" collapsed="false"/>
    <row r="713" customFormat="false" ht="12.75" hidden="false" customHeight="false" outlineLevel="0" collapsed="false"/>
    <row r="714" customFormat="false" ht="12.75" hidden="false" customHeight="false" outlineLevel="0" collapsed="false"/>
    <row r="715" customFormat="false" ht="12.75" hidden="false" customHeight="false" outlineLevel="0" collapsed="false"/>
    <row r="716" customFormat="false" ht="12.75" hidden="false" customHeight="false" outlineLevel="0" collapsed="false"/>
    <row r="717" customFormat="false" ht="12.75" hidden="false" customHeight="false" outlineLevel="0" collapsed="false"/>
    <row r="718" customFormat="false" ht="12.75" hidden="false" customHeight="false" outlineLevel="0" collapsed="false"/>
    <row r="719" customFormat="false" ht="12.75" hidden="false" customHeight="false" outlineLevel="0" collapsed="false"/>
    <row r="720" customFormat="false" ht="12.75" hidden="false" customHeight="false" outlineLevel="0" collapsed="false"/>
    <row r="721" customFormat="false" ht="12.75" hidden="false" customHeight="false" outlineLevel="0" collapsed="false"/>
    <row r="722" customFormat="false" ht="12.75" hidden="false" customHeight="false" outlineLevel="0" collapsed="false"/>
    <row r="723" customFormat="false" ht="12.75" hidden="false" customHeight="false" outlineLevel="0" collapsed="false"/>
    <row r="724" customFormat="false" ht="12.75" hidden="false" customHeight="false" outlineLevel="0" collapsed="false"/>
    <row r="725" customFormat="false" ht="12.75" hidden="false" customHeight="false" outlineLevel="0" collapsed="false"/>
    <row r="726" customFormat="false" ht="12.75" hidden="false" customHeight="false" outlineLevel="0" collapsed="false"/>
    <row r="727" customFormat="false" ht="12.75" hidden="false" customHeight="false" outlineLevel="0" collapsed="false"/>
    <row r="728" customFormat="false" ht="12.75" hidden="false" customHeight="false" outlineLevel="0" collapsed="false"/>
    <row r="729" customFormat="false" ht="12.75" hidden="false" customHeight="false" outlineLevel="0" collapsed="false"/>
    <row r="730" customFormat="false" ht="12.75" hidden="false" customHeight="false" outlineLevel="0" collapsed="false"/>
    <row r="731" customFormat="false" ht="12.75" hidden="false" customHeight="false" outlineLevel="0" collapsed="false"/>
    <row r="732" customFormat="false" ht="12.75" hidden="false" customHeight="false" outlineLevel="0" collapsed="false"/>
    <row r="733" customFormat="false" ht="12.75" hidden="false" customHeight="false" outlineLevel="0" collapsed="false"/>
    <row r="734" customFormat="false" ht="12.75" hidden="false" customHeight="false" outlineLevel="0" collapsed="false"/>
    <row r="735" customFormat="false" ht="12.75" hidden="false" customHeight="false" outlineLevel="0" collapsed="false"/>
    <row r="736" customFormat="false" ht="12.75" hidden="false" customHeight="false" outlineLevel="0" collapsed="false"/>
    <row r="737" customFormat="false" ht="12.75" hidden="false" customHeight="false" outlineLevel="0" collapsed="false"/>
    <row r="738" customFormat="false" ht="12.75" hidden="false" customHeight="false" outlineLevel="0" collapsed="false"/>
    <row r="739" customFormat="false" ht="12.75" hidden="false" customHeight="false" outlineLevel="0" collapsed="false"/>
    <row r="740" customFormat="false" ht="12.75" hidden="false" customHeight="false" outlineLevel="0" collapsed="false"/>
    <row r="741" customFormat="false" ht="12.75" hidden="false" customHeight="false" outlineLevel="0" collapsed="false"/>
    <row r="742" customFormat="false" ht="12.75" hidden="false" customHeight="false" outlineLevel="0" collapsed="false"/>
    <row r="743" customFormat="false" ht="12.75" hidden="false" customHeight="false" outlineLevel="0" collapsed="false"/>
    <row r="744" customFormat="false" ht="12.75" hidden="false" customHeight="false" outlineLevel="0" collapsed="false"/>
    <row r="745" customFormat="false" ht="12.75" hidden="false" customHeight="false" outlineLevel="0" collapsed="false"/>
    <row r="746" customFormat="false" ht="12.75" hidden="false" customHeight="false" outlineLevel="0" collapsed="false"/>
    <row r="747" customFormat="false" ht="12.75" hidden="false" customHeight="false" outlineLevel="0" collapsed="false"/>
    <row r="748" customFormat="false" ht="12.75" hidden="false" customHeight="false" outlineLevel="0" collapsed="false"/>
    <row r="749" customFormat="false" ht="12.75" hidden="false" customHeight="false" outlineLevel="0" collapsed="false"/>
    <row r="750" customFormat="false" ht="12.75" hidden="false" customHeight="false" outlineLevel="0" collapsed="false"/>
    <row r="751" customFormat="false" ht="12.75" hidden="false" customHeight="false" outlineLevel="0" collapsed="false"/>
    <row r="752" customFormat="false" ht="12.75" hidden="false" customHeight="false" outlineLevel="0" collapsed="false"/>
    <row r="753" customFormat="false" ht="12.75" hidden="false" customHeight="false" outlineLevel="0" collapsed="false"/>
    <row r="754" customFormat="false" ht="12.75" hidden="false" customHeight="false" outlineLevel="0" collapsed="false"/>
    <row r="755" customFormat="false" ht="12.75" hidden="false" customHeight="false" outlineLevel="0" collapsed="false"/>
    <row r="756" customFormat="false" ht="12.75" hidden="false" customHeight="false" outlineLevel="0" collapsed="false"/>
    <row r="757" customFormat="false" ht="12.75" hidden="false" customHeight="false" outlineLevel="0" collapsed="false"/>
    <row r="758" customFormat="false" ht="12.75" hidden="false" customHeight="false" outlineLevel="0" collapsed="false"/>
    <row r="759" customFormat="false" ht="12.75" hidden="false" customHeight="false" outlineLevel="0" collapsed="false"/>
    <row r="760" customFormat="false" ht="12.75" hidden="false" customHeight="false" outlineLevel="0" collapsed="false"/>
    <row r="761" customFormat="false" ht="12.75" hidden="false" customHeight="false" outlineLevel="0" collapsed="false"/>
    <row r="762" customFormat="false" ht="12.75" hidden="false" customHeight="false" outlineLevel="0" collapsed="false"/>
    <row r="763" customFormat="false" ht="12.75" hidden="false" customHeight="false" outlineLevel="0" collapsed="false"/>
    <row r="764" customFormat="false" ht="12.75" hidden="false" customHeight="false" outlineLevel="0" collapsed="false"/>
    <row r="765" customFormat="false" ht="12.75" hidden="false" customHeight="false" outlineLevel="0" collapsed="false"/>
    <row r="766" customFormat="false" ht="12.75" hidden="false" customHeight="false" outlineLevel="0" collapsed="false"/>
    <row r="767" customFormat="false" ht="12.75" hidden="false" customHeight="false" outlineLevel="0" collapsed="false"/>
    <row r="768" customFormat="false" ht="12.75" hidden="false" customHeight="false" outlineLevel="0" collapsed="false"/>
    <row r="769" customFormat="false" ht="12.75" hidden="false" customHeight="false" outlineLevel="0" collapsed="false"/>
    <row r="770" customFormat="false" ht="12.75" hidden="false" customHeight="false" outlineLevel="0" collapsed="false"/>
    <row r="771" customFormat="false" ht="12.75" hidden="false" customHeight="false" outlineLevel="0" collapsed="false"/>
    <row r="772" customFormat="false" ht="12.75" hidden="false" customHeight="false" outlineLevel="0" collapsed="false"/>
    <row r="773" customFormat="false" ht="12.75" hidden="false" customHeight="false" outlineLevel="0" collapsed="false"/>
    <row r="774" customFormat="false" ht="12.75" hidden="false" customHeight="false" outlineLevel="0" collapsed="false"/>
    <row r="775" customFormat="false" ht="12.75" hidden="false" customHeight="false" outlineLevel="0" collapsed="false"/>
    <row r="776" customFormat="false" ht="12.75" hidden="false" customHeight="false" outlineLevel="0" collapsed="false"/>
    <row r="777" customFormat="false" ht="12.75" hidden="false" customHeight="false" outlineLevel="0" collapsed="false"/>
    <row r="778" customFormat="false" ht="12.75" hidden="false" customHeight="false" outlineLevel="0" collapsed="false"/>
    <row r="779" customFormat="false" ht="12.75" hidden="false" customHeight="false" outlineLevel="0" collapsed="false"/>
    <row r="780" customFormat="false" ht="12.75" hidden="false" customHeight="false" outlineLevel="0" collapsed="false"/>
    <row r="781" customFormat="false" ht="12.75" hidden="false" customHeight="false" outlineLevel="0" collapsed="false"/>
    <row r="782" customFormat="false" ht="12.75" hidden="false" customHeight="false" outlineLevel="0" collapsed="false"/>
    <row r="783" customFormat="false" ht="12.75" hidden="false" customHeight="false" outlineLevel="0" collapsed="false"/>
    <row r="784" customFormat="false" ht="12.75" hidden="false" customHeight="false" outlineLevel="0" collapsed="false"/>
    <row r="785" customFormat="false" ht="12.75" hidden="false" customHeight="false" outlineLevel="0" collapsed="false"/>
    <row r="786" customFormat="false" ht="12.75" hidden="false" customHeight="false" outlineLevel="0" collapsed="false"/>
    <row r="787" customFormat="false" ht="12.75" hidden="false" customHeight="false" outlineLevel="0" collapsed="false"/>
    <row r="788" customFormat="false" ht="12.75" hidden="false" customHeight="false" outlineLevel="0" collapsed="false"/>
    <row r="789" customFormat="false" ht="12.75" hidden="false" customHeight="false" outlineLevel="0" collapsed="false"/>
    <row r="790" customFormat="false" ht="12.75" hidden="false" customHeight="false" outlineLevel="0" collapsed="false"/>
    <row r="791" customFormat="false" ht="12.75" hidden="false" customHeight="false" outlineLevel="0" collapsed="false"/>
    <row r="792" customFormat="false" ht="12.75" hidden="false" customHeight="false" outlineLevel="0" collapsed="false"/>
    <row r="793" customFormat="false" ht="12.75" hidden="false" customHeight="false" outlineLevel="0" collapsed="false"/>
    <row r="794" customFormat="false" ht="12.75" hidden="false" customHeight="false" outlineLevel="0" collapsed="false"/>
    <row r="795" customFormat="false" ht="12.75" hidden="false" customHeight="false" outlineLevel="0" collapsed="false"/>
    <row r="796" customFormat="false" ht="12.75" hidden="false" customHeight="false" outlineLevel="0" collapsed="false"/>
    <row r="797" customFormat="false" ht="12.75" hidden="false" customHeight="false" outlineLevel="0" collapsed="false"/>
    <row r="798" customFormat="false" ht="12.75" hidden="false" customHeight="false" outlineLevel="0" collapsed="false"/>
    <row r="799" customFormat="false" ht="12.75" hidden="false" customHeight="false" outlineLevel="0" collapsed="false"/>
    <row r="800" customFormat="false" ht="12.75" hidden="false" customHeight="false" outlineLevel="0" collapsed="false"/>
    <row r="801" customFormat="false" ht="12.75" hidden="false" customHeight="false" outlineLevel="0" collapsed="false"/>
    <row r="802" customFormat="false" ht="12.75" hidden="false" customHeight="false" outlineLevel="0" collapsed="false"/>
    <row r="803" customFormat="false" ht="12.75" hidden="false" customHeight="false" outlineLevel="0" collapsed="false"/>
    <row r="804" customFormat="false" ht="12.75" hidden="false" customHeight="false" outlineLevel="0" collapsed="false"/>
    <row r="805" customFormat="false" ht="12.75" hidden="false" customHeight="false" outlineLevel="0" collapsed="false"/>
    <row r="806" customFormat="false" ht="12.75" hidden="false" customHeight="false" outlineLevel="0" collapsed="false"/>
    <row r="807" customFormat="false" ht="12.75" hidden="false" customHeight="false" outlineLevel="0" collapsed="false"/>
    <row r="808" customFormat="false" ht="12.75" hidden="false" customHeight="false" outlineLevel="0" collapsed="false"/>
    <row r="809" customFormat="false" ht="12.75" hidden="false" customHeight="false" outlineLevel="0" collapsed="false"/>
    <row r="810" customFormat="false" ht="12.75" hidden="false" customHeight="false" outlineLevel="0" collapsed="false"/>
    <row r="811" customFormat="false" ht="12.75" hidden="false" customHeight="false" outlineLevel="0" collapsed="false"/>
    <row r="812" customFormat="false" ht="12.75" hidden="false" customHeight="false" outlineLevel="0" collapsed="false"/>
    <row r="813" customFormat="false" ht="12.75" hidden="false" customHeight="false" outlineLevel="0" collapsed="false"/>
    <row r="814" customFormat="false" ht="12.75" hidden="false" customHeight="false" outlineLevel="0" collapsed="false"/>
    <row r="815" customFormat="false" ht="12.75" hidden="false" customHeight="false" outlineLevel="0" collapsed="false"/>
    <row r="816" customFormat="false" ht="12.75" hidden="false" customHeight="false" outlineLevel="0" collapsed="false"/>
    <row r="817" customFormat="false" ht="12.75" hidden="false" customHeight="false" outlineLevel="0" collapsed="false"/>
    <row r="818" customFormat="false" ht="12.75" hidden="false" customHeight="false" outlineLevel="0" collapsed="false"/>
    <row r="819" customFormat="false" ht="12.75" hidden="false" customHeight="false" outlineLevel="0" collapsed="false"/>
    <row r="820" customFormat="false" ht="12.75" hidden="false" customHeight="false" outlineLevel="0" collapsed="false"/>
    <row r="821" customFormat="false" ht="12.75" hidden="false" customHeight="false" outlineLevel="0" collapsed="false"/>
    <row r="822" customFormat="false" ht="12.75" hidden="false" customHeight="false" outlineLevel="0" collapsed="false"/>
    <row r="823" customFormat="false" ht="12.75" hidden="false" customHeight="false" outlineLevel="0" collapsed="false"/>
    <row r="824" customFormat="false" ht="12.75" hidden="false" customHeight="false" outlineLevel="0" collapsed="false"/>
    <row r="825" customFormat="false" ht="12.75" hidden="false" customHeight="false" outlineLevel="0" collapsed="false"/>
    <row r="826" customFormat="false" ht="12.75" hidden="false" customHeight="false" outlineLevel="0" collapsed="false"/>
    <row r="827" customFormat="false" ht="12.75" hidden="false" customHeight="false" outlineLevel="0" collapsed="false"/>
    <row r="828" customFormat="false" ht="12.75" hidden="false" customHeight="false" outlineLevel="0" collapsed="false"/>
    <row r="829" customFormat="false" ht="12.75" hidden="false" customHeight="false" outlineLevel="0" collapsed="false"/>
    <row r="830" customFormat="false" ht="12.75" hidden="false" customHeight="false" outlineLevel="0" collapsed="false"/>
    <row r="831" customFormat="false" ht="12.75" hidden="false" customHeight="false" outlineLevel="0" collapsed="false"/>
    <row r="832" customFormat="false" ht="12.75" hidden="false" customHeight="false" outlineLevel="0" collapsed="false"/>
    <row r="833" customFormat="false" ht="12.75" hidden="false" customHeight="false" outlineLevel="0" collapsed="false"/>
    <row r="834" customFormat="false" ht="12.75" hidden="false" customHeight="false" outlineLevel="0" collapsed="false"/>
    <row r="835" customFormat="false" ht="12.75" hidden="false" customHeight="false" outlineLevel="0" collapsed="false"/>
    <row r="836" customFormat="false" ht="12.75" hidden="false" customHeight="false" outlineLevel="0" collapsed="false"/>
    <row r="837" customFormat="false" ht="12.75" hidden="false" customHeight="false" outlineLevel="0" collapsed="false"/>
    <row r="838" customFormat="false" ht="12.75" hidden="false" customHeight="false" outlineLevel="0" collapsed="false"/>
    <row r="839" customFormat="false" ht="12.75" hidden="false" customHeight="false" outlineLevel="0" collapsed="false"/>
    <row r="840" customFormat="false" ht="12.75" hidden="false" customHeight="false" outlineLevel="0" collapsed="false"/>
    <row r="841" customFormat="false" ht="12.75" hidden="false" customHeight="false" outlineLevel="0" collapsed="false"/>
    <row r="842" customFormat="false" ht="12.75" hidden="false" customHeight="false" outlineLevel="0" collapsed="false"/>
    <row r="843" customFormat="false" ht="12.75" hidden="false" customHeight="false" outlineLevel="0" collapsed="false"/>
    <row r="844" customFormat="false" ht="12.75" hidden="false" customHeight="false" outlineLevel="0" collapsed="false"/>
    <row r="845" customFormat="false" ht="12.75" hidden="false" customHeight="false" outlineLevel="0" collapsed="false"/>
    <row r="846" customFormat="false" ht="12.75" hidden="false" customHeight="false" outlineLevel="0" collapsed="false"/>
    <row r="847" customFormat="false" ht="12.75" hidden="false" customHeight="false" outlineLevel="0" collapsed="false"/>
    <row r="848" customFormat="false" ht="12.75" hidden="false" customHeight="false" outlineLevel="0" collapsed="false"/>
    <row r="849" customFormat="false" ht="12.75" hidden="false" customHeight="false" outlineLevel="0" collapsed="false"/>
    <row r="850" customFormat="false" ht="12.75" hidden="false" customHeight="false" outlineLevel="0" collapsed="false"/>
    <row r="851" customFormat="false" ht="12.75" hidden="false" customHeight="false" outlineLevel="0" collapsed="false"/>
    <row r="852" customFormat="false" ht="12.75" hidden="false" customHeight="false" outlineLevel="0" collapsed="false"/>
    <row r="853" customFormat="false" ht="12.75" hidden="false" customHeight="false" outlineLevel="0" collapsed="false"/>
    <row r="854" customFormat="false" ht="12.75" hidden="false" customHeight="false" outlineLevel="0" collapsed="false"/>
    <row r="855" customFormat="false" ht="12.75" hidden="false" customHeight="false" outlineLevel="0" collapsed="false"/>
    <row r="856" customFormat="false" ht="12.75" hidden="false" customHeight="false" outlineLevel="0" collapsed="false"/>
    <row r="857" customFormat="false" ht="12.75" hidden="false" customHeight="false" outlineLevel="0" collapsed="false"/>
    <row r="858" customFormat="false" ht="12.75" hidden="false" customHeight="false" outlineLevel="0" collapsed="false"/>
    <row r="859" customFormat="false" ht="12.75" hidden="false" customHeight="false" outlineLevel="0" collapsed="false"/>
    <row r="860" customFormat="false" ht="12.75" hidden="false" customHeight="false" outlineLevel="0" collapsed="false"/>
    <row r="861" customFormat="false" ht="12.75" hidden="false" customHeight="false" outlineLevel="0" collapsed="false"/>
    <row r="862" customFormat="false" ht="12.75" hidden="false" customHeight="false" outlineLevel="0" collapsed="false"/>
    <row r="863" customFormat="false" ht="12.75" hidden="false" customHeight="false" outlineLevel="0" collapsed="false"/>
    <row r="864" customFormat="false" ht="12.75" hidden="false" customHeight="false" outlineLevel="0" collapsed="false"/>
    <row r="865" customFormat="false" ht="12.75" hidden="false" customHeight="false" outlineLevel="0" collapsed="false"/>
    <row r="866" customFormat="false" ht="12.75" hidden="false" customHeight="false" outlineLevel="0" collapsed="false"/>
    <row r="867" customFormat="false" ht="12.75" hidden="false" customHeight="false" outlineLevel="0" collapsed="false"/>
    <row r="868" customFormat="false" ht="12.75" hidden="false" customHeight="false" outlineLevel="0" collapsed="false"/>
    <row r="869" customFormat="false" ht="12.75" hidden="false" customHeight="false" outlineLevel="0" collapsed="false"/>
    <row r="870" customFormat="false" ht="12.75" hidden="false" customHeight="false" outlineLevel="0" collapsed="false"/>
    <row r="871" customFormat="false" ht="12.75" hidden="false" customHeight="false" outlineLevel="0" collapsed="false"/>
    <row r="872" customFormat="false" ht="12.75" hidden="false" customHeight="false" outlineLevel="0" collapsed="false"/>
    <row r="873" customFormat="false" ht="12.75" hidden="false" customHeight="false" outlineLevel="0" collapsed="false"/>
    <row r="874" customFormat="false" ht="12.75" hidden="false" customHeight="false" outlineLevel="0" collapsed="false"/>
    <row r="875" customFormat="false" ht="12.75" hidden="false" customHeight="false" outlineLevel="0" collapsed="false"/>
    <row r="876" customFormat="false" ht="12.75" hidden="false" customHeight="false" outlineLevel="0" collapsed="false"/>
    <row r="877" customFormat="false" ht="12.75" hidden="false" customHeight="false" outlineLevel="0" collapsed="false"/>
    <row r="878" customFormat="false" ht="12.75" hidden="false" customHeight="false" outlineLevel="0" collapsed="false"/>
    <row r="879" customFormat="false" ht="12.75" hidden="false" customHeight="false" outlineLevel="0" collapsed="false"/>
    <row r="880" customFormat="false" ht="12.75" hidden="false" customHeight="false" outlineLevel="0" collapsed="false"/>
    <row r="881" customFormat="false" ht="12.75" hidden="false" customHeight="false" outlineLevel="0" collapsed="false"/>
    <row r="882" customFormat="false" ht="12.75" hidden="false" customHeight="false" outlineLevel="0" collapsed="false"/>
    <row r="883" customFormat="false" ht="12.75" hidden="false" customHeight="false" outlineLevel="0" collapsed="false"/>
    <row r="884" customFormat="false" ht="12.75" hidden="false" customHeight="false" outlineLevel="0" collapsed="false"/>
    <row r="885" customFormat="false" ht="12.75" hidden="false" customHeight="false" outlineLevel="0" collapsed="false"/>
    <row r="886" customFormat="false" ht="12.75" hidden="false" customHeight="false" outlineLevel="0" collapsed="false"/>
    <row r="887" customFormat="false" ht="12.75" hidden="false" customHeight="false" outlineLevel="0" collapsed="false"/>
    <row r="888" customFormat="false" ht="12.75" hidden="false" customHeight="false" outlineLevel="0" collapsed="false"/>
    <row r="889" customFormat="false" ht="12.75" hidden="false" customHeight="false" outlineLevel="0" collapsed="false"/>
    <row r="890" customFormat="false" ht="12.75" hidden="false" customHeight="false" outlineLevel="0" collapsed="false"/>
    <row r="891" customFormat="false" ht="12.75" hidden="false" customHeight="false" outlineLevel="0" collapsed="false"/>
    <row r="892" customFormat="false" ht="12.75" hidden="false" customHeight="false" outlineLevel="0" collapsed="false"/>
    <row r="893" customFormat="false" ht="12.75" hidden="false" customHeight="false" outlineLevel="0" collapsed="false"/>
    <row r="894" customFormat="false" ht="12.75" hidden="false" customHeight="false" outlineLevel="0" collapsed="false"/>
    <row r="895" customFormat="false" ht="12.75" hidden="false" customHeight="false" outlineLevel="0" collapsed="false"/>
    <row r="896" customFormat="false" ht="12.75" hidden="false" customHeight="false" outlineLevel="0" collapsed="false"/>
    <row r="897" customFormat="false" ht="12.75" hidden="false" customHeight="false" outlineLevel="0" collapsed="false"/>
    <row r="898" customFormat="false" ht="12.75" hidden="false" customHeight="false" outlineLevel="0" collapsed="false"/>
    <row r="899" customFormat="false" ht="12.75" hidden="false" customHeight="false" outlineLevel="0" collapsed="false"/>
    <row r="900" customFormat="false" ht="12.75" hidden="false" customHeight="false" outlineLevel="0" collapsed="false"/>
    <row r="901" customFormat="false" ht="12.75" hidden="false" customHeight="false" outlineLevel="0" collapsed="false"/>
    <row r="902" customFormat="false" ht="12.75" hidden="false" customHeight="false" outlineLevel="0" collapsed="false"/>
    <row r="903" customFormat="false" ht="12.75" hidden="false" customHeight="false" outlineLevel="0" collapsed="false"/>
    <row r="904" customFormat="false" ht="12.75" hidden="false" customHeight="false" outlineLevel="0" collapsed="false"/>
    <row r="905" customFormat="false" ht="12.75" hidden="false" customHeight="false" outlineLevel="0" collapsed="false"/>
    <row r="906" customFormat="false" ht="12.75" hidden="false" customHeight="false" outlineLevel="0" collapsed="false"/>
    <row r="907" customFormat="false" ht="12.75" hidden="false" customHeight="false" outlineLevel="0" collapsed="false"/>
    <row r="908" customFormat="false" ht="12.75" hidden="false" customHeight="false" outlineLevel="0" collapsed="false"/>
    <row r="909" customFormat="false" ht="12.75" hidden="false" customHeight="false" outlineLevel="0" collapsed="false"/>
    <row r="910" customFormat="false" ht="12.75" hidden="false" customHeight="false" outlineLevel="0" collapsed="false"/>
    <row r="911" customFormat="false" ht="12.75" hidden="false" customHeight="false" outlineLevel="0" collapsed="false"/>
    <row r="912" customFormat="false" ht="12.75" hidden="false" customHeight="false" outlineLevel="0" collapsed="false"/>
    <row r="913" customFormat="false" ht="12.75" hidden="false" customHeight="false" outlineLevel="0" collapsed="false"/>
    <row r="914" customFormat="false" ht="12.75" hidden="false" customHeight="false" outlineLevel="0" collapsed="false"/>
    <row r="915" customFormat="false" ht="12.75" hidden="false" customHeight="false" outlineLevel="0" collapsed="false"/>
    <row r="916" customFormat="false" ht="12.75" hidden="false" customHeight="false" outlineLevel="0" collapsed="false"/>
    <row r="917" customFormat="false" ht="12.75" hidden="false" customHeight="false" outlineLevel="0" collapsed="false"/>
    <row r="918" customFormat="false" ht="12.75" hidden="false" customHeight="false" outlineLevel="0" collapsed="false"/>
    <row r="919" customFormat="false" ht="12.75" hidden="false" customHeight="false" outlineLevel="0" collapsed="false"/>
    <row r="920" customFormat="false" ht="12.75" hidden="false" customHeight="false" outlineLevel="0" collapsed="false"/>
    <row r="921" customFormat="false" ht="12.75" hidden="false" customHeight="false" outlineLevel="0" collapsed="false"/>
    <row r="922" customFormat="false" ht="12.75" hidden="false" customHeight="false" outlineLevel="0" collapsed="false"/>
    <row r="923" customFormat="false" ht="12.75" hidden="false" customHeight="false" outlineLevel="0" collapsed="false"/>
    <row r="924" customFormat="false" ht="12.75" hidden="false" customHeight="false" outlineLevel="0" collapsed="false"/>
    <row r="925" customFormat="false" ht="12.75" hidden="false" customHeight="false" outlineLevel="0" collapsed="false"/>
    <row r="926" customFormat="false" ht="12.75" hidden="false" customHeight="false" outlineLevel="0" collapsed="false"/>
    <row r="927" customFormat="false" ht="12.75" hidden="false" customHeight="false" outlineLevel="0" collapsed="false"/>
    <row r="928" customFormat="false" ht="12.75" hidden="false" customHeight="false" outlineLevel="0" collapsed="false"/>
    <row r="929" customFormat="false" ht="12.75" hidden="false" customHeight="false" outlineLevel="0" collapsed="false"/>
    <row r="930" customFormat="false" ht="12.75" hidden="false" customHeight="false" outlineLevel="0" collapsed="false"/>
    <row r="931" customFormat="false" ht="12.75" hidden="false" customHeight="false" outlineLevel="0" collapsed="false"/>
    <row r="932" customFormat="false" ht="12.75" hidden="false" customHeight="false" outlineLevel="0" collapsed="false"/>
    <row r="933" customFormat="false" ht="12.75" hidden="false" customHeight="false" outlineLevel="0" collapsed="false"/>
    <row r="934" customFormat="false" ht="12.75" hidden="false" customHeight="false" outlineLevel="0" collapsed="false"/>
    <row r="935" customFormat="false" ht="12.75" hidden="false" customHeight="false" outlineLevel="0" collapsed="false"/>
    <row r="936" customFormat="false" ht="12.75" hidden="false" customHeight="false" outlineLevel="0" collapsed="false"/>
    <row r="937" customFormat="false" ht="12.75" hidden="false" customHeight="false" outlineLevel="0" collapsed="false"/>
    <row r="938" customFormat="false" ht="12.75" hidden="false" customHeight="false" outlineLevel="0" collapsed="false"/>
    <row r="939" customFormat="false" ht="12.75" hidden="false" customHeight="false" outlineLevel="0" collapsed="false"/>
    <row r="940" customFormat="false" ht="12.75" hidden="false" customHeight="false" outlineLevel="0" collapsed="false"/>
    <row r="941" customFormat="false" ht="12.75" hidden="false" customHeight="false" outlineLevel="0" collapsed="false"/>
    <row r="942" customFormat="false" ht="12.75" hidden="false" customHeight="false" outlineLevel="0" collapsed="false"/>
    <row r="943" customFormat="false" ht="12.75" hidden="false" customHeight="false" outlineLevel="0" collapsed="false"/>
    <row r="944" customFormat="false" ht="12.75" hidden="false" customHeight="false" outlineLevel="0" collapsed="false"/>
    <row r="945" customFormat="false" ht="12.75" hidden="false" customHeight="false" outlineLevel="0" collapsed="false"/>
    <row r="946" customFormat="false" ht="12.75" hidden="false" customHeight="false" outlineLevel="0" collapsed="false"/>
    <row r="947" customFormat="false" ht="12.75" hidden="false" customHeight="false" outlineLevel="0" collapsed="false"/>
    <row r="948" customFormat="false" ht="12.75" hidden="false" customHeight="false" outlineLevel="0" collapsed="false"/>
    <row r="949" customFormat="false" ht="12.75" hidden="false" customHeight="false" outlineLevel="0" collapsed="false"/>
    <row r="950" customFormat="false" ht="12.75" hidden="false" customHeight="false" outlineLevel="0" collapsed="false"/>
    <row r="951" customFormat="false" ht="12.75" hidden="false" customHeight="false" outlineLevel="0" collapsed="false"/>
    <row r="952" customFormat="false" ht="12.75" hidden="false" customHeight="false" outlineLevel="0" collapsed="false"/>
    <row r="953" customFormat="false" ht="12.75" hidden="false" customHeight="false" outlineLevel="0" collapsed="false"/>
    <row r="954" customFormat="false" ht="12.75" hidden="false" customHeight="false" outlineLevel="0" collapsed="false"/>
    <row r="955" customFormat="false" ht="12.75" hidden="false" customHeight="false" outlineLevel="0" collapsed="false"/>
    <row r="956" customFormat="false" ht="12.75" hidden="false" customHeight="false" outlineLevel="0" collapsed="false"/>
    <row r="957" customFormat="false" ht="12.75" hidden="false" customHeight="false" outlineLevel="0" collapsed="false"/>
    <row r="958" customFormat="false" ht="12.75" hidden="false" customHeight="false" outlineLevel="0" collapsed="false"/>
    <row r="959" customFormat="false" ht="12.75" hidden="false" customHeight="false" outlineLevel="0" collapsed="false"/>
    <row r="960" customFormat="false" ht="12.75" hidden="false" customHeight="false" outlineLevel="0" collapsed="false"/>
    <row r="961" customFormat="false" ht="12.75" hidden="false" customHeight="false" outlineLevel="0" collapsed="false"/>
    <row r="962" customFormat="false" ht="12.75" hidden="false" customHeight="false" outlineLevel="0" collapsed="false"/>
    <row r="963" customFormat="false" ht="12.75" hidden="false" customHeight="false" outlineLevel="0" collapsed="false"/>
    <row r="964" customFormat="false" ht="12.75" hidden="false" customHeight="false" outlineLevel="0" collapsed="false"/>
    <row r="965" customFormat="false" ht="12.75" hidden="false" customHeight="false" outlineLevel="0" collapsed="false"/>
    <row r="966" customFormat="false" ht="12.75" hidden="false" customHeight="false" outlineLevel="0" collapsed="false"/>
    <row r="967" customFormat="false" ht="12.75" hidden="false" customHeight="false" outlineLevel="0" collapsed="false"/>
    <row r="968" customFormat="false" ht="12.75" hidden="false" customHeight="false" outlineLevel="0" collapsed="false"/>
    <row r="969" customFormat="false" ht="12.75" hidden="false" customHeight="false" outlineLevel="0" collapsed="false"/>
    <row r="970" customFormat="false" ht="12.75" hidden="false" customHeight="false" outlineLevel="0" collapsed="false"/>
    <row r="971" customFormat="false" ht="12.75" hidden="false" customHeight="false" outlineLevel="0" collapsed="false"/>
    <row r="972" customFormat="false" ht="12.75" hidden="false" customHeight="false" outlineLevel="0" collapsed="false"/>
    <row r="973" customFormat="false" ht="12.75" hidden="false" customHeight="false" outlineLevel="0" collapsed="false"/>
    <row r="974" customFormat="false" ht="12.75" hidden="false" customHeight="false" outlineLevel="0" collapsed="false"/>
    <row r="975" customFormat="false" ht="12.75" hidden="false" customHeight="false" outlineLevel="0" collapsed="false"/>
    <row r="976" customFormat="false" ht="12.75" hidden="false" customHeight="false" outlineLevel="0" collapsed="false"/>
    <row r="977" customFormat="false" ht="12.75" hidden="false" customHeight="false" outlineLevel="0" collapsed="false"/>
    <row r="978" customFormat="false" ht="12.75" hidden="false" customHeight="false" outlineLevel="0" collapsed="false"/>
    <row r="979" customFormat="false" ht="12.75" hidden="false" customHeight="false" outlineLevel="0" collapsed="false"/>
    <row r="980" customFormat="false" ht="12.75" hidden="false" customHeight="false" outlineLevel="0" collapsed="false"/>
    <row r="981" customFormat="false" ht="12.75" hidden="false" customHeight="false" outlineLevel="0" collapsed="false"/>
    <row r="982" customFormat="false" ht="12.75" hidden="false" customHeight="false" outlineLevel="0" collapsed="false"/>
    <row r="983" customFormat="false" ht="12.75" hidden="false" customHeight="false" outlineLevel="0" collapsed="false"/>
    <row r="984" customFormat="false" ht="12.75" hidden="false" customHeight="false" outlineLevel="0" collapsed="false"/>
    <row r="985" customFormat="false" ht="12.75" hidden="false" customHeight="false" outlineLevel="0" collapsed="false"/>
    <row r="986" customFormat="false" ht="12.75" hidden="false" customHeight="false" outlineLevel="0" collapsed="false"/>
    <row r="987" customFormat="false" ht="12.75" hidden="false" customHeight="false" outlineLevel="0" collapsed="false"/>
    <row r="988" customFormat="false" ht="12.75" hidden="false" customHeight="false" outlineLevel="0" collapsed="false"/>
    <row r="989" customFormat="false" ht="12.75" hidden="false" customHeight="false" outlineLevel="0" collapsed="false"/>
    <row r="990" customFormat="false" ht="12.75" hidden="false" customHeight="false" outlineLevel="0" collapsed="false"/>
    <row r="991" customFormat="false" ht="12.75" hidden="false" customHeight="false" outlineLevel="0" collapsed="false"/>
    <row r="992" customFormat="false" ht="12.75" hidden="false" customHeight="false" outlineLevel="0" collapsed="false"/>
    <row r="993" customFormat="false" ht="12.75" hidden="false" customHeight="false" outlineLevel="0" collapsed="false"/>
    <row r="994" customFormat="false" ht="12.75" hidden="false" customHeight="false" outlineLevel="0" collapsed="false"/>
    <row r="995" customFormat="false" ht="12.75" hidden="false" customHeight="false" outlineLevel="0" collapsed="false"/>
    <row r="996" customFormat="false" ht="12.75" hidden="false" customHeight="false" outlineLevel="0" collapsed="false"/>
    <row r="997" customFormat="false" ht="12.75" hidden="false" customHeight="false" outlineLevel="0" collapsed="false"/>
    <row r="998" customFormat="false" ht="12.75" hidden="false" customHeight="false" outlineLevel="0" collapsed="false"/>
    <row r="999" customFormat="false" ht="12.75" hidden="false" customHeight="false" outlineLevel="0" collapsed="false"/>
    <row r="1000" customFormat="false" ht="12.75" hidden="false" customHeight="false" outlineLevel="0" collapsed="false"/>
    <row r="1001" customFormat="false" ht="12.75" hidden="false" customHeight="false" outlineLevel="0" collapsed="false"/>
  </sheetData>
  <mergeCells count="4">
    <mergeCell ref="B3:B4"/>
    <mergeCell ref="F4:H5"/>
    <mergeCell ref="B6:B7"/>
    <mergeCell ref="B9:B15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RowHeight="15.75" zeroHeight="false" outlineLevelRow="0" outlineLevelCol="0"/>
  <cols>
    <col collapsed="false" customWidth="true" hidden="false" outlineLevel="0" max="1" min="1" style="22" width="14.43"/>
    <col collapsed="false" customWidth="true" hidden="false" outlineLevel="0" max="2" min="2" style="0" width="23.01"/>
    <col collapsed="false" customWidth="true" hidden="false" outlineLevel="0" max="1025" min="3" style="0" width="14.43"/>
  </cols>
  <sheetData>
    <row r="1" s="26" customFormat="true" ht="48" hidden="false" customHeight="true" outlineLevel="0" collapsed="false">
      <c r="A1" s="23"/>
      <c r="B1" s="23"/>
      <c r="C1" s="23"/>
      <c r="D1" s="23"/>
      <c r="E1" s="24" t="s">
        <v>20</v>
      </c>
      <c r="F1" s="24" t="n">
        <f aca="false">'Cadastro Institucional'!D$6</f>
        <v>0</v>
      </c>
      <c r="G1" s="25" t="n">
        <f aca="false">'Cadastro Institucional'!D$7</f>
        <v>0</v>
      </c>
      <c r="H1" s="13"/>
      <c r="I1" s="1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customFormat="false" ht="12.75" hidden="false" customHeight="false" outlineLevel="0" collapsed="false">
      <c r="A2" s="27" t="s">
        <v>14</v>
      </c>
      <c r="B2" s="27" t="s">
        <v>13</v>
      </c>
      <c r="C2" s="27" t="s">
        <v>15</v>
      </c>
      <c r="D2" s="27" t="s">
        <v>16</v>
      </c>
      <c r="E2" s="27" t="s">
        <v>17</v>
      </c>
      <c r="F2" s="27" t="s">
        <v>18</v>
      </c>
      <c r="G2" s="27" t="s">
        <v>19</v>
      </c>
      <c r="H2" s="28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customFormat="false" ht="12.75" hidden="false" customHeight="false" outlineLevel="0" collapsed="false">
      <c r="A3" s="30" t="n">
        <f aca="false">'Cadastro Institucional'!D$10</f>
        <v>0</v>
      </c>
      <c r="B3" s="31" t="n">
        <f aca="false">'Cadastro Institucional'!D$9</f>
        <v>0</v>
      </c>
      <c r="C3" s="31" t="n">
        <f aca="false">'Cadastro Institucional'!D$11</f>
        <v>0</v>
      </c>
      <c r="D3" s="32" t="n">
        <f aca="false">'Cadastro Institucional'!D$12</f>
        <v>0</v>
      </c>
      <c r="E3" s="31" t="n">
        <f aca="false">'Cadastro Institucional'!D$13</f>
        <v>0</v>
      </c>
      <c r="F3" s="31" t="n">
        <f aca="false">'Cadastro Institucional'!D$14</f>
        <v>0</v>
      </c>
      <c r="G3" s="33" t="n">
        <f aca="false">'Cadastro Institucional'!D$15</f>
        <v>0</v>
      </c>
      <c r="H3" s="28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customFormat="false" ht="12.75" hidden="false" customHeight="false" outlineLevel="0" collapsed="false">
      <c r="A4" s="34"/>
      <c r="B4" s="34"/>
      <c r="C4" s="35"/>
      <c r="D4" s="36"/>
      <c r="E4" s="35"/>
      <c r="F4" s="35"/>
      <c r="G4" s="35"/>
      <c r="H4" s="29"/>
      <c r="I4" s="29"/>
      <c r="J4" s="29"/>
      <c r="K4" s="29"/>
      <c r="L4" s="29"/>
      <c r="M4" s="29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 customFormat="false" ht="12.75" hidden="false" customHeight="false" outlineLevel="0" collapsed="false">
      <c r="A5" s="18" t="s">
        <v>21</v>
      </c>
      <c r="B5" s="18" t="s">
        <v>22</v>
      </c>
      <c r="C5" s="28"/>
      <c r="D5" s="29"/>
      <c r="E5" s="29"/>
      <c r="F5" s="29"/>
      <c r="G5" s="29"/>
      <c r="H5" s="29"/>
      <c r="I5" s="29"/>
      <c r="J5" s="29"/>
      <c r="K5" s="29"/>
      <c r="L5" s="29"/>
      <c r="M5" s="29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</row>
    <row r="6" customFormat="false" ht="12.75" hidden="false" customHeight="true" outlineLevel="0" collapsed="false">
      <c r="A6" s="38" t="n">
        <v>1</v>
      </c>
      <c r="B6" s="39"/>
      <c r="C6" s="28"/>
      <c r="D6" s="20" t="s">
        <v>8</v>
      </c>
      <c r="E6" s="20"/>
      <c r="F6" s="20"/>
      <c r="G6" s="29"/>
      <c r="H6" s="29"/>
      <c r="I6" s="29"/>
      <c r="J6" s="29"/>
      <c r="K6" s="29"/>
      <c r="L6" s="29"/>
      <c r="M6" s="29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customFormat="false" ht="12.75" hidden="false" customHeight="true" outlineLevel="0" collapsed="false">
      <c r="A7" s="38" t="n">
        <v>2</v>
      </c>
      <c r="B7" s="40"/>
      <c r="C7" s="28"/>
      <c r="D7" s="20"/>
      <c r="E7" s="20"/>
      <c r="F7" s="20"/>
      <c r="G7" s="29"/>
      <c r="H7" s="29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customFormat="false" ht="12.75" hidden="false" customHeight="false" outlineLevel="0" collapsed="false">
      <c r="A8" s="38" t="n">
        <v>3</v>
      </c>
      <c r="B8" s="40"/>
      <c r="C8" s="28"/>
      <c r="D8" s="29"/>
      <c r="E8" s="29"/>
      <c r="F8" s="29"/>
      <c r="G8" s="29"/>
      <c r="H8" s="29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customFormat="false" ht="12.75" hidden="false" customHeight="false" outlineLevel="0" collapsed="false">
      <c r="A9" s="38" t="n">
        <v>4</v>
      </c>
      <c r="B9" s="40"/>
      <c r="C9" s="28"/>
      <c r="D9" s="29"/>
      <c r="E9" s="29"/>
      <c r="F9" s="29"/>
      <c r="G9" s="29"/>
      <c r="H9" s="29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 customFormat="false" ht="12.75" hidden="false" customHeight="false" outlineLevel="0" collapsed="false">
      <c r="A10" s="38" t="n">
        <v>5</v>
      </c>
      <c r="B10" s="40"/>
      <c r="C10" s="28"/>
      <c r="D10" s="29"/>
      <c r="E10" s="29"/>
      <c r="F10" s="29"/>
      <c r="G10" s="29"/>
      <c r="H10" s="29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 customFormat="false" ht="12.75" hidden="false" customHeight="false" outlineLevel="0" collapsed="false">
      <c r="A11" s="38" t="n">
        <v>6</v>
      </c>
      <c r="B11" s="40"/>
      <c r="C11" s="28"/>
      <c r="D11" s="29"/>
      <c r="E11" s="29"/>
      <c r="F11" s="29"/>
      <c r="G11" s="29"/>
      <c r="H11" s="29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 customFormat="false" ht="12.75" hidden="false" customHeight="false" outlineLevel="0" collapsed="false">
      <c r="A12" s="38" t="n">
        <v>7</v>
      </c>
      <c r="B12" s="40"/>
      <c r="C12" s="28"/>
      <c r="D12" s="29"/>
      <c r="E12" s="29"/>
      <c r="F12" s="29"/>
      <c r="G12" s="29"/>
      <c r="H12" s="29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 customFormat="false" ht="12.75" hidden="false" customHeight="false" outlineLevel="0" collapsed="false">
      <c r="A13" s="38" t="n">
        <v>8</v>
      </c>
      <c r="B13" s="40"/>
      <c r="C13" s="28"/>
      <c r="D13" s="29"/>
      <c r="E13" s="29"/>
      <c r="F13" s="29"/>
      <c r="G13" s="29"/>
      <c r="H13" s="29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customFormat="false" ht="12.75" hidden="false" customHeight="false" outlineLevel="0" collapsed="false">
      <c r="A14" s="38" t="n">
        <v>9</v>
      </c>
      <c r="B14" s="40"/>
      <c r="C14" s="28"/>
      <c r="D14" s="29"/>
      <c r="E14" s="29"/>
      <c r="F14" s="29"/>
      <c r="G14" s="29"/>
      <c r="H14" s="29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 customFormat="false" ht="12.75" hidden="false" customHeight="false" outlineLevel="0" collapsed="false">
      <c r="A15" s="38" t="n">
        <v>10</v>
      </c>
      <c r="B15" s="40"/>
      <c r="C15" s="28"/>
      <c r="D15" s="29"/>
      <c r="E15" s="29"/>
      <c r="F15" s="29"/>
      <c r="G15" s="29"/>
      <c r="H15" s="29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customFormat="false" ht="12.75" hidden="false" customHeight="false" outlineLevel="0" collapsed="false">
      <c r="A16" s="38" t="n">
        <v>11</v>
      </c>
      <c r="B16" s="40"/>
      <c r="C16" s="28"/>
      <c r="D16" s="29"/>
      <c r="E16" s="29"/>
      <c r="F16" s="29"/>
      <c r="G16" s="29"/>
      <c r="H16" s="29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7" customFormat="false" ht="12.75" hidden="false" customHeight="false" outlineLevel="0" collapsed="false">
      <c r="A17" s="38" t="n">
        <v>12</v>
      </c>
      <c r="B17" s="40"/>
      <c r="C17" s="28"/>
      <c r="D17" s="29"/>
      <c r="E17" s="29"/>
      <c r="F17" s="29"/>
      <c r="G17" s="29"/>
      <c r="H17" s="29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</row>
    <row r="18" customFormat="false" ht="12.75" hidden="false" customHeight="false" outlineLevel="0" collapsed="false">
      <c r="A18" s="38" t="n">
        <v>13</v>
      </c>
      <c r="B18" s="40"/>
      <c r="C18" s="28"/>
      <c r="D18" s="29"/>
      <c r="E18" s="29"/>
      <c r="F18" s="29"/>
      <c r="G18" s="29"/>
      <c r="H18" s="29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</row>
    <row r="19" customFormat="false" ht="12.75" hidden="false" customHeight="false" outlineLevel="0" collapsed="false">
      <c r="A19" s="38" t="n">
        <v>14</v>
      </c>
      <c r="B19" s="40"/>
      <c r="C19" s="28"/>
      <c r="D19" s="29"/>
      <c r="E19" s="29"/>
      <c r="F19" s="29"/>
      <c r="G19" s="29"/>
      <c r="H19" s="29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</row>
    <row r="20" customFormat="false" ht="12.75" hidden="false" customHeight="false" outlineLevel="0" collapsed="false">
      <c r="A20" s="38" t="n">
        <v>15</v>
      </c>
      <c r="B20" s="40"/>
      <c r="C20" s="28"/>
      <c r="D20" s="29"/>
      <c r="E20" s="29"/>
      <c r="F20" s="29"/>
      <c r="G20" s="29"/>
      <c r="H20" s="29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</row>
    <row r="21" customFormat="false" ht="12.75" hidden="false" customHeight="false" outlineLevel="0" collapsed="false">
      <c r="A21" s="38" t="n">
        <v>16</v>
      </c>
      <c r="B21" s="40"/>
      <c r="C21" s="28"/>
      <c r="D21" s="29"/>
      <c r="E21" s="29"/>
      <c r="F21" s="29"/>
      <c r="G21" s="29"/>
      <c r="H21" s="29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customFormat="false" ht="12.75" hidden="false" customHeight="false" outlineLevel="0" collapsed="false">
      <c r="A22" s="38" t="n">
        <v>17</v>
      </c>
      <c r="B22" s="40"/>
      <c r="C22" s="28"/>
      <c r="D22" s="29"/>
      <c r="E22" s="29"/>
      <c r="F22" s="29"/>
      <c r="G22" s="29"/>
      <c r="H22" s="29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  <row r="23" customFormat="false" ht="12.75" hidden="false" customHeight="false" outlineLevel="0" collapsed="false">
      <c r="A23" s="38" t="n">
        <v>18</v>
      </c>
      <c r="B23" s="40"/>
      <c r="C23" s="28"/>
      <c r="D23" s="29"/>
      <c r="E23" s="29"/>
      <c r="F23" s="29"/>
      <c r="G23" s="29"/>
      <c r="H23" s="29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</row>
    <row r="24" customFormat="false" ht="12.75" hidden="false" customHeight="false" outlineLevel="0" collapsed="false">
      <c r="A24" s="38" t="n">
        <v>19</v>
      </c>
      <c r="B24" s="40"/>
      <c r="C24" s="28"/>
      <c r="D24" s="29"/>
      <c r="E24" s="29"/>
      <c r="F24" s="29"/>
      <c r="G24" s="29"/>
      <c r="H24" s="29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</row>
    <row r="25" customFormat="false" ht="12.75" hidden="false" customHeight="false" outlineLevel="0" collapsed="false">
      <c r="A25" s="38" t="n">
        <v>20</v>
      </c>
      <c r="B25" s="40"/>
      <c r="C25" s="28"/>
      <c r="D25" s="29"/>
      <c r="E25" s="29"/>
      <c r="F25" s="29"/>
      <c r="G25" s="29"/>
      <c r="H25" s="29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</row>
    <row r="26" customFormat="false" ht="12.75" hidden="false" customHeight="false" outlineLevel="0" collapsed="false"/>
    <row r="27" customFormat="false" ht="12.75" hidden="false" customHeight="false" outlineLevel="0" collapsed="false"/>
    <row r="28" customFormat="false" ht="12.75" hidden="false" customHeight="false" outlineLevel="0" collapsed="false"/>
    <row r="29" customFormat="false" ht="12.75" hidden="false" customHeight="false" outlineLevel="0" collapsed="false"/>
    <row r="30" customFormat="false" ht="12.75" hidden="false" customHeight="false" outlineLevel="0" collapsed="false"/>
    <row r="31" customFormat="false" ht="12.75" hidden="false" customHeight="false" outlineLevel="0" collapsed="false"/>
    <row r="32" customFormat="false" ht="12.75" hidden="false" customHeight="false" outlineLevel="0" collapsed="false"/>
    <row r="33" customFormat="false" ht="12.75" hidden="false" customHeight="false" outlineLevel="0" collapsed="false"/>
    <row r="34" customFormat="false" ht="12.75" hidden="false" customHeight="false" outlineLevel="0" collapsed="false"/>
    <row r="35" customFormat="false" ht="12.75" hidden="false" customHeight="false" outlineLevel="0" collapsed="false"/>
    <row r="36" customFormat="false" ht="12.75" hidden="false" customHeight="false" outlineLevel="0" collapsed="false"/>
    <row r="37" customFormat="false" ht="12.75" hidden="false" customHeight="false" outlineLevel="0" collapsed="false"/>
    <row r="38" customFormat="false" ht="12.75" hidden="false" customHeight="false" outlineLevel="0" collapsed="false"/>
    <row r="39" customFormat="false" ht="12.75" hidden="false" customHeight="false" outlineLevel="0" collapsed="false"/>
    <row r="40" customFormat="false" ht="12.75" hidden="false" customHeight="false" outlineLevel="0" collapsed="false"/>
    <row r="41" customFormat="false" ht="12.75" hidden="false" customHeight="false" outlineLevel="0" collapsed="false"/>
    <row r="42" customFormat="false" ht="12.75" hidden="false" customHeight="false" outlineLevel="0" collapsed="false"/>
    <row r="43" customFormat="false" ht="12.75" hidden="false" customHeight="false" outlineLevel="0" collapsed="false"/>
    <row r="44" customFormat="false" ht="12.75" hidden="false" customHeight="false" outlineLevel="0" collapsed="false"/>
    <row r="45" customFormat="false" ht="12.75" hidden="false" customHeight="false" outlineLevel="0" collapsed="false"/>
    <row r="46" customFormat="false" ht="12.75" hidden="false" customHeight="false" outlineLevel="0" collapsed="false"/>
    <row r="47" customFormat="false" ht="12.75" hidden="false" customHeight="false" outlineLevel="0" collapsed="false"/>
    <row r="48" customFormat="false" ht="12.75" hidden="false" customHeight="false" outlineLevel="0" collapsed="false"/>
    <row r="49" customFormat="false" ht="12.75" hidden="false" customHeight="false" outlineLevel="0" collapsed="false"/>
    <row r="50" customFormat="false" ht="12.75" hidden="false" customHeight="false" outlineLevel="0" collapsed="false"/>
    <row r="51" customFormat="false" ht="12.75" hidden="false" customHeight="false" outlineLevel="0" collapsed="false"/>
    <row r="52" customFormat="false" ht="12.75" hidden="false" customHeight="false" outlineLevel="0" collapsed="false"/>
    <row r="53" customFormat="false" ht="12.75" hidden="false" customHeight="false" outlineLevel="0" collapsed="false"/>
    <row r="54" customFormat="false" ht="12.75" hidden="false" customHeight="false" outlineLevel="0" collapsed="false"/>
    <row r="55" customFormat="false" ht="12.75" hidden="false" customHeight="false" outlineLevel="0" collapsed="false"/>
    <row r="56" customFormat="false" ht="12.75" hidden="false" customHeight="false" outlineLevel="0" collapsed="false"/>
    <row r="57" customFormat="false" ht="12.75" hidden="false" customHeight="false" outlineLevel="0" collapsed="false"/>
    <row r="58" customFormat="false" ht="12.75" hidden="false" customHeight="false" outlineLevel="0" collapsed="false"/>
    <row r="59" customFormat="false" ht="12.75" hidden="false" customHeight="false" outlineLevel="0" collapsed="false"/>
    <row r="60" customFormat="false" ht="12.75" hidden="false" customHeight="false" outlineLevel="0" collapsed="false"/>
    <row r="61" customFormat="false" ht="12.75" hidden="false" customHeight="false" outlineLevel="0" collapsed="false"/>
    <row r="62" customFormat="false" ht="12.75" hidden="false" customHeight="false" outlineLevel="0" collapsed="false"/>
    <row r="63" customFormat="false" ht="12.75" hidden="false" customHeight="false" outlineLevel="0" collapsed="false"/>
    <row r="64" customFormat="false" ht="12.75" hidden="false" customHeight="false" outlineLevel="0" collapsed="false"/>
    <row r="65" customFormat="false" ht="12.75" hidden="false" customHeight="false" outlineLevel="0" collapsed="false"/>
    <row r="66" customFormat="false" ht="12.75" hidden="false" customHeight="false" outlineLevel="0" collapsed="false"/>
    <row r="67" customFormat="false" ht="12.75" hidden="false" customHeight="false" outlineLevel="0" collapsed="false"/>
    <row r="68" customFormat="false" ht="12.75" hidden="false" customHeight="false" outlineLevel="0" collapsed="false"/>
    <row r="69" customFormat="false" ht="12.75" hidden="false" customHeight="false" outlineLevel="0" collapsed="false"/>
    <row r="70" customFormat="false" ht="12.75" hidden="false" customHeight="false" outlineLevel="0" collapsed="false"/>
    <row r="71" customFormat="false" ht="12.75" hidden="false" customHeight="false" outlineLevel="0" collapsed="false"/>
    <row r="72" customFormat="false" ht="12.75" hidden="false" customHeight="false" outlineLevel="0" collapsed="false"/>
    <row r="73" customFormat="false" ht="12.75" hidden="false" customHeight="false" outlineLevel="0" collapsed="false"/>
    <row r="74" customFormat="false" ht="12.75" hidden="false" customHeight="false" outlineLevel="0" collapsed="false"/>
    <row r="75" customFormat="false" ht="12.75" hidden="false" customHeight="false" outlineLevel="0" collapsed="false"/>
    <row r="76" customFormat="false" ht="12.75" hidden="false" customHeight="false" outlineLevel="0" collapsed="false"/>
    <row r="77" customFormat="false" ht="12.75" hidden="false" customHeight="false" outlineLevel="0" collapsed="false"/>
    <row r="78" customFormat="false" ht="12.75" hidden="false" customHeight="false" outlineLevel="0" collapsed="false"/>
    <row r="79" customFormat="false" ht="12.75" hidden="false" customHeight="false" outlineLevel="0" collapsed="false"/>
    <row r="80" customFormat="false" ht="12.75" hidden="false" customHeight="false" outlineLevel="0" collapsed="false"/>
    <row r="81" customFormat="false" ht="12.75" hidden="false" customHeight="false" outlineLevel="0" collapsed="false"/>
    <row r="82" customFormat="false" ht="12.75" hidden="false" customHeight="false" outlineLevel="0" collapsed="false"/>
    <row r="83" customFormat="false" ht="12.75" hidden="false" customHeight="false" outlineLevel="0" collapsed="false"/>
    <row r="84" customFormat="false" ht="12.75" hidden="false" customHeight="false" outlineLevel="0" collapsed="false"/>
    <row r="85" customFormat="false" ht="12.75" hidden="false" customHeight="false" outlineLevel="0" collapsed="false"/>
    <row r="86" customFormat="false" ht="12.75" hidden="false" customHeight="false" outlineLevel="0" collapsed="false"/>
    <row r="87" customFormat="false" ht="12.75" hidden="false" customHeight="false" outlineLevel="0" collapsed="false"/>
    <row r="88" customFormat="false" ht="12.75" hidden="false" customHeight="false" outlineLevel="0" collapsed="false"/>
    <row r="89" customFormat="false" ht="12.75" hidden="false" customHeight="false" outlineLevel="0" collapsed="false"/>
    <row r="90" customFormat="false" ht="12.75" hidden="false" customHeight="false" outlineLevel="0" collapsed="false"/>
    <row r="91" customFormat="false" ht="12.75" hidden="false" customHeight="false" outlineLevel="0" collapsed="false"/>
    <row r="92" customFormat="false" ht="12.75" hidden="false" customHeight="false" outlineLevel="0" collapsed="false"/>
    <row r="93" customFormat="false" ht="12.75" hidden="false" customHeight="false" outlineLevel="0" collapsed="false"/>
    <row r="94" customFormat="false" ht="12.75" hidden="false" customHeight="false" outlineLevel="0" collapsed="false"/>
    <row r="95" customFormat="false" ht="12.75" hidden="false" customHeight="false" outlineLevel="0" collapsed="false"/>
    <row r="96" customFormat="false" ht="12.75" hidden="false" customHeight="false" outlineLevel="0" collapsed="false"/>
    <row r="97" customFormat="false" ht="12.75" hidden="false" customHeight="false" outlineLevel="0" collapsed="false"/>
    <row r="98" customFormat="false" ht="12.75" hidden="false" customHeight="false" outlineLevel="0" collapsed="false"/>
    <row r="99" customFormat="false" ht="12.75" hidden="false" customHeight="false" outlineLevel="0" collapsed="false"/>
    <row r="100" customFormat="false" ht="12.75" hidden="false" customHeight="false" outlineLevel="0" collapsed="false"/>
    <row r="101" customFormat="false" ht="12.75" hidden="false" customHeight="false" outlineLevel="0" collapsed="false"/>
    <row r="102" customFormat="false" ht="12.75" hidden="false" customHeight="false" outlineLevel="0" collapsed="false"/>
    <row r="103" customFormat="false" ht="12.75" hidden="false" customHeight="false" outlineLevel="0" collapsed="false"/>
    <row r="104" customFormat="false" ht="12.75" hidden="false" customHeight="false" outlineLevel="0" collapsed="false"/>
    <row r="105" customFormat="false" ht="12.75" hidden="false" customHeight="false" outlineLevel="0" collapsed="false"/>
    <row r="106" customFormat="false" ht="12.75" hidden="false" customHeight="false" outlineLevel="0" collapsed="false"/>
    <row r="107" customFormat="false" ht="12.75" hidden="false" customHeight="false" outlineLevel="0" collapsed="false"/>
    <row r="108" customFormat="false" ht="12.75" hidden="false" customHeight="false" outlineLevel="0" collapsed="false"/>
    <row r="109" customFormat="false" ht="12.75" hidden="false" customHeight="false" outlineLevel="0" collapsed="false"/>
    <row r="110" customFormat="false" ht="12.75" hidden="false" customHeight="false" outlineLevel="0" collapsed="false"/>
    <row r="111" customFormat="false" ht="12.75" hidden="false" customHeight="false" outlineLevel="0" collapsed="false"/>
    <row r="112" customFormat="false" ht="12.75" hidden="false" customHeight="false" outlineLevel="0" collapsed="false"/>
    <row r="113" customFormat="false" ht="12.75" hidden="false" customHeight="false" outlineLevel="0" collapsed="false"/>
    <row r="114" customFormat="false" ht="12.75" hidden="false" customHeight="false" outlineLevel="0" collapsed="false"/>
    <row r="115" customFormat="false" ht="12.75" hidden="false" customHeight="false" outlineLevel="0" collapsed="false"/>
    <row r="116" customFormat="false" ht="12.75" hidden="false" customHeight="false" outlineLevel="0" collapsed="false"/>
    <row r="117" customFormat="false" ht="12.75" hidden="false" customHeight="false" outlineLevel="0" collapsed="false"/>
    <row r="118" customFormat="false" ht="12.75" hidden="false" customHeight="false" outlineLevel="0" collapsed="false"/>
    <row r="119" customFormat="false" ht="12.75" hidden="false" customHeight="false" outlineLevel="0" collapsed="false"/>
    <row r="120" customFormat="false" ht="12.75" hidden="false" customHeight="false" outlineLevel="0" collapsed="false"/>
    <row r="121" customFormat="false" ht="12.75" hidden="false" customHeight="false" outlineLevel="0" collapsed="false"/>
    <row r="122" customFormat="false" ht="12.75" hidden="false" customHeight="false" outlineLevel="0" collapsed="false"/>
    <row r="123" customFormat="false" ht="12.75" hidden="false" customHeight="false" outlineLevel="0" collapsed="false"/>
    <row r="124" customFormat="false" ht="12.75" hidden="false" customHeight="false" outlineLevel="0" collapsed="false"/>
    <row r="125" customFormat="false" ht="12.75" hidden="false" customHeight="false" outlineLevel="0" collapsed="false"/>
    <row r="126" customFormat="false" ht="12.75" hidden="false" customHeight="false" outlineLevel="0" collapsed="false"/>
    <row r="127" customFormat="false" ht="12.75" hidden="false" customHeight="false" outlineLevel="0" collapsed="false"/>
    <row r="128" customFormat="false" ht="12.75" hidden="false" customHeight="false" outlineLevel="0" collapsed="false"/>
    <row r="129" customFormat="false" ht="12.75" hidden="false" customHeight="false" outlineLevel="0" collapsed="false"/>
    <row r="130" customFormat="false" ht="12.75" hidden="false" customHeight="false" outlineLevel="0" collapsed="false"/>
    <row r="131" customFormat="false" ht="12.75" hidden="false" customHeight="false" outlineLevel="0" collapsed="false"/>
    <row r="132" customFormat="false" ht="12.75" hidden="false" customHeight="false" outlineLevel="0" collapsed="false"/>
    <row r="133" customFormat="false" ht="12.75" hidden="false" customHeight="false" outlineLevel="0" collapsed="false"/>
    <row r="134" customFormat="false" ht="12.75" hidden="false" customHeight="false" outlineLevel="0" collapsed="false"/>
    <row r="135" customFormat="false" ht="12.75" hidden="false" customHeight="false" outlineLevel="0" collapsed="false"/>
    <row r="136" customFormat="false" ht="12.75" hidden="false" customHeight="false" outlineLevel="0" collapsed="false"/>
    <row r="137" customFormat="false" ht="12.75" hidden="false" customHeight="false" outlineLevel="0" collapsed="false"/>
    <row r="138" customFormat="false" ht="12.75" hidden="false" customHeight="false" outlineLevel="0" collapsed="false"/>
    <row r="139" customFormat="false" ht="12.75" hidden="false" customHeight="false" outlineLevel="0" collapsed="false"/>
    <row r="140" customFormat="false" ht="12.75" hidden="false" customHeight="false" outlineLevel="0" collapsed="false"/>
    <row r="141" customFormat="false" ht="12.75" hidden="false" customHeight="false" outlineLevel="0" collapsed="false"/>
    <row r="142" customFormat="false" ht="12.75" hidden="false" customHeight="false" outlineLevel="0" collapsed="false"/>
    <row r="143" customFormat="false" ht="12.75" hidden="false" customHeight="false" outlineLevel="0" collapsed="false"/>
    <row r="144" customFormat="false" ht="12.75" hidden="false" customHeight="false" outlineLevel="0" collapsed="false"/>
    <row r="145" customFormat="false" ht="12.75" hidden="false" customHeight="false" outlineLevel="0" collapsed="false"/>
    <row r="146" customFormat="false" ht="12.75" hidden="false" customHeight="false" outlineLevel="0" collapsed="false"/>
    <row r="147" customFormat="false" ht="12.75" hidden="false" customHeight="false" outlineLevel="0" collapsed="false"/>
    <row r="148" customFormat="false" ht="12.75" hidden="false" customHeight="false" outlineLevel="0" collapsed="false"/>
    <row r="149" customFormat="false" ht="12.75" hidden="false" customHeight="false" outlineLevel="0" collapsed="false"/>
    <row r="150" customFormat="false" ht="12.75" hidden="false" customHeight="false" outlineLevel="0" collapsed="false"/>
    <row r="151" customFormat="false" ht="12.75" hidden="false" customHeight="false" outlineLevel="0" collapsed="false"/>
    <row r="152" customFormat="false" ht="12.75" hidden="false" customHeight="false" outlineLevel="0" collapsed="false"/>
    <row r="153" customFormat="false" ht="12.75" hidden="false" customHeight="false" outlineLevel="0" collapsed="false"/>
    <row r="154" customFormat="false" ht="12.75" hidden="false" customHeight="false" outlineLevel="0" collapsed="false"/>
    <row r="155" customFormat="false" ht="12.75" hidden="false" customHeight="false" outlineLevel="0" collapsed="false"/>
    <row r="156" customFormat="false" ht="12.75" hidden="false" customHeight="false" outlineLevel="0" collapsed="false"/>
    <row r="157" customFormat="false" ht="12.75" hidden="false" customHeight="false" outlineLevel="0" collapsed="false"/>
    <row r="158" customFormat="false" ht="12.75" hidden="false" customHeight="false" outlineLevel="0" collapsed="false"/>
    <row r="159" customFormat="false" ht="12.75" hidden="false" customHeight="false" outlineLevel="0" collapsed="false"/>
    <row r="160" customFormat="false" ht="12.75" hidden="false" customHeight="false" outlineLevel="0" collapsed="false"/>
    <row r="161" customFormat="false" ht="12.75" hidden="false" customHeight="false" outlineLevel="0" collapsed="false"/>
    <row r="162" customFormat="false" ht="12.75" hidden="false" customHeight="false" outlineLevel="0" collapsed="false"/>
    <row r="163" customFormat="false" ht="12.75" hidden="false" customHeight="false" outlineLevel="0" collapsed="false"/>
    <row r="164" customFormat="false" ht="12.75" hidden="false" customHeight="false" outlineLevel="0" collapsed="false"/>
    <row r="165" customFormat="false" ht="12.75" hidden="false" customHeight="false" outlineLevel="0" collapsed="false"/>
    <row r="166" customFormat="false" ht="12.75" hidden="false" customHeight="false" outlineLevel="0" collapsed="false"/>
    <row r="167" customFormat="false" ht="12.75" hidden="false" customHeight="false" outlineLevel="0" collapsed="false"/>
    <row r="168" customFormat="false" ht="12.75" hidden="false" customHeight="false" outlineLevel="0" collapsed="false"/>
    <row r="169" customFormat="false" ht="12.75" hidden="false" customHeight="false" outlineLevel="0" collapsed="false"/>
    <row r="170" customFormat="false" ht="12.75" hidden="false" customHeight="false" outlineLevel="0" collapsed="false"/>
    <row r="171" customFormat="false" ht="12.75" hidden="false" customHeight="false" outlineLevel="0" collapsed="false"/>
    <row r="172" customFormat="false" ht="12.75" hidden="false" customHeight="false" outlineLevel="0" collapsed="false"/>
    <row r="173" customFormat="false" ht="12.75" hidden="false" customHeight="false" outlineLevel="0" collapsed="false"/>
    <row r="174" customFormat="false" ht="12.75" hidden="false" customHeight="false" outlineLevel="0" collapsed="false"/>
    <row r="175" customFormat="false" ht="12.75" hidden="false" customHeight="false" outlineLevel="0" collapsed="false"/>
    <row r="176" customFormat="false" ht="12.75" hidden="false" customHeight="false" outlineLevel="0" collapsed="false"/>
    <row r="177" customFormat="false" ht="12.75" hidden="false" customHeight="false" outlineLevel="0" collapsed="false"/>
    <row r="178" customFormat="false" ht="12.75" hidden="false" customHeight="false" outlineLevel="0" collapsed="false"/>
    <row r="179" customFormat="false" ht="12.75" hidden="false" customHeight="false" outlineLevel="0" collapsed="false"/>
    <row r="180" customFormat="false" ht="12.75" hidden="false" customHeight="false" outlineLevel="0" collapsed="false"/>
    <row r="181" customFormat="false" ht="12.75" hidden="false" customHeight="false" outlineLevel="0" collapsed="false"/>
    <row r="182" customFormat="false" ht="12.75" hidden="false" customHeight="false" outlineLevel="0" collapsed="false"/>
    <row r="183" customFormat="false" ht="12.75" hidden="false" customHeight="false" outlineLevel="0" collapsed="false"/>
    <row r="184" customFormat="false" ht="12.75" hidden="false" customHeight="false" outlineLevel="0" collapsed="false"/>
    <row r="185" customFormat="false" ht="12.75" hidden="false" customHeight="false" outlineLevel="0" collapsed="false"/>
    <row r="186" customFormat="false" ht="12.75" hidden="false" customHeight="false" outlineLevel="0" collapsed="false"/>
    <row r="187" customFormat="false" ht="12.75" hidden="false" customHeight="false" outlineLevel="0" collapsed="false"/>
    <row r="188" customFormat="false" ht="12.75" hidden="false" customHeight="false" outlineLevel="0" collapsed="false"/>
    <row r="189" customFormat="false" ht="12.75" hidden="false" customHeight="false" outlineLevel="0" collapsed="false"/>
    <row r="190" customFormat="false" ht="12.75" hidden="false" customHeight="false" outlineLevel="0" collapsed="false"/>
    <row r="191" customFormat="false" ht="12.75" hidden="false" customHeight="false" outlineLevel="0" collapsed="false"/>
    <row r="192" customFormat="false" ht="12.75" hidden="false" customHeight="false" outlineLevel="0" collapsed="false"/>
    <row r="193" customFormat="false" ht="12.75" hidden="false" customHeight="false" outlineLevel="0" collapsed="false"/>
    <row r="194" customFormat="false" ht="12.75" hidden="false" customHeight="false" outlineLevel="0" collapsed="false"/>
    <row r="195" customFormat="false" ht="12.75" hidden="false" customHeight="false" outlineLevel="0" collapsed="false"/>
    <row r="196" customFormat="false" ht="12.75" hidden="false" customHeight="false" outlineLevel="0" collapsed="false"/>
    <row r="197" customFormat="false" ht="12.75" hidden="false" customHeight="false" outlineLevel="0" collapsed="false"/>
    <row r="198" customFormat="false" ht="12.75" hidden="false" customHeight="false" outlineLevel="0" collapsed="false"/>
    <row r="199" customFormat="false" ht="12.75" hidden="false" customHeight="false" outlineLevel="0" collapsed="false"/>
    <row r="200" customFormat="false" ht="12.75" hidden="false" customHeight="false" outlineLevel="0" collapsed="false"/>
    <row r="201" customFormat="false" ht="12.75" hidden="false" customHeight="false" outlineLevel="0" collapsed="false"/>
    <row r="202" customFormat="false" ht="12.75" hidden="false" customHeight="false" outlineLevel="0" collapsed="false"/>
    <row r="203" customFormat="false" ht="12.75" hidden="false" customHeight="false" outlineLevel="0" collapsed="false"/>
    <row r="204" customFormat="false" ht="12.75" hidden="false" customHeight="false" outlineLevel="0" collapsed="false"/>
    <row r="205" customFormat="false" ht="12.75" hidden="false" customHeight="false" outlineLevel="0" collapsed="false"/>
    <row r="206" customFormat="false" ht="12.75" hidden="false" customHeight="false" outlineLevel="0" collapsed="false"/>
    <row r="207" customFormat="false" ht="12.75" hidden="false" customHeight="false" outlineLevel="0" collapsed="false"/>
    <row r="208" customFormat="false" ht="12.75" hidden="false" customHeight="false" outlineLevel="0" collapsed="false"/>
    <row r="209" customFormat="false" ht="12.75" hidden="false" customHeight="false" outlineLevel="0" collapsed="false"/>
    <row r="210" customFormat="false" ht="12.75" hidden="false" customHeight="false" outlineLevel="0" collapsed="false"/>
    <row r="211" customFormat="false" ht="12.75" hidden="false" customHeight="false" outlineLevel="0" collapsed="false"/>
    <row r="212" customFormat="false" ht="12.75" hidden="false" customHeight="false" outlineLevel="0" collapsed="false"/>
    <row r="213" customFormat="false" ht="12.75" hidden="false" customHeight="false" outlineLevel="0" collapsed="false"/>
    <row r="214" customFormat="false" ht="12.75" hidden="false" customHeight="false" outlineLevel="0" collapsed="false"/>
    <row r="215" customFormat="false" ht="12.75" hidden="false" customHeight="false" outlineLevel="0" collapsed="false"/>
    <row r="216" customFormat="false" ht="12.75" hidden="false" customHeight="false" outlineLevel="0" collapsed="false"/>
    <row r="217" customFormat="false" ht="12.75" hidden="false" customHeight="false" outlineLevel="0" collapsed="false"/>
    <row r="218" customFormat="false" ht="12.75" hidden="false" customHeight="false" outlineLevel="0" collapsed="false"/>
    <row r="219" customFormat="false" ht="12.75" hidden="false" customHeight="false" outlineLevel="0" collapsed="false"/>
    <row r="220" customFormat="false" ht="12.75" hidden="false" customHeight="false" outlineLevel="0" collapsed="false"/>
    <row r="221" customFormat="false" ht="12.75" hidden="false" customHeight="false" outlineLevel="0" collapsed="false"/>
    <row r="222" customFormat="false" ht="12.75" hidden="false" customHeight="false" outlineLevel="0" collapsed="false"/>
    <row r="223" customFormat="false" ht="12.75" hidden="false" customHeight="false" outlineLevel="0" collapsed="false"/>
    <row r="224" customFormat="false" ht="12.75" hidden="false" customHeight="false" outlineLevel="0" collapsed="false"/>
    <row r="225" customFormat="false" ht="12.75" hidden="false" customHeight="false" outlineLevel="0" collapsed="false"/>
    <row r="226" customFormat="false" ht="12.75" hidden="false" customHeight="false" outlineLevel="0" collapsed="false"/>
    <row r="227" customFormat="false" ht="12.75" hidden="false" customHeight="false" outlineLevel="0" collapsed="false"/>
    <row r="228" customFormat="false" ht="12.75" hidden="false" customHeight="false" outlineLevel="0" collapsed="false"/>
    <row r="229" customFormat="false" ht="12.75" hidden="false" customHeight="false" outlineLevel="0" collapsed="false"/>
    <row r="230" customFormat="false" ht="12.75" hidden="false" customHeight="false" outlineLevel="0" collapsed="false"/>
    <row r="231" customFormat="false" ht="12.75" hidden="false" customHeight="false" outlineLevel="0" collapsed="false"/>
    <row r="232" customFormat="false" ht="12.75" hidden="false" customHeight="false" outlineLevel="0" collapsed="false"/>
    <row r="233" customFormat="false" ht="12.75" hidden="false" customHeight="false" outlineLevel="0" collapsed="false"/>
    <row r="234" customFormat="false" ht="12.75" hidden="false" customHeight="false" outlineLevel="0" collapsed="false"/>
    <row r="235" customFormat="false" ht="12.75" hidden="false" customHeight="false" outlineLevel="0" collapsed="false"/>
    <row r="236" customFormat="false" ht="12.75" hidden="false" customHeight="false" outlineLevel="0" collapsed="false"/>
    <row r="237" customFormat="false" ht="12.75" hidden="false" customHeight="false" outlineLevel="0" collapsed="false"/>
    <row r="238" customFormat="false" ht="12.75" hidden="false" customHeight="false" outlineLevel="0" collapsed="false"/>
    <row r="239" customFormat="false" ht="12.75" hidden="false" customHeight="false" outlineLevel="0" collapsed="false"/>
    <row r="240" customFormat="false" ht="12.75" hidden="false" customHeight="false" outlineLevel="0" collapsed="false"/>
    <row r="241" customFormat="false" ht="12.75" hidden="false" customHeight="false" outlineLevel="0" collapsed="false"/>
    <row r="242" customFormat="false" ht="12.75" hidden="false" customHeight="false" outlineLevel="0" collapsed="false"/>
    <row r="243" customFormat="false" ht="12.75" hidden="false" customHeight="false" outlineLevel="0" collapsed="false"/>
    <row r="244" customFormat="false" ht="12.75" hidden="false" customHeight="false" outlineLevel="0" collapsed="false"/>
    <row r="245" customFormat="false" ht="12.75" hidden="false" customHeight="false" outlineLevel="0" collapsed="false"/>
    <row r="246" customFormat="false" ht="12.75" hidden="false" customHeight="false" outlineLevel="0" collapsed="false"/>
    <row r="247" customFormat="false" ht="12.75" hidden="false" customHeight="false" outlineLevel="0" collapsed="false"/>
    <row r="248" customFormat="false" ht="12.75" hidden="false" customHeight="false" outlineLevel="0" collapsed="false"/>
    <row r="249" customFormat="false" ht="12.75" hidden="false" customHeight="false" outlineLevel="0" collapsed="false"/>
    <row r="250" customFormat="false" ht="12.75" hidden="false" customHeight="false" outlineLevel="0" collapsed="false"/>
    <row r="251" customFormat="false" ht="12.75" hidden="false" customHeight="false" outlineLevel="0" collapsed="false"/>
    <row r="252" customFormat="false" ht="12.75" hidden="false" customHeight="false" outlineLevel="0" collapsed="false"/>
    <row r="253" customFormat="false" ht="12.75" hidden="false" customHeight="false" outlineLevel="0" collapsed="false"/>
    <row r="254" customFormat="false" ht="12.75" hidden="false" customHeight="false" outlineLevel="0" collapsed="false"/>
    <row r="255" customFormat="false" ht="12.75" hidden="false" customHeight="false" outlineLevel="0" collapsed="false"/>
    <row r="256" customFormat="false" ht="12.75" hidden="false" customHeight="false" outlineLevel="0" collapsed="false"/>
    <row r="257" customFormat="false" ht="12.75" hidden="false" customHeight="false" outlineLevel="0" collapsed="false"/>
    <row r="258" customFormat="false" ht="12.75" hidden="false" customHeight="false" outlineLevel="0" collapsed="false"/>
    <row r="259" customFormat="false" ht="12.75" hidden="false" customHeight="false" outlineLevel="0" collapsed="false"/>
    <row r="260" customFormat="false" ht="12.75" hidden="false" customHeight="false" outlineLevel="0" collapsed="false"/>
    <row r="261" customFormat="false" ht="12.75" hidden="false" customHeight="false" outlineLevel="0" collapsed="false"/>
    <row r="262" customFormat="false" ht="12.75" hidden="false" customHeight="false" outlineLevel="0" collapsed="false"/>
    <row r="263" customFormat="false" ht="12.75" hidden="false" customHeight="false" outlineLevel="0" collapsed="false"/>
    <row r="264" customFormat="false" ht="12.75" hidden="false" customHeight="false" outlineLevel="0" collapsed="false"/>
    <row r="265" customFormat="false" ht="12.75" hidden="false" customHeight="false" outlineLevel="0" collapsed="false"/>
    <row r="266" customFormat="false" ht="12.75" hidden="false" customHeight="false" outlineLevel="0" collapsed="false"/>
    <row r="267" customFormat="false" ht="12.75" hidden="false" customHeight="false" outlineLevel="0" collapsed="false"/>
    <row r="268" customFormat="false" ht="12.75" hidden="false" customHeight="false" outlineLevel="0" collapsed="false"/>
    <row r="269" customFormat="false" ht="12.75" hidden="false" customHeight="false" outlineLevel="0" collapsed="false"/>
    <row r="270" customFormat="false" ht="12.75" hidden="false" customHeight="false" outlineLevel="0" collapsed="false"/>
    <row r="271" customFormat="false" ht="12.75" hidden="false" customHeight="false" outlineLevel="0" collapsed="false"/>
    <row r="272" customFormat="false" ht="12.75" hidden="false" customHeight="false" outlineLevel="0" collapsed="false"/>
    <row r="273" customFormat="false" ht="12.75" hidden="false" customHeight="fals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12.75" hidden="false" customHeight="false" outlineLevel="0" collapsed="false"/>
    <row r="283" customFormat="false" ht="12.75" hidden="false" customHeight="false" outlineLevel="0" collapsed="false"/>
    <row r="284" customFormat="false" ht="12.75" hidden="false" customHeight="fals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12.75" hidden="false" customHeight="false" outlineLevel="0" collapsed="false"/>
    <row r="291" customFormat="false" ht="12.75" hidden="false" customHeight="false" outlineLevel="0" collapsed="false"/>
    <row r="292" customFormat="false" ht="12.75" hidden="false" customHeight="false" outlineLevel="0" collapsed="false"/>
    <row r="293" customFormat="false" ht="12.75" hidden="false" customHeight="false" outlineLevel="0" collapsed="false"/>
    <row r="294" customFormat="false" ht="12.75" hidden="false" customHeight="false" outlineLevel="0" collapsed="false"/>
    <row r="295" customFormat="false" ht="12.75" hidden="false" customHeight="fals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12.75" hidden="false" customHeight="false" outlineLevel="0" collapsed="false"/>
    <row r="299" customFormat="false" ht="12.75" hidden="false" customHeight="false" outlineLevel="0" collapsed="false"/>
    <row r="300" customFormat="false" ht="12.75" hidden="false" customHeight="fals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12.75" hidden="false" customHeight="false" outlineLevel="0" collapsed="false"/>
    <row r="308" customFormat="false" ht="12.75" hidden="false" customHeight="false" outlineLevel="0" collapsed="false"/>
    <row r="309" customFormat="false" ht="12.75" hidden="false" customHeight="false" outlineLevel="0" collapsed="false"/>
    <row r="310" customFormat="false" ht="12.75" hidden="false" customHeight="false" outlineLevel="0" collapsed="false"/>
    <row r="311" customFormat="false" ht="12.75" hidden="false" customHeight="false" outlineLevel="0" collapsed="false"/>
    <row r="312" customFormat="false" ht="12.75" hidden="false" customHeight="false" outlineLevel="0" collapsed="false"/>
    <row r="313" customFormat="false" ht="12.75" hidden="false" customHeight="false" outlineLevel="0" collapsed="false"/>
    <row r="314" customFormat="false" ht="12.75" hidden="false" customHeight="fals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12.75" hidden="false" customHeight="fals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  <row r="344" customFormat="false" ht="12.75" hidden="false" customHeight="false" outlineLevel="0" collapsed="false"/>
    <row r="345" customFormat="false" ht="12.75" hidden="false" customHeight="false" outlineLevel="0" collapsed="false"/>
    <row r="346" customFormat="false" ht="12.75" hidden="false" customHeight="false" outlineLevel="0" collapsed="false"/>
    <row r="347" customFormat="false" ht="12.75" hidden="false" customHeight="false" outlineLevel="0" collapsed="false"/>
    <row r="348" customFormat="false" ht="12.75" hidden="false" customHeight="false" outlineLevel="0" collapsed="false"/>
    <row r="349" customFormat="false" ht="12.75" hidden="false" customHeight="false" outlineLevel="0" collapsed="false"/>
    <row r="350" customFormat="false" ht="12.75" hidden="false" customHeight="false" outlineLevel="0" collapsed="false"/>
    <row r="351" customFormat="false" ht="12.75" hidden="false" customHeight="false" outlineLevel="0" collapsed="false"/>
    <row r="352" customFormat="false" ht="12.75" hidden="false" customHeight="false" outlineLevel="0" collapsed="false"/>
    <row r="353" customFormat="false" ht="12.75" hidden="false" customHeight="false" outlineLevel="0" collapsed="false"/>
    <row r="354" customFormat="false" ht="12.75" hidden="false" customHeight="false" outlineLevel="0" collapsed="false"/>
    <row r="355" customFormat="false" ht="12.75" hidden="false" customHeight="false" outlineLevel="0" collapsed="false"/>
    <row r="356" customFormat="false" ht="12.75" hidden="false" customHeight="false" outlineLevel="0" collapsed="false"/>
    <row r="357" customFormat="false" ht="12.75" hidden="false" customHeight="false" outlineLevel="0" collapsed="false"/>
    <row r="358" customFormat="false" ht="12.75" hidden="false" customHeight="false" outlineLevel="0" collapsed="false"/>
    <row r="359" customFormat="false" ht="12.75" hidden="false" customHeight="false" outlineLevel="0" collapsed="false"/>
    <row r="360" customFormat="false" ht="12.75" hidden="false" customHeight="false" outlineLevel="0" collapsed="false"/>
    <row r="361" customFormat="false" ht="12.75" hidden="false" customHeight="false" outlineLevel="0" collapsed="false"/>
    <row r="362" customFormat="false" ht="12.75" hidden="false" customHeight="false" outlineLevel="0" collapsed="false"/>
    <row r="363" customFormat="false" ht="12.75" hidden="false" customHeight="false" outlineLevel="0" collapsed="false"/>
    <row r="364" customFormat="false" ht="12.75" hidden="false" customHeight="false" outlineLevel="0" collapsed="false"/>
    <row r="365" customFormat="false" ht="12.75" hidden="false" customHeight="false" outlineLevel="0" collapsed="false"/>
    <row r="366" customFormat="false" ht="12.75" hidden="false" customHeight="false" outlineLevel="0" collapsed="false"/>
    <row r="367" customFormat="false" ht="12.75" hidden="false" customHeight="false" outlineLevel="0" collapsed="false"/>
    <row r="368" customFormat="false" ht="12.75" hidden="false" customHeight="false" outlineLevel="0" collapsed="false"/>
    <row r="369" customFormat="false" ht="12.75" hidden="false" customHeight="false" outlineLevel="0" collapsed="false"/>
    <row r="370" customFormat="false" ht="12.75" hidden="false" customHeight="false" outlineLevel="0" collapsed="false"/>
    <row r="371" customFormat="false" ht="12.75" hidden="false" customHeight="false" outlineLevel="0" collapsed="false"/>
    <row r="372" customFormat="false" ht="12.75" hidden="false" customHeight="false" outlineLevel="0" collapsed="false"/>
    <row r="373" customFormat="false" ht="12.75" hidden="false" customHeight="false" outlineLevel="0" collapsed="false"/>
    <row r="374" customFormat="false" ht="12.75" hidden="false" customHeight="false" outlineLevel="0" collapsed="false"/>
    <row r="375" customFormat="false" ht="12.75" hidden="false" customHeight="false" outlineLevel="0" collapsed="false"/>
    <row r="376" customFormat="false" ht="12.75" hidden="false" customHeight="false" outlineLevel="0" collapsed="false"/>
    <row r="377" customFormat="false" ht="12.75" hidden="false" customHeight="false" outlineLevel="0" collapsed="false"/>
    <row r="378" customFormat="false" ht="12.75" hidden="false" customHeight="false" outlineLevel="0" collapsed="false"/>
    <row r="379" customFormat="false" ht="12.75" hidden="false" customHeight="false" outlineLevel="0" collapsed="false"/>
    <row r="380" customFormat="false" ht="12.75" hidden="false" customHeight="false" outlineLevel="0" collapsed="false"/>
    <row r="381" customFormat="false" ht="12.75" hidden="false" customHeight="false" outlineLevel="0" collapsed="false"/>
    <row r="382" customFormat="false" ht="12.75" hidden="false" customHeight="false" outlineLevel="0" collapsed="false"/>
    <row r="383" customFormat="false" ht="12.75" hidden="false" customHeight="false" outlineLevel="0" collapsed="false"/>
    <row r="384" customFormat="false" ht="12.75" hidden="false" customHeight="false" outlineLevel="0" collapsed="false"/>
    <row r="385" customFormat="false" ht="12.75" hidden="false" customHeight="false" outlineLevel="0" collapsed="false"/>
    <row r="386" customFormat="false" ht="12.75" hidden="false" customHeight="false" outlineLevel="0" collapsed="false"/>
    <row r="387" customFormat="false" ht="12.75" hidden="false" customHeight="false" outlineLevel="0" collapsed="false"/>
    <row r="388" customFormat="false" ht="12.75" hidden="false" customHeight="false" outlineLevel="0" collapsed="false"/>
    <row r="389" customFormat="false" ht="12.75" hidden="false" customHeight="false" outlineLevel="0" collapsed="false"/>
    <row r="390" customFormat="false" ht="12.75" hidden="false" customHeight="false" outlineLevel="0" collapsed="false"/>
    <row r="391" customFormat="false" ht="12.75" hidden="false" customHeight="false" outlineLevel="0" collapsed="false"/>
    <row r="392" customFormat="false" ht="12.75" hidden="false" customHeight="false" outlineLevel="0" collapsed="false"/>
    <row r="393" customFormat="false" ht="12.75" hidden="false" customHeight="false" outlineLevel="0" collapsed="false"/>
    <row r="394" customFormat="false" ht="12.75" hidden="false" customHeight="false" outlineLevel="0" collapsed="false"/>
    <row r="395" customFormat="false" ht="12.75" hidden="false" customHeight="false" outlineLevel="0" collapsed="false"/>
    <row r="396" customFormat="false" ht="12.75" hidden="false" customHeight="false" outlineLevel="0" collapsed="false"/>
    <row r="397" customFormat="false" ht="12.75" hidden="false" customHeight="false" outlineLevel="0" collapsed="false"/>
    <row r="398" customFormat="false" ht="12.75" hidden="false" customHeight="false" outlineLevel="0" collapsed="false"/>
    <row r="399" customFormat="false" ht="12.75" hidden="false" customHeight="false" outlineLevel="0" collapsed="false"/>
    <row r="400" customFormat="false" ht="12.75" hidden="false" customHeight="false" outlineLevel="0" collapsed="false"/>
    <row r="401" customFormat="false" ht="12.75" hidden="false" customHeight="false" outlineLevel="0" collapsed="false"/>
    <row r="402" customFormat="false" ht="12.75" hidden="false" customHeight="false" outlineLevel="0" collapsed="false"/>
    <row r="403" customFormat="false" ht="12.75" hidden="false" customHeight="false" outlineLevel="0" collapsed="false"/>
    <row r="404" customFormat="false" ht="12.75" hidden="false" customHeight="false" outlineLevel="0" collapsed="false"/>
    <row r="405" customFormat="false" ht="12.75" hidden="false" customHeight="false" outlineLevel="0" collapsed="false"/>
    <row r="406" customFormat="false" ht="12.75" hidden="false" customHeight="false" outlineLevel="0" collapsed="false"/>
    <row r="407" customFormat="false" ht="12.75" hidden="false" customHeight="false" outlineLevel="0" collapsed="false"/>
    <row r="408" customFormat="false" ht="12.75" hidden="false" customHeight="false" outlineLevel="0" collapsed="false"/>
    <row r="409" customFormat="false" ht="12.75" hidden="false" customHeight="false" outlineLevel="0" collapsed="false"/>
    <row r="410" customFormat="false" ht="12.75" hidden="false" customHeight="false" outlineLevel="0" collapsed="false"/>
    <row r="411" customFormat="false" ht="12.75" hidden="false" customHeight="false" outlineLevel="0" collapsed="false"/>
    <row r="412" customFormat="false" ht="12.75" hidden="false" customHeight="false" outlineLevel="0" collapsed="false"/>
    <row r="413" customFormat="false" ht="12.75" hidden="false" customHeight="false" outlineLevel="0" collapsed="false"/>
    <row r="414" customFormat="false" ht="12.75" hidden="false" customHeight="false" outlineLevel="0" collapsed="false"/>
    <row r="415" customFormat="false" ht="12.75" hidden="false" customHeight="false" outlineLevel="0" collapsed="false"/>
    <row r="416" customFormat="false" ht="12.75" hidden="false" customHeight="false" outlineLevel="0" collapsed="false"/>
    <row r="417" customFormat="false" ht="12.75" hidden="false" customHeight="false" outlineLevel="0" collapsed="false"/>
    <row r="418" customFormat="false" ht="12.75" hidden="false" customHeight="false" outlineLevel="0" collapsed="false"/>
    <row r="419" customFormat="false" ht="12.75" hidden="false" customHeight="false" outlineLevel="0" collapsed="false"/>
    <row r="420" customFormat="false" ht="12.75" hidden="false" customHeight="false" outlineLevel="0" collapsed="false"/>
    <row r="421" customFormat="false" ht="12.75" hidden="false" customHeight="false" outlineLevel="0" collapsed="false"/>
    <row r="422" customFormat="false" ht="12.75" hidden="false" customHeight="false" outlineLevel="0" collapsed="false"/>
    <row r="423" customFormat="false" ht="12.75" hidden="false" customHeight="false" outlineLevel="0" collapsed="false"/>
    <row r="424" customFormat="false" ht="12.75" hidden="false" customHeight="false" outlineLevel="0" collapsed="false"/>
    <row r="425" customFormat="false" ht="12.75" hidden="false" customHeight="false" outlineLevel="0" collapsed="false"/>
    <row r="426" customFormat="false" ht="12.75" hidden="false" customHeight="false" outlineLevel="0" collapsed="false"/>
    <row r="427" customFormat="false" ht="12.75" hidden="false" customHeight="false" outlineLevel="0" collapsed="false"/>
    <row r="428" customFormat="false" ht="12.75" hidden="false" customHeight="false" outlineLevel="0" collapsed="false"/>
    <row r="429" customFormat="false" ht="12.75" hidden="false" customHeight="false" outlineLevel="0" collapsed="false"/>
    <row r="430" customFormat="false" ht="12.75" hidden="false" customHeight="false" outlineLevel="0" collapsed="false"/>
    <row r="431" customFormat="false" ht="12.75" hidden="false" customHeight="false" outlineLevel="0" collapsed="false"/>
    <row r="432" customFormat="false" ht="12.75" hidden="false" customHeight="false" outlineLevel="0" collapsed="false"/>
    <row r="433" customFormat="false" ht="12.75" hidden="false" customHeight="false" outlineLevel="0" collapsed="false"/>
    <row r="434" customFormat="false" ht="12.75" hidden="false" customHeight="false" outlineLevel="0" collapsed="false"/>
    <row r="435" customFormat="false" ht="12.75" hidden="false" customHeight="false" outlineLevel="0" collapsed="false"/>
    <row r="436" customFormat="false" ht="12.75" hidden="false" customHeight="false" outlineLevel="0" collapsed="false"/>
    <row r="437" customFormat="false" ht="12.75" hidden="false" customHeight="false" outlineLevel="0" collapsed="false"/>
    <row r="438" customFormat="false" ht="12.75" hidden="false" customHeight="false" outlineLevel="0" collapsed="false"/>
    <row r="439" customFormat="false" ht="12.75" hidden="false" customHeight="false" outlineLevel="0" collapsed="false"/>
    <row r="440" customFormat="false" ht="12.75" hidden="false" customHeight="false" outlineLevel="0" collapsed="false"/>
    <row r="441" customFormat="false" ht="12.75" hidden="false" customHeight="false" outlineLevel="0" collapsed="false"/>
    <row r="442" customFormat="false" ht="12.75" hidden="false" customHeight="false" outlineLevel="0" collapsed="false"/>
    <row r="443" customFormat="false" ht="12.75" hidden="false" customHeight="false" outlineLevel="0" collapsed="false"/>
    <row r="444" customFormat="false" ht="12.75" hidden="false" customHeight="false" outlineLevel="0" collapsed="false"/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/>
    <row r="455" customFormat="false" ht="12.75" hidden="false" customHeight="false" outlineLevel="0" collapsed="false"/>
    <row r="456" customFormat="false" ht="12.75" hidden="false" customHeight="false" outlineLevel="0" collapsed="false"/>
    <row r="457" customFormat="false" ht="12.75" hidden="false" customHeight="false" outlineLevel="0" collapsed="false"/>
    <row r="458" customFormat="false" ht="12.75" hidden="false" customHeight="false" outlineLevel="0" collapsed="false"/>
    <row r="459" customFormat="false" ht="12.75" hidden="false" customHeight="false" outlineLevel="0" collapsed="false"/>
    <row r="460" customFormat="false" ht="12.75" hidden="false" customHeight="false" outlineLevel="0" collapsed="false"/>
    <row r="461" customFormat="false" ht="12.75" hidden="false" customHeight="false" outlineLevel="0" collapsed="false"/>
    <row r="462" customFormat="false" ht="12.75" hidden="false" customHeight="false" outlineLevel="0" collapsed="false"/>
    <row r="463" customFormat="false" ht="12.75" hidden="false" customHeight="false" outlineLevel="0" collapsed="false"/>
    <row r="464" customFormat="false" ht="12.75" hidden="false" customHeight="false" outlineLevel="0" collapsed="false"/>
    <row r="465" customFormat="false" ht="12.75" hidden="false" customHeight="false" outlineLevel="0" collapsed="false"/>
    <row r="466" customFormat="false" ht="12.75" hidden="false" customHeight="false" outlineLevel="0" collapsed="false"/>
    <row r="467" customFormat="false" ht="12.75" hidden="false" customHeight="false" outlineLevel="0" collapsed="false"/>
    <row r="468" customFormat="false" ht="12.75" hidden="false" customHeight="false" outlineLevel="0" collapsed="false"/>
    <row r="469" customFormat="false" ht="12.75" hidden="false" customHeight="false" outlineLevel="0" collapsed="false"/>
    <row r="470" customFormat="false" ht="12.75" hidden="false" customHeight="false" outlineLevel="0" collapsed="false"/>
    <row r="471" customFormat="false" ht="12.75" hidden="false" customHeight="false" outlineLevel="0" collapsed="false"/>
    <row r="472" customFormat="false" ht="12.75" hidden="false" customHeight="false" outlineLevel="0" collapsed="false"/>
    <row r="473" customFormat="false" ht="12.75" hidden="false" customHeight="false" outlineLevel="0" collapsed="false"/>
    <row r="474" customFormat="false" ht="12.75" hidden="false" customHeight="false" outlineLevel="0" collapsed="false"/>
    <row r="475" customFormat="false" ht="12.75" hidden="false" customHeight="false" outlineLevel="0" collapsed="false"/>
    <row r="476" customFormat="false" ht="12.75" hidden="false" customHeight="false" outlineLevel="0" collapsed="false"/>
    <row r="477" customFormat="false" ht="12.75" hidden="false" customHeight="false" outlineLevel="0" collapsed="false"/>
    <row r="478" customFormat="false" ht="12.75" hidden="false" customHeight="false" outlineLevel="0" collapsed="false"/>
    <row r="479" customFormat="false" ht="12.75" hidden="false" customHeight="false" outlineLevel="0" collapsed="false"/>
    <row r="480" customFormat="false" ht="12.75" hidden="false" customHeight="false" outlineLevel="0" collapsed="false"/>
    <row r="481" customFormat="false" ht="12.75" hidden="false" customHeight="false" outlineLevel="0" collapsed="false"/>
    <row r="482" customFormat="false" ht="12.75" hidden="false" customHeight="false" outlineLevel="0" collapsed="false"/>
    <row r="483" customFormat="false" ht="12.75" hidden="false" customHeight="false" outlineLevel="0" collapsed="false"/>
    <row r="484" customFormat="false" ht="12.75" hidden="false" customHeight="false" outlineLevel="0" collapsed="false"/>
    <row r="485" customFormat="false" ht="12.75" hidden="false" customHeight="false" outlineLevel="0" collapsed="false"/>
    <row r="486" customFormat="false" ht="12.75" hidden="false" customHeight="false" outlineLevel="0" collapsed="false"/>
    <row r="487" customFormat="false" ht="12.75" hidden="false" customHeight="false" outlineLevel="0" collapsed="false"/>
    <row r="488" customFormat="false" ht="12.75" hidden="false" customHeight="false" outlineLevel="0" collapsed="false"/>
    <row r="489" customFormat="false" ht="12.75" hidden="false" customHeight="false" outlineLevel="0" collapsed="false"/>
    <row r="490" customFormat="false" ht="12.75" hidden="false" customHeight="false" outlineLevel="0" collapsed="false"/>
    <row r="491" customFormat="false" ht="12.75" hidden="false" customHeight="false" outlineLevel="0" collapsed="false"/>
    <row r="492" customFormat="false" ht="12.75" hidden="false" customHeight="false" outlineLevel="0" collapsed="false"/>
    <row r="493" customFormat="false" ht="12.75" hidden="false" customHeight="false" outlineLevel="0" collapsed="false"/>
    <row r="494" customFormat="false" ht="12.75" hidden="false" customHeight="false" outlineLevel="0" collapsed="false"/>
    <row r="495" customFormat="false" ht="12.75" hidden="false" customHeight="false" outlineLevel="0" collapsed="false"/>
    <row r="496" customFormat="false" ht="12.75" hidden="false" customHeight="false" outlineLevel="0" collapsed="false"/>
    <row r="497" customFormat="false" ht="12.75" hidden="false" customHeight="false" outlineLevel="0" collapsed="false"/>
    <row r="498" customFormat="false" ht="12.75" hidden="false" customHeight="false" outlineLevel="0" collapsed="false"/>
    <row r="499" customFormat="false" ht="12.75" hidden="false" customHeight="false" outlineLevel="0" collapsed="false"/>
    <row r="500" customFormat="false" ht="12.75" hidden="false" customHeight="false" outlineLevel="0" collapsed="false"/>
    <row r="501" customFormat="false" ht="12.75" hidden="false" customHeight="false" outlineLevel="0" collapsed="false"/>
    <row r="502" customFormat="false" ht="12.75" hidden="false" customHeight="false" outlineLevel="0" collapsed="false"/>
    <row r="503" customFormat="false" ht="12.75" hidden="false" customHeight="false" outlineLevel="0" collapsed="false"/>
    <row r="504" customFormat="false" ht="12.75" hidden="false" customHeight="false" outlineLevel="0" collapsed="false"/>
    <row r="505" customFormat="false" ht="12.75" hidden="false" customHeight="false" outlineLevel="0" collapsed="false"/>
    <row r="506" customFormat="false" ht="12.75" hidden="false" customHeight="false" outlineLevel="0" collapsed="false"/>
    <row r="507" customFormat="false" ht="12.75" hidden="false" customHeight="false" outlineLevel="0" collapsed="false"/>
    <row r="508" customFormat="false" ht="12.75" hidden="false" customHeight="false" outlineLevel="0" collapsed="false"/>
    <row r="509" customFormat="false" ht="12.75" hidden="false" customHeight="false" outlineLevel="0" collapsed="false"/>
    <row r="510" customFormat="false" ht="12.75" hidden="false" customHeight="false" outlineLevel="0" collapsed="false"/>
    <row r="511" customFormat="false" ht="12.75" hidden="false" customHeight="false" outlineLevel="0" collapsed="false"/>
    <row r="512" customFormat="false" ht="12.75" hidden="false" customHeight="false" outlineLevel="0" collapsed="false"/>
    <row r="513" customFormat="false" ht="12.75" hidden="false" customHeight="false" outlineLevel="0" collapsed="false"/>
    <row r="514" customFormat="false" ht="12.75" hidden="false" customHeight="false" outlineLevel="0" collapsed="false"/>
    <row r="515" customFormat="false" ht="12.75" hidden="false" customHeight="false" outlineLevel="0" collapsed="false"/>
    <row r="516" customFormat="false" ht="12.75" hidden="false" customHeight="false" outlineLevel="0" collapsed="false"/>
    <row r="517" customFormat="false" ht="12.75" hidden="false" customHeight="false" outlineLevel="0" collapsed="false"/>
    <row r="518" customFormat="false" ht="12.75" hidden="false" customHeight="false" outlineLevel="0" collapsed="false"/>
    <row r="519" customFormat="false" ht="12.75" hidden="false" customHeight="false" outlineLevel="0" collapsed="false"/>
    <row r="520" customFormat="false" ht="12.75" hidden="false" customHeight="false" outlineLevel="0" collapsed="false"/>
    <row r="521" customFormat="false" ht="12.75" hidden="false" customHeight="false" outlineLevel="0" collapsed="false"/>
    <row r="522" customFormat="false" ht="12.75" hidden="false" customHeight="false" outlineLevel="0" collapsed="false"/>
    <row r="523" customFormat="false" ht="12.75" hidden="false" customHeight="false" outlineLevel="0" collapsed="false"/>
    <row r="524" customFormat="false" ht="12.75" hidden="false" customHeight="false" outlineLevel="0" collapsed="false"/>
    <row r="525" customFormat="false" ht="12.75" hidden="false" customHeight="false" outlineLevel="0" collapsed="false"/>
    <row r="526" customFormat="false" ht="12.75" hidden="false" customHeight="false" outlineLevel="0" collapsed="false"/>
    <row r="527" customFormat="false" ht="12.75" hidden="false" customHeight="false" outlineLevel="0" collapsed="false"/>
    <row r="528" customFormat="false" ht="12.75" hidden="false" customHeight="false" outlineLevel="0" collapsed="false"/>
    <row r="529" customFormat="false" ht="12.75" hidden="false" customHeight="false" outlineLevel="0" collapsed="false"/>
    <row r="530" customFormat="false" ht="12.75" hidden="false" customHeight="false" outlineLevel="0" collapsed="false"/>
    <row r="531" customFormat="false" ht="12.75" hidden="false" customHeight="false" outlineLevel="0" collapsed="false"/>
    <row r="532" customFormat="false" ht="12.75" hidden="false" customHeight="false" outlineLevel="0" collapsed="false"/>
    <row r="533" customFormat="false" ht="12.75" hidden="false" customHeight="false" outlineLevel="0" collapsed="false"/>
    <row r="534" customFormat="false" ht="12.75" hidden="false" customHeight="false" outlineLevel="0" collapsed="false"/>
    <row r="535" customFormat="false" ht="12.75" hidden="false" customHeight="false" outlineLevel="0" collapsed="false"/>
    <row r="536" customFormat="false" ht="12.75" hidden="false" customHeight="false" outlineLevel="0" collapsed="false"/>
    <row r="537" customFormat="false" ht="12.75" hidden="false" customHeight="false" outlineLevel="0" collapsed="false"/>
    <row r="538" customFormat="false" ht="12.75" hidden="false" customHeight="false" outlineLevel="0" collapsed="false"/>
    <row r="539" customFormat="false" ht="12.75" hidden="false" customHeight="false" outlineLevel="0" collapsed="false"/>
    <row r="540" customFormat="false" ht="12.75" hidden="false" customHeight="false" outlineLevel="0" collapsed="false"/>
    <row r="541" customFormat="false" ht="12.75" hidden="false" customHeight="false" outlineLevel="0" collapsed="false"/>
    <row r="542" customFormat="false" ht="12.75" hidden="false" customHeight="false" outlineLevel="0" collapsed="false"/>
    <row r="543" customFormat="false" ht="12.75" hidden="false" customHeight="false" outlineLevel="0" collapsed="false"/>
    <row r="544" customFormat="false" ht="12.75" hidden="false" customHeight="false" outlineLevel="0" collapsed="false"/>
    <row r="545" customFormat="false" ht="12.75" hidden="false" customHeight="false" outlineLevel="0" collapsed="false"/>
    <row r="546" customFormat="false" ht="12.75" hidden="false" customHeight="false" outlineLevel="0" collapsed="false"/>
    <row r="547" customFormat="false" ht="12.75" hidden="false" customHeight="false" outlineLevel="0" collapsed="false"/>
    <row r="548" customFormat="false" ht="12.75" hidden="false" customHeight="false" outlineLevel="0" collapsed="false"/>
    <row r="549" customFormat="false" ht="12.75" hidden="false" customHeight="false" outlineLevel="0" collapsed="false"/>
    <row r="550" customFormat="false" ht="12.75" hidden="false" customHeight="false" outlineLevel="0" collapsed="false"/>
    <row r="551" customFormat="false" ht="12.75" hidden="false" customHeight="false" outlineLevel="0" collapsed="false"/>
    <row r="552" customFormat="false" ht="12.75" hidden="false" customHeight="false" outlineLevel="0" collapsed="false"/>
    <row r="553" customFormat="false" ht="12.75" hidden="false" customHeight="false" outlineLevel="0" collapsed="false"/>
    <row r="554" customFormat="false" ht="12.75" hidden="false" customHeight="false" outlineLevel="0" collapsed="false"/>
    <row r="555" customFormat="false" ht="12.75" hidden="false" customHeight="false" outlineLevel="0" collapsed="false"/>
    <row r="556" customFormat="false" ht="12.75" hidden="false" customHeight="false" outlineLevel="0" collapsed="false"/>
    <row r="557" customFormat="false" ht="12.75" hidden="false" customHeight="false" outlineLevel="0" collapsed="false"/>
    <row r="558" customFormat="false" ht="12.75" hidden="false" customHeight="false" outlineLevel="0" collapsed="false"/>
    <row r="559" customFormat="false" ht="12.75" hidden="false" customHeight="false" outlineLevel="0" collapsed="false"/>
    <row r="560" customFormat="false" ht="12.75" hidden="false" customHeight="false" outlineLevel="0" collapsed="false"/>
    <row r="561" customFormat="false" ht="12.75" hidden="false" customHeight="false" outlineLevel="0" collapsed="false"/>
    <row r="562" customFormat="false" ht="12.75" hidden="false" customHeight="false" outlineLevel="0" collapsed="false"/>
    <row r="563" customFormat="false" ht="12.75" hidden="false" customHeight="false" outlineLevel="0" collapsed="false"/>
    <row r="564" customFormat="false" ht="12.75" hidden="false" customHeight="false" outlineLevel="0" collapsed="false"/>
    <row r="565" customFormat="false" ht="12.75" hidden="false" customHeight="false" outlineLevel="0" collapsed="false"/>
    <row r="566" customFormat="false" ht="12.75" hidden="false" customHeight="false" outlineLevel="0" collapsed="false"/>
    <row r="567" customFormat="false" ht="12.75" hidden="false" customHeight="false" outlineLevel="0" collapsed="false"/>
    <row r="568" customFormat="false" ht="12.75" hidden="false" customHeight="false" outlineLevel="0" collapsed="false"/>
    <row r="569" customFormat="false" ht="12.75" hidden="false" customHeight="false" outlineLevel="0" collapsed="false"/>
    <row r="570" customFormat="false" ht="12.75" hidden="false" customHeight="false" outlineLevel="0" collapsed="false"/>
    <row r="571" customFormat="false" ht="12.75" hidden="false" customHeight="false" outlineLevel="0" collapsed="false"/>
    <row r="572" customFormat="false" ht="12.75" hidden="false" customHeight="false" outlineLevel="0" collapsed="false"/>
    <row r="573" customFormat="false" ht="12.75" hidden="false" customHeight="false" outlineLevel="0" collapsed="false"/>
    <row r="574" customFormat="false" ht="12.75" hidden="false" customHeight="false" outlineLevel="0" collapsed="false"/>
    <row r="575" customFormat="false" ht="12.75" hidden="false" customHeight="false" outlineLevel="0" collapsed="false"/>
    <row r="576" customFormat="false" ht="12.75" hidden="false" customHeight="false" outlineLevel="0" collapsed="false"/>
    <row r="577" customFormat="false" ht="12.75" hidden="false" customHeight="false" outlineLevel="0" collapsed="false"/>
    <row r="578" customFormat="false" ht="12.75" hidden="false" customHeight="false" outlineLevel="0" collapsed="false"/>
    <row r="579" customFormat="false" ht="12.75" hidden="false" customHeight="false" outlineLevel="0" collapsed="false"/>
    <row r="580" customFormat="false" ht="12.75" hidden="false" customHeight="false" outlineLevel="0" collapsed="false"/>
    <row r="581" customFormat="false" ht="12.75" hidden="false" customHeight="false" outlineLevel="0" collapsed="false"/>
    <row r="582" customFormat="false" ht="12.75" hidden="false" customHeight="false" outlineLevel="0" collapsed="false"/>
    <row r="583" customFormat="false" ht="12.75" hidden="false" customHeight="false" outlineLevel="0" collapsed="false"/>
    <row r="584" customFormat="false" ht="12.75" hidden="false" customHeight="false" outlineLevel="0" collapsed="false"/>
    <row r="585" customFormat="false" ht="12.75" hidden="false" customHeight="false" outlineLevel="0" collapsed="false"/>
    <row r="586" customFormat="false" ht="12.75" hidden="false" customHeight="false" outlineLevel="0" collapsed="false"/>
    <row r="587" customFormat="false" ht="12.75" hidden="false" customHeight="false" outlineLevel="0" collapsed="false"/>
    <row r="588" customFormat="false" ht="12.75" hidden="false" customHeight="false" outlineLevel="0" collapsed="false"/>
    <row r="589" customFormat="false" ht="12.75" hidden="false" customHeight="false" outlineLevel="0" collapsed="false"/>
    <row r="590" customFormat="false" ht="12.75" hidden="false" customHeight="false" outlineLevel="0" collapsed="false"/>
    <row r="591" customFormat="false" ht="12.75" hidden="false" customHeight="false" outlineLevel="0" collapsed="false"/>
    <row r="592" customFormat="false" ht="12.75" hidden="false" customHeight="false" outlineLevel="0" collapsed="false"/>
    <row r="593" customFormat="false" ht="12.75" hidden="false" customHeight="false" outlineLevel="0" collapsed="false"/>
    <row r="594" customFormat="false" ht="12.75" hidden="false" customHeight="false" outlineLevel="0" collapsed="false"/>
    <row r="595" customFormat="false" ht="12.75" hidden="false" customHeight="false" outlineLevel="0" collapsed="false"/>
    <row r="596" customFormat="false" ht="12.75" hidden="false" customHeight="false" outlineLevel="0" collapsed="false"/>
    <row r="597" customFormat="false" ht="12.75" hidden="false" customHeight="false" outlineLevel="0" collapsed="false"/>
    <row r="598" customFormat="false" ht="12.75" hidden="false" customHeight="false" outlineLevel="0" collapsed="false"/>
    <row r="599" customFormat="false" ht="12.75" hidden="false" customHeight="false" outlineLevel="0" collapsed="false"/>
    <row r="600" customFormat="false" ht="12.75" hidden="false" customHeight="false" outlineLevel="0" collapsed="false"/>
    <row r="601" customFormat="false" ht="12.75" hidden="false" customHeight="false" outlineLevel="0" collapsed="false"/>
    <row r="602" customFormat="false" ht="12.75" hidden="false" customHeight="false" outlineLevel="0" collapsed="false"/>
    <row r="603" customFormat="false" ht="12.75" hidden="false" customHeight="false" outlineLevel="0" collapsed="false"/>
    <row r="604" customFormat="false" ht="12.75" hidden="false" customHeight="false" outlineLevel="0" collapsed="false"/>
    <row r="605" customFormat="false" ht="12.75" hidden="false" customHeight="false" outlineLevel="0" collapsed="false"/>
    <row r="606" customFormat="false" ht="12.75" hidden="false" customHeight="false" outlineLevel="0" collapsed="false"/>
    <row r="607" customFormat="false" ht="12.75" hidden="false" customHeight="false" outlineLevel="0" collapsed="false"/>
    <row r="608" customFormat="false" ht="12.75" hidden="false" customHeight="false" outlineLevel="0" collapsed="false"/>
    <row r="609" customFormat="false" ht="12.75" hidden="false" customHeight="false" outlineLevel="0" collapsed="false"/>
    <row r="610" customFormat="false" ht="12.75" hidden="false" customHeight="false" outlineLevel="0" collapsed="false"/>
    <row r="611" customFormat="false" ht="12.75" hidden="false" customHeight="false" outlineLevel="0" collapsed="false"/>
    <row r="612" customFormat="false" ht="12.75" hidden="false" customHeight="false" outlineLevel="0" collapsed="false"/>
    <row r="613" customFormat="false" ht="12.75" hidden="false" customHeight="false" outlineLevel="0" collapsed="false"/>
    <row r="614" customFormat="false" ht="12.75" hidden="false" customHeight="false" outlineLevel="0" collapsed="false"/>
    <row r="615" customFormat="false" ht="12.75" hidden="false" customHeight="false" outlineLevel="0" collapsed="false"/>
    <row r="616" customFormat="false" ht="12.75" hidden="false" customHeight="false" outlineLevel="0" collapsed="false"/>
    <row r="617" customFormat="false" ht="12.75" hidden="false" customHeight="false" outlineLevel="0" collapsed="false"/>
    <row r="618" customFormat="false" ht="12.75" hidden="false" customHeight="false" outlineLevel="0" collapsed="false"/>
    <row r="619" customFormat="false" ht="12.75" hidden="false" customHeight="false" outlineLevel="0" collapsed="false"/>
    <row r="620" customFormat="false" ht="12.75" hidden="false" customHeight="false" outlineLevel="0" collapsed="false"/>
    <row r="621" customFormat="false" ht="12.75" hidden="false" customHeight="false" outlineLevel="0" collapsed="false"/>
    <row r="622" customFormat="false" ht="12.75" hidden="false" customHeight="false" outlineLevel="0" collapsed="false"/>
    <row r="623" customFormat="false" ht="12.75" hidden="false" customHeight="false" outlineLevel="0" collapsed="false"/>
    <row r="624" customFormat="false" ht="12.75" hidden="false" customHeight="false" outlineLevel="0" collapsed="false"/>
    <row r="625" customFormat="false" ht="12.75" hidden="false" customHeight="false" outlineLevel="0" collapsed="false"/>
    <row r="626" customFormat="false" ht="12.75" hidden="false" customHeight="false" outlineLevel="0" collapsed="false"/>
    <row r="627" customFormat="false" ht="12.75" hidden="false" customHeight="false" outlineLevel="0" collapsed="false"/>
    <row r="628" customFormat="false" ht="12.75" hidden="false" customHeight="false" outlineLevel="0" collapsed="false"/>
    <row r="629" customFormat="false" ht="12.75" hidden="false" customHeight="false" outlineLevel="0" collapsed="false"/>
    <row r="630" customFormat="false" ht="12.75" hidden="false" customHeight="false" outlineLevel="0" collapsed="false"/>
    <row r="631" customFormat="false" ht="12.75" hidden="false" customHeight="false" outlineLevel="0" collapsed="false"/>
    <row r="632" customFormat="false" ht="12.75" hidden="false" customHeight="false" outlineLevel="0" collapsed="false"/>
    <row r="633" customFormat="false" ht="12.75" hidden="false" customHeight="false" outlineLevel="0" collapsed="false"/>
    <row r="634" customFormat="false" ht="12.75" hidden="false" customHeight="false" outlineLevel="0" collapsed="false"/>
    <row r="635" customFormat="false" ht="12.75" hidden="false" customHeight="false" outlineLevel="0" collapsed="false"/>
    <row r="636" customFormat="false" ht="12.75" hidden="false" customHeight="false" outlineLevel="0" collapsed="false"/>
    <row r="637" customFormat="false" ht="12.75" hidden="false" customHeight="false" outlineLevel="0" collapsed="false"/>
    <row r="638" customFormat="false" ht="12.75" hidden="false" customHeight="false" outlineLevel="0" collapsed="false"/>
    <row r="639" customFormat="false" ht="12.75" hidden="false" customHeight="false" outlineLevel="0" collapsed="false"/>
    <row r="640" customFormat="false" ht="12.75" hidden="false" customHeight="false" outlineLevel="0" collapsed="false"/>
    <row r="641" customFormat="false" ht="12.75" hidden="false" customHeight="false" outlineLevel="0" collapsed="false"/>
    <row r="642" customFormat="false" ht="12.75" hidden="false" customHeight="false" outlineLevel="0" collapsed="false"/>
    <row r="643" customFormat="false" ht="12.75" hidden="false" customHeight="false" outlineLevel="0" collapsed="false"/>
    <row r="644" customFormat="false" ht="12.75" hidden="false" customHeight="false" outlineLevel="0" collapsed="false"/>
    <row r="645" customFormat="false" ht="12.75" hidden="false" customHeight="false" outlineLevel="0" collapsed="false"/>
    <row r="646" customFormat="false" ht="12.75" hidden="false" customHeight="false" outlineLevel="0" collapsed="false"/>
    <row r="647" customFormat="false" ht="12.75" hidden="false" customHeight="false" outlineLevel="0" collapsed="false"/>
    <row r="648" customFormat="false" ht="12.75" hidden="false" customHeight="false" outlineLevel="0" collapsed="false"/>
    <row r="649" customFormat="false" ht="12.75" hidden="false" customHeight="false" outlineLevel="0" collapsed="false"/>
    <row r="650" customFormat="false" ht="12.75" hidden="false" customHeight="false" outlineLevel="0" collapsed="false"/>
    <row r="651" customFormat="false" ht="12.75" hidden="false" customHeight="false" outlineLevel="0" collapsed="false"/>
    <row r="652" customFormat="false" ht="12.75" hidden="false" customHeight="false" outlineLevel="0" collapsed="false"/>
    <row r="653" customFormat="false" ht="12.75" hidden="false" customHeight="false" outlineLevel="0" collapsed="false"/>
    <row r="654" customFormat="false" ht="12.75" hidden="false" customHeight="false" outlineLevel="0" collapsed="false"/>
    <row r="655" customFormat="false" ht="12.75" hidden="false" customHeight="false" outlineLevel="0" collapsed="false"/>
    <row r="656" customFormat="false" ht="12.75" hidden="false" customHeight="false" outlineLevel="0" collapsed="false"/>
    <row r="657" customFormat="false" ht="12.75" hidden="false" customHeight="false" outlineLevel="0" collapsed="false"/>
    <row r="658" customFormat="false" ht="12.75" hidden="false" customHeight="false" outlineLevel="0" collapsed="false"/>
    <row r="659" customFormat="false" ht="12.75" hidden="false" customHeight="false" outlineLevel="0" collapsed="false"/>
    <row r="660" customFormat="false" ht="12.75" hidden="false" customHeight="false" outlineLevel="0" collapsed="false"/>
    <row r="661" customFormat="false" ht="12.75" hidden="false" customHeight="false" outlineLevel="0" collapsed="false"/>
    <row r="662" customFormat="false" ht="12.75" hidden="false" customHeight="false" outlineLevel="0" collapsed="false"/>
    <row r="663" customFormat="false" ht="12.75" hidden="false" customHeight="false" outlineLevel="0" collapsed="false"/>
    <row r="664" customFormat="false" ht="12.75" hidden="false" customHeight="false" outlineLevel="0" collapsed="false"/>
    <row r="665" customFormat="false" ht="12.75" hidden="false" customHeight="false" outlineLevel="0" collapsed="false"/>
    <row r="666" customFormat="false" ht="12.75" hidden="false" customHeight="false" outlineLevel="0" collapsed="false"/>
    <row r="667" customFormat="false" ht="12.75" hidden="false" customHeight="false" outlineLevel="0" collapsed="false"/>
    <row r="668" customFormat="false" ht="12.75" hidden="false" customHeight="false" outlineLevel="0" collapsed="false"/>
    <row r="669" customFormat="false" ht="12.75" hidden="false" customHeight="false" outlineLevel="0" collapsed="false"/>
    <row r="670" customFormat="false" ht="12.75" hidden="false" customHeight="false" outlineLevel="0" collapsed="false"/>
    <row r="671" customFormat="false" ht="12.75" hidden="false" customHeight="false" outlineLevel="0" collapsed="false"/>
    <row r="672" customFormat="false" ht="12.75" hidden="false" customHeight="false" outlineLevel="0" collapsed="false"/>
    <row r="673" customFormat="false" ht="12.75" hidden="false" customHeight="false" outlineLevel="0" collapsed="false"/>
    <row r="674" customFormat="false" ht="12.75" hidden="false" customHeight="false" outlineLevel="0" collapsed="false"/>
    <row r="675" customFormat="false" ht="12.75" hidden="false" customHeight="false" outlineLevel="0" collapsed="false"/>
    <row r="676" customFormat="false" ht="12.75" hidden="false" customHeight="false" outlineLevel="0" collapsed="false"/>
    <row r="677" customFormat="false" ht="12.75" hidden="false" customHeight="false" outlineLevel="0" collapsed="false"/>
    <row r="678" customFormat="false" ht="12.75" hidden="false" customHeight="false" outlineLevel="0" collapsed="false"/>
    <row r="679" customFormat="false" ht="12.75" hidden="false" customHeight="false" outlineLevel="0" collapsed="false"/>
    <row r="680" customFormat="false" ht="12.75" hidden="false" customHeight="false" outlineLevel="0" collapsed="false"/>
    <row r="681" customFormat="false" ht="12.75" hidden="false" customHeight="false" outlineLevel="0" collapsed="false"/>
    <row r="682" customFormat="false" ht="12.75" hidden="false" customHeight="false" outlineLevel="0" collapsed="false"/>
    <row r="683" customFormat="false" ht="12.75" hidden="false" customHeight="false" outlineLevel="0" collapsed="false"/>
    <row r="684" customFormat="false" ht="12.75" hidden="false" customHeight="false" outlineLevel="0" collapsed="false"/>
    <row r="685" customFormat="false" ht="12.75" hidden="false" customHeight="false" outlineLevel="0" collapsed="false"/>
    <row r="686" customFormat="false" ht="12.75" hidden="false" customHeight="false" outlineLevel="0" collapsed="false"/>
    <row r="687" customFormat="false" ht="12.75" hidden="false" customHeight="false" outlineLevel="0" collapsed="false"/>
    <row r="688" customFormat="false" ht="12.75" hidden="false" customHeight="false" outlineLevel="0" collapsed="false"/>
    <row r="689" customFormat="false" ht="12.75" hidden="false" customHeight="false" outlineLevel="0" collapsed="false"/>
    <row r="690" customFormat="false" ht="12.75" hidden="false" customHeight="false" outlineLevel="0" collapsed="false"/>
    <row r="691" customFormat="false" ht="12.75" hidden="false" customHeight="false" outlineLevel="0" collapsed="false"/>
    <row r="692" customFormat="false" ht="12.75" hidden="false" customHeight="false" outlineLevel="0" collapsed="false"/>
    <row r="693" customFormat="false" ht="12.75" hidden="false" customHeight="false" outlineLevel="0" collapsed="false"/>
    <row r="694" customFormat="false" ht="12.75" hidden="false" customHeight="false" outlineLevel="0" collapsed="false"/>
    <row r="695" customFormat="false" ht="12.75" hidden="false" customHeight="false" outlineLevel="0" collapsed="false"/>
    <row r="696" customFormat="false" ht="12.75" hidden="false" customHeight="false" outlineLevel="0" collapsed="false"/>
    <row r="697" customFormat="false" ht="12.75" hidden="false" customHeight="false" outlineLevel="0" collapsed="false"/>
    <row r="698" customFormat="false" ht="12.75" hidden="false" customHeight="false" outlineLevel="0" collapsed="false"/>
    <row r="699" customFormat="false" ht="12.75" hidden="false" customHeight="false" outlineLevel="0" collapsed="false"/>
    <row r="700" customFormat="false" ht="12.75" hidden="false" customHeight="false" outlineLevel="0" collapsed="false"/>
    <row r="701" customFormat="false" ht="12.75" hidden="false" customHeight="false" outlineLevel="0" collapsed="false"/>
    <row r="702" customFormat="false" ht="12.75" hidden="false" customHeight="false" outlineLevel="0" collapsed="false"/>
    <row r="703" customFormat="false" ht="12.75" hidden="false" customHeight="false" outlineLevel="0" collapsed="false"/>
    <row r="704" customFormat="false" ht="12.75" hidden="false" customHeight="false" outlineLevel="0" collapsed="false"/>
    <row r="705" customFormat="false" ht="12.75" hidden="false" customHeight="false" outlineLevel="0" collapsed="false"/>
    <row r="706" customFormat="false" ht="12.75" hidden="false" customHeight="false" outlineLevel="0" collapsed="false"/>
    <row r="707" customFormat="false" ht="12.75" hidden="false" customHeight="false" outlineLevel="0" collapsed="false"/>
    <row r="708" customFormat="false" ht="12.75" hidden="false" customHeight="false" outlineLevel="0" collapsed="false"/>
    <row r="709" customFormat="false" ht="12.75" hidden="false" customHeight="false" outlineLevel="0" collapsed="false"/>
    <row r="710" customFormat="false" ht="12.75" hidden="false" customHeight="false" outlineLevel="0" collapsed="false"/>
    <row r="711" customFormat="false" ht="12.75" hidden="false" customHeight="false" outlineLevel="0" collapsed="false"/>
    <row r="712" customFormat="false" ht="12.75" hidden="false" customHeight="false" outlineLevel="0" collapsed="false"/>
    <row r="713" customFormat="false" ht="12.75" hidden="false" customHeight="false" outlineLevel="0" collapsed="false"/>
    <row r="714" customFormat="false" ht="12.75" hidden="false" customHeight="false" outlineLevel="0" collapsed="false"/>
    <row r="715" customFormat="false" ht="12.75" hidden="false" customHeight="false" outlineLevel="0" collapsed="false"/>
    <row r="716" customFormat="false" ht="12.75" hidden="false" customHeight="false" outlineLevel="0" collapsed="false"/>
    <row r="717" customFormat="false" ht="12.75" hidden="false" customHeight="false" outlineLevel="0" collapsed="false"/>
    <row r="718" customFormat="false" ht="12.75" hidden="false" customHeight="false" outlineLevel="0" collapsed="false"/>
    <row r="719" customFormat="false" ht="12.75" hidden="false" customHeight="false" outlineLevel="0" collapsed="false"/>
    <row r="720" customFormat="false" ht="12.75" hidden="false" customHeight="false" outlineLevel="0" collapsed="false"/>
    <row r="721" customFormat="false" ht="12.75" hidden="false" customHeight="false" outlineLevel="0" collapsed="false"/>
    <row r="722" customFormat="false" ht="12.75" hidden="false" customHeight="false" outlineLevel="0" collapsed="false"/>
    <row r="723" customFormat="false" ht="12.75" hidden="false" customHeight="false" outlineLevel="0" collapsed="false"/>
    <row r="724" customFormat="false" ht="12.75" hidden="false" customHeight="false" outlineLevel="0" collapsed="false"/>
    <row r="725" customFormat="false" ht="12.75" hidden="false" customHeight="false" outlineLevel="0" collapsed="false"/>
    <row r="726" customFormat="false" ht="12.75" hidden="false" customHeight="false" outlineLevel="0" collapsed="false"/>
    <row r="727" customFormat="false" ht="12.75" hidden="false" customHeight="false" outlineLevel="0" collapsed="false"/>
    <row r="728" customFormat="false" ht="12.75" hidden="false" customHeight="false" outlineLevel="0" collapsed="false"/>
    <row r="729" customFormat="false" ht="12.75" hidden="false" customHeight="false" outlineLevel="0" collapsed="false"/>
    <row r="730" customFormat="false" ht="12.75" hidden="false" customHeight="false" outlineLevel="0" collapsed="false"/>
    <row r="731" customFormat="false" ht="12.75" hidden="false" customHeight="false" outlineLevel="0" collapsed="false"/>
    <row r="732" customFormat="false" ht="12.75" hidden="false" customHeight="false" outlineLevel="0" collapsed="false"/>
    <row r="733" customFormat="false" ht="12.75" hidden="false" customHeight="false" outlineLevel="0" collapsed="false"/>
    <row r="734" customFormat="false" ht="12.75" hidden="false" customHeight="false" outlineLevel="0" collapsed="false"/>
    <row r="735" customFormat="false" ht="12.75" hidden="false" customHeight="false" outlineLevel="0" collapsed="false"/>
    <row r="736" customFormat="false" ht="12.75" hidden="false" customHeight="false" outlineLevel="0" collapsed="false"/>
    <row r="737" customFormat="false" ht="12.75" hidden="false" customHeight="false" outlineLevel="0" collapsed="false"/>
    <row r="738" customFormat="false" ht="12.75" hidden="false" customHeight="false" outlineLevel="0" collapsed="false"/>
    <row r="739" customFormat="false" ht="12.75" hidden="false" customHeight="false" outlineLevel="0" collapsed="false"/>
    <row r="740" customFormat="false" ht="12.75" hidden="false" customHeight="false" outlineLevel="0" collapsed="false"/>
    <row r="741" customFormat="false" ht="12.75" hidden="false" customHeight="false" outlineLevel="0" collapsed="false"/>
    <row r="742" customFormat="false" ht="12.75" hidden="false" customHeight="false" outlineLevel="0" collapsed="false"/>
    <row r="743" customFormat="false" ht="12.75" hidden="false" customHeight="false" outlineLevel="0" collapsed="false"/>
    <row r="744" customFormat="false" ht="12.75" hidden="false" customHeight="false" outlineLevel="0" collapsed="false"/>
    <row r="745" customFormat="false" ht="12.75" hidden="false" customHeight="false" outlineLevel="0" collapsed="false"/>
    <row r="746" customFormat="false" ht="12.75" hidden="false" customHeight="false" outlineLevel="0" collapsed="false"/>
    <row r="747" customFormat="false" ht="12.75" hidden="false" customHeight="false" outlineLevel="0" collapsed="false"/>
    <row r="748" customFormat="false" ht="12.75" hidden="false" customHeight="false" outlineLevel="0" collapsed="false"/>
    <row r="749" customFormat="false" ht="12.75" hidden="false" customHeight="false" outlineLevel="0" collapsed="false"/>
    <row r="750" customFormat="false" ht="12.75" hidden="false" customHeight="false" outlineLevel="0" collapsed="false"/>
    <row r="751" customFormat="false" ht="12.75" hidden="false" customHeight="false" outlineLevel="0" collapsed="false"/>
    <row r="752" customFormat="false" ht="12.75" hidden="false" customHeight="false" outlineLevel="0" collapsed="false"/>
    <row r="753" customFormat="false" ht="12.75" hidden="false" customHeight="false" outlineLevel="0" collapsed="false"/>
    <row r="754" customFormat="false" ht="12.75" hidden="false" customHeight="false" outlineLevel="0" collapsed="false"/>
    <row r="755" customFormat="false" ht="12.75" hidden="false" customHeight="false" outlineLevel="0" collapsed="false"/>
    <row r="756" customFormat="false" ht="12.75" hidden="false" customHeight="false" outlineLevel="0" collapsed="false"/>
    <row r="757" customFormat="false" ht="12.75" hidden="false" customHeight="false" outlineLevel="0" collapsed="false"/>
    <row r="758" customFormat="false" ht="12.75" hidden="false" customHeight="false" outlineLevel="0" collapsed="false"/>
    <row r="759" customFormat="false" ht="12.75" hidden="false" customHeight="false" outlineLevel="0" collapsed="false"/>
    <row r="760" customFormat="false" ht="12.75" hidden="false" customHeight="false" outlineLevel="0" collapsed="false"/>
    <row r="761" customFormat="false" ht="12.75" hidden="false" customHeight="false" outlineLevel="0" collapsed="false"/>
    <row r="762" customFormat="false" ht="12.75" hidden="false" customHeight="false" outlineLevel="0" collapsed="false"/>
    <row r="763" customFormat="false" ht="12.75" hidden="false" customHeight="false" outlineLevel="0" collapsed="false"/>
    <row r="764" customFormat="false" ht="12.75" hidden="false" customHeight="false" outlineLevel="0" collapsed="false"/>
    <row r="765" customFormat="false" ht="12.75" hidden="false" customHeight="false" outlineLevel="0" collapsed="false"/>
    <row r="766" customFormat="false" ht="12.75" hidden="false" customHeight="false" outlineLevel="0" collapsed="false"/>
    <row r="767" customFormat="false" ht="12.75" hidden="false" customHeight="false" outlineLevel="0" collapsed="false"/>
    <row r="768" customFormat="false" ht="12.75" hidden="false" customHeight="false" outlineLevel="0" collapsed="false"/>
    <row r="769" customFormat="false" ht="12.75" hidden="false" customHeight="false" outlineLevel="0" collapsed="false"/>
    <row r="770" customFormat="false" ht="12.75" hidden="false" customHeight="false" outlineLevel="0" collapsed="false"/>
    <row r="771" customFormat="false" ht="12.75" hidden="false" customHeight="false" outlineLevel="0" collapsed="false"/>
    <row r="772" customFormat="false" ht="12.75" hidden="false" customHeight="false" outlineLevel="0" collapsed="false"/>
    <row r="773" customFormat="false" ht="12.75" hidden="false" customHeight="false" outlineLevel="0" collapsed="false"/>
    <row r="774" customFormat="false" ht="12.75" hidden="false" customHeight="false" outlineLevel="0" collapsed="false"/>
    <row r="775" customFormat="false" ht="12.75" hidden="false" customHeight="false" outlineLevel="0" collapsed="false"/>
    <row r="776" customFormat="false" ht="12.75" hidden="false" customHeight="false" outlineLevel="0" collapsed="false"/>
    <row r="777" customFormat="false" ht="12.75" hidden="false" customHeight="false" outlineLevel="0" collapsed="false"/>
    <row r="778" customFormat="false" ht="12.75" hidden="false" customHeight="false" outlineLevel="0" collapsed="false"/>
    <row r="779" customFormat="false" ht="12.75" hidden="false" customHeight="false" outlineLevel="0" collapsed="false"/>
    <row r="780" customFormat="false" ht="12.75" hidden="false" customHeight="false" outlineLevel="0" collapsed="false"/>
    <row r="781" customFormat="false" ht="12.75" hidden="false" customHeight="false" outlineLevel="0" collapsed="false"/>
    <row r="782" customFormat="false" ht="12.75" hidden="false" customHeight="false" outlineLevel="0" collapsed="false"/>
    <row r="783" customFormat="false" ht="12.75" hidden="false" customHeight="false" outlineLevel="0" collapsed="false"/>
    <row r="784" customFormat="false" ht="12.75" hidden="false" customHeight="false" outlineLevel="0" collapsed="false"/>
    <row r="785" customFormat="false" ht="12.75" hidden="false" customHeight="false" outlineLevel="0" collapsed="false"/>
    <row r="786" customFormat="false" ht="12.75" hidden="false" customHeight="false" outlineLevel="0" collapsed="false"/>
    <row r="787" customFormat="false" ht="12.75" hidden="false" customHeight="false" outlineLevel="0" collapsed="false"/>
    <row r="788" customFormat="false" ht="12.75" hidden="false" customHeight="false" outlineLevel="0" collapsed="false"/>
    <row r="789" customFormat="false" ht="12.75" hidden="false" customHeight="false" outlineLevel="0" collapsed="false"/>
    <row r="790" customFormat="false" ht="12.75" hidden="false" customHeight="false" outlineLevel="0" collapsed="false"/>
    <row r="791" customFormat="false" ht="12.75" hidden="false" customHeight="false" outlineLevel="0" collapsed="false"/>
    <row r="792" customFormat="false" ht="12.75" hidden="false" customHeight="false" outlineLevel="0" collapsed="false"/>
    <row r="793" customFormat="false" ht="12.75" hidden="false" customHeight="false" outlineLevel="0" collapsed="false"/>
    <row r="794" customFormat="false" ht="12.75" hidden="false" customHeight="false" outlineLevel="0" collapsed="false"/>
    <row r="795" customFormat="false" ht="12.75" hidden="false" customHeight="false" outlineLevel="0" collapsed="false"/>
    <row r="796" customFormat="false" ht="12.75" hidden="false" customHeight="false" outlineLevel="0" collapsed="false"/>
    <row r="797" customFormat="false" ht="12.75" hidden="false" customHeight="false" outlineLevel="0" collapsed="false"/>
    <row r="798" customFormat="false" ht="12.75" hidden="false" customHeight="false" outlineLevel="0" collapsed="false"/>
    <row r="799" customFormat="false" ht="12.75" hidden="false" customHeight="false" outlineLevel="0" collapsed="false"/>
    <row r="800" customFormat="false" ht="12.75" hidden="false" customHeight="false" outlineLevel="0" collapsed="false"/>
    <row r="801" customFormat="false" ht="12.75" hidden="false" customHeight="false" outlineLevel="0" collapsed="false"/>
    <row r="802" customFormat="false" ht="12.75" hidden="false" customHeight="false" outlineLevel="0" collapsed="false"/>
    <row r="803" customFormat="false" ht="12.75" hidden="false" customHeight="false" outlineLevel="0" collapsed="false"/>
    <row r="804" customFormat="false" ht="12.75" hidden="false" customHeight="false" outlineLevel="0" collapsed="false"/>
    <row r="805" customFormat="false" ht="12.75" hidden="false" customHeight="false" outlineLevel="0" collapsed="false"/>
    <row r="806" customFormat="false" ht="12.75" hidden="false" customHeight="false" outlineLevel="0" collapsed="false"/>
    <row r="807" customFormat="false" ht="12.75" hidden="false" customHeight="false" outlineLevel="0" collapsed="false"/>
    <row r="808" customFormat="false" ht="12.75" hidden="false" customHeight="false" outlineLevel="0" collapsed="false"/>
    <row r="809" customFormat="false" ht="12.75" hidden="false" customHeight="false" outlineLevel="0" collapsed="false"/>
    <row r="810" customFormat="false" ht="12.75" hidden="false" customHeight="false" outlineLevel="0" collapsed="false"/>
    <row r="811" customFormat="false" ht="12.75" hidden="false" customHeight="false" outlineLevel="0" collapsed="false"/>
    <row r="812" customFormat="false" ht="12.75" hidden="false" customHeight="false" outlineLevel="0" collapsed="false"/>
    <row r="813" customFormat="false" ht="12.75" hidden="false" customHeight="false" outlineLevel="0" collapsed="false"/>
    <row r="814" customFormat="false" ht="12.75" hidden="false" customHeight="false" outlineLevel="0" collapsed="false"/>
    <row r="815" customFormat="false" ht="12.75" hidden="false" customHeight="false" outlineLevel="0" collapsed="false"/>
    <row r="816" customFormat="false" ht="12.75" hidden="false" customHeight="false" outlineLevel="0" collapsed="false"/>
    <row r="817" customFormat="false" ht="12.75" hidden="false" customHeight="false" outlineLevel="0" collapsed="false"/>
    <row r="818" customFormat="false" ht="12.75" hidden="false" customHeight="false" outlineLevel="0" collapsed="false"/>
    <row r="819" customFormat="false" ht="12.75" hidden="false" customHeight="false" outlineLevel="0" collapsed="false"/>
    <row r="820" customFormat="false" ht="12.75" hidden="false" customHeight="false" outlineLevel="0" collapsed="false"/>
    <row r="821" customFormat="false" ht="12.75" hidden="false" customHeight="false" outlineLevel="0" collapsed="false"/>
    <row r="822" customFormat="false" ht="12.75" hidden="false" customHeight="false" outlineLevel="0" collapsed="false"/>
    <row r="823" customFormat="false" ht="12.75" hidden="false" customHeight="false" outlineLevel="0" collapsed="false"/>
    <row r="824" customFormat="false" ht="12.75" hidden="false" customHeight="false" outlineLevel="0" collapsed="false"/>
    <row r="825" customFormat="false" ht="12.75" hidden="false" customHeight="false" outlineLevel="0" collapsed="false"/>
    <row r="826" customFormat="false" ht="12.75" hidden="false" customHeight="false" outlineLevel="0" collapsed="false"/>
    <row r="827" customFormat="false" ht="12.75" hidden="false" customHeight="false" outlineLevel="0" collapsed="false"/>
    <row r="828" customFormat="false" ht="12.75" hidden="false" customHeight="false" outlineLevel="0" collapsed="false"/>
    <row r="829" customFormat="false" ht="12.75" hidden="false" customHeight="false" outlineLevel="0" collapsed="false"/>
    <row r="830" customFormat="false" ht="12.75" hidden="false" customHeight="false" outlineLevel="0" collapsed="false"/>
    <row r="831" customFormat="false" ht="12.75" hidden="false" customHeight="false" outlineLevel="0" collapsed="false"/>
    <row r="832" customFormat="false" ht="12.75" hidden="false" customHeight="false" outlineLevel="0" collapsed="false"/>
    <row r="833" customFormat="false" ht="12.75" hidden="false" customHeight="false" outlineLevel="0" collapsed="false"/>
    <row r="834" customFormat="false" ht="12.75" hidden="false" customHeight="false" outlineLevel="0" collapsed="false"/>
    <row r="835" customFormat="false" ht="12.75" hidden="false" customHeight="false" outlineLevel="0" collapsed="false"/>
    <row r="836" customFormat="false" ht="12.75" hidden="false" customHeight="false" outlineLevel="0" collapsed="false"/>
    <row r="837" customFormat="false" ht="12.75" hidden="false" customHeight="false" outlineLevel="0" collapsed="false"/>
    <row r="838" customFormat="false" ht="12.75" hidden="false" customHeight="false" outlineLevel="0" collapsed="false"/>
    <row r="839" customFormat="false" ht="12.75" hidden="false" customHeight="false" outlineLevel="0" collapsed="false"/>
    <row r="840" customFormat="false" ht="12.75" hidden="false" customHeight="false" outlineLevel="0" collapsed="false"/>
    <row r="841" customFormat="false" ht="12.75" hidden="false" customHeight="false" outlineLevel="0" collapsed="false"/>
    <row r="842" customFormat="false" ht="12.75" hidden="false" customHeight="false" outlineLevel="0" collapsed="false"/>
    <row r="843" customFormat="false" ht="12.75" hidden="false" customHeight="false" outlineLevel="0" collapsed="false"/>
    <row r="844" customFormat="false" ht="12.75" hidden="false" customHeight="false" outlineLevel="0" collapsed="false"/>
    <row r="845" customFormat="false" ht="12.75" hidden="false" customHeight="false" outlineLevel="0" collapsed="false"/>
    <row r="846" customFormat="false" ht="12.75" hidden="false" customHeight="false" outlineLevel="0" collapsed="false"/>
    <row r="847" customFormat="false" ht="12.75" hidden="false" customHeight="false" outlineLevel="0" collapsed="false"/>
    <row r="848" customFormat="false" ht="12.75" hidden="false" customHeight="false" outlineLevel="0" collapsed="false"/>
    <row r="849" customFormat="false" ht="12.75" hidden="false" customHeight="false" outlineLevel="0" collapsed="false"/>
    <row r="850" customFormat="false" ht="12.75" hidden="false" customHeight="false" outlineLevel="0" collapsed="false"/>
    <row r="851" customFormat="false" ht="12.75" hidden="false" customHeight="false" outlineLevel="0" collapsed="false"/>
    <row r="852" customFormat="false" ht="12.75" hidden="false" customHeight="false" outlineLevel="0" collapsed="false"/>
    <row r="853" customFormat="false" ht="12.75" hidden="false" customHeight="false" outlineLevel="0" collapsed="false"/>
    <row r="854" customFormat="false" ht="12.75" hidden="false" customHeight="false" outlineLevel="0" collapsed="false"/>
    <row r="855" customFormat="false" ht="12.75" hidden="false" customHeight="false" outlineLevel="0" collapsed="false"/>
    <row r="856" customFormat="false" ht="12.75" hidden="false" customHeight="false" outlineLevel="0" collapsed="false"/>
    <row r="857" customFormat="false" ht="12.75" hidden="false" customHeight="false" outlineLevel="0" collapsed="false"/>
    <row r="858" customFormat="false" ht="12.75" hidden="false" customHeight="false" outlineLevel="0" collapsed="false"/>
    <row r="859" customFormat="false" ht="12.75" hidden="false" customHeight="false" outlineLevel="0" collapsed="false"/>
    <row r="860" customFormat="false" ht="12.75" hidden="false" customHeight="false" outlineLevel="0" collapsed="false"/>
    <row r="861" customFormat="false" ht="12.75" hidden="false" customHeight="false" outlineLevel="0" collapsed="false"/>
    <row r="862" customFormat="false" ht="12.75" hidden="false" customHeight="false" outlineLevel="0" collapsed="false"/>
    <row r="863" customFormat="false" ht="12.75" hidden="false" customHeight="false" outlineLevel="0" collapsed="false"/>
    <row r="864" customFormat="false" ht="12.75" hidden="false" customHeight="false" outlineLevel="0" collapsed="false"/>
    <row r="865" customFormat="false" ht="12.75" hidden="false" customHeight="false" outlineLevel="0" collapsed="false"/>
    <row r="866" customFormat="false" ht="12.75" hidden="false" customHeight="false" outlineLevel="0" collapsed="false"/>
    <row r="867" customFormat="false" ht="12.75" hidden="false" customHeight="false" outlineLevel="0" collapsed="false"/>
    <row r="868" customFormat="false" ht="12.75" hidden="false" customHeight="false" outlineLevel="0" collapsed="false"/>
    <row r="869" customFormat="false" ht="12.75" hidden="false" customHeight="false" outlineLevel="0" collapsed="false"/>
    <row r="870" customFormat="false" ht="12.75" hidden="false" customHeight="false" outlineLevel="0" collapsed="false"/>
    <row r="871" customFormat="false" ht="12.75" hidden="false" customHeight="false" outlineLevel="0" collapsed="false"/>
    <row r="872" customFormat="false" ht="12.75" hidden="false" customHeight="false" outlineLevel="0" collapsed="false"/>
    <row r="873" customFormat="false" ht="12.75" hidden="false" customHeight="false" outlineLevel="0" collapsed="false"/>
    <row r="874" customFormat="false" ht="12.75" hidden="false" customHeight="false" outlineLevel="0" collapsed="false"/>
    <row r="875" customFormat="false" ht="12.75" hidden="false" customHeight="false" outlineLevel="0" collapsed="false"/>
    <row r="876" customFormat="false" ht="12.75" hidden="false" customHeight="false" outlineLevel="0" collapsed="false"/>
    <row r="877" customFormat="false" ht="12.75" hidden="false" customHeight="false" outlineLevel="0" collapsed="false"/>
    <row r="878" customFormat="false" ht="12.75" hidden="false" customHeight="false" outlineLevel="0" collapsed="false"/>
    <row r="879" customFormat="false" ht="12.75" hidden="false" customHeight="false" outlineLevel="0" collapsed="false"/>
    <row r="880" customFormat="false" ht="12.75" hidden="false" customHeight="false" outlineLevel="0" collapsed="false"/>
    <row r="881" customFormat="false" ht="12.75" hidden="false" customHeight="false" outlineLevel="0" collapsed="false"/>
    <row r="882" customFormat="false" ht="12.75" hidden="false" customHeight="false" outlineLevel="0" collapsed="false"/>
    <row r="883" customFormat="false" ht="12.75" hidden="false" customHeight="false" outlineLevel="0" collapsed="false"/>
    <row r="884" customFormat="false" ht="12.75" hidden="false" customHeight="false" outlineLevel="0" collapsed="false"/>
    <row r="885" customFormat="false" ht="12.75" hidden="false" customHeight="false" outlineLevel="0" collapsed="false"/>
    <row r="886" customFormat="false" ht="12.75" hidden="false" customHeight="false" outlineLevel="0" collapsed="false"/>
    <row r="887" customFormat="false" ht="12.75" hidden="false" customHeight="false" outlineLevel="0" collapsed="false"/>
    <row r="888" customFormat="false" ht="12.75" hidden="false" customHeight="false" outlineLevel="0" collapsed="false"/>
    <row r="889" customFormat="false" ht="12.75" hidden="false" customHeight="false" outlineLevel="0" collapsed="false"/>
    <row r="890" customFormat="false" ht="12.75" hidden="false" customHeight="false" outlineLevel="0" collapsed="false"/>
    <row r="891" customFormat="false" ht="12.75" hidden="false" customHeight="false" outlineLevel="0" collapsed="false"/>
    <row r="892" customFormat="false" ht="12.75" hidden="false" customHeight="false" outlineLevel="0" collapsed="false"/>
    <row r="893" customFormat="false" ht="12.75" hidden="false" customHeight="false" outlineLevel="0" collapsed="false"/>
    <row r="894" customFormat="false" ht="12.75" hidden="false" customHeight="false" outlineLevel="0" collapsed="false"/>
    <row r="895" customFormat="false" ht="12.75" hidden="false" customHeight="false" outlineLevel="0" collapsed="false"/>
    <row r="896" customFormat="false" ht="12.75" hidden="false" customHeight="false" outlineLevel="0" collapsed="false"/>
    <row r="897" customFormat="false" ht="12.75" hidden="false" customHeight="false" outlineLevel="0" collapsed="false"/>
    <row r="898" customFormat="false" ht="12.75" hidden="false" customHeight="false" outlineLevel="0" collapsed="false"/>
    <row r="899" customFormat="false" ht="12.75" hidden="false" customHeight="false" outlineLevel="0" collapsed="false"/>
    <row r="900" customFormat="false" ht="12.75" hidden="false" customHeight="false" outlineLevel="0" collapsed="false"/>
    <row r="901" customFormat="false" ht="12.75" hidden="false" customHeight="false" outlineLevel="0" collapsed="false"/>
    <row r="902" customFormat="false" ht="12.75" hidden="false" customHeight="false" outlineLevel="0" collapsed="false"/>
    <row r="903" customFormat="false" ht="12.75" hidden="false" customHeight="false" outlineLevel="0" collapsed="false"/>
    <row r="904" customFormat="false" ht="12.75" hidden="false" customHeight="false" outlineLevel="0" collapsed="false"/>
    <row r="905" customFormat="false" ht="12.75" hidden="false" customHeight="false" outlineLevel="0" collapsed="false"/>
    <row r="906" customFormat="false" ht="12.75" hidden="false" customHeight="false" outlineLevel="0" collapsed="false"/>
    <row r="907" customFormat="false" ht="12.75" hidden="false" customHeight="false" outlineLevel="0" collapsed="false"/>
    <row r="908" customFormat="false" ht="12.75" hidden="false" customHeight="false" outlineLevel="0" collapsed="false"/>
    <row r="909" customFormat="false" ht="12.75" hidden="false" customHeight="false" outlineLevel="0" collapsed="false"/>
    <row r="910" customFormat="false" ht="12.75" hidden="false" customHeight="false" outlineLevel="0" collapsed="false"/>
    <row r="911" customFormat="false" ht="12.75" hidden="false" customHeight="false" outlineLevel="0" collapsed="false"/>
    <row r="912" customFormat="false" ht="12.75" hidden="false" customHeight="false" outlineLevel="0" collapsed="false"/>
    <row r="913" customFormat="false" ht="12.75" hidden="false" customHeight="false" outlineLevel="0" collapsed="false"/>
    <row r="914" customFormat="false" ht="12.75" hidden="false" customHeight="false" outlineLevel="0" collapsed="false"/>
    <row r="915" customFormat="false" ht="12.75" hidden="false" customHeight="false" outlineLevel="0" collapsed="false"/>
    <row r="916" customFormat="false" ht="12.75" hidden="false" customHeight="false" outlineLevel="0" collapsed="false"/>
    <row r="917" customFormat="false" ht="12.75" hidden="false" customHeight="false" outlineLevel="0" collapsed="false"/>
    <row r="918" customFormat="false" ht="12.75" hidden="false" customHeight="false" outlineLevel="0" collapsed="false"/>
    <row r="919" customFormat="false" ht="12.75" hidden="false" customHeight="false" outlineLevel="0" collapsed="false"/>
    <row r="920" customFormat="false" ht="12.75" hidden="false" customHeight="false" outlineLevel="0" collapsed="false"/>
    <row r="921" customFormat="false" ht="12.75" hidden="false" customHeight="false" outlineLevel="0" collapsed="false"/>
    <row r="922" customFormat="false" ht="12.75" hidden="false" customHeight="false" outlineLevel="0" collapsed="false"/>
    <row r="923" customFormat="false" ht="12.75" hidden="false" customHeight="false" outlineLevel="0" collapsed="false"/>
    <row r="924" customFormat="false" ht="12.75" hidden="false" customHeight="false" outlineLevel="0" collapsed="false"/>
    <row r="925" customFormat="false" ht="12.75" hidden="false" customHeight="false" outlineLevel="0" collapsed="false"/>
    <row r="926" customFormat="false" ht="12.75" hidden="false" customHeight="false" outlineLevel="0" collapsed="false"/>
    <row r="927" customFormat="false" ht="12.75" hidden="false" customHeight="false" outlineLevel="0" collapsed="false"/>
    <row r="928" customFormat="false" ht="12.75" hidden="false" customHeight="false" outlineLevel="0" collapsed="false"/>
    <row r="929" customFormat="false" ht="12.75" hidden="false" customHeight="false" outlineLevel="0" collapsed="false"/>
    <row r="930" customFormat="false" ht="12.75" hidden="false" customHeight="false" outlineLevel="0" collapsed="false"/>
    <row r="931" customFormat="false" ht="12.75" hidden="false" customHeight="false" outlineLevel="0" collapsed="false"/>
    <row r="932" customFormat="false" ht="12.75" hidden="false" customHeight="false" outlineLevel="0" collapsed="false"/>
    <row r="933" customFormat="false" ht="12.75" hidden="false" customHeight="false" outlineLevel="0" collapsed="false"/>
    <row r="934" customFormat="false" ht="12.75" hidden="false" customHeight="false" outlineLevel="0" collapsed="false"/>
    <row r="935" customFormat="false" ht="12.75" hidden="false" customHeight="false" outlineLevel="0" collapsed="false"/>
    <row r="936" customFormat="false" ht="12.75" hidden="false" customHeight="false" outlineLevel="0" collapsed="false"/>
    <row r="937" customFormat="false" ht="12.75" hidden="false" customHeight="false" outlineLevel="0" collapsed="false"/>
    <row r="938" customFormat="false" ht="12.75" hidden="false" customHeight="false" outlineLevel="0" collapsed="false"/>
    <row r="939" customFormat="false" ht="12.75" hidden="false" customHeight="false" outlineLevel="0" collapsed="false"/>
    <row r="940" customFormat="false" ht="12.75" hidden="false" customHeight="false" outlineLevel="0" collapsed="false"/>
    <row r="941" customFormat="false" ht="12.75" hidden="false" customHeight="false" outlineLevel="0" collapsed="false"/>
    <row r="942" customFormat="false" ht="12.75" hidden="false" customHeight="false" outlineLevel="0" collapsed="false"/>
    <row r="943" customFormat="false" ht="12.75" hidden="false" customHeight="false" outlineLevel="0" collapsed="false"/>
    <row r="944" customFormat="false" ht="12.75" hidden="false" customHeight="false" outlineLevel="0" collapsed="false"/>
    <row r="945" customFormat="false" ht="12.75" hidden="false" customHeight="false" outlineLevel="0" collapsed="false"/>
    <row r="946" customFormat="false" ht="12.75" hidden="false" customHeight="false" outlineLevel="0" collapsed="false"/>
    <row r="947" customFormat="false" ht="12.75" hidden="false" customHeight="false" outlineLevel="0" collapsed="false"/>
    <row r="948" customFormat="false" ht="12.75" hidden="false" customHeight="false" outlineLevel="0" collapsed="false"/>
    <row r="949" customFormat="false" ht="12.75" hidden="false" customHeight="false" outlineLevel="0" collapsed="false"/>
    <row r="950" customFormat="false" ht="12.75" hidden="false" customHeight="false" outlineLevel="0" collapsed="false"/>
    <row r="951" customFormat="false" ht="12.75" hidden="false" customHeight="false" outlineLevel="0" collapsed="false"/>
    <row r="952" customFormat="false" ht="12.75" hidden="false" customHeight="false" outlineLevel="0" collapsed="false"/>
    <row r="953" customFormat="false" ht="12.75" hidden="false" customHeight="false" outlineLevel="0" collapsed="false"/>
    <row r="954" customFormat="false" ht="12.75" hidden="false" customHeight="false" outlineLevel="0" collapsed="false"/>
    <row r="955" customFormat="false" ht="12.75" hidden="false" customHeight="false" outlineLevel="0" collapsed="false"/>
    <row r="956" customFormat="false" ht="12.75" hidden="false" customHeight="false" outlineLevel="0" collapsed="false"/>
    <row r="957" customFormat="false" ht="12.75" hidden="false" customHeight="false" outlineLevel="0" collapsed="false"/>
    <row r="958" customFormat="false" ht="12.75" hidden="false" customHeight="false" outlineLevel="0" collapsed="false"/>
    <row r="959" customFormat="false" ht="12.75" hidden="false" customHeight="false" outlineLevel="0" collapsed="false"/>
    <row r="960" customFormat="false" ht="12.75" hidden="false" customHeight="false" outlineLevel="0" collapsed="false"/>
    <row r="961" customFormat="false" ht="12.75" hidden="false" customHeight="false" outlineLevel="0" collapsed="false"/>
    <row r="962" customFormat="false" ht="12.75" hidden="false" customHeight="false" outlineLevel="0" collapsed="false"/>
    <row r="963" customFormat="false" ht="12.75" hidden="false" customHeight="false" outlineLevel="0" collapsed="false"/>
    <row r="964" customFormat="false" ht="12.75" hidden="false" customHeight="false" outlineLevel="0" collapsed="false"/>
    <row r="965" customFormat="false" ht="12.75" hidden="false" customHeight="false" outlineLevel="0" collapsed="false"/>
    <row r="966" customFormat="false" ht="12.75" hidden="false" customHeight="false" outlineLevel="0" collapsed="false"/>
    <row r="967" customFormat="false" ht="12.75" hidden="false" customHeight="false" outlineLevel="0" collapsed="false"/>
    <row r="968" customFormat="false" ht="12.75" hidden="false" customHeight="false" outlineLevel="0" collapsed="false"/>
    <row r="969" customFormat="false" ht="12.75" hidden="false" customHeight="false" outlineLevel="0" collapsed="false"/>
    <row r="970" customFormat="false" ht="12.75" hidden="false" customHeight="false" outlineLevel="0" collapsed="false"/>
    <row r="971" customFormat="false" ht="12.75" hidden="false" customHeight="false" outlineLevel="0" collapsed="false"/>
    <row r="972" customFormat="false" ht="12.75" hidden="false" customHeight="false" outlineLevel="0" collapsed="false"/>
    <row r="973" customFormat="false" ht="12.75" hidden="false" customHeight="false" outlineLevel="0" collapsed="false"/>
    <row r="974" customFormat="false" ht="12.75" hidden="false" customHeight="false" outlineLevel="0" collapsed="false"/>
    <row r="975" customFormat="false" ht="12.75" hidden="false" customHeight="false" outlineLevel="0" collapsed="false"/>
    <row r="976" customFormat="false" ht="12.75" hidden="false" customHeight="false" outlineLevel="0" collapsed="false"/>
    <row r="977" customFormat="false" ht="12.75" hidden="false" customHeight="false" outlineLevel="0" collapsed="false"/>
    <row r="978" customFormat="false" ht="12.75" hidden="false" customHeight="false" outlineLevel="0" collapsed="false"/>
    <row r="979" customFormat="false" ht="12.75" hidden="false" customHeight="false" outlineLevel="0" collapsed="false"/>
    <row r="980" customFormat="false" ht="12.75" hidden="false" customHeight="false" outlineLevel="0" collapsed="false"/>
    <row r="981" customFormat="false" ht="12.75" hidden="false" customHeight="false" outlineLevel="0" collapsed="false"/>
    <row r="982" customFormat="false" ht="12.75" hidden="false" customHeight="false" outlineLevel="0" collapsed="false"/>
    <row r="983" customFormat="false" ht="12.75" hidden="false" customHeight="false" outlineLevel="0" collapsed="false"/>
    <row r="984" customFormat="false" ht="12.75" hidden="false" customHeight="false" outlineLevel="0" collapsed="false"/>
    <row r="985" customFormat="false" ht="12.75" hidden="false" customHeight="false" outlineLevel="0" collapsed="false"/>
    <row r="986" customFormat="false" ht="12.75" hidden="false" customHeight="false" outlineLevel="0" collapsed="false"/>
    <row r="987" customFormat="false" ht="12.75" hidden="false" customHeight="false" outlineLevel="0" collapsed="false"/>
    <row r="988" customFormat="false" ht="12.75" hidden="false" customHeight="false" outlineLevel="0" collapsed="false"/>
    <row r="989" customFormat="false" ht="12.75" hidden="false" customHeight="false" outlineLevel="0" collapsed="false"/>
    <row r="990" customFormat="false" ht="12.75" hidden="false" customHeight="false" outlineLevel="0" collapsed="false"/>
    <row r="991" customFormat="false" ht="12.75" hidden="false" customHeight="false" outlineLevel="0" collapsed="false"/>
    <row r="992" customFormat="false" ht="12.75" hidden="false" customHeight="false" outlineLevel="0" collapsed="false"/>
    <row r="993" customFormat="false" ht="12.75" hidden="false" customHeight="false" outlineLevel="0" collapsed="false"/>
    <row r="994" customFormat="false" ht="12.75" hidden="false" customHeight="false" outlineLevel="0" collapsed="false"/>
    <row r="995" customFormat="false" ht="12.75" hidden="false" customHeight="false" outlineLevel="0" collapsed="false"/>
    <row r="996" customFormat="false" ht="12.75" hidden="false" customHeight="false" outlineLevel="0" collapsed="false"/>
    <row r="997" customFormat="false" ht="12.75" hidden="false" customHeight="false" outlineLevel="0" collapsed="false"/>
    <row r="998" customFormat="false" ht="12.75" hidden="false" customHeight="false" outlineLevel="0" collapsed="false"/>
    <row r="999" customFormat="false" ht="12.75" hidden="false" customHeight="false" outlineLevel="0" collapsed="false"/>
    <row r="1000" customFormat="false" ht="12.75" hidden="false" customHeight="false" outlineLevel="0" collapsed="false"/>
  </sheetData>
  <mergeCells count="2">
    <mergeCell ref="H1:I1"/>
    <mergeCell ref="D6:F7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1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RowHeight="15.75" zeroHeight="false" outlineLevelRow="0" outlineLevelCol="0"/>
  <cols>
    <col collapsed="false" customWidth="true" hidden="false" outlineLevel="0" max="2" min="1" style="0" width="14.43"/>
    <col collapsed="false" customWidth="true" hidden="false" outlineLevel="0" max="3" min="3" style="0" width="23.01"/>
    <col collapsed="false" customWidth="true" hidden="false" outlineLevel="0" max="1025" min="4" style="0" width="14.43"/>
  </cols>
  <sheetData>
    <row r="1" s="26" customFormat="true" ht="48" hidden="false" customHeight="true" outlineLevel="0" collapsed="false">
      <c r="A1" s="23"/>
      <c r="B1" s="23"/>
      <c r="C1" s="23"/>
      <c r="D1" s="23"/>
      <c r="E1" s="24" t="s">
        <v>20</v>
      </c>
      <c r="F1" s="24" t="n">
        <f aca="false">'Cadastro Institucional'!D$6</f>
        <v>0</v>
      </c>
      <c r="G1" s="25" t="n">
        <f aca="false">'Cadastro Institucional'!D$7</f>
        <v>0</v>
      </c>
      <c r="H1" s="41"/>
      <c r="I1" s="41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customFormat="false" ht="12.75" hidden="false" customHeight="false" outlineLevel="0" collapsed="false">
      <c r="A2" s="27" t="s">
        <v>14</v>
      </c>
      <c r="B2" s="27" t="s">
        <v>13</v>
      </c>
      <c r="C2" s="27" t="s">
        <v>15</v>
      </c>
      <c r="D2" s="27" t="s">
        <v>16</v>
      </c>
      <c r="E2" s="27" t="s">
        <v>17</v>
      </c>
      <c r="F2" s="27" t="s">
        <v>18</v>
      </c>
      <c r="G2" s="27" t="s">
        <v>19</v>
      </c>
      <c r="H2" s="28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customFormat="false" ht="12.75" hidden="false" customHeight="false" outlineLevel="0" collapsed="false">
      <c r="A3" s="30" t="n">
        <f aca="false">'Cadastro Institucional'!D$10</f>
        <v>0</v>
      </c>
      <c r="B3" s="31" t="n">
        <f aca="false">'Cadastro Institucional'!D$9</f>
        <v>0</v>
      </c>
      <c r="C3" s="31" t="n">
        <f aca="false">'Cadastro Institucional'!D$11</f>
        <v>0</v>
      </c>
      <c r="D3" s="32" t="n">
        <f aca="false">'Cadastro Institucional'!D$12</f>
        <v>0</v>
      </c>
      <c r="E3" s="31" t="n">
        <f aca="false">'Cadastro Institucional'!D$13</f>
        <v>0</v>
      </c>
      <c r="F3" s="31" t="n">
        <f aca="false">'Cadastro Institucional'!D$14</f>
        <v>0</v>
      </c>
      <c r="G3" s="33" t="n">
        <f aca="false">'Cadastro Institucional'!D$15</f>
        <v>0</v>
      </c>
      <c r="H3" s="28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customFormat="false" ht="12.75" hidden="false" customHeight="true" outlineLevel="0" collapsed="false">
      <c r="A4" s="42"/>
      <c r="B4" s="34"/>
      <c r="C4" s="34"/>
      <c r="D4" s="34"/>
      <c r="E4" s="43"/>
      <c r="F4" s="34"/>
      <c r="G4" s="34"/>
      <c r="H4" s="29"/>
      <c r="I4" s="20" t="s">
        <v>8</v>
      </c>
      <c r="J4" s="20"/>
      <c r="K4" s="20"/>
      <c r="L4" s="29"/>
      <c r="M4" s="29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 customFormat="false" ht="12.75" hidden="false" customHeight="true" outlineLevel="0" collapsed="false">
      <c r="A5" s="18" t="s">
        <v>21</v>
      </c>
      <c r="B5" s="18" t="s">
        <v>23</v>
      </c>
      <c r="C5" s="18" t="s">
        <v>22</v>
      </c>
      <c r="D5" s="18" t="s">
        <v>24</v>
      </c>
      <c r="E5" s="44" t="s">
        <v>25</v>
      </c>
      <c r="F5" s="45" t="s">
        <v>26</v>
      </c>
      <c r="G5" s="45" t="s">
        <v>27</v>
      </c>
      <c r="H5" s="28"/>
      <c r="I5" s="20"/>
      <c r="J5" s="20"/>
      <c r="K5" s="20"/>
      <c r="L5" s="29"/>
      <c r="M5" s="29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</row>
    <row r="6" customFormat="false" ht="12.75" hidden="false" customHeight="false" outlineLevel="0" collapsed="false">
      <c r="A6" s="46"/>
      <c r="B6" s="46"/>
      <c r="C6" s="47"/>
      <c r="D6" s="46"/>
      <c r="E6" s="48"/>
      <c r="F6" s="49"/>
      <c r="G6" s="50" t="n">
        <f aca="false">(E6*F6)*(1+(SUM('Cadastro Institucional'!D$3:D$4)))</f>
        <v>0</v>
      </c>
      <c r="H6" s="29"/>
      <c r="I6" s="29"/>
      <c r="J6" s="29"/>
      <c r="K6" s="29"/>
      <c r="L6" s="29"/>
      <c r="M6" s="29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customFormat="false" ht="12.75" hidden="false" customHeight="false" outlineLevel="0" collapsed="false">
      <c r="A7" s="51"/>
      <c r="B7" s="51"/>
      <c r="C7" s="40"/>
      <c r="D7" s="51"/>
      <c r="E7" s="52"/>
      <c r="F7" s="53"/>
      <c r="G7" s="54" t="n">
        <f aca="false">(E7*F7)*(1+(SUM('Cadastro Institucional'!D$3:D$4)))</f>
        <v>0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customFormat="false" ht="12.75" hidden="false" customHeight="false" outlineLevel="0" collapsed="false">
      <c r="A8" s="51"/>
      <c r="B8" s="51"/>
      <c r="C8" s="40"/>
      <c r="D8" s="51"/>
      <c r="E8" s="52"/>
      <c r="F8" s="53"/>
      <c r="G8" s="54" t="n">
        <f aca="false">(E8*F8)*(1+(SUM('Cadastro Institucional'!D$3:D$4)))</f>
        <v>0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customFormat="false" ht="12.75" hidden="false" customHeight="false" outlineLevel="0" collapsed="false">
      <c r="A9" s="51"/>
      <c r="B9" s="51"/>
      <c r="C9" s="40"/>
      <c r="D9" s="51"/>
      <c r="E9" s="52"/>
      <c r="F9" s="53"/>
      <c r="G9" s="54" t="n">
        <f aca="false">(E9*F9)*(1+(SUM('Cadastro Institucional'!D$3:D$4)))</f>
        <v>0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 customFormat="false" ht="12.75" hidden="false" customHeight="false" outlineLevel="0" collapsed="false">
      <c r="A10" s="51"/>
      <c r="B10" s="51"/>
      <c r="C10" s="40"/>
      <c r="D10" s="51"/>
      <c r="E10" s="52"/>
      <c r="F10" s="53"/>
      <c r="G10" s="54" t="n">
        <f aca="false">(E10*F10)*(1+(SUM('Cadastro Institucional'!D$3:D$4)))</f>
        <v>0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 customFormat="false" ht="12.75" hidden="false" customHeight="false" outlineLevel="0" collapsed="false">
      <c r="A11" s="51"/>
      <c r="B11" s="51"/>
      <c r="C11" s="40"/>
      <c r="D11" s="51"/>
      <c r="E11" s="52"/>
      <c r="F11" s="53"/>
      <c r="G11" s="54" t="n">
        <f aca="false">(E11*F11)*(1+(SUM('Cadastro Institucional'!D$3:D$4)))</f>
        <v>0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 customFormat="false" ht="12.75" hidden="false" customHeight="false" outlineLevel="0" collapsed="false">
      <c r="A12" s="51"/>
      <c r="B12" s="51"/>
      <c r="C12" s="40"/>
      <c r="D12" s="51"/>
      <c r="E12" s="52"/>
      <c r="F12" s="53"/>
      <c r="G12" s="54" t="n">
        <f aca="false">(E12*F12)*(1+(SUM('Cadastro Institucional'!D$3:D$4)))</f>
        <v>0</v>
      </c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 customFormat="false" ht="12.75" hidden="false" customHeight="false" outlineLevel="0" collapsed="false">
      <c r="A13" s="51"/>
      <c r="B13" s="51"/>
      <c r="C13" s="40"/>
      <c r="D13" s="51"/>
      <c r="E13" s="52"/>
      <c r="F13" s="53"/>
      <c r="G13" s="54" t="n">
        <f aca="false">(E13*F13)*(1+(SUM('Cadastro Institucional'!D$3:D$4)))</f>
        <v>0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customFormat="false" ht="12.75" hidden="false" customHeight="false" outlineLevel="0" collapsed="false">
      <c r="A14" s="51"/>
      <c r="B14" s="51"/>
      <c r="C14" s="40"/>
      <c r="D14" s="51"/>
      <c r="E14" s="52"/>
      <c r="F14" s="53"/>
      <c r="G14" s="54" t="n">
        <f aca="false">(E14*F14)*(1+(SUM('Cadastro Institucional'!D$3:D$4)))</f>
        <v>0</v>
      </c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 customFormat="false" ht="12.75" hidden="false" customHeight="false" outlineLevel="0" collapsed="false">
      <c r="A15" s="51"/>
      <c r="B15" s="51"/>
      <c r="C15" s="40"/>
      <c r="D15" s="51"/>
      <c r="E15" s="52"/>
      <c r="F15" s="53"/>
      <c r="G15" s="54" t="n">
        <f aca="false">(E15*F15)*(1+(SUM('Cadastro Institucional'!D$3:D$4)))</f>
        <v>0</v>
      </c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customFormat="false" ht="12.75" hidden="false" customHeight="false" outlineLevel="0" collapsed="false">
      <c r="A16" s="51"/>
      <c r="B16" s="51"/>
      <c r="C16" s="40"/>
      <c r="D16" s="51"/>
      <c r="E16" s="52"/>
      <c r="F16" s="53"/>
      <c r="G16" s="54" t="n">
        <f aca="false">(E16*F16)*(1+(SUM('Cadastro Institucional'!D$3:D$4)))</f>
        <v>0</v>
      </c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7" customFormat="false" ht="12.75" hidden="false" customHeight="false" outlineLevel="0" collapsed="false">
      <c r="A17" s="51"/>
      <c r="B17" s="51"/>
      <c r="C17" s="40"/>
      <c r="D17" s="51"/>
      <c r="E17" s="52"/>
      <c r="F17" s="53"/>
      <c r="G17" s="54" t="n">
        <f aca="false">(E17*F17)*(1+(SUM('Cadastro Institucional'!D$3:D$4)))</f>
        <v>0</v>
      </c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</row>
    <row r="18" customFormat="false" ht="12.75" hidden="false" customHeight="false" outlineLevel="0" collapsed="false">
      <c r="A18" s="51"/>
      <c r="B18" s="51"/>
      <c r="C18" s="40"/>
      <c r="D18" s="51"/>
      <c r="E18" s="52"/>
      <c r="F18" s="53"/>
      <c r="G18" s="54" t="n">
        <f aca="false">(E18*F18)*(1+(SUM('Cadastro Institucional'!D$3:D$4)))</f>
        <v>0</v>
      </c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</row>
    <row r="19" customFormat="false" ht="12.75" hidden="false" customHeight="false" outlineLevel="0" collapsed="false">
      <c r="A19" s="51"/>
      <c r="B19" s="51"/>
      <c r="C19" s="40"/>
      <c r="D19" s="51"/>
      <c r="E19" s="52"/>
      <c r="F19" s="53"/>
      <c r="G19" s="54" t="n">
        <f aca="false">(E19*F19)*(1+(SUM('Cadastro Institucional'!D$3:D$4)))</f>
        <v>0</v>
      </c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</row>
    <row r="20" customFormat="false" ht="12.75" hidden="false" customHeight="false" outlineLevel="0" collapsed="false">
      <c r="A20" s="51"/>
      <c r="B20" s="51"/>
      <c r="C20" s="40"/>
      <c r="D20" s="51"/>
      <c r="E20" s="52"/>
      <c r="F20" s="53"/>
      <c r="G20" s="54" t="n">
        <f aca="false">(E20*F20)*(1+(SUM('Cadastro Institucional'!D$3:D$4)))</f>
        <v>0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</row>
    <row r="21" customFormat="false" ht="12.75" hidden="false" customHeight="false" outlineLevel="0" collapsed="false">
      <c r="A21" s="51"/>
      <c r="B21" s="51"/>
      <c r="C21" s="40"/>
      <c r="D21" s="51"/>
      <c r="E21" s="52"/>
      <c r="F21" s="53"/>
      <c r="G21" s="54" t="n">
        <f aca="false">(E21*F21)*(1+(SUM('Cadastro Institucional'!D$3:D$4)))</f>
        <v>0</v>
      </c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customFormat="false" ht="12.75" hidden="false" customHeight="false" outlineLevel="0" collapsed="false">
      <c r="A22" s="51"/>
      <c r="B22" s="51"/>
      <c r="C22" s="40"/>
      <c r="D22" s="51"/>
      <c r="E22" s="52"/>
      <c r="F22" s="53"/>
      <c r="G22" s="54" t="n">
        <f aca="false">(E22*F22)*(1+(SUM('Cadastro Institucional'!D$3:D$4)))</f>
        <v>0</v>
      </c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  <row r="23" customFormat="false" ht="12.75" hidden="false" customHeight="false" outlineLevel="0" collapsed="false">
      <c r="A23" s="51"/>
      <c r="B23" s="51"/>
      <c r="C23" s="40"/>
      <c r="D23" s="51"/>
      <c r="E23" s="52"/>
      <c r="F23" s="53"/>
      <c r="G23" s="54" t="n">
        <f aca="false">(E23*F23)*(1+(SUM('Cadastro Institucional'!D$3:D$4)))</f>
        <v>0</v>
      </c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</row>
    <row r="24" customFormat="false" ht="12.75" hidden="false" customHeight="false" outlineLevel="0" collapsed="false">
      <c r="A24" s="51"/>
      <c r="B24" s="51"/>
      <c r="C24" s="40"/>
      <c r="D24" s="51"/>
      <c r="E24" s="52"/>
      <c r="F24" s="53"/>
      <c r="G24" s="54" t="n">
        <f aca="false">(E24*F24)*(1+(SUM('Cadastro Institucional'!D$3:D$4)))</f>
        <v>0</v>
      </c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</row>
    <row r="25" customFormat="false" ht="12.75" hidden="false" customHeight="false" outlineLevel="0" collapsed="false">
      <c r="A25" s="51"/>
      <c r="B25" s="51"/>
      <c r="C25" s="40"/>
      <c r="D25" s="51"/>
      <c r="E25" s="52"/>
      <c r="F25" s="53"/>
      <c r="G25" s="54" t="n">
        <f aca="false">(E25*F25)*(1+(SUM('Cadastro Institucional'!D$3:D$4)))</f>
        <v>0</v>
      </c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</row>
    <row r="26" customFormat="false" ht="12.75" hidden="false" customHeight="false" outlineLevel="0" collapsed="false">
      <c r="A26" s="51"/>
      <c r="B26" s="51"/>
      <c r="C26" s="40"/>
      <c r="D26" s="51"/>
      <c r="E26" s="52"/>
      <c r="F26" s="53"/>
      <c r="G26" s="54" t="n">
        <f aca="false">(E26*F26)*(1+(SUM('Cadastro Institucional'!D$3:D$4)))</f>
        <v>0</v>
      </c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</row>
    <row r="27" customFormat="false" ht="12.75" hidden="false" customHeight="false" outlineLevel="0" collapsed="false">
      <c r="A27" s="51"/>
      <c r="B27" s="51"/>
      <c r="C27" s="40"/>
      <c r="D27" s="51"/>
      <c r="E27" s="52"/>
      <c r="F27" s="53"/>
      <c r="G27" s="54" t="n">
        <f aca="false">(E27*F27)*(1+(SUM('Cadastro Institucional'!D$3:D$4)))</f>
        <v>0</v>
      </c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</row>
    <row r="28" customFormat="false" ht="12.75" hidden="false" customHeight="false" outlineLevel="0" collapsed="false">
      <c r="A28" s="51"/>
      <c r="B28" s="51"/>
      <c r="C28" s="40"/>
      <c r="D28" s="51"/>
      <c r="E28" s="52"/>
      <c r="F28" s="53"/>
      <c r="G28" s="54" t="n">
        <f aca="false">(E28*F28)*(1+(SUM('Cadastro Institucional'!D$3:D$4)))</f>
        <v>0</v>
      </c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customFormat="false" ht="12.75" hidden="false" customHeight="false" outlineLevel="0" collapsed="false">
      <c r="A29" s="51"/>
      <c r="B29" s="51"/>
      <c r="C29" s="40"/>
      <c r="D29" s="51"/>
      <c r="E29" s="52"/>
      <c r="F29" s="53"/>
      <c r="G29" s="54" t="n">
        <f aca="false">(E29*F29)*(1+(SUM('Cadastro Institucional'!D$3:D$4)))</f>
        <v>0</v>
      </c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</row>
    <row r="30" customFormat="false" ht="12.75" hidden="false" customHeight="false" outlineLevel="0" collapsed="false">
      <c r="A30" s="51"/>
      <c r="B30" s="51"/>
      <c r="C30" s="40"/>
      <c r="D30" s="51"/>
      <c r="E30" s="52"/>
      <c r="F30" s="53"/>
      <c r="G30" s="54" t="n">
        <f aca="false">(E30*F30)*(1+(SUM('Cadastro Institucional'!D$3:D$4)))</f>
        <v>0</v>
      </c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</row>
    <row r="31" customFormat="false" ht="12.75" hidden="false" customHeight="false" outlineLevel="0" collapsed="false">
      <c r="A31" s="51"/>
      <c r="B31" s="51"/>
      <c r="C31" s="40"/>
      <c r="D31" s="51"/>
      <c r="E31" s="52"/>
      <c r="F31" s="53"/>
      <c r="G31" s="54" t="n">
        <f aca="false">(E31*F31)*(1+(SUM('Cadastro Institucional'!D$3:D$4)))</f>
        <v>0</v>
      </c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customFormat="false" ht="12.75" hidden="false" customHeight="false" outlineLevel="0" collapsed="false">
      <c r="A32" s="51"/>
      <c r="B32" s="51"/>
      <c r="C32" s="40"/>
      <c r="D32" s="51"/>
      <c r="E32" s="52"/>
      <c r="F32" s="53"/>
      <c r="G32" s="54" t="n">
        <f aca="false">(E32*F32)*(1+(SUM('Cadastro Institucional'!D$3:D$4)))</f>
        <v>0</v>
      </c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customFormat="false" ht="12.75" hidden="false" customHeight="false" outlineLevel="0" collapsed="false">
      <c r="A33" s="51"/>
      <c r="B33" s="51"/>
      <c r="C33" s="40"/>
      <c r="D33" s="51"/>
      <c r="E33" s="52"/>
      <c r="F33" s="53"/>
      <c r="G33" s="54" t="n">
        <f aca="false">(E33*F33)*(1+(SUM('Cadastro Institucional'!D$3:D$4)))</f>
        <v>0</v>
      </c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customFormat="false" ht="12.75" hidden="false" customHeight="false" outlineLevel="0" collapsed="false">
      <c r="A34" s="51"/>
      <c r="B34" s="51"/>
      <c r="C34" s="40"/>
      <c r="D34" s="51"/>
      <c r="E34" s="52"/>
      <c r="F34" s="53"/>
      <c r="G34" s="54" t="n">
        <f aca="false">(E34*F34)*(1+(SUM('Cadastro Institucional'!D$3:D$4)))</f>
        <v>0</v>
      </c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</row>
    <row r="35" customFormat="false" ht="12.75" hidden="false" customHeight="false" outlineLevel="0" collapsed="false">
      <c r="A35" s="51"/>
      <c r="B35" s="51"/>
      <c r="C35" s="40"/>
      <c r="D35" s="51"/>
      <c r="E35" s="52"/>
      <c r="F35" s="53"/>
      <c r="G35" s="54" t="n">
        <f aca="false">(E35*F35)*(1+(SUM('Cadastro Institucional'!D$3:D$4)))</f>
        <v>0</v>
      </c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</row>
    <row r="36" customFormat="false" ht="12.75" hidden="false" customHeight="false" outlineLevel="0" collapsed="false">
      <c r="A36" s="51"/>
      <c r="B36" s="51"/>
      <c r="C36" s="40"/>
      <c r="D36" s="51"/>
      <c r="E36" s="52"/>
      <c r="F36" s="53"/>
      <c r="G36" s="54" t="n">
        <f aca="false">(E36*F36)*(1+(SUM('Cadastro Institucional'!D$3:D$4)))</f>
        <v>0</v>
      </c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customFormat="false" ht="12.75" hidden="false" customHeight="false" outlineLevel="0" collapsed="false">
      <c r="A37" s="51"/>
      <c r="B37" s="51"/>
      <c r="C37" s="40"/>
      <c r="D37" s="51"/>
      <c r="E37" s="52"/>
      <c r="F37" s="53"/>
      <c r="G37" s="54" t="n">
        <f aca="false">(E37*F37)*(1+(SUM('Cadastro Institucional'!D$3:D$4)))</f>
        <v>0</v>
      </c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customFormat="false" ht="12.75" hidden="false" customHeight="false" outlineLevel="0" collapsed="false">
      <c r="A38" s="51"/>
      <c r="B38" s="51"/>
      <c r="C38" s="40"/>
      <c r="D38" s="51"/>
      <c r="E38" s="52"/>
      <c r="F38" s="53"/>
      <c r="G38" s="54" t="n">
        <f aca="false">(E38*F38)*(1+(SUM('Cadastro Institucional'!D$3:D$4)))</f>
        <v>0</v>
      </c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customFormat="false" ht="12.75" hidden="false" customHeight="false" outlineLevel="0" collapsed="false">
      <c r="A39" s="51"/>
      <c r="B39" s="51"/>
      <c r="C39" s="40"/>
      <c r="D39" s="51"/>
      <c r="E39" s="52"/>
      <c r="F39" s="53"/>
      <c r="G39" s="54" t="n">
        <f aca="false">(E39*F39)*(1+(SUM('Cadastro Institucional'!D$3:D$4)))</f>
        <v>0</v>
      </c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customFormat="false" ht="12.75" hidden="false" customHeight="false" outlineLevel="0" collapsed="false">
      <c r="A40" s="51"/>
      <c r="B40" s="51"/>
      <c r="C40" s="40"/>
      <c r="D40" s="51"/>
      <c r="E40" s="52"/>
      <c r="F40" s="53"/>
      <c r="G40" s="54" t="n">
        <f aca="false">(E40*F40)*(1+(SUM('Cadastro Institucional'!D$3:D$4)))</f>
        <v>0</v>
      </c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customFormat="false" ht="12.75" hidden="false" customHeight="false" outlineLevel="0" collapsed="false">
      <c r="A41" s="51"/>
      <c r="B41" s="51"/>
      <c r="C41" s="40"/>
      <c r="D41" s="51"/>
      <c r="E41" s="52"/>
      <c r="F41" s="53"/>
      <c r="G41" s="54" t="n">
        <f aca="false">(E41*F41)*(1+(SUM('Cadastro Institucional'!D$3:D$4)))</f>
        <v>0</v>
      </c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customFormat="false" ht="12.75" hidden="false" customHeight="false" outlineLevel="0" collapsed="false">
      <c r="A42" s="51"/>
      <c r="B42" s="51"/>
      <c r="C42" s="40"/>
      <c r="D42" s="51"/>
      <c r="E42" s="52"/>
      <c r="F42" s="53"/>
      <c r="G42" s="54" t="n">
        <f aca="false">(E42*F42)*(1+(SUM('Cadastro Institucional'!D$3:D$4)))</f>
        <v>0</v>
      </c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customFormat="false" ht="12.75" hidden="false" customHeight="false" outlineLevel="0" collapsed="false">
      <c r="A43" s="51"/>
      <c r="B43" s="51"/>
      <c r="C43" s="40"/>
      <c r="D43" s="51"/>
      <c r="E43" s="52"/>
      <c r="F43" s="53"/>
      <c r="G43" s="54" t="n">
        <f aca="false">(E43*F43)*(1+(SUM('Cadastro Institucional'!D$3:D$4)))</f>
        <v>0</v>
      </c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customFormat="false" ht="12.75" hidden="false" customHeight="false" outlineLevel="0" collapsed="false">
      <c r="A44" s="51"/>
      <c r="B44" s="51"/>
      <c r="C44" s="40"/>
      <c r="D44" s="51"/>
      <c r="E44" s="52"/>
      <c r="F44" s="53"/>
      <c r="G44" s="54" t="n">
        <f aca="false">(E44*F44)*(1+(SUM('Cadastro Institucional'!D$3:D$4)))</f>
        <v>0</v>
      </c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customFormat="false" ht="12.75" hidden="false" customHeight="false" outlineLevel="0" collapsed="false">
      <c r="A45" s="51"/>
      <c r="B45" s="51"/>
      <c r="C45" s="40"/>
      <c r="D45" s="51"/>
      <c r="E45" s="52"/>
      <c r="F45" s="53"/>
      <c r="G45" s="54" t="n">
        <f aca="false">(E45*F45)*(1+(SUM('Cadastro Institucional'!D$3:D$4)))</f>
        <v>0</v>
      </c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customFormat="false" ht="12.75" hidden="false" customHeight="false" outlineLevel="0" collapsed="false">
      <c r="A46" s="51"/>
      <c r="B46" s="51"/>
      <c r="C46" s="40"/>
      <c r="D46" s="51"/>
      <c r="E46" s="52"/>
      <c r="F46" s="53"/>
      <c r="G46" s="54" t="n">
        <f aca="false">(E46*F46)*(1+(SUM('Cadastro Institucional'!D$3:D$4)))</f>
        <v>0</v>
      </c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customFormat="false" ht="12.75" hidden="false" customHeight="false" outlineLevel="0" collapsed="false">
      <c r="A47" s="51"/>
      <c r="B47" s="51"/>
      <c r="C47" s="40"/>
      <c r="D47" s="51"/>
      <c r="E47" s="52"/>
      <c r="F47" s="53"/>
      <c r="G47" s="54" t="n">
        <f aca="false">(E47*F47)*(1+(SUM('Cadastro Institucional'!D$3:D$4)))</f>
        <v>0</v>
      </c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customFormat="false" ht="12.75" hidden="false" customHeight="false" outlineLevel="0" collapsed="false">
      <c r="A48" s="51"/>
      <c r="B48" s="51"/>
      <c r="C48" s="40"/>
      <c r="D48" s="51"/>
      <c r="E48" s="52"/>
      <c r="F48" s="53"/>
      <c r="G48" s="54" t="n">
        <f aca="false">(E48*F48)*(1+(SUM('Cadastro Institucional'!D$3:D$4)))</f>
        <v>0</v>
      </c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customFormat="false" ht="12.75" hidden="false" customHeight="false" outlineLevel="0" collapsed="false">
      <c r="A49" s="51"/>
      <c r="B49" s="51"/>
      <c r="C49" s="40"/>
      <c r="D49" s="51"/>
      <c r="E49" s="52"/>
      <c r="F49" s="53"/>
      <c r="G49" s="54" t="n">
        <f aca="false">(E49*F49)*(1+(SUM('Cadastro Institucional'!D$3:D$4)))</f>
        <v>0</v>
      </c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customFormat="false" ht="12.75" hidden="false" customHeight="false" outlineLevel="0" collapsed="false">
      <c r="A50" s="51"/>
      <c r="B50" s="51"/>
      <c r="C50" s="40"/>
      <c r="D50" s="51"/>
      <c r="E50" s="52"/>
      <c r="F50" s="53"/>
      <c r="G50" s="54" t="n">
        <f aca="false">(E50*F50)*(1+(SUM('Cadastro Institucional'!D$3:D$4)))</f>
        <v>0</v>
      </c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customFormat="false" ht="12.75" hidden="false" customHeight="false" outlineLevel="0" collapsed="false">
      <c r="A51" s="51"/>
      <c r="B51" s="51"/>
      <c r="C51" s="40"/>
      <c r="D51" s="51"/>
      <c r="E51" s="52"/>
      <c r="F51" s="53"/>
      <c r="G51" s="54" t="n">
        <f aca="false">(E51*F51)*(1+(SUM('Cadastro Institucional'!D$3:D$4)))</f>
        <v>0</v>
      </c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customFormat="false" ht="12.75" hidden="false" customHeight="false" outlineLevel="0" collapsed="false">
      <c r="A52" s="51"/>
      <c r="B52" s="51"/>
      <c r="C52" s="40"/>
      <c r="D52" s="51"/>
      <c r="E52" s="52"/>
      <c r="F52" s="53"/>
      <c r="G52" s="54" t="n">
        <f aca="false">(E52*F52)*(1+(SUM('Cadastro Institucional'!D$3:D$4)))</f>
        <v>0</v>
      </c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customFormat="false" ht="12.75" hidden="false" customHeight="false" outlineLevel="0" collapsed="false">
      <c r="A53" s="51"/>
      <c r="B53" s="51"/>
      <c r="C53" s="40"/>
      <c r="D53" s="51"/>
      <c r="E53" s="52"/>
      <c r="F53" s="53"/>
      <c r="G53" s="54" t="n">
        <f aca="false">(E53*F53)*(1+(SUM('Cadastro Institucional'!D$3:D$4)))</f>
        <v>0</v>
      </c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customFormat="false" ht="12.75" hidden="false" customHeight="false" outlineLevel="0" collapsed="false">
      <c r="A54" s="51"/>
      <c r="B54" s="51"/>
      <c r="C54" s="40"/>
      <c r="D54" s="51"/>
      <c r="E54" s="52"/>
      <c r="F54" s="53"/>
      <c r="G54" s="54" t="n">
        <f aca="false">(E54*F54)*(1+(SUM('Cadastro Institucional'!D$3:D$4)))</f>
        <v>0</v>
      </c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customFormat="false" ht="12.75" hidden="false" customHeight="false" outlineLevel="0" collapsed="false">
      <c r="A55" s="51"/>
      <c r="B55" s="51"/>
      <c r="C55" s="40"/>
      <c r="D55" s="51"/>
      <c r="E55" s="52"/>
      <c r="F55" s="53"/>
      <c r="G55" s="54" t="n">
        <f aca="false">(E55*F55)*(1+(SUM('Cadastro Institucional'!D$3:D$4)))</f>
        <v>0</v>
      </c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customFormat="false" ht="12.75" hidden="false" customHeight="false" outlineLevel="0" collapsed="false">
      <c r="A56" s="51"/>
      <c r="B56" s="51"/>
      <c r="C56" s="40"/>
      <c r="D56" s="51"/>
      <c r="E56" s="52"/>
      <c r="F56" s="53"/>
      <c r="G56" s="54" t="n">
        <f aca="false">(E56*F56)*(1+(SUM('Cadastro Institucional'!D$3:D$4)))</f>
        <v>0</v>
      </c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customFormat="false" ht="12.75" hidden="false" customHeight="false" outlineLevel="0" collapsed="false">
      <c r="A57" s="51"/>
      <c r="B57" s="51"/>
      <c r="C57" s="40"/>
      <c r="D57" s="51"/>
      <c r="E57" s="52"/>
      <c r="F57" s="53"/>
      <c r="G57" s="54" t="n">
        <f aca="false">(E57*F57)*(1+(SUM('Cadastro Institucional'!D$3:D$4)))</f>
        <v>0</v>
      </c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customFormat="false" ht="12.75" hidden="false" customHeight="false" outlineLevel="0" collapsed="false">
      <c r="A58" s="51"/>
      <c r="B58" s="51"/>
      <c r="C58" s="40"/>
      <c r="D58" s="51"/>
      <c r="E58" s="52"/>
      <c r="F58" s="53"/>
      <c r="G58" s="54" t="n">
        <f aca="false">(E58*F58)*(1+(SUM('Cadastro Institucional'!D$3:D$4)))</f>
        <v>0</v>
      </c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customFormat="false" ht="12.75" hidden="false" customHeight="false" outlineLevel="0" collapsed="false">
      <c r="A59" s="51"/>
      <c r="B59" s="51"/>
      <c r="C59" s="40"/>
      <c r="D59" s="51"/>
      <c r="E59" s="52"/>
      <c r="F59" s="53"/>
      <c r="G59" s="54" t="n">
        <f aca="false">(E59*F59)*(1+(SUM('Cadastro Institucional'!D$3:D$4)))</f>
        <v>0</v>
      </c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</row>
    <row r="60" customFormat="false" ht="12.75" hidden="false" customHeight="false" outlineLevel="0" collapsed="false">
      <c r="A60" s="51"/>
      <c r="B60" s="51"/>
      <c r="C60" s="40"/>
      <c r="D60" s="51"/>
      <c r="E60" s="52"/>
      <c r="F60" s="53"/>
      <c r="G60" s="54" t="n">
        <f aca="false">(E60*F60)*(1+(SUM('Cadastro Institucional'!D$3:D$4)))</f>
        <v>0</v>
      </c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customFormat="false" ht="12.75" hidden="false" customHeight="false" outlineLevel="0" collapsed="false">
      <c r="A61" s="51"/>
      <c r="B61" s="51"/>
      <c r="C61" s="40"/>
      <c r="D61" s="51"/>
      <c r="E61" s="52"/>
      <c r="F61" s="53"/>
      <c r="G61" s="54" t="n">
        <f aca="false">(E61*F61)*(1+(SUM('Cadastro Institucional'!D$3:D$4)))</f>
        <v>0</v>
      </c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customFormat="false" ht="12.75" hidden="false" customHeight="false" outlineLevel="0" collapsed="false">
      <c r="A62" s="51"/>
      <c r="B62" s="51"/>
      <c r="C62" s="40"/>
      <c r="D62" s="51"/>
      <c r="E62" s="52"/>
      <c r="F62" s="53"/>
      <c r="G62" s="54" t="n">
        <f aca="false">(E62*F62)*(1+(SUM('Cadastro Institucional'!D$3:D$4)))</f>
        <v>0</v>
      </c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customFormat="false" ht="12.75" hidden="false" customHeight="false" outlineLevel="0" collapsed="false">
      <c r="A63" s="51"/>
      <c r="B63" s="51"/>
      <c r="C63" s="40"/>
      <c r="D63" s="51"/>
      <c r="E63" s="52"/>
      <c r="F63" s="53"/>
      <c r="G63" s="54" t="n">
        <f aca="false">(E63*F63)*(1+(SUM('Cadastro Institucional'!D$3:D$4)))</f>
        <v>0</v>
      </c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customFormat="false" ht="12.75" hidden="false" customHeight="false" outlineLevel="0" collapsed="false">
      <c r="A64" s="51"/>
      <c r="B64" s="51"/>
      <c r="C64" s="40"/>
      <c r="D64" s="51"/>
      <c r="E64" s="52"/>
      <c r="F64" s="53"/>
      <c r="G64" s="54" t="n">
        <f aca="false">(E64*F64)*(1+(SUM('Cadastro Institucional'!D$3:D$4)))</f>
        <v>0</v>
      </c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customFormat="false" ht="12.75" hidden="false" customHeight="false" outlineLevel="0" collapsed="false">
      <c r="A65" s="51"/>
      <c r="B65" s="51"/>
      <c r="C65" s="40"/>
      <c r="D65" s="51"/>
      <c r="E65" s="52"/>
      <c r="F65" s="53"/>
      <c r="G65" s="54" t="n">
        <f aca="false">(E65*F65)*(1+(SUM('Cadastro Institucional'!D$3:D$4)))</f>
        <v>0</v>
      </c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customFormat="false" ht="12.75" hidden="false" customHeight="false" outlineLevel="0" collapsed="false">
      <c r="A66" s="51"/>
      <c r="B66" s="51"/>
      <c r="C66" s="40"/>
      <c r="D66" s="51"/>
      <c r="E66" s="52"/>
      <c r="F66" s="53"/>
      <c r="G66" s="54" t="n">
        <f aca="false">(E66*F66)*(1+(SUM('Cadastro Institucional'!D$3:D$4)))</f>
        <v>0</v>
      </c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customFormat="false" ht="12.75" hidden="false" customHeight="false" outlineLevel="0" collapsed="false">
      <c r="A67" s="51"/>
      <c r="B67" s="51"/>
      <c r="C67" s="40"/>
      <c r="D67" s="51"/>
      <c r="E67" s="52"/>
      <c r="F67" s="53"/>
      <c r="G67" s="54" t="n">
        <f aca="false">(E67*F67)*(1+(SUM('Cadastro Institucional'!D$3:D$4)))</f>
        <v>0</v>
      </c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customFormat="false" ht="12.75" hidden="false" customHeight="false" outlineLevel="0" collapsed="false">
      <c r="A68" s="51"/>
      <c r="B68" s="51"/>
      <c r="C68" s="40"/>
      <c r="D68" s="51"/>
      <c r="E68" s="52"/>
      <c r="F68" s="53"/>
      <c r="G68" s="54" t="n">
        <f aca="false">(E68*F68)*(1+(SUM('Cadastro Institucional'!D$3:D$4)))</f>
        <v>0</v>
      </c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</row>
    <row r="69" customFormat="false" ht="12.75" hidden="false" customHeight="false" outlineLevel="0" collapsed="false">
      <c r="A69" s="51"/>
      <c r="B69" s="51"/>
      <c r="C69" s="40"/>
      <c r="D69" s="51"/>
      <c r="E69" s="52"/>
      <c r="F69" s="53"/>
      <c r="G69" s="54" t="n">
        <f aca="false">(E69*F69)*(1+(SUM('Cadastro Institucional'!D$3:D$4)))</f>
        <v>0</v>
      </c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</row>
    <row r="70" customFormat="false" ht="12.75" hidden="false" customHeight="false" outlineLevel="0" collapsed="false">
      <c r="A70" s="51"/>
      <c r="B70" s="51"/>
      <c r="C70" s="40"/>
      <c r="D70" s="51"/>
      <c r="E70" s="52"/>
      <c r="F70" s="53"/>
      <c r="G70" s="54" t="n">
        <f aca="false">(E70*F70)*(1+(SUM('Cadastro Institucional'!D$3:D$4)))</f>
        <v>0</v>
      </c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</row>
    <row r="71" customFormat="false" ht="12.75" hidden="false" customHeight="false" outlineLevel="0" collapsed="false">
      <c r="A71" s="51"/>
      <c r="B71" s="51"/>
      <c r="C71" s="40"/>
      <c r="D71" s="51"/>
      <c r="E71" s="52"/>
      <c r="F71" s="53"/>
      <c r="G71" s="54" t="n">
        <f aca="false">(E71*F71)*(1+(SUM('Cadastro Institucional'!D$3:D$4)))</f>
        <v>0</v>
      </c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</row>
    <row r="72" customFormat="false" ht="12.75" hidden="false" customHeight="false" outlineLevel="0" collapsed="false">
      <c r="A72" s="51"/>
      <c r="B72" s="51"/>
      <c r="C72" s="40"/>
      <c r="D72" s="51"/>
      <c r="E72" s="52"/>
      <c r="F72" s="53"/>
      <c r="G72" s="54" t="n">
        <f aca="false">(E72*F72)*(1+(SUM('Cadastro Institucional'!D$3:D$4)))</f>
        <v>0</v>
      </c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</row>
    <row r="73" customFormat="false" ht="12.75" hidden="false" customHeight="false" outlineLevel="0" collapsed="false">
      <c r="A73" s="51"/>
      <c r="B73" s="51"/>
      <c r="C73" s="40"/>
      <c r="D73" s="51"/>
      <c r="E73" s="52"/>
      <c r="F73" s="53"/>
      <c r="G73" s="54" t="n">
        <f aca="false">(E73*F73)*(1+(SUM('Cadastro Institucional'!D$3:D$4)))</f>
        <v>0</v>
      </c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</row>
    <row r="74" customFormat="false" ht="12.75" hidden="false" customHeight="false" outlineLevel="0" collapsed="false">
      <c r="A74" s="51"/>
      <c r="B74" s="51"/>
      <c r="C74" s="40"/>
      <c r="D74" s="51"/>
      <c r="E74" s="52"/>
      <c r="F74" s="53"/>
      <c r="G74" s="54" t="n">
        <f aca="false">(E74*F74)*(1+(SUM('Cadastro Institucional'!D$3:D$4)))</f>
        <v>0</v>
      </c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</row>
    <row r="75" customFormat="false" ht="12.75" hidden="false" customHeight="false" outlineLevel="0" collapsed="false">
      <c r="A75" s="51"/>
      <c r="B75" s="51"/>
      <c r="C75" s="40"/>
      <c r="D75" s="51"/>
      <c r="E75" s="52"/>
      <c r="F75" s="53"/>
      <c r="G75" s="54" t="n">
        <f aca="false">(E75*F75)*(1+(SUM('Cadastro Institucional'!D$3:D$4)))</f>
        <v>0</v>
      </c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</row>
    <row r="76" customFormat="false" ht="12.75" hidden="false" customHeight="false" outlineLevel="0" collapsed="false">
      <c r="A76" s="51"/>
      <c r="B76" s="51"/>
      <c r="C76" s="40"/>
      <c r="D76" s="51"/>
      <c r="E76" s="52"/>
      <c r="F76" s="53"/>
      <c r="G76" s="54" t="n">
        <f aca="false">(E76*F76)*(1+(SUM('Cadastro Institucional'!D$3:D$4)))</f>
        <v>0</v>
      </c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</row>
    <row r="77" customFormat="false" ht="12.75" hidden="false" customHeight="false" outlineLevel="0" collapsed="false">
      <c r="A77" s="51"/>
      <c r="B77" s="51"/>
      <c r="C77" s="40"/>
      <c r="D77" s="51"/>
      <c r="E77" s="52"/>
      <c r="F77" s="53"/>
      <c r="G77" s="54" t="n">
        <f aca="false">(E77*F77)*(1+(SUM('Cadastro Institucional'!D$3:D$4)))</f>
        <v>0</v>
      </c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</row>
    <row r="78" customFormat="false" ht="12.75" hidden="false" customHeight="false" outlineLevel="0" collapsed="false">
      <c r="A78" s="51"/>
      <c r="B78" s="51"/>
      <c r="C78" s="40"/>
      <c r="D78" s="51"/>
      <c r="E78" s="52"/>
      <c r="F78" s="53"/>
      <c r="G78" s="54" t="n">
        <f aca="false">(E78*F78)*(1+(SUM('Cadastro Institucional'!D$3:D$4)))</f>
        <v>0</v>
      </c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</row>
    <row r="79" customFormat="false" ht="12.75" hidden="false" customHeight="false" outlineLevel="0" collapsed="false">
      <c r="A79" s="51"/>
      <c r="B79" s="51"/>
      <c r="C79" s="40"/>
      <c r="D79" s="51"/>
      <c r="E79" s="52"/>
      <c r="F79" s="53"/>
      <c r="G79" s="54" t="n">
        <f aca="false">(E79*F79)*(1+(SUM('Cadastro Institucional'!D$3:D$4)))</f>
        <v>0</v>
      </c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</row>
    <row r="80" customFormat="false" ht="12.75" hidden="false" customHeight="false" outlineLevel="0" collapsed="false">
      <c r="A80" s="51"/>
      <c r="B80" s="51"/>
      <c r="C80" s="40"/>
      <c r="D80" s="51"/>
      <c r="E80" s="52"/>
      <c r="F80" s="53"/>
      <c r="G80" s="54" t="n">
        <f aca="false">(E80*F80)*(1+(SUM('Cadastro Institucional'!D$3:D$4)))</f>
        <v>0</v>
      </c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</row>
    <row r="81" customFormat="false" ht="12.75" hidden="false" customHeight="false" outlineLevel="0" collapsed="false">
      <c r="A81" s="51"/>
      <c r="B81" s="51"/>
      <c r="C81" s="40"/>
      <c r="D81" s="51"/>
      <c r="E81" s="52"/>
      <c r="F81" s="53"/>
      <c r="G81" s="54" t="n">
        <f aca="false">(E81*F81)*(1+(SUM('Cadastro Institucional'!D$3:D$4)))</f>
        <v>0</v>
      </c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</row>
    <row r="82" customFormat="false" ht="12.75" hidden="false" customHeight="false" outlineLevel="0" collapsed="false">
      <c r="A82" s="51"/>
      <c r="B82" s="51"/>
      <c r="C82" s="40"/>
      <c r="D82" s="51"/>
      <c r="E82" s="52"/>
      <c r="F82" s="53"/>
      <c r="G82" s="54" t="n">
        <f aca="false">(E82*F82)*(1+(SUM('Cadastro Institucional'!D$3:D$4)))</f>
        <v>0</v>
      </c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</row>
    <row r="83" customFormat="false" ht="12.75" hidden="false" customHeight="false" outlineLevel="0" collapsed="false">
      <c r="A83" s="51"/>
      <c r="B83" s="51"/>
      <c r="C83" s="40"/>
      <c r="D83" s="51"/>
      <c r="E83" s="52"/>
      <c r="F83" s="53"/>
      <c r="G83" s="54" t="n">
        <f aca="false">(E83*F83)*(1+(SUM('Cadastro Institucional'!D$3:D$4)))</f>
        <v>0</v>
      </c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</row>
    <row r="84" customFormat="false" ht="12.75" hidden="false" customHeight="false" outlineLevel="0" collapsed="false">
      <c r="A84" s="51"/>
      <c r="B84" s="51"/>
      <c r="C84" s="40"/>
      <c r="D84" s="51"/>
      <c r="E84" s="52"/>
      <c r="F84" s="53"/>
      <c r="G84" s="54" t="n">
        <f aca="false">(E84*F84)*(1+(SUM('Cadastro Institucional'!D$3:D$4)))</f>
        <v>0</v>
      </c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</row>
    <row r="85" customFormat="false" ht="12.75" hidden="false" customHeight="false" outlineLevel="0" collapsed="false">
      <c r="A85" s="51"/>
      <c r="B85" s="51"/>
      <c r="C85" s="40"/>
      <c r="D85" s="51"/>
      <c r="E85" s="52"/>
      <c r="F85" s="53"/>
      <c r="G85" s="54" t="n">
        <f aca="false">(E85*F85)*(1+(SUM('Cadastro Institucional'!D$3:D$4)))</f>
        <v>0</v>
      </c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</row>
    <row r="86" customFormat="false" ht="12.75" hidden="false" customHeight="false" outlineLevel="0" collapsed="false">
      <c r="A86" s="51"/>
      <c r="B86" s="51"/>
      <c r="C86" s="40"/>
      <c r="D86" s="51"/>
      <c r="E86" s="52"/>
      <c r="F86" s="53"/>
      <c r="G86" s="54" t="n">
        <f aca="false">(E86*F86)*(1+(SUM('Cadastro Institucional'!D$3:D$4)))</f>
        <v>0</v>
      </c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</row>
    <row r="87" customFormat="false" ht="12.75" hidden="false" customHeight="false" outlineLevel="0" collapsed="false">
      <c r="A87" s="51"/>
      <c r="B87" s="51"/>
      <c r="C87" s="40"/>
      <c r="D87" s="51"/>
      <c r="E87" s="52"/>
      <c r="F87" s="53"/>
      <c r="G87" s="54" t="n">
        <f aca="false">(E87*F87)*(1+(SUM('Cadastro Institucional'!D$3:D$4)))</f>
        <v>0</v>
      </c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</row>
    <row r="88" customFormat="false" ht="12.75" hidden="false" customHeight="false" outlineLevel="0" collapsed="false">
      <c r="A88" s="51"/>
      <c r="B88" s="51"/>
      <c r="C88" s="40"/>
      <c r="D88" s="51"/>
      <c r="E88" s="52"/>
      <c r="F88" s="53"/>
      <c r="G88" s="54" t="n">
        <f aca="false">(E88*F88)*(1+(SUM('Cadastro Institucional'!D$3:D$4)))</f>
        <v>0</v>
      </c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</row>
    <row r="89" customFormat="false" ht="12.75" hidden="false" customHeight="false" outlineLevel="0" collapsed="false">
      <c r="A89" s="51"/>
      <c r="B89" s="51"/>
      <c r="C89" s="40"/>
      <c r="D89" s="51"/>
      <c r="E89" s="52"/>
      <c r="F89" s="53"/>
      <c r="G89" s="54" t="n">
        <f aca="false">(E89*F89)*(1+(SUM('Cadastro Institucional'!D$3:D$4)))</f>
        <v>0</v>
      </c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</row>
    <row r="90" customFormat="false" ht="12.75" hidden="false" customHeight="false" outlineLevel="0" collapsed="false">
      <c r="A90" s="51"/>
      <c r="B90" s="51"/>
      <c r="C90" s="40"/>
      <c r="D90" s="51"/>
      <c r="E90" s="52"/>
      <c r="F90" s="53"/>
      <c r="G90" s="54" t="n">
        <f aca="false">(E90*F90)*(1+(SUM('Cadastro Institucional'!D$3:D$4)))</f>
        <v>0</v>
      </c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</row>
    <row r="91" customFormat="false" ht="12.75" hidden="false" customHeight="false" outlineLevel="0" collapsed="false">
      <c r="A91" s="51"/>
      <c r="B91" s="51"/>
      <c r="C91" s="40"/>
      <c r="D91" s="51"/>
      <c r="E91" s="52"/>
      <c r="F91" s="53"/>
      <c r="G91" s="54" t="n">
        <f aca="false">(E91*F91)*(1+(SUM('Cadastro Institucional'!D$3:D$4)))</f>
        <v>0</v>
      </c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customFormat="false" ht="12.75" hidden="false" customHeight="false" outlineLevel="0" collapsed="false">
      <c r="A92" s="51"/>
      <c r="B92" s="51"/>
      <c r="C92" s="40"/>
      <c r="D92" s="51"/>
      <c r="E92" s="52"/>
      <c r="F92" s="53"/>
      <c r="G92" s="54" t="n">
        <f aca="false">(E92*F92)*(1+(SUM('Cadastro Institucional'!D$3:D$4)))</f>
        <v>0</v>
      </c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</row>
    <row r="93" customFormat="false" ht="12.75" hidden="false" customHeight="false" outlineLevel="0" collapsed="false">
      <c r="A93" s="51"/>
      <c r="B93" s="51"/>
      <c r="C93" s="40"/>
      <c r="D93" s="51"/>
      <c r="E93" s="52"/>
      <c r="F93" s="53"/>
      <c r="G93" s="54" t="n">
        <f aca="false">(E93*F93)*(1+(SUM('Cadastro Institucional'!D$3:D$4)))</f>
        <v>0</v>
      </c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</row>
    <row r="94" customFormat="false" ht="12.75" hidden="false" customHeight="false" outlineLevel="0" collapsed="false">
      <c r="A94" s="51"/>
      <c r="B94" s="51"/>
      <c r="C94" s="40"/>
      <c r="D94" s="51"/>
      <c r="E94" s="52"/>
      <c r="F94" s="53"/>
      <c r="G94" s="54" t="n">
        <f aca="false">(E94*F94)*(1+(SUM('Cadastro Institucional'!D$3:D$4)))</f>
        <v>0</v>
      </c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</row>
    <row r="95" customFormat="false" ht="12.75" hidden="false" customHeight="false" outlineLevel="0" collapsed="false">
      <c r="A95" s="51"/>
      <c r="B95" s="51"/>
      <c r="C95" s="40"/>
      <c r="D95" s="51"/>
      <c r="E95" s="52"/>
      <c r="F95" s="53"/>
      <c r="G95" s="54" t="n">
        <f aca="false">(E95*F95)*(1+(SUM('Cadastro Institucional'!D$3:D$4)))</f>
        <v>0</v>
      </c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</row>
    <row r="96" customFormat="false" ht="12.75" hidden="false" customHeight="false" outlineLevel="0" collapsed="false">
      <c r="A96" s="51"/>
      <c r="B96" s="51"/>
      <c r="C96" s="40"/>
      <c r="D96" s="51"/>
      <c r="E96" s="52"/>
      <c r="F96" s="53"/>
      <c r="G96" s="54" t="n">
        <f aca="false">(E96*F96)*(1+(SUM('Cadastro Institucional'!D$3:D$4)))</f>
        <v>0</v>
      </c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</row>
    <row r="97" customFormat="false" ht="12.75" hidden="false" customHeight="false" outlineLevel="0" collapsed="false">
      <c r="A97" s="51"/>
      <c r="B97" s="51"/>
      <c r="C97" s="40"/>
      <c r="D97" s="51"/>
      <c r="E97" s="52"/>
      <c r="F97" s="53"/>
      <c r="G97" s="54" t="n">
        <f aca="false">(E97*F97)*(1+(SUM('Cadastro Institucional'!D$3:D$4)))</f>
        <v>0</v>
      </c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</row>
    <row r="98" customFormat="false" ht="12.75" hidden="false" customHeight="false" outlineLevel="0" collapsed="false">
      <c r="A98" s="51"/>
      <c r="B98" s="51"/>
      <c r="C98" s="40"/>
      <c r="D98" s="51"/>
      <c r="E98" s="52"/>
      <c r="F98" s="53"/>
      <c r="G98" s="54" t="n">
        <f aca="false">(E98*F98)*(1+(SUM('Cadastro Institucional'!D$3:D$4)))</f>
        <v>0</v>
      </c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</row>
    <row r="99" customFormat="false" ht="12.75" hidden="false" customHeight="false" outlineLevel="0" collapsed="false">
      <c r="A99" s="51"/>
      <c r="B99" s="51"/>
      <c r="C99" s="40"/>
      <c r="D99" s="51"/>
      <c r="E99" s="52"/>
      <c r="F99" s="53"/>
      <c r="G99" s="54" t="n">
        <f aca="false">(E99*F99)*(1+(SUM('Cadastro Institucional'!D$3:D$4)))</f>
        <v>0</v>
      </c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</row>
    <row r="100" customFormat="false" ht="12.75" hidden="false" customHeight="false" outlineLevel="0" collapsed="false">
      <c r="A100" s="51"/>
      <c r="B100" s="51"/>
      <c r="C100" s="40"/>
      <c r="D100" s="51"/>
      <c r="E100" s="52"/>
      <c r="F100" s="53"/>
      <c r="G100" s="54" t="n">
        <f aca="false">(E100*F100)*(1+(SUM('Cadastro Institucional'!D$3:D$4)))</f>
        <v>0</v>
      </c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customFormat="false" ht="12.75" hidden="false" customHeight="false" outlineLevel="0" collapsed="false">
      <c r="A101" s="51"/>
      <c r="B101" s="51"/>
      <c r="C101" s="40"/>
      <c r="D101" s="51"/>
      <c r="E101" s="52"/>
      <c r="F101" s="53"/>
      <c r="G101" s="54" t="n">
        <f aca="false">(E101*F101)*(1+(SUM('Cadastro Institucional'!D$3:D$4)))</f>
        <v>0</v>
      </c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customFormat="false" ht="12.75" hidden="false" customHeight="false" outlineLevel="0" collapsed="false">
      <c r="A102" s="51"/>
      <c r="B102" s="51"/>
      <c r="C102" s="40"/>
      <c r="D102" s="51"/>
      <c r="E102" s="52"/>
      <c r="F102" s="53"/>
      <c r="G102" s="54" t="n">
        <f aca="false">(E102*F102)*(1+(SUM('Cadastro Institucional'!D$3:D$4)))</f>
        <v>0</v>
      </c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</row>
    <row r="103" customFormat="false" ht="12.75" hidden="false" customHeight="false" outlineLevel="0" collapsed="false">
      <c r="A103" s="51"/>
      <c r="B103" s="51"/>
      <c r="C103" s="40"/>
      <c r="D103" s="51"/>
      <c r="E103" s="52"/>
      <c r="F103" s="53"/>
      <c r="G103" s="54" t="n">
        <f aca="false">(E103*F103)*(1+(SUM('Cadastro Institucional'!D$3:D$4)))</f>
        <v>0</v>
      </c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</row>
    <row r="104" customFormat="false" ht="12.75" hidden="false" customHeight="false" outlineLevel="0" collapsed="false">
      <c r="A104" s="51"/>
      <c r="B104" s="51"/>
      <c r="C104" s="40"/>
      <c r="D104" s="51"/>
      <c r="E104" s="52"/>
      <c r="F104" s="53"/>
      <c r="G104" s="54" t="n">
        <f aca="false">(E104*F104)*(1+(SUM('Cadastro Institucional'!D$3:D$4)))</f>
        <v>0</v>
      </c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</row>
    <row r="105" customFormat="false" ht="12.75" hidden="false" customHeight="false" outlineLevel="0" collapsed="false">
      <c r="A105" s="51"/>
      <c r="B105" s="51"/>
      <c r="C105" s="40"/>
      <c r="D105" s="51"/>
      <c r="E105" s="52"/>
      <c r="F105" s="53"/>
      <c r="G105" s="54" t="n">
        <f aca="false">(E105*F105)*(1+(SUM('Cadastro Institucional'!D$3:D$4)))</f>
        <v>0</v>
      </c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</row>
    <row r="106" customFormat="false" ht="12.75" hidden="false" customHeight="false" outlineLevel="0" collapsed="false">
      <c r="A106" s="51"/>
      <c r="B106" s="51"/>
      <c r="C106" s="40"/>
      <c r="D106" s="51"/>
      <c r="E106" s="52"/>
      <c r="F106" s="53"/>
      <c r="G106" s="54" t="n">
        <f aca="false">(E106*F106)*(1+(SUM('Cadastro Institucional'!D$3:D$4)))</f>
        <v>0</v>
      </c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</row>
    <row r="107" customFormat="false" ht="12.75" hidden="false" customHeight="false" outlineLevel="0" collapsed="false">
      <c r="A107" s="51"/>
      <c r="B107" s="51"/>
      <c r="C107" s="40"/>
      <c r="D107" s="51"/>
      <c r="E107" s="52"/>
      <c r="F107" s="53"/>
      <c r="G107" s="54" t="n">
        <f aca="false">(E107*F107)*(1+(SUM('Cadastro Institucional'!D$3:D$4)))</f>
        <v>0</v>
      </c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</row>
    <row r="108" customFormat="false" ht="12.75" hidden="false" customHeight="false" outlineLevel="0" collapsed="false">
      <c r="A108" s="51"/>
      <c r="B108" s="51"/>
      <c r="C108" s="40"/>
      <c r="D108" s="51"/>
      <c r="E108" s="52"/>
      <c r="F108" s="53"/>
      <c r="G108" s="54" t="n">
        <f aca="false">(E108*F108)*(1+(SUM('Cadastro Institucional'!D$3:D$4)))</f>
        <v>0</v>
      </c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</row>
    <row r="109" customFormat="false" ht="12.75" hidden="false" customHeight="false" outlineLevel="0" collapsed="false">
      <c r="A109" s="51"/>
      <c r="B109" s="51"/>
      <c r="C109" s="40"/>
      <c r="D109" s="51"/>
      <c r="E109" s="52"/>
      <c r="F109" s="53"/>
      <c r="G109" s="54" t="n">
        <f aca="false">(E109*F109)*(1+(SUM('Cadastro Institucional'!D$3:D$4)))</f>
        <v>0</v>
      </c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</row>
    <row r="110" customFormat="false" ht="12.75" hidden="false" customHeight="false" outlineLevel="0" collapsed="false">
      <c r="A110" s="51"/>
      <c r="B110" s="51"/>
      <c r="C110" s="40"/>
      <c r="D110" s="51"/>
      <c r="E110" s="52"/>
      <c r="F110" s="53"/>
      <c r="G110" s="54" t="n">
        <f aca="false">(E110*F110)*(1+(SUM('Cadastro Institucional'!D$3:D$4)))</f>
        <v>0</v>
      </c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</row>
    <row r="111" customFormat="false" ht="12.75" hidden="false" customHeight="false" outlineLevel="0" collapsed="false">
      <c r="A111" s="51"/>
      <c r="B111" s="51"/>
      <c r="C111" s="40"/>
      <c r="D111" s="51"/>
      <c r="E111" s="52"/>
      <c r="F111" s="53"/>
      <c r="G111" s="54" t="n">
        <f aca="false">(E111*F111)*(1+(SUM('Cadastro Institucional'!D$3:D$4)))</f>
        <v>0</v>
      </c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</row>
    <row r="112" customFormat="false" ht="12.75" hidden="false" customHeight="false" outlineLevel="0" collapsed="false">
      <c r="A112" s="51"/>
      <c r="B112" s="51"/>
      <c r="C112" s="40"/>
      <c r="D112" s="51"/>
      <c r="E112" s="52"/>
      <c r="F112" s="53"/>
      <c r="G112" s="54" t="n">
        <f aca="false">(E112*F112)*(1+(SUM('Cadastro Institucional'!D$3:D$4)))</f>
        <v>0</v>
      </c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</row>
    <row r="113" customFormat="false" ht="12.75" hidden="false" customHeight="false" outlineLevel="0" collapsed="false">
      <c r="A113" s="51"/>
      <c r="B113" s="51"/>
      <c r="C113" s="40"/>
      <c r="D113" s="51"/>
      <c r="E113" s="52"/>
      <c r="F113" s="53"/>
      <c r="G113" s="54" t="n">
        <f aca="false">(E113*F113)*(1+(SUM('Cadastro Institucional'!D$3:D$4)))</f>
        <v>0</v>
      </c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</row>
    <row r="114" customFormat="false" ht="12.75" hidden="false" customHeight="false" outlineLevel="0" collapsed="false">
      <c r="A114" s="51"/>
      <c r="B114" s="51"/>
      <c r="C114" s="40"/>
      <c r="D114" s="51"/>
      <c r="E114" s="52"/>
      <c r="F114" s="53"/>
      <c r="G114" s="54" t="n">
        <f aca="false">(E114*F114)*(1+(SUM('Cadastro Institucional'!D$3:D$4)))</f>
        <v>0</v>
      </c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</row>
    <row r="115" customFormat="false" ht="12.75" hidden="false" customHeight="false" outlineLevel="0" collapsed="false">
      <c r="A115" s="51"/>
      <c r="B115" s="51"/>
      <c r="C115" s="40"/>
      <c r="D115" s="51"/>
      <c r="E115" s="52"/>
      <c r="F115" s="53"/>
      <c r="G115" s="54" t="n">
        <f aca="false">(E115*F115)*(1+(SUM('Cadastro Institucional'!D$3:D$4)))</f>
        <v>0</v>
      </c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</row>
    <row r="116" customFormat="false" ht="12.75" hidden="false" customHeight="false" outlineLevel="0" collapsed="false">
      <c r="A116" s="51"/>
      <c r="B116" s="51"/>
      <c r="C116" s="40"/>
      <c r="D116" s="51"/>
      <c r="E116" s="52"/>
      <c r="F116" s="53"/>
      <c r="G116" s="54" t="n">
        <f aca="false">(E116*F116)*(1+(SUM('Cadastro Institucional'!D$3:D$4)))</f>
        <v>0</v>
      </c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</row>
    <row r="117" customFormat="false" ht="12.75" hidden="false" customHeight="false" outlineLevel="0" collapsed="false">
      <c r="A117" s="51"/>
      <c r="B117" s="51"/>
      <c r="C117" s="40"/>
      <c r="D117" s="51"/>
      <c r="E117" s="52"/>
      <c r="F117" s="53"/>
      <c r="G117" s="54" t="n">
        <f aca="false">(E117*F117)*(1+(SUM('Cadastro Institucional'!D$3:D$4)))</f>
        <v>0</v>
      </c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</row>
    <row r="118" customFormat="false" ht="12.75" hidden="false" customHeight="false" outlineLevel="0" collapsed="false">
      <c r="A118" s="51"/>
      <c r="B118" s="51"/>
      <c r="C118" s="40"/>
      <c r="D118" s="51"/>
      <c r="E118" s="52"/>
      <c r="F118" s="53"/>
      <c r="G118" s="54" t="n">
        <f aca="false">(E118*F118)*(1+(SUM('Cadastro Institucional'!D$3:D$4)))</f>
        <v>0</v>
      </c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</row>
    <row r="119" customFormat="false" ht="12.75" hidden="false" customHeight="false" outlineLevel="0" collapsed="false">
      <c r="A119" s="51"/>
      <c r="B119" s="51"/>
      <c r="C119" s="40"/>
      <c r="D119" s="51"/>
      <c r="E119" s="52"/>
      <c r="F119" s="53"/>
      <c r="G119" s="54" t="n">
        <f aca="false">(E119*F119)*(1+(SUM('Cadastro Institucional'!D$3:D$4)))</f>
        <v>0</v>
      </c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</row>
    <row r="120" customFormat="false" ht="12.75" hidden="false" customHeight="false" outlineLevel="0" collapsed="false">
      <c r="A120" s="51"/>
      <c r="B120" s="51"/>
      <c r="C120" s="40"/>
      <c r="D120" s="51"/>
      <c r="E120" s="52"/>
      <c r="F120" s="53"/>
      <c r="G120" s="54" t="n">
        <f aca="false">(E120*F120)*(1+(SUM('Cadastro Institucional'!D$3:D$4)))</f>
        <v>0</v>
      </c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</row>
    <row r="121" customFormat="false" ht="12.75" hidden="false" customHeight="false" outlineLevel="0" collapsed="false">
      <c r="A121" s="51"/>
      <c r="B121" s="51"/>
      <c r="C121" s="40"/>
      <c r="D121" s="51"/>
      <c r="E121" s="52"/>
      <c r="F121" s="53"/>
      <c r="G121" s="54" t="n">
        <f aca="false">(E121*F121)*(1+(SUM('Cadastro Institucional'!D$3:D$4)))</f>
        <v>0</v>
      </c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</row>
    <row r="122" customFormat="false" ht="12.75" hidden="false" customHeight="false" outlineLevel="0" collapsed="false">
      <c r="A122" s="51"/>
      <c r="B122" s="51"/>
      <c r="C122" s="40"/>
      <c r="D122" s="51"/>
      <c r="E122" s="52"/>
      <c r="F122" s="53"/>
      <c r="G122" s="54" t="n">
        <f aca="false">(E122*F122)*(1+(SUM('Cadastro Institucional'!D$3:D$4)))</f>
        <v>0</v>
      </c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</row>
    <row r="123" customFormat="false" ht="12.75" hidden="false" customHeight="false" outlineLevel="0" collapsed="false">
      <c r="A123" s="51"/>
      <c r="B123" s="51"/>
      <c r="C123" s="40"/>
      <c r="D123" s="51"/>
      <c r="E123" s="52"/>
      <c r="F123" s="53"/>
      <c r="G123" s="54" t="n">
        <f aca="false">(E123*F123)*(1+(SUM('Cadastro Institucional'!D$3:D$4)))</f>
        <v>0</v>
      </c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</row>
    <row r="124" customFormat="false" ht="12.75" hidden="false" customHeight="false" outlineLevel="0" collapsed="false">
      <c r="A124" s="51"/>
      <c r="B124" s="51"/>
      <c r="C124" s="40"/>
      <c r="D124" s="51"/>
      <c r="E124" s="52"/>
      <c r="F124" s="53"/>
      <c r="G124" s="54" t="n">
        <f aca="false">(E124*F124)*(1+(SUM('Cadastro Institucional'!D$3:D$4)))</f>
        <v>0</v>
      </c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</row>
    <row r="125" customFormat="false" ht="12.75" hidden="false" customHeight="false" outlineLevel="0" collapsed="false">
      <c r="A125" s="51"/>
      <c r="B125" s="51"/>
      <c r="C125" s="40"/>
      <c r="D125" s="51"/>
      <c r="E125" s="52"/>
      <c r="F125" s="53"/>
      <c r="G125" s="54" t="n">
        <f aca="false">(E125*F125)*(1+(SUM('Cadastro Institucional'!D$3:D$4)))</f>
        <v>0</v>
      </c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</row>
    <row r="126" customFormat="false" ht="12.75" hidden="false" customHeight="false" outlineLevel="0" collapsed="false">
      <c r="A126" s="51"/>
      <c r="B126" s="51"/>
      <c r="C126" s="40"/>
      <c r="D126" s="51"/>
      <c r="E126" s="52"/>
      <c r="F126" s="53"/>
      <c r="G126" s="54" t="n">
        <f aca="false">(E126*F126)*(1+(SUM('Cadastro Institucional'!D$3:D$4)))</f>
        <v>0</v>
      </c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</row>
    <row r="127" customFormat="false" ht="12.75" hidden="false" customHeight="false" outlineLevel="0" collapsed="false">
      <c r="A127" s="51"/>
      <c r="B127" s="51"/>
      <c r="C127" s="40"/>
      <c r="D127" s="51"/>
      <c r="E127" s="52"/>
      <c r="F127" s="53"/>
      <c r="G127" s="54" t="n">
        <f aca="false">(E127*F127)*(1+(SUM('Cadastro Institucional'!D$3:D$4)))</f>
        <v>0</v>
      </c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</row>
    <row r="128" customFormat="false" ht="12.75" hidden="false" customHeight="false" outlineLevel="0" collapsed="false">
      <c r="A128" s="51"/>
      <c r="B128" s="51"/>
      <c r="C128" s="40"/>
      <c r="D128" s="51"/>
      <c r="E128" s="52"/>
      <c r="F128" s="53"/>
      <c r="G128" s="54" t="n">
        <f aca="false">(E128*F128)*(1+(SUM('Cadastro Institucional'!D$3:D$4)))</f>
        <v>0</v>
      </c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</row>
    <row r="129" customFormat="false" ht="12.75" hidden="false" customHeight="false" outlineLevel="0" collapsed="false">
      <c r="A129" s="51"/>
      <c r="B129" s="51"/>
      <c r="C129" s="40"/>
      <c r="D129" s="51"/>
      <c r="E129" s="52"/>
      <c r="F129" s="53"/>
      <c r="G129" s="54" t="n">
        <f aca="false">(E129*F129)*(1+(SUM('Cadastro Institucional'!D$3:D$4)))</f>
        <v>0</v>
      </c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</row>
    <row r="130" customFormat="false" ht="12.75" hidden="false" customHeight="false" outlineLevel="0" collapsed="false">
      <c r="A130" s="51"/>
      <c r="B130" s="51"/>
      <c r="C130" s="40"/>
      <c r="D130" s="51"/>
      <c r="E130" s="52"/>
      <c r="F130" s="53"/>
      <c r="G130" s="54" t="n">
        <f aca="false">(E130*F130)*(1+(SUM('Cadastro Institucional'!D$3:D$4)))</f>
        <v>0</v>
      </c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</row>
    <row r="131" customFormat="false" ht="12.75" hidden="false" customHeight="false" outlineLevel="0" collapsed="false">
      <c r="A131" s="51"/>
      <c r="B131" s="51"/>
      <c r="C131" s="40"/>
      <c r="D131" s="51"/>
      <c r="E131" s="52"/>
      <c r="F131" s="53"/>
      <c r="G131" s="54" t="n">
        <f aca="false">(E131*F131)*(1+(SUM('Cadastro Institucional'!D$3:D$4)))</f>
        <v>0</v>
      </c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</row>
    <row r="132" customFormat="false" ht="12.75" hidden="false" customHeight="false" outlineLevel="0" collapsed="false">
      <c r="A132" s="51"/>
      <c r="B132" s="51"/>
      <c r="C132" s="40"/>
      <c r="D132" s="51"/>
      <c r="E132" s="52"/>
      <c r="F132" s="53"/>
      <c r="G132" s="54" t="n">
        <f aca="false">(E132*F132)*(1+(SUM('Cadastro Institucional'!D$3:D$4)))</f>
        <v>0</v>
      </c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</row>
    <row r="133" customFormat="false" ht="12.75" hidden="false" customHeight="false" outlineLevel="0" collapsed="false">
      <c r="A133" s="51"/>
      <c r="B133" s="51"/>
      <c r="C133" s="40"/>
      <c r="D133" s="51"/>
      <c r="E133" s="52"/>
      <c r="F133" s="53"/>
      <c r="G133" s="54" t="n">
        <f aca="false">(E133*F133)*(1+(SUM('Cadastro Institucional'!D$3:D$4)))</f>
        <v>0</v>
      </c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</row>
    <row r="134" customFormat="false" ht="12.75" hidden="false" customHeight="false" outlineLevel="0" collapsed="false">
      <c r="A134" s="51"/>
      <c r="B134" s="51"/>
      <c r="C134" s="40"/>
      <c r="D134" s="51"/>
      <c r="E134" s="52"/>
      <c r="F134" s="53"/>
      <c r="G134" s="54" t="n">
        <f aca="false">(E134*F134)*(1+(SUM('Cadastro Institucional'!D$3:D$4)))</f>
        <v>0</v>
      </c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</row>
    <row r="135" customFormat="false" ht="12.75" hidden="false" customHeight="false" outlineLevel="0" collapsed="false">
      <c r="A135" s="51"/>
      <c r="B135" s="51"/>
      <c r="C135" s="40"/>
      <c r="D135" s="51"/>
      <c r="E135" s="52"/>
      <c r="F135" s="53"/>
      <c r="G135" s="54" t="n">
        <f aca="false">(E135*F135)*(1+(SUM('Cadastro Institucional'!D$3:D$4)))</f>
        <v>0</v>
      </c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</row>
    <row r="136" customFormat="false" ht="12.75" hidden="false" customHeight="false" outlineLevel="0" collapsed="false">
      <c r="A136" s="51"/>
      <c r="B136" s="51"/>
      <c r="C136" s="40"/>
      <c r="D136" s="51"/>
      <c r="E136" s="52"/>
      <c r="F136" s="53"/>
      <c r="G136" s="54" t="n">
        <f aca="false">(E136*F136)*(1+(SUM('Cadastro Institucional'!D$3:D$4)))</f>
        <v>0</v>
      </c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</row>
    <row r="137" customFormat="false" ht="12.75" hidden="false" customHeight="false" outlineLevel="0" collapsed="false">
      <c r="A137" s="51"/>
      <c r="B137" s="51"/>
      <c r="C137" s="40"/>
      <c r="D137" s="51"/>
      <c r="E137" s="52"/>
      <c r="F137" s="53"/>
      <c r="G137" s="54" t="n">
        <f aca="false">(E137*F137)*(1+(SUM('Cadastro Institucional'!D$3:D$4)))</f>
        <v>0</v>
      </c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</row>
    <row r="138" customFormat="false" ht="12.75" hidden="false" customHeight="false" outlineLevel="0" collapsed="false">
      <c r="A138" s="51"/>
      <c r="B138" s="51"/>
      <c r="C138" s="40"/>
      <c r="D138" s="51"/>
      <c r="E138" s="52"/>
      <c r="F138" s="53"/>
      <c r="G138" s="54" t="n">
        <f aca="false">(E138*F138)*(1+(SUM('Cadastro Institucional'!D$3:D$4)))</f>
        <v>0</v>
      </c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</row>
    <row r="139" customFormat="false" ht="12.75" hidden="false" customHeight="false" outlineLevel="0" collapsed="false">
      <c r="A139" s="51"/>
      <c r="B139" s="51"/>
      <c r="C139" s="40"/>
      <c r="D139" s="51"/>
      <c r="E139" s="52"/>
      <c r="F139" s="53"/>
      <c r="G139" s="54" t="n">
        <f aca="false">(E139*F139)*(1+(SUM('Cadastro Institucional'!D$3:D$4)))</f>
        <v>0</v>
      </c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</row>
    <row r="140" customFormat="false" ht="12.75" hidden="false" customHeight="false" outlineLevel="0" collapsed="false">
      <c r="A140" s="51"/>
      <c r="B140" s="51"/>
      <c r="C140" s="40"/>
      <c r="D140" s="51"/>
      <c r="E140" s="52"/>
      <c r="F140" s="53"/>
      <c r="G140" s="54" t="n">
        <f aca="false">(E140*F140)*(1+(SUM('Cadastro Institucional'!D$3:D$4)))</f>
        <v>0</v>
      </c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</row>
    <row r="141" customFormat="false" ht="12.75" hidden="false" customHeight="false" outlineLevel="0" collapsed="false">
      <c r="A141" s="51"/>
      <c r="B141" s="51"/>
      <c r="C141" s="40"/>
      <c r="D141" s="51"/>
      <c r="E141" s="52"/>
      <c r="F141" s="53"/>
      <c r="G141" s="54" t="n">
        <f aca="false">(E141*F141)*(1+(SUM('Cadastro Institucional'!D$3:D$4)))</f>
        <v>0</v>
      </c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</row>
    <row r="142" customFormat="false" ht="12.75" hidden="false" customHeight="false" outlineLevel="0" collapsed="false">
      <c r="A142" s="51"/>
      <c r="B142" s="51"/>
      <c r="C142" s="40"/>
      <c r="D142" s="51"/>
      <c r="E142" s="52"/>
      <c r="F142" s="53"/>
      <c r="G142" s="54" t="n">
        <f aca="false">(E142*F142)*(1+(SUM('Cadastro Institucional'!D$3:D$4)))</f>
        <v>0</v>
      </c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</row>
    <row r="143" customFormat="false" ht="12.75" hidden="false" customHeight="false" outlineLevel="0" collapsed="false">
      <c r="A143" s="51"/>
      <c r="B143" s="51"/>
      <c r="C143" s="40"/>
      <c r="D143" s="51"/>
      <c r="E143" s="52"/>
      <c r="F143" s="53"/>
      <c r="G143" s="54" t="n">
        <f aca="false">(E143*F143)*(1+(SUM('Cadastro Institucional'!D$3:D$4)))</f>
        <v>0</v>
      </c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</row>
    <row r="144" customFormat="false" ht="12.75" hidden="false" customHeight="false" outlineLevel="0" collapsed="false">
      <c r="A144" s="51"/>
      <c r="B144" s="51"/>
      <c r="C144" s="40"/>
      <c r="D144" s="51"/>
      <c r="E144" s="52"/>
      <c r="F144" s="53"/>
      <c r="G144" s="54" t="n">
        <f aca="false">(E144*F144)*(1+(SUM('Cadastro Institucional'!D$3:D$4)))</f>
        <v>0</v>
      </c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</row>
    <row r="145" customFormat="false" ht="12.75" hidden="false" customHeight="false" outlineLevel="0" collapsed="false">
      <c r="A145" s="51"/>
      <c r="B145" s="51"/>
      <c r="C145" s="40"/>
      <c r="D145" s="51"/>
      <c r="E145" s="52"/>
      <c r="F145" s="53"/>
      <c r="G145" s="54" t="n">
        <f aca="false">(E145*F145)*(1+(SUM('Cadastro Institucional'!D$3:D$4)))</f>
        <v>0</v>
      </c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</row>
    <row r="146" customFormat="false" ht="12.75" hidden="false" customHeight="false" outlineLevel="0" collapsed="false">
      <c r="A146" s="51"/>
      <c r="B146" s="51"/>
      <c r="C146" s="40"/>
      <c r="D146" s="51"/>
      <c r="E146" s="52"/>
      <c r="F146" s="53"/>
      <c r="G146" s="54" t="n">
        <f aca="false">(E146*F146)*(1+(SUM('Cadastro Institucional'!D$3:D$4)))</f>
        <v>0</v>
      </c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</row>
    <row r="147" customFormat="false" ht="12.75" hidden="false" customHeight="false" outlineLevel="0" collapsed="false">
      <c r="A147" s="51"/>
      <c r="B147" s="51"/>
      <c r="C147" s="40"/>
      <c r="D147" s="51"/>
      <c r="E147" s="52"/>
      <c r="F147" s="53"/>
      <c r="G147" s="54" t="n">
        <f aca="false">(E147*F147)*(1+(SUM('Cadastro Institucional'!D$3:D$4)))</f>
        <v>0</v>
      </c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</row>
    <row r="148" customFormat="false" ht="12.75" hidden="false" customHeight="false" outlineLevel="0" collapsed="false">
      <c r="A148" s="51"/>
      <c r="B148" s="51"/>
      <c r="C148" s="40"/>
      <c r="D148" s="51"/>
      <c r="E148" s="52"/>
      <c r="F148" s="53"/>
      <c r="G148" s="54" t="n">
        <f aca="false">(E148*F148)*(1+(SUM('Cadastro Institucional'!D$3:D$4)))</f>
        <v>0</v>
      </c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</row>
    <row r="149" customFormat="false" ht="12.75" hidden="false" customHeight="false" outlineLevel="0" collapsed="false">
      <c r="A149" s="51"/>
      <c r="B149" s="51"/>
      <c r="C149" s="40"/>
      <c r="D149" s="51"/>
      <c r="E149" s="52"/>
      <c r="F149" s="53"/>
      <c r="G149" s="54" t="n">
        <f aca="false">(E149*F149)*(1+(SUM('Cadastro Institucional'!D$3:D$4)))</f>
        <v>0</v>
      </c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</row>
    <row r="150" customFormat="false" ht="12.75" hidden="false" customHeight="false" outlineLevel="0" collapsed="false">
      <c r="A150" s="51"/>
      <c r="B150" s="51"/>
      <c r="C150" s="40"/>
      <c r="D150" s="51"/>
      <c r="E150" s="52"/>
      <c r="F150" s="53"/>
      <c r="G150" s="54" t="n">
        <f aca="false">(E150*F150)*(1+(SUM('Cadastro Institucional'!D$3:D$4)))</f>
        <v>0</v>
      </c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</row>
    <row r="151" customFormat="false" ht="12.75" hidden="false" customHeight="false" outlineLevel="0" collapsed="false">
      <c r="A151" s="51"/>
      <c r="B151" s="51"/>
      <c r="C151" s="40"/>
      <c r="D151" s="51"/>
      <c r="E151" s="52"/>
      <c r="F151" s="53"/>
      <c r="G151" s="54" t="n">
        <f aca="false">(E151*F151)*(1+(SUM('Cadastro Institucional'!D$3:D$4)))</f>
        <v>0</v>
      </c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</row>
    <row r="152" customFormat="false" ht="12.75" hidden="false" customHeight="false" outlineLevel="0" collapsed="false"/>
    <row r="153" customFormat="false" ht="12.75" hidden="false" customHeight="false" outlineLevel="0" collapsed="false"/>
    <row r="154" customFormat="false" ht="12.75" hidden="false" customHeight="false" outlineLevel="0" collapsed="false"/>
    <row r="155" customFormat="false" ht="12.75" hidden="false" customHeight="false" outlineLevel="0" collapsed="false"/>
    <row r="156" customFormat="false" ht="12.75" hidden="false" customHeight="false" outlineLevel="0" collapsed="false"/>
    <row r="157" customFormat="false" ht="12.75" hidden="false" customHeight="false" outlineLevel="0" collapsed="false"/>
    <row r="158" customFormat="false" ht="12.75" hidden="false" customHeight="false" outlineLevel="0" collapsed="false"/>
    <row r="159" customFormat="false" ht="12.75" hidden="false" customHeight="false" outlineLevel="0" collapsed="false"/>
    <row r="160" customFormat="false" ht="12.75" hidden="false" customHeight="false" outlineLevel="0" collapsed="false"/>
    <row r="161" customFormat="false" ht="12.75" hidden="false" customHeight="false" outlineLevel="0" collapsed="false"/>
    <row r="162" customFormat="false" ht="12.75" hidden="false" customHeight="false" outlineLevel="0" collapsed="false"/>
    <row r="163" customFormat="false" ht="12.75" hidden="false" customHeight="false" outlineLevel="0" collapsed="false"/>
    <row r="164" customFormat="false" ht="12.75" hidden="false" customHeight="false" outlineLevel="0" collapsed="false"/>
    <row r="165" customFormat="false" ht="12.75" hidden="false" customHeight="false" outlineLevel="0" collapsed="false"/>
    <row r="166" customFormat="false" ht="12.75" hidden="false" customHeight="false" outlineLevel="0" collapsed="false"/>
    <row r="167" customFormat="false" ht="12.75" hidden="false" customHeight="false" outlineLevel="0" collapsed="false"/>
    <row r="168" customFormat="false" ht="12.75" hidden="false" customHeight="false" outlineLevel="0" collapsed="false"/>
    <row r="169" customFormat="false" ht="12.75" hidden="false" customHeight="false" outlineLevel="0" collapsed="false"/>
    <row r="170" customFormat="false" ht="12.75" hidden="false" customHeight="false" outlineLevel="0" collapsed="false"/>
    <row r="171" customFormat="false" ht="12.75" hidden="false" customHeight="false" outlineLevel="0" collapsed="false"/>
    <row r="172" customFormat="false" ht="12.75" hidden="false" customHeight="false" outlineLevel="0" collapsed="false"/>
    <row r="173" customFormat="false" ht="12.75" hidden="false" customHeight="false" outlineLevel="0" collapsed="false"/>
    <row r="174" customFormat="false" ht="12.75" hidden="false" customHeight="false" outlineLevel="0" collapsed="false"/>
    <row r="175" customFormat="false" ht="12.75" hidden="false" customHeight="false" outlineLevel="0" collapsed="false"/>
    <row r="176" customFormat="false" ht="12.75" hidden="false" customHeight="false" outlineLevel="0" collapsed="false"/>
    <row r="177" customFormat="false" ht="12.75" hidden="false" customHeight="false" outlineLevel="0" collapsed="false"/>
    <row r="178" customFormat="false" ht="12.75" hidden="false" customHeight="false" outlineLevel="0" collapsed="false"/>
    <row r="179" customFormat="false" ht="12.75" hidden="false" customHeight="false" outlineLevel="0" collapsed="false"/>
    <row r="180" customFormat="false" ht="12.75" hidden="false" customHeight="false" outlineLevel="0" collapsed="false"/>
    <row r="181" customFormat="false" ht="12.75" hidden="false" customHeight="false" outlineLevel="0" collapsed="false"/>
    <row r="182" customFormat="false" ht="12.75" hidden="false" customHeight="false" outlineLevel="0" collapsed="false"/>
    <row r="183" customFormat="false" ht="12.75" hidden="false" customHeight="false" outlineLevel="0" collapsed="false"/>
    <row r="184" customFormat="false" ht="12.75" hidden="false" customHeight="false" outlineLevel="0" collapsed="false"/>
    <row r="185" customFormat="false" ht="12.75" hidden="false" customHeight="false" outlineLevel="0" collapsed="false"/>
    <row r="186" customFormat="false" ht="12.75" hidden="false" customHeight="false" outlineLevel="0" collapsed="false"/>
    <row r="187" customFormat="false" ht="12.75" hidden="false" customHeight="false" outlineLevel="0" collapsed="false"/>
    <row r="188" customFormat="false" ht="12.75" hidden="false" customHeight="false" outlineLevel="0" collapsed="false"/>
    <row r="189" customFormat="false" ht="12.75" hidden="false" customHeight="false" outlineLevel="0" collapsed="false"/>
    <row r="190" customFormat="false" ht="12.75" hidden="false" customHeight="false" outlineLevel="0" collapsed="false"/>
    <row r="191" customFormat="false" ht="12.75" hidden="false" customHeight="false" outlineLevel="0" collapsed="false"/>
    <row r="192" customFormat="false" ht="12.75" hidden="false" customHeight="false" outlineLevel="0" collapsed="false"/>
    <row r="193" customFormat="false" ht="12.75" hidden="false" customHeight="false" outlineLevel="0" collapsed="false"/>
    <row r="194" customFormat="false" ht="12.75" hidden="false" customHeight="false" outlineLevel="0" collapsed="false"/>
    <row r="195" customFormat="false" ht="12.75" hidden="false" customHeight="false" outlineLevel="0" collapsed="false"/>
    <row r="196" customFormat="false" ht="12.75" hidden="false" customHeight="false" outlineLevel="0" collapsed="false"/>
    <row r="197" customFormat="false" ht="12.75" hidden="false" customHeight="false" outlineLevel="0" collapsed="false"/>
    <row r="198" customFormat="false" ht="12.75" hidden="false" customHeight="false" outlineLevel="0" collapsed="false"/>
    <row r="199" customFormat="false" ht="12.75" hidden="false" customHeight="false" outlineLevel="0" collapsed="false"/>
    <row r="200" customFormat="false" ht="12.75" hidden="false" customHeight="false" outlineLevel="0" collapsed="false"/>
    <row r="201" customFormat="false" ht="12.75" hidden="false" customHeight="false" outlineLevel="0" collapsed="false"/>
    <row r="202" customFormat="false" ht="12.75" hidden="false" customHeight="false" outlineLevel="0" collapsed="false"/>
    <row r="203" customFormat="false" ht="12.75" hidden="false" customHeight="false" outlineLevel="0" collapsed="false"/>
    <row r="204" customFormat="false" ht="12.75" hidden="false" customHeight="false" outlineLevel="0" collapsed="false"/>
    <row r="205" customFormat="false" ht="12.75" hidden="false" customHeight="false" outlineLevel="0" collapsed="false"/>
    <row r="206" customFormat="false" ht="12.75" hidden="false" customHeight="false" outlineLevel="0" collapsed="false"/>
    <row r="207" customFormat="false" ht="12.75" hidden="false" customHeight="false" outlineLevel="0" collapsed="false"/>
    <row r="208" customFormat="false" ht="12.75" hidden="false" customHeight="false" outlineLevel="0" collapsed="false"/>
    <row r="209" customFormat="false" ht="12.75" hidden="false" customHeight="false" outlineLevel="0" collapsed="false"/>
    <row r="210" customFormat="false" ht="12.75" hidden="false" customHeight="false" outlineLevel="0" collapsed="false"/>
    <row r="211" customFormat="false" ht="12.75" hidden="false" customHeight="false" outlineLevel="0" collapsed="false"/>
    <row r="212" customFormat="false" ht="12.75" hidden="false" customHeight="false" outlineLevel="0" collapsed="false"/>
    <row r="213" customFormat="false" ht="12.75" hidden="false" customHeight="false" outlineLevel="0" collapsed="false"/>
    <row r="214" customFormat="false" ht="12.75" hidden="false" customHeight="false" outlineLevel="0" collapsed="false"/>
    <row r="215" customFormat="false" ht="12.75" hidden="false" customHeight="false" outlineLevel="0" collapsed="false"/>
    <row r="216" customFormat="false" ht="12.75" hidden="false" customHeight="false" outlineLevel="0" collapsed="false"/>
    <row r="217" customFormat="false" ht="12.75" hidden="false" customHeight="false" outlineLevel="0" collapsed="false"/>
    <row r="218" customFormat="false" ht="12.75" hidden="false" customHeight="false" outlineLevel="0" collapsed="false"/>
    <row r="219" customFormat="false" ht="12.75" hidden="false" customHeight="false" outlineLevel="0" collapsed="false"/>
    <row r="220" customFormat="false" ht="12.75" hidden="false" customHeight="false" outlineLevel="0" collapsed="false"/>
    <row r="221" customFormat="false" ht="12.75" hidden="false" customHeight="false" outlineLevel="0" collapsed="false"/>
    <row r="222" customFormat="false" ht="12.75" hidden="false" customHeight="false" outlineLevel="0" collapsed="false"/>
    <row r="223" customFormat="false" ht="12.75" hidden="false" customHeight="false" outlineLevel="0" collapsed="false"/>
    <row r="224" customFormat="false" ht="12.75" hidden="false" customHeight="false" outlineLevel="0" collapsed="false"/>
    <row r="225" customFormat="false" ht="12.75" hidden="false" customHeight="false" outlineLevel="0" collapsed="false"/>
    <row r="226" customFormat="false" ht="12.75" hidden="false" customHeight="false" outlineLevel="0" collapsed="false"/>
    <row r="227" customFormat="false" ht="12.75" hidden="false" customHeight="false" outlineLevel="0" collapsed="false"/>
    <row r="228" customFormat="false" ht="12.75" hidden="false" customHeight="false" outlineLevel="0" collapsed="false"/>
    <row r="229" customFormat="false" ht="12.75" hidden="false" customHeight="false" outlineLevel="0" collapsed="false"/>
    <row r="230" customFormat="false" ht="12.75" hidden="false" customHeight="false" outlineLevel="0" collapsed="false"/>
    <row r="231" customFormat="false" ht="12.75" hidden="false" customHeight="false" outlineLevel="0" collapsed="false"/>
    <row r="232" customFormat="false" ht="12.75" hidden="false" customHeight="false" outlineLevel="0" collapsed="false"/>
    <row r="233" customFormat="false" ht="12.75" hidden="false" customHeight="false" outlineLevel="0" collapsed="false"/>
    <row r="234" customFormat="false" ht="12.75" hidden="false" customHeight="false" outlineLevel="0" collapsed="false"/>
    <row r="235" customFormat="false" ht="12.75" hidden="false" customHeight="false" outlineLevel="0" collapsed="false"/>
    <row r="236" customFormat="false" ht="12.75" hidden="false" customHeight="false" outlineLevel="0" collapsed="false"/>
    <row r="237" customFormat="false" ht="12.75" hidden="false" customHeight="false" outlineLevel="0" collapsed="false"/>
    <row r="238" customFormat="false" ht="12.75" hidden="false" customHeight="false" outlineLevel="0" collapsed="false"/>
    <row r="239" customFormat="false" ht="12.75" hidden="false" customHeight="false" outlineLevel="0" collapsed="false"/>
    <row r="240" customFormat="false" ht="12.75" hidden="false" customHeight="false" outlineLevel="0" collapsed="false"/>
    <row r="241" customFormat="false" ht="12.75" hidden="false" customHeight="false" outlineLevel="0" collapsed="false"/>
    <row r="242" customFormat="false" ht="12.75" hidden="false" customHeight="false" outlineLevel="0" collapsed="false"/>
    <row r="243" customFormat="false" ht="12.75" hidden="false" customHeight="false" outlineLevel="0" collapsed="false"/>
    <row r="244" customFormat="false" ht="12.75" hidden="false" customHeight="false" outlineLevel="0" collapsed="false"/>
    <row r="245" customFormat="false" ht="12.75" hidden="false" customHeight="false" outlineLevel="0" collapsed="false"/>
    <row r="246" customFormat="false" ht="12.75" hidden="false" customHeight="false" outlineLevel="0" collapsed="false"/>
    <row r="247" customFormat="false" ht="12.75" hidden="false" customHeight="false" outlineLevel="0" collapsed="false"/>
    <row r="248" customFormat="false" ht="12.75" hidden="false" customHeight="false" outlineLevel="0" collapsed="false"/>
    <row r="249" customFormat="false" ht="12.75" hidden="false" customHeight="false" outlineLevel="0" collapsed="false"/>
    <row r="250" customFormat="false" ht="12.75" hidden="false" customHeight="false" outlineLevel="0" collapsed="false"/>
    <row r="251" customFormat="false" ht="12.75" hidden="false" customHeight="false" outlineLevel="0" collapsed="false"/>
    <row r="252" customFormat="false" ht="12.75" hidden="false" customHeight="false" outlineLevel="0" collapsed="false"/>
    <row r="253" customFormat="false" ht="12.75" hidden="false" customHeight="false" outlineLevel="0" collapsed="false"/>
    <row r="254" customFormat="false" ht="12.75" hidden="false" customHeight="false" outlineLevel="0" collapsed="false"/>
    <row r="255" customFormat="false" ht="12.75" hidden="false" customHeight="false" outlineLevel="0" collapsed="false"/>
    <row r="256" customFormat="false" ht="12.75" hidden="false" customHeight="false" outlineLevel="0" collapsed="false"/>
    <row r="257" customFormat="false" ht="12.75" hidden="false" customHeight="false" outlineLevel="0" collapsed="false"/>
    <row r="258" customFormat="false" ht="12.75" hidden="false" customHeight="false" outlineLevel="0" collapsed="false"/>
    <row r="259" customFormat="false" ht="12.75" hidden="false" customHeight="false" outlineLevel="0" collapsed="false"/>
    <row r="260" customFormat="false" ht="12.75" hidden="false" customHeight="false" outlineLevel="0" collapsed="false"/>
    <row r="261" customFormat="false" ht="12.75" hidden="false" customHeight="false" outlineLevel="0" collapsed="false"/>
    <row r="262" customFormat="false" ht="12.75" hidden="false" customHeight="false" outlineLevel="0" collapsed="false"/>
    <row r="263" customFormat="false" ht="12.75" hidden="false" customHeight="false" outlineLevel="0" collapsed="false"/>
    <row r="264" customFormat="false" ht="12.75" hidden="false" customHeight="false" outlineLevel="0" collapsed="false"/>
    <row r="265" customFormat="false" ht="12.75" hidden="false" customHeight="false" outlineLevel="0" collapsed="false"/>
    <row r="266" customFormat="false" ht="12.75" hidden="false" customHeight="false" outlineLevel="0" collapsed="false"/>
    <row r="267" customFormat="false" ht="12.75" hidden="false" customHeight="false" outlineLevel="0" collapsed="false"/>
    <row r="268" customFormat="false" ht="12.75" hidden="false" customHeight="false" outlineLevel="0" collapsed="false"/>
    <row r="269" customFormat="false" ht="12.75" hidden="false" customHeight="false" outlineLevel="0" collapsed="false"/>
    <row r="270" customFormat="false" ht="12.75" hidden="false" customHeight="false" outlineLevel="0" collapsed="false"/>
    <row r="271" customFormat="false" ht="12.75" hidden="false" customHeight="false" outlineLevel="0" collapsed="false"/>
    <row r="272" customFormat="false" ht="12.75" hidden="false" customHeight="false" outlineLevel="0" collapsed="false"/>
    <row r="273" customFormat="false" ht="12.75" hidden="false" customHeight="fals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12.75" hidden="false" customHeight="false" outlineLevel="0" collapsed="false"/>
    <row r="283" customFormat="false" ht="12.75" hidden="false" customHeight="false" outlineLevel="0" collapsed="false"/>
    <row r="284" customFormat="false" ht="12.75" hidden="false" customHeight="fals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12.75" hidden="false" customHeight="false" outlineLevel="0" collapsed="false"/>
    <row r="291" customFormat="false" ht="12.75" hidden="false" customHeight="false" outlineLevel="0" collapsed="false"/>
    <row r="292" customFormat="false" ht="12.75" hidden="false" customHeight="false" outlineLevel="0" collapsed="false"/>
    <row r="293" customFormat="false" ht="12.75" hidden="false" customHeight="false" outlineLevel="0" collapsed="false"/>
    <row r="294" customFormat="false" ht="12.75" hidden="false" customHeight="false" outlineLevel="0" collapsed="false"/>
    <row r="295" customFormat="false" ht="12.75" hidden="false" customHeight="fals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12.75" hidden="false" customHeight="false" outlineLevel="0" collapsed="false"/>
    <row r="299" customFormat="false" ht="12.75" hidden="false" customHeight="false" outlineLevel="0" collapsed="false"/>
    <row r="300" customFormat="false" ht="12.75" hidden="false" customHeight="fals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12.75" hidden="false" customHeight="false" outlineLevel="0" collapsed="false"/>
    <row r="308" customFormat="false" ht="12.75" hidden="false" customHeight="false" outlineLevel="0" collapsed="false"/>
    <row r="309" customFormat="false" ht="12.75" hidden="false" customHeight="false" outlineLevel="0" collapsed="false"/>
    <row r="310" customFormat="false" ht="12.75" hidden="false" customHeight="false" outlineLevel="0" collapsed="false"/>
    <row r="311" customFormat="false" ht="12.75" hidden="false" customHeight="false" outlineLevel="0" collapsed="false"/>
    <row r="312" customFormat="false" ht="12.75" hidden="false" customHeight="false" outlineLevel="0" collapsed="false"/>
    <row r="313" customFormat="false" ht="12.75" hidden="false" customHeight="false" outlineLevel="0" collapsed="false"/>
    <row r="314" customFormat="false" ht="12.75" hidden="false" customHeight="fals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12.75" hidden="false" customHeight="fals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  <row r="344" customFormat="false" ht="12.75" hidden="false" customHeight="false" outlineLevel="0" collapsed="false"/>
    <row r="345" customFormat="false" ht="12.75" hidden="false" customHeight="false" outlineLevel="0" collapsed="false"/>
    <row r="346" customFormat="false" ht="12.75" hidden="false" customHeight="false" outlineLevel="0" collapsed="false"/>
    <row r="347" customFormat="false" ht="12.75" hidden="false" customHeight="false" outlineLevel="0" collapsed="false"/>
    <row r="348" customFormat="false" ht="12.75" hidden="false" customHeight="false" outlineLevel="0" collapsed="false"/>
    <row r="349" customFormat="false" ht="12.75" hidden="false" customHeight="false" outlineLevel="0" collapsed="false"/>
    <row r="350" customFormat="false" ht="12.75" hidden="false" customHeight="false" outlineLevel="0" collapsed="false"/>
    <row r="351" customFormat="false" ht="12.75" hidden="false" customHeight="false" outlineLevel="0" collapsed="false"/>
    <row r="352" customFormat="false" ht="12.75" hidden="false" customHeight="false" outlineLevel="0" collapsed="false"/>
    <row r="353" customFormat="false" ht="12.75" hidden="false" customHeight="false" outlineLevel="0" collapsed="false"/>
    <row r="354" customFormat="false" ht="12.75" hidden="false" customHeight="false" outlineLevel="0" collapsed="false"/>
    <row r="355" customFormat="false" ht="12.75" hidden="false" customHeight="false" outlineLevel="0" collapsed="false"/>
    <row r="356" customFormat="false" ht="12.75" hidden="false" customHeight="false" outlineLevel="0" collapsed="false"/>
    <row r="357" customFormat="false" ht="12.75" hidden="false" customHeight="false" outlineLevel="0" collapsed="false"/>
    <row r="358" customFormat="false" ht="12.75" hidden="false" customHeight="false" outlineLevel="0" collapsed="false"/>
    <row r="359" customFormat="false" ht="12.75" hidden="false" customHeight="false" outlineLevel="0" collapsed="false"/>
    <row r="360" customFormat="false" ht="12.75" hidden="false" customHeight="false" outlineLevel="0" collapsed="false"/>
    <row r="361" customFormat="false" ht="12.75" hidden="false" customHeight="false" outlineLevel="0" collapsed="false"/>
    <row r="362" customFormat="false" ht="12.75" hidden="false" customHeight="false" outlineLevel="0" collapsed="false"/>
    <row r="363" customFormat="false" ht="12.75" hidden="false" customHeight="false" outlineLevel="0" collapsed="false"/>
    <row r="364" customFormat="false" ht="12.75" hidden="false" customHeight="false" outlineLevel="0" collapsed="false"/>
    <row r="365" customFormat="false" ht="12.75" hidden="false" customHeight="false" outlineLevel="0" collapsed="false"/>
    <row r="366" customFormat="false" ht="12.75" hidden="false" customHeight="false" outlineLevel="0" collapsed="false"/>
    <row r="367" customFormat="false" ht="12.75" hidden="false" customHeight="false" outlineLevel="0" collapsed="false"/>
    <row r="368" customFormat="false" ht="12.75" hidden="false" customHeight="false" outlineLevel="0" collapsed="false"/>
    <row r="369" customFormat="false" ht="12.75" hidden="false" customHeight="false" outlineLevel="0" collapsed="false"/>
    <row r="370" customFormat="false" ht="12.75" hidden="false" customHeight="false" outlineLevel="0" collapsed="false"/>
    <row r="371" customFormat="false" ht="12.75" hidden="false" customHeight="false" outlineLevel="0" collapsed="false"/>
    <row r="372" customFormat="false" ht="12.75" hidden="false" customHeight="false" outlineLevel="0" collapsed="false"/>
    <row r="373" customFormat="false" ht="12.75" hidden="false" customHeight="false" outlineLevel="0" collapsed="false"/>
    <row r="374" customFormat="false" ht="12.75" hidden="false" customHeight="false" outlineLevel="0" collapsed="false"/>
    <row r="375" customFormat="false" ht="12.75" hidden="false" customHeight="false" outlineLevel="0" collapsed="false"/>
    <row r="376" customFormat="false" ht="12.75" hidden="false" customHeight="false" outlineLevel="0" collapsed="false"/>
    <row r="377" customFormat="false" ht="12.75" hidden="false" customHeight="false" outlineLevel="0" collapsed="false"/>
    <row r="378" customFormat="false" ht="12.75" hidden="false" customHeight="false" outlineLevel="0" collapsed="false"/>
    <row r="379" customFormat="false" ht="12.75" hidden="false" customHeight="false" outlineLevel="0" collapsed="false"/>
    <row r="380" customFormat="false" ht="12.75" hidden="false" customHeight="false" outlineLevel="0" collapsed="false"/>
    <row r="381" customFormat="false" ht="12.75" hidden="false" customHeight="false" outlineLevel="0" collapsed="false"/>
    <row r="382" customFormat="false" ht="12.75" hidden="false" customHeight="false" outlineLevel="0" collapsed="false"/>
    <row r="383" customFormat="false" ht="12.75" hidden="false" customHeight="false" outlineLevel="0" collapsed="false"/>
    <row r="384" customFormat="false" ht="12.75" hidden="false" customHeight="false" outlineLevel="0" collapsed="false"/>
    <row r="385" customFormat="false" ht="12.75" hidden="false" customHeight="false" outlineLevel="0" collapsed="false"/>
    <row r="386" customFormat="false" ht="12.75" hidden="false" customHeight="false" outlineLevel="0" collapsed="false"/>
    <row r="387" customFormat="false" ht="12.75" hidden="false" customHeight="false" outlineLevel="0" collapsed="false"/>
    <row r="388" customFormat="false" ht="12.75" hidden="false" customHeight="false" outlineLevel="0" collapsed="false"/>
    <row r="389" customFormat="false" ht="12.75" hidden="false" customHeight="false" outlineLevel="0" collapsed="false"/>
    <row r="390" customFormat="false" ht="12.75" hidden="false" customHeight="false" outlineLevel="0" collapsed="false"/>
    <row r="391" customFormat="false" ht="12.75" hidden="false" customHeight="false" outlineLevel="0" collapsed="false"/>
    <row r="392" customFormat="false" ht="12.75" hidden="false" customHeight="false" outlineLevel="0" collapsed="false"/>
    <row r="393" customFormat="false" ht="12.75" hidden="false" customHeight="false" outlineLevel="0" collapsed="false"/>
    <row r="394" customFormat="false" ht="12.75" hidden="false" customHeight="false" outlineLevel="0" collapsed="false"/>
    <row r="395" customFormat="false" ht="12.75" hidden="false" customHeight="false" outlineLevel="0" collapsed="false"/>
    <row r="396" customFormat="false" ht="12.75" hidden="false" customHeight="false" outlineLevel="0" collapsed="false"/>
    <row r="397" customFormat="false" ht="12.75" hidden="false" customHeight="false" outlineLevel="0" collapsed="false"/>
    <row r="398" customFormat="false" ht="12.75" hidden="false" customHeight="false" outlineLevel="0" collapsed="false"/>
    <row r="399" customFormat="false" ht="12.75" hidden="false" customHeight="false" outlineLevel="0" collapsed="false"/>
    <row r="400" customFormat="false" ht="12.75" hidden="false" customHeight="false" outlineLevel="0" collapsed="false"/>
    <row r="401" customFormat="false" ht="12.75" hidden="false" customHeight="false" outlineLevel="0" collapsed="false"/>
    <row r="402" customFormat="false" ht="12.75" hidden="false" customHeight="false" outlineLevel="0" collapsed="false"/>
    <row r="403" customFormat="false" ht="12.75" hidden="false" customHeight="false" outlineLevel="0" collapsed="false"/>
    <row r="404" customFormat="false" ht="12.75" hidden="false" customHeight="false" outlineLevel="0" collapsed="false"/>
    <row r="405" customFormat="false" ht="12.75" hidden="false" customHeight="false" outlineLevel="0" collapsed="false"/>
    <row r="406" customFormat="false" ht="12.75" hidden="false" customHeight="false" outlineLevel="0" collapsed="false"/>
    <row r="407" customFormat="false" ht="12.75" hidden="false" customHeight="false" outlineLevel="0" collapsed="false"/>
    <row r="408" customFormat="false" ht="12.75" hidden="false" customHeight="false" outlineLevel="0" collapsed="false"/>
    <row r="409" customFormat="false" ht="12.75" hidden="false" customHeight="false" outlineLevel="0" collapsed="false"/>
    <row r="410" customFormat="false" ht="12.75" hidden="false" customHeight="false" outlineLevel="0" collapsed="false"/>
    <row r="411" customFormat="false" ht="12.75" hidden="false" customHeight="false" outlineLevel="0" collapsed="false"/>
    <row r="412" customFormat="false" ht="12.75" hidden="false" customHeight="false" outlineLevel="0" collapsed="false"/>
    <row r="413" customFormat="false" ht="12.75" hidden="false" customHeight="false" outlineLevel="0" collapsed="false"/>
    <row r="414" customFormat="false" ht="12.75" hidden="false" customHeight="false" outlineLevel="0" collapsed="false"/>
    <row r="415" customFormat="false" ht="12.75" hidden="false" customHeight="false" outlineLevel="0" collapsed="false"/>
    <row r="416" customFormat="false" ht="12.75" hidden="false" customHeight="false" outlineLevel="0" collapsed="false"/>
    <row r="417" customFormat="false" ht="12.75" hidden="false" customHeight="false" outlineLevel="0" collapsed="false"/>
    <row r="418" customFormat="false" ht="12.75" hidden="false" customHeight="false" outlineLevel="0" collapsed="false"/>
    <row r="419" customFormat="false" ht="12.75" hidden="false" customHeight="false" outlineLevel="0" collapsed="false"/>
    <row r="420" customFormat="false" ht="12.75" hidden="false" customHeight="false" outlineLevel="0" collapsed="false"/>
    <row r="421" customFormat="false" ht="12.75" hidden="false" customHeight="false" outlineLevel="0" collapsed="false"/>
    <row r="422" customFormat="false" ht="12.75" hidden="false" customHeight="false" outlineLevel="0" collapsed="false"/>
    <row r="423" customFormat="false" ht="12.75" hidden="false" customHeight="false" outlineLevel="0" collapsed="false"/>
    <row r="424" customFormat="false" ht="12.75" hidden="false" customHeight="false" outlineLevel="0" collapsed="false"/>
    <row r="425" customFormat="false" ht="12.75" hidden="false" customHeight="false" outlineLevel="0" collapsed="false"/>
    <row r="426" customFormat="false" ht="12.75" hidden="false" customHeight="false" outlineLevel="0" collapsed="false"/>
    <row r="427" customFormat="false" ht="12.75" hidden="false" customHeight="false" outlineLevel="0" collapsed="false"/>
    <row r="428" customFormat="false" ht="12.75" hidden="false" customHeight="false" outlineLevel="0" collapsed="false"/>
    <row r="429" customFormat="false" ht="12.75" hidden="false" customHeight="false" outlineLevel="0" collapsed="false"/>
    <row r="430" customFormat="false" ht="12.75" hidden="false" customHeight="false" outlineLevel="0" collapsed="false"/>
    <row r="431" customFormat="false" ht="12.75" hidden="false" customHeight="false" outlineLevel="0" collapsed="false"/>
    <row r="432" customFormat="false" ht="12.75" hidden="false" customHeight="false" outlineLevel="0" collapsed="false"/>
    <row r="433" customFormat="false" ht="12.75" hidden="false" customHeight="false" outlineLevel="0" collapsed="false"/>
    <row r="434" customFormat="false" ht="12.75" hidden="false" customHeight="false" outlineLevel="0" collapsed="false"/>
    <row r="435" customFormat="false" ht="12.75" hidden="false" customHeight="false" outlineLevel="0" collapsed="false"/>
    <row r="436" customFormat="false" ht="12.75" hidden="false" customHeight="false" outlineLevel="0" collapsed="false"/>
    <row r="437" customFormat="false" ht="12.75" hidden="false" customHeight="false" outlineLevel="0" collapsed="false"/>
    <row r="438" customFormat="false" ht="12.75" hidden="false" customHeight="false" outlineLevel="0" collapsed="false"/>
    <row r="439" customFormat="false" ht="12.75" hidden="false" customHeight="false" outlineLevel="0" collapsed="false"/>
    <row r="440" customFormat="false" ht="12.75" hidden="false" customHeight="false" outlineLevel="0" collapsed="false"/>
    <row r="441" customFormat="false" ht="12.75" hidden="false" customHeight="false" outlineLevel="0" collapsed="false"/>
    <row r="442" customFormat="false" ht="12.75" hidden="false" customHeight="false" outlineLevel="0" collapsed="false"/>
    <row r="443" customFormat="false" ht="12.75" hidden="false" customHeight="false" outlineLevel="0" collapsed="false"/>
    <row r="444" customFormat="false" ht="12.75" hidden="false" customHeight="false" outlineLevel="0" collapsed="false"/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/>
    <row r="455" customFormat="false" ht="12.75" hidden="false" customHeight="false" outlineLevel="0" collapsed="false"/>
    <row r="456" customFormat="false" ht="12.75" hidden="false" customHeight="false" outlineLevel="0" collapsed="false"/>
    <row r="457" customFormat="false" ht="12.75" hidden="false" customHeight="false" outlineLevel="0" collapsed="false"/>
    <row r="458" customFormat="false" ht="12.75" hidden="false" customHeight="false" outlineLevel="0" collapsed="false"/>
    <row r="459" customFormat="false" ht="12.75" hidden="false" customHeight="false" outlineLevel="0" collapsed="false"/>
    <row r="460" customFormat="false" ht="12.75" hidden="false" customHeight="false" outlineLevel="0" collapsed="false"/>
    <row r="461" customFormat="false" ht="12.75" hidden="false" customHeight="false" outlineLevel="0" collapsed="false"/>
    <row r="462" customFormat="false" ht="12.75" hidden="false" customHeight="false" outlineLevel="0" collapsed="false"/>
    <row r="463" customFormat="false" ht="12.75" hidden="false" customHeight="false" outlineLevel="0" collapsed="false"/>
    <row r="464" customFormat="false" ht="12.75" hidden="false" customHeight="false" outlineLevel="0" collapsed="false"/>
    <row r="465" customFormat="false" ht="12.75" hidden="false" customHeight="false" outlineLevel="0" collapsed="false"/>
    <row r="466" customFormat="false" ht="12.75" hidden="false" customHeight="false" outlineLevel="0" collapsed="false"/>
    <row r="467" customFormat="false" ht="12.75" hidden="false" customHeight="false" outlineLevel="0" collapsed="false"/>
    <row r="468" customFormat="false" ht="12.75" hidden="false" customHeight="false" outlineLevel="0" collapsed="false"/>
    <row r="469" customFormat="false" ht="12.75" hidden="false" customHeight="false" outlineLevel="0" collapsed="false"/>
    <row r="470" customFormat="false" ht="12.75" hidden="false" customHeight="false" outlineLevel="0" collapsed="false"/>
    <row r="471" customFormat="false" ht="12.75" hidden="false" customHeight="false" outlineLevel="0" collapsed="false"/>
    <row r="472" customFormat="false" ht="12.75" hidden="false" customHeight="false" outlineLevel="0" collapsed="false"/>
    <row r="473" customFormat="false" ht="12.75" hidden="false" customHeight="false" outlineLevel="0" collapsed="false"/>
    <row r="474" customFormat="false" ht="12.75" hidden="false" customHeight="false" outlineLevel="0" collapsed="false"/>
    <row r="475" customFormat="false" ht="12.75" hidden="false" customHeight="false" outlineLevel="0" collapsed="false"/>
    <row r="476" customFormat="false" ht="12.75" hidden="false" customHeight="false" outlineLevel="0" collapsed="false"/>
    <row r="477" customFormat="false" ht="12.75" hidden="false" customHeight="false" outlineLevel="0" collapsed="false"/>
    <row r="478" customFormat="false" ht="12.75" hidden="false" customHeight="false" outlineLevel="0" collapsed="false"/>
    <row r="479" customFormat="false" ht="12.75" hidden="false" customHeight="false" outlineLevel="0" collapsed="false"/>
    <row r="480" customFormat="false" ht="12.75" hidden="false" customHeight="false" outlineLevel="0" collapsed="false"/>
    <row r="481" customFormat="false" ht="12.75" hidden="false" customHeight="false" outlineLevel="0" collapsed="false"/>
    <row r="482" customFormat="false" ht="12.75" hidden="false" customHeight="false" outlineLevel="0" collapsed="false"/>
    <row r="483" customFormat="false" ht="12.75" hidden="false" customHeight="false" outlineLevel="0" collapsed="false"/>
    <row r="484" customFormat="false" ht="12.75" hidden="false" customHeight="false" outlineLevel="0" collapsed="false"/>
    <row r="485" customFormat="false" ht="12.75" hidden="false" customHeight="false" outlineLevel="0" collapsed="false"/>
    <row r="486" customFormat="false" ht="12.75" hidden="false" customHeight="false" outlineLevel="0" collapsed="false"/>
    <row r="487" customFormat="false" ht="12.75" hidden="false" customHeight="false" outlineLevel="0" collapsed="false"/>
    <row r="488" customFormat="false" ht="12.75" hidden="false" customHeight="false" outlineLevel="0" collapsed="false"/>
    <row r="489" customFormat="false" ht="12.75" hidden="false" customHeight="false" outlineLevel="0" collapsed="false"/>
    <row r="490" customFormat="false" ht="12.75" hidden="false" customHeight="false" outlineLevel="0" collapsed="false"/>
    <row r="491" customFormat="false" ht="12.75" hidden="false" customHeight="false" outlineLevel="0" collapsed="false"/>
    <row r="492" customFormat="false" ht="12.75" hidden="false" customHeight="false" outlineLevel="0" collapsed="false"/>
    <row r="493" customFormat="false" ht="12.75" hidden="false" customHeight="false" outlineLevel="0" collapsed="false"/>
    <row r="494" customFormat="false" ht="12.75" hidden="false" customHeight="false" outlineLevel="0" collapsed="false"/>
    <row r="495" customFormat="false" ht="12.75" hidden="false" customHeight="false" outlineLevel="0" collapsed="false"/>
    <row r="496" customFormat="false" ht="12.75" hidden="false" customHeight="false" outlineLevel="0" collapsed="false"/>
    <row r="497" customFormat="false" ht="12.75" hidden="false" customHeight="false" outlineLevel="0" collapsed="false"/>
    <row r="498" customFormat="false" ht="12.75" hidden="false" customHeight="false" outlineLevel="0" collapsed="false"/>
    <row r="499" customFormat="false" ht="12.75" hidden="false" customHeight="false" outlineLevel="0" collapsed="false"/>
    <row r="500" customFormat="false" ht="12.75" hidden="false" customHeight="false" outlineLevel="0" collapsed="false"/>
    <row r="501" customFormat="false" ht="12.75" hidden="false" customHeight="false" outlineLevel="0" collapsed="false"/>
    <row r="502" customFormat="false" ht="12.75" hidden="false" customHeight="false" outlineLevel="0" collapsed="false"/>
    <row r="503" customFormat="false" ht="12.75" hidden="false" customHeight="false" outlineLevel="0" collapsed="false"/>
    <row r="504" customFormat="false" ht="12.75" hidden="false" customHeight="false" outlineLevel="0" collapsed="false"/>
    <row r="505" customFormat="false" ht="12.75" hidden="false" customHeight="false" outlineLevel="0" collapsed="false"/>
    <row r="506" customFormat="false" ht="12.75" hidden="false" customHeight="false" outlineLevel="0" collapsed="false"/>
    <row r="507" customFormat="false" ht="12.75" hidden="false" customHeight="false" outlineLevel="0" collapsed="false"/>
    <row r="508" customFormat="false" ht="12.75" hidden="false" customHeight="false" outlineLevel="0" collapsed="false"/>
    <row r="509" customFormat="false" ht="12.75" hidden="false" customHeight="false" outlineLevel="0" collapsed="false"/>
    <row r="510" customFormat="false" ht="12.75" hidden="false" customHeight="false" outlineLevel="0" collapsed="false"/>
    <row r="511" customFormat="false" ht="12.75" hidden="false" customHeight="false" outlineLevel="0" collapsed="false"/>
    <row r="512" customFormat="false" ht="12.75" hidden="false" customHeight="false" outlineLevel="0" collapsed="false"/>
    <row r="513" customFormat="false" ht="12.75" hidden="false" customHeight="false" outlineLevel="0" collapsed="false"/>
    <row r="514" customFormat="false" ht="12.75" hidden="false" customHeight="false" outlineLevel="0" collapsed="false"/>
    <row r="515" customFormat="false" ht="12.75" hidden="false" customHeight="false" outlineLevel="0" collapsed="false"/>
    <row r="516" customFormat="false" ht="12.75" hidden="false" customHeight="false" outlineLevel="0" collapsed="false"/>
    <row r="517" customFormat="false" ht="12.75" hidden="false" customHeight="false" outlineLevel="0" collapsed="false"/>
    <row r="518" customFormat="false" ht="12.75" hidden="false" customHeight="false" outlineLevel="0" collapsed="false"/>
    <row r="519" customFormat="false" ht="12.75" hidden="false" customHeight="false" outlineLevel="0" collapsed="false"/>
    <row r="520" customFormat="false" ht="12.75" hidden="false" customHeight="false" outlineLevel="0" collapsed="false"/>
    <row r="521" customFormat="false" ht="12.75" hidden="false" customHeight="false" outlineLevel="0" collapsed="false"/>
    <row r="522" customFormat="false" ht="12.75" hidden="false" customHeight="false" outlineLevel="0" collapsed="false"/>
    <row r="523" customFormat="false" ht="12.75" hidden="false" customHeight="false" outlineLevel="0" collapsed="false"/>
    <row r="524" customFormat="false" ht="12.75" hidden="false" customHeight="false" outlineLevel="0" collapsed="false"/>
    <row r="525" customFormat="false" ht="12.75" hidden="false" customHeight="false" outlineLevel="0" collapsed="false"/>
    <row r="526" customFormat="false" ht="12.75" hidden="false" customHeight="false" outlineLevel="0" collapsed="false"/>
    <row r="527" customFormat="false" ht="12.75" hidden="false" customHeight="false" outlineLevel="0" collapsed="false"/>
    <row r="528" customFormat="false" ht="12.75" hidden="false" customHeight="false" outlineLevel="0" collapsed="false"/>
    <row r="529" customFormat="false" ht="12.75" hidden="false" customHeight="false" outlineLevel="0" collapsed="false"/>
    <row r="530" customFormat="false" ht="12.75" hidden="false" customHeight="false" outlineLevel="0" collapsed="false"/>
    <row r="531" customFormat="false" ht="12.75" hidden="false" customHeight="false" outlineLevel="0" collapsed="false"/>
    <row r="532" customFormat="false" ht="12.75" hidden="false" customHeight="false" outlineLevel="0" collapsed="false"/>
    <row r="533" customFormat="false" ht="12.75" hidden="false" customHeight="false" outlineLevel="0" collapsed="false"/>
    <row r="534" customFormat="false" ht="12.75" hidden="false" customHeight="false" outlineLevel="0" collapsed="false"/>
    <row r="535" customFormat="false" ht="12.75" hidden="false" customHeight="false" outlineLevel="0" collapsed="false"/>
    <row r="536" customFormat="false" ht="12.75" hidden="false" customHeight="false" outlineLevel="0" collapsed="false"/>
    <row r="537" customFormat="false" ht="12.75" hidden="false" customHeight="false" outlineLevel="0" collapsed="false"/>
    <row r="538" customFormat="false" ht="12.75" hidden="false" customHeight="false" outlineLevel="0" collapsed="false"/>
    <row r="539" customFormat="false" ht="12.75" hidden="false" customHeight="false" outlineLevel="0" collapsed="false"/>
    <row r="540" customFormat="false" ht="12.75" hidden="false" customHeight="false" outlineLevel="0" collapsed="false"/>
    <row r="541" customFormat="false" ht="12.75" hidden="false" customHeight="false" outlineLevel="0" collapsed="false"/>
    <row r="542" customFormat="false" ht="12.75" hidden="false" customHeight="false" outlineLevel="0" collapsed="false"/>
    <row r="543" customFormat="false" ht="12.75" hidden="false" customHeight="false" outlineLevel="0" collapsed="false"/>
    <row r="544" customFormat="false" ht="12.75" hidden="false" customHeight="false" outlineLevel="0" collapsed="false"/>
    <row r="545" customFormat="false" ht="12.75" hidden="false" customHeight="false" outlineLevel="0" collapsed="false"/>
    <row r="546" customFormat="false" ht="12.75" hidden="false" customHeight="false" outlineLevel="0" collapsed="false"/>
    <row r="547" customFormat="false" ht="12.75" hidden="false" customHeight="false" outlineLevel="0" collapsed="false"/>
    <row r="548" customFormat="false" ht="12.75" hidden="false" customHeight="false" outlineLevel="0" collapsed="false"/>
    <row r="549" customFormat="false" ht="12.75" hidden="false" customHeight="false" outlineLevel="0" collapsed="false"/>
    <row r="550" customFormat="false" ht="12.75" hidden="false" customHeight="false" outlineLevel="0" collapsed="false"/>
    <row r="551" customFormat="false" ht="12.75" hidden="false" customHeight="false" outlineLevel="0" collapsed="false"/>
    <row r="552" customFormat="false" ht="12.75" hidden="false" customHeight="false" outlineLevel="0" collapsed="false"/>
    <row r="553" customFormat="false" ht="12.75" hidden="false" customHeight="false" outlineLevel="0" collapsed="false"/>
    <row r="554" customFormat="false" ht="12.75" hidden="false" customHeight="false" outlineLevel="0" collapsed="false"/>
    <row r="555" customFormat="false" ht="12.75" hidden="false" customHeight="false" outlineLevel="0" collapsed="false"/>
    <row r="556" customFormat="false" ht="12.75" hidden="false" customHeight="false" outlineLevel="0" collapsed="false"/>
    <row r="557" customFormat="false" ht="12.75" hidden="false" customHeight="false" outlineLevel="0" collapsed="false"/>
    <row r="558" customFormat="false" ht="12.75" hidden="false" customHeight="false" outlineLevel="0" collapsed="false"/>
    <row r="559" customFormat="false" ht="12.75" hidden="false" customHeight="false" outlineLevel="0" collapsed="false"/>
    <row r="560" customFormat="false" ht="12.75" hidden="false" customHeight="false" outlineLevel="0" collapsed="false"/>
    <row r="561" customFormat="false" ht="12.75" hidden="false" customHeight="false" outlineLevel="0" collapsed="false"/>
    <row r="562" customFormat="false" ht="12.75" hidden="false" customHeight="false" outlineLevel="0" collapsed="false"/>
    <row r="563" customFormat="false" ht="12.75" hidden="false" customHeight="false" outlineLevel="0" collapsed="false"/>
    <row r="564" customFormat="false" ht="12.75" hidden="false" customHeight="false" outlineLevel="0" collapsed="false"/>
    <row r="565" customFormat="false" ht="12.75" hidden="false" customHeight="false" outlineLevel="0" collapsed="false"/>
    <row r="566" customFormat="false" ht="12.75" hidden="false" customHeight="false" outlineLevel="0" collapsed="false"/>
    <row r="567" customFormat="false" ht="12.75" hidden="false" customHeight="false" outlineLevel="0" collapsed="false"/>
    <row r="568" customFormat="false" ht="12.75" hidden="false" customHeight="false" outlineLevel="0" collapsed="false"/>
    <row r="569" customFormat="false" ht="12.75" hidden="false" customHeight="false" outlineLevel="0" collapsed="false"/>
    <row r="570" customFormat="false" ht="12.75" hidden="false" customHeight="false" outlineLevel="0" collapsed="false"/>
    <row r="571" customFormat="false" ht="12.75" hidden="false" customHeight="false" outlineLevel="0" collapsed="false"/>
    <row r="572" customFormat="false" ht="12.75" hidden="false" customHeight="false" outlineLevel="0" collapsed="false"/>
    <row r="573" customFormat="false" ht="12.75" hidden="false" customHeight="false" outlineLevel="0" collapsed="false"/>
    <row r="574" customFormat="false" ht="12.75" hidden="false" customHeight="false" outlineLevel="0" collapsed="false"/>
    <row r="575" customFormat="false" ht="12.75" hidden="false" customHeight="false" outlineLevel="0" collapsed="false"/>
    <row r="576" customFormat="false" ht="12.75" hidden="false" customHeight="false" outlineLevel="0" collapsed="false"/>
    <row r="577" customFormat="false" ht="12.75" hidden="false" customHeight="false" outlineLevel="0" collapsed="false"/>
    <row r="578" customFormat="false" ht="12.75" hidden="false" customHeight="false" outlineLevel="0" collapsed="false"/>
    <row r="579" customFormat="false" ht="12.75" hidden="false" customHeight="false" outlineLevel="0" collapsed="false"/>
    <row r="580" customFormat="false" ht="12.75" hidden="false" customHeight="false" outlineLevel="0" collapsed="false"/>
    <row r="581" customFormat="false" ht="12.75" hidden="false" customHeight="false" outlineLevel="0" collapsed="false"/>
    <row r="582" customFormat="false" ht="12.75" hidden="false" customHeight="false" outlineLevel="0" collapsed="false"/>
    <row r="583" customFormat="false" ht="12.75" hidden="false" customHeight="false" outlineLevel="0" collapsed="false"/>
    <row r="584" customFormat="false" ht="12.75" hidden="false" customHeight="false" outlineLevel="0" collapsed="false"/>
    <row r="585" customFormat="false" ht="12.75" hidden="false" customHeight="false" outlineLevel="0" collapsed="false"/>
    <row r="586" customFormat="false" ht="12.75" hidden="false" customHeight="false" outlineLevel="0" collapsed="false"/>
    <row r="587" customFormat="false" ht="12.75" hidden="false" customHeight="false" outlineLevel="0" collapsed="false"/>
    <row r="588" customFormat="false" ht="12.75" hidden="false" customHeight="false" outlineLevel="0" collapsed="false"/>
    <row r="589" customFormat="false" ht="12.75" hidden="false" customHeight="false" outlineLevel="0" collapsed="false"/>
    <row r="590" customFormat="false" ht="12.75" hidden="false" customHeight="false" outlineLevel="0" collapsed="false"/>
    <row r="591" customFormat="false" ht="12.75" hidden="false" customHeight="false" outlineLevel="0" collapsed="false"/>
    <row r="592" customFormat="false" ht="12.75" hidden="false" customHeight="false" outlineLevel="0" collapsed="false"/>
    <row r="593" customFormat="false" ht="12.75" hidden="false" customHeight="false" outlineLevel="0" collapsed="false"/>
    <row r="594" customFormat="false" ht="12.75" hidden="false" customHeight="false" outlineLevel="0" collapsed="false"/>
    <row r="595" customFormat="false" ht="12.75" hidden="false" customHeight="false" outlineLevel="0" collapsed="false"/>
    <row r="596" customFormat="false" ht="12.75" hidden="false" customHeight="false" outlineLevel="0" collapsed="false"/>
    <row r="597" customFormat="false" ht="12.75" hidden="false" customHeight="false" outlineLevel="0" collapsed="false"/>
    <row r="598" customFormat="false" ht="12.75" hidden="false" customHeight="false" outlineLevel="0" collapsed="false"/>
    <row r="599" customFormat="false" ht="12.75" hidden="false" customHeight="false" outlineLevel="0" collapsed="false"/>
    <row r="600" customFormat="false" ht="12.75" hidden="false" customHeight="false" outlineLevel="0" collapsed="false"/>
    <row r="601" customFormat="false" ht="12.75" hidden="false" customHeight="false" outlineLevel="0" collapsed="false"/>
    <row r="602" customFormat="false" ht="12.75" hidden="false" customHeight="false" outlineLevel="0" collapsed="false"/>
    <row r="603" customFormat="false" ht="12.75" hidden="false" customHeight="false" outlineLevel="0" collapsed="false"/>
    <row r="604" customFormat="false" ht="12.75" hidden="false" customHeight="false" outlineLevel="0" collapsed="false"/>
    <row r="605" customFormat="false" ht="12.75" hidden="false" customHeight="false" outlineLevel="0" collapsed="false"/>
    <row r="606" customFormat="false" ht="12.75" hidden="false" customHeight="false" outlineLevel="0" collapsed="false"/>
    <row r="607" customFormat="false" ht="12.75" hidden="false" customHeight="false" outlineLevel="0" collapsed="false"/>
    <row r="608" customFormat="false" ht="12.75" hidden="false" customHeight="false" outlineLevel="0" collapsed="false"/>
    <row r="609" customFormat="false" ht="12.75" hidden="false" customHeight="false" outlineLevel="0" collapsed="false"/>
    <row r="610" customFormat="false" ht="12.75" hidden="false" customHeight="false" outlineLevel="0" collapsed="false"/>
    <row r="611" customFormat="false" ht="12.75" hidden="false" customHeight="false" outlineLevel="0" collapsed="false"/>
    <row r="612" customFormat="false" ht="12.75" hidden="false" customHeight="false" outlineLevel="0" collapsed="false"/>
    <row r="613" customFormat="false" ht="12.75" hidden="false" customHeight="false" outlineLevel="0" collapsed="false"/>
    <row r="614" customFormat="false" ht="12.75" hidden="false" customHeight="false" outlineLevel="0" collapsed="false"/>
    <row r="615" customFormat="false" ht="12.75" hidden="false" customHeight="false" outlineLevel="0" collapsed="false"/>
    <row r="616" customFormat="false" ht="12.75" hidden="false" customHeight="false" outlineLevel="0" collapsed="false"/>
    <row r="617" customFormat="false" ht="12.75" hidden="false" customHeight="false" outlineLevel="0" collapsed="false"/>
    <row r="618" customFormat="false" ht="12.75" hidden="false" customHeight="false" outlineLevel="0" collapsed="false"/>
    <row r="619" customFormat="false" ht="12.75" hidden="false" customHeight="false" outlineLevel="0" collapsed="false"/>
    <row r="620" customFormat="false" ht="12.75" hidden="false" customHeight="false" outlineLevel="0" collapsed="false"/>
    <row r="621" customFormat="false" ht="12.75" hidden="false" customHeight="false" outlineLevel="0" collapsed="false"/>
    <row r="622" customFormat="false" ht="12.75" hidden="false" customHeight="false" outlineLevel="0" collapsed="false"/>
    <row r="623" customFormat="false" ht="12.75" hidden="false" customHeight="false" outlineLevel="0" collapsed="false"/>
    <row r="624" customFormat="false" ht="12.75" hidden="false" customHeight="false" outlineLevel="0" collapsed="false"/>
    <row r="625" customFormat="false" ht="12.75" hidden="false" customHeight="false" outlineLevel="0" collapsed="false"/>
    <row r="626" customFormat="false" ht="12.75" hidden="false" customHeight="false" outlineLevel="0" collapsed="false"/>
    <row r="627" customFormat="false" ht="12.75" hidden="false" customHeight="false" outlineLevel="0" collapsed="false"/>
    <row r="628" customFormat="false" ht="12.75" hidden="false" customHeight="false" outlineLevel="0" collapsed="false"/>
    <row r="629" customFormat="false" ht="12.75" hidden="false" customHeight="false" outlineLevel="0" collapsed="false"/>
    <row r="630" customFormat="false" ht="12.75" hidden="false" customHeight="false" outlineLevel="0" collapsed="false"/>
    <row r="631" customFormat="false" ht="12.75" hidden="false" customHeight="false" outlineLevel="0" collapsed="false"/>
    <row r="632" customFormat="false" ht="12.75" hidden="false" customHeight="false" outlineLevel="0" collapsed="false"/>
    <row r="633" customFormat="false" ht="12.75" hidden="false" customHeight="false" outlineLevel="0" collapsed="false"/>
    <row r="634" customFormat="false" ht="12.75" hidden="false" customHeight="false" outlineLevel="0" collapsed="false"/>
    <row r="635" customFormat="false" ht="12.75" hidden="false" customHeight="false" outlineLevel="0" collapsed="false"/>
    <row r="636" customFormat="false" ht="12.75" hidden="false" customHeight="false" outlineLevel="0" collapsed="false"/>
    <row r="637" customFormat="false" ht="12.75" hidden="false" customHeight="false" outlineLevel="0" collapsed="false"/>
    <row r="638" customFormat="false" ht="12.75" hidden="false" customHeight="false" outlineLevel="0" collapsed="false"/>
    <row r="639" customFormat="false" ht="12.75" hidden="false" customHeight="false" outlineLevel="0" collapsed="false"/>
    <row r="640" customFormat="false" ht="12.75" hidden="false" customHeight="false" outlineLevel="0" collapsed="false"/>
    <row r="641" customFormat="false" ht="12.75" hidden="false" customHeight="false" outlineLevel="0" collapsed="false"/>
    <row r="642" customFormat="false" ht="12.75" hidden="false" customHeight="false" outlineLevel="0" collapsed="false"/>
    <row r="643" customFormat="false" ht="12.75" hidden="false" customHeight="false" outlineLevel="0" collapsed="false"/>
    <row r="644" customFormat="false" ht="12.75" hidden="false" customHeight="false" outlineLevel="0" collapsed="false"/>
    <row r="645" customFormat="false" ht="12.75" hidden="false" customHeight="false" outlineLevel="0" collapsed="false"/>
    <row r="646" customFormat="false" ht="12.75" hidden="false" customHeight="false" outlineLevel="0" collapsed="false"/>
    <row r="647" customFormat="false" ht="12.75" hidden="false" customHeight="false" outlineLevel="0" collapsed="false"/>
    <row r="648" customFormat="false" ht="12.75" hidden="false" customHeight="false" outlineLevel="0" collapsed="false"/>
    <row r="649" customFormat="false" ht="12.75" hidden="false" customHeight="false" outlineLevel="0" collapsed="false"/>
    <row r="650" customFormat="false" ht="12.75" hidden="false" customHeight="false" outlineLevel="0" collapsed="false"/>
    <row r="651" customFormat="false" ht="12.75" hidden="false" customHeight="false" outlineLevel="0" collapsed="false"/>
    <row r="652" customFormat="false" ht="12.75" hidden="false" customHeight="false" outlineLevel="0" collapsed="false"/>
    <row r="653" customFormat="false" ht="12.75" hidden="false" customHeight="false" outlineLevel="0" collapsed="false"/>
    <row r="654" customFormat="false" ht="12.75" hidden="false" customHeight="false" outlineLevel="0" collapsed="false"/>
    <row r="655" customFormat="false" ht="12.75" hidden="false" customHeight="false" outlineLevel="0" collapsed="false"/>
    <row r="656" customFormat="false" ht="12.75" hidden="false" customHeight="false" outlineLevel="0" collapsed="false"/>
    <row r="657" customFormat="false" ht="12.75" hidden="false" customHeight="false" outlineLevel="0" collapsed="false"/>
    <row r="658" customFormat="false" ht="12.75" hidden="false" customHeight="false" outlineLevel="0" collapsed="false"/>
    <row r="659" customFormat="false" ht="12.75" hidden="false" customHeight="false" outlineLevel="0" collapsed="false"/>
    <row r="660" customFormat="false" ht="12.75" hidden="false" customHeight="false" outlineLevel="0" collapsed="false"/>
    <row r="661" customFormat="false" ht="12.75" hidden="false" customHeight="false" outlineLevel="0" collapsed="false"/>
    <row r="662" customFormat="false" ht="12.75" hidden="false" customHeight="false" outlineLevel="0" collapsed="false"/>
    <row r="663" customFormat="false" ht="12.75" hidden="false" customHeight="false" outlineLevel="0" collapsed="false"/>
    <row r="664" customFormat="false" ht="12.75" hidden="false" customHeight="false" outlineLevel="0" collapsed="false"/>
    <row r="665" customFormat="false" ht="12.75" hidden="false" customHeight="false" outlineLevel="0" collapsed="false"/>
    <row r="666" customFormat="false" ht="12.75" hidden="false" customHeight="false" outlineLevel="0" collapsed="false"/>
    <row r="667" customFormat="false" ht="12.75" hidden="false" customHeight="false" outlineLevel="0" collapsed="false"/>
    <row r="668" customFormat="false" ht="12.75" hidden="false" customHeight="false" outlineLevel="0" collapsed="false"/>
    <row r="669" customFormat="false" ht="12.75" hidden="false" customHeight="false" outlineLevel="0" collapsed="false"/>
    <row r="670" customFormat="false" ht="12.75" hidden="false" customHeight="false" outlineLevel="0" collapsed="false"/>
    <row r="671" customFormat="false" ht="12.75" hidden="false" customHeight="false" outlineLevel="0" collapsed="false"/>
    <row r="672" customFormat="false" ht="12.75" hidden="false" customHeight="false" outlineLevel="0" collapsed="false"/>
    <row r="673" customFormat="false" ht="12.75" hidden="false" customHeight="false" outlineLevel="0" collapsed="false"/>
    <row r="674" customFormat="false" ht="12.75" hidden="false" customHeight="false" outlineLevel="0" collapsed="false"/>
    <row r="675" customFormat="false" ht="12.75" hidden="false" customHeight="false" outlineLevel="0" collapsed="false"/>
    <row r="676" customFormat="false" ht="12.75" hidden="false" customHeight="false" outlineLevel="0" collapsed="false"/>
    <row r="677" customFormat="false" ht="12.75" hidden="false" customHeight="false" outlineLevel="0" collapsed="false"/>
    <row r="678" customFormat="false" ht="12.75" hidden="false" customHeight="false" outlineLevel="0" collapsed="false"/>
    <row r="679" customFormat="false" ht="12.75" hidden="false" customHeight="false" outlineLevel="0" collapsed="false"/>
    <row r="680" customFormat="false" ht="12.75" hidden="false" customHeight="false" outlineLevel="0" collapsed="false"/>
    <row r="681" customFormat="false" ht="12.75" hidden="false" customHeight="false" outlineLevel="0" collapsed="false"/>
    <row r="682" customFormat="false" ht="12.75" hidden="false" customHeight="false" outlineLevel="0" collapsed="false"/>
    <row r="683" customFormat="false" ht="12.75" hidden="false" customHeight="false" outlineLevel="0" collapsed="false"/>
    <row r="684" customFormat="false" ht="12.75" hidden="false" customHeight="false" outlineLevel="0" collapsed="false"/>
    <row r="685" customFormat="false" ht="12.75" hidden="false" customHeight="false" outlineLevel="0" collapsed="false"/>
    <row r="686" customFormat="false" ht="12.75" hidden="false" customHeight="false" outlineLevel="0" collapsed="false"/>
    <row r="687" customFormat="false" ht="12.75" hidden="false" customHeight="false" outlineLevel="0" collapsed="false"/>
    <row r="688" customFormat="false" ht="12.75" hidden="false" customHeight="false" outlineLevel="0" collapsed="false"/>
    <row r="689" customFormat="false" ht="12.75" hidden="false" customHeight="false" outlineLevel="0" collapsed="false"/>
    <row r="690" customFormat="false" ht="12.75" hidden="false" customHeight="false" outlineLevel="0" collapsed="false"/>
    <row r="691" customFormat="false" ht="12.75" hidden="false" customHeight="false" outlineLevel="0" collapsed="false"/>
    <row r="692" customFormat="false" ht="12.75" hidden="false" customHeight="false" outlineLevel="0" collapsed="false"/>
    <row r="693" customFormat="false" ht="12.75" hidden="false" customHeight="false" outlineLevel="0" collapsed="false"/>
    <row r="694" customFormat="false" ht="12.75" hidden="false" customHeight="false" outlineLevel="0" collapsed="false"/>
    <row r="695" customFormat="false" ht="12.75" hidden="false" customHeight="false" outlineLevel="0" collapsed="false"/>
    <row r="696" customFormat="false" ht="12.75" hidden="false" customHeight="false" outlineLevel="0" collapsed="false"/>
    <row r="697" customFormat="false" ht="12.75" hidden="false" customHeight="false" outlineLevel="0" collapsed="false"/>
    <row r="698" customFormat="false" ht="12.75" hidden="false" customHeight="false" outlineLevel="0" collapsed="false"/>
    <row r="699" customFormat="false" ht="12.75" hidden="false" customHeight="false" outlineLevel="0" collapsed="false"/>
    <row r="700" customFormat="false" ht="12.75" hidden="false" customHeight="false" outlineLevel="0" collapsed="false"/>
    <row r="701" customFormat="false" ht="12.75" hidden="false" customHeight="false" outlineLevel="0" collapsed="false"/>
    <row r="702" customFormat="false" ht="12.75" hidden="false" customHeight="false" outlineLevel="0" collapsed="false"/>
    <row r="703" customFormat="false" ht="12.75" hidden="false" customHeight="false" outlineLevel="0" collapsed="false"/>
    <row r="704" customFormat="false" ht="12.75" hidden="false" customHeight="false" outlineLevel="0" collapsed="false"/>
    <row r="705" customFormat="false" ht="12.75" hidden="false" customHeight="false" outlineLevel="0" collapsed="false"/>
    <row r="706" customFormat="false" ht="12.75" hidden="false" customHeight="false" outlineLevel="0" collapsed="false"/>
    <row r="707" customFormat="false" ht="12.75" hidden="false" customHeight="false" outlineLevel="0" collapsed="false"/>
    <row r="708" customFormat="false" ht="12.75" hidden="false" customHeight="false" outlineLevel="0" collapsed="false"/>
    <row r="709" customFormat="false" ht="12.75" hidden="false" customHeight="false" outlineLevel="0" collapsed="false"/>
    <row r="710" customFormat="false" ht="12.75" hidden="false" customHeight="false" outlineLevel="0" collapsed="false"/>
    <row r="711" customFormat="false" ht="12.75" hidden="false" customHeight="false" outlineLevel="0" collapsed="false"/>
    <row r="712" customFormat="false" ht="12.75" hidden="false" customHeight="false" outlineLevel="0" collapsed="false"/>
    <row r="713" customFormat="false" ht="12.75" hidden="false" customHeight="false" outlineLevel="0" collapsed="false"/>
    <row r="714" customFormat="false" ht="12.75" hidden="false" customHeight="false" outlineLevel="0" collapsed="false"/>
    <row r="715" customFormat="false" ht="12.75" hidden="false" customHeight="false" outlineLevel="0" collapsed="false"/>
    <row r="716" customFormat="false" ht="12.75" hidden="false" customHeight="false" outlineLevel="0" collapsed="false"/>
    <row r="717" customFormat="false" ht="12.75" hidden="false" customHeight="false" outlineLevel="0" collapsed="false"/>
    <row r="718" customFormat="false" ht="12.75" hidden="false" customHeight="false" outlineLevel="0" collapsed="false"/>
    <row r="719" customFormat="false" ht="12.75" hidden="false" customHeight="false" outlineLevel="0" collapsed="false"/>
    <row r="720" customFormat="false" ht="12.75" hidden="false" customHeight="false" outlineLevel="0" collapsed="false"/>
    <row r="721" customFormat="false" ht="12.75" hidden="false" customHeight="false" outlineLevel="0" collapsed="false"/>
    <row r="722" customFormat="false" ht="12.75" hidden="false" customHeight="false" outlineLevel="0" collapsed="false"/>
    <row r="723" customFormat="false" ht="12.75" hidden="false" customHeight="false" outlineLevel="0" collapsed="false"/>
    <row r="724" customFormat="false" ht="12.75" hidden="false" customHeight="false" outlineLevel="0" collapsed="false"/>
    <row r="725" customFormat="false" ht="12.75" hidden="false" customHeight="false" outlineLevel="0" collapsed="false"/>
    <row r="726" customFormat="false" ht="12.75" hidden="false" customHeight="false" outlineLevel="0" collapsed="false"/>
    <row r="727" customFormat="false" ht="12.75" hidden="false" customHeight="false" outlineLevel="0" collapsed="false"/>
    <row r="728" customFormat="false" ht="12.75" hidden="false" customHeight="false" outlineLevel="0" collapsed="false"/>
    <row r="729" customFormat="false" ht="12.75" hidden="false" customHeight="false" outlineLevel="0" collapsed="false"/>
    <row r="730" customFormat="false" ht="12.75" hidden="false" customHeight="false" outlineLevel="0" collapsed="false"/>
    <row r="731" customFormat="false" ht="12.75" hidden="false" customHeight="false" outlineLevel="0" collapsed="false"/>
    <row r="732" customFormat="false" ht="12.75" hidden="false" customHeight="false" outlineLevel="0" collapsed="false"/>
    <row r="733" customFormat="false" ht="12.75" hidden="false" customHeight="false" outlineLevel="0" collapsed="false"/>
    <row r="734" customFormat="false" ht="12.75" hidden="false" customHeight="false" outlineLevel="0" collapsed="false"/>
    <row r="735" customFormat="false" ht="12.75" hidden="false" customHeight="false" outlineLevel="0" collapsed="false"/>
    <row r="736" customFormat="false" ht="12.75" hidden="false" customHeight="false" outlineLevel="0" collapsed="false"/>
    <row r="737" customFormat="false" ht="12.75" hidden="false" customHeight="false" outlineLevel="0" collapsed="false"/>
    <row r="738" customFormat="false" ht="12.75" hidden="false" customHeight="false" outlineLevel="0" collapsed="false"/>
    <row r="739" customFormat="false" ht="12.75" hidden="false" customHeight="false" outlineLevel="0" collapsed="false"/>
    <row r="740" customFormat="false" ht="12.75" hidden="false" customHeight="false" outlineLevel="0" collapsed="false"/>
    <row r="741" customFormat="false" ht="12.75" hidden="false" customHeight="false" outlineLevel="0" collapsed="false"/>
    <row r="742" customFormat="false" ht="12.75" hidden="false" customHeight="false" outlineLevel="0" collapsed="false"/>
    <row r="743" customFormat="false" ht="12.75" hidden="false" customHeight="false" outlineLevel="0" collapsed="false"/>
    <row r="744" customFormat="false" ht="12.75" hidden="false" customHeight="false" outlineLevel="0" collapsed="false"/>
    <row r="745" customFormat="false" ht="12.75" hidden="false" customHeight="false" outlineLevel="0" collapsed="false"/>
    <row r="746" customFormat="false" ht="12.75" hidden="false" customHeight="false" outlineLevel="0" collapsed="false"/>
    <row r="747" customFormat="false" ht="12.75" hidden="false" customHeight="false" outlineLevel="0" collapsed="false"/>
    <row r="748" customFormat="false" ht="12.75" hidden="false" customHeight="false" outlineLevel="0" collapsed="false"/>
    <row r="749" customFormat="false" ht="12.75" hidden="false" customHeight="false" outlineLevel="0" collapsed="false"/>
    <row r="750" customFormat="false" ht="12.75" hidden="false" customHeight="false" outlineLevel="0" collapsed="false"/>
    <row r="751" customFormat="false" ht="12.75" hidden="false" customHeight="false" outlineLevel="0" collapsed="false"/>
    <row r="752" customFormat="false" ht="12.75" hidden="false" customHeight="false" outlineLevel="0" collapsed="false"/>
    <row r="753" customFormat="false" ht="12.75" hidden="false" customHeight="false" outlineLevel="0" collapsed="false"/>
    <row r="754" customFormat="false" ht="12.75" hidden="false" customHeight="false" outlineLevel="0" collapsed="false"/>
    <row r="755" customFormat="false" ht="12.75" hidden="false" customHeight="false" outlineLevel="0" collapsed="false"/>
    <row r="756" customFormat="false" ht="12.75" hidden="false" customHeight="false" outlineLevel="0" collapsed="false"/>
    <row r="757" customFormat="false" ht="12.75" hidden="false" customHeight="false" outlineLevel="0" collapsed="false"/>
    <row r="758" customFormat="false" ht="12.75" hidden="false" customHeight="false" outlineLevel="0" collapsed="false"/>
    <row r="759" customFormat="false" ht="12.75" hidden="false" customHeight="false" outlineLevel="0" collapsed="false"/>
    <row r="760" customFormat="false" ht="12.75" hidden="false" customHeight="false" outlineLevel="0" collapsed="false"/>
    <row r="761" customFormat="false" ht="12.75" hidden="false" customHeight="false" outlineLevel="0" collapsed="false"/>
    <row r="762" customFormat="false" ht="12.75" hidden="false" customHeight="false" outlineLevel="0" collapsed="false"/>
    <row r="763" customFormat="false" ht="12.75" hidden="false" customHeight="false" outlineLevel="0" collapsed="false"/>
    <row r="764" customFormat="false" ht="12.75" hidden="false" customHeight="false" outlineLevel="0" collapsed="false"/>
    <row r="765" customFormat="false" ht="12.75" hidden="false" customHeight="false" outlineLevel="0" collapsed="false"/>
    <row r="766" customFormat="false" ht="12.75" hidden="false" customHeight="false" outlineLevel="0" collapsed="false"/>
    <row r="767" customFormat="false" ht="12.75" hidden="false" customHeight="false" outlineLevel="0" collapsed="false"/>
    <row r="768" customFormat="false" ht="12.75" hidden="false" customHeight="false" outlineLevel="0" collapsed="false"/>
    <row r="769" customFormat="false" ht="12.75" hidden="false" customHeight="false" outlineLevel="0" collapsed="false"/>
    <row r="770" customFormat="false" ht="12.75" hidden="false" customHeight="false" outlineLevel="0" collapsed="false"/>
    <row r="771" customFormat="false" ht="12.75" hidden="false" customHeight="false" outlineLevel="0" collapsed="false"/>
    <row r="772" customFormat="false" ht="12.75" hidden="false" customHeight="false" outlineLevel="0" collapsed="false"/>
    <row r="773" customFormat="false" ht="12.75" hidden="false" customHeight="false" outlineLevel="0" collapsed="false"/>
    <row r="774" customFormat="false" ht="12.75" hidden="false" customHeight="false" outlineLevel="0" collapsed="false"/>
    <row r="775" customFormat="false" ht="12.75" hidden="false" customHeight="false" outlineLevel="0" collapsed="false"/>
    <row r="776" customFormat="false" ht="12.75" hidden="false" customHeight="false" outlineLevel="0" collapsed="false"/>
    <row r="777" customFormat="false" ht="12.75" hidden="false" customHeight="false" outlineLevel="0" collapsed="false"/>
    <row r="778" customFormat="false" ht="12.75" hidden="false" customHeight="false" outlineLevel="0" collapsed="false"/>
    <row r="779" customFormat="false" ht="12.75" hidden="false" customHeight="false" outlineLevel="0" collapsed="false"/>
    <row r="780" customFormat="false" ht="12.75" hidden="false" customHeight="false" outlineLevel="0" collapsed="false"/>
    <row r="781" customFormat="false" ht="12.75" hidden="false" customHeight="false" outlineLevel="0" collapsed="false"/>
    <row r="782" customFormat="false" ht="12.75" hidden="false" customHeight="false" outlineLevel="0" collapsed="false"/>
    <row r="783" customFormat="false" ht="12.75" hidden="false" customHeight="false" outlineLevel="0" collapsed="false"/>
    <row r="784" customFormat="false" ht="12.75" hidden="false" customHeight="false" outlineLevel="0" collapsed="false"/>
    <row r="785" customFormat="false" ht="12.75" hidden="false" customHeight="false" outlineLevel="0" collapsed="false"/>
    <row r="786" customFormat="false" ht="12.75" hidden="false" customHeight="false" outlineLevel="0" collapsed="false"/>
    <row r="787" customFormat="false" ht="12.75" hidden="false" customHeight="false" outlineLevel="0" collapsed="false"/>
    <row r="788" customFormat="false" ht="12.75" hidden="false" customHeight="false" outlineLevel="0" collapsed="false"/>
    <row r="789" customFormat="false" ht="12.75" hidden="false" customHeight="false" outlineLevel="0" collapsed="false"/>
    <row r="790" customFormat="false" ht="12.75" hidden="false" customHeight="false" outlineLevel="0" collapsed="false"/>
    <row r="791" customFormat="false" ht="12.75" hidden="false" customHeight="false" outlineLevel="0" collapsed="false"/>
    <row r="792" customFormat="false" ht="12.75" hidden="false" customHeight="false" outlineLevel="0" collapsed="false"/>
    <row r="793" customFormat="false" ht="12.75" hidden="false" customHeight="false" outlineLevel="0" collapsed="false"/>
    <row r="794" customFormat="false" ht="12.75" hidden="false" customHeight="false" outlineLevel="0" collapsed="false"/>
    <row r="795" customFormat="false" ht="12.75" hidden="false" customHeight="false" outlineLevel="0" collapsed="false"/>
    <row r="796" customFormat="false" ht="12.75" hidden="false" customHeight="false" outlineLevel="0" collapsed="false"/>
    <row r="797" customFormat="false" ht="12.75" hidden="false" customHeight="false" outlineLevel="0" collapsed="false"/>
    <row r="798" customFormat="false" ht="12.75" hidden="false" customHeight="false" outlineLevel="0" collapsed="false"/>
    <row r="799" customFormat="false" ht="12.75" hidden="false" customHeight="false" outlineLevel="0" collapsed="false"/>
    <row r="800" customFormat="false" ht="12.75" hidden="false" customHeight="false" outlineLevel="0" collapsed="false"/>
    <row r="801" customFormat="false" ht="12.75" hidden="false" customHeight="false" outlineLevel="0" collapsed="false"/>
    <row r="802" customFormat="false" ht="12.75" hidden="false" customHeight="false" outlineLevel="0" collapsed="false"/>
    <row r="803" customFormat="false" ht="12.75" hidden="false" customHeight="false" outlineLevel="0" collapsed="false"/>
    <row r="804" customFormat="false" ht="12.75" hidden="false" customHeight="false" outlineLevel="0" collapsed="false"/>
    <row r="805" customFormat="false" ht="12.75" hidden="false" customHeight="false" outlineLevel="0" collapsed="false"/>
    <row r="806" customFormat="false" ht="12.75" hidden="false" customHeight="false" outlineLevel="0" collapsed="false"/>
    <row r="807" customFormat="false" ht="12.75" hidden="false" customHeight="false" outlineLevel="0" collapsed="false"/>
    <row r="808" customFormat="false" ht="12.75" hidden="false" customHeight="false" outlineLevel="0" collapsed="false"/>
    <row r="809" customFormat="false" ht="12.75" hidden="false" customHeight="false" outlineLevel="0" collapsed="false"/>
    <row r="810" customFormat="false" ht="12.75" hidden="false" customHeight="false" outlineLevel="0" collapsed="false"/>
    <row r="811" customFormat="false" ht="12.75" hidden="false" customHeight="false" outlineLevel="0" collapsed="false"/>
    <row r="812" customFormat="false" ht="12.75" hidden="false" customHeight="false" outlineLevel="0" collapsed="false"/>
    <row r="813" customFormat="false" ht="12.75" hidden="false" customHeight="false" outlineLevel="0" collapsed="false"/>
    <row r="814" customFormat="false" ht="12.75" hidden="false" customHeight="false" outlineLevel="0" collapsed="false"/>
    <row r="815" customFormat="false" ht="12.75" hidden="false" customHeight="false" outlineLevel="0" collapsed="false"/>
    <row r="816" customFormat="false" ht="12.75" hidden="false" customHeight="false" outlineLevel="0" collapsed="false"/>
    <row r="817" customFormat="false" ht="12.75" hidden="false" customHeight="false" outlineLevel="0" collapsed="false"/>
    <row r="818" customFormat="false" ht="12.75" hidden="false" customHeight="false" outlineLevel="0" collapsed="false"/>
    <row r="819" customFormat="false" ht="12.75" hidden="false" customHeight="false" outlineLevel="0" collapsed="false"/>
    <row r="820" customFormat="false" ht="12.75" hidden="false" customHeight="false" outlineLevel="0" collapsed="false"/>
    <row r="821" customFormat="false" ht="12.75" hidden="false" customHeight="false" outlineLevel="0" collapsed="false"/>
    <row r="822" customFormat="false" ht="12.75" hidden="false" customHeight="false" outlineLevel="0" collapsed="false"/>
    <row r="823" customFormat="false" ht="12.75" hidden="false" customHeight="false" outlineLevel="0" collapsed="false"/>
    <row r="824" customFormat="false" ht="12.75" hidden="false" customHeight="false" outlineLevel="0" collapsed="false"/>
    <row r="825" customFormat="false" ht="12.75" hidden="false" customHeight="false" outlineLevel="0" collapsed="false"/>
    <row r="826" customFormat="false" ht="12.75" hidden="false" customHeight="false" outlineLevel="0" collapsed="false"/>
    <row r="827" customFormat="false" ht="12.75" hidden="false" customHeight="false" outlineLevel="0" collapsed="false"/>
    <row r="828" customFormat="false" ht="12.75" hidden="false" customHeight="false" outlineLevel="0" collapsed="false"/>
    <row r="829" customFormat="false" ht="12.75" hidden="false" customHeight="false" outlineLevel="0" collapsed="false"/>
    <row r="830" customFormat="false" ht="12.75" hidden="false" customHeight="false" outlineLevel="0" collapsed="false"/>
    <row r="831" customFormat="false" ht="12.75" hidden="false" customHeight="false" outlineLevel="0" collapsed="false"/>
    <row r="832" customFormat="false" ht="12.75" hidden="false" customHeight="false" outlineLevel="0" collapsed="false"/>
    <row r="833" customFormat="false" ht="12.75" hidden="false" customHeight="false" outlineLevel="0" collapsed="false"/>
    <row r="834" customFormat="false" ht="12.75" hidden="false" customHeight="false" outlineLevel="0" collapsed="false"/>
    <row r="835" customFormat="false" ht="12.75" hidden="false" customHeight="false" outlineLevel="0" collapsed="false"/>
    <row r="836" customFormat="false" ht="12.75" hidden="false" customHeight="false" outlineLevel="0" collapsed="false"/>
    <row r="837" customFormat="false" ht="12.75" hidden="false" customHeight="false" outlineLevel="0" collapsed="false"/>
    <row r="838" customFormat="false" ht="12.75" hidden="false" customHeight="false" outlineLevel="0" collapsed="false"/>
    <row r="839" customFormat="false" ht="12.75" hidden="false" customHeight="false" outlineLevel="0" collapsed="false"/>
    <row r="840" customFormat="false" ht="12.75" hidden="false" customHeight="false" outlineLevel="0" collapsed="false"/>
    <row r="841" customFormat="false" ht="12.75" hidden="false" customHeight="false" outlineLevel="0" collapsed="false"/>
    <row r="842" customFormat="false" ht="12.75" hidden="false" customHeight="false" outlineLevel="0" collapsed="false"/>
    <row r="843" customFormat="false" ht="12.75" hidden="false" customHeight="false" outlineLevel="0" collapsed="false"/>
    <row r="844" customFormat="false" ht="12.75" hidden="false" customHeight="false" outlineLevel="0" collapsed="false"/>
    <row r="845" customFormat="false" ht="12.75" hidden="false" customHeight="false" outlineLevel="0" collapsed="false"/>
    <row r="846" customFormat="false" ht="12.75" hidden="false" customHeight="false" outlineLevel="0" collapsed="false"/>
    <row r="847" customFormat="false" ht="12.75" hidden="false" customHeight="false" outlineLevel="0" collapsed="false"/>
    <row r="848" customFormat="false" ht="12.75" hidden="false" customHeight="false" outlineLevel="0" collapsed="false"/>
    <row r="849" customFormat="false" ht="12.75" hidden="false" customHeight="false" outlineLevel="0" collapsed="false"/>
    <row r="850" customFormat="false" ht="12.75" hidden="false" customHeight="false" outlineLevel="0" collapsed="false"/>
    <row r="851" customFormat="false" ht="12.75" hidden="false" customHeight="false" outlineLevel="0" collapsed="false"/>
    <row r="852" customFormat="false" ht="12.75" hidden="false" customHeight="false" outlineLevel="0" collapsed="false"/>
    <row r="853" customFormat="false" ht="12.75" hidden="false" customHeight="false" outlineLevel="0" collapsed="false"/>
    <row r="854" customFormat="false" ht="12.75" hidden="false" customHeight="false" outlineLevel="0" collapsed="false"/>
    <row r="855" customFormat="false" ht="12.75" hidden="false" customHeight="false" outlineLevel="0" collapsed="false"/>
    <row r="856" customFormat="false" ht="12.75" hidden="false" customHeight="false" outlineLevel="0" collapsed="false"/>
    <row r="857" customFormat="false" ht="12.75" hidden="false" customHeight="false" outlineLevel="0" collapsed="false"/>
    <row r="858" customFormat="false" ht="12.75" hidden="false" customHeight="false" outlineLevel="0" collapsed="false"/>
    <row r="859" customFormat="false" ht="12.75" hidden="false" customHeight="false" outlineLevel="0" collapsed="false"/>
    <row r="860" customFormat="false" ht="12.75" hidden="false" customHeight="false" outlineLevel="0" collapsed="false"/>
    <row r="861" customFormat="false" ht="12.75" hidden="false" customHeight="false" outlineLevel="0" collapsed="false"/>
    <row r="862" customFormat="false" ht="12.75" hidden="false" customHeight="false" outlineLevel="0" collapsed="false"/>
    <row r="863" customFormat="false" ht="12.75" hidden="false" customHeight="false" outlineLevel="0" collapsed="false"/>
    <row r="864" customFormat="false" ht="12.75" hidden="false" customHeight="false" outlineLevel="0" collapsed="false"/>
    <row r="865" customFormat="false" ht="12.75" hidden="false" customHeight="false" outlineLevel="0" collapsed="false"/>
    <row r="866" customFormat="false" ht="12.75" hidden="false" customHeight="false" outlineLevel="0" collapsed="false"/>
    <row r="867" customFormat="false" ht="12.75" hidden="false" customHeight="false" outlineLevel="0" collapsed="false"/>
    <row r="868" customFormat="false" ht="12.75" hidden="false" customHeight="false" outlineLevel="0" collapsed="false"/>
    <row r="869" customFormat="false" ht="12.75" hidden="false" customHeight="false" outlineLevel="0" collapsed="false"/>
    <row r="870" customFormat="false" ht="12.75" hidden="false" customHeight="false" outlineLevel="0" collapsed="false"/>
    <row r="871" customFormat="false" ht="12.75" hidden="false" customHeight="false" outlineLevel="0" collapsed="false"/>
    <row r="872" customFormat="false" ht="12.75" hidden="false" customHeight="false" outlineLevel="0" collapsed="false"/>
    <row r="873" customFormat="false" ht="12.75" hidden="false" customHeight="false" outlineLevel="0" collapsed="false"/>
    <row r="874" customFormat="false" ht="12.75" hidden="false" customHeight="false" outlineLevel="0" collapsed="false"/>
    <row r="875" customFormat="false" ht="12.75" hidden="false" customHeight="false" outlineLevel="0" collapsed="false"/>
    <row r="876" customFormat="false" ht="12.75" hidden="false" customHeight="false" outlineLevel="0" collapsed="false"/>
    <row r="877" customFormat="false" ht="12.75" hidden="false" customHeight="false" outlineLevel="0" collapsed="false"/>
    <row r="878" customFormat="false" ht="12.75" hidden="false" customHeight="false" outlineLevel="0" collapsed="false"/>
    <row r="879" customFormat="false" ht="12.75" hidden="false" customHeight="false" outlineLevel="0" collapsed="false"/>
    <row r="880" customFormat="false" ht="12.75" hidden="false" customHeight="false" outlineLevel="0" collapsed="false"/>
    <row r="881" customFormat="false" ht="12.75" hidden="false" customHeight="false" outlineLevel="0" collapsed="false"/>
    <row r="882" customFormat="false" ht="12.75" hidden="false" customHeight="false" outlineLevel="0" collapsed="false"/>
    <row r="883" customFormat="false" ht="12.75" hidden="false" customHeight="false" outlineLevel="0" collapsed="false"/>
    <row r="884" customFormat="false" ht="12.75" hidden="false" customHeight="false" outlineLevel="0" collapsed="false"/>
    <row r="885" customFormat="false" ht="12.75" hidden="false" customHeight="false" outlineLevel="0" collapsed="false"/>
    <row r="886" customFormat="false" ht="12.75" hidden="false" customHeight="false" outlineLevel="0" collapsed="false"/>
    <row r="887" customFormat="false" ht="12.75" hidden="false" customHeight="false" outlineLevel="0" collapsed="false"/>
    <row r="888" customFormat="false" ht="12.75" hidden="false" customHeight="false" outlineLevel="0" collapsed="false"/>
    <row r="889" customFormat="false" ht="12.75" hidden="false" customHeight="false" outlineLevel="0" collapsed="false"/>
    <row r="890" customFormat="false" ht="12.75" hidden="false" customHeight="false" outlineLevel="0" collapsed="false"/>
    <row r="891" customFormat="false" ht="12.75" hidden="false" customHeight="false" outlineLevel="0" collapsed="false"/>
    <row r="892" customFormat="false" ht="12.75" hidden="false" customHeight="false" outlineLevel="0" collapsed="false"/>
    <row r="893" customFormat="false" ht="12.75" hidden="false" customHeight="false" outlineLevel="0" collapsed="false"/>
    <row r="894" customFormat="false" ht="12.75" hidden="false" customHeight="false" outlineLevel="0" collapsed="false"/>
    <row r="895" customFormat="false" ht="12.75" hidden="false" customHeight="false" outlineLevel="0" collapsed="false"/>
    <row r="896" customFormat="false" ht="12.75" hidden="false" customHeight="false" outlineLevel="0" collapsed="false"/>
    <row r="897" customFormat="false" ht="12.75" hidden="false" customHeight="false" outlineLevel="0" collapsed="false"/>
    <row r="898" customFormat="false" ht="12.75" hidden="false" customHeight="false" outlineLevel="0" collapsed="false"/>
    <row r="899" customFormat="false" ht="12.75" hidden="false" customHeight="false" outlineLevel="0" collapsed="false"/>
    <row r="900" customFormat="false" ht="12.75" hidden="false" customHeight="false" outlineLevel="0" collapsed="false"/>
    <row r="901" customFormat="false" ht="12.75" hidden="false" customHeight="false" outlineLevel="0" collapsed="false"/>
    <row r="902" customFormat="false" ht="12.75" hidden="false" customHeight="false" outlineLevel="0" collapsed="false"/>
    <row r="903" customFormat="false" ht="12.75" hidden="false" customHeight="false" outlineLevel="0" collapsed="false"/>
    <row r="904" customFormat="false" ht="12.75" hidden="false" customHeight="false" outlineLevel="0" collapsed="false"/>
    <row r="905" customFormat="false" ht="12.75" hidden="false" customHeight="false" outlineLevel="0" collapsed="false"/>
    <row r="906" customFormat="false" ht="12.75" hidden="false" customHeight="false" outlineLevel="0" collapsed="false"/>
    <row r="907" customFormat="false" ht="12.75" hidden="false" customHeight="false" outlineLevel="0" collapsed="false"/>
    <row r="908" customFormat="false" ht="12.75" hidden="false" customHeight="false" outlineLevel="0" collapsed="false"/>
    <row r="909" customFormat="false" ht="12.75" hidden="false" customHeight="false" outlineLevel="0" collapsed="false"/>
    <row r="910" customFormat="false" ht="12.75" hidden="false" customHeight="false" outlineLevel="0" collapsed="false"/>
    <row r="911" customFormat="false" ht="12.75" hidden="false" customHeight="false" outlineLevel="0" collapsed="false"/>
    <row r="912" customFormat="false" ht="12.75" hidden="false" customHeight="false" outlineLevel="0" collapsed="false"/>
    <row r="913" customFormat="false" ht="12.75" hidden="false" customHeight="false" outlineLevel="0" collapsed="false"/>
    <row r="914" customFormat="false" ht="12.75" hidden="false" customHeight="false" outlineLevel="0" collapsed="false"/>
    <row r="915" customFormat="false" ht="12.75" hidden="false" customHeight="false" outlineLevel="0" collapsed="false"/>
    <row r="916" customFormat="false" ht="12.75" hidden="false" customHeight="false" outlineLevel="0" collapsed="false"/>
    <row r="917" customFormat="false" ht="12.75" hidden="false" customHeight="false" outlineLevel="0" collapsed="false"/>
    <row r="918" customFormat="false" ht="12.75" hidden="false" customHeight="false" outlineLevel="0" collapsed="false"/>
    <row r="919" customFormat="false" ht="12.75" hidden="false" customHeight="false" outlineLevel="0" collapsed="false"/>
    <row r="920" customFormat="false" ht="12.75" hidden="false" customHeight="false" outlineLevel="0" collapsed="false"/>
    <row r="921" customFormat="false" ht="12.75" hidden="false" customHeight="false" outlineLevel="0" collapsed="false"/>
    <row r="922" customFormat="false" ht="12.75" hidden="false" customHeight="false" outlineLevel="0" collapsed="false"/>
    <row r="923" customFormat="false" ht="12.75" hidden="false" customHeight="false" outlineLevel="0" collapsed="false"/>
    <row r="924" customFormat="false" ht="12.75" hidden="false" customHeight="false" outlineLevel="0" collapsed="false"/>
    <row r="925" customFormat="false" ht="12.75" hidden="false" customHeight="false" outlineLevel="0" collapsed="false"/>
    <row r="926" customFormat="false" ht="12.75" hidden="false" customHeight="false" outlineLevel="0" collapsed="false"/>
    <row r="927" customFormat="false" ht="12.75" hidden="false" customHeight="false" outlineLevel="0" collapsed="false"/>
    <row r="928" customFormat="false" ht="12.75" hidden="false" customHeight="false" outlineLevel="0" collapsed="false"/>
    <row r="929" customFormat="false" ht="12.75" hidden="false" customHeight="false" outlineLevel="0" collapsed="false"/>
    <row r="930" customFormat="false" ht="12.75" hidden="false" customHeight="false" outlineLevel="0" collapsed="false"/>
    <row r="931" customFormat="false" ht="12.75" hidden="false" customHeight="false" outlineLevel="0" collapsed="false"/>
    <row r="932" customFormat="false" ht="12.75" hidden="false" customHeight="false" outlineLevel="0" collapsed="false"/>
    <row r="933" customFormat="false" ht="12.75" hidden="false" customHeight="false" outlineLevel="0" collapsed="false"/>
    <row r="934" customFormat="false" ht="12.75" hidden="false" customHeight="false" outlineLevel="0" collapsed="false"/>
    <row r="935" customFormat="false" ht="12.75" hidden="false" customHeight="false" outlineLevel="0" collapsed="false"/>
    <row r="936" customFormat="false" ht="12.75" hidden="false" customHeight="false" outlineLevel="0" collapsed="false"/>
    <row r="937" customFormat="false" ht="12.75" hidden="false" customHeight="false" outlineLevel="0" collapsed="false"/>
    <row r="938" customFormat="false" ht="12.75" hidden="false" customHeight="false" outlineLevel="0" collapsed="false"/>
    <row r="939" customFormat="false" ht="12.75" hidden="false" customHeight="false" outlineLevel="0" collapsed="false"/>
    <row r="940" customFormat="false" ht="12.75" hidden="false" customHeight="false" outlineLevel="0" collapsed="false"/>
    <row r="941" customFormat="false" ht="12.75" hidden="false" customHeight="false" outlineLevel="0" collapsed="false"/>
    <row r="942" customFormat="false" ht="12.75" hidden="false" customHeight="false" outlineLevel="0" collapsed="false"/>
    <row r="943" customFormat="false" ht="12.75" hidden="false" customHeight="false" outlineLevel="0" collapsed="false"/>
    <row r="944" customFormat="false" ht="12.75" hidden="false" customHeight="false" outlineLevel="0" collapsed="false"/>
    <row r="945" customFormat="false" ht="12.75" hidden="false" customHeight="false" outlineLevel="0" collapsed="false"/>
    <row r="946" customFormat="false" ht="12.75" hidden="false" customHeight="false" outlineLevel="0" collapsed="false"/>
    <row r="947" customFormat="false" ht="12.75" hidden="false" customHeight="false" outlineLevel="0" collapsed="false"/>
    <row r="948" customFormat="false" ht="12.75" hidden="false" customHeight="false" outlineLevel="0" collapsed="false"/>
    <row r="949" customFormat="false" ht="12.75" hidden="false" customHeight="false" outlineLevel="0" collapsed="false"/>
    <row r="950" customFormat="false" ht="12.75" hidden="false" customHeight="false" outlineLevel="0" collapsed="false"/>
    <row r="951" customFormat="false" ht="12.75" hidden="false" customHeight="false" outlineLevel="0" collapsed="false"/>
    <row r="952" customFormat="false" ht="12.75" hidden="false" customHeight="false" outlineLevel="0" collapsed="false"/>
    <row r="953" customFormat="false" ht="12.75" hidden="false" customHeight="false" outlineLevel="0" collapsed="false"/>
    <row r="954" customFormat="false" ht="12.75" hidden="false" customHeight="false" outlineLevel="0" collapsed="false"/>
    <row r="955" customFormat="false" ht="12.75" hidden="false" customHeight="false" outlineLevel="0" collapsed="false"/>
    <row r="956" customFormat="false" ht="12.75" hidden="false" customHeight="false" outlineLevel="0" collapsed="false"/>
    <row r="957" customFormat="false" ht="12.75" hidden="false" customHeight="false" outlineLevel="0" collapsed="false"/>
    <row r="958" customFormat="false" ht="12.75" hidden="false" customHeight="false" outlineLevel="0" collapsed="false"/>
    <row r="959" customFormat="false" ht="12.75" hidden="false" customHeight="false" outlineLevel="0" collapsed="false"/>
    <row r="960" customFormat="false" ht="12.75" hidden="false" customHeight="false" outlineLevel="0" collapsed="false"/>
    <row r="961" customFormat="false" ht="12.75" hidden="false" customHeight="false" outlineLevel="0" collapsed="false"/>
    <row r="962" customFormat="false" ht="12.75" hidden="false" customHeight="false" outlineLevel="0" collapsed="false"/>
    <row r="963" customFormat="false" ht="12.75" hidden="false" customHeight="false" outlineLevel="0" collapsed="false"/>
    <row r="964" customFormat="false" ht="12.75" hidden="false" customHeight="false" outlineLevel="0" collapsed="false"/>
    <row r="965" customFormat="false" ht="12.75" hidden="false" customHeight="false" outlineLevel="0" collapsed="false"/>
    <row r="966" customFormat="false" ht="12.75" hidden="false" customHeight="false" outlineLevel="0" collapsed="false"/>
    <row r="967" customFormat="false" ht="12.75" hidden="false" customHeight="false" outlineLevel="0" collapsed="false"/>
    <row r="968" customFormat="false" ht="12.75" hidden="false" customHeight="false" outlineLevel="0" collapsed="false"/>
    <row r="969" customFormat="false" ht="12.75" hidden="false" customHeight="false" outlineLevel="0" collapsed="false"/>
    <row r="970" customFormat="false" ht="12.75" hidden="false" customHeight="false" outlineLevel="0" collapsed="false"/>
    <row r="971" customFormat="false" ht="12.75" hidden="false" customHeight="false" outlineLevel="0" collapsed="false"/>
    <row r="972" customFormat="false" ht="12.75" hidden="false" customHeight="false" outlineLevel="0" collapsed="false"/>
    <row r="973" customFormat="false" ht="12.75" hidden="false" customHeight="false" outlineLevel="0" collapsed="false"/>
    <row r="974" customFormat="false" ht="12.75" hidden="false" customHeight="false" outlineLevel="0" collapsed="false"/>
    <row r="975" customFormat="false" ht="12.75" hidden="false" customHeight="false" outlineLevel="0" collapsed="false"/>
    <row r="976" customFormat="false" ht="12.75" hidden="false" customHeight="false" outlineLevel="0" collapsed="false"/>
    <row r="977" customFormat="false" ht="12.75" hidden="false" customHeight="false" outlineLevel="0" collapsed="false"/>
    <row r="978" customFormat="false" ht="12.75" hidden="false" customHeight="false" outlineLevel="0" collapsed="false"/>
    <row r="979" customFormat="false" ht="12.75" hidden="false" customHeight="false" outlineLevel="0" collapsed="false"/>
    <row r="980" customFormat="false" ht="12.75" hidden="false" customHeight="false" outlineLevel="0" collapsed="false"/>
    <row r="981" customFormat="false" ht="12.75" hidden="false" customHeight="false" outlineLevel="0" collapsed="false"/>
    <row r="982" customFormat="false" ht="12.75" hidden="false" customHeight="false" outlineLevel="0" collapsed="false"/>
    <row r="983" customFormat="false" ht="12.75" hidden="false" customHeight="false" outlineLevel="0" collapsed="false"/>
    <row r="984" customFormat="false" ht="12.75" hidden="false" customHeight="false" outlineLevel="0" collapsed="false"/>
    <row r="985" customFormat="false" ht="12.75" hidden="false" customHeight="false" outlineLevel="0" collapsed="false"/>
    <row r="986" customFormat="false" ht="12.75" hidden="false" customHeight="false" outlineLevel="0" collapsed="false"/>
    <row r="987" customFormat="false" ht="12.75" hidden="false" customHeight="false" outlineLevel="0" collapsed="false"/>
    <row r="988" customFormat="false" ht="12.75" hidden="false" customHeight="false" outlineLevel="0" collapsed="false"/>
    <row r="989" customFormat="false" ht="12.75" hidden="false" customHeight="false" outlineLevel="0" collapsed="false"/>
    <row r="990" customFormat="false" ht="12.75" hidden="false" customHeight="false" outlineLevel="0" collapsed="false"/>
    <row r="991" customFormat="false" ht="12.75" hidden="false" customHeight="false" outlineLevel="0" collapsed="false"/>
    <row r="992" customFormat="false" ht="12.75" hidden="false" customHeight="false" outlineLevel="0" collapsed="false"/>
    <row r="993" customFormat="false" ht="12.75" hidden="false" customHeight="false" outlineLevel="0" collapsed="false"/>
    <row r="994" customFormat="false" ht="12.75" hidden="false" customHeight="false" outlineLevel="0" collapsed="false"/>
    <row r="995" customFormat="false" ht="12.75" hidden="false" customHeight="false" outlineLevel="0" collapsed="false"/>
    <row r="996" customFormat="false" ht="12.75" hidden="false" customHeight="false" outlineLevel="0" collapsed="false"/>
    <row r="997" customFormat="false" ht="12.75" hidden="false" customHeight="false" outlineLevel="0" collapsed="false"/>
    <row r="998" customFormat="false" ht="12.75" hidden="false" customHeight="false" outlineLevel="0" collapsed="false"/>
    <row r="999" customFormat="false" ht="12.75" hidden="false" customHeight="false" outlineLevel="0" collapsed="false"/>
    <row r="1000" customFormat="false" ht="12.75" hidden="false" customHeight="false" outlineLevel="0" collapsed="false"/>
    <row r="1001" customFormat="false" ht="12.75" hidden="false" customHeight="false" outlineLevel="0" collapsed="false"/>
  </sheetData>
  <mergeCells count="2">
    <mergeCell ref="H1:I1"/>
    <mergeCell ref="I4:K5"/>
  </mergeCells>
  <dataValidations count="1">
    <dataValidation allowBlank="true" operator="between" showDropDown="false" showErrorMessage="true" showInputMessage="false" sqref="A6:A151" type="list">
      <formula1>Etapas!$B$6:$B$25</formula1>
      <formula2>0</formula2>
    </dataValidation>
  </dataValidation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1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RowHeight="15.75" zeroHeight="false" outlineLevelRow="0" outlineLevelCol="0"/>
  <cols>
    <col collapsed="false" customWidth="true" hidden="false" outlineLevel="0" max="2" min="1" style="0" width="14.43"/>
    <col collapsed="false" customWidth="true" hidden="false" outlineLevel="0" max="3" min="3" style="0" width="22.43"/>
    <col collapsed="false" customWidth="true" hidden="false" outlineLevel="0" max="1025" min="4" style="0" width="14.43"/>
  </cols>
  <sheetData>
    <row r="1" s="26" customFormat="true" ht="48" hidden="false" customHeight="true" outlineLevel="0" collapsed="false">
      <c r="A1" s="23"/>
      <c r="B1" s="23"/>
      <c r="C1" s="23"/>
      <c r="D1" s="23"/>
      <c r="E1" s="24" t="s">
        <v>20</v>
      </c>
      <c r="F1" s="24" t="n">
        <f aca="false">'Cadastro Institucional'!D$6</f>
        <v>0</v>
      </c>
      <c r="G1" s="25" t="n">
        <f aca="false">'Cadastro Institucional'!D$7</f>
        <v>0</v>
      </c>
      <c r="H1" s="41"/>
      <c r="I1" s="41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customFormat="false" ht="12.75" hidden="false" customHeight="false" outlineLevel="0" collapsed="false">
      <c r="A2" s="27" t="s">
        <v>14</v>
      </c>
      <c r="B2" s="27" t="s">
        <v>13</v>
      </c>
      <c r="C2" s="27" t="s">
        <v>15</v>
      </c>
      <c r="D2" s="27" t="s">
        <v>16</v>
      </c>
      <c r="E2" s="27" t="s">
        <v>17</v>
      </c>
      <c r="F2" s="27" t="s">
        <v>18</v>
      </c>
      <c r="G2" s="27" t="s">
        <v>19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customFormat="false" ht="12.75" hidden="false" customHeight="true" outlineLevel="0" collapsed="false">
      <c r="A3" s="30" t="n">
        <f aca="false">'Cadastro Institucional'!D$10</f>
        <v>0</v>
      </c>
      <c r="B3" s="31" t="n">
        <f aca="false">'Cadastro Institucional'!D$9</f>
        <v>0</v>
      </c>
      <c r="C3" s="31" t="n">
        <f aca="false">'Cadastro Institucional'!D$11</f>
        <v>0</v>
      </c>
      <c r="D3" s="32" t="n">
        <f aca="false">'Cadastro Institucional'!D$12</f>
        <v>0</v>
      </c>
      <c r="E3" s="31" t="n">
        <f aca="false">'Cadastro Institucional'!D$13</f>
        <v>0</v>
      </c>
      <c r="F3" s="31" t="n">
        <f aca="false">'Cadastro Institucional'!D$14</f>
        <v>0</v>
      </c>
      <c r="G3" s="33" t="n">
        <f aca="false">'Cadastro Institucional'!D$15</f>
        <v>0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customFormat="false" ht="12.75" hidden="false" customHeight="true" outlineLevel="0" collapsed="false">
      <c r="A4" s="55"/>
      <c r="B4" s="55"/>
      <c r="C4" s="55"/>
      <c r="D4" s="55"/>
      <c r="E4" s="55"/>
      <c r="F4" s="55"/>
      <c r="G4" s="55"/>
      <c r="H4" s="55"/>
      <c r="I4" s="55"/>
      <c r="J4" s="29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 customFormat="false" ht="25.5" hidden="false" customHeight="false" outlineLevel="0" collapsed="false">
      <c r="A5" s="18" t="s">
        <v>21</v>
      </c>
      <c r="B5" s="56" t="s">
        <v>23</v>
      </c>
      <c r="C5" s="56" t="s">
        <v>22</v>
      </c>
      <c r="D5" s="56" t="s">
        <v>28</v>
      </c>
      <c r="E5" s="56" t="s">
        <v>29</v>
      </c>
      <c r="F5" s="56" t="s">
        <v>30</v>
      </c>
      <c r="G5" s="56" t="s">
        <v>31</v>
      </c>
      <c r="H5" s="56" t="s">
        <v>32</v>
      </c>
      <c r="I5" s="56" t="s">
        <v>33</v>
      </c>
      <c r="J5" s="57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</row>
    <row r="6" customFormat="false" ht="12.8" hidden="false" customHeight="false" outlineLevel="0" collapsed="false">
      <c r="A6" s="29" t="n">
        <f aca="false">'Itens de Contrato'!A6</f>
        <v>0</v>
      </c>
      <c r="B6" s="29" t="n">
        <f aca="false">'Itens de Contrato'!B6</f>
        <v>0</v>
      </c>
      <c r="C6" s="29" t="e">
        <f aca="false">VLOOKUP(B6,'Itens de Contrato'!B$5:G$151,2,0)</f>
        <v>#N/A</v>
      </c>
      <c r="D6" s="59" t="e">
        <f aca="false">VLOOKUP(B6,'Itens de Contrato'!B$5:G$151,4)</f>
        <v>#N/A</v>
      </c>
      <c r="E6" s="60" t="e">
        <f aca="false">D6*'Itens de Contrato'!F6</f>
        <v>#N/A</v>
      </c>
      <c r="F6" s="59" t="e">
        <f aca="false">D6-G6</f>
        <v>#N/A</v>
      </c>
      <c r="G6" s="59" t="n">
        <f aca="false">SUM('Medição 01'!G6,'Medição 02'!G6,'Medição 03'!G6,'Medição 04'!G6,'Medição 05'!G6,'Medição 06'!G6,'Medição 07'!G6,'Medição 08'!G6,'Medição 09'!G6,'Medição 10'!G6,'Medição 11'!G6,'Medição 12'!G6)</f>
        <v>0</v>
      </c>
      <c r="H6" s="61" t="e">
        <f aca="false">G6/D6</f>
        <v>#DIV/0!</v>
      </c>
      <c r="I6" s="60" t="n">
        <f aca="false">G6*'Itens de Contrato'!F6</f>
        <v>0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customFormat="false" ht="12.8" hidden="false" customHeight="false" outlineLevel="0" collapsed="false">
      <c r="A7" s="37" t="n">
        <f aca="false">'Itens de Contrato'!A7</f>
        <v>0</v>
      </c>
      <c r="B7" s="37" t="n">
        <f aca="false">'Itens de Contrato'!B7</f>
        <v>0</v>
      </c>
      <c r="C7" s="29" t="e">
        <f aca="false">VLOOKUP(B7,'Itens de Contrato'!B$5:G$151,2,0)</f>
        <v>#N/A</v>
      </c>
      <c r="D7" s="62" t="e">
        <f aca="false">VLOOKUP(B7,'Itens de Contrato'!B$5:G$151,4)</f>
        <v>#N/A</v>
      </c>
      <c r="E7" s="63" t="e">
        <f aca="false">D7*'Itens de Contrato'!F7</f>
        <v>#N/A</v>
      </c>
      <c r="F7" s="62" t="e">
        <f aca="false">D7-G7</f>
        <v>#N/A</v>
      </c>
      <c r="G7" s="62" t="n">
        <f aca="false">SUM('Medição 01'!G7,'Medição 02'!G7,'Medição 03'!G7,'Medição 04'!G7,'Medição 05'!G7,'Medição 06'!G7,'Medição 07'!G7,'Medição 08'!G7,'Medição 09'!G7,'Medição 10'!G7,'Medição 11'!G7,'Medição 12'!G7)</f>
        <v>0</v>
      </c>
      <c r="H7" s="64" t="e">
        <f aca="false">G7/D7</f>
        <v>#DIV/0!</v>
      </c>
      <c r="I7" s="63" t="n">
        <f aca="false">G7*'Itens de Contrato'!F7</f>
        <v>0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customFormat="false" ht="12.8" hidden="false" customHeight="false" outlineLevel="0" collapsed="false">
      <c r="A8" s="37" t="n">
        <f aca="false">'Itens de Contrato'!A8</f>
        <v>0</v>
      </c>
      <c r="B8" s="37" t="n">
        <f aca="false">'Itens de Contrato'!B8</f>
        <v>0</v>
      </c>
      <c r="C8" s="29" t="e">
        <f aca="false">VLOOKUP(B8,'Itens de Contrato'!B$5:G$151,2,0)</f>
        <v>#N/A</v>
      </c>
      <c r="D8" s="62" t="e">
        <f aca="false">VLOOKUP(B8,'Itens de Contrato'!B$5:G$151,4)</f>
        <v>#N/A</v>
      </c>
      <c r="E8" s="63" t="e">
        <f aca="false">D8*'Itens de Contrato'!F8</f>
        <v>#N/A</v>
      </c>
      <c r="F8" s="62" t="e">
        <f aca="false">D8-G8</f>
        <v>#N/A</v>
      </c>
      <c r="G8" s="62" t="n">
        <f aca="false">SUM('Medição 01'!G8,'Medição 02'!G8,'Medição 03'!G8,'Medição 04'!G8,'Medição 05'!G8,'Medição 06'!G8,'Medição 07'!G8,'Medição 08'!G8,'Medição 09'!G8,'Medição 10'!G8,'Medição 11'!G8,'Medição 12'!G8)</f>
        <v>0</v>
      </c>
      <c r="H8" s="64" t="e">
        <f aca="false">G8/D8</f>
        <v>#DIV/0!</v>
      </c>
      <c r="I8" s="63" t="n">
        <f aca="false">G8*'Itens de Contrato'!F8</f>
        <v>0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customFormat="false" ht="12.8" hidden="false" customHeight="false" outlineLevel="0" collapsed="false">
      <c r="A9" s="37" t="n">
        <f aca="false">'Itens de Contrato'!A9</f>
        <v>0</v>
      </c>
      <c r="B9" s="37" t="n">
        <f aca="false">'Itens de Contrato'!B9</f>
        <v>0</v>
      </c>
      <c r="C9" s="29" t="e">
        <f aca="false">VLOOKUP(B9,'Itens de Contrato'!B$5:G$151,2,0)</f>
        <v>#N/A</v>
      </c>
      <c r="D9" s="62" t="e">
        <f aca="false">VLOOKUP(B9,'Itens de Contrato'!B$5:G$151,4)</f>
        <v>#N/A</v>
      </c>
      <c r="E9" s="63" t="e">
        <f aca="false">D9*'Itens de Contrato'!F9</f>
        <v>#N/A</v>
      </c>
      <c r="F9" s="62" t="e">
        <f aca="false">D9-G9</f>
        <v>#N/A</v>
      </c>
      <c r="G9" s="62" t="n">
        <f aca="false">SUM('Medição 01'!G9,'Medição 02'!G9,'Medição 03'!G9,'Medição 04'!G9,'Medição 05'!G9,'Medição 06'!G9,'Medição 07'!G9,'Medição 08'!G9,'Medição 09'!G9,'Medição 10'!G9,'Medição 11'!G9,'Medição 12'!G9)</f>
        <v>0</v>
      </c>
      <c r="H9" s="64" t="e">
        <f aca="false">G9/D9</f>
        <v>#DIV/0!</v>
      </c>
      <c r="I9" s="63" t="n">
        <f aca="false">G9*'Itens de Contrato'!F9</f>
        <v>0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 customFormat="false" ht="12.8" hidden="false" customHeight="false" outlineLevel="0" collapsed="false">
      <c r="A10" s="37" t="n">
        <f aca="false">'Itens de Contrato'!A10</f>
        <v>0</v>
      </c>
      <c r="B10" s="65" t="n">
        <f aca="false">'Itens de Contrato'!B10</f>
        <v>0</v>
      </c>
      <c r="C10" s="29" t="e">
        <f aca="false">VLOOKUP(B10,'Itens de Contrato'!B$5:G$151,2,0)</f>
        <v>#N/A</v>
      </c>
      <c r="D10" s="62" t="e">
        <f aca="false">VLOOKUP(B10,'Itens de Contrato'!B$5:G$151,4)</f>
        <v>#N/A</v>
      </c>
      <c r="E10" s="63" t="e">
        <f aca="false">D10*'Itens de Contrato'!F10</f>
        <v>#N/A</v>
      </c>
      <c r="F10" s="62" t="e">
        <f aca="false">D10-G10</f>
        <v>#N/A</v>
      </c>
      <c r="G10" s="62" t="n">
        <f aca="false">SUM('Medição 01'!G10,'Medição 02'!G10,'Medição 03'!G10,'Medição 04'!G10,'Medição 05'!G10,'Medição 06'!G10,'Medição 07'!G10,'Medição 08'!G10,'Medição 09'!G10,'Medição 10'!G10,'Medição 11'!G10,'Medição 12'!G10)</f>
        <v>0</v>
      </c>
      <c r="H10" s="64" t="e">
        <f aca="false">G10/D10</f>
        <v>#DIV/0!</v>
      </c>
      <c r="I10" s="63" t="n">
        <f aca="false">G10*'Itens de Contrato'!F10</f>
        <v>0</v>
      </c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 customFormat="false" ht="12.8" hidden="false" customHeight="false" outlineLevel="0" collapsed="false">
      <c r="A11" s="37" t="n">
        <f aca="false">'Itens de Contrato'!A11</f>
        <v>0</v>
      </c>
      <c r="B11" s="37" t="n">
        <f aca="false">'Itens de Contrato'!B11</f>
        <v>0</v>
      </c>
      <c r="C11" s="29" t="e">
        <f aca="false">VLOOKUP(B11,'Itens de Contrato'!B$5:G$151,2,0)</f>
        <v>#N/A</v>
      </c>
      <c r="D11" s="62" t="e">
        <f aca="false">VLOOKUP(B11,'Itens de Contrato'!B$5:G$151,4)</f>
        <v>#N/A</v>
      </c>
      <c r="E11" s="63" t="e">
        <f aca="false">D11*'Itens de Contrato'!F11</f>
        <v>#N/A</v>
      </c>
      <c r="F11" s="62" t="e">
        <f aca="false">D11-G11</f>
        <v>#N/A</v>
      </c>
      <c r="G11" s="62" t="n">
        <f aca="false">SUM('Medição 01'!G11,'Medição 02'!G11,'Medição 03'!G11,'Medição 04'!G11,'Medição 05'!G11,'Medição 06'!G11,'Medição 07'!G11,'Medição 08'!G11,'Medição 09'!G11,'Medição 10'!G11,'Medição 11'!G11,'Medição 12'!G11)</f>
        <v>0</v>
      </c>
      <c r="H11" s="64" t="e">
        <f aca="false">G11/D11</f>
        <v>#DIV/0!</v>
      </c>
      <c r="I11" s="63" t="n">
        <f aca="false">G11*'Itens de Contrato'!F11</f>
        <v>0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 customFormat="false" ht="12.8" hidden="false" customHeight="false" outlineLevel="0" collapsed="false">
      <c r="A12" s="37" t="n">
        <f aca="false">'Itens de Contrato'!A12</f>
        <v>0</v>
      </c>
      <c r="B12" s="37" t="n">
        <f aca="false">'Itens de Contrato'!B12</f>
        <v>0</v>
      </c>
      <c r="C12" s="29" t="e">
        <f aca="false">VLOOKUP(B12,'Itens de Contrato'!B$5:G$151,2,0)</f>
        <v>#N/A</v>
      </c>
      <c r="D12" s="62" t="e">
        <f aca="false">VLOOKUP(B12,'Itens de Contrato'!B$5:G$151,4)</f>
        <v>#N/A</v>
      </c>
      <c r="E12" s="63" t="e">
        <f aca="false">D12*'Itens de Contrato'!F12</f>
        <v>#N/A</v>
      </c>
      <c r="F12" s="62" t="e">
        <f aca="false">D12-G12</f>
        <v>#N/A</v>
      </c>
      <c r="G12" s="62" t="n">
        <f aca="false">SUM('Medição 01'!G12,'Medição 02'!G12,'Medição 03'!G12,'Medição 04'!G12,'Medição 05'!G12,'Medição 06'!G12,'Medição 07'!G12,'Medição 08'!G12,'Medição 09'!G12,'Medição 10'!G12,'Medição 11'!G12,'Medição 12'!G12)</f>
        <v>0</v>
      </c>
      <c r="H12" s="64" t="e">
        <f aca="false">G12/D12</f>
        <v>#DIV/0!</v>
      </c>
      <c r="I12" s="63" t="n">
        <f aca="false">G12*'Itens de Contrato'!F12</f>
        <v>0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 customFormat="false" ht="12.8" hidden="false" customHeight="false" outlineLevel="0" collapsed="false">
      <c r="A13" s="37" t="n">
        <f aca="false">'Itens de Contrato'!A13</f>
        <v>0</v>
      </c>
      <c r="B13" s="37" t="n">
        <f aca="false">'Itens de Contrato'!B13</f>
        <v>0</v>
      </c>
      <c r="C13" s="29" t="e">
        <f aca="false">VLOOKUP(B13,'Itens de Contrato'!B$5:G$151,2,0)</f>
        <v>#N/A</v>
      </c>
      <c r="D13" s="62" t="e">
        <f aca="false">VLOOKUP(B13,'Itens de Contrato'!B$5:G$151,4)</f>
        <v>#N/A</v>
      </c>
      <c r="E13" s="63" t="e">
        <f aca="false">D13*'Itens de Contrato'!F13</f>
        <v>#N/A</v>
      </c>
      <c r="F13" s="62" t="e">
        <f aca="false">D13-G13</f>
        <v>#N/A</v>
      </c>
      <c r="G13" s="62" t="n">
        <f aca="false">SUM('Medição 01'!G13,'Medição 02'!G13,'Medição 03'!G13,'Medição 04'!G13,'Medição 05'!G13,'Medição 06'!G13,'Medição 07'!G13,'Medição 08'!G13,'Medição 09'!G13,'Medição 10'!G13,'Medição 11'!G13,'Medição 12'!G13)</f>
        <v>0</v>
      </c>
      <c r="H13" s="64" t="e">
        <f aca="false">G13/D13</f>
        <v>#DIV/0!</v>
      </c>
      <c r="I13" s="63" t="n">
        <f aca="false">G13*'Itens de Contrato'!F13</f>
        <v>0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customFormat="false" ht="12.8" hidden="false" customHeight="false" outlineLevel="0" collapsed="false">
      <c r="A14" s="37" t="n">
        <f aca="false">'Itens de Contrato'!A14</f>
        <v>0</v>
      </c>
      <c r="B14" s="37" t="n">
        <f aca="false">'Itens de Contrato'!B14</f>
        <v>0</v>
      </c>
      <c r="C14" s="29" t="e">
        <f aca="false">VLOOKUP(B14,'Itens de Contrato'!B$5:G$151,2,0)</f>
        <v>#N/A</v>
      </c>
      <c r="D14" s="62" t="e">
        <f aca="false">VLOOKUP(B14,'Itens de Contrato'!B$5:G$151,4)</f>
        <v>#N/A</v>
      </c>
      <c r="E14" s="63" t="e">
        <f aca="false">D14*'Itens de Contrato'!F14</f>
        <v>#N/A</v>
      </c>
      <c r="F14" s="62" t="e">
        <f aca="false">D14-G14</f>
        <v>#N/A</v>
      </c>
      <c r="G14" s="62" t="n">
        <f aca="false">SUM('Medição 01'!G14,'Medição 02'!G14,'Medição 03'!G14,'Medição 04'!G14,'Medição 05'!G14,'Medição 06'!G14,'Medição 07'!G14,'Medição 08'!G14,'Medição 09'!G14,'Medição 10'!G14,'Medição 11'!G14,'Medição 12'!G14)</f>
        <v>0</v>
      </c>
      <c r="H14" s="64" t="e">
        <f aca="false">G14/D14</f>
        <v>#DIV/0!</v>
      </c>
      <c r="I14" s="63" t="n">
        <f aca="false">G14*'Itens de Contrato'!F14</f>
        <v>0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 customFormat="false" ht="12.8" hidden="false" customHeight="false" outlineLevel="0" collapsed="false">
      <c r="A15" s="37" t="n">
        <f aca="false">'Itens de Contrato'!A15</f>
        <v>0</v>
      </c>
      <c r="B15" s="37" t="n">
        <f aca="false">'Itens de Contrato'!B15</f>
        <v>0</v>
      </c>
      <c r="C15" s="29" t="e">
        <f aca="false">VLOOKUP(B15,'Itens de Contrato'!B$5:G$151,2,0)</f>
        <v>#N/A</v>
      </c>
      <c r="D15" s="62" t="e">
        <f aca="false">VLOOKUP(B15,'Itens de Contrato'!B$5:G$151,4)</f>
        <v>#N/A</v>
      </c>
      <c r="E15" s="63" t="e">
        <f aca="false">D15*'Itens de Contrato'!F15</f>
        <v>#N/A</v>
      </c>
      <c r="F15" s="62" t="e">
        <f aca="false">D15-G15</f>
        <v>#N/A</v>
      </c>
      <c r="G15" s="62" t="n">
        <f aca="false">SUM('Medição 01'!G15,'Medição 02'!G15,'Medição 03'!G15,'Medição 04'!G15,'Medição 05'!G15,'Medição 06'!G15,'Medição 07'!G15,'Medição 08'!G15,'Medição 09'!G15,'Medição 10'!G15,'Medição 11'!G15,'Medição 12'!G15)</f>
        <v>0</v>
      </c>
      <c r="H15" s="64" t="e">
        <f aca="false">G15/D15</f>
        <v>#DIV/0!</v>
      </c>
      <c r="I15" s="63" t="n">
        <f aca="false">G15*'Itens de Contrato'!F15</f>
        <v>0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customFormat="false" ht="12.8" hidden="false" customHeight="false" outlineLevel="0" collapsed="false">
      <c r="A16" s="37" t="n">
        <f aca="false">'Itens de Contrato'!A16</f>
        <v>0</v>
      </c>
      <c r="B16" s="37" t="n">
        <f aca="false">'Itens de Contrato'!B16</f>
        <v>0</v>
      </c>
      <c r="C16" s="29" t="e">
        <f aca="false">VLOOKUP(B16,'Itens de Contrato'!B$5:G$151,2,0)</f>
        <v>#N/A</v>
      </c>
      <c r="D16" s="62" t="e">
        <f aca="false">VLOOKUP(B16,'Itens de Contrato'!B$5:G$151,4)</f>
        <v>#N/A</v>
      </c>
      <c r="E16" s="63" t="e">
        <f aca="false">D16*'Itens de Contrato'!F16</f>
        <v>#N/A</v>
      </c>
      <c r="F16" s="62" t="e">
        <f aca="false">D16-G16</f>
        <v>#N/A</v>
      </c>
      <c r="G16" s="62" t="n">
        <f aca="false">SUM('Medição 01'!G16,'Medição 02'!G16,'Medição 03'!G16,'Medição 04'!G16,'Medição 05'!G16,'Medição 06'!G16,'Medição 07'!G16,'Medição 08'!G16,'Medição 09'!G16,'Medição 10'!G16,'Medição 11'!G16,'Medição 12'!G16)</f>
        <v>0</v>
      </c>
      <c r="H16" s="64" t="e">
        <f aca="false">G16/D16</f>
        <v>#DIV/0!</v>
      </c>
      <c r="I16" s="63" t="n">
        <f aca="false">G16*'Itens de Contrato'!F16</f>
        <v>0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7" customFormat="false" ht="12.8" hidden="false" customHeight="false" outlineLevel="0" collapsed="false">
      <c r="A17" s="37" t="n">
        <f aca="false">'Itens de Contrato'!A17</f>
        <v>0</v>
      </c>
      <c r="B17" s="37" t="n">
        <f aca="false">'Itens de Contrato'!B17</f>
        <v>0</v>
      </c>
      <c r="C17" s="29" t="e">
        <f aca="false">VLOOKUP(B17,'Itens de Contrato'!B$5:G$151,2,0)</f>
        <v>#N/A</v>
      </c>
      <c r="D17" s="62" t="e">
        <f aca="false">VLOOKUP(B17,'Itens de Contrato'!B$5:G$151,4)</f>
        <v>#N/A</v>
      </c>
      <c r="E17" s="63" t="e">
        <f aca="false">D17*'Itens de Contrato'!F17</f>
        <v>#N/A</v>
      </c>
      <c r="F17" s="62" t="e">
        <f aca="false">D17-G17</f>
        <v>#N/A</v>
      </c>
      <c r="G17" s="62" t="n">
        <f aca="false">SUM('Medição 01'!G17,'Medição 02'!G17,'Medição 03'!G17,'Medição 04'!G17,'Medição 05'!G17,'Medição 06'!G17,'Medição 07'!G17,'Medição 08'!G17,'Medição 09'!G17,'Medição 10'!G17,'Medição 11'!G17,'Medição 12'!G17)</f>
        <v>0</v>
      </c>
      <c r="H17" s="64" t="e">
        <f aca="false">G17/D17</f>
        <v>#DIV/0!</v>
      </c>
      <c r="I17" s="63" t="n">
        <f aca="false">G17*'Itens de Contrato'!F17</f>
        <v>0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</row>
    <row r="18" customFormat="false" ht="12.8" hidden="false" customHeight="false" outlineLevel="0" collapsed="false">
      <c r="A18" s="37" t="n">
        <f aca="false">'Itens de Contrato'!A18</f>
        <v>0</v>
      </c>
      <c r="B18" s="37" t="n">
        <f aca="false">'Itens de Contrato'!B18</f>
        <v>0</v>
      </c>
      <c r="C18" s="29" t="e">
        <f aca="false">VLOOKUP(B18,'Itens de Contrato'!B$5:G$151,2,0)</f>
        <v>#N/A</v>
      </c>
      <c r="D18" s="62" t="e">
        <f aca="false">VLOOKUP(B18,'Itens de Contrato'!B$5:G$151,4)</f>
        <v>#N/A</v>
      </c>
      <c r="E18" s="63" t="e">
        <f aca="false">D18*'Itens de Contrato'!F18</f>
        <v>#N/A</v>
      </c>
      <c r="F18" s="62" t="e">
        <f aca="false">D18-G18</f>
        <v>#N/A</v>
      </c>
      <c r="G18" s="62" t="n">
        <f aca="false">SUM('Medição 01'!G18,'Medição 02'!G18,'Medição 03'!G18,'Medição 04'!G18,'Medição 05'!G18,'Medição 06'!G18,'Medição 07'!G18,'Medição 08'!G18,'Medição 09'!G18,'Medição 10'!G18,'Medição 11'!G18,'Medição 12'!G18)</f>
        <v>0</v>
      </c>
      <c r="H18" s="64" t="e">
        <f aca="false">G18/D18</f>
        <v>#DIV/0!</v>
      </c>
      <c r="I18" s="63" t="n">
        <f aca="false">G18*'Itens de Contrato'!F18</f>
        <v>0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</row>
    <row r="19" customFormat="false" ht="12.8" hidden="false" customHeight="false" outlineLevel="0" collapsed="false">
      <c r="A19" s="37" t="n">
        <f aca="false">'Itens de Contrato'!A19</f>
        <v>0</v>
      </c>
      <c r="B19" s="37" t="n">
        <f aca="false">'Itens de Contrato'!B19</f>
        <v>0</v>
      </c>
      <c r="C19" s="29" t="e">
        <f aca="false">VLOOKUP(B19,'Itens de Contrato'!B$5:G$151,2,0)</f>
        <v>#N/A</v>
      </c>
      <c r="D19" s="62" t="e">
        <f aca="false">VLOOKUP(B19,'Itens de Contrato'!B$5:G$151,4)</f>
        <v>#N/A</v>
      </c>
      <c r="E19" s="63" t="e">
        <f aca="false">D19*'Itens de Contrato'!F19</f>
        <v>#N/A</v>
      </c>
      <c r="F19" s="62" t="e">
        <f aca="false">D19-G19</f>
        <v>#N/A</v>
      </c>
      <c r="G19" s="62" t="n">
        <f aca="false">SUM('Medição 01'!G19,'Medição 02'!G19,'Medição 03'!G19,'Medição 04'!G19,'Medição 05'!G19,'Medição 06'!G19,'Medição 07'!G19,'Medição 08'!G19,'Medição 09'!G19,'Medição 10'!G19,'Medição 11'!G19,'Medição 12'!G19)</f>
        <v>0</v>
      </c>
      <c r="H19" s="64" t="e">
        <f aca="false">G19/D19</f>
        <v>#DIV/0!</v>
      </c>
      <c r="I19" s="63" t="n">
        <f aca="false">G19*'Itens de Contrato'!F19</f>
        <v>0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</row>
    <row r="20" customFormat="false" ht="12.8" hidden="false" customHeight="false" outlineLevel="0" collapsed="false">
      <c r="A20" s="37" t="n">
        <f aca="false">'Itens de Contrato'!A20</f>
        <v>0</v>
      </c>
      <c r="B20" s="37" t="n">
        <f aca="false">'Itens de Contrato'!B20</f>
        <v>0</v>
      </c>
      <c r="C20" s="29" t="e">
        <f aca="false">VLOOKUP(B20,'Itens de Contrato'!B$5:G$151,2,0)</f>
        <v>#N/A</v>
      </c>
      <c r="D20" s="62" t="e">
        <f aca="false">VLOOKUP(B20,'Itens de Contrato'!B$5:G$151,4)</f>
        <v>#N/A</v>
      </c>
      <c r="E20" s="63" t="e">
        <f aca="false">D20*'Itens de Contrato'!F20</f>
        <v>#N/A</v>
      </c>
      <c r="F20" s="62" t="e">
        <f aca="false">D20-G20</f>
        <v>#N/A</v>
      </c>
      <c r="G20" s="62" t="n">
        <f aca="false">SUM('Medição 01'!G20,'Medição 02'!G20,'Medição 03'!G20,'Medição 04'!G20,'Medição 05'!G20,'Medição 06'!G20,'Medição 07'!G20,'Medição 08'!G20,'Medição 09'!G20,'Medição 10'!G20,'Medição 11'!G20,'Medição 12'!G20)</f>
        <v>0</v>
      </c>
      <c r="H20" s="64" t="e">
        <f aca="false">G20/D20</f>
        <v>#DIV/0!</v>
      </c>
      <c r="I20" s="63" t="n">
        <f aca="false">G20*'Itens de Contrato'!F20</f>
        <v>0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</row>
    <row r="21" customFormat="false" ht="12.8" hidden="false" customHeight="false" outlineLevel="0" collapsed="false">
      <c r="A21" s="37" t="n">
        <f aca="false">'Itens de Contrato'!A21</f>
        <v>0</v>
      </c>
      <c r="B21" s="37" t="n">
        <f aca="false">'Itens de Contrato'!B21</f>
        <v>0</v>
      </c>
      <c r="C21" s="29" t="e">
        <f aca="false">VLOOKUP(B21,'Itens de Contrato'!B$5:G$151,2,0)</f>
        <v>#N/A</v>
      </c>
      <c r="D21" s="62" t="e">
        <f aca="false">VLOOKUP(B21,'Itens de Contrato'!B$5:G$151,4)</f>
        <v>#N/A</v>
      </c>
      <c r="E21" s="63" t="e">
        <f aca="false">D21*'Itens de Contrato'!F21</f>
        <v>#N/A</v>
      </c>
      <c r="F21" s="62" t="e">
        <f aca="false">D21-G21</f>
        <v>#N/A</v>
      </c>
      <c r="G21" s="62" t="n">
        <f aca="false">SUM('Medição 01'!G21,'Medição 02'!G21,'Medição 03'!G21,'Medição 04'!G21,'Medição 05'!G21,'Medição 06'!G21,'Medição 07'!G21,'Medição 08'!G21,'Medição 09'!G21,'Medição 10'!G21,'Medição 11'!G21,'Medição 12'!G21)</f>
        <v>0</v>
      </c>
      <c r="H21" s="64" t="e">
        <f aca="false">G21/D21</f>
        <v>#DIV/0!</v>
      </c>
      <c r="I21" s="63" t="n">
        <f aca="false">G21*'Itens de Contrato'!F21</f>
        <v>0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customFormat="false" ht="12.8" hidden="false" customHeight="false" outlineLevel="0" collapsed="false">
      <c r="A22" s="37" t="n">
        <f aca="false">'Itens de Contrato'!A22</f>
        <v>0</v>
      </c>
      <c r="B22" s="37" t="n">
        <f aca="false">'Itens de Contrato'!B22</f>
        <v>0</v>
      </c>
      <c r="C22" s="29" t="e">
        <f aca="false">VLOOKUP(B22,'Itens de Contrato'!B$5:G$151,2,0)</f>
        <v>#N/A</v>
      </c>
      <c r="D22" s="62" t="e">
        <f aca="false">VLOOKUP(B22,'Itens de Contrato'!B$5:G$151,4)</f>
        <v>#N/A</v>
      </c>
      <c r="E22" s="63" t="e">
        <f aca="false">D22*'Itens de Contrato'!F22</f>
        <v>#N/A</v>
      </c>
      <c r="F22" s="62" t="e">
        <f aca="false">D22-G22</f>
        <v>#N/A</v>
      </c>
      <c r="G22" s="62" t="n">
        <f aca="false">SUM('Medição 01'!G22,'Medição 02'!G22,'Medição 03'!G22,'Medição 04'!G22,'Medição 05'!G22,'Medição 06'!G22,'Medição 07'!G22,'Medição 08'!G22,'Medição 09'!G22,'Medição 10'!G22,'Medição 11'!G22,'Medição 12'!G22)</f>
        <v>0</v>
      </c>
      <c r="H22" s="64" t="e">
        <f aca="false">G22/D22</f>
        <v>#DIV/0!</v>
      </c>
      <c r="I22" s="63" t="n">
        <f aca="false">G22*'Itens de Contrato'!F22</f>
        <v>0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  <row r="23" customFormat="false" ht="12.8" hidden="false" customHeight="false" outlineLevel="0" collapsed="false">
      <c r="A23" s="37" t="n">
        <f aca="false">'Itens de Contrato'!A23</f>
        <v>0</v>
      </c>
      <c r="B23" s="37" t="n">
        <f aca="false">'Itens de Contrato'!B23</f>
        <v>0</v>
      </c>
      <c r="C23" s="29" t="e">
        <f aca="false">VLOOKUP(B23,'Itens de Contrato'!B$5:G$151,2,0)</f>
        <v>#N/A</v>
      </c>
      <c r="D23" s="62" t="e">
        <f aca="false">VLOOKUP(B23,'Itens de Contrato'!B$5:G$151,4)</f>
        <v>#N/A</v>
      </c>
      <c r="E23" s="63" t="e">
        <f aca="false">D23*'Itens de Contrato'!F23</f>
        <v>#N/A</v>
      </c>
      <c r="F23" s="62" t="e">
        <f aca="false">D23-G23</f>
        <v>#N/A</v>
      </c>
      <c r="G23" s="62" t="n">
        <f aca="false">SUM('Medição 01'!G23,'Medição 02'!G23,'Medição 03'!G23,'Medição 04'!G23,'Medição 05'!G23,'Medição 06'!G23,'Medição 07'!G23,'Medição 08'!G23,'Medição 09'!G23,'Medição 10'!G23,'Medição 11'!G23,'Medição 12'!G23)</f>
        <v>0</v>
      </c>
      <c r="H23" s="64" t="e">
        <f aca="false">G23/D23</f>
        <v>#DIV/0!</v>
      </c>
      <c r="I23" s="63" t="n">
        <f aca="false">G23*'Itens de Contrato'!F23</f>
        <v>0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</row>
    <row r="24" customFormat="false" ht="12.8" hidden="false" customHeight="false" outlineLevel="0" collapsed="false">
      <c r="A24" s="37" t="n">
        <f aca="false">'Itens de Contrato'!A24</f>
        <v>0</v>
      </c>
      <c r="B24" s="37" t="n">
        <f aca="false">'Itens de Contrato'!B24</f>
        <v>0</v>
      </c>
      <c r="C24" s="29" t="e">
        <f aca="false">VLOOKUP(B24,'Itens de Contrato'!B$5:G$151,2,0)</f>
        <v>#N/A</v>
      </c>
      <c r="D24" s="62" t="e">
        <f aca="false">VLOOKUP(B24,'Itens de Contrato'!B$5:G$151,4)</f>
        <v>#N/A</v>
      </c>
      <c r="E24" s="63" t="e">
        <f aca="false">D24*'Itens de Contrato'!F24</f>
        <v>#N/A</v>
      </c>
      <c r="F24" s="62" t="e">
        <f aca="false">D24-G24</f>
        <v>#N/A</v>
      </c>
      <c r="G24" s="62" t="n">
        <f aca="false">SUM('Medição 01'!G24,'Medição 02'!G24,'Medição 03'!G24,'Medição 04'!G24,'Medição 05'!G24,'Medição 06'!G24,'Medição 07'!G24,'Medição 08'!G24,'Medição 09'!G24,'Medição 10'!G24,'Medição 11'!G24,'Medição 12'!G24)</f>
        <v>0</v>
      </c>
      <c r="H24" s="64" t="e">
        <f aca="false">G24/D24</f>
        <v>#DIV/0!</v>
      </c>
      <c r="I24" s="63" t="n">
        <f aca="false">G24*'Itens de Contrato'!F24</f>
        <v>0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</row>
    <row r="25" customFormat="false" ht="12.8" hidden="false" customHeight="false" outlineLevel="0" collapsed="false">
      <c r="A25" s="37" t="n">
        <f aca="false">'Itens de Contrato'!A25</f>
        <v>0</v>
      </c>
      <c r="B25" s="37" t="n">
        <f aca="false">'Itens de Contrato'!B25</f>
        <v>0</v>
      </c>
      <c r="C25" s="29" t="e">
        <f aca="false">VLOOKUP(B25,'Itens de Contrato'!B$5:G$151,2,0)</f>
        <v>#N/A</v>
      </c>
      <c r="D25" s="62" t="e">
        <f aca="false">VLOOKUP(B25,'Itens de Contrato'!B$5:G$151,4)</f>
        <v>#N/A</v>
      </c>
      <c r="E25" s="63" t="e">
        <f aca="false">D25*'Itens de Contrato'!F25</f>
        <v>#N/A</v>
      </c>
      <c r="F25" s="62" t="e">
        <f aca="false">D25-G25</f>
        <v>#N/A</v>
      </c>
      <c r="G25" s="62" t="n">
        <f aca="false">SUM('Medição 01'!G25,'Medição 02'!G25,'Medição 03'!G25,'Medição 04'!G25,'Medição 05'!G25,'Medição 06'!G25,'Medição 07'!G25,'Medição 08'!G25,'Medição 09'!G25,'Medição 10'!G25,'Medição 11'!G25,'Medição 12'!G25)</f>
        <v>0</v>
      </c>
      <c r="H25" s="64" t="e">
        <f aca="false">G25/D25</f>
        <v>#DIV/0!</v>
      </c>
      <c r="I25" s="63" t="n">
        <f aca="false">G25*'Itens de Contrato'!F25</f>
        <v>0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</row>
    <row r="26" customFormat="false" ht="12.8" hidden="false" customHeight="false" outlineLevel="0" collapsed="false">
      <c r="A26" s="37" t="n">
        <f aca="false">'Itens de Contrato'!A26</f>
        <v>0</v>
      </c>
      <c r="B26" s="37" t="n">
        <f aca="false">'Itens de Contrato'!B26</f>
        <v>0</v>
      </c>
      <c r="C26" s="29" t="e">
        <f aca="false">VLOOKUP(B26,'Itens de Contrato'!B$5:G$151,2,0)</f>
        <v>#N/A</v>
      </c>
      <c r="D26" s="62" t="e">
        <f aca="false">VLOOKUP(B26,'Itens de Contrato'!B$5:G$151,4)</f>
        <v>#N/A</v>
      </c>
      <c r="E26" s="63" t="e">
        <f aca="false">D26*'Itens de Contrato'!F26</f>
        <v>#N/A</v>
      </c>
      <c r="F26" s="62" t="e">
        <f aca="false">D26-G26</f>
        <v>#N/A</v>
      </c>
      <c r="G26" s="62" t="n">
        <f aca="false">SUM('Medição 01'!G26,'Medição 02'!G26,'Medição 03'!G26,'Medição 04'!G26,'Medição 05'!G26,'Medição 06'!G26,'Medição 07'!G26,'Medição 08'!G26,'Medição 09'!G26,'Medição 10'!G26,'Medição 11'!G26,'Medição 12'!G26)</f>
        <v>0</v>
      </c>
      <c r="H26" s="64" t="e">
        <f aca="false">G26/D26</f>
        <v>#DIV/0!</v>
      </c>
      <c r="I26" s="63" t="n">
        <f aca="false">G26*'Itens de Contrato'!F26</f>
        <v>0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</row>
    <row r="27" customFormat="false" ht="12.8" hidden="false" customHeight="false" outlineLevel="0" collapsed="false">
      <c r="A27" s="37" t="n">
        <f aca="false">'Itens de Contrato'!A27</f>
        <v>0</v>
      </c>
      <c r="B27" s="37" t="n">
        <f aca="false">'Itens de Contrato'!B27</f>
        <v>0</v>
      </c>
      <c r="C27" s="29" t="e">
        <f aca="false">VLOOKUP(B27,'Itens de Contrato'!B$5:G$151,2,0)</f>
        <v>#N/A</v>
      </c>
      <c r="D27" s="62" t="e">
        <f aca="false">VLOOKUP(B27,'Itens de Contrato'!B$5:G$151,4)</f>
        <v>#N/A</v>
      </c>
      <c r="E27" s="63" t="e">
        <f aca="false">D27*'Itens de Contrato'!F27</f>
        <v>#N/A</v>
      </c>
      <c r="F27" s="62" t="e">
        <f aca="false">D27-G27</f>
        <v>#N/A</v>
      </c>
      <c r="G27" s="62" t="n">
        <f aca="false">SUM('Medição 01'!G27,'Medição 02'!G27,'Medição 03'!G27,'Medição 04'!G27,'Medição 05'!G27,'Medição 06'!G27,'Medição 07'!G27,'Medição 08'!G27,'Medição 09'!G27,'Medição 10'!G27,'Medição 11'!G27,'Medição 12'!G27)</f>
        <v>0</v>
      </c>
      <c r="H27" s="64" t="e">
        <f aca="false">G27/D27</f>
        <v>#DIV/0!</v>
      </c>
      <c r="I27" s="63" t="n">
        <f aca="false">G27*'Itens de Contrato'!F27</f>
        <v>0</v>
      </c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</row>
    <row r="28" customFormat="false" ht="12.8" hidden="false" customHeight="false" outlineLevel="0" collapsed="false">
      <c r="A28" s="37" t="n">
        <f aca="false">'Itens de Contrato'!A28</f>
        <v>0</v>
      </c>
      <c r="B28" s="37" t="n">
        <f aca="false">'Itens de Contrato'!B28</f>
        <v>0</v>
      </c>
      <c r="C28" s="29" t="e">
        <f aca="false">VLOOKUP(B28,'Itens de Contrato'!B$5:G$151,2,0)</f>
        <v>#N/A</v>
      </c>
      <c r="D28" s="62" t="e">
        <f aca="false">VLOOKUP(B28,'Itens de Contrato'!B$5:G$151,4)</f>
        <v>#N/A</v>
      </c>
      <c r="E28" s="63" t="e">
        <f aca="false">D28*'Itens de Contrato'!F28</f>
        <v>#N/A</v>
      </c>
      <c r="F28" s="62" t="e">
        <f aca="false">D28-G28</f>
        <v>#N/A</v>
      </c>
      <c r="G28" s="62" t="n">
        <f aca="false">SUM('Medição 01'!G28,'Medição 02'!G28,'Medição 03'!G28,'Medição 04'!G28,'Medição 05'!G28,'Medição 06'!G28,'Medição 07'!G28,'Medição 08'!G28,'Medição 09'!G28,'Medição 10'!G28,'Medição 11'!G28,'Medição 12'!G28)</f>
        <v>0</v>
      </c>
      <c r="H28" s="64" t="e">
        <f aca="false">G28/D28</f>
        <v>#DIV/0!</v>
      </c>
      <c r="I28" s="63" t="n">
        <f aca="false">G28*'Itens de Contrato'!F28</f>
        <v>0</v>
      </c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customFormat="false" ht="12.8" hidden="false" customHeight="false" outlineLevel="0" collapsed="false">
      <c r="A29" s="37" t="n">
        <f aca="false">'Itens de Contrato'!A29</f>
        <v>0</v>
      </c>
      <c r="B29" s="37" t="n">
        <f aca="false">'Itens de Contrato'!B29</f>
        <v>0</v>
      </c>
      <c r="C29" s="29" t="e">
        <f aca="false">VLOOKUP(B29,'Itens de Contrato'!B$5:G$151,2,0)</f>
        <v>#N/A</v>
      </c>
      <c r="D29" s="62" t="e">
        <f aca="false">VLOOKUP(B29,'Itens de Contrato'!B$5:G$151,4)</f>
        <v>#N/A</v>
      </c>
      <c r="E29" s="63" t="e">
        <f aca="false">D29*'Itens de Contrato'!F29</f>
        <v>#N/A</v>
      </c>
      <c r="F29" s="62" t="e">
        <f aca="false">D29-G29</f>
        <v>#N/A</v>
      </c>
      <c r="G29" s="62" t="n">
        <f aca="false">SUM('Medição 01'!G29,'Medição 02'!G29,'Medição 03'!G29,'Medição 04'!G29,'Medição 05'!G29,'Medição 06'!G29,'Medição 07'!G29,'Medição 08'!G29,'Medição 09'!G29,'Medição 10'!G29,'Medição 11'!G29,'Medição 12'!G29)</f>
        <v>0</v>
      </c>
      <c r="H29" s="64" t="e">
        <f aca="false">G29/D29</f>
        <v>#DIV/0!</v>
      </c>
      <c r="I29" s="63" t="n">
        <f aca="false">G29*'Itens de Contrato'!F29</f>
        <v>0</v>
      </c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</row>
    <row r="30" customFormat="false" ht="12.8" hidden="false" customHeight="false" outlineLevel="0" collapsed="false">
      <c r="A30" s="37" t="n">
        <f aca="false">'Itens de Contrato'!A30</f>
        <v>0</v>
      </c>
      <c r="B30" s="37" t="n">
        <f aca="false">'Itens de Contrato'!B30</f>
        <v>0</v>
      </c>
      <c r="C30" s="29" t="e">
        <f aca="false">VLOOKUP(B30,'Itens de Contrato'!B$5:G$151,2,0)</f>
        <v>#N/A</v>
      </c>
      <c r="D30" s="62" t="e">
        <f aca="false">VLOOKUP(B30,'Itens de Contrato'!B$5:G$151,4)</f>
        <v>#N/A</v>
      </c>
      <c r="E30" s="63" t="e">
        <f aca="false">D30*'Itens de Contrato'!F30</f>
        <v>#N/A</v>
      </c>
      <c r="F30" s="62" t="e">
        <f aca="false">D30-G30</f>
        <v>#N/A</v>
      </c>
      <c r="G30" s="62" t="n">
        <f aca="false">SUM('Medição 01'!G30,'Medição 02'!G30,'Medição 03'!G30,'Medição 04'!G30,'Medição 05'!G30,'Medição 06'!G30,'Medição 07'!G30,'Medição 08'!G30,'Medição 09'!G30,'Medição 10'!G30,'Medição 11'!G30,'Medição 12'!G30)</f>
        <v>0</v>
      </c>
      <c r="H30" s="64" t="e">
        <f aca="false">G30/D30</f>
        <v>#DIV/0!</v>
      </c>
      <c r="I30" s="63" t="n">
        <f aca="false">G30*'Itens de Contrato'!F30</f>
        <v>0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</row>
    <row r="31" customFormat="false" ht="12.8" hidden="false" customHeight="false" outlineLevel="0" collapsed="false">
      <c r="A31" s="37" t="n">
        <f aca="false">'Itens de Contrato'!A31</f>
        <v>0</v>
      </c>
      <c r="B31" s="37" t="n">
        <f aca="false">'Itens de Contrato'!B31</f>
        <v>0</v>
      </c>
      <c r="C31" s="29" t="e">
        <f aca="false">VLOOKUP(B31,'Itens de Contrato'!B$5:G$151,2,0)</f>
        <v>#N/A</v>
      </c>
      <c r="D31" s="62" t="e">
        <f aca="false">VLOOKUP(B31,'Itens de Contrato'!B$5:G$151,4)</f>
        <v>#N/A</v>
      </c>
      <c r="E31" s="63" t="e">
        <f aca="false">D31*'Itens de Contrato'!F31</f>
        <v>#N/A</v>
      </c>
      <c r="F31" s="62" t="e">
        <f aca="false">D31-G31</f>
        <v>#N/A</v>
      </c>
      <c r="G31" s="62" t="n">
        <f aca="false">SUM('Medição 01'!G31,'Medição 02'!G31,'Medição 03'!G31,'Medição 04'!G31,'Medição 05'!G31,'Medição 06'!G31,'Medição 07'!G31,'Medição 08'!G31,'Medição 09'!G31,'Medição 10'!G31,'Medição 11'!G31,'Medição 12'!G31)</f>
        <v>0</v>
      </c>
      <c r="H31" s="64" t="e">
        <f aca="false">G31/D31</f>
        <v>#DIV/0!</v>
      </c>
      <c r="I31" s="63" t="n">
        <f aca="false">G31*'Itens de Contrato'!F31</f>
        <v>0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customFormat="false" ht="12.8" hidden="false" customHeight="false" outlineLevel="0" collapsed="false">
      <c r="A32" s="37" t="n">
        <f aca="false">'Itens de Contrato'!A32</f>
        <v>0</v>
      </c>
      <c r="B32" s="37" t="n">
        <f aca="false">'Itens de Contrato'!B32</f>
        <v>0</v>
      </c>
      <c r="C32" s="29" t="e">
        <f aca="false">VLOOKUP(B32,'Itens de Contrato'!B$5:G$151,2,0)</f>
        <v>#N/A</v>
      </c>
      <c r="D32" s="62" t="e">
        <f aca="false">VLOOKUP(B32,'Itens de Contrato'!B$5:G$151,4)</f>
        <v>#N/A</v>
      </c>
      <c r="E32" s="63" t="e">
        <f aca="false">D32*'Itens de Contrato'!F32</f>
        <v>#N/A</v>
      </c>
      <c r="F32" s="62" t="e">
        <f aca="false">D32-G32</f>
        <v>#N/A</v>
      </c>
      <c r="G32" s="62" t="n">
        <f aca="false">SUM('Medição 01'!G32,'Medição 02'!G32,'Medição 03'!G32,'Medição 04'!G32,'Medição 05'!G32,'Medição 06'!G32,'Medição 07'!G32,'Medição 08'!G32,'Medição 09'!G32,'Medição 10'!G32,'Medição 11'!G32,'Medição 12'!G32)</f>
        <v>0</v>
      </c>
      <c r="H32" s="64" t="e">
        <f aca="false">G32/D32</f>
        <v>#DIV/0!</v>
      </c>
      <c r="I32" s="63" t="n">
        <f aca="false">G32*'Itens de Contrato'!F32</f>
        <v>0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customFormat="false" ht="12.8" hidden="false" customHeight="false" outlineLevel="0" collapsed="false">
      <c r="A33" s="37" t="n">
        <f aca="false">'Itens de Contrato'!A33</f>
        <v>0</v>
      </c>
      <c r="B33" s="37" t="n">
        <f aca="false">'Itens de Contrato'!B33</f>
        <v>0</v>
      </c>
      <c r="C33" s="29" t="e">
        <f aca="false">VLOOKUP(B33,'Itens de Contrato'!B$5:G$151,2,0)</f>
        <v>#N/A</v>
      </c>
      <c r="D33" s="62" t="e">
        <f aca="false">VLOOKUP(B33,'Itens de Contrato'!B$5:G$151,4)</f>
        <v>#N/A</v>
      </c>
      <c r="E33" s="63" t="e">
        <f aca="false">D33*'Itens de Contrato'!F33</f>
        <v>#N/A</v>
      </c>
      <c r="F33" s="62" t="e">
        <f aca="false">D33-G33</f>
        <v>#N/A</v>
      </c>
      <c r="G33" s="62" t="n">
        <f aca="false">SUM('Medição 01'!G33,'Medição 02'!G33,'Medição 03'!G33,'Medição 04'!G33,'Medição 05'!G33,'Medição 06'!G33,'Medição 07'!G33,'Medição 08'!G33,'Medição 09'!G33,'Medição 10'!G33,'Medição 11'!G33,'Medição 12'!G33)</f>
        <v>0</v>
      </c>
      <c r="H33" s="64" t="e">
        <f aca="false">G33/D33</f>
        <v>#DIV/0!</v>
      </c>
      <c r="I33" s="63" t="n">
        <f aca="false">G33*'Itens de Contrato'!F33</f>
        <v>0</v>
      </c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customFormat="false" ht="12.8" hidden="false" customHeight="false" outlineLevel="0" collapsed="false">
      <c r="A34" s="37" t="n">
        <f aca="false">'Itens de Contrato'!A34</f>
        <v>0</v>
      </c>
      <c r="B34" s="37" t="n">
        <f aca="false">'Itens de Contrato'!B34</f>
        <v>0</v>
      </c>
      <c r="C34" s="29" t="e">
        <f aca="false">VLOOKUP(B34,'Itens de Contrato'!B$5:G$151,2,0)</f>
        <v>#N/A</v>
      </c>
      <c r="D34" s="62" t="e">
        <f aca="false">VLOOKUP(B34,'Itens de Contrato'!B$5:G$151,4)</f>
        <v>#N/A</v>
      </c>
      <c r="E34" s="63" t="e">
        <f aca="false">D34*'Itens de Contrato'!F34</f>
        <v>#N/A</v>
      </c>
      <c r="F34" s="62" t="e">
        <f aca="false">D34-G34</f>
        <v>#N/A</v>
      </c>
      <c r="G34" s="62" t="n">
        <f aca="false">SUM('Medição 01'!G34,'Medição 02'!G34,'Medição 03'!G34,'Medição 04'!G34,'Medição 05'!G34,'Medição 06'!G34,'Medição 07'!G34,'Medição 08'!G34,'Medição 09'!G34,'Medição 10'!G34,'Medição 11'!G34,'Medição 12'!G34)</f>
        <v>0</v>
      </c>
      <c r="H34" s="64" t="e">
        <f aca="false">G34/D34</f>
        <v>#DIV/0!</v>
      </c>
      <c r="I34" s="63" t="n">
        <f aca="false">G34*'Itens de Contrato'!F34</f>
        <v>0</v>
      </c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</row>
    <row r="35" customFormat="false" ht="12.8" hidden="false" customHeight="false" outlineLevel="0" collapsed="false">
      <c r="A35" s="37" t="n">
        <f aca="false">'Itens de Contrato'!A35</f>
        <v>0</v>
      </c>
      <c r="B35" s="37" t="n">
        <f aca="false">'Itens de Contrato'!B35</f>
        <v>0</v>
      </c>
      <c r="C35" s="29" t="e">
        <f aca="false">VLOOKUP(B35,'Itens de Contrato'!B$5:G$151,2,0)</f>
        <v>#N/A</v>
      </c>
      <c r="D35" s="62" t="e">
        <f aca="false">VLOOKUP(B35,'Itens de Contrato'!B$5:G$151,4)</f>
        <v>#N/A</v>
      </c>
      <c r="E35" s="63" t="e">
        <f aca="false">D35*'Itens de Contrato'!F35</f>
        <v>#N/A</v>
      </c>
      <c r="F35" s="62" t="e">
        <f aca="false">D35-G35</f>
        <v>#N/A</v>
      </c>
      <c r="G35" s="62" t="n">
        <f aca="false">SUM('Medição 01'!G35,'Medição 02'!G35,'Medição 03'!G35,'Medição 04'!G35,'Medição 05'!G35,'Medição 06'!G35,'Medição 07'!G35,'Medição 08'!G35,'Medição 09'!G35,'Medição 10'!G35,'Medição 11'!G35,'Medição 12'!G35)</f>
        <v>0</v>
      </c>
      <c r="H35" s="64" t="e">
        <f aca="false">G35/D35</f>
        <v>#DIV/0!</v>
      </c>
      <c r="I35" s="63" t="n">
        <f aca="false">G35*'Itens de Contrato'!F35</f>
        <v>0</v>
      </c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</row>
    <row r="36" customFormat="false" ht="12.8" hidden="false" customHeight="false" outlineLevel="0" collapsed="false">
      <c r="A36" s="37" t="n">
        <f aca="false">'Itens de Contrato'!A36</f>
        <v>0</v>
      </c>
      <c r="B36" s="37" t="n">
        <f aca="false">'Itens de Contrato'!B36</f>
        <v>0</v>
      </c>
      <c r="C36" s="29" t="e">
        <f aca="false">VLOOKUP(B36,'Itens de Contrato'!B$5:G$151,2,0)</f>
        <v>#N/A</v>
      </c>
      <c r="D36" s="62" t="e">
        <f aca="false">VLOOKUP(B36,'Itens de Contrato'!B$5:G$151,4)</f>
        <v>#N/A</v>
      </c>
      <c r="E36" s="63" t="e">
        <f aca="false">D36*'Itens de Contrato'!F36</f>
        <v>#N/A</v>
      </c>
      <c r="F36" s="62" t="e">
        <f aca="false">D36-G36</f>
        <v>#N/A</v>
      </c>
      <c r="G36" s="62" t="n">
        <f aca="false">SUM('Medição 01'!G36,'Medição 02'!G36,'Medição 03'!G36,'Medição 04'!G36,'Medição 05'!G36,'Medição 06'!G36,'Medição 07'!G36,'Medição 08'!G36,'Medição 09'!G36,'Medição 10'!G36,'Medição 11'!G36,'Medição 12'!G36)</f>
        <v>0</v>
      </c>
      <c r="H36" s="64" t="e">
        <f aca="false">G36/D36</f>
        <v>#DIV/0!</v>
      </c>
      <c r="I36" s="63" t="n">
        <f aca="false">G36*'Itens de Contrato'!F36</f>
        <v>0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customFormat="false" ht="12.8" hidden="false" customHeight="false" outlineLevel="0" collapsed="false">
      <c r="A37" s="37" t="n">
        <f aca="false">'Itens de Contrato'!A37</f>
        <v>0</v>
      </c>
      <c r="B37" s="37" t="n">
        <f aca="false">'Itens de Contrato'!B37</f>
        <v>0</v>
      </c>
      <c r="C37" s="29" t="e">
        <f aca="false">VLOOKUP(B37,'Itens de Contrato'!B$5:G$151,2,0)</f>
        <v>#N/A</v>
      </c>
      <c r="D37" s="62" t="e">
        <f aca="false">VLOOKUP(B37,'Itens de Contrato'!B$5:G$151,4)</f>
        <v>#N/A</v>
      </c>
      <c r="E37" s="63" t="e">
        <f aca="false">D37*'Itens de Contrato'!F37</f>
        <v>#N/A</v>
      </c>
      <c r="F37" s="62" t="e">
        <f aca="false">D37-G37</f>
        <v>#N/A</v>
      </c>
      <c r="G37" s="62" t="n">
        <f aca="false">SUM('Medição 01'!G37,'Medição 02'!G37,'Medição 03'!G37,'Medição 04'!G37,'Medição 05'!G37,'Medição 06'!G37,'Medição 07'!G37,'Medição 08'!G37,'Medição 09'!G37,'Medição 10'!G37,'Medição 11'!G37,'Medição 12'!G37)</f>
        <v>0</v>
      </c>
      <c r="H37" s="64" t="e">
        <f aca="false">G37/D37</f>
        <v>#DIV/0!</v>
      </c>
      <c r="I37" s="63" t="n">
        <f aca="false">G37*'Itens de Contrato'!F37</f>
        <v>0</v>
      </c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customFormat="false" ht="12.8" hidden="false" customHeight="false" outlineLevel="0" collapsed="false">
      <c r="A38" s="37" t="n">
        <f aca="false">'Itens de Contrato'!A38</f>
        <v>0</v>
      </c>
      <c r="B38" s="37" t="n">
        <f aca="false">'Itens de Contrato'!B38</f>
        <v>0</v>
      </c>
      <c r="C38" s="29" t="e">
        <f aca="false">VLOOKUP(B38,'Itens de Contrato'!B$5:G$151,2,0)</f>
        <v>#N/A</v>
      </c>
      <c r="D38" s="62" t="e">
        <f aca="false">VLOOKUP(B38,'Itens de Contrato'!B$5:G$151,4)</f>
        <v>#N/A</v>
      </c>
      <c r="E38" s="63" t="e">
        <f aca="false">D38*'Itens de Contrato'!F38</f>
        <v>#N/A</v>
      </c>
      <c r="F38" s="62" t="e">
        <f aca="false">D38-G38</f>
        <v>#N/A</v>
      </c>
      <c r="G38" s="62" t="n">
        <f aca="false">SUM('Medição 01'!G38,'Medição 02'!G38,'Medição 03'!G38,'Medição 04'!G38,'Medição 05'!G38,'Medição 06'!G38,'Medição 07'!G38,'Medição 08'!G38,'Medição 09'!G38,'Medição 10'!G38,'Medição 11'!G38,'Medição 12'!G38)</f>
        <v>0</v>
      </c>
      <c r="H38" s="64" t="e">
        <f aca="false">G38/D38</f>
        <v>#DIV/0!</v>
      </c>
      <c r="I38" s="63" t="n">
        <f aca="false">G38*'Itens de Contrato'!F38</f>
        <v>0</v>
      </c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customFormat="false" ht="12.8" hidden="false" customHeight="false" outlineLevel="0" collapsed="false">
      <c r="A39" s="37" t="n">
        <f aca="false">'Itens de Contrato'!A39</f>
        <v>0</v>
      </c>
      <c r="B39" s="37" t="n">
        <f aca="false">'Itens de Contrato'!B39</f>
        <v>0</v>
      </c>
      <c r="C39" s="29" t="e">
        <f aca="false">VLOOKUP(B39,'Itens de Contrato'!B$5:G$151,2,0)</f>
        <v>#N/A</v>
      </c>
      <c r="D39" s="62" t="e">
        <f aca="false">VLOOKUP(B39,'Itens de Contrato'!B$5:G$151,4)</f>
        <v>#N/A</v>
      </c>
      <c r="E39" s="63" t="e">
        <f aca="false">D39*'Itens de Contrato'!F39</f>
        <v>#N/A</v>
      </c>
      <c r="F39" s="62" t="e">
        <f aca="false">D39-G39</f>
        <v>#N/A</v>
      </c>
      <c r="G39" s="62" t="n">
        <f aca="false">SUM('Medição 01'!G39,'Medição 02'!G39,'Medição 03'!G39,'Medição 04'!G39,'Medição 05'!G39,'Medição 06'!G39,'Medição 07'!G39,'Medição 08'!G39,'Medição 09'!G39,'Medição 10'!G39,'Medição 11'!G39,'Medição 12'!G39)</f>
        <v>0</v>
      </c>
      <c r="H39" s="64" t="e">
        <f aca="false">G39/D39</f>
        <v>#DIV/0!</v>
      </c>
      <c r="I39" s="63" t="n">
        <f aca="false">G39*'Itens de Contrato'!F39</f>
        <v>0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customFormat="false" ht="12.8" hidden="false" customHeight="false" outlineLevel="0" collapsed="false">
      <c r="A40" s="37" t="n">
        <f aca="false">'Itens de Contrato'!A40</f>
        <v>0</v>
      </c>
      <c r="B40" s="37" t="n">
        <f aca="false">'Itens de Contrato'!B40</f>
        <v>0</v>
      </c>
      <c r="C40" s="29" t="e">
        <f aca="false">VLOOKUP(B40,'Itens de Contrato'!B$5:G$151,2,0)</f>
        <v>#N/A</v>
      </c>
      <c r="D40" s="62" t="e">
        <f aca="false">VLOOKUP(B40,'Itens de Contrato'!B$5:G$151,4)</f>
        <v>#N/A</v>
      </c>
      <c r="E40" s="63" t="e">
        <f aca="false">D40*'Itens de Contrato'!F40</f>
        <v>#N/A</v>
      </c>
      <c r="F40" s="62" t="e">
        <f aca="false">D40-G40</f>
        <v>#N/A</v>
      </c>
      <c r="G40" s="62" t="n">
        <f aca="false">SUM('Medição 01'!G40,'Medição 02'!G40,'Medição 03'!G40,'Medição 04'!G40,'Medição 05'!G40,'Medição 06'!G40,'Medição 07'!G40,'Medição 08'!G40,'Medição 09'!G40,'Medição 10'!G40,'Medição 11'!G40,'Medição 12'!G40)</f>
        <v>0</v>
      </c>
      <c r="H40" s="64" t="e">
        <f aca="false">G40/D40</f>
        <v>#DIV/0!</v>
      </c>
      <c r="I40" s="63" t="n">
        <f aca="false">G40*'Itens de Contrato'!F40</f>
        <v>0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customFormat="false" ht="12.8" hidden="false" customHeight="false" outlineLevel="0" collapsed="false">
      <c r="A41" s="37" t="n">
        <f aca="false">'Itens de Contrato'!A41</f>
        <v>0</v>
      </c>
      <c r="B41" s="37" t="n">
        <f aca="false">'Itens de Contrato'!B41</f>
        <v>0</v>
      </c>
      <c r="C41" s="29" t="e">
        <f aca="false">VLOOKUP(B41,'Itens de Contrato'!B$5:G$151,2,0)</f>
        <v>#N/A</v>
      </c>
      <c r="D41" s="62" t="e">
        <f aca="false">VLOOKUP(B41,'Itens de Contrato'!B$5:G$151,4)</f>
        <v>#N/A</v>
      </c>
      <c r="E41" s="63" t="e">
        <f aca="false">D41*'Itens de Contrato'!F41</f>
        <v>#N/A</v>
      </c>
      <c r="F41" s="62" t="e">
        <f aca="false">D41-G41</f>
        <v>#N/A</v>
      </c>
      <c r="G41" s="62" t="n">
        <f aca="false">SUM('Medição 01'!G41,'Medição 02'!G41,'Medição 03'!G41,'Medição 04'!G41,'Medição 05'!G41,'Medição 06'!G41,'Medição 07'!G41,'Medição 08'!G41,'Medição 09'!G41,'Medição 10'!G41,'Medição 11'!G41,'Medição 12'!G41)</f>
        <v>0</v>
      </c>
      <c r="H41" s="64" t="e">
        <f aca="false">G41/D41</f>
        <v>#DIV/0!</v>
      </c>
      <c r="I41" s="63" t="n">
        <f aca="false">G41*'Itens de Contrato'!F41</f>
        <v>0</v>
      </c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customFormat="false" ht="12.8" hidden="false" customHeight="false" outlineLevel="0" collapsed="false">
      <c r="A42" s="37" t="n">
        <f aca="false">'Itens de Contrato'!A42</f>
        <v>0</v>
      </c>
      <c r="B42" s="37" t="n">
        <f aca="false">'Itens de Contrato'!B42</f>
        <v>0</v>
      </c>
      <c r="C42" s="29" t="e">
        <f aca="false">VLOOKUP(B42,'Itens de Contrato'!B$5:G$151,2,0)</f>
        <v>#N/A</v>
      </c>
      <c r="D42" s="62" t="e">
        <f aca="false">VLOOKUP(B42,'Itens de Contrato'!B$5:G$151,4)</f>
        <v>#N/A</v>
      </c>
      <c r="E42" s="63" t="e">
        <f aca="false">D42*'Itens de Contrato'!F42</f>
        <v>#N/A</v>
      </c>
      <c r="F42" s="62" t="e">
        <f aca="false">D42-G42</f>
        <v>#N/A</v>
      </c>
      <c r="G42" s="62" t="n">
        <f aca="false">SUM('Medição 01'!G42,'Medição 02'!G42,'Medição 03'!G42,'Medição 04'!G42,'Medição 05'!G42,'Medição 06'!G42,'Medição 07'!G42,'Medição 08'!G42,'Medição 09'!G42,'Medição 10'!G42,'Medição 11'!G42,'Medição 12'!G42)</f>
        <v>0</v>
      </c>
      <c r="H42" s="64" t="e">
        <f aca="false">G42/D42</f>
        <v>#DIV/0!</v>
      </c>
      <c r="I42" s="63" t="n">
        <f aca="false">G42*'Itens de Contrato'!F42</f>
        <v>0</v>
      </c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customFormat="false" ht="12.8" hidden="false" customHeight="false" outlineLevel="0" collapsed="false">
      <c r="A43" s="37" t="n">
        <f aca="false">'Itens de Contrato'!A43</f>
        <v>0</v>
      </c>
      <c r="B43" s="37" t="n">
        <f aca="false">'Itens de Contrato'!B43</f>
        <v>0</v>
      </c>
      <c r="C43" s="29" t="e">
        <f aca="false">VLOOKUP(B43,'Itens de Contrato'!B$5:G$151,2,0)</f>
        <v>#N/A</v>
      </c>
      <c r="D43" s="62" t="e">
        <f aca="false">VLOOKUP(B43,'Itens de Contrato'!B$5:G$151,4)</f>
        <v>#N/A</v>
      </c>
      <c r="E43" s="63" t="e">
        <f aca="false">D43*'Itens de Contrato'!F43</f>
        <v>#N/A</v>
      </c>
      <c r="F43" s="62" t="e">
        <f aca="false">D43-G43</f>
        <v>#N/A</v>
      </c>
      <c r="G43" s="62" t="n">
        <f aca="false">SUM('Medição 01'!G43,'Medição 02'!G43,'Medição 03'!G43,'Medição 04'!G43,'Medição 05'!G43,'Medição 06'!G43,'Medição 07'!G43,'Medição 08'!G43,'Medição 09'!G43,'Medição 10'!G43,'Medição 11'!G43,'Medição 12'!G43)</f>
        <v>0</v>
      </c>
      <c r="H43" s="64" t="e">
        <f aca="false">G43/D43</f>
        <v>#DIV/0!</v>
      </c>
      <c r="I43" s="63" t="n">
        <f aca="false">G43*'Itens de Contrato'!F43</f>
        <v>0</v>
      </c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customFormat="false" ht="12.8" hidden="false" customHeight="false" outlineLevel="0" collapsed="false">
      <c r="A44" s="37" t="n">
        <f aca="false">'Itens de Contrato'!A44</f>
        <v>0</v>
      </c>
      <c r="B44" s="37" t="n">
        <f aca="false">'Itens de Contrato'!B44</f>
        <v>0</v>
      </c>
      <c r="C44" s="29" t="e">
        <f aca="false">VLOOKUP(B44,'Itens de Contrato'!B$5:G$151,2,0)</f>
        <v>#N/A</v>
      </c>
      <c r="D44" s="62" t="e">
        <f aca="false">VLOOKUP(B44,'Itens de Contrato'!B$5:G$151,4)</f>
        <v>#N/A</v>
      </c>
      <c r="E44" s="63" t="e">
        <f aca="false">D44*'Itens de Contrato'!F44</f>
        <v>#N/A</v>
      </c>
      <c r="F44" s="62" t="e">
        <f aca="false">D44-G44</f>
        <v>#N/A</v>
      </c>
      <c r="G44" s="62" t="n">
        <f aca="false">SUM('Medição 01'!G44,'Medição 02'!G44,'Medição 03'!G44,'Medição 04'!G44,'Medição 05'!G44,'Medição 06'!G44,'Medição 07'!G44,'Medição 08'!G44,'Medição 09'!G44,'Medição 10'!G44,'Medição 11'!G44,'Medição 12'!G44)</f>
        <v>0</v>
      </c>
      <c r="H44" s="64" t="e">
        <f aca="false">G44/D44</f>
        <v>#DIV/0!</v>
      </c>
      <c r="I44" s="63" t="n">
        <f aca="false">G44*'Itens de Contrato'!F44</f>
        <v>0</v>
      </c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customFormat="false" ht="12.8" hidden="false" customHeight="false" outlineLevel="0" collapsed="false">
      <c r="A45" s="37" t="n">
        <f aca="false">'Itens de Contrato'!A45</f>
        <v>0</v>
      </c>
      <c r="B45" s="37" t="n">
        <f aca="false">'Itens de Contrato'!B45</f>
        <v>0</v>
      </c>
      <c r="C45" s="29" t="e">
        <f aca="false">VLOOKUP(B45,'Itens de Contrato'!B$5:G$151,2,0)</f>
        <v>#N/A</v>
      </c>
      <c r="D45" s="62" t="e">
        <f aca="false">VLOOKUP(B45,'Itens de Contrato'!B$5:G$151,4)</f>
        <v>#N/A</v>
      </c>
      <c r="E45" s="63" t="e">
        <f aca="false">D45*'Itens de Contrato'!F45</f>
        <v>#N/A</v>
      </c>
      <c r="F45" s="62" t="e">
        <f aca="false">D45-G45</f>
        <v>#N/A</v>
      </c>
      <c r="G45" s="62" t="n">
        <f aca="false">SUM('Medição 01'!G45,'Medição 02'!G45,'Medição 03'!G45,'Medição 04'!G45,'Medição 05'!G45,'Medição 06'!G45,'Medição 07'!G45,'Medição 08'!G45,'Medição 09'!G45,'Medição 10'!G45,'Medição 11'!G45,'Medição 12'!G45)</f>
        <v>0</v>
      </c>
      <c r="H45" s="64" t="e">
        <f aca="false">G45/D45</f>
        <v>#DIV/0!</v>
      </c>
      <c r="I45" s="63" t="n">
        <f aca="false">G45*'Itens de Contrato'!F45</f>
        <v>0</v>
      </c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customFormat="false" ht="12.8" hidden="false" customHeight="false" outlineLevel="0" collapsed="false">
      <c r="A46" s="37" t="n">
        <f aca="false">'Itens de Contrato'!A46</f>
        <v>0</v>
      </c>
      <c r="B46" s="37" t="n">
        <f aca="false">'Itens de Contrato'!B46</f>
        <v>0</v>
      </c>
      <c r="C46" s="29" t="e">
        <f aca="false">VLOOKUP(B46,'Itens de Contrato'!B$5:G$151,2,0)</f>
        <v>#N/A</v>
      </c>
      <c r="D46" s="62" t="e">
        <f aca="false">VLOOKUP(B46,'Itens de Contrato'!B$5:G$151,4)</f>
        <v>#N/A</v>
      </c>
      <c r="E46" s="63" t="e">
        <f aca="false">D46*'Itens de Contrato'!F46</f>
        <v>#N/A</v>
      </c>
      <c r="F46" s="62" t="e">
        <f aca="false">D46-G46</f>
        <v>#N/A</v>
      </c>
      <c r="G46" s="62" t="n">
        <f aca="false">SUM('Medição 01'!G46,'Medição 02'!G46,'Medição 03'!G46,'Medição 04'!G46,'Medição 05'!G46,'Medição 06'!G46,'Medição 07'!G46,'Medição 08'!G46,'Medição 09'!G46,'Medição 10'!G46,'Medição 11'!G46,'Medição 12'!G46)</f>
        <v>0</v>
      </c>
      <c r="H46" s="64" t="e">
        <f aca="false">G46/D46</f>
        <v>#DIV/0!</v>
      </c>
      <c r="I46" s="63" t="n">
        <f aca="false">G46*'Itens de Contrato'!F46</f>
        <v>0</v>
      </c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customFormat="false" ht="12.8" hidden="false" customHeight="false" outlineLevel="0" collapsed="false">
      <c r="A47" s="37" t="n">
        <f aca="false">'Itens de Contrato'!A47</f>
        <v>0</v>
      </c>
      <c r="B47" s="37" t="n">
        <f aca="false">'Itens de Contrato'!B47</f>
        <v>0</v>
      </c>
      <c r="C47" s="29" t="e">
        <f aca="false">VLOOKUP(B47,'Itens de Contrato'!B$5:G$151,2,0)</f>
        <v>#N/A</v>
      </c>
      <c r="D47" s="62" t="e">
        <f aca="false">VLOOKUP(B47,'Itens de Contrato'!B$5:G$151,4)</f>
        <v>#N/A</v>
      </c>
      <c r="E47" s="63" t="e">
        <f aca="false">D47*'Itens de Contrato'!F47</f>
        <v>#N/A</v>
      </c>
      <c r="F47" s="62" t="e">
        <f aca="false">D47-G47</f>
        <v>#N/A</v>
      </c>
      <c r="G47" s="62" t="n">
        <f aca="false">SUM('Medição 01'!G47,'Medição 02'!G47,'Medição 03'!G47,'Medição 04'!G47,'Medição 05'!G47,'Medição 06'!G47,'Medição 07'!G47,'Medição 08'!G47,'Medição 09'!G47,'Medição 10'!G47,'Medição 11'!G47,'Medição 12'!G47)</f>
        <v>0</v>
      </c>
      <c r="H47" s="64" t="e">
        <f aca="false">G47/D47</f>
        <v>#DIV/0!</v>
      </c>
      <c r="I47" s="63" t="n">
        <f aca="false">G47*'Itens de Contrato'!F47</f>
        <v>0</v>
      </c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customFormat="false" ht="12.8" hidden="false" customHeight="false" outlineLevel="0" collapsed="false">
      <c r="A48" s="37" t="n">
        <f aca="false">'Itens de Contrato'!A48</f>
        <v>0</v>
      </c>
      <c r="B48" s="37" t="n">
        <f aca="false">'Itens de Contrato'!B48</f>
        <v>0</v>
      </c>
      <c r="C48" s="29" t="e">
        <f aca="false">VLOOKUP(B48,'Itens de Contrato'!B$5:G$151,2,0)</f>
        <v>#N/A</v>
      </c>
      <c r="D48" s="62" t="e">
        <f aca="false">VLOOKUP(B48,'Itens de Contrato'!B$5:G$151,4)</f>
        <v>#N/A</v>
      </c>
      <c r="E48" s="63" t="e">
        <f aca="false">D48*'Itens de Contrato'!F48</f>
        <v>#N/A</v>
      </c>
      <c r="F48" s="62" t="e">
        <f aca="false">D48-G48</f>
        <v>#N/A</v>
      </c>
      <c r="G48" s="62" t="n">
        <f aca="false">SUM('Medição 01'!G48,'Medição 02'!G48,'Medição 03'!G48,'Medição 04'!G48,'Medição 05'!G48,'Medição 06'!G48,'Medição 07'!G48,'Medição 08'!G48,'Medição 09'!G48,'Medição 10'!G48,'Medição 11'!G48,'Medição 12'!G48)</f>
        <v>0</v>
      </c>
      <c r="H48" s="64" t="e">
        <f aca="false">G48/D48</f>
        <v>#DIV/0!</v>
      </c>
      <c r="I48" s="63" t="n">
        <f aca="false">G48*'Itens de Contrato'!F48</f>
        <v>0</v>
      </c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customFormat="false" ht="12.8" hidden="false" customHeight="false" outlineLevel="0" collapsed="false">
      <c r="A49" s="37" t="n">
        <f aca="false">'Itens de Contrato'!A49</f>
        <v>0</v>
      </c>
      <c r="B49" s="37" t="n">
        <f aca="false">'Itens de Contrato'!B49</f>
        <v>0</v>
      </c>
      <c r="C49" s="29" t="e">
        <f aca="false">VLOOKUP(B49,'Itens de Contrato'!B$5:G$151,2,0)</f>
        <v>#N/A</v>
      </c>
      <c r="D49" s="62" t="e">
        <f aca="false">VLOOKUP(B49,'Itens de Contrato'!B$5:G$151,4)</f>
        <v>#N/A</v>
      </c>
      <c r="E49" s="63" t="e">
        <f aca="false">D49*'Itens de Contrato'!F49</f>
        <v>#N/A</v>
      </c>
      <c r="F49" s="62" t="e">
        <f aca="false">D49-G49</f>
        <v>#N/A</v>
      </c>
      <c r="G49" s="62" t="n">
        <f aca="false">SUM('Medição 01'!G49,'Medição 02'!G49,'Medição 03'!G49,'Medição 04'!G49,'Medição 05'!G49,'Medição 06'!G49,'Medição 07'!G49,'Medição 08'!G49,'Medição 09'!G49,'Medição 10'!G49,'Medição 11'!G49,'Medição 12'!G49)</f>
        <v>0</v>
      </c>
      <c r="H49" s="64" t="e">
        <f aca="false">G49/D49</f>
        <v>#DIV/0!</v>
      </c>
      <c r="I49" s="63" t="n">
        <f aca="false">G49*'Itens de Contrato'!F49</f>
        <v>0</v>
      </c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customFormat="false" ht="12.8" hidden="false" customHeight="false" outlineLevel="0" collapsed="false">
      <c r="A50" s="37" t="n">
        <f aca="false">'Itens de Contrato'!A50</f>
        <v>0</v>
      </c>
      <c r="B50" s="37" t="n">
        <f aca="false">'Itens de Contrato'!B50</f>
        <v>0</v>
      </c>
      <c r="C50" s="29" t="e">
        <f aca="false">VLOOKUP(B50,'Itens de Contrato'!B$5:G$151,2,0)</f>
        <v>#N/A</v>
      </c>
      <c r="D50" s="62" t="e">
        <f aca="false">VLOOKUP(B50,'Itens de Contrato'!B$5:G$151,4)</f>
        <v>#N/A</v>
      </c>
      <c r="E50" s="63" t="e">
        <f aca="false">D50*'Itens de Contrato'!F50</f>
        <v>#N/A</v>
      </c>
      <c r="F50" s="62" t="e">
        <f aca="false">D50-G50</f>
        <v>#N/A</v>
      </c>
      <c r="G50" s="62" t="n">
        <f aca="false">SUM('Medição 01'!G50,'Medição 02'!G50,'Medição 03'!G50,'Medição 04'!G50,'Medição 05'!G50,'Medição 06'!G50,'Medição 07'!G50,'Medição 08'!G50,'Medição 09'!G50,'Medição 10'!G50,'Medição 11'!G50,'Medição 12'!G50)</f>
        <v>0</v>
      </c>
      <c r="H50" s="64" t="e">
        <f aca="false">G50/D50</f>
        <v>#DIV/0!</v>
      </c>
      <c r="I50" s="63" t="n">
        <f aca="false">G50*'Itens de Contrato'!F50</f>
        <v>0</v>
      </c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customFormat="false" ht="12.8" hidden="false" customHeight="false" outlineLevel="0" collapsed="false">
      <c r="A51" s="37" t="n">
        <f aca="false">'Itens de Contrato'!A51</f>
        <v>0</v>
      </c>
      <c r="B51" s="37" t="n">
        <f aca="false">'Itens de Contrato'!B51</f>
        <v>0</v>
      </c>
      <c r="C51" s="29" t="e">
        <f aca="false">VLOOKUP(B51,'Itens de Contrato'!B$5:G$151,2,0)</f>
        <v>#N/A</v>
      </c>
      <c r="D51" s="62" t="e">
        <f aca="false">VLOOKUP(B51,'Itens de Contrato'!B$5:G$151,4)</f>
        <v>#N/A</v>
      </c>
      <c r="E51" s="63" t="e">
        <f aca="false">D51*'Itens de Contrato'!F51</f>
        <v>#N/A</v>
      </c>
      <c r="F51" s="62" t="e">
        <f aca="false">D51-G51</f>
        <v>#N/A</v>
      </c>
      <c r="G51" s="62" t="n">
        <f aca="false">SUM('Medição 01'!G51,'Medição 02'!G51,'Medição 03'!G51,'Medição 04'!G51,'Medição 05'!G51,'Medição 06'!G51,'Medição 07'!G51,'Medição 08'!G51,'Medição 09'!G51,'Medição 10'!G51,'Medição 11'!G51,'Medição 12'!G51)</f>
        <v>0</v>
      </c>
      <c r="H51" s="64" t="e">
        <f aca="false">G51/D51</f>
        <v>#DIV/0!</v>
      </c>
      <c r="I51" s="63" t="n">
        <f aca="false">G51*'Itens de Contrato'!F51</f>
        <v>0</v>
      </c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customFormat="false" ht="12.8" hidden="false" customHeight="false" outlineLevel="0" collapsed="false">
      <c r="A52" s="37" t="n">
        <f aca="false">'Itens de Contrato'!A52</f>
        <v>0</v>
      </c>
      <c r="B52" s="37" t="n">
        <f aca="false">'Itens de Contrato'!B52</f>
        <v>0</v>
      </c>
      <c r="C52" s="29" t="e">
        <f aca="false">VLOOKUP(B52,'Itens de Contrato'!B$5:G$151,2,0)</f>
        <v>#N/A</v>
      </c>
      <c r="D52" s="62" t="e">
        <f aca="false">VLOOKUP(B52,'Itens de Contrato'!B$5:G$151,4)</f>
        <v>#N/A</v>
      </c>
      <c r="E52" s="63" t="e">
        <f aca="false">D52*'Itens de Contrato'!F52</f>
        <v>#N/A</v>
      </c>
      <c r="F52" s="62" t="e">
        <f aca="false">D52-G52</f>
        <v>#N/A</v>
      </c>
      <c r="G52" s="62" t="n">
        <f aca="false">SUM('Medição 01'!G52,'Medição 02'!G52,'Medição 03'!G52,'Medição 04'!G52,'Medição 05'!G52,'Medição 06'!G52,'Medição 07'!G52,'Medição 08'!G52,'Medição 09'!G52,'Medição 10'!G52,'Medição 11'!G52,'Medição 12'!G52)</f>
        <v>0</v>
      </c>
      <c r="H52" s="64" t="e">
        <f aca="false">G52/D52</f>
        <v>#DIV/0!</v>
      </c>
      <c r="I52" s="63" t="n">
        <f aca="false">G52*'Itens de Contrato'!F52</f>
        <v>0</v>
      </c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customFormat="false" ht="12.8" hidden="false" customHeight="false" outlineLevel="0" collapsed="false">
      <c r="A53" s="37" t="n">
        <f aca="false">'Itens de Contrato'!A53</f>
        <v>0</v>
      </c>
      <c r="B53" s="37" t="n">
        <f aca="false">'Itens de Contrato'!B53</f>
        <v>0</v>
      </c>
      <c r="C53" s="29" t="e">
        <f aca="false">VLOOKUP(B53,'Itens de Contrato'!B$5:G$151,2,0)</f>
        <v>#N/A</v>
      </c>
      <c r="D53" s="62" t="e">
        <f aca="false">VLOOKUP(B53,'Itens de Contrato'!B$5:G$151,4)</f>
        <v>#N/A</v>
      </c>
      <c r="E53" s="63" t="e">
        <f aca="false">D53*'Itens de Contrato'!F53</f>
        <v>#N/A</v>
      </c>
      <c r="F53" s="62" t="e">
        <f aca="false">D53-G53</f>
        <v>#N/A</v>
      </c>
      <c r="G53" s="62" t="n">
        <f aca="false">SUM('Medição 01'!G53,'Medição 02'!G53,'Medição 03'!G53,'Medição 04'!G53,'Medição 05'!G53,'Medição 06'!G53,'Medição 07'!G53,'Medição 08'!G53,'Medição 09'!G53,'Medição 10'!G53,'Medição 11'!G53,'Medição 12'!G53)</f>
        <v>0</v>
      </c>
      <c r="H53" s="64" t="e">
        <f aca="false">G53/D53</f>
        <v>#DIV/0!</v>
      </c>
      <c r="I53" s="63" t="n">
        <f aca="false">G53*'Itens de Contrato'!F53</f>
        <v>0</v>
      </c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customFormat="false" ht="12.8" hidden="false" customHeight="false" outlineLevel="0" collapsed="false">
      <c r="A54" s="37" t="n">
        <f aca="false">'Itens de Contrato'!A54</f>
        <v>0</v>
      </c>
      <c r="B54" s="37" t="n">
        <f aca="false">'Itens de Contrato'!B54</f>
        <v>0</v>
      </c>
      <c r="C54" s="29" t="e">
        <f aca="false">VLOOKUP(B54,'Itens de Contrato'!B$5:G$151,2,0)</f>
        <v>#N/A</v>
      </c>
      <c r="D54" s="62" t="e">
        <f aca="false">VLOOKUP(B54,'Itens de Contrato'!B$5:G$151,4)</f>
        <v>#N/A</v>
      </c>
      <c r="E54" s="63" t="e">
        <f aca="false">D54*'Itens de Contrato'!F54</f>
        <v>#N/A</v>
      </c>
      <c r="F54" s="62" t="e">
        <f aca="false">D54-G54</f>
        <v>#N/A</v>
      </c>
      <c r="G54" s="62" t="n">
        <f aca="false">SUM('Medição 01'!G54,'Medição 02'!G54,'Medição 03'!G54,'Medição 04'!G54,'Medição 05'!G54,'Medição 06'!G54,'Medição 07'!G54,'Medição 08'!G54,'Medição 09'!G54,'Medição 10'!G54,'Medição 11'!G54,'Medição 12'!G54)</f>
        <v>0</v>
      </c>
      <c r="H54" s="64" t="e">
        <f aca="false">G54/D54</f>
        <v>#DIV/0!</v>
      </c>
      <c r="I54" s="63" t="n">
        <f aca="false">G54*'Itens de Contrato'!F54</f>
        <v>0</v>
      </c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customFormat="false" ht="12.8" hidden="false" customHeight="false" outlineLevel="0" collapsed="false">
      <c r="A55" s="37" t="n">
        <f aca="false">'Itens de Contrato'!A55</f>
        <v>0</v>
      </c>
      <c r="B55" s="37" t="n">
        <f aca="false">'Itens de Contrato'!B55</f>
        <v>0</v>
      </c>
      <c r="C55" s="29" t="e">
        <f aca="false">VLOOKUP(B55,'Itens de Contrato'!B$5:G$151,2,0)</f>
        <v>#N/A</v>
      </c>
      <c r="D55" s="62" t="e">
        <f aca="false">VLOOKUP(B55,'Itens de Contrato'!B$5:G$151,4)</f>
        <v>#N/A</v>
      </c>
      <c r="E55" s="63" t="e">
        <f aca="false">D55*'Itens de Contrato'!F55</f>
        <v>#N/A</v>
      </c>
      <c r="F55" s="62" t="e">
        <f aca="false">D55-G55</f>
        <v>#N/A</v>
      </c>
      <c r="G55" s="62" t="n">
        <f aca="false">SUM('Medição 01'!G55,'Medição 02'!G55,'Medição 03'!G55,'Medição 04'!G55,'Medição 05'!G55,'Medição 06'!G55,'Medição 07'!G55,'Medição 08'!G55,'Medição 09'!G55,'Medição 10'!G55,'Medição 11'!G55,'Medição 12'!G55)</f>
        <v>0</v>
      </c>
      <c r="H55" s="64" t="e">
        <f aca="false">G55/D55</f>
        <v>#DIV/0!</v>
      </c>
      <c r="I55" s="63" t="n">
        <f aca="false">G55*'Itens de Contrato'!F55</f>
        <v>0</v>
      </c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customFormat="false" ht="12.8" hidden="false" customHeight="false" outlineLevel="0" collapsed="false">
      <c r="A56" s="37" t="n">
        <f aca="false">'Itens de Contrato'!A56</f>
        <v>0</v>
      </c>
      <c r="B56" s="37" t="n">
        <f aca="false">'Itens de Contrato'!B56</f>
        <v>0</v>
      </c>
      <c r="C56" s="29" t="e">
        <f aca="false">VLOOKUP(B56,'Itens de Contrato'!B$5:G$151,2,0)</f>
        <v>#N/A</v>
      </c>
      <c r="D56" s="62" t="e">
        <f aca="false">VLOOKUP(B56,'Itens de Contrato'!B$5:G$151,4)</f>
        <v>#N/A</v>
      </c>
      <c r="E56" s="63" t="e">
        <f aca="false">D56*'Itens de Contrato'!F56</f>
        <v>#N/A</v>
      </c>
      <c r="F56" s="62" t="e">
        <f aca="false">D56-G56</f>
        <v>#N/A</v>
      </c>
      <c r="G56" s="62" t="n">
        <f aca="false">SUM('Medição 01'!G56,'Medição 02'!G56,'Medição 03'!G56,'Medição 04'!G56,'Medição 05'!G56,'Medição 06'!G56,'Medição 07'!G56,'Medição 08'!G56,'Medição 09'!G56,'Medição 10'!G56,'Medição 11'!G56,'Medição 12'!G56)</f>
        <v>0</v>
      </c>
      <c r="H56" s="64" t="e">
        <f aca="false">G56/D56</f>
        <v>#DIV/0!</v>
      </c>
      <c r="I56" s="63" t="n">
        <f aca="false">G56*'Itens de Contrato'!F56</f>
        <v>0</v>
      </c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customFormat="false" ht="12.8" hidden="false" customHeight="false" outlineLevel="0" collapsed="false">
      <c r="A57" s="37" t="n">
        <f aca="false">'Itens de Contrato'!A57</f>
        <v>0</v>
      </c>
      <c r="B57" s="37" t="n">
        <f aca="false">'Itens de Contrato'!B57</f>
        <v>0</v>
      </c>
      <c r="C57" s="29" t="e">
        <f aca="false">VLOOKUP(B57,'Itens de Contrato'!B$5:G$151,2,0)</f>
        <v>#N/A</v>
      </c>
      <c r="D57" s="62" t="e">
        <f aca="false">VLOOKUP(B57,'Itens de Contrato'!B$5:G$151,4)</f>
        <v>#N/A</v>
      </c>
      <c r="E57" s="63" t="e">
        <f aca="false">D57*'Itens de Contrato'!F57</f>
        <v>#N/A</v>
      </c>
      <c r="F57" s="62" t="e">
        <f aca="false">D57-G57</f>
        <v>#N/A</v>
      </c>
      <c r="G57" s="62" t="n">
        <f aca="false">SUM('Medição 01'!G57,'Medição 02'!G57,'Medição 03'!G57,'Medição 04'!G57,'Medição 05'!G57,'Medição 06'!G57,'Medição 07'!G57,'Medição 08'!G57,'Medição 09'!G57,'Medição 10'!G57,'Medição 11'!G57,'Medição 12'!G57)</f>
        <v>0</v>
      </c>
      <c r="H57" s="64" t="e">
        <f aca="false">G57/D57</f>
        <v>#DIV/0!</v>
      </c>
      <c r="I57" s="63" t="n">
        <f aca="false">G57*'Itens de Contrato'!F57</f>
        <v>0</v>
      </c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customFormat="false" ht="12.8" hidden="false" customHeight="false" outlineLevel="0" collapsed="false">
      <c r="A58" s="37" t="n">
        <f aca="false">'Itens de Contrato'!A58</f>
        <v>0</v>
      </c>
      <c r="B58" s="37" t="n">
        <f aca="false">'Itens de Contrato'!B58</f>
        <v>0</v>
      </c>
      <c r="C58" s="29" t="e">
        <f aca="false">VLOOKUP(B58,'Itens de Contrato'!B$5:G$151,2,0)</f>
        <v>#N/A</v>
      </c>
      <c r="D58" s="62" t="e">
        <f aca="false">VLOOKUP(B58,'Itens de Contrato'!B$5:G$151,4)</f>
        <v>#N/A</v>
      </c>
      <c r="E58" s="63" t="e">
        <f aca="false">D58*'Itens de Contrato'!F58</f>
        <v>#N/A</v>
      </c>
      <c r="F58" s="62" t="e">
        <f aca="false">D58-G58</f>
        <v>#N/A</v>
      </c>
      <c r="G58" s="62" t="n">
        <f aca="false">SUM('Medição 01'!G58,'Medição 02'!G58,'Medição 03'!G58,'Medição 04'!G58,'Medição 05'!G58,'Medição 06'!G58,'Medição 07'!G58,'Medição 08'!G58,'Medição 09'!G58,'Medição 10'!G58,'Medição 11'!G58,'Medição 12'!G58)</f>
        <v>0</v>
      </c>
      <c r="H58" s="64" t="e">
        <f aca="false">G58/D58</f>
        <v>#DIV/0!</v>
      </c>
      <c r="I58" s="63" t="n">
        <f aca="false">G58*'Itens de Contrato'!F58</f>
        <v>0</v>
      </c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customFormat="false" ht="12.8" hidden="false" customHeight="false" outlineLevel="0" collapsed="false">
      <c r="A59" s="37" t="n">
        <f aca="false">'Itens de Contrato'!A59</f>
        <v>0</v>
      </c>
      <c r="B59" s="37" t="n">
        <f aca="false">'Itens de Contrato'!B59</f>
        <v>0</v>
      </c>
      <c r="C59" s="29" t="e">
        <f aca="false">VLOOKUP(B59,'Itens de Contrato'!B$5:G$151,2,0)</f>
        <v>#N/A</v>
      </c>
      <c r="D59" s="62" t="e">
        <f aca="false">VLOOKUP(B59,'Itens de Contrato'!B$5:G$151,4)</f>
        <v>#N/A</v>
      </c>
      <c r="E59" s="63" t="e">
        <f aca="false">D59*'Itens de Contrato'!F59</f>
        <v>#N/A</v>
      </c>
      <c r="F59" s="62" t="e">
        <f aca="false">D59-G59</f>
        <v>#N/A</v>
      </c>
      <c r="G59" s="62" t="n">
        <f aca="false">SUM('Medição 01'!G59,'Medição 02'!G59,'Medição 03'!G59,'Medição 04'!G59,'Medição 05'!G59,'Medição 06'!G59,'Medição 07'!G59,'Medição 08'!G59,'Medição 09'!G59,'Medição 10'!G59,'Medição 11'!G59,'Medição 12'!G59)</f>
        <v>0</v>
      </c>
      <c r="H59" s="64" t="e">
        <f aca="false">G59/D59</f>
        <v>#DIV/0!</v>
      </c>
      <c r="I59" s="63" t="n">
        <f aca="false">G59*'Itens de Contrato'!F59</f>
        <v>0</v>
      </c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</row>
    <row r="60" customFormat="false" ht="12.8" hidden="false" customHeight="false" outlineLevel="0" collapsed="false">
      <c r="A60" s="37" t="n">
        <f aca="false">'Itens de Contrato'!A60</f>
        <v>0</v>
      </c>
      <c r="B60" s="37" t="n">
        <f aca="false">'Itens de Contrato'!B60</f>
        <v>0</v>
      </c>
      <c r="C60" s="29" t="e">
        <f aca="false">VLOOKUP(B60,'Itens de Contrato'!B$5:G$151,2,0)</f>
        <v>#N/A</v>
      </c>
      <c r="D60" s="62" t="e">
        <f aca="false">VLOOKUP(B60,'Itens de Contrato'!B$5:G$151,4)</f>
        <v>#N/A</v>
      </c>
      <c r="E60" s="63" t="e">
        <f aca="false">D60*'Itens de Contrato'!F60</f>
        <v>#N/A</v>
      </c>
      <c r="F60" s="62" t="e">
        <f aca="false">D60-G60</f>
        <v>#N/A</v>
      </c>
      <c r="G60" s="62" t="n">
        <f aca="false">SUM('Medição 01'!G60,'Medição 02'!G60,'Medição 03'!G60,'Medição 04'!G60,'Medição 05'!G60,'Medição 06'!G60,'Medição 07'!G60,'Medição 08'!G60,'Medição 09'!G60,'Medição 10'!G60,'Medição 11'!G60,'Medição 12'!G60)</f>
        <v>0</v>
      </c>
      <c r="H60" s="64" t="e">
        <f aca="false">G60/D60</f>
        <v>#DIV/0!</v>
      </c>
      <c r="I60" s="63" t="n">
        <f aca="false">G60*'Itens de Contrato'!F60</f>
        <v>0</v>
      </c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customFormat="false" ht="12.8" hidden="false" customHeight="false" outlineLevel="0" collapsed="false">
      <c r="A61" s="37" t="n">
        <f aca="false">'Itens de Contrato'!A61</f>
        <v>0</v>
      </c>
      <c r="B61" s="37" t="n">
        <f aca="false">'Itens de Contrato'!B61</f>
        <v>0</v>
      </c>
      <c r="C61" s="29" t="e">
        <f aca="false">VLOOKUP(B61,'Itens de Contrato'!B$5:G$151,2,0)</f>
        <v>#N/A</v>
      </c>
      <c r="D61" s="62" t="e">
        <f aca="false">VLOOKUP(B61,'Itens de Contrato'!B$5:G$151,4)</f>
        <v>#N/A</v>
      </c>
      <c r="E61" s="63" t="e">
        <f aca="false">D61*'Itens de Contrato'!F61</f>
        <v>#N/A</v>
      </c>
      <c r="F61" s="62" t="e">
        <f aca="false">D61-G61</f>
        <v>#N/A</v>
      </c>
      <c r="G61" s="62" t="n">
        <f aca="false">SUM('Medição 01'!G61,'Medição 02'!G61,'Medição 03'!G61,'Medição 04'!G61,'Medição 05'!G61,'Medição 06'!G61,'Medição 07'!G61,'Medição 08'!G61,'Medição 09'!G61,'Medição 10'!G61,'Medição 11'!G61,'Medição 12'!G61)</f>
        <v>0</v>
      </c>
      <c r="H61" s="64" t="e">
        <f aca="false">G61/D61</f>
        <v>#DIV/0!</v>
      </c>
      <c r="I61" s="63" t="n">
        <f aca="false">G61*'Itens de Contrato'!F61</f>
        <v>0</v>
      </c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customFormat="false" ht="12.8" hidden="false" customHeight="false" outlineLevel="0" collapsed="false">
      <c r="A62" s="37" t="n">
        <f aca="false">'Itens de Contrato'!A62</f>
        <v>0</v>
      </c>
      <c r="B62" s="37" t="n">
        <f aca="false">'Itens de Contrato'!B62</f>
        <v>0</v>
      </c>
      <c r="C62" s="29" t="e">
        <f aca="false">VLOOKUP(B62,'Itens de Contrato'!B$5:G$151,2,0)</f>
        <v>#N/A</v>
      </c>
      <c r="D62" s="62" t="e">
        <f aca="false">VLOOKUP(B62,'Itens de Contrato'!B$5:G$151,4)</f>
        <v>#N/A</v>
      </c>
      <c r="E62" s="63" t="e">
        <f aca="false">D62*'Itens de Contrato'!F62</f>
        <v>#N/A</v>
      </c>
      <c r="F62" s="62" t="e">
        <f aca="false">D62-G62</f>
        <v>#N/A</v>
      </c>
      <c r="G62" s="62" t="n">
        <f aca="false">SUM('Medição 01'!G62,'Medição 02'!G62,'Medição 03'!G62,'Medição 04'!G62,'Medição 05'!G62,'Medição 06'!G62,'Medição 07'!G62,'Medição 08'!G62,'Medição 09'!G62,'Medição 10'!G62,'Medição 11'!G62,'Medição 12'!G62)</f>
        <v>0</v>
      </c>
      <c r="H62" s="64" t="e">
        <f aca="false">G62/D62</f>
        <v>#DIV/0!</v>
      </c>
      <c r="I62" s="63" t="n">
        <f aca="false">G62*'Itens de Contrato'!F62</f>
        <v>0</v>
      </c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customFormat="false" ht="12.8" hidden="false" customHeight="false" outlineLevel="0" collapsed="false">
      <c r="A63" s="37" t="n">
        <f aca="false">'Itens de Contrato'!A63</f>
        <v>0</v>
      </c>
      <c r="B63" s="37" t="n">
        <f aca="false">'Itens de Contrato'!B63</f>
        <v>0</v>
      </c>
      <c r="C63" s="29" t="e">
        <f aca="false">VLOOKUP(B63,'Itens de Contrato'!B$5:G$151,2,0)</f>
        <v>#N/A</v>
      </c>
      <c r="D63" s="62" t="e">
        <f aca="false">VLOOKUP(B63,'Itens de Contrato'!B$5:G$151,4)</f>
        <v>#N/A</v>
      </c>
      <c r="E63" s="63" t="e">
        <f aca="false">D63*'Itens de Contrato'!F63</f>
        <v>#N/A</v>
      </c>
      <c r="F63" s="62" t="e">
        <f aca="false">D63-G63</f>
        <v>#N/A</v>
      </c>
      <c r="G63" s="62" t="n">
        <f aca="false">SUM('Medição 01'!G63,'Medição 02'!G63,'Medição 03'!G63,'Medição 04'!G63,'Medição 05'!G63,'Medição 06'!G63,'Medição 07'!G63,'Medição 08'!G63,'Medição 09'!G63,'Medição 10'!G63,'Medição 11'!G63,'Medição 12'!G63)</f>
        <v>0</v>
      </c>
      <c r="H63" s="64" t="e">
        <f aca="false">G63/D63</f>
        <v>#DIV/0!</v>
      </c>
      <c r="I63" s="63" t="n">
        <f aca="false">G63*'Itens de Contrato'!F63</f>
        <v>0</v>
      </c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customFormat="false" ht="12.8" hidden="false" customHeight="false" outlineLevel="0" collapsed="false">
      <c r="A64" s="37" t="n">
        <f aca="false">'Itens de Contrato'!A64</f>
        <v>0</v>
      </c>
      <c r="B64" s="37" t="n">
        <f aca="false">'Itens de Contrato'!B64</f>
        <v>0</v>
      </c>
      <c r="C64" s="29" t="e">
        <f aca="false">VLOOKUP(B64,'Itens de Contrato'!B$5:G$151,2,0)</f>
        <v>#N/A</v>
      </c>
      <c r="D64" s="62" t="e">
        <f aca="false">VLOOKUP(B64,'Itens de Contrato'!B$5:G$151,4)</f>
        <v>#N/A</v>
      </c>
      <c r="E64" s="63" t="e">
        <f aca="false">D64*'Itens de Contrato'!F64</f>
        <v>#N/A</v>
      </c>
      <c r="F64" s="62" t="e">
        <f aca="false">D64-G64</f>
        <v>#N/A</v>
      </c>
      <c r="G64" s="62" t="n">
        <f aca="false">SUM('Medição 01'!G64,'Medição 02'!G64,'Medição 03'!G64,'Medição 04'!G64,'Medição 05'!G64,'Medição 06'!G64,'Medição 07'!G64,'Medição 08'!G64,'Medição 09'!G64,'Medição 10'!G64,'Medição 11'!G64,'Medição 12'!G64)</f>
        <v>0</v>
      </c>
      <c r="H64" s="64" t="e">
        <f aca="false">G64/D64</f>
        <v>#DIV/0!</v>
      </c>
      <c r="I64" s="63" t="n">
        <f aca="false">G64*'Itens de Contrato'!F64</f>
        <v>0</v>
      </c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customFormat="false" ht="12.8" hidden="false" customHeight="false" outlineLevel="0" collapsed="false">
      <c r="A65" s="37" t="n">
        <f aca="false">'Itens de Contrato'!A65</f>
        <v>0</v>
      </c>
      <c r="B65" s="37" t="n">
        <f aca="false">'Itens de Contrato'!B65</f>
        <v>0</v>
      </c>
      <c r="C65" s="29" t="e">
        <f aca="false">VLOOKUP(B65,'Itens de Contrato'!B$5:G$151,2,0)</f>
        <v>#N/A</v>
      </c>
      <c r="D65" s="62" t="e">
        <f aca="false">VLOOKUP(B65,'Itens de Contrato'!B$5:G$151,4)</f>
        <v>#N/A</v>
      </c>
      <c r="E65" s="63" t="e">
        <f aca="false">D65*'Itens de Contrato'!F65</f>
        <v>#N/A</v>
      </c>
      <c r="F65" s="62" t="e">
        <f aca="false">D65-G65</f>
        <v>#N/A</v>
      </c>
      <c r="G65" s="62" t="n">
        <f aca="false">SUM('Medição 01'!G65,'Medição 02'!G65,'Medição 03'!G65,'Medição 04'!G65,'Medição 05'!G65,'Medição 06'!G65,'Medição 07'!G65,'Medição 08'!G65,'Medição 09'!G65,'Medição 10'!G65,'Medição 11'!G65,'Medição 12'!G65)</f>
        <v>0</v>
      </c>
      <c r="H65" s="64" t="e">
        <f aca="false">G65/D65</f>
        <v>#DIV/0!</v>
      </c>
      <c r="I65" s="63" t="n">
        <f aca="false">G65*'Itens de Contrato'!F65</f>
        <v>0</v>
      </c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customFormat="false" ht="12.8" hidden="false" customHeight="false" outlineLevel="0" collapsed="false">
      <c r="A66" s="37" t="n">
        <f aca="false">'Itens de Contrato'!A66</f>
        <v>0</v>
      </c>
      <c r="B66" s="37" t="n">
        <f aca="false">'Itens de Contrato'!B66</f>
        <v>0</v>
      </c>
      <c r="C66" s="29" t="e">
        <f aca="false">VLOOKUP(B66,'Itens de Contrato'!B$5:G$151,2,0)</f>
        <v>#N/A</v>
      </c>
      <c r="D66" s="62" t="e">
        <f aca="false">VLOOKUP(B66,'Itens de Contrato'!B$5:G$151,4)</f>
        <v>#N/A</v>
      </c>
      <c r="E66" s="63" t="e">
        <f aca="false">D66*'Itens de Contrato'!F66</f>
        <v>#N/A</v>
      </c>
      <c r="F66" s="62" t="e">
        <f aca="false">D66-G66</f>
        <v>#N/A</v>
      </c>
      <c r="G66" s="62" t="n">
        <f aca="false">SUM('Medição 01'!G66,'Medição 02'!G66,'Medição 03'!G66,'Medição 04'!G66,'Medição 05'!G66,'Medição 06'!G66,'Medição 07'!G66,'Medição 08'!G66,'Medição 09'!G66,'Medição 10'!G66,'Medição 11'!G66,'Medição 12'!G66)</f>
        <v>0</v>
      </c>
      <c r="H66" s="64" t="e">
        <f aca="false">G66/D66</f>
        <v>#DIV/0!</v>
      </c>
      <c r="I66" s="63" t="n">
        <f aca="false">G66*'Itens de Contrato'!F66</f>
        <v>0</v>
      </c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customFormat="false" ht="12.8" hidden="false" customHeight="false" outlineLevel="0" collapsed="false">
      <c r="A67" s="37" t="n">
        <f aca="false">'Itens de Contrato'!A67</f>
        <v>0</v>
      </c>
      <c r="B67" s="37" t="n">
        <f aca="false">'Itens de Contrato'!B67</f>
        <v>0</v>
      </c>
      <c r="C67" s="29" t="e">
        <f aca="false">VLOOKUP(B67,'Itens de Contrato'!B$5:G$151,2,0)</f>
        <v>#N/A</v>
      </c>
      <c r="D67" s="62" t="e">
        <f aca="false">VLOOKUP(B67,'Itens de Contrato'!B$5:G$151,4)</f>
        <v>#N/A</v>
      </c>
      <c r="E67" s="63" t="e">
        <f aca="false">D67*'Itens de Contrato'!F67</f>
        <v>#N/A</v>
      </c>
      <c r="F67" s="62" t="e">
        <f aca="false">D67-G67</f>
        <v>#N/A</v>
      </c>
      <c r="G67" s="62" t="n">
        <f aca="false">SUM('Medição 01'!G67,'Medição 02'!G67,'Medição 03'!G67,'Medição 04'!G67,'Medição 05'!G67,'Medição 06'!G67,'Medição 07'!G67,'Medição 08'!G67,'Medição 09'!G67,'Medição 10'!G67,'Medição 11'!G67,'Medição 12'!G67)</f>
        <v>0</v>
      </c>
      <c r="H67" s="64" t="e">
        <f aca="false">G67/D67</f>
        <v>#DIV/0!</v>
      </c>
      <c r="I67" s="63" t="n">
        <f aca="false">G67*'Itens de Contrato'!F67</f>
        <v>0</v>
      </c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customFormat="false" ht="12.8" hidden="false" customHeight="false" outlineLevel="0" collapsed="false">
      <c r="A68" s="37" t="n">
        <f aca="false">'Itens de Contrato'!A68</f>
        <v>0</v>
      </c>
      <c r="B68" s="37" t="n">
        <f aca="false">'Itens de Contrato'!B68</f>
        <v>0</v>
      </c>
      <c r="C68" s="29" t="e">
        <f aca="false">VLOOKUP(B68,'Itens de Contrato'!B$5:G$151,2,0)</f>
        <v>#N/A</v>
      </c>
      <c r="D68" s="62" t="e">
        <f aca="false">VLOOKUP(B68,'Itens de Contrato'!B$5:G$151,4)</f>
        <v>#N/A</v>
      </c>
      <c r="E68" s="63" t="e">
        <f aca="false">D68*'Itens de Contrato'!F68</f>
        <v>#N/A</v>
      </c>
      <c r="F68" s="62" t="e">
        <f aca="false">D68-G68</f>
        <v>#N/A</v>
      </c>
      <c r="G68" s="62" t="n">
        <f aca="false">SUM('Medição 01'!G68,'Medição 02'!G68,'Medição 03'!G68,'Medição 04'!G68,'Medição 05'!G68,'Medição 06'!G68,'Medição 07'!G68,'Medição 08'!G68,'Medição 09'!G68,'Medição 10'!G68,'Medição 11'!G68,'Medição 12'!G68)</f>
        <v>0</v>
      </c>
      <c r="H68" s="64" t="e">
        <f aca="false">G68/D68</f>
        <v>#DIV/0!</v>
      </c>
      <c r="I68" s="63" t="n">
        <f aca="false">G68*'Itens de Contrato'!F68</f>
        <v>0</v>
      </c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</row>
    <row r="69" customFormat="false" ht="12.8" hidden="false" customHeight="false" outlineLevel="0" collapsed="false">
      <c r="A69" s="37" t="n">
        <f aca="false">'Itens de Contrato'!A69</f>
        <v>0</v>
      </c>
      <c r="B69" s="37" t="n">
        <f aca="false">'Itens de Contrato'!B69</f>
        <v>0</v>
      </c>
      <c r="C69" s="29" t="e">
        <f aca="false">VLOOKUP(B69,'Itens de Contrato'!B$5:G$151,2,0)</f>
        <v>#N/A</v>
      </c>
      <c r="D69" s="62" t="e">
        <f aca="false">VLOOKUP(B69,'Itens de Contrato'!B$5:G$151,4)</f>
        <v>#N/A</v>
      </c>
      <c r="E69" s="63" t="e">
        <f aca="false">D69*'Itens de Contrato'!F69</f>
        <v>#N/A</v>
      </c>
      <c r="F69" s="62" t="e">
        <f aca="false">D69-G69</f>
        <v>#N/A</v>
      </c>
      <c r="G69" s="62" t="n">
        <f aca="false">SUM('Medição 01'!G69,'Medição 02'!G69,'Medição 03'!G69,'Medição 04'!G69,'Medição 05'!G69,'Medição 06'!G69,'Medição 07'!G69,'Medição 08'!G69,'Medição 09'!G69,'Medição 10'!G69,'Medição 11'!G69,'Medição 12'!G69)</f>
        <v>0</v>
      </c>
      <c r="H69" s="64" t="e">
        <f aca="false">G69/D69</f>
        <v>#DIV/0!</v>
      </c>
      <c r="I69" s="63" t="n">
        <f aca="false">G69*'Itens de Contrato'!F69</f>
        <v>0</v>
      </c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</row>
    <row r="70" customFormat="false" ht="12.8" hidden="false" customHeight="false" outlineLevel="0" collapsed="false">
      <c r="A70" s="37" t="n">
        <f aca="false">'Itens de Contrato'!A70</f>
        <v>0</v>
      </c>
      <c r="B70" s="37" t="n">
        <f aca="false">'Itens de Contrato'!B70</f>
        <v>0</v>
      </c>
      <c r="C70" s="29" t="e">
        <f aca="false">VLOOKUP(B70,'Itens de Contrato'!B$5:G$151,2,0)</f>
        <v>#N/A</v>
      </c>
      <c r="D70" s="62" t="e">
        <f aca="false">VLOOKUP(B70,'Itens de Contrato'!B$5:G$151,4)</f>
        <v>#N/A</v>
      </c>
      <c r="E70" s="63" t="e">
        <f aca="false">D70*'Itens de Contrato'!F70</f>
        <v>#N/A</v>
      </c>
      <c r="F70" s="62" t="e">
        <f aca="false">D70-G70</f>
        <v>#N/A</v>
      </c>
      <c r="G70" s="62" t="n">
        <f aca="false">SUM('Medição 01'!G70,'Medição 02'!G70,'Medição 03'!G70,'Medição 04'!G70,'Medição 05'!G70,'Medição 06'!G70,'Medição 07'!G70,'Medição 08'!G70,'Medição 09'!G70,'Medição 10'!G70,'Medição 11'!G70,'Medição 12'!G70)</f>
        <v>0</v>
      </c>
      <c r="H70" s="64" t="e">
        <f aca="false">G70/D70</f>
        <v>#DIV/0!</v>
      </c>
      <c r="I70" s="63" t="n">
        <f aca="false">G70*'Itens de Contrato'!F70</f>
        <v>0</v>
      </c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</row>
    <row r="71" customFormat="false" ht="12.8" hidden="false" customHeight="false" outlineLevel="0" collapsed="false">
      <c r="A71" s="37" t="n">
        <f aca="false">'Itens de Contrato'!A71</f>
        <v>0</v>
      </c>
      <c r="B71" s="37" t="n">
        <f aca="false">'Itens de Contrato'!B71</f>
        <v>0</v>
      </c>
      <c r="C71" s="29" t="e">
        <f aca="false">VLOOKUP(B71,'Itens de Contrato'!B$5:G$151,2,0)</f>
        <v>#N/A</v>
      </c>
      <c r="D71" s="62" t="e">
        <f aca="false">VLOOKUP(B71,'Itens de Contrato'!B$5:G$151,4)</f>
        <v>#N/A</v>
      </c>
      <c r="E71" s="63" t="e">
        <f aca="false">D71*'Itens de Contrato'!F71</f>
        <v>#N/A</v>
      </c>
      <c r="F71" s="62" t="e">
        <f aca="false">D71-G71</f>
        <v>#N/A</v>
      </c>
      <c r="G71" s="62" t="n">
        <f aca="false">SUM('Medição 01'!G71,'Medição 02'!G71,'Medição 03'!G71,'Medição 04'!G71,'Medição 05'!G71,'Medição 06'!G71,'Medição 07'!G71,'Medição 08'!G71,'Medição 09'!G71,'Medição 10'!G71,'Medição 11'!G71,'Medição 12'!G71)</f>
        <v>0</v>
      </c>
      <c r="H71" s="64" t="e">
        <f aca="false">G71/D71</f>
        <v>#DIV/0!</v>
      </c>
      <c r="I71" s="63" t="n">
        <f aca="false">G71*'Itens de Contrato'!F71</f>
        <v>0</v>
      </c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</row>
    <row r="72" customFormat="false" ht="12.8" hidden="false" customHeight="false" outlineLevel="0" collapsed="false">
      <c r="A72" s="37" t="n">
        <f aca="false">'Itens de Contrato'!A72</f>
        <v>0</v>
      </c>
      <c r="B72" s="37" t="n">
        <f aca="false">'Itens de Contrato'!B72</f>
        <v>0</v>
      </c>
      <c r="C72" s="29" t="e">
        <f aca="false">VLOOKUP(B72,'Itens de Contrato'!B$5:G$151,2,0)</f>
        <v>#N/A</v>
      </c>
      <c r="D72" s="62" t="e">
        <f aca="false">VLOOKUP(B72,'Itens de Contrato'!B$5:G$151,4)</f>
        <v>#N/A</v>
      </c>
      <c r="E72" s="63" t="e">
        <f aca="false">D72*'Itens de Contrato'!F72</f>
        <v>#N/A</v>
      </c>
      <c r="F72" s="62" t="e">
        <f aca="false">D72-G72</f>
        <v>#N/A</v>
      </c>
      <c r="G72" s="62" t="n">
        <f aca="false">SUM('Medição 01'!G72,'Medição 02'!G72,'Medição 03'!G72,'Medição 04'!G72,'Medição 05'!G72,'Medição 06'!G72,'Medição 07'!G72,'Medição 08'!G72,'Medição 09'!G72,'Medição 10'!G72,'Medição 11'!G72,'Medição 12'!G72)</f>
        <v>0</v>
      </c>
      <c r="H72" s="64" t="e">
        <f aca="false">G72/D72</f>
        <v>#DIV/0!</v>
      </c>
      <c r="I72" s="63" t="n">
        <f aca="false">G72*'Itens de Contrato'!F72</f>
        <v>0</v>
      </c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</row>
    <row r="73" customFormat="false" ht="12.8" hidden="false" customHeight="false" outlineLevel="0" collapsed="false">
      <c r="A73" s="37" t="n">
        <f aca="false">'Itens de Contrato'!A73</f>
        <v>0</v>
      </c>
      <c r="B73" s="37" t="n">
        <f aca="false">'Itens de Contrato'!B73</f>
        <v>0</v>
      </c>
      <c r="C73" s="29" t="e">
        <f aca="false">VLOOKUP(B73,'Itens de Contrato'!B$5:G$151,2,0)</f>
        <v>#N/A</v>
      </c>
      <c r="D73" s="62" t="e">
        <f aca="false">VLOOKUP(B73,'Itens de Contrato'!B$5:G$151,4)</f>
        <v>#N/A</v>
      </c>
      <c r="E73" s="63" t="e">
        <f aca="false">D73*'Itens de Contrato'!F73</f>
        <v>#N/A</v>
      </c>
      <c r="F73" s="62" t="e">
        <f aca="false">D73-G73</f>
        <v>#N/A</v>
      </c>
      <c r="G73" s="62" t="n">
        <f aca="false">SUM('Medição 01'!G73,'Medição 02'!G73,'Medição 03'!G73,'Medição 04'!G73,'Medição 05'!G73,'Medição 06'!G73,'Medição 07'!G73,'Medição 08'!G73,'Medição 09'!G73,'Medição 10'!G73,'Medição 11'!G73,'Medição 12'!G73)</f>
        <v>0</v>
      </c>
      <c r="H73" s="64" t="e">
        <f aca="false">G73/D73</f>
        <v>#DIV/0!</v>
      </c>
      <c r="I73" s="63" t="n">
        <f aca="false">G73*'Itens de Contrato'!F73</f>
        <v>0</v>
      </c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</row>
    <row r="74" customFormat="false" ht="12.8" hidden="false" customHeight="false" outlineLevel="0" collapsed="false">
      <c r="A74" s="37" t="n">
        <f aca="false">'Itens de Contrato'!A74</f>
        <v>0</v>
      </c>
      <c r="B74" s="37" t="n">
        <f aca="false">'Itens de Contrato'!B74</f>
        <v>0</v>
      </c>
      <c r="C74" s="29" t="e">
        <f aca="false">VLOOKUP(B74,'Itens de Contrato'!B$5:G$151,2,0)</f>
        <v>#N/A</v>
      </c>
      <c r="D74" s="62" t="e">
        <f aca="false">VLOOKUP(B74,'Itens de Contrato'!B$5:G$151,4)</f>
        <v>#N/A</v>
      </c>
      <c r="E74" s="63" t="e">
        <f aca="false">D74*'Itens de Contrato'!F74</f>
        <v>#N/A</v>
      </c>
      <c r="F74" s="62" t="e">
        <f aca="false">D74-G74</f>
        <v>#N/A</v>
      </c>
      <c r="G74" s="62" t="n">
        <f aca="false">SUM('Medição 01'!G74,'Medição 02'!G74,'Medição 03'!G74,'Medição 04'!G74,'Medição 05'!G74,'Medição 06'!G74,'Medição 07'!G74,'Medição 08'!G74,'Medição 09'!G74,'Medição 10'!G74,'Medição 11'!G74,'Medição 12'!G74)</f>
        <v>0</v>
      </c>
      <c r="H74" s="64" t="e">
        <f aca="false">G74/D74</f>
        <v>#DIV/0!</v>
      </c>
      <c r="I74" s="63" t="n">
        <f aca="false">G74*'Itens de Contrato'!F74</f>
        <v>0</v>
      </c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</row>
    <row r="75" customFormat="false" ht="12.8" hidden="false" customHeight="false" outlineLevel="0" collapsed="false">
      <c r="A75" s="37" t="n">
        <f aca="false">'Itens de Contrato'!A75</f>
        <v>0</v>
      </c>
      <c r="B75" s="37" t="n">
        <f aca="false">'Itens de Contrato'!B75</f>
        <v>0</v>
      </c>
      <c r="C75" s="29" t="e">
        <f aca="false">VLOOKUP(B75,'Itens de Contrato'!B$5:G$151,2,0)</f>
        <v>#N/A</v>
      </c>
      <c r="D75" s="62" t="e">
        <f aca="false">VLOOKUP(B75,'Itens de Contrato'!B$5:G$151,4)</f>
        <v>#N/A</v>
      </c>
      <c r="E75" s="63" t="e">
        <f aca="false">D75*'Itens de Contrato'!F75</f>
        <v>#N/A</v>
      </c>
      <c r="F75" s="62" t="e">
        <f aca="false">D75-G75</f>
        <v>#N/A</v>
      </c>
      <c r="G75" s="62" t="n">
        <f aca="false">SUM('Medição 01'!G75,'Medição 02'!G75,'Medição 03'!G75,'Medição 04'!G75,'Medição 05'!G75,'Medição 06'!G75,'Medição 07'!G75,'Medição 08'!G75,'Medição 09'!G75,'Medição 10'!G75,'Medição 11'!G75,'Medição 12'!G75)</f>
        <v>0</v>
      </c>
      <c r="H75" s="64" t="e">
        <f aca="false">G75/D75</f>
        <v>#DIV/0!</v>
      </c>
      <c r="I75" s="63" t="n">
        <f aca="false">G75*'Itens de Contrato'!F75</f>
        <v>0</v>
      </c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</row>
    <row r="76" customFormat="false" ht="12.8" hidden="false" customHeight="false" outlineLevel="0" collapsed="false">
      <c r="A76" s="37" t="n">
        <f aca="false">'Itens de Contrato'!A76</f>
        <v>0</v>
      </c>
      <c r="B76" s="37" t="n">
        <f aca="false">'Itens de Contrato'!B76</f>
        <v>0</v>
      </c>
      <c r="C76" s="29" t="e">
        <f aca="false">VLOOKUP(B76,'Itens de Contrato'!B$5:G$151,2,0)</f>
        <v>#N/A</v>
      </c>
      <c r="D76" s="62" t="e">
        <f aca="false">VLOOKUP(B76,'Itens de Contrato'!B$5:G$151,4)</f>
        <v>#N/A</v>
      </c>
      <c r="E76" s="63" t="e">
        <f aca="false">D76*'Itens de Contrato'!F76</f>
        <v>#N/A</v>
      </c>
      <c r="F76" s="62" t="e">
        <f aca="false">D76-G76</f>
        <v>#N/A</v>
      </c>
      <c r="G76" s="62" t="n">
        <f aca="false">SUM('Medição 01'!G76,'Medição 02'!G76,'Medição 03'!G76,'Medição 04'!G76,'Medição 05'!G76,'Medição 06'!G76,'Medição 07'!G76,'Medição 08'!G76,'Medição 09'!G76,'Medição 10'!G76,'Medição 11'!G76,'Medição 12'!G76)</f>
        <v>0</v>
      </c>
      <c r="H76" s="64" t="e">
        <f aca="false">G76/D76</f>
        <v>#DIV/0!</v>
      </c>
      <c r="I76" s="63" t="n">
        <f aca="false">G76*'Itens de Contrato'!F76</f>
        <v>0</v>
      </c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</row>
    <row r="77" customFormat="false" ht="12.8" hidden="false" customHeight="false" outlineLevel="0" collapsed="false">
      <c r="A77" s="37" t="n">
        <f aca="false">'Itens de Contrato'!A77</f>
        <v>0</v>
      </c>
      <c r="B77" s="37" t="n">
        <f aca="false">'Itens de Contrato'!B77</f>
        <v>0</v>
      </c>
      <c r="C77" s="29" t="e">
        <f aca="false">VLOOKUP(B77,'Itens de Contrato'!B$5:G$151,2,0)</f>
        <v>#N/A</v>
      </c>
      <c r="D77" s="62" t="e">
        <f aca="false">VLOOKUP(B77,'Itens de Contrato'!B$5:G$151,4)</f>
        <v>#N/A</v>
      </c>
      <c r="E77" s="63" t="e">
        <f aca="false">D77*'Itens de Contrato'!F77</f>
        <v>#N/A</v>
      </c>
      <c r="F77" s="62" t="e">
        <f aca="false">D77-G77</f>
        <v>#N/A</v>
      </c>
      <c r="G77" s="62" t="n">
        <f aca="false">SUM('Medição 01'!G77,'Medição 02'!G77,'Medição 03'!G77,'Medição 04'!G77,'Medição 05'!G77,'Medição 06'!G77,'Medição 07'!G77,'Medição 08'!G77,'Medição 09'!G77,'Medição 10'!G77,'Medição 11'!G77,'Medição 12'!G77)</f>
        <v>0</v>
      </c>
      <c r="H77" s="64" t="e">
        <f aca="false">G77/D77</f>
        <v>#DIV/0!</v>
      </c>
      <c r="I77" s="63" t="n">
        <f aca="false">G77*'Itens de Contrato'!F77</f>
        <v>0</v>
      </c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</row>
    <row r="78" customFormat="false" ht="12.8" hidden="false" customHeight="false" outlineLevel="0" collapsed="false">
      <c r="A78" s="37" t="n">
        <f aca="false">'Itens de Contrato'!A78</f>
        <v>0</v>
      </c>
      <c r="B78" s="37" t="n">
        <f aca="false">'Itens de Contrato'!B78</f>
        <v>0</v>
      </c>
      <c r="C78" s="29" t="e">
        <f aca="false">VLOOKUP(B78,'Itens de Contrato'!B$5:G$151,2,0)</f>
        <v>#N/A</v>
      </c>
      <c r="D78" s="62" t="e">
        <f aca="false">VLOOKUP(B78,'Itens de Contrato'!B$5:G$151,4)</f>
        <v>#N/A</v>
      </c>
      <c r="E78" s="63" t="e">
        <f aca="false">D78*'Itens de Contrato'!F78</f>
        <v>#N/A</v>
      </c>
      <c r="F78" s="62" t="e">
        <f aca="false">D78-G78</f>
        <v>#N/A</v>
      </c>
      <c r="G78" s="62" t="n">
        <f aca="false">SUM('Medição 01'!G78,'Medição 02'!G78,'Medição 03'!G78,'Medição 04'!G78,'Medição 05'!G78,'Medição 06'!G78,'Medição 07'!G78,'Medição 08'!G78,'Medição 09'!G78,'Medição 10'!G78,'Medição 11'!G78,'Medição 12'!G78)</f>
        <v>0</v>
      </c>
      <c r="H78" s="64" t="e">
        <f aca="false">G78/D78</f>
        <v>#DIV/0!</v>
      </c>
      <c r="I78" s="63" t="n">
        <f aca="false">G78*'Itens de Contrato'!F78</f>
        <v>0</v>
      </c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</row>
    <row r="79" customFormat="false" ht="12.8" hidden="false" customHeight="false" outlineLevel="0" collapsed="false">
      <c r="A79" s="37" t="n">
        <f aca="false">'Itens de Contrato'!A79</f>
        <v>0</v>
      </c>
      <c r="B79" s="37" t="n">
        <f aca="false">'Itens de Contrato'!B79</f>
        <v>0</v>
      </c>
      <c r="C79" s="29" t="e">
        <f aca="false">VLOOKUP(B79,'Itens de Contrato'!B$5:G$151,2,0)</f>
        <v>#N/A</v>
      </c>
      <c r="D79" s="62" t="e">
        <f aca="false">VLOOKUP(B79,'Itens de Contrato'!B$5:G$151,4)</f>
        <v>#N/A</v>
      </c>
      <c r="E79" s="63" t="e">
        <f aca="false">D79*'Itens de Contrato'!F79</f>
        <v>#N/A</v>
      </c>
      <c r="F79" s="62" t="e">
        <f aca="false">D79-G79</f>
        <v>#N/A</v>
      </c>
      <c r="G79" s="62" t="n">
        <f aca="false">SUM('Medição 01'!G79,'Medição 02'!G79,'Medição 03'!G79,'Medição 04'!G79,'Medição 05'!G79,'Medição 06'!G79,'Medição 07'!G79,'Medição 08'!G79,'Medição 09'!G79,'Medição 10'!G79,'Medição 11'!G79,'Medição 12'!G79)</f>
        <v>0</v>
      </c>
      <c r="H79" s="64" t="e">
        <f aca="false">G79/D79</f>
        <v>#DIV/0!</v>
      </c>
      <c r="I79" s="63" t="n">
        <f aca="false">G79*'Itens de Contrato'!F79</f>
        <v>0</v>
      </c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</row>
    <row r="80" customFormat="false" ht="12.8" hidden="false" customHeight="false" outlineLevel="0" collapsed="false">
      <c r="A80" s="37" t="n">
        <f aca="false">'Itens de Contrato'!A80</f>
        <v>0</v>
      </c>
      <c r="B80" s="37" t="n">
        <f aca="false">'Itens de Contrato'!B80</f>
        <v>0</v>
      </c>
      <c r="C80" s="29" t="e">
        <f aca="false">VLOOKUP(B80,'Itens de Contrato'!B$5:G$151,2,0)</f>
        <v>#N/A</v>
      </c>
      <c r="D80" s="62" t="e">
        <f aca="false">VLOOKUP(B80,'Itens de Contrato'!B$5:G$151,4)</f>
        <v>#N/A</v>
      </c>
      <c r="E80" s="63" t="e">
        <f aca="false">D80*'Itens de Contrato'!F80</f>
        <v>#N/A</v>
      </c>
      <c r="F80" s="62" t="e">
        <f aca="false">D80-G80</f>
        <v>#N/A</v>
      </c>
      <c r="G80" s="62" t="n">
        <f aca="false">SUM('Medição 01'!G80,'Medição 02'!G80,'Medição 03'!G80,'Medição 04'!G80,'Medição 05'!G80,'Medição 06'!G80,'Medição 07'!G80,'Medição 08'!G80,'Medição 09'!G80,'Medição 10'!G80,'Medição 11'!G80,'Medição 12'!G80)</f>
        <v>0</v>
      </c>
      <c r="H80" s="64" t="e">
        <f aca="false">G80/D80</f>
        <v>#DIV/0!</v>
      </c>
      <c r="I80" s="63" t="n">
        <f aca="false">G80*'Itens de Contrato'!F80</f>
        <v>0</v>
      </c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</row>
    <row r="81" customFormat="false" ht="12.8" hidden="false" customHeight="false" outlineLevel="0" collapsed="false">
      <c r="A81" s="37" t="n">
        <f aca="false">'Itens de Contrato'!A81</f>
        <v>0</v>
      </c>
      <c r="B81" s="37" t="n">
        <f aca="false">'Itens de Contrato'!B81</f>
        <v>0</v>
      </c>
      <c r="C81" s="29" t="e">
        <f aca="false">VLOOKUP(B81,'Itens de Contrato'!B$5:G$151,2,0)</f>
        <v>#N/A</v>
      </c>
      <c r="D81" s="62" t="e">
        <f aca="false">VLOOKUP(B81,'Itens de Contrato'!B$5:G$151,4)</f>
        <v>#N/A</v>
      </c>
      <c r="E81" s="63" t="e">
        <f aca="false">D81*'Itens de Contrato'!F81</f>
        <v>#N/A</v>
      </c>
      <c r="F81" s="62" t="e">
        <f aca="false">D81-G81</f>
        <v>#N/A</v>
      </c>
      <c r="G81" s="62" t="n">
        <f aca="false">SUM('Medição 01'!G81,'Medição 02'!G81,'Medição 03'!G81,'Medição 04'!G81,'Medição 05'!G81,'Medição 06'!G81,'Medição 07'!G81,'Medição 08'!G81,'Medição 09'!G81,'Medição 10'!G81,'Medição 11'!G81,'Medição 12'!G81)</f>
        <v>0</v>
      </c>
      <c r="H81" s="64" t="e">
        <f aca="false">G81/D81</f>
        <v>#DIV/0!</v>
      </c>
      <c r="I81" s="63" t="n">
        <f aca="false">G81*'Itens de Contrato'!F81</f>
        <v>0</v>
      </c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</row>
    <row r="82" customFormat="false" ht="12.8" hidden="false" customHeight="false" outlineLevel="0" collapsed="false">
      <c r="A82" s="37" t="n">
        <f aca="false">'Itens de Contrato'!A82</f>
        <v>0</v>
      </c>
      <c r="B82" s="37" t="n">
        <f aca="false">'Itens de Contrato'!B82</f>
        <v>0</v>
      </c>
      <c r="C82" s="29" t="e">
        <f aca="false">VLOOKUP(B82,'Itens de Contrato'!B$5:G$151,2,0)</f>
        <v>#N/A</v>
      </c>
      <c r="D82" s="62" t="e">
        <f aca="false">VLOOKUP(B82,'Itens de Contrato'!B$5:G$151,4)</f>
        <v>#N/A</v>
      </c>
      <c r="E82" s="63" t="e">
        <f aca="false">D82*'Itens de Contrato'!F82</f>
        <v>#N/A</v>
      </c>
      <c r="F82" s="62" t="e">
        <f aca="false">D82-G82</f>
        <v>#N/A</v>
      </c>
      <c r="G82" s="62" t="n">
        <f aca="false">SUM('Medição 01'!G82,'Medição 02'!G82,'Medição 03'!G82,'Medição 04'!G82,'Medição 05'!G82,'Medição 06'!G82,'Medição 07'!G82,'Medição 08'!G82,'Medição 09'!G82,'Medição 10'!G82,'Medição 11'!G82,'Medição 12'!G82)</f>
        <v>0</v>
      </c>
      <c r="H82" s="64" t="e">
        <f aca="false">G82/D82</f>
        <v>#DIV/0!</v>
      </c>
      <c r="I82" s="63" t="n">
        <f aca="false">G82*'Itens de Contrato'!F82</f>
        <v>0</v>
      </c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</row>
    <row r="83" customFormat="false" ht="12.8" hidden="false" customHeight="false" outlineLevel="0" collapsed="false">
      <c r="A83" s="37" t="n">
        <f aca="false">'Itens de Contrato'!A83</f>
        <v>0</v>
      </c>
      <c r="B83" s="37" t="n">
        <f aca="false">'Itens de Contrato'!B83</f>
        <v>0</v>
      </c>
      <c r="C83" s="29" t="e">
        <f aca="false">VLOOKUP(B83,'Itens de Contrato'!B$5:G$151,2,0)</f>
        <v>#N/A</v>
      </c>
      <c r="D83" s="62" t="e">
        <f aca="false">VLOOKUP(B83,'Itens de Contrato'!B$5:G$151,4)</f>
        <v>#N/A</v>
      </c>
      <c r="E83" s="63" t="e">
        <f aca="false">D83*'Itens de Contrato'!F83</f>
        <v>#N/A</v>
      </c>
      <c r="F83" s="62" t="e">
        <f aca="false">D83-G83</f>
        <v>#N/A</v>
      </c>
      <c r="G83" s="62" t="n">
        <f aca="false">SUM('Medição 01'!G83,'Medição 02'!G83,'Medição 03'!G83,'Medição 04'!G83,'Medição 05'!G83,'Medição 06'!G83,'Medição 07'!G83,'Medição 08'!G83,'Medição 09'!G83,'Medição 10'!G83,'Medição 11'!G83,'Medição 12'!G83)</f>
        <v>0</v>
      </c>
      <c r="H83" s="64" t="e">
        <f aca="false">G83/D83</f>
        <v>#DIV/0!</v>
      </c>
      <c r="I83" s="63" t="n">
        <f aca="false">G83*'Itens de Contrato'!F83</f>
        <v>0</v>
      </c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</row>
    <row r="84" customFormat="false" ht="12.8" hidden="false" customHeight="false" outlineLevel="0" collapsed="false">
      <c r="A84" s="37" t="n">
        <f aca="false">'Itens de Contrato'!A84</f>
        <v>0</v>
      </c>
      <c r="B84" s="37" t="n">
        <f aca="false">'Itens de Contrato'!B84</f>
        <v>0</v>
      </c>
      <c r="C84" s="29" t="e">
        <f aca="false">VLOOKUP(B84,'Itens de Contrato'!B$5:G$151,2,0)</f>
        <v>#N/A</v>
      </c>
      <c r="D84" s="62" t="e">
        <f aca="false">VLOOKUP(B84,'Itens de Contrato'!B$5:G$151,4)</f>
        <v>#N/A</v>
      </c>
      <c r="E84" s="63" t="e">
        <f aca="false">D84*'Itens de Contrato'!F84</f>
        <v>#N/A</v>
      </c>
      <c r="F84" s="62" t="e">
        <f aca="false">D84-G84</f>
        <v>#N/A</v>
      </c>
      <c r="G84" s="62" t="n">
        <f aca="false">SUM('Medição 01'!G84,'Medição 02'!G84,'Medição 03'!G84,'Medição 04'!G84,'Medição 05'!G84,'Medição 06'!G84,'Medição 07'!G84,'Medição 08'!G84,'Medição 09'!G84,'Medição 10'!G84,'Medição 11'!G84,'Medição 12'!G84)</f>
        <v>0</v>
      </c>
      <c r="H84" s="64" t="e">
        <f aca="false">G84/D84</f>
        <v>#DIV/0!</v>
      </c>
      <c r="I84" s="63" t="n">
        <f aca="false">G84*'Itens de Contrato'!F84</f>
        <v>0</v>
      </c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</row>
    <row r="85" customFormat="false" ht="12.8" hidden="false" customHeight="false" outlineLevel="0" collapsed="false">
      <c r="A85" s="37" t="n">
        <f aca="false">'Itens de Contrato'!A85</f>
        <v>0</v>
      </c>
      <c r="B85" s="37" t="n">
        <f aca="false">'Itens de Contrato'!B85</f>
        <v>0</v>
      </c>
      <c r="C85" s="29" t="e">
        <f aca="false">VLOOKUP(B85,'Itens de Contrato'!B$5:G$151,2,0)</f>
        <v>#N/A</v>
      </c>
      <c r="D85" s="62" t="e">
        <f aca="false">VLOOKUP(B85,'Itens de Contrato'!B$5:G$151,4)</f>
        <v>#N/A</v>
      </c>
      <c r="E85" s="63" t="e">
        <f aca="false">D85*'Itens de Contrato'!F85</f>
        <v>#N/A</v>
      </c>
      <c r="F85" s="62" t="e">
        <f aca="false">D85-G85</f>
        <v>#N/A</v>
      </c>
      <c r="G85" s="62" t="n">
        <f aca="false">SUM('Medição 01'!G85,'Medição 02'!G85,'Medição 03'!G85,'Medição 04'!G85,'Medição 05'!G85,'Medição 06'!G85,'Medição 07'!G85,'Medição 08'!G85,'Medição 09'!G85,'Medição 10'!G85,'Medição 11'!G85,'Medição 12'!G85)</f>
        <v>0</v>
      </c>
      <c r="H85" s="64" t="e">
        <f aca="false">G85/D85</f>
        <v>#DIV/0!</v>
      </c>
      <c r="I85" s="63" t="n">
        <f aca="false">G85*'Itens de Contrato'!F85</f>
        <v>0</v>
      </c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</row>
    <row r="86" customFormat="false" ht="12.8" hidden="false" customHeight="false" outlineLevel="0" collapsed="false">
      <c r="A86" s="37" t="n">
        <f aca="false">'Itens de Contrato'!A86</f>
        <v>0</v>
      </c>
      <c r="B86" s="37" t="n">
        <f aca="false">'Itens de Contrato'!B86</f>
        <v>0</v>
      </c>
      <c r="C86" s="29" t="e">
        <f aca="false">VLOOKUP(B86,'Itens de Contrato'!B$5:G$151,2,0)</f>
        <v>#N/A</v>
      </c>
      <c r="D86" s="62" t="e">
        <f aca="false">VLOOKUP(B86,'Itens de Contrato'!B$5:G$151,4)</f>
        <v>#N/A</v>
      </c>
      <c r="E86" s="63" t="e">
        <f aca="false">D86*'Itens de Contrato'!F86</f>
        <v>#N/A</v>
      </c>
      <c r="F86" s="62" t="e">
        <f aca="false">D86-G86</f>
        <v>#N/A</v>
      </c>
      <c r="G86" s="62" t="n">
        <f aca="false">SUM('Medição 01'!G86,'Medição 02'!G86,'Medição 03'!G86,'Medição 04'!G86,'Medição 05'!G86,'Medição 06'!G86,'Medição 07'!G86,'Medição 08'!G86,'Medição 09'!G86,'Medição 10'!G86,'Medição 11'!G86,'Medição 12'!G86)</f>
        <v>0</v>
      </c>
      <c r="H86" s="64" t="e">
        <f aca="false">G86/D86</f>
        <v>#DIV/0!</v>
      </c>
      <c r="I86" s="63" t="n">
        <f aca="false">G86*'Itens de Contrato'!F86</f>
        <v>0</v>
      </c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</row>
    <row r="87" customFormat="false" ht="12.8" hidden="false" customHeight="false" outlineLevel="0" collapsed="false">
      <c r="A87" s="37" t="n">
        <f aca="false">'Itens de Contrato'!A87</f>
        <v>0</v>
      </c>
      <c r="B87" s="37" t="n">
        <f aca="false">'Itens de Contrato'!B87</f>
        <v>0</v>
      </c>
      <c r="C87" s="29" t="e">
        <f aca="false">VLOOKUP(B87,'Itens de Contrato'!B$5:G$151,2,0)</f>
        <v>#N/A</v>
      </c>
      <c r="D87" s="62" t="e">
        <f aca="false">VLOOKUP(B87,'Itens de Contrato'!B$5:G$151,4)</f>
        <v>#N/A</v>
      </c>
      <c r="E87" s="63" t="e">
        <f aca="false">D87*'Itens de Contrato'!F87</f>
        <v>#N/A</v>
      </c>
      <c r="F87" s="62" t="e">
        <f aca="false">D87-G87</f>
        <v>#N/A</v>
      </c>
      <c r="G87" s="62" t="n">
        <f aca="false">SUM('Medição 01'!G87,'Medição 02'!G87,'Medição 03'!G87,'Medição 04'!G87,'Medição 05'!G87,'Medição 06'!G87,'Medição 07'!G87,'Medição 08'!G87,'Medição 09'!G87,'Medição 10'!G87,'Medição 11'!G87,'Medição 12'!G87)</f>
        <v>0</v>
      </c>
      <c r="H87" s="64" t="e">
        <f aca="false">G87/D87</f>
        <v>#DIV/0!</v>
      </c>
      <c r="I87" s="63" t="n">
        <f aca="false">G87*'Itens de Contrato'!F87</f>
        <v>0</v>
      </c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</row>
    <row r="88" customFormat="false" ht="12.8" hidden="false" customHeight="false" outlineLevel="0" collapsed="false">
      <c r="A88" s="37" t="n">
        <f aca="false">'Itens de Contrato'!A88</f>
        <v>0</v>
      </c>
      <c r="B88" s="37" t="n">
        <f aca="false">'Itens de Contrato'!B88</f>
        <v>0</v>
      </c>
      <c r="C88" s="29" t="e">
        <f aca="false">VLOOKUP(B88,'Itens de Contrato'!B$5:G$151,2,0)</f>
        <v>#N/A</v>
      </c>
      <c r="D88" s="62" t="e">
        <f aca="false">VLOOKUP(B88,'Itens de Contrato'!B$5:G$151,4)</f>
        <v>#N/A</v>
      </c>
      <c r="E88" s="63" t="e">
        <f aca="false">D88*'Itens de Contrato'!F88</f>
        <v>#N/A</v>
      </c>
      <c r="F88" s="62" t="e">
        <f aca="false">D88-G88</f>
        <v>#N/A</v>
      </c>
      <c r="G88" s="62" t="n">
        <f aca="false">SUM('Medição 01'!G88,'Medição 02'!G88,'Medição 03'!G88,'Medição 04'!G88,'Medição 05'!G88,'Medição 06'!G88,'Medição 07'!G88,'Medição 08'!G88,'Medição 09'!G88,'Medição 10'!G88,'Medição 11'!G88,'Medição 12'!G88)</f>
        <v>0</v>
      </c>
      <c r="H88" s="64" t="e">
        <f aca="false">G88/D88</f>
        <v>#DIV/0!</v>
      </c>
      <c r="I88" s="63" t="n">
        <f aca="false">G88*'Itens de Contrato'!F88</f>
        <v>0</v>
      </c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</row>
    <row r="89" customFormat="false" ht="12.8" hidden="false" customHeight="false" outlineLevel="0" collapsed="false">
      <c r="A89" s="37" t="n">
        <f aca="false">'Itens de Contrato'!A89</f>
        <v>0</v>
      </c>
      <c r="B89" s="37" t="n">
        <f aca="false">'Itens de Contrato'!B89</f>
        <v>0</v>
      </c>
      <c r="C89" s="29" t="e">
        <f aca="false">VLOOKUP(B89,'Itens de Contrato'!B$5:G$151,2,0)</f>
        <v>#N/A</v>
      </c>
      <c r="D89" s="62" t="e">
        <f aca="false">VLOOKUP(B89,'Itens de Contrato'!B$5:G$151,4)</f>
        <v>#N/A</v>
      </c>
      <c r="E89" s="63" t="e">
        <f aca="false">D89*'Itens de Contrato'!F89</f>
        <v>#N/A</v>
      </c>
      <c r="F89" s="62" t="e">
        <f aca="false">D89-G89</f>
        <v>#N/A</v>
      </c>
      <c r="G89" s="62" t="n">
        <f aca="false">SUM('Medição 01'!G89,'Medição 02'!G89,'Medição 03'!G89,'Medição 04'!G89,'Medição 05'!G89,'Medição 06'!G89,'Medição 07'!G89,'Medição 08'!G89,'Medição 09'!G89,'Medição 10'!G89,'Medição 11'!G89,'Medição 12'!G89)</f>
        <v>0</v>
      </c>
      <c r="H89" s="64" t="e">
        <f aca="false">G89/D89</f>
        <v>#DIV/0!</v>
      </c>
      <c r="I89" s="63" t="n">
        <f aca="false">G89*'Itens de Contrato'!F89</f>
        <v>0</v>
      </c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</row>
    <row r="90" customFormat="false" ht="12.8" hidden="false" customHeight="false" outlineLevel="0" collapsed="false">
      <c r="A90" s="37" t="n">
        <f aca="false">'Itens de Contrato'!A90</f>
        <v>0</v>
      </c>
      <c r="B90" s="37" t="n">
        <f aca="false">'Itens de Contrato'!B90</f>
        <v>0</v>
      </c>
      <c r="C90" s="29" t="e">
        <f aca="false">VLOOKUP(B90,'Itens de Contrato'!B$5:G$151,2,0)</f>
        <v>#N/A</v>
      </c>
      <c r="D90" s="62" t="e">
        <f aca="false">VLOOKUP(B90,'Itens de Contrato'!B$5:G$151,4)</f>
        <v>#N/A</v>
      </c>
      <c r="E90" s="63" t="e">
        <f aca="false">D90*'Itens de Contrato'!F90</f>
        <v>#N/A</v>
      </c>
      <c r="F90" s="62" t="e">
        <f aca="false">D90-G90</f>
        <v>#N/A</v>
      </c>
      <c r="G90" s="62" t="n">
        <f aca="false">SUM('Medição 01'!G90,'Medição 02'!G90,'Medição 03'!G90,'Medição 04'!G90,'Medição 05'!G90,'Medição 06'!G90,'Medição 07'!G90,'Medição 08'!G90,'Medição 09'!G90,'Medição 10'!G90,'Medição 11'!G90,'Medição 12'!G90)</f>
        <v>0</v>
      </c>
      <c r="H90" s="64" t="e">
        <f aca="false">G90/D90</f>
        <v>#DIV/0!</v>
      </c>
      <c r="I90" s="63" t="n">
        <f aca="false">G90*'Itens de Contrato'!F90</f>
        <v>0</v>
      </c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</row>
    <row r="91" customFormat="false" ht="12.8" hidden="false" customHeight="false" outlineLevel="0" collapsed="false">
      <c r="A91" s="37" t="n">
        <f aca="false">'Itens de Contrato'!A91</f>
        <v>0</v>
      </c>
      <c r="B91" s="37" t="n">
        <f aca="false">'Itens de Contrato'!B91</f>
        <v>0</v>
      </c>
      <c r="C91" s="29" t="e">
        <f aca="false">VLOOKUP(B91,'Itens de Contrato'!B$5:G$151,2,0)</f>
        <v>#N/A</v>
      </c>
      <c r="D91" s="62" t="e">
        <f aca="false">VLOOKUP(B91,'Itens de Contrato'!B$5:G$151,4)</f>
        <v>#N/A</v>
      </c>
      <c r="E91" s="63" t="e">
        <f aca="false">D91*'Itens de Contrato'!F91</f>
        <v>#N/A</v>
      </c>
      <c r="F91" s="62" t="e">
        <f aca="false">D91-G91</f>
        <v>#N/A</v>
      </c>
      <c r="G91" s="62" t="n">
        <f aca="false">SUM('Medição 01'!G91,'Medição 02'!G91,'Medição 03'!G91,'Medição 04'!G91,'Medição 05'!G91,'Medição 06'!G91,'Medição 07'!G91,'Medição 08'!G91,'Medição 09'!G91,'Medição 10'!G91,'Medição 11'!G91,'Medição 12'!G91)</f>
        <v>0</v>
      </c>
      <c r="H91" s="64" t="e">
        <f aca="false">G91/D91</f>
        <v>#DIV/0!</v>
      </c>
      <c r="I91" s="63" t="n">
        <f aca="false">G91*'Itens de Contrato'!F91</f>
        <v>0</v>
      </c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customFormat="false" ht="12.8" hidden="false" customHeight="false" outlineLevel="0" collapsed="false">
      <c r="A92" s="37" t="n">
        <f aca="false">'Itens de Contrato'!A92</f>
        <v>0</v>
      </c>
      <c r="B92" s="37" t="n">
        <f aca="false">'Itens de Contrato'!B92</f>
        <v>0</v>
      </c>
      <c r="C92" s="29" t="e">
        <f aca="false">VLOOKUP(B92,'Itens de Contrato'!B$5:G$151,2,0)</f>
        <v>#N/A</v>
      </c>
      <c r="D92" s="62" t="e">
        <f aca="false">VLOOKUP(B92,'Itens de Contrato'!B$5:G$151,4)</f>
        <v>#N/A</v>
      </c>
      <c r="E92" s="63" t="e">
        <f aca="false">D92*'Itens de Contrato'!F92</f>
        <v>#N/A</v>
      </c>
      <c r="F92" s="62" t="e">
        <f aca="false">D92-G92</f>
        <v>#N/A</v>
      </c>
      <c r="G92" s="62" t="n">
        <f aca="false">SUM('Medição 01'!G92,'Medição 02'!G92,'Medição 03'!G92,'Medição 04'!G92,'Medição 05'!G92,'Medição 06'!G92,'Medição 07'!G92,'Medição 08'!G92,'Medição 09'!G92,'Medição 10'!G92,'Medição 11'!G92,'Medição 12'!G92)</f>
        <v>0</v>
      </c>
      <c r="H92" s="64" t="e">
        <f aca="false">G92/D92</f>
        <v>#DIV/0!</v>
      </c>
      <c r="I92" s="63" t="n">
        <f aca="false">G92*'Itens de Contrato'!F92</f>
        <v>0</v>
      </c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</row>
    <row r="93" customFormat="false" ht="12.8" hidden="false" customHeight="false" outlineLevel="0" collapsed="false">
      <c r="A93" s="37" t="n">
        <f aca="false">'Itens de Contrato'!A93</f>
        <v>0</v>
      </c>
      <c r="B93" s="37" t="n">
        <f aca="false">'Itens de Contrato'!B93</f>
        <v>0</v>
      </c>
      <c r="C93" s="29" t="e">
        <f aca="false">VLOOKUP(B93,'Itens de Contrato'!B$5:G$151,2,0)</f>
        <v>#N/A</v>
      </c>
      <c r="D93" s="62" t="e">
        <f aca="false">VLOOKUP(B93,'Itens de Contrato'!B$5:G$151,4)</f>
        <v>#N/A</v>
      </c>
      <c r="E93" s="63" t="e">
        <f aca="false">D93*'Itens de Contrato'!F93</f>
        <v>#N/A</v>
      </c>
      <c r="F93" s="62" t="e">
        <f aca="false">D93-G93</f>
        <v>#N/A</v>
      </c>
      <c r="G93" s="62" t="n">
        <f aca="false">SUM('Medição 01'!G93,'Medição 02'!G93,'Medição 03'!G93,'Medição 04'!G93,'Medição 05'!G93,'Medição 06'!G93,'Medição 07'!G93,'Medição 08'!G93,'Medição 09'!G93,'Medição 10'!G93,'Medição 11'!G93,'Medição 12'!G93)</f>
        <v>0</v>
      </c>
      <c r="H93" s="64" t="e">
        <f aca="false">G93/D93</f>
        <v>#DIV/0!</v>
      </c>
      <c r="I93" s="63" t="n">
        <f aca="false">G93*'Itens de Contrato'!F93</f>
        <v>0</v>
      </c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</row>
    <row r="94" customFormat="false" ht="12.8" hidden="false" customHeight="false" outlineLevel="0" collapsed="false">
      <c r="A94" s="37" t="n">
        <f aca="false">'Itens de Contrato'!A94</f>
        <v>0</v>
      </c>
      <c r="B94" s="37" t="n">
        <f aca="false">'Itens de Contrato'!B94</f>
        <v>0</v>
      </c>
      <c r="C94" s="29" t="e">
        <f aca="false">VLOOKUP(B94,'Itens de Contrato'!B$5:G$151,2,0)</f>
        <v>#N/A</v>
      </c>
      <c r="D94" s="62" t="e">
        <f aca="false">VLOOKUP(B94,'Itens de Contrato'!B$5:G$151,4)</f>
        <v>#N/A</v>
      </c>
      <c r="E94" s="63" t="e">
        <f aca="false">D94*'Itens de Contrato'!F94</f>
        <v>#N/A</v>
      </c>
      <c r="F94" s="62" t="e">
        <f aca="false">D94-G94</f>
        <v>#N/A</v>
      </c>
      <c r="G94" s="62" t="n">
        <f aca="false">SUM('Medição 01'!G94,'Medição 02'!G94,'Medição 03'!G94,'Medição 04'!G94,'Medição 05'!G94,'Medição 06'!G94,'Medição 07'!G94,'Medição 08'!G94,'Medição 09'!G94,'Medição 10'!G94,'Medição 11'!G94,'Medição 12'!G94)</f>
        <v>0</v>
      </c>
      <c r="H94" s="64" t="e">
        <f aca="false">G94/D94</f>
        <v>#DIV/0!</v>
      </c>
      <c r="I94" s="63" t="n">
        <f aca="false">G94*'Itens de Contrato'!F94</f>
        <v>0</v>
      </c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</row>
    <row r="95" customFormat="false" ht="12.8" hidden="false" customHeight="false" outlineLevel="0" collapsed="false">
      <c r="A95" s="37" t="n">
        <f aca="false">'Itens de Contrato'!A95</f>
        <v>0</v>
      </c>
      <c r="B95" s="37" t="n">
        <f aca="false">'Itens de Contrato'!B95</f>
        <v>0</v>
      </c>
      <c r="C95" s="29" t="e">
        <f aca="false">VLOOKUP(B95,'Itens de Contrato'!B$5:G$151,2,0)</f>
        <v>#N/A</v>
      </c>
      <c r="D95" s="62" t="e">
        <f aca="false">VLOOKUP(B95,'Itens de Contrato'!B$5:G$151,4)</f>
        <v>#N/A</v>
      </c>
      <c r="E95" s="63" t="e">
        <f aca="false">D95*'Itens de Contrato'!F95</f>
        <v>#N/A</v>
      </c>
      <c r="F95" s="62" t="e">
        <f aca="false">D95-G95</f>
        <v>#N/A</v>
      </c>
      <c r="G95" s="62" t="n">
        <f aca="false">SUM('Medição 01'!G95,'Medição 02'!G95,'Medição 03'!G95,'Medição 04'!G95,'Medição 05'!G95,'Medição 06'!G95,'Medição 07'!G95,'Medição 08'!G95,'Medição 09'!G95,'Medição 10'!G95,'Medição 11'!G95,'Medição 12'!G95)</f>
        <v>0</v>
      </c>
      <c r="H95" s="64" t="e">
        <f aca="false">G95/D95</f>
        <v>#DIV/0!</v>
      </c>
      <c r="I95" s="63" t="n">
        <f aca="false">G95*'Itens de Contrato'!F95</f>
        <v>0</v>
      </c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</row>
    <row r="96" customFormat="false" ht="12.8" hidden="false" customHeight="false" outlineLevel="0" collapsed="false">
      <c r="A96" s="37" t="n">
        <f aca="false">'Itens de Contrato'!A96</f>
        <v>0</v>
      </c>
      <c r="B96" s="37" t="n">
        <f aca="false">'Itens de Contrato'!B96</f>
        <v>0</v>
      </c>
      <c r="C96" s="29" t="e">
        <f aca="false">VLOOKUP(B96,'Itens de Contrato'!B$5:G$151,2,0)</f>
        <v>#N/A</v>
      </c>
      <c r="D96" s="62" t="e">
        <f aca="false">VLOOKUP(B96,'Itens de Contrato'!B$5:G$151,4)</f>
        <v>#N/A</v>
      </c>
      <c r="E96" s="63" t="e">
        <f aca="false">D96*'Itens de Contrato'!F96</f>
        <v>#N/A</v>
      </c>
      <c r="F96" s="62" t="e">
        <f aca="false">D96-G96</f>
        <v>#N/A</v>
      </c>
      <c r="G96" s="62" t="n">
        <f aca="false">SUM('Medição 01'!G96,'Medição 02'!G96,'Medição 03'!G96,'Medição 04'!G96,'Medição 05'!G96,'Medição 06'!G96,'Medição 07'!G96,'Medição 08'!G96,'Medição 09'!G96,'Medição 10'!G96,'Medição 11'!G96,'Medição 12'!G96)</f>
        <v>0</v>
      </c>
      <c r="H96" s="64" t="e">
        <f aca="false">G96/D96</f>
        <v>#DIV/0!</v>
      </c>
      <c r="I96" s="63" t="n">
        <f aca="false">G96*'Itens de Contrato'!F96</f>
        <v>0</v>
      </c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</row>
    <row r="97" customFormat="false" ht="12.8" hidden="false" customHeight="false" outlineLevel="0" collapsed="false">
      <c r="A97" s="37" t="n">
        <f aca="false">'Itens de Contrato'!A97</f>
        <v>0</v>
      </c>
      <c r="B97" s="37" t="n">
        <f aca="false">'Itens de Contrato'!B97</f>
        <v>0</v>
      </c>
      <c r="C97" s="29" t="e">
        <f aca="false">VLOOKUP(B97,'Itens de Contrato'!B$5:G$151,2,0)</f>
        <v>#N/A</v>
      </c>
      <c r="D97" s="62" t="e">
        <f aca="false">VLOOKUP(B97,'Itens de Contrato'!B$5:G$151,4)</f>
        <v>#N/A</v>
      </c>
      <c r="E97" s="63" t="e">
        <f aca="false">D97*'Itens de Contrato'!F97</f>
        <v>#N/A</v>
      </c>
      <c r="F97" s="62" t="e">
        <f aca="false">D97-G97</f>
        <v>#N/A</v>
      </c>
      <c r="G97" s="62" t="n">
        <f aca="false">SUM('Medição 01'!G97,'Medição 02'!G97,'Medição 03'!G97,'Medição 04'!G97,'Medição 05'!G97,'Medição 06'!G97,'Medição 07'!G97,'Medição 08'!G97,'Medição 09'!G97,'Medição 10'!G97,'Medição 11'!G97,'Medição 12'!G97)</f>
        <v>0</v>
      </c>
      <c r="H97" s="64" t="e">
        <f aca="false">G97/D97</f>
        <v>#DIV/0!</v>
      </c>
      <c r="I97" s="63" t="n">
        <f aca="false">G97*'Itens de Contrato'!F97</f>
        <v>0</v>
      </c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</row>
    <row r="98" customFormat="false" ht="12.8" hidden="false" customHeight="false" outlineLevel="0" collapsed="false">
      <c r="A98" s="37" t="n">
        <f aca="false">'Itens de Contrato'!A98</f>
        <v>0</v>
      </c>
      <c r="B98" s="37" t="n">
        <f aca="false">'Itens de Contrato'!B98</f>
        <v>0</v>
      </c>
      <c r="C98" s="29" t="e">
        <f aca="false">VLOOKUP(B98,'Itens de Contrato'!B$5:G$151,2,0)</f>
        <v>#N/A</v>
      </c>
      <c r="D98" s="62" t="e">
        <f aca="false">VLOOKUP(B98,'Itens de Contrato'!B$5:G$151,4)</f>
        <v>#N/A</v>
      </c>
      <c r="E98" s="63" t="e">
        <f aca="false">D98*'Itens de Contrato'!F98</f>
        <v>#N/A</v>
      </c>
      <c r="F98" s="62" t="e">
        <f aca="false">D98-G98</f>
        <v>#N/A</v>
      </c>
      <c r="G98" s="62" t="n">
        <f aca="false">SUM('Medição 01'!G98,'Medição 02'!G98,'Medição 03'!G98,'Medição 04'!G98,'Medição 05'!G98,'Medição 06'!G98,'Medição 07'!G98,'Medição 08'!G98,'Medição 09'!G98,'Medição 10'!G98,'Medição 11'!G98,'Medição 12'!G98)</f>
        <v>0</v>
      </c>
      <c r="H98" s="64" t="e">
        <f aca="false">G98/D98</f>
        <v>#DIV/0!</v>
      </c>
      <c r="I98" s="63" t="n">
        <f aca="false">G98*'Itens de Contrato'!F98</f>
        <v>0</v>
      </c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</row>
    <row r="99" customFormat="false" ht="12.8" hidden="false" customHeight="false" outlineLevel="0" collapsed="false">
      <c r="A99" s="37" t="n">
        <f aca="false">'Itens de Contrato'!A99</f>
        <v>0</v>
      </c>
      <c r="B99" s="37" t="n">
        <f aca="false">'Itens de Contrato'!B99</f>
        <v>0</v>
      </c>
      <c r="C99" s="29" t="e">
        <f aca="false">VLOOKUP(B99,'Itens de Contrato'!B$5:G$151,2,0)</f>
        <v>#N/A</v>
      </c>
      <c r="D99" s="62" t="e">
        <f aca="false">VLOOKUP(B99,'Itens de Contrato'!B$5:G$151,4)</f>
        <v>#N/A</v>
      </c>
      <c r="E99" s="63" t="e">
        <f aca="false">D99*'Itens de Contrato'!F99</f>
        <v>#N/A</v>
      </c>
      <c r="F99" s="62" t="e">
        <f aca="false">D99-G99</f>
        <v>#N/A</v>
      </c>
      <c r="G99" s="62" t="n">
        <f aca="false">SUM('Medição 01'!G99,'Medição 02'!G99,'Medição 03'!G99,'Medição 04'!G99,'Medição 05'!G99,'Medição 06'!G99,'Medição 07'!G99,'Medição 08'!G99,'Medição 09'!G99,'Medição 10'!G99,'Medição 11'!G99,'Medição 12'!G99)</f>
        <v>0</v>
      </c>
      <c r="H99" s="64" t="e">
        <f aca="false">G99/D99</f>
        <v>#DIV/0!</v>
      </c>
      <c r="I99" s="63" t="n">
        <f aca="false">G99*'Itens de Contrato'!F99</f>
        <v>0</v>
      </c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</row>
    <row r="100" customFormat="false" ht="12.8" hidden="false" customHeight="false" outlineLevel="0" collapsed="false">
      <c r="A100" s="37" t="n">
        <f aca="false">'Itens de Contrato'!A100</f>
        <v>0</v>
      </c>
      <c r="B100" s="37" t="n">
        <f aca="false">'Itens de Contrato'!B100</f>
        <v>0</v>
      </c>
      <c r="C100" s="29" t="e">
        <f aca="false">VLOOKUP(B100,'Itens de Contrato'!B$5:G$151,2,0)</f>
        <v>#N/A</v>
      </c>
      <c r="D100" s="62" t="e">
        <f aca="false">VLOOKUP(B100,'Itens de Contrato'!B$5:G$151,4)</f>
        <v>#N/A</v>
      </c>
      <c r="E100" s="63" t="e">
        <f aca="false">D100*'Itens de Contrato'!F100</f>
        <v>#N/A</v>
      </c>
      <c r="F100" s="62" t="e">
        <f aca="false">D100-G100</f>
        <v>#N/A</v>
      </c>
      <c r="G100" s="62" t="n">
        <f aca="false">SUM('Medição 01'!G100,'Medição 02'!G100,'Medição 03'!G100,'Medição 04'!G100,'Medição 05'!G100,'Medição 06'!G100,'Medição 07'!G100,'Medição 08'!G100,'Medição 09'!G100,'Medição 10'!G100,'Medição 11'!G100,'Medição 12'!G100)</f>
        <v>0</v>
      </c>
      <c r="H100" s="64" t="e">
        <f aca="false">G100/D100</f>
        <v>#DIV/0!</v>
      </c>
      <c r="I100" s="63" t="n">
        <f aca="false">G100*'Itens de Contrato'!F100</f>
        <v>0</v>
      </c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customFormat="false" ht="12.8" hidden="false" customHeight="false" outlineLevel="0" collapsed="false">
      <c r="A101" s="37" t="n">
        <f aca="false">'Itens de Contrato'!A101</f>
        <v>0</v>
      </c>
      <c r="B101" s="37" t="n">
        <f aca="false">'Itens de Contrato'!B101</f>
        <v>0</v>
      </c>
      <c r="C101" s="29" t="e">
        <f aca="false">VLOOKUP(B101,'Itens de Contrato'!B$5:G$151,2,0)</f>
        <v>#N/A</v>
      </c>
      <c r="D101" s="62" t="e">
        <f aca="false">VLOOKUP(B101,'Itens de Contrato'!B$5:G$151,4)</f>
        <v>#N/A</v>
      </c>
      <c r="E101" s="63" t="e">
        <f aca="false">D101*'Itens de Contrato'!F101</f>
        <v>#N/A</v>
      </c>
      <c r="F101" s="62" t="e">
        <f aca="false">D101-G101</f>
        <v>#N/A</v>
      </c>
      <c r="G101" s="62" t="n">
        <f aca="false">SUM('Medição 01'!G101,'Medição 02'!G101,'Medição 03'!G101,'Medição 04'!G101,'Medição 05'!G101,'Medição 06'!G101,'Medição 07'!G101,'Medição 08'!G101,'Medição 09'!G101,'Medição 10'!G101,'Medição 11'!G101,'Medição 12'!G101)</f>
        <v>0</v>
      </c>
      <c r="H101" s="64" t="e">
        <f aca="false">G101/D101</f>
        <v>#DIV/0!</v>
      </c>
      <c r="I101" s="63" t="n">
        <f aca="false">G101*'Itens de Contrato'!F101</f>
        <v>0</v>
      </c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customFormat="false" ht="12.8" hidden="false" customHeight="false" outlineLevel="0" collapsed="false">
      <c r="A102" s="37" t="n">
        <f aca="false">'Itens de Contrato'!A102</f>
        <v>0</v>
      </c>
      <c r="B102" s="37" t="n">
        <f aca="false">'Itens de Contrato'!B102</f>
        <v>0</v>
      </c>
      <c r="C102" s="29" t="e">
        <f aca="false">VLOOKUP(B102,'Itens de Contrato'!B$5:G$151,2,0)</f>
        <v>#N/A</v>
      </c>
      <c r="D102" s="62" t="e">
        <f aca="false">VLOOKUP(B102,'Itens de Contrato'!B$5:G$151,4)</f>
        <v>#N/A</v>
      </c>
      <c r="E102" s="63" t="e">
        <f aca="false">D102*'Itens de Contrato'!F102</f>
        <v>#N/A</v>
      </c>
      <c r="F102" s="62" t="e">
        <f aca="false">D102-G102</f>
        <v>#N/A</v>
      </c>
      <c r="G102" s="62" t="n">
        <f aca="false">SUM('Medição 01'!G102,'Medição 02'!G102,'Medição 03'!G102,'Medição 04'!G102,'Medição 05'!G102,'Medição 06'!G102,'Medição 07'!G102,'Medição 08'!G102,'Medição 09'!G102,'Medição 10'!G102,'Medição 11'!G102,'Medição 12'!G102)</f>
        <v>0</v>
      </c>
      <c r="H102" s="64" t="e">
        <f aca="false">G102/D102</f>
        <v>#DIV/0!</v>
      </c>
      <c r="I102" s="63" t="n">
        <f aca="false">G102*'Itens de Contrato'!F102</f>
        <v>0</v>
      </c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</row>
    <row r="103" customFormat="false" ht="12.8" hidden="false" customHeight="false" outlineLevel="0" collapsed="false">
      <c r="A103" s="37" t="n">
        <f aca="false">'Itens de Contrato'!A103</f>
        <v>0</v>
      </c>
      <c r="B103" s="37" t="n">
        <f aca="false">'Itens de Contrato'!B103</f>
        <v>0</v>
      </c>
      <c r="C103" s="29" t="e">
        <f aca="false">VLOOKUP(B103,'Itens de Contrato'!B$5:G$151,2,0)</f>
        <v>#N/A</v>
      </c>
      <c r="D103" s="62" t="e">
        <f aca="false">VLOOKUP(B103,'Itens de Contrato'!B$5:G$151,4)</f>
        <v>#N/A</v>
      </c>
      <c r="E103" s="63" t="e">
        <f aca="false">D103*'Itens de Contrato'!F103</f>
        <v>#N/A</v>
      </c>
      <c r="F103" s="62" t="e">
        <f aca="false">D103-G103</f>
        <v>#N/A</v>
      </c>
      <c r="G103" s="62" t="n">
        <f aca="false">SUM('Medição 01'!G103,'Medição 02'!G103,'Medição 03'!G103,'Medição 04'!G103,'Medição 05'!G103,'Medição 06'!G103,'Medição 07'!G103,'Medição 08'!G103,'Medição 09'!G103,'Medição 10'!G103,'Medição 11'!G103,'Medição 12'!G103)</f>
        <v>0</v>
      </c>
      <c r="H103" s="64" t="e">
        <f aca="false">G103/D103</f>
        <v>#DIV/0!</v>
      </c>
      <c r="I103" s="63" t="n">
        <f aca="false">G103*'Itens de Contrato'!F103</f>
        <v>0</v>
      </c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</row>
    <row r="104" customFormat="false" ht="12.8" hidden="false" customHeight="false" outlineLevel="0" collapsed="false">
      <c r="A104" s="37" t="n">
        <f aca="false">'Itens de Contrato'!A104</f>
        <v>0</v>
      </c>
      <c r="B104" s="37" t="n">
        <f aca="false">'Itens de Contrato'!B104</f>
        <v>0</v>
      </c>
      <c r="C104" s="29" t="e">
        <f aca="false">VLOOKUP(B104,'Itens de Contrato'!B$5:G$151,2,0)</f>
        <v>#N/A</v>
      </c>
      <c r="D104" s="62" t="e">
        <f aca="false">VLOOKUP(B104,'Itens de Contrato'!B$5:G$151,4)</f>
        <v>#N/A</v>
      </c>
      <c r="E104" s="63" t="e">
        <f aca="false">D104*'Itens de Contrato'!F104</f>
        <v>#N/A</v>
      </c>
      <c r="F104" s="62" t="e">
        <f aca="false">D104-G104</f>
        <v>#N/A</v>
      </c>
      <c r="G104" s="62" t="n">
        <f aca="false">SUM('Medição 01'!G104,'Medição 02'!G104,'Medição 03'!G104,'Medição 04'!G104,'Medição 05'!G104,'Medição 06'!G104,'Medição 07'!G104,'Medição 08'!G104,'Medição 09'!G104,'Medição 10'!G104,'Medição 11'!G104,'Medição 12'!G104)</f>
        <v>0</v>
      </c>
      <c r="H104" s="64" t="e">
        <f aca="false">G104/D104</f>
        <v>#DIV/0!</v>
      </c>
      <c r="I104" s="63" t="n">
        <f aca="false">G104*'Itens de Contrato'!F104</f>
        <v>0</v>
      </c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</row>
    <row r="105" customFormat="false" ht="12.8" hidden="false" customHeight="false" outlineLevel="0" collapsed="false">
      <c r="A105" s="37" t="n">
        <f aca="false">'Itens de Contrato'!A105</f>
        <v>0</v>
      </c>
      <c r="B105" s="37" t="n">
        <f aca="false">'Itens de Contrato'!B105</f>
        <v>0</v>
      </c>
      <c r="C105" s="29" t="e">
        <f aca="false">VLOOKUP(B105,'Itens de Contrato'!B$5:G$151,2,0)</f>
        <v>#N/A</v>
      </c>
      <c r="D105" s="62" t="e">
        <f aca="false">VLOOKUP(B105,'Itens de Contrato'!B$5:G$151,4)</f>
        <v>#N/A</v>
      </c>
      <c r="E105" s="63" t="e">
        <f aca="false">D105*'Itens de Contrato'!F105</f>
        <v>#N/A</v>
      </c>
      <c r="F105" s="62" t="e">
        <f aca="false">D105-G105</f>
        <v>#N/A</v>
      </c>
      <c r="G105" s="62" t="n">
        <f aca="false">SUM('Medição 01'!G105,'Medição 02'!G105,'Medição 03'!G105,'Medição 04'!G105,'Medição 05'!G105,'Medição 06'!G105,'Medição 07'!G105,'Medição 08'!G105,'Medição 09'!G105,'Medição 10'!G105,'Medição 11'!G105,'Medição 12'!G105)</f>
        <v>0</v>
      </c>
      <c r="H105" s="64" t="e">
        <f aca="false">G105/D105</f>
        <v>#DIV/0!</v>
      </c>
      <c r="I105" s="63" t="n">
        <f aca="false">G105*'Itens de Contrato'!F105</f>
        <v>0</v>
      </c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</row>
    <row r="106" customFormat="false" ht="12.8" hidden="false" customHeight="false" outlineLevel="0" collapsed="false">
      <c r="A106" s="37" t="n">
        <f aca="false">'Itens de Contrato'!A106</f>
        <v>0</v>
      </c>
      <c r="B106" s="37" t="n">
        <f aca="false">'Itens de Contrato'!B106</f>
        <v>0</v>
      </c>
      <c r="C106" s="29" t="e">
        <f aca="false">VLOOKUP(B106,'Itens de Contrato'!B$5:G$151,2,0)</f>
        <v>#N/A</v>
      </c>
      <c r="D106" s="62" t="e">
        <f aca="false">VLOOKUP(B106,'Itens de Contrato'!B$5:G$151,4)</f>
        <v>#N/A</v>
      </c>
      <c r="E106" s="63" t="e">
        <f aca="false">D106*'Itens de Contrato'!F106</f>
        <v>#N/A</v>
      </c>
      <c r="F106" s="62" t="e">
        <f aca="false">D106-G106</f>
        <v>#N/A</v>
      </c>
      <c r="G106" s="62" t="n">
        <f aca="false">SUM('Medição 01'!G106,'Medição 02'!G106,'Medição 03'!G106,'Medição 04'!G106,'Medição 05'!G106,'Medição 06'!G106,'Medição 07'!G106,'Medição 08'!G106,'Medição 09'!G106,'Medição 10'!G106,'Medição 11'!G106,'Medição 12'!G106)</f>
        <v>0</v>
      </c>
      <c r="H106" s="64" t="e">
        <f aca="false">G106/D106</f>
        <v>#DIV/0!</v>
      </c>
      <c r="I106" s="63" t="n">
        <f aca="false">G106*'Itens de Contrato'!F106</f>
        <v>0</v>
      </c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</row>
    <row r="107" customFormat="false" ht="12.8" hidden="false" customHeight="false" outlineLevel="0" collapsed="false">
      <c r="A107" s="37" t="n">
        <f aca="false">'Itens de Contrato'!A107</f>
        <v>0</v>
      </c>
      <c r="B107" s="37" t="n">
        <f aca="false">'Itens de Contrato'!B107</f>
        <v>0</v>
      </c>
      <c r="C107" s="29" t="e">
        <f aca="false">VLOOKUP(B107,'Itens de Contrato'!B$5:G$151,2,0)</f>
        <v>#N/A</v>
      </c>
      <c r="D107" s="62" t="e">
        <f aca="false">VLOOKUP(B107,'Itens de Contrato'!B$5:G$151,4)</f>
        <v>#N/A</v>
      </c>
      <c r="E107" s="63" t="e">
        <f aca="false">D107*'Itens de Contrato'!F107</f>
        <v>#N/A</v>
      </c>
      <c r="F107" s="62" t="e">
        <f aca="false">D107-G107</f>
        <v>#N/A</v>
      </c>
      <c r="G107" s="62" t="n">
        <f aca="false">SUM('Medição 01'!G107,'Medição 02'!G107,'Medição 03'!G107,'Medição 04'!G107,'Medição 05'!G107,'Medição 06'!G107,'Medição 07'!G107,'Medição 08'!G107,'Medição 09'!G107,'Medição 10'!G107,'Medição 11'!G107,'Medição 12'!G107)</f>
        <v>0</v>
      </c>
      <c r="H107" s="64" t="e">
        <f aca="false">G107/D107</f>
        <v>#DIV/0!</v>
      </c>
      <c r="I107" s="63" t="n">
        <f aca="false">G107*'Itens de Contrato'!F107</f>
        <v>0</v>
      </c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</row>
    <row r="108" customFormat="false" ht="12.8" hidden="false" customHeight="false" outlineLevel="0" collapsed="false">
      <c r="A108" s="37" t="n">
        <f aca="false">'Itens de Contrato'!A108</f>
        <v>0</v>
      </c>
      <c r="B108" s="37" t="n">
        <f aca="false">'Itens de Contrato'!B108</f>
        <v>0</v>
      </c>
      <c r="C108" s="29" t="e">
        <f aca="false">VLOOKUP(B108,'Itens de Contrato'!B$5:G$151,2,0)</f>
        <v>#N/A</v>
      </c>
      <c r="D108" s="62" t="e">
        <f aca="false">VLOOKUP(B108,'Itens de Contrato'!B$5:G$151,4)</f>
        <v>#N/A</v>
      </c>
      <c r="E108" s="63" t="e">
        <f aca="false">D108*'Itens de Contrato'!F108</f>
        <v>#N/A</v>
      </c>
      <c r="F108" s="62" t="e">
        <f aca="false">D108-G108</f>
        <v>#N/A</v>
      </c>
      <c r="G108" s="62" t="n">
        <f aca="false">SUM('Medição 01'!G108,'Medição 02'!G108,'Medição 03'!G108,'Medição 04'!G108,'Medição 05'!G108,'Medição 06'!G108,'Medição 07'!G108,'Medição 08'!G108,'Medição 09'!G108,'Medição 10'!G108,'Medição 11'!G108,'Medição 12'!G108)</f>
        <v>0</v>
      </c>
      <c r="H108" s="64" t="e">
        <f aca="false">G108/D108</f>
        <v>#DIV/0!</v>
      </c>
      <c r="I108" s="63" t="n">
        <f aca="false">G108*'Itens de Contrato'!F108</f>
        <v>0</v>
      </c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</row>
    <row r="109" customFormat="false" ht="12.8" hidden="false" customHeight="false" outlineLevel="0" collapsed="false">
      <c r="A109" s="37" t="n">
        <f aca="false">'Itens de Contrato'!A109</f>
        <v>0</v>
      </c>
      <c r="B109" s="37" t="n">
        <f aca="false">'Itens de Contrato'!B109</f>
        <v>0</v>
      </c>
      <c r="C109" s="29" t="e">
        <f aca="false">VLOOKUP(B109,'Itens de Contrato'!B$5:G$151,2,0)</f>
        <v>#N/A</v>
      </c>
      <c r="D109" s="62" t="e">
        <f aca="false">VLOOKUP(B109,'Itens de Contrato'!B$5:G$151,4)</f>
        <v>#N/A</v>
      </c>
      <c r="E109" s="63" t="e">
        <f aca="false">D109*'Itens de Contrato'!F109</f>
        <v>#N/A</v>
      </c>
      <c r="F109" s="62" t="e">
        <f aca="false">D109-G109</f>
        <v>#N/A</v>
      </c>
      <c r="G109" s="62" t="n">
        <f aca="false">SUM('Medição 01'!G109,'Medição 02'!G109,'Medição 03'!G109,'Medição 04'!G109,'Medição 05'!G109,'Medição 06'!G109,'Medição 07'!G109,'Medição 08'!G109,'Medição 09'!G109,'Medição 10'!G109,'Medição 11'!G109,'Medição 12'!G109)</f>
        <v>0</v>
      </c>
      <c r="H109" s="64" t="e">
        <f aca="false">G109/D109</f>
        <v>#DIV/0!</v>
      </c>
      <c r="I109" s="63" t="n">
        <f aca="false">G109*'Itens de Contrato'!F109</f>
        <v>0</v>
      </c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</row>
    <row r="110" customFormat="false" ht="12.8" hidden="false" customHeight="false" outlineLevel="0" collapsed="false">
      <c r="A110" s="37" t="n">
        <f aca="false">'Itens de Contrato'!A110</f>
        <v>0</v>
      </c>
      <c r="B110" s="37" t="n">
        <f aca="false">'Itens de Contrato'!B110</f>
        <v>0</v>
      </c>
      <c r="C110" s="29" t="e">
        <f aca="false">VLOOKUP(B110,'Itens de Contrato'!B$5:G$151,2,0)</f>
        <v>#N/A</v>
      </c>
      <c r="D110" s="62" t="e">
        <f aca="false">VLOOKUP(B110,'Itens de Contrato'!B$5:G$151,4)</f>
        <v>#N/A</v>
      </c>
      <c r="E110" s="63" t="e">
        <f aca="false">D110*'Itens de Contrato'!F110</f>
        <v>#N/A</v>
      </c>
      <c r="F110" s="62" t="e">
        <f aca="false">D110-G110</f>
        <v>#N/A</v>
      </c>
      <c r="G110" s="62" t="n">
        <f aca="false">SUM('Medição 01'!G110,'Medição 02'!G110,'Medição 03'!G110,'Medição 04'!G110,'Medição 05'!G110,'Medição 06'!G110,'Medição 07'!G110,'Medição 08'!G110,'Medição 09'!G110,'Medição 10'!G110,'Medição 11'!G110,'Medição 12'!G110)</f>
        <v>0</v>
      </c>
      <c r="H110" s="64" t="e">
        <f aca="false">G110/D110</f>
        <v>#DIV/0!</v>
      </c>
      <c r="I110" s="63" t="n">
        <f aca="false">G110*'Itens de Contrato'!F110</f>
        <v>0</v>
      </c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</row>
    <row r="111" customFormat="false" ht="12.8" hidden="false" customHeight="false" outlineLevel="0" collapsed="false">
      <c r="A111" s="37" t="n">
        <f aca="false">'Itens de Contrato'!A111</f>
        <v>0</v>
      </c>
      <c r="B111" s="37" t="n">
        <f aca="false">'Itens de Contrato'!B111</f>
        <v>0</v>
      </c>
      <c r="C111" s="29" t="e">
        <f aca="false">VLOOKUP(B111,'Itens de Contrato'!B$5:G$151,2,0)</f>
        <v>#N/A</v>
      </c>
      <c r="D111" s="62" t="e">
        <f aca="false">VLOOKUP(B111,'Itens de Contrato'!B$5:G$151,4)</f>
        <v>#N/A</v>
      </c>
      <c r="E111" s="63" t="e">
        <f aca="false">D111*'Itens de Contrato'!F111</f>
        <v>#N/A</v>
      </c>
      <c r="F111" s="62" t="e">
        <f aca="false">D111-G111</f>
        <v>#N/A</v>
      </c>
      <c r="G111" s="62" t="n">
        <f aca="false">SUM('Medição 01'!G111,'Medição 02'!G111,'Medição 03'!G111,'Medição 04'!G111,'Medição 05'!G111,'Medição 06'!G111,'Medição 07'!G111,'Medição 08'!G111,'Medição 09'!G111,'Medição 10'!G111,'Medição 11'!G111,'Medição 12'!G111)</f>
        <v>0</v>
      </c>
      <c r="H111" s="64" t="e">
        <f aca="false">G111/D111</f>
        <v>#DIV/0!</v>
      </c>
      <c r="I111" s="63" t="n">
        <f aca="false">G111*'Itens de Contrato'!F111</f>
        <v>0</v>
      </c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</row>
    <row r="112" customFormat="false" ht="12.8" hidden="false" customHeight="false" outlineLevel="0" collapsed="false">
      <c r="A112" s="37" t="n">
        <f aca="false">'Itens de Contrato'!A112</f>
        <v>0</v>
      </c>
      <c r="B112" s="37" t="n">
        <f aca="false">'Itens de Contrato'!B112</f>
        <v>0</v>
      </c>
      <c r="C112" s="29" t="e">
        <f aca="false">VLOOKUP(B112,'Itens de Contrato'!B$5:G$151,2,0)</f>
        <v>#N/A</v>
      </c>
      <c r="D112" s="62" t="e">
        <f aca="false">VLOOKUP(B112,'Itens de Contrato'!B$5:G$151,4)</f>
        <v>#N/A</v>
      </c>
      <c r="E112" s="63" t="e">
        <f aca="false">D112*'Itens de Contrato'!F112</f>
        <v>#N/A</v>
      </c>
      <c r="F112" s="62" t="e">
        <f aca="false">D112-G112</f>
        <v>#N/A</v>
      </c>
      <c r="G112" s="62" t="n">
        <f aca="false">SUM('Medição 01'!G112,'Medição 02'!G112,'Medição 03'!G112,'Medição 04'!G112,'Medição 05'!G112,'Medição 06'!G112,'Medição 07'!G112,'Medição 08'!G112,'Medição 09'!G112,'Medição 10'!G112,'Medição 11'!G112,'Medição 12'!G112)</f>
        <v>0</v>
      </c>
      <c r="H112" s="64" t="e">
        <f aca="false">G112/D112</f>
        <v>#DIV/0!</v>
      </c>
      <c r="I112" s="63" t="n">
        <f aca="false">G112*'Itens de Contrato'!F112</f>
        <v>0</v>
      </c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</row>
    <row r="113" customFormat="false" ht="12.8" hidden="false" customHeight="false" outlineLevel="0" collapsed="false">
      <c r="A113" s="37" t="n">
        <f aca="false">'Itens de Contrato'!A113</f>
        <v>0</v>
      </c>
      <c r="B113" s="37" t="n">
        <f aca="false">'Itens de Contrato'!B113</f>
        <v>0</v>
      </c>
      <c r="C113" s="29" t="e">
        <f aca="false">VLOOKUP(B113,'Itens de Contrato'!B$5:G$151,2,0)</f>
        <v>#N/A</v>
      </c>
      <c r="D113" s="62" t="e">
        <f aca="false">VLOOKUP(B113,'Itens de Contrato'!B$5:G$151,4)</f>
        <v>#N/A</v>
      </c>
      <c r="E113" s="63" t="e">
        <f aca="false">D113*'Itens de Contrato'!F113</f>
        <v>#N/A</v>
      </c>
      <c r="F113" s="62" t="e">
        <f aca="false">D113-G113</f>
        <v>#N/A</v>
      </c>
      <c r="G113" s="62" t="n">
        <f aca="false">SUM('Medição 01'!G113,'Medição 02'!G113,'Medição 03'!G113,'Medição 04'!G113,'Medição 05'!G113,'Medição 06'!G113,'Medição 07'!G113,'Medição 08'!G113,'Medição 09'!G113,'Medição 10'!G113,'Medição 11'!G113,'Medição 12'!G113)</f>
        <v>0</v>
      </c>
      <c r="H113" s="64" t="e">
        <f aca="false">G113/D113</f>
        <v>#DIV/0!</v>
      </c>
      <c r="I113" s="63" t="n">
        <f aca="false">G113*'Itens de Contrato'!F113</f>
        <v>0</v>
      </c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</row>
    <row r="114" customFormat="false" ht="12.8" hidden="false" customHeight="false" outlineLevel="0" collapsed="false">
      <c r="A114" s="37" t="n">
        <f aca="false">'Itens de Contrato'!A114</f>
        <v>0</v>
      </c>
      <c r="B114" s="37" t="n">
        <f aca="false">'Itens de Contrato'!B114</f>
        <v>0</v>
      </c>
      <c r="C114" s="29" t="e">
        <f aca="false">VLOOKUP(B114,'Itens de Contrato'!B$5:G$151,2,0)</f>
        <v>#N/A</v>
      </c>
      <c r="D114" s="62" t="e">
        <f aca="false">VLOOKUP(B114,'Itens de Contrato'!B$5:G$151,4)</f>
        <v>#N/A</v>
      </c>
      <c r="E114" s="63" t="e">
        <f aca="false">D114*'Itens de Contrato'!F114</f>
        <v>#N/A</v>
      </c>
      <c r="F114" s="62" t="e">
        <f aca="false">D114-G114</f>
        <v>#N/A</v>
      </c>
      <c r="G114" s="62" t="n">
        <f aca="false">SUM('Medição 01'!G114,'Medição 02'!G114,'Medição 03'!G114,'Medição 04'!G114,'Medição 05'!G114,'Medição 06'!G114,'Medição 07'!G114,'Medição 08'!G114,'Medição 09'!G114,'Medição 10'!G114,'Medição 11'!G114,'Medição 12'!G114)</f>
        <v>0</v>
      </c>
      <c r="H114" s="64" t="e">
        <f aca="false">G114/D114</f>
        <v>#DIV/0!</v>
      </c>
      <c r="I114" s="63" t="n">
        <f aca="false">G114*'Itens de Contrato'!F114</f>
        <v>0</v>
      </c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</row>
    <row r="115" customFormat="false" ht="12.8" hidden="false" customHeight="false" outlineLevel="0" collapsed="false">
      <c r="A115" s="37" t="n">
        <f aca="false">'Itens de Contrato'!A115</f>
        <v>0</v>
      </c>
      <c r="B115" s="37" t="n">
        <f aca="false">'Itens de Contrato'!B115</f>
        <v>0</v>
      </c>
      <c r="C115" s="29" t="e">
        <f aca="false">VLOOKUP(B115,'Itens de Contrato'!B$5:G$151,2,0)</f>
        <v>#N/A</v>
      </c>
      <c r="D115" s="62" t="e">
        <f aca="false">VLOOKUP(B115,'Itens de Contrato'!B$5:G$151,4)</f>
        <v>#N/A</v>
      </c>
      <c r="E115" s="63" t="e">
        <f aca="false">D115*'Itens de Contrato'!F115</f>
        <v>#N/A</v>
      </c>
      <c r="F115" s="62" t="e">
        <f aca="false">D115-G115</f>
        <v>#N/A</v>
      </c>
      <c r="G115" s="62" t="n">
        <f aca="false">SUM('Medição 01'!G115,'Medição 02'!G115,'Medição 03'!G115,'Medição 04'!G115,'Medição 05'!G115,'Medição 06'!G115,'Medição 07'!G115,'Medição 08'!G115,'Medição 09'!G115,'Medição 10'!G115,'Medição 11'!G115,'Medição 12'!G115)</f>
        <v>0</v>
      </c>
      <c r="H115" s="64" t="e">
        <f aca="false">G115/D115</f>
        <v>#DIV/0!</v>
      </c>
      <c r="I115" s="63" t="n">
        <f aca="false">G115*'Itens de Contrato'!F115</f>
        <v>0</v>
      </c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</row>
    <row r="116" customFormat="false" ht="12.8" hidden="false" customHeight="false" outlineLevel="0" collapsed="false">
      <c r="A116" s="37" t="n">
        <f aca="false">'Itens de Contrato'!A116</f>
        <v>0</v>
      </c>
      <c r="B116" s="37" t="n">
        <f aca="false">'Itens de Contrato'!B116</f>
        <v>0</v>
      </c>
      <c r="C116" s="29" t="e">
        <f aca="false">VLOOKUP(B116,'Itens de Contrato'!B$5:G$151,2,0)</f>
        <v>#N/A</v>
      </c>
      <c r="D116" s="62" t="e">
        <f aca="false">VLOOKUP(B116,'Itens de Contrato'!B$5:G$151,4)</f>
        <v>#N/A</v>
      </c>
      <c r="E116" s="63" t="e">
        <f aca="false">D116*'Itens de Contrato'!F116</f>
        <v>#N/A</v>
      </c>
      <c r="F116" s="62" t="e">
        <f aca="false">D116-G116</f>
        <v>#N/A</v>
      </c>
      <c r="G116" s="62" t="n">
        <f aca="false">SUM('Medição 01'!G116,'Medição 02'!G116,'Medição 03'!G116,'Medição 04'!G116,'Medição 05'!G116,'Medição 06'!G116,'Medição 07'!G116,'Medição 08'!G116,'Medição 09'!G116,'Medição 10'!G116,'Medição 11'!G116,'Medição 12'!G116)</f>
        <v>0</v>
      </c>
      <c r="H116" s="64" t="e">
        <f aca="false">G116/D116</f>
        <v>#DIV/0!</v>
      </c>
      <c r="I116" s="63" t="n">
        <f aca="false">G116*'Itens de Contrato'!F116</f>
        <v>0</v>
      </c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</row>
    <row r="117" customFormat="false" ht="12.8" hidden="false" customHeight="false" outlineLevel="0" collapsed="false">
      <c r="A117" s="37" t="n">
        <f aca="false">'Itens de Contrato'!A117</f>
        <v>0</v>
      </c>
      <c r="B117" s="37" t="n">
        <f aca="false">'Itens de Contrato'!B117</f>
        <v>0</v>
      </c>
      <c r="C117" s="29" t="e">
        <f aca="false">VLOOKUP(B117,'Itens de Contrato'!B$5:G$151,2,0)</f>
        <v>#N/A</v>
      </c>
      <c r="D117" s="62" t="e">
        <f aca="false">VLOOKUP(B117,'Itens de Contrato'!B$5:G$151,4)</f>
        <v>#N/A</v>
      </c>
      <c r="E117" s="63" t="e">
        <f aca="false">D117*'Itens de Contrato'!F117</f>
        <v>#N/A</v>
      </c>
      <c r="F117" s="62" t="e">
        <f aca="false">D117-G117</f>
        <v>#N/A</v>
      </c>
      <c r="G117" s="62" t="n">
        <f aca="false">SUM('Medição 01'!G117,'Medição 02'!G117,'Medição 03'!G117,'Medição 04'!G117,'Medição 05'!G117,'Medição 06'!G117,'Medição 07'!G117,'Medição 08'!G117,'Medição 09'!G117,'Medição 10'!G117,'Medição 11'!G117,'Medição 12'!G117)</f>
        <v>0</v>
      </c>
      <c r="H117" s="64" t="e">
        <f aca="false">G117/D117</f>
        <v>#DIV/0!</v>
      </c>
      <c r="I117" s="63" t="n">
        <f aca="false">G117*'Itens de Contrato'!F117</f>
        <v>0</v>
      </c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</row>
    <row r="118" customFormat="false" ht="12.8" hidden="false" customHeight="false" outlineLevel="0" collapsed="false">
      <c r="A118" s="37" t="n">
        <f aca="false">'Itens de Contrato'!A118</f>
        <v>0</v>
      </c>
      <c r="B118" s="37" t="n">
        <f aca="false">'Itens de Contrato'!B118</f>
        <v>0</v>
      </c>
      <c r="C118" s="29" t="e">
        <f aca="false">VLOOKUP(B118,'Itens de Contrato'!B$5:G$151,2,0)</f>
        <v>#N/A</v>
      </c>
      <c r="D118" s="62" t="e">
        <f aca="false">VLOOKUP(B118,'Itens de Contrato'!B$5:G$151,4)</f>
        <v>#N/A</v>
      </c>
      <c r="E118" s="63" t="e">
        <f aca="false">D118*'Itens de Contrato'!F118</f>
        <v>#N/A</v>
      </c>
      <c r="F118" s="62" t="e">
        <f aca="false">D118-G118</f>
        <v>#N/A</v>
      </c>
      <c r="G118" s="62" t="n">
        <f aca="false">SUM('Medição 01'!G118,'Medição 02'!G118,'Medição 03'!G118,'Medição 04'!G118,'Medição 05'!G118,'Medição 06'!G118,'Medição 07'!G118,'Medição 08'!G118,'Medição 09'!G118,'Medição 10'!G118,'Medição 11'!G118,'Medição 12'!G118)</f>
        <v>0</v>
      </c>
      <c r="H118" s="64" t="e">
        <f aca="false">G118/D118</f>
        <v>#DIV/0!</v>
      </c>
      <c r="I118" s="63" t="n">
        <f aca="false">G118*'Itens de Contrato'!F118</f>
        <v>0</v>
      </c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</row>
    <row r="119" customFormat="false" ht="12.8" hidden="false" customHeight="false" outlineLevel="0" collapsed="false">
      <c r="A119" s="37" t="n">
        <f aca="false">'Itens de Contrato'!A119</f>
        <v>0</v>
      </c>
      <c r="B119" s="37" t="n">
        <f aca="false">'Itens de Contrato'!B119</f>
        <v>0</v>
      </c>
      <c r="C119" s="29" t="e">
        <f aca="false">VLOOKUP(B119,'Itens de Contrato'!B$5:G$151,2,0)</f>
        <v>#N/A</v>
      </c>
      <c r="D119" s="62" t="e">
        <f aca="false">VLOOKUP(B119,'Itens de Contrato'!B$5:G$151,4)</f>
        <v>#N/A</v>
      </c>
      <c r="E119" s="63" t="e">
        <f aca="false">D119*'Itens de Contrato'!F119</f>
        <v>#N/A</v>
      </c>
      <c r="F119" s="62" t="e">
        <f aca="false">D119-G119</f>
        <v>#N/A</v>
      </c>
      <c r="G119" s="62" t="n">
        <f aca="false">SUM('Medição 01'!G119,'Medição 02'!G119,'Medição 03'!G119,'Medição 04'!G119,'Medição 05'!G119,'Medição 06'!G119,'Medição 07'!G119,'Medição 08'!G119,'Medição 09'!G119,'Medição 10'!G119,'Medição 11'!G119,'Medição 12'!G119)</f>
        <v>0</v>
      </c>
      <c r="H119" s="64" t="e">
        <f aca="false">G119/D119</f>
        <v>#DIV/0!</v>
      </c>
      <c r="I119" s="63" t="n">
        <f aca="false">G119*'Itens de Contrato'!F119</f>
        <v>0</v>
      </c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</row>
    <row r="120" customFormat="false" ht="12.8" hidden="false" customHeight="false" outlineLevel="0" collapsed="false">
      <c r="A120" s="37" t="n">
        <f aca="false">'Itens de Contrato'!A120</f>
        <v>0</v>
      </c>
      <c r="B120" s="37" t="n">
        <f aca="false">'Itens de Contrato'!B120</f>
        <v>0</v>
      </c>
      <c r="C120" s="29" t="e">
        <f aca="false">VLOOKUP(B120,'Itens de Contrato'!B$5:G$151,2,0)</f>
        <v>#N/A</v>
      </c>
      <c r="D120" s="62" t="e">
        <f aca="false">VLOOKUP(B120,'Itens de Contrato'!B$5:G$151,4)</f>
        <v>#N/A</v>
      </c>
      <c r="E120" s="63" t="e">
        <f aca="false">D120*'Itens de Contrato'!F120</f>
        <v>#N/A</v>
      </c>
      <c r="F120" s="62" t="e">
        <f aca="false">D120-G120</f>
        <v>#N/A</v>
      </c>
      <c r="G120" s="62" t="n">
        <f aca="false">SUM('Medição 01'!G120,'Medição 02'!G120,'Medição 03'!G120,'Medição 04'!G120,'Medição 05'!G120,'Medição 06'!G120,'Medição 07'!G120,'Medição 08'!G120,'Medição 09'!G120,'Medição 10'!G120,'Medição 11'!G120,'Medição 12'!G120)</f>
        <v>0</v>
      </c>
      <c r="H120" s="64" t="e">
        <f aca="false">G120/D120</f>
        <v>#DIV/0!</v>
      </c>
      <c r="I120" s="63" t="n">
        <f aca="false">G120*'Itens de Contrato'!F120</f>
        <v>0</v>
      </c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</row>
    <row r="121" customFormat="false" ht="12.8" hidden="false" customHeight="false" outlineLevel="0" collapsed="false">
      <c r="A121" s="37" t="n">
        <f aca="false">'Itens de Contrato'!A121</f>
        <v>0</v>
      </c>
      <c r="B121" s="37" t="n">
        <f aca="false">'Itens de Contrato'!B121</f>
        <v>0</v>
      </c>
      <c r="C121" s="29" t="e">
        <f aca="false">VLOOKUP(B121,'Itens de Contrato'!B$5:G$151,2,0)</f>
        <v>#N/A</v>
      </c>
      <c r="D121" s="62" t="e">
        <f aca="false">VLOOKUP(B121,'Itens de Contrato'!B$5:G$151,4)</f>
        <v>#N/A</v>
      </c>
      <c r="E121" s="63" t="e">
        <f aca="false">D121*'Itens de Contrato'!F121</f>
        <v>#N/A</v>
      </c>
      <c r="F121" s="62" t="e">
        <f aca="false">D121-G121</f>
        <v>#N/A</v>
      </c>
      <c r="G121" s="62" t="n">
        <f aca="false">SUM('Medição 01'!G121,'Medição 02'!G121,'Medição 03'!G121,'Medição 04'!G121,'Medição 05'!G121,'Medição 06'!G121,'Medição 07'!G121,'Medição 08'!G121,'Medição 09'!G121,'Medição 10'!G121,'Medição 11'!G121,'Medição 12'!G121)</f>
        <v>0</v>
      </c>
      <c r="H121" s="64" t="e">
        <f aca="false">G121/D121</f>
        <v>#DIV/0!</v>
      </c>
      <c r="I121" s="63" t="n">
        <f aca="false">G121*'Itens de Contrato'!F121</f>
        <v>0</v>
      </c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</row>
    <row r="122" customFormat="false" ht="12.8" hidden="false" customHeight="false" outlineLevel="0" collapsed="false">
      <c r="A122" s="37" t="n">
        <f aca="false">'Itens de Contrato'!A122</f>
        <v>0</v>
      </c>
      <c r="B122" s="37" t="n">
        <f aca="false">'Itens de Contrato'!B122</f>
        <v>0</v>
      </c>
      <c r="C122" s="29" t="e">
        <f aca="false">VLOOKUP(B122,'Itens de Contrato'!B$5:G$151,2,0)</f>
        <v>#N/A</v>
      </c>
      <c r="D122" s="62" t="e">
        <f aca="false">VLOOKUP(B122,'Itens de Contrato'!B$5:G$151,4)</f>
        <v>#N/A</v>
      </c>
      <c r="E122" s="63" t="e">
        <f aca="false">D122*'Itens de Contrato'!F122</f>
        <v>#N/A</v>
      </c>
      <c r="F122" s="62" t="e">
        <f aca="false">D122-G122</f>
        <v>#N/A</v>
      </c>
      <c r="G122" s="62" t="n">
        <f aca="false">SUM('Medição 01'!G122,'Medição 02'!G122,'Medição 03'!G122,'Medição 04'!G122,'Medição 05'!G122,'Medição 06'!G122,'Medição 07'!G122,'Medição 08'!G122,'Medição 09'!G122,'Medição 10'!G122,'Medição 11'!G122,'Medição 12'!G122)</f>
        <v>0</v>
      </c>
      <c r="H122" s="64" t="e">
        <f aca="false">G122/D122</f>
        <v>#DIV/0!</v>
      </c>
      <c r="I122" s="63" t="n">
        <f aca="false">G122*'Itens de Contrato'!F122</f>
        <v>0</v>
      </c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</row>
    <row r="123" customFormat="false" ht="12.8" hidden="false" customHeight="false" outlineLevel="0" collapsed="false">
      <c r="A123" s="37" t="n">
        <f aca="false">'Itens de Contrato'!A123</f>
        <v>0</v>
      </c>
      <c r="B123" s="37" t="n">
        <f aca="false">'Itens de Contrato'!B123</f>
        <v>0</v>
      </c>
      <c r="C123" s="29" t="e">
        <f aca="false">VLOOKUP(B123,'Itens de Contrato'!B$5:G$151,2,0)</f>
        <v>#N/A</v>
      </c>
      <c r="D123" s="62" t="e">
        <f aca="false">VLOOKUP(B123,'Itens de Contrato'!B$5:G$151,4)</f>
        <v>#N/A</v>
      </c>
      <c r="E123" s="63" t="e">
        <f aca="false">D123*'Itens de Contrato'!F123</f>
        <v>#N/A</v>
      </c>
      <c r="F123" s="62" t="e">
        <f aca="false">D123-G123</f>
        <v>#N/A</v>
      </c>
      <c r="G123" s="62" t="n">
        <f aca="false">SUM('Medição 01'!G123,'Medição 02'!G123,'Medição 03'!G123,'Medição 04'!G123,'Medição 05'!G123,'Medição 06'!G123,'Medição 07'!G123,'Medição 08'!G123,'Medição 09'!G123,'Medição 10'!G123,'Medição 11'!G123,'Medição 12'!G123)</f>
        <v>0</v>
      </c>
      <c r="H123" s="64" t="e">
        <f aca="false">G123/D123</f>
        <v>#DIV/0!</v>
      </c>
      <c r="I123" s="63" t="n">
        <f aca="false">G123*'Itens de Contrato'!F123</f>
        <v>0</v>
      </c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</row>
    <row r="124" customFormat="false" ht="12.8" hidden="false" customHeight="false" outlineLevel="0" collapsed="false">
      <c r="A124" s="37" t="n">
        <f aca="false">'Itens de Contrato'!A124</f>
        <v>0</v>
      </c>
      <c r="B124" s="37" t="n">
        <f aca="false">'Itens de Contrato'!B124</f>
        <v>0</v>
      </c>
      <c r="C124" s="29" t="e">
        <f aca="false">VLOOKUP(B124,'Itens de Contrato'!B$5:G$151,2,0)</f>
        <v>#N/A</v>
      </c>
      <c r="D124" s="62" t="e">
        <f aca="false">VLOOKUP(B124,'Itens de Contrato'!B$5:G$151,4)</f>
        <v>#N/A</v>
      </c>
      <c r="E124" s="63" t="e">
        <f aca="false">D124*'Itens de Contrato'!F124</f>
        <v>#N/A</v>
      </c>
      <c r="F124" s="62" t="e">
        <f aca="false">D124-G124</f>
        <v>#N/A</v>
      </c>
      <c r="G124" s="62" t="n">
        <f aca="false">SUM('Medição 01'!G124,'Medição 02'!G124,'Medição 03'!G124,'Medição 04'!G124,'Medição 05'!G124,'Medição 06'!G124,'Medição 07'!G124,'Medição 08'!G124,'Medição 09'!G124,'Medição 10'!G124,'Medição 11'!G124,'Medição 12'!G124)</f>
        <v>0</v>
      </c>
      <c r="H124" s="64" t="e">
        <f aca="false">G124/D124</f>
        <v>#DIV/0!</v>
      </c>
      <c r="I124" s="63" t="n">
        <f aca="false">G124*'Itens de Contrato'!F124</f>
        <v>0</v>
      </c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</row>
    <row r="125" customFormat="false" ht="12.8" hidden="false" customHeight="false" outlineLevel="0" collapsed="false">
      <c r="A125" s="37" t="n">
        <f aca="false">'Itens de Contrato'!A125</f>
        <v>0</v>
      </c>
      <c r="B125" s="37" t="n">
        <f aca="false">'Itens de Contrato'!B125</f>
        <v>0</v>
      </c>
      <c r="C125" s="29" t="e">
        <f aca="false">VLOOKUP(B125,'Itens de Contrato'!B$5:G$151,2,0)</f>
        <v>#N/A</v>
      </c>
      <c r="D125" s="62" t="e">
        <f aca="false">VLOOKUP(B125,'Itens de Contrato'!B$5:G$151,4)</f>
        <v>#N/A</v>
      </c>
      <c r="E125" s="63" t="e">
        <f aca="false">D125*'Itens de Contrato'!F125</f>
        <v>#N/A</v>
      </c>
      <c r="F125" s="62" t="e">
        <f aca="false">D125-G125</f>
        <v>#N/A</v>
      </c>
      <c r="G125" s="62" t="n">
        <f aca="false">SUM('Medição 01'!G125,'Medição 02'!G125,'Medição 03'!G125,'Medição 04'!G125,'Medição 05'!G125,'Medição 06'!G125,'Medição 07'!G125,'Medição 08'!G125,'Medição 09'!G125,'Medição 10'!G125,'Medição 11'!G125,'Medição 12'!G125)</f>
        <v>0</v>
      </c>
      <c r="H125" s="64" t="e">
        <f aca="false">G125/D125</f>
        <v>#DIV/0!</v>
      </c>
      <c r="I125" s="63" t="n">
        <f aca="false">G125*'Itens de Contrato'!F125</f>
        <v>0</v>
      </c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</row>
    <row r="126" customFormat="false" ht="12.8" hidden="false" customHeight="false" outlineLevel="0" collapsed="false">
      <c r="A126" s="37" t="n">
        <f aca="false">'Itens de Contrato'!A126</f>
        <v>0</v>
      </c>
      <c r="B126" s="37" t="n">
        <f aca="false">'Itens de Contrato'!B126</f>
        <v>0</v>
      </c>
      <c r="C126" s="29" t="e">
        <f aca="false">VLOOKUP(B126,'Itens de Contrato'!B$5:G$151,2,0)</f>
        <v>#N/A</v>
      </c>
      <c r="D126" s="62" t="e">
        <f aca="false">VLOOKUP(B126,'Itens de Contrato'!B$5:G$151,4)</f>
        <v>#N/A</v>
      </c>
      <c r="E126" s="63" t="e">
        <f aca="false">D126*'Itens de Contrato'!F126</f>
        <v>#N/A</v>
      </c>
      <c r="F126" s="62" t="e">
        <f aca="false">D126-G126</f>
        <v>#N/A</v>
      </c>
      <c r="G126" s="62" t="n">
        <f aca="false">SUM('Medição 01'!G126,'Medição 02'!G126,'Medição 03'!G126,'Medição 04'!G126,'Medição 05'!G126,'Medição 06'!G126,'Medição 07'!G126,'Medição 08'!G126,'Medição 09'!G126,'Medição 10'!G126,'Medição 11'!G126,'Medição 12'!G126)</f>
        <v>0</v>
      </c>
      <c r="H126" s="64" t="e">
        <f aca="false">G126/D126</f>
        <v>#DIV/0!</v>
      </c>
      <c r="I126" s="63" t="n">
        <f aca="false">G126*'Itens de Contrato'!F126</f>
        <v>0</v>
      </c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</row>
    <row r="127" customFormat="false" ht="12.8" hidden="false" customHeight="false" outlineLevel="0" collapsed="false">
      <c r="A127" s="37" t="n">
        <f aca="false">'Itens de Contrato'!A127</f>
        <v>0</v>
      </c>
      <c r="B127" s="37" t="n">
        <f aca="false">'Itens de Contrato'!B127</f>
        <v>0</v>
      </c>
      <c r="C127" s="29" t="e">
        <f aca="false">VLOOKUP(B127,'Itens de Contrato'!B$5:G$151,2,0)</f>
        <v>#N/A</v>
      </c>
      <c r="D127" s="62" t="e">
        <f aca="false">VLOOKUP(B127,'Itens de Contrato'!B$5:G$151,4)</f>
        <v>#N/A</v>
      </c>
      <c r="E127" s="63" t="e">
        <f aca="false">D127*'Itens de Contrato'!F127</f>
        <v>#N/A</v>
      </c>
      <c r="F127" s="62" t="e">
        <f aca="false">D127-G127</f>
        <v>#N/A</v>
      </c>
      <c r="G127" s="62" t="n">
        <f aca="false">SUM('Medição 01'!G127,'Medição 02'!G127,'Medição 03'!G127,'Medição 04'!G127,'Medição 05'!G127,'Medição 06'!G127,'Medição 07'!G127,'Medição 08'!G127,'Medição 09'!G127,'Medição 10'!G127,'Medição 11'!G127,'Medição 12'!G127)</f>
        <v>0</v>
      </c>
      <c r="H127" s="64" t="e">
        <f aca="false">G127/D127</f>
        <v>#DIV/0!</v>
      </c>
      <c r="I127" s="63" t="n">
        <f aca="false">G127*'Itens de Contrato'!F127</f>
        <v>0</v>
      </c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</row>
    <row r="128" customFormat="false" ht="12.8" hidden="false" customHeight="false" outlineLevel="0" collapsed="false">
      <c r="A128" s="37" t="n">
        <f aca="false">'Itens de Contrato'!A128</f>
        <v>0</v>
      </c>
      <c r="B128" s="37" t="n">
        <f aca="false">'Itens de Contrato'!B128</f>
        <v>0</v>
      </c>
      <c r="C128" s="29" t="e">
        <f aca="false">VLOOKUP(B128,'Itens de Contrato'!B$5:G$151,2,0)</f>
        <v>#N/A</v>
      </c>
      <c r="D128" s="62" t="e">
        <f aca="false">VLOOKUP(B128,'Itens de Contrato'!B$5:G$151,4)</f>
        <v>#N/A</v>
      </c>
      <c r="E128" s="63" t="e">
        <f aca="false">D128*'Itens de Contrato'!F128</f>
        <v>#N/A</v>
      </c>
      <c r="F128" s="62" t="e">
        <f aca="false">D128-G128</f>
        <v>#N/A</v>
      </c>
      <c r="G128" s="62" t="n">
        <f aca="false">SUM('Medição 01'!G128,'Medição 02'!G128,'Medição 03'!G128,'Medição 04'!G128,'Medição 05'!G128,'Medição 06'!G128,'Medição 07'!G128,'Medição 08'!G128,'Medição 09'!G128,'Medição 10'!G128,'Medição 11'!G128,'Medição 12'!G128)</f>
        <v>0</v>
      </c>
      <c r="H128" s="64" t="e">
        <f aca="false">G128/D128</f>
        <v>#DIV/0!</v>
      </c>
      <c r="I128" s="63" t="n">
        <f aca="false">G128*'Itens de Contrato'!F128</f>
        <v>0</v>
      </c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</row>
    <row r="129" customFormat="false" ht="12.8" hidden="false" customHeight="false" outlineLevel="0" collapsed="false">
      <c r="A129" s="37" t="n">
        <f aca="false">'Itens de Contrato'!A129</f>
        <v>0</v>
      </c>
      <c r="B129" s="37" t="n">
        <f aca="false">'Itens de Contrato'!B129</f>
        <v>0</v>
      </c>
      <c r="C129" s="29" t="e">
        <f aca="false">VLOOKUP(B129,'Itens de Contrato'!B$5:G$151,2,0)</f>
        <v>#N/A</v>
      </c>
      <c r="D129" s="62" t="e">
        <f aca="false">VLOOKUP(B129,'Itens de Contrato'!B$5:G$151,4)</f>
        <v>#N/A</v>
      </c>
      <c r="E129" s="63" t="e">
        <f aca="false">D129*'Itens de Contrato'!F129</f>
        <v>#N/A</v>
      </c>
      <c r="F129" s="62" t="e">
        <f aca="false">D129-G129</f>
        <v>#N/A</v>
      </c>
      <c r="G129" s="62" t="n">
        <f aca="false">SUM('Medição 01'!G129,'Medição 02'!G129,'Medição 03'!G129,'Medição 04'!G129,'Medição 05'!G129,'Medição 06'!G129,'Medição 07'!G129,'Medição 08'!G129,'Medição 09'!G129,'Medição 10'!G129,'Medição 11'!G129,'Medição 12'!G129)</f>
        <v>0</v>
      </c>
      <c r="H129" s="64" t="e">
        <f aca="false">G129/D129</f>
        <v>#DIV/0!</v>
      </c>
      <c r="I129" s="63" t="n">
        <f aca="false">G129*'Itens de Contrato'!F129</f>
        <v>0</v>
      </c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</row>
    <row r="130" customFormat="false" ht="12.8" hidden="false" customHeight="false" outlineLevel="0" collapsed="false">
      <c r="A130" s="37" t="n">
        <f aca="false">'Itens de Contrato'!A130</f>
        <v>0</v>
      </c>
      <c r="B130" s="37" t="n">
        <f aca="false">'Itens de Contrato'!B130</f>
        <v>0</v>
      </c>
      <c r="C130" s="29" t="e">
        <f aca="false">VLOOKUP(B130,'Itens de Contrato'!B$5:G$151,2,0)</f>
        <v>#N/A</v>
      </c>
      <c r="D130" s="62" t="e">
        <f aca="false">VLOOKUP(B130,'Itens de Contrato'!B$5:G$151,4)</f>
        <v>#N/A</v>
      </c>
      <c r="E130" s="63" t="e">
        <f aca="false">D130*'Itens de Contrato'!F130</f>
        <v>#N/A</v>
      </c>
      <c r="F130" s="62" t="e">
        <f aca="false">D130-G130</f>
        <v>#N/A</v>
      </c>
      <c r="G130" s="62" t="n">
        <f aca="false">SUM('Medição 01'!G130,'Medição 02'!G130,'Medição 03'!G130,'Medição 04'!G130,'Medição 05'!G130,'Medição 06'!G130,'Medição 07'!G130,'Medição 08'!G130,'Medição 09'!G130,'Medição 10'!G130,'Medição 11'!G130,'Medição 12'!G130)</f>
        <v>0</v>
      </c>
      <c r="H130" s="64" t="e">
        <f aca="false">G130/D130</f>
        <v>#DIV/0!</v>
      </c>
      <c r="I130" s="63" t="n">
        <f aca="false">G130*'Itens de Contrato'!F130</f>
        <v>0</v>
      </c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</row>
    <row r="131" customFormat="false" ht="12.8" hidden="false" customHeight="false" outlineLevel="0" collapsed="false">
      <c r="A131" s="37" t="n">
        <f aca="false">'Itens de Contrato'!A131</f>
        <v>0</v>
      </c>
      <c r="B131" s="37" t="n">
        <f aca="false">'Itens de Contrato'!B131</f>
        <v>0</v>
      </c>
      <c r="C131" s="29" t="e">
        <f aca="false">VLOOKUP(B131,'Itens de Contrato'!B$5:G$151,2,0)</f>
        <v>#N/A</v>
      </c>
      <c r="D131" s="62" t="e">
        <f aca="false">VLOOKUP(B131,'Itens de Contrato'!B$5:G$151,4)</f>
        <v>#N/A</v>
      </c>
      <c r="E131" s="63" t="e">
        <f aca="false">D131*'Itens de Contrato'!F131</f>
        <v>#N/A</v>
      </c>
      <c r="F131" s="62" t="e">
        <f aca="false">D131-G131</f>
        <v>#N/A</v>
      </c>
      <c r="G131" s="62" t="n">
        <f aca="false">SUM('Medição 01'!G131,'Medição 02'!G131,'Medição 03'!G131,'Medição 04'!G131,'Medição 05'!G131,'Medição 06'!G131,'Medição 07'!G131,'Medição 08'!G131,'Medição 09'!G131,'Medição 10'!G131,'Medição 11'!G131,'Medição 12'!G131)</f>
        <v>0</v>
      </c>
      <c r="H131" s="64" t="e">
        <f aca="false">G131/D131</f>
        <v>#DIV/0!</v>
      </c>
      <c r="I131" s="63" t="n">
        <f aca="false">G131*'Itens de Contrato'!F131</f>
        <v>0</v>
      </c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</row>
    <row r="132" customFormat="false" ht="12.8" hidden="false" customHeight="false" outlineLevel="0" collapsed="false">
      <c r="A132" s="37" t="n">
        <f aca="false">'Itens de Contrato'!A132</f>
        <v>0</v>
      </c>
      <c r="B132" s="37" t="n">
        <f aca="false">'Itens de Contrato'!B132</f>
        <v>0</v>
      </c>
      <c r="C132" s="29" t="e">
        <f aca="false">VLOOKUP(B132,'Itens de Contrato'!B$5:G$151,2,0)</f>
        <v>#N/A</v>
      </c>
      <c r="D132" s="62" t="e">
        <f aca="false">VLOOKUP(B132,'Itens de Contrato'!B$5:G$151,4)</f>
        <v>#N/A</v>
      </c>
      <c r="E132" s="63" t="e">
        <f aca="false">D132*'Itens de Contrato'!F132</f>
        <v>#N/A</v>
      </c>
      <c r="F132" s="62" t="e">
        <f aca="false">D132-G132</f>
        <v>#N/A</v>
      </c>
      <c r="G132" s="62" t="n">
        <f aca="false">SUM('Medição 01'!G132,'Medição 02'!G132,'Medição 03'!G132,'Medição 04'!G132,'Medição 05'!G132,'Medição 06'!G132,'Medição 07'!G132,'Medição 08'!G132,'Medição 09'!G132,'Medição 10'!G132,'Medição 11'!G132,'Medição 12'!G132)</f>
        <v>0</v>
      </c>
      <c r="H132" s="64" t="e">
        <f aca="false">G132/D132</f>
        <v>#DIV/0!</v>
      </c>
      <c r="I132" s="63" t="n">
        <f aca="false">G132*'Itens de Contrato'!F132</f>
        <v>0</v>
      </c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</row>
    <row r="133" customFormat="false" ht="12.8" hidden="false" customHeight="false" outlineLevel="0" collapsed="false">
      <c r="A133" s="37" t="n">
        <f aca="false">'Itens de Contrato'!A133</f>
        <v>0</v>
      </c>
      <c r="B133" s="37" t="n">
        <f aca="false">'Itens de Contrato'!B133</f>
        <v>0</v>
      </c>
      <c r="C133" s="29" t="e">
        <f aca="false">VLOOKUP(B133,'Itens de Contrato'!B$5:G$151,2,0)</f>
        <v>#N/A</v>
      </c>
      <c r="D133" s="62" t="e">
        <f aca="false">VLOOKUP(B133,'Itens de Contrato'!B$5:G$151,4)</f>
        <v>#N/A</v>
      </c>
      <c r="E133" s="63" t="e">
        <f aca="false">D133*'Itens de Contrato'!F133</f>
        <v>#N/A</v>
      </c>
      <c r="F133" s="62" t="e">
        <f aca="false">D133-G133</f>
        <v>#N/A</v>
      </c>
      <c r="G133" s="62" t="n">
        <f aca="false">SUM('Medição 01'!G133,'Medição 02'!G133,'Medição 03'!G133,'Medição 04'!G133,'Medição 05'!G133,'Medição 06'!G133,'Medição 07'!G133,'Medição 08'!G133,'Medição 09'!G133,'Medição 10'!G133,'Medição 11'!G133,'Medição 12'!G133)</f>
        <v>0</v>
      </c>
      <c r="H133" s="64" t="e">
        <f aca="false">G133/D133</f>
        <v>#DIV/0!</v>
      </c>
      <c r="I133" s="63" t="n">
        <f aca="false">G133*'Itens de Contrato'!F133</f>
        <v>0</v>
      </c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</row>
    <row r="134" customFormat="false" ht="12.8" hidden="false" customHeight="false" outlineLevel="0" collapsed="false">
      <c r="A134" s="37" t="n">
        <f aca="false">'Itens de Contrato'!A134</f>
        <v>0</v>
      </c>
      <c r="B134" s="37" t="n">
        <f aca="false">'Itens de Contrato'!B134</f>
        <v>0</v>
      </c>
      <c r="C134" s="29" t="e">
        <f aca="false">VLOOKUP(B134,'Itens de Contrato'!B$5:G$151,2,0)</f>
        <v>#N/A</v>
      </c>
      <c r="D134" s="62" t="e">
        <f aca="false">VLOOKUP(B134,'Itens de Contrato'!B$5:G$151,4)</f>
        <v>#N/A</v>
      </c>
      <c r="E134" s="63" t="e">
        <f aca="false">D134*'Itens de Contrato'!F134</f>
        <v>#N/A</v>
      </c>
      <c r="F134" s="62" t="e">
        <f aca="false">D134-G134</f>
        <v>#N/A</v>
      </c>
      <c r="G134" s="62" t="n">
        <f aca="false">SUM('Medição 01'!G134,'Medição 02'!G134,'Medição 03'!G134,'Medição 04'!G134,'Medição 05'!G134,'Medição 06'!G134,'Medição 07'!G134,'Medição 08'!G134,'Medição 09'!G134,'Medição 10'!G134,'Medição 11'!G134,'Medição 12'!G134)</f>
        <v>0</v>
      </c>
      <c r="H134" s="64" t="e">
        <f aca="false">G134/D134</f>
        <v>#DIV/0!</v>
      </c>
      <c r="I134" s="63" t="n">
        <f aca="false">G134*'Itens de Contrato'!F134</f>
        <v>0</v>
      </c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</row>
    <row r="135" customFormat="false" ht="12.8" hidden="false" customHeight="false" outlineLevel="0" collapsed="false">
      <c r="A135" s="37" t="n">
        <f aca="false">'Itens de Contrato'!A135</f>
        <v>0</v>
      </c>
      <c r="B135" s="37" t="n">
        <f aca="false">'Itens de Contrato'!B135</f>
        <v>0</v>
      </c>
      <c r="C135" s="29" t="e">
        <f aca="false">VLOOKUP(B135,'Itens de Contrato'!B$5:G$151,2,0)</f>
        <v>#N/A</v>
      </c>
      <c r="D135" s="62" t="e">
        <f aca="false">VLOOKUP(B135,'Itens de Contrato'!B$5:G$151,4)</f>
        <v>#N/A</v>
      </c>
      <c r="E135" s="63" t="e">
        <f aca="false">D135*'Itens de Contrato'!F135</f>
        <v>#N/A</v>
      </c>
      <c r="F135" s="62" t="e">
        <f aca="false">D135-G135</f>
        <v>#N/A</v>
      </c>
      <c r="G135" s="62" t="n">
        <f aca="false">SUM('Medição 01'!G135,'Medição 02'!G135,'Medição 03'!G135,'Medição 04'!G135,'Medição 05'!G135,'Medição 06'!G135,'Medição 07'!G135,'Medição 08'!G135,'Medição 09'!G135,'Medição 10'!G135,'Medição 11'!G135,'Medição 12'!G135)</f>
        <v>0</v>
      </c>
      <c r="H135" s="64" t="e">
        <f aca="false">G135/D135</f>
        <v>#DIV/0!</v>
      </c>
      <c r="I135" s="63" t="n">
        <f aca="false">G135*'Itens de Contrato'!F135</f>
        <v>0</v>
      </c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</row>
    <row r="136" customFormat="false" ht="12.8" hidden="false" customHeight="false" outlineLevel="0" collapsed="false">
      <c r="A136" s="37" t="n">
        <f aca="false">'Itens de Contrato'!A136</f>
        <v>0</v>
      </c>
      <c r="B136" s="37" t="n">
        <f aca="false">'Itens de Contrato'!B136</f>
        <v>0</v>
      </c>
      <c r="C136" s="29" t="e">
        <f aca="false">VLOOKUP(B136,'Itens de Contrato'!B$5:G$151,2,0)</f>
        <v>#N/A</v>
      </c>
      <c r="D136" s="62" t="e">
        <f aca="false">VLOOKUP(B136,'Itens de Contrato'!B$5:G$151,4)</f>
        <v>#N/A</v>
      </c>
      <c r="E136" s="63" t="e">
        <f aca="false">D136*'Itens de Contrato'!F136</f>
        <v>#N/A</v>
      </c>
      <c r="F136" s="62" t="e">
        <f aca="false">D136-G136</f>
        <v>#N/A</v>
      </c>
      <c r="G136" s="62" t="n">
        <f aca="false">SUM('Medição 01'!G136,'Medição 02'!G136,'Medição 03'!G136,'Medição 04'!G136,'Medição 05'!G136,'Medição 06'!G136,'Medição 07'!G136,'Medição 08'!G136,'Medição 09'!G136,'Medição 10'!G136,'Medição 11'!G136,'Medição 12'!G136)</f>
        <v>0</v>
      </c>
      <c r="H136" s="64" t="e">
        <f aca="false">G136/D136</f>
        <v>#DIV/0!</v>
      </c>
      <c r="I136" s="63" t="n">
        <f aca="false">G136*'Itens de Contrato'!F136</f>
        <v>0</v>
      </c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</row>
    <row r="137" customFormat="false" ht="12.8" hidden="false" customHeight="false" outlineLevel="0" collapsed="false">
      <c r="A137" s="37" t="n">
        <f aca="false">'Itens de Contrato'!A137</f>
        <v>0</v>
      </c>
      <c r="B137" s="37" t="n">
        <f aca="false">'Itens de Contrato'!B137</f>
        <v>0</v>
      </c>
      <c r="C137" s="29" t="e">
        <f aca="false">VLOOKUP(B137,'Itens de Contrato'!B$5:G$151,2,0)</f>
        <v>#N/A</v>
      </c>
      <c r="D137" s="62" t="e">
        <f aca="false">VLOOKUP(B137,'Itens de Contrato'!B$5:G$151,4)</f>
        <v>#N/A</v>
      </c>
      <c r="E137" s="63" t="e">
        <f aca="false">D137*'Itens de Contrato'!F137</f>
        <v>#N/A</v>
      </c>
      <c r="F137" s="62" t="e">
        <f aca="false">D137-G137</f>
        <v>#N/A</v>
      </c>
      <c r="G137" s="62" t="n">
        <f aca="false">SUM('Medição 01'!G137,'Medição 02'!G137,'Medição 03'!G137,'Medição 04'!G137,'Medição 05'!G137,'Medição 06'!G137,'Medição 07'!G137,'Medição 08'!G137,'Medição 09'!G137,'Medição 10'!G137,'Medição 11'!G137,'Medição 12'!G137)</f>
        <v>0</v>
      </c>
      <c r="H137" s="64" t="e">
        <f aca="false">G137/D137</f>
        <v>#DIV/0!</v>
      </c>
      <c r="I137" s="63" t="n">
        <f aca="false">G137*'Itens de Contrato'!F137</f>
        <v>0</v>
      </c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</row>
    <row r="138" customFormat="false" ht="12.8" hidden="false" customHeight="false" outlineLevel="0" collapsed="false">
      <c r="A138" s="37" t="n">
        <f aca="false">'Itens de Contrato'!A138</f>
        <v>0</v>
      </c>
      <c r="B138" s="37" t="n">
        <f aca="false">'Itens de Contrato'!B138</f>
        <v>0</v>
      </c>
      <c r="C138" s="29" t="e">
        <f aca="false">VLOOKUP(B138,'Itens de Contrato'!B$5:G$151,2,0)</f>
        <v>#N/A</v>
      </c>
      <c r="D138" s="62" t="e">
        <f aca="false">VLOOKUP(B138,'Itens de Contrato'!B$5:G$151,4)</f>
        <v>#N/A</v>
      </c>
      <c r="E138" s="63" t="e">
        <f aca="false">D138*'Itens de Contrato'!F138</f>
        <v>#N/A</v>
      </c>
      <c r="F138" s="62" t="e">
        <f aca="false">D138-G138</f>
        <v>#N/A</v>
      </c>
      <c r="G138" s="62" t="n">
        <f aca="false">SUM('Medição 01'!G138,'Medição 02'!G138,'Medição 03'!G138,'Medição 04'!G138,'Medição 05'!G138,'Medição 06'!G138,'Medição 07'!G138,'Medição 08'!G138,'Medição 09'!G138,'Medição 10'!G138,'Medição 11'!G138,'Medição 12'!G138)</f>
        <v>0</v>
      </c>
      <c r="H138" s="64" t="e">
        <f aca="false">G138/D138</f>
        <v>#DIV/0!</v>
      </c>
      <c r="I138" s="63" t="n">
        <f aca="false">G138*'Itens de Contrato'!F138</f>
        <v>0</v>
      </c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</row>
    <row r="139" customFormat="false" ht="12.8" hidden="false" customHeight="false" outlineLevel="0" collapsed="false">
      <c r="A139" s="37" t="n">
        <f aca="false">'Itens de Contrato'!A139</f>
        <v>0</v>
      </c>
      <c r="B139" s="37" t="n">
        <f aca="false">'Itens de Contrato'!B139</f>
        <v>0</v>
      </c>
      <c r="C139" s="29" t="e">
        <f aca="false">VLOOKUP(B139,'Itens de Contrato'!B$5:G$151,2,0)</f>
        <v>#N/A</v>
      </c>
      <c r="D139" s="62" t="e">
        <f aca="false">VLOOKUP(B139,'Itens de Contrato'!B$5:G$151,4)</f>
        <v>#N/A</v>
      </c>
      <c r="E139" s="63" t="e">
        <f aca="false">D139*'Itens de Contrato'!F139</f>
        <v>#N/A</v>
      </c>
      <c r="F139" s="62" t="e">
        <f aca="false">D139-G139</f>
        <v>#N/A</v>
      </c>
      <c r="G139" s="62" t="n">
        <f aca="false">SUM('Medição 01'!G139,'Medição 02'!G139,'Medição 03'!G139,'Medição 04'!G139,'Medição 05'!G139,'Medição 06'!G139,'Medição 07'!G139,'Medição 08'!G139,'Medição 09'!G139,'Medição 10'!G139,'Medição 11'!G139,'Medição 12'!G139)</f>
        <v>0</v>
      </c>
      <c r="H139" s="64" t="e">
        <f aca="false">G139/D139</f>
        <v>#DIV/0!</v>
      </c>
      <c r="I139" s="63" t="n">
        <f aca="false">G139*'Itens de Contrato'!F139</f>
        <v>0</v>
      </c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</row>
    <row r="140" customFormat="false" ht="12.8" hidden="false" customHeight="false" outlineLevel="0" collapsed="false">
      <c r="A140" s="37" t="n">
        <f aca="false">'Itens de Contrato'!A140</f>
        <v>0</v>
      </c>
      <c r="B140" s="37" t="n">
        <f aca="false">'Itens de Contrato'!B140</f>
        <v>0</v>
      </c>
      <c r="C140" s="29" t="e">
        <f aca="false">VLOOKUP(B140,'Itens de Contrato'!B$5:G$151,2,0)</f>
        <v>#N/A</v>
      </c>
      <c r="D140" s="62" t="e">
        <f aca="false">VLOOKUP(B140,'Itens de Contrato'!B$5:G$151,4)</f>
        <v>#N/A</v>
      </c>
      <c r="E140" s="63" t="e">
        <f aca="false">D140*'Itens de Contrato'!F140</f>
        <v>#N/A</v>
      </c>
      <c r="F140" s="62" t="e">
        <f aca="false">D140-G140</f>
        <v>#N/A</v>
      </c>
      <c r="G140" s="62" t="n">
        <f aca="false">SUM('Medição 01'!G140,'Medição 02'!G140,'Medição 03'!G140,'Medição 04'!G140,'Medição 05'!G140,'Medição 06'!G140,'Medição 07'!G140,'Medição 08'!G140,'Medição 09'!G140,'Medição 10'!G140,'Medição 11'!G140,'Medição 12'!G140)</f>
        <v>0</v>
      </c>
      <c r="H140" s="64" t="e">
        <f aca="false">G140/D140</f>
        <v>#DIV/0!</v>
      </c>
      <c r="I140" s="63" t="n">
        <f aca="false">G140*'Itens de Contrato'!F140</f>
        <v>0</v>
      </c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</row>
    <row r="141" customFormat="false" ht="12.8" hidden="false" customHeight="false" outlineLevel="0" collapsed="false">
      <c r="A141" s="37" t="n">
        <f aca="false">'Itens de Contrato'!A141</f>
        <v>0</v>
      </c>
      <c r="B141" s="37" t="n">
        <f aca="false">'Itens de Contrato'!B141</f>
        <v>0</v>
      </c>
      <c r="C141" s="29" t="e">
        <f aca="false">VLOOKUP(B141,'Itens de Contrato'!B$5:G$151,2,0)</f>
        <v>#N/A</v>
      </c>
      <c r="D141" s="62" t="e">
        <f aca="false">VLOOKUP(B141,'Itens de Contrato'!B$5:G$151,4)</f>
        <v>#N/A</v>
      </c>
      <c r="E141" s="63" t="e">
        <f aca="false">D141*'Itens de Contrato'!F141</f>
        <v>#N/A</v>
      </c>
      <c r="F141" s="62" t="e">
        <f aca="false">D141-G141</f>
        <v>#N/A</v>
      </c>
      <c r="G141" s="62" t="n">
        <f aca="false">SUM('Medição 01'!G141,'Medição 02'!G141,'Medição 03'!G141,'Medição 04'!G141,'Medição 05'!G141,'Medição 06'!G141,'Medição 07'!G141,'Medição 08'!G141,'Medição 09'!G141,'Medição 10'!G141,'Medição 11'!G141,'Medição 12'!G141)</f>
        <v>0</v>
      </c>
      <c r="H141" s="64" t="e">
        <f aca="false">G141/D141</f>
        <v>#DIV/0!</v>
      </c>
      <c r="I141" s="63" t="n">
        <f aca="false">G141*'Itens de Contrato'!F141</f>
        <v>0</v>
      </c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</row>
    <row r="142" customFormat="false" ht="12.8" hidden="false" customHeight="false" outlineLevel="0" collapsed="false">
      <c r="A142" s="37" t="n">
        <f aca="false">'Itens de Contrato'!A142</f>
        <v>0</v>
      </c>
      <c r="B142" s="37" t="n">
        <f aca="false">'Itens de Contrato'!B142</f>
        <v>0</v>
      </c>
      <c r="C142" s="29" t="e">
        <f aca="false">VLOOKUP(B142,'Itens de Contrato'!B$5:G$151,2,0)</f>
        <v>#N/A</v>
      </c>
      <c r="D142" s="62" t="e">
        <f aca="false">VLOOKUP(B142,'Itens de Contrato'!B$5:G$151,4)</f>
        <v>#N/A</v>
      </c>
      <c r="E142" s="63" t="e">
        <f aca="false">D142*'Itens de Contrato'!F142</f>
        <v>#N/A</v>
      </c>
      <c r="F142" s="62" t="e">
        <f aca="false">D142-G142</f>
        <v>#N/A</v>
      </c>
      <c r="G142" s="62" t="n">
        <f aca="false">SUM('Medição 01'!G142,'Medição 02'!G142,'Medição 03'!G142,'Medição 04'!G142,'Medição 05'!G142,'Medição 06'!G142,'Medição 07'!G142,'Medição 08'!G142,'Medição 09'!G142,'Medição 10'!G142,'Medição 11'!G142,'Medição 12'!G142)</f>
        <v>0</v>
      </c>
      <c r="H142" s="64" t="e">
        <f aca="false">G142/D142</f>
        <v>#DIV/0!</v>
      </c>
      <c r="I142" s="63" t="n">
        <f aca="false">G142*'Itens de Contrato'!F142</f>
        <v>0</v>
      </c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</row>
    <row r="143" customFormat="false" ht="12.8" hidden="false" customHeight="false" outlineLevel="0" collapsed="false">
      <c r="A143" s="37" t="n">
        <f aca="false">'Itens de Contrato'!A143</f>
        <v>0</v>
      </c>
      <c r="B143" s="37" t="n">
        <f aca="false">'Itens de Contrato'!B143</f>
        <v>0</v>
      </c>
      <c r="C143" s="29" t="e">
        <f aca="false">VLOOKUP(B143,'Itens de Contrato'!B$5:G$151,2,0)</f>
        <v>#N/A</v>
      </c>
      <c r="D143" s="62" t="e">
        <f aca="false">VLOOKUP(B143,'Itens de Contrato'!B$5:G$151,4)</f>
        <v>#N/A</v>
      </c>
      <c r="E143" s="63" t="e">
        <f aca="false">D143*'Itens de Contrato'!F143</f>
        <v>#N/A</v>
      </c>
      <c r="F143" s="62" t="e">
        <f aca="false">D143-G143</f>
        <v>#N/A</v>
      </c>
      <c r="G143" s="62" t="n">
        <f aca="false">SUM('Medição 01'!G143,'Medição 02'!G143,'Medição 03'!G143,'Medição 04'!G143,'Medição 05'!G143,'Medição 06'!G143,'Medição 07'!G143,'Medição 08'!G143,'Medição 09'!G143,'Medição 10'!G143,'Medição 11'!G143,'Medição 12'!G143)</f>
        <v>0</v>
      </c>
      <c r="H143" s="64" t="e">
        <f aca="false">G143/D143</f>
        <v>#DIV/0!</v>
      </c>
      <c r="I143" s="63" t="n">
        <f aca="false">G143*'Itens de Contrato'!F143</f>
        <v>0</v>
      </c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</row>
    <row r="144" customFormat="false" ht="12.8" hidden="false" customHeight="false" outlineLevel="0" collapsed="false">
      <c r="A144" s="37" t="n">
        <f aca="false">'Itens de Contrato'!A144</f>
        <v>0</v>
      </c>
      <c r="B144" s="37" t="n">
        <f aca="false">'Itens de Contrato'!B144</f>
        <v>0</v>
      </c>
      <c r="C144" s="29" t="e">
        <f aca="false">VLOOKUP(B144,'Itens de Contrato'!B$5:G$151,2,0)</f>
        <v>#N/A</v>
      </c>
      <c r="D144" s="62" t="e">
        <f aca="false">VLOOKUP(B144,'Itens de Contrato'!B$5:G$151,4)</f>
        <v>#N/A</v>
      </c>
      <c r="E144" s="63" t="e">
        <f aca="false">D144*'Itens de Contrato'!F144</f>
        <v>#N/A</v>
      </c>
      <c r="F144" s="62" t="e">
        <f aca="false">D144-G144</f>
        <v>#N/A</v>
      </c>
      <c r="G144" s="62" t="n">
        <f aca="false">SUM('Medição 01'!G144,'Medição 02'!G144,'Medição 03'!G144,'Medição 04'!G144,'Medição 05'!G144,'Medição 06'!G144,'Medição 07'!G144,'Medição 08'!G144,'Medição 09'!G144,'Medição 10'!G144,'Medição 11'!G144,'Medição 12'!G144)</f>
        <v>0</v>
      </c>
      <c r="H144" s="64" t="e">
        <f aca="false">G144/D144</f>
        <v>#DIV/0!</v>
      </c>
      <c r="I144" s="63" t="n">
        <f aca="false">G144*'Itens de Contrato'!F144</f>
        <v>0</v>
      </c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</row>
    <row r="145" customFormat="false" ht="12.8" hidden="false" customHeight="false" outlineLevel="0" collapsed="false">
      <c r="A145" s="37" t="n">
        <f aca="false">'Itens de Contrato'!A145</f>
        <v>0</v>
      </c>
      <c r="B145" s="37" t="n">
        <f aca="false">'Itens de Contrato'!B145</f>
        <v>0</v>
      </c>
      <c r="C145" s="29" t="e">
        <f aca="false">VLOOKUP(B145,'Itens de Contrato'!B$5:G$151,2,0)</f>
        <v>#N/A</v>
      </c>
      <c r="D145" s="62" t="e">
        <f aca="false">VLOOKUP(B145,'Itens de Contrato'!B$5:G$151,4)</f>
        <v>#N/A</v>
      </c>
      <c r="E145" s="63" t="e">
        <f aca="false">D145*'Itens de Contrato'!F145</f>
        <v>#N/A</v>
      </c>
      <c r="F145" s="62" t="e">
        <f aca="false">D145-G145</f>
        <v>#N/A</v>
      </c>
      <c r="G145" s="62" t="n">
        <f aca="false">SUM('Medição 01'!G145,'Medição 02'!G145,'Medição 03'!G145,'Medição 04'!G145,'Medição 05'!G145,'Medição 06'!G145,'Medição 07'!G145,'Medição 08'!G145,'Medição 09'!G145,'Medição 10'!G145,'Medição 11'!G145,'Medição 12'!G145)</f>
        <v>0</v>
      </c>
      <c r="H145" s="64" t="e">
        <f aca="false">G145/D145</f>
        <v>#DIV/0!</v>
      </c>
      <c r="I145" s="63" t="n">
        <f aca="false">G145*'Itens de Contrato'!F145</f>
        <v>0</v>
      </c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</row>
    <row r="146" customFormat="false" ht="12.8" hidden="false" customHeight="false" outlineLevel="0" collapsed="false">
      <c r="A146" s="37" t="n">
        <f aca="false">'Itens de Contrato'!A146</f>
        <v>0</v>
      </c>
      <c r="B146" s="37" t="n">
        <f aca="false">'Itens de Contrato'!B146</f>
        <v>0</v>
      </c>
      <c r="C146" s="29" t="e">
        <f aca="false">VLOOKUP(B146,'Itens de Contrato'!B$5:G$151,2,0)</f>
        <v>#N/A</v>
      </c>
      <c r="D146" s="62" t="e">
        <f aca="false">VLOOKUP(B146,'Itens de Contrato'!B$5:G$151,4)</f>
        <v>#N/A</v>
      </c>
      <c r="E146" s="63" t="e">
        <f aca="false">D146*'Itens de Contrato'!F146</f>
        <v>#N/A</v>
      </c>
      <c r="F146" s="62" t="e">
        <f aca="false">D146-G146</f>
        <v>#N/A</v>
      </c>
      <c r="G146" s="62" t="n">
        <f aca="false">SUM('Medição 01'!G146,'Medição 02'!G146,'Medição 03'!G146,'Medição 04'!G146,'Medição 05'!G146,'Medição 06'!G146,'Medição 07'!G146,'Medição 08'!G146,'Medição 09'!G146,'Medição 10'!G146,'Medição 11'!G146,'Medição 12'!G146)</f>
        <v>0</v>
      </c>
      <c r="H146" s="64" t="e">
        <f aca="false">G146/D146</f>
        <v>#DIV/0!</v>
      </c>
      <c r="I146" s="63" t="n">
        <f aca="false">G146*'Itens de Contrato'!F146</f>
        <v>0</v>
      </c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</row>
    <row r="147" customFormat="false" ht="12.8" hidden="false" customHeight="false" outlineLevel="0" collapsed="false">
      <c r="A147" s="37" t="n">
        <f aca="false">'Itens de Contrato'!A147</f>
        <v>0</v>
      </c>
      <c r="B147" s="37" t="n">
        <f aca="false">'Itens de Contrato'!B147</f>
        <v>0</v>
      </c>
      <c r="C147" s="29" t="e">
        <f aca="false">VLOOKUP(B147,'Itens de Contrato'!B$5:G$151,2,0)</f>
        <v>#N/A</v>
      </c>
      <c r="D147" s="62" t="e">
        <f aca="false">VLOOKUP(B147,'Itens de Contrato'!B$5:G$151,4)</f>
        <v>#N/A</v>
      </c>
      <c r="E147" s="63" t="e">
        <f aca="false">D147*'Itens de Contrato'!F147</f>
        <v>#N/A</v>
      </c>
      <c r="F147" s="62" t="e">
        <f aca="false">D147-G147</f>
        <v>#N/A</v>
      </c>
      <c r="G147" s="62" t="n">
        <f aca="false">SUM('Medição 01'!G147,'Medição 02'!G147,'Medição 03'!G147,'Medição 04'!G147,'Medição 05'!G147,'Medição 06'!G147,'Medição 07'!G147,'Medição 08'!G147,'Medição 09'!G147,'Medição 10'!G147,'Medição 11'!G147,'Medição 12'!G147)</f>
        <v>0</v>
      </c>
      <c r="H147" s="64" t="e">
        <f aca="false">G147/D147</f>
        <v>#DIV/0!</v>
      </c>
      <c r="I147" s="63" t="n">
        <f aca="false">G147*'Itens de Contrato'!F147</f>
        <v>0</v>
      </c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</row>
    <row r="148" customFormat="false" ht="12.8" hidden="false" customHeight="false" outlineLevel="0" collapsed="false">
      <c r="A148" s="37" t="n">
        <f aca="false">'Itens de Contrato'!A148</f>
        <v>0</v>
      </c>
      <c r="B148" s="37" t="n">
        <f aca="false">'Itens de Contrato'!B148</f>
        <v>0</v>
      </c>
      <c r="C148" s="29" t="e">
        <f aca="false">VLOOKUP(B148,'Itens de Contrato'!B$5:G$151,2,0)</f>
        <v>#N/A</v>
      </c>
      <c r="D148" s="62" t="e">
        <f aca="false">VLOOKUP(B148,'Itens de Contrato'!B$5:G$151,4)</f>
        <v>#N/A</v>
      </c>
      <c r="E148" s="63" t="e">
        <f aca="false">D148*'Itens de Contrato'!F148</f>
        <v>#N/A</v>
      </c>
      <c r="F148" s="62" t="e">
        <f aca="false">D148-G148</f>
        <v>#N/A</v>
      </c>
      <c r="G148" s="62" t="n">
        <f aca="false">SUM('Medição 01'!G148,'Medição 02'!G148,'Medição 03'!G148,'Medição 04'!G148,'Medição 05'!G148,'Medição 06'!G148,'Medição 07'!G148,'Medição 08'!G148,'Medição 09'!G148,'Medição 10'!G148,'Medição 11'!G148,'Medição 12'!G148)</f>
        <v>0</v>
      </c>
      <c r="H148" s="64" t="e">
        <f aca="false">G148/D148</f>
        <v>#DIV/0!</v>
      </c>
      <c r="I148" s="63" t="n">
        <f aca="false">G148*'Itens de Contrato'!F148</f>
        <v>0</v>
      </c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</row>
    <row r="149" customFormat="false" ht="12.8" hidden="false" customHeight="false" outlineLevel="0" collapsed="false">
      <c r="A149" s="37" t="n">
        <f aca="false">'Itens de Contrato'!A149</f>
        <v>0</v>
      </c>
      <c r="B149" s="37" t="n">
        <f aca="false">'Itens de Contrato'!B149</f>
        <v>0</v>
      </c>
      <c r="C149" s="29" t="e">
        <f aca="false">VLOOKUP(B149,'Itens de Contrato'!B$5:G$151,2,0)</f>
        <v>#N/A</v>
      </c>
      <c r="D149" s="62" t="e">
        <f aca="false">VLOOKUP(B149,'Itens de Contrato'!B$5:G$151,4)</f>
        <v>#N/A</v>
      </c>
      <c r="E149" s="63" t="e">
        <f aca="false">D149*'Itens de Contrato'!F149</f>
        <v>#N/A</v>
      </c>
      <c r="F149" s="62" t="e">
        <f aca="false">D149-G149</f>
        <v>#N/A</v>
      </c>
      <c r="G149" s="62" t="n">
        <f aca="false">SUM('Medição 01'!G149,'Medição 02'!G149,'Medição 03'!G149,'Medição 04'!G149,'Medição 05'!G149,'Medição 06'!G149,'Medição 07'!G149,'Medição 08'!G149,'Medição 09'!G149,'Medição 10'!G149,'Medição 11'!G149,'Medição 12'!G149)</f>
        <v>0</v>
      </c>
      <c r="H149" s="64" t="e">
        <f aca="false">G149/D149</f>
        <v>#DIV/0!</v>
      </c>
      <c r="I149" s="63" t="n">
        <f aca="false">G149*'Itens de Contrato'!F149</f>
        <v>0</v>
      </c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</row>
    <row r="150" customFormat="false" ht="12.8" hidden="false" customHeight="false" outlineLevel="0" collapsed="false">
      <c r="A150" s="37" t="n">
        <f aca="false">'Itens de Contrato'!A150</f>
        <v>0</v>
      </c>
      <c r="B150" s="37" t="n">
        <f aca="false">'Itens de Contrato'!B150</f>
        <v>0</v>
      </c>
      <c r="C150" s="29" t="e">
        <f aca="false">VLOOKUP(B150,'Itens de Contrato'!B$5:G$151,2,0)</f>
        <v>#N/A</v>
      </c>
      <c r="D150" s="62" t="e">
        <f aca="false">VLOOKUP(B150,'Itens de Contrato'!B$5:G$151,4)</f>
        <v>#N/A</v>
      </c>
      <c r="E150" s="63" t="e">
        <f aca="false">D150*'Itens de Contrato'!F150</f>
        <v>#N/A</v>
      </c>
      <c r="F150" s="62" t="e">
        <f aca="false">D150-G150</f>
        <v>#N/A</v>
      </c>
      <c r="G150" s="62" t="n">
        <f aca="false">SUM('Medição 01'!G150,'Medição 02'!G150,'Medição 03'!G150,'Medição 04'!G150,'Medição 05'!G150,'Medição 06'!G150,'Medição 07'!G150,'Medição 08'!G150,'Medição 09'!G150,'Medição 10'!G150,'Medição 11'!G150,'Medição 12'!G150)</f>
        <v>0</v>
      </c>
      <c r="H150" s="64" t="e">
        <f aca="false">G150/D150</f>
        <v>#DIV/0!</v>
      </c>
      <c r="I150" s="63" t="n">
        <f aca="false">G150*'Itens de Contrato'!F150</f>
        <v>0</v>
      </c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</row>
    <row r="151" customFormat="false" ht="12.8" hidden="false" customHeight="false" outlineLevel="0" collapsed="false">
      <c r="A151" s="37" t="n">
        <f aca="false">'Itens de Contrato'!A151</f>
        <v>0</v>
      </c>
      <c r="B151" s="37" t="n">
        <f aca="false">'Itens de Contrato'!B151</f>
        <v>0</v>
      </c>
      <c r="C151" s="29" t="e">
        <f aca="false">VLOOKUP(B151,'Itens de Contrato'!B$5:G$151,2,0)</f>
        <v>#N/A</v>
      </c>
      <c r="D151" s="62" t="e">
        <f aca="false">VLOOKUP(B151,'Itens de Contrato'!B$5:G$151,4)</f>
        <v>#N/A</v>
      </c>
      <c r="E151" s="63" t="e">
        <f aca="false">D151*'Itens de Contrato'!F151</f>
        <v>#N/A</v>
      </c>
      <c r="F151" s="62" t="e">
        <f aca="false">D151-G151</f>
        <v>#N/A</v>
      </c>
      <c r="G151" s="62" t="n">
        <f aca="false">SUM('Medição 01'!G151,'Medição 02'!G151,'Medição 03'!G151,'Medição 04'!G151,'Medição 05'!G151,'Medição 06'!G151,'Medição 07'!G151,'Medição 08'!G151,'Medição 09'!G151,'Medição 10'!G151,'Medição 11'!G151,'Medição 12'!G151)</f>
        <v>0</v>
      </c>
      <c r="H151" s="64" t="e">
        <f aca="false">G151/D151</f>
        <v>#DIV/0!</v>
      </c>
      <c r="I151" s="63" t="n">
        <f aca="false">G151*'Itens de Contrato'!F151</f>
        <v>0</v>
      </c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</row>
    <row r="152" customFormat="false" ht="12.75" hidden="false" customHeight="false" outlineLevel="0" collapsed="false"/>
    <row r="153" customFormat="false" ht="12.75" hidden="false" customHeight="false" outlineLevel="0" collapsed="false"/>
    <row r="154" customFormat="false" ht="12.75" hidden="false" customHeight="false" outlineLevel="0" collapsed="false"/>
    <row r="155" customFormat="false" ht="12.75" hidden="false" customHeight="false" outlineLevel="0" collapsed="false"/>
    <row r="156" customFormat="false" ht="12.75" hidden="false" customHeight="false" outlineLevel="0" collapsed="false"/>
    <row r="157" customFormat="false" ht="12.75" hidden="false" customHeight="false" outlineLevel="0" collapsed="false"/>
    <row r="158" customFormat="false" ht="12.75" hidden="false" customHeight="false" outlineLevel="0" collapsed="false"/>
    <row r="159" customFormat="false" ht="12.75" hidden="false" customHeight="false" outlineLevel="0" collapsed="false"/>
    <row r="160" customFormat="false" ht="12.75" hidden="false" customHeight="false" outlineLevel="0" collapsed="false"/>
    <row r="161" customFormat="false" ht="12.75" hidden="false" customHeight="false" outlineLevel="0" collapsed="false"/>
    <row r="162" customFormat="false" ht="12.75" hidden="false" customHeight="false" outlineLevel="0" collapsed="false"/>
    <row r="163" customFormat="false" ht="12.75" hidden="false" customHeight="false" outlineLevel="0" collapsed="false"/>
    <row r="164" customFormat="false" ht="12.75" hidden="false" customHeight="false" outlineLevel="0" collapsed="false"/>
    <row r="165" customFormat="false" ht="12.75" hidden="false" customHeight="false" outlineLevel="0" collapsed="false"/>
    <row r="166" customFormat="false" ht="12.75" hidden="false" customHeight="false" outlineLevel="0" collapsed="false"/>
    <row r="167" customFormat="false" ht="12.75" hidden="false" customHeight="false" outlineLevel="0" collapsed="false"/>
    <row r="168" customFormat="false" ht="12.75" hidden="false" customHeight="false" outlineLevel="0" collapsed="false"/>
    <row r="169" customFormat="false" ht="12.75" hidden="false" customHeight="false" outlineLevel="0" collapsed="false"/>
    <row r="170" customFormat="false" ht="12.75" hidden="false" customHeight="false" outlineLevel="0" collapsed="false"/>
    <row r="171" customFormat="false" ht="12.75" hidden="false" customHeight="false" outlineLevel="0" collapsed="false"/>
    <row r="172" customFormat="false" ht="12.75" hidden="false" customHeight="false" outlineLevel="0" collapsed="false"/>
    <row r="173" customFormat="false" ht="12.75" hidden="false" customHeight="false" outlineLevel="0" collapsed="false"/>
    <row r="174" customFormat="false" ht="12.75" hidden="false" customHeight="false" outlineLevel="0" collapsed="false"/>
    <row r="175" customFormat="false" ht="12.75" hidden="false" customHeight="false" outlineLevel="0" collapsed="false"/>
    <row r="176" customFormat="false" ht="12.75" hidden="false" customHeight="false" outlineLevel="0" collapsed="false"/>
    <row r="177" customFormat="false" ht="12.75" hidden="false" customHeight="false" outlineLevel="0" collapsed="false"/>
    <row r="178" customFormat="false" ht="12.75" hidden="false" customHeight="false" outlineLevel="0" collapsed="false"/>
    <row r="179" customFormat="false" ht="12.75" hidden="false" customHeight="false" outlineLevel="0" collapsed="false"/>
    <row r="180" customFormat="false" ht="12.75" hidden="false" customHeight="false" outlineLevel="0" collapsed="false"/>
    <row r="181" customFormat="false" ht="12.75" hidden="false" customHeight="false" outlineLevel="0" collapsed="false"/>
    <row r="182" customFormat="false" ht="12.75" hidden="false" customHeight="false" outlineLevel="0" collapsed="false"/>
    <row r="183" customFormat="false" ht="12.75" hidden="false" customHeight="false" outlineLevel="0" collapsed="false"/>
    <row r="184" customFormat="false" ht="12.75" hidden="false" customHeight="false" outlineLevel="0" collapsed="false"/>
    <row r="185" customFormat="false" ht="12.75" hidden="false" customHeight="false" outlineLevel="0" collapsed="false"/>
    <row r="186" customFormat="false" ht="12.75" hidden="false" customHeight="false" outlineLevel="0" collapsed="false"/>
    <row r="187" customFormat="false" ht="12.75" hidden="false" customHeight="false" outlineLevel="0" collapsed="false"/>
    <row r="188" customFormat="false" ht="12.75" hidden="false" customHeight="false" outlineLevel="0" collapsed="false"/>
    <row r="189" customFormat="false" ht="12.75" hidden="false" customHeight="false" outlineLevel="0" collapsed="false"/>
    <row r="190" customFormat="false" ht="12.75" hidden="false" customHeight="false" outlineLevel="0" collapsed="false"/>
    <row r="191" customFormat="false" ht="12.75" hidden="false" customHeight="false" outlineLevel="0" collapsed="false"/>
    <row r="192" customFormat="false" ht="12.75" hidden="false" customHeight="false" outlineLevel="0" collapsed="false"/>
    <row r="193" customFormat="false" ht="12.75" hidden="false" customHeight="false" outlineLevel="0" collapsed="false"/>
    <row r="194" customFormat="false" ht="12.75" hidden="false" customHeight="false" outlineLevel="0" collapsed="false"/>
    <row r="195" customFormat="false" ht="12.75" hidden="false" customHeight="false" outlineLevel="0" collapsed="false"/>
    <row r="196" customFormat="false" ht="12.75" hidden="false" customHeight="false" outlineLevel="0" collapsed="false"/>
    <row r="197" customFormat="false" ht="12.75" hidden="false" customHeight="false" outlineLevel="0" collapsed="false"/>
    <row r="198" customFormat="false" ht="12.75" hidden="false" customHeight="false" outlineLevel="0" collapsed="false"/>
    <row r="199" customFormat="false" ht="12.75" hidden="false" customHeight="false" outlineLevel="0" collapsed="false"/>
    <row r="200" customFormat="false" ht="12.75" hidden="false" customHeight="false" outlineLevel="0" collapsed="false"/>
    <row r="201" customFormat="false" ht="12.75" hidden="false" customHeight="false" outlineLevel="0" collapsed="false"/>
    <row r="202" customFormat="false" ht="12.75" hidden="false" customHeight="false" outlineLevel="0" collapsed="false"/>
    <row r="203" customFormat="false" ht="12.75" hidden="false" customHeight="false" outlineLevel="0" collapsed="false"/>
    <row r="204" customFormat="false" ht="12.75" hidden="false" customHeight="false" outlineLevel="0" collapsed="false"/>
    <row r="205" customFormat="false" ht="12.75" hidden="false" customHeight="false" outlineLevel="0" collapsed="false"/>
    <row r="206" customFormat="false" ht="12.75" hidden="false" customHeight="false" outlineLevel="0" collapsed="false"/>
    <row r="207" customFormat="false" ht="12.75" hidden="false" customHeight="false" outlineLevel="0" collapsed="false"/>
    <row r="208" customFormat="false" ht="12.75" hidden="false" customHeight="false" outlineLevel="0" collapsed="false"/>
    <row r="209" customFormat="false" ht="12.75" hidden="false" customHeight="false" outlineLevel="0" collapsed="false"/>
    <row r="210" customFormat="false" ht="12.75" hidden="false" customHeight="false" outlineLevel="0" collapsed="false"/>
    <row r="211" customFormat="false" ht="12.75" hidden="false" customHeight="false" outlineLevel="0" collapsed="false"/>
    <row r="212" customFormat="false" ht="12.75" hidden="false" customHeight="false" outlineLevel="0" collapsed="false"/>
    <row r="213" customFormat="false" ht="12.75" hidden="false" customHeight="false" outlineLevel="0" collapsed="false"/>
    <row r="214" customFormat="false" ht="12.75" hidden="false" customHeight="false" outlineLevel="0" collapsed="false"/>
    <row r="215" customFormat="false" ht="12.75" hidden="false" customHeight="false" outlineLevel="0" collapsed="false"/>
    <row r="216" customFormat="false" ht="12.75" hidden="false" customHeight="false" outlineLevel="0" collapsed="false"/>
    <row r="217" customFormat="false" ht="12.75" hidden="false" customHeight="false" outlineLevel="0" collapsed="false"/>
    <row r="218" customFormat="false" ht="12.75" hidden="false" customHeight="false" outlineLevel="0" collapsed="false"/>
    <row r="219" customFormat="false" ht="12.75" hidden="false" customHeight="false" outlineLevel="0" collapsed="false"/>
    <row r="220" customFormat="false" ht="12.75" hidden="false" customHeight="false" outlineLevel="0" collapsed="false"/>
    <row r="221" customFormat="false" ht="12.75" hidden="false" customHeight="false" outlineLevel="0" collapsed="false"/>
    <row r="222" customFormat="false" ht="12.75" hidden="false" customHeight="false" outlineLevel="0" collapsed="false"/>
    <row r="223" customFormat="false" ht="12.75" hidden="false" customHeight="false" outlineLevel="0" collapsed="false"/>
    <row r="224" customFormat="false" ht="12.75" hidden="false" customHeight="false" outlineLevel="0" collapsed="false"/>
    <row r="225" customFormat="false" ht="12.75" hidden="false" customHeight="false" outlineLevel="0" collapsed="false"/>
    <row r="226" customFormat="false" ht="12.75" hidden="false" customHeight="false" outlineLevel="0" collapsed="false"/>
    <row r="227" customFormat="false" ht="12.75" hidden="false" customHeight="false" outlineLevel="0" collapsed="false"/>
    <row r="228" customFormat="false" ht="12.75" hidden="false" customHeight="false" outlineLevel="0" collapsed="false"/>
    <row r="229" customFormat="false" ht="12.75" hidden="false" customHeight="false" outlineLevel="0" collapsed="false"/>
    <row r="230" customFormat="false" ht="12.75" hidden="false" customHeight="false" outlineLevel="0" collapsed="false"/>
    <row r="231" customFormat="false" ht="12.75" hidden="false" customHeight="false" outlineLevel="0" collapsed="false"/>
    <row r="232" customFormat="false" ht="12.75" hidden="false" customHeight="false" outlineLevel="0" collapsed="false"/>
    <row r="233" customFormat="false" ht="12.75" hidden="false" customHeight="false" outlineLevel="0" collapsed="false"/>
    <row r="234" customFormat="false" ht="12.75" hidden="false" customHeight="false" outlineLevel="0" collapsed="false"/>
    <row r="235" customFormat="false" ht="12.75" hidden="false" customHeight="false" outlineLevel="0" collapsed="false"/>
    <row r="236" customFormat="false" ht="12.75" hidden="false" customHeight="false" outlineLevel="0" collapsed="false"/>
    <row r="237" customFormat="false" ht="12.75" hidden="false" customHeight="false" outlineLevel="0" collapsed="false"/>
    <row r="238" customFormat="false" ht="12.75" hidden="false" customHeight="false" outlineLevel="0" collapsed="false"/>
    <row r="239" customFormat="false" ht="12.75" hidden="false" customHeight="false" outlineLevel="0" collapsed="false"/>
    <row r="240" customFormat="false" ht="12.75" hidden="false" customHeight="false" outlineLevel="0" collapsed="false"/>
    <row r="241" customFormat="false" ht="12.75" hidden="false" customHeight="false" outlineLevel="0" collapsed="false"/>
    <row r="242" customFormat="false" ht="12.75" hidden="false" customHeight="false" outlineLevel="0" collapsed="false"/>
    <row r="243" customFormat="false" ht="12.75" hidden="false" customHeight="false" outlineLevel="0" collapsed="false"/>
    <row r="244" customFormat="false" ht="12.75" hidden="false" customHeight="false" outlineLevel="0" collapsed="false"/>
    <row r="245" customFormat="false" ht="12.75" hidden="false" customHeight="false" outlineLevel="0" collapsed="false"/>
    <row r="246" customFormat="false" ht="12.75" hidden="false" customHeight="false" outlineLevel="0" collapsed="false"/>
    <row r="247" customFormat="false" ht="12.75" hidden="false" customHeight="false" outlineLevel="0" collapsed="false"/>
    <row r="248" customFormat="false" ht="12.75" hidden="false" customHeight="false" outlineLevel="0" collapsed="false"/>
    <row r="249" customFormat="false" ht="12.75" hidden="false" customHeight="false" outlineLevel="0" collapsed="false"/>
    <row r="250" customFormat="false" ht="12.75" hidden="false" customHeight="false" outlineLevel="0" collapsed="false"/>
    <row r="251" customFormat="false" ht="12.75" hidden="false" customHeight="false" outlineLevel="0" collapsed="false"/>
    <row r="252" customFormat="false" ht="12.75" hidden="false" customHeight="false" outlineLevel="0" collapsed="false"/>
    <row r="253" customFormat="false" ht="12.75" hidden="false" customHeight="false" outlineLevel="0" collapsed="false"/>
    <row r="254" customFormat="false" ht="12.75" hidden="false" customHeight="false" outlineLevel="0" collapsed="false"/>
    <row r="255" customFormat="false" ht="12.75" hidden="false" customHeight="false" outlineLevel="0" collapsed="false"/>
    <row r="256" customFormat="false" ht="12.75" hidden="false" customHeight="false" outlineLevel="0" collapsed="false"/>
    <row r="257" customFormat="false" ht="12.75" hidden="false" customHeight="false" outlineLevel="0" collapsed="false"/>
    <row r="258" customFormat="false" ht="12.75" hidden="false" customHeight="false" outlineLevel="0" collapsed="false"/>
    <row r="259" customFormat="false" ht="12.75" hidden="false" customHeight="false" outlineLevel="0" collapsed="false"/>
    <row r="260" customFormat="false" ht="12.75" hidden="false" customHeight="false" outlineLevel="0" collapsed="false"/>
    <row r="261" customFormat="false" ht="12.75" hidden="false" customHeight="false" outlineLevel="0" collapsed="false"/>
    <row r="262" customFormat="false" ht="12.75" hidden="false" customHeight="false" outlineLevel="0" collapsed="false"/>
    <row r="263" customFormat="false" ht="12.75" hidden="false" customHeight="false" outlineLevel="0" collapsed="false"/>
    <row r="264" customFormat="false" ht="12.75" hidden="false" customHeight="false" outlineLevel="0" collapsed="false"/>
    <row r="265" customFormat="false" ht="12.75" hidden="false" customHeight="false" outlineLevel="0" collapsed="false"/>
    <row r="266" customFormat="false" ht="12.75" hidden="false" customHeight="false" outlineLevel="0" collapsed="false"/>
    <row r="267" customFormat="false" ht="12.75" hidden="false" customHeight="false" outlineLevel="0" collapsed="false"/>
    <row r="268" customFormat="false" ht="12.75" hidden="false" customHeight="false" outlineLevel="0" collapsed="false"/>
    <row r="269" customFormat="false" ht="12.75" hidden="false" customHeight="false" outlineLevel="0" collapsed="false"/>
    <row r="270" customFormat="false" ht="12.75" hidden="false" customHeight="false" outlineLevel="0" collapsed="false"/>
    <row r="271" customFormat="false" ht="12.75" hidden="false" customHeight="false" outlineLevel="0" collapsed="false"/>
    <row r="272" customFormat="false" ht="12.75" hidden="false" customHeight="false" outlineLevel="0" collapsed="false"/>
    <row r="273" customFormat="false" ht="12.75" hidden="false" customHeight="fals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12.75" hidden="false" customHeight="false" outlineLevel="0" collapsed="false"/>
    <row r="283" customFormat="false" ht="12.75" hidden="false" customHeight="false" outlineLevel="0" collapsed="false"/>
    <row r="284" customFormat="false" ht="12.75" hidden="false" customHeight="fals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12.75" hidden="false" customHeight="false" outlineLevel="0" collapsed="false"/>
    <row r="291" customFormat="false" ht="12.75" hidden="false" customHeight="false" outlineLevel="0" collapsed="false"/>
    <row r="292" customFormat="false" ht="12.75" hidden="false" customHeight="false" outlineLevel="0" collapsed="false"/>
    <row r="293" customFormat="false" ht="12.75" hidden="false" customHeight="false" outlineLevel="0" collapsed="false"/>
    <row r="294" customFormat="false" ht="12.75" hidden="false" customHeight="false" outlineLevel="0" collapsed="false"/>
    <row r="295" customFormat="false" ht="12.75" hidden="false" customHeight="fals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12.75" hidden="false" customHeight="false" outlineLevel="0" collapsed="false"/>
    <row r="299" customFormat="false" ht="12.75" hidden="false" customHeight="false" outlineLevel="0" collapsed="false"/>
    <row r="300" customFormat="false" ht="12.75" hidden="false" customHeight="fals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12.75" hidden="false" customHeight="false" outlineLevel="0" collapsed="false"/>
    <row r="308" customFormat="false" ht="12.75" hidden="false" customHeight="false" outlineLevel="0" collapsed="false"/>
    <row r="309" customFormat="false" ht="12.75" hidden="false" customHeight="false" outlineLevel="0" collapsed="false"/>
    <row r="310" customFormat="false" ht="12.75" hidden="false" customHeight="false" outlineLevel="0" collapsed="false"/>
    <row r="311" customFormat="false" ht="12.75" hidden="false" customHeight="false" outlineLevel="0" collapsed="false"/>
    <row r="312" customFormat="false" ht="12.75" hidden="false" customHeight="false" outlineLevel="0" collapsed="false"/>
    <row r="313" customFormat="false" ht="12.75" hidden="false" customHeight="false" outlineLevel="0" collapsed="false"/>
    <row r="314" customFormat="false" ht="12.75" hidden="false" customHeight="fals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12.75" hidden="false" customHeight="fals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  <row r="344" customFormat="false" ht="12.75" hidden="false" customHeight="false" outlineLevel="0" collapsed="false"/>
    <row r="345" customFormat="false" ht="12.75" hidden="false" customHeight="false" outlineLevel="0" collapsed="false"/>
    <row r="346" customFormat="false" ht="12.75" hidden="false" customHeight="false" outlineLevel="0" collapsed="false"/>
    <row r="347" customFormat="false" ht="12.75" hidden="false" customHeight="false" outlineLevel="0" collapsed="false"/>
    <row r="348" customFormat="false" ht="12.75" hidden="false" customHeight="false" outlineLevel="0" collapsed="false"/>
    <row r="349" customFormat="false" ht="12.75" hidden="false" customHeight="false" outlineLevel="0" collapsed="false"/>
    <row r="350" customFormat="false" ht="12.75" hidden="false" customHeight="false" outlineLevel="0" collapsed="false"/>
    <row r="351" customFormat="false" ht="12.75" hidden="false" customHeight="false" outlineLevel="0" collapsed="false"/>
    <row r="352" customFormat="false" ht="12.75" hidden="false" customHeight="false" outlineLevel="0" collapsed="false"/>
    <row r="353" customFormat="false" ht="12.75" hidden="false" customHeight="false" outlineLevel="0" collapsed="false"/>
    <row r="354" customFormat="false" ht="12.75" hidden="false" customHeight="false" outlineLevel="0" collapsed="false"/>
    <row r="355" customFormat="false" ht="12.75" hidden="false" customHeight="false" outlineLevel="0" collapsed="false"/>
    <row r="356" customFormat="false" ht="12.75" hidden="false" customHeight="false" outlineLevel="0" collapsed="false"/>
    <row r="357" customFormat="false" ht="12.75" hidden="false" customHeight="false" outlineLevel="0" collapsed="false"/>
    <row r="358" customFormat="false" ht="12.75" hidden="false" customHeight="false" outlineLevel="0" collapsed="false"/>
    <row r="359" customFormat="false" ht="12.75" hidden="false" customHeight="false" outlineLevel="0" collapsed="false"/>
    <row r="360" customFormat="false" ht="12.75" hidden="false" customHeight="false" outlineLevel="0" collapsed="false"/>
    <row r="361" customFormat="false" ht="12.75" hidden="false" customHeight="false" outlineLevel="0" collapsed="false"/>
    <row r="362" customFormat="false" ht="12.75" hidden="false" customHeight="false" outlineLevel="0" collapsed="false"/>
    <row r="363" customFormat="false" ht="12.75" hidden="false" customHeight="false" outlineLevel="0" collapsed="false"/>
    <row r="364" customFormat="false" ht="12.75" hidden="false" customHeight="false" outlineLevel="0" collapsed="false"/>
    <row r="365" customFormat="false" ht="12.75" hidden="false" customHeight="false" outlineLevel="0" collapsed="false"/>
    <row r="366" customFormat="false" ht="12.75" hidden="false" customHeight="false" outlineLevel="0" collapsed="false"/>
    <row r="367" customFormat="false" ht="12.75" hidden="false" customHeight="false" outlineLevel="0" collapsed="false"/>
    <row r="368" customFormat="false" ht="12.75" hidden="false" customHeight="false" outlineLevel="0" collapsed="false"/>
    <row r="369" customFormat="false" ht="12.75" hidden="false" customHeight="false" outlineLevel="0" collapsed="false"/>
    <row r="370" customFormat="false" ht="12.75" hidden="false" customHeight="false" outlineLevel="0" collapsed="false"/>
    <row r="371" customFormat="false" ht="12.75" hidden="false" customHeight="false" outlineLevel="0" collapsed="false"/>
    <row r="372" customFormat="false" ht="12.75" hidden="false" customHeight="false" outlineLevel="0" collapsed="false"/>
    <row r="373" customFormat="false" ht="12.75" hidden="false" customHeight="false" outlineLevel="0" collapsed="false"/>
    <row r="374" customFormat="false" ht="12.75" hidden="false" customHeight="false" outlineLevel="0" collapsed="false"/>
    <row r="375" customFormat="false" ht="12.75" hidden="false" customHeight="false" outlineLevel="0" collapsed="false"/>
    <row r="376" customFormat="false" ht="12.75" hidden="false" customHeight="false" outlineLevel="0" collapsed="false"/>
    <row r="377" customFormat="false" ht="12.75" hidden="false" customHeight="false" outlineLevel="0" collapsed="false"/>
    <row r="378" customFormat="false" ht="12.75" hidden="false" customHeight="false" outlineLevel="0" collapsed="false"/>
    <row r="379" customFormat="false" ht="12.75" hidden="false" customHeight="false" outlineLevel="0" collapsed="false"/>
    <row r="380" customFormat="false" ht="12.75" hidden="false" customHeight="false" outlineLevel="0" collapsed="false"/>
    <row r="381" customFormat="false" ht="12.75" hidden="false" customHeight="false" outlineLevel="0" collapsed="false"/>
    <row r="382" customFormat="false" ht="12.75" hidden="false" customHeight="false" outlineLevel="0" collapsed="false"/>
    <row r="383" customFormat="false" ht="12.75" hidden="false" customHeight="false" outlineLevel="0" collapsed="false"/>
    <row r="384" customFormat="false" ht="12.75" hidden="false" customHeight="false" outlineLevel="0" collapsed="false"/>
    <row r="385" customFormat="false" ht="12.75" hidden="false" customHeight="false" outlineLevel="0" collapsed="false"/>
    <row r="386" customFormat="false" ht="12.75" hidden="false" customHeight="false" outlineLevel="0" collapsed="false"/>
    <row r="387" customFormat="false" ht="12.75" hidden="false" customHeight="false" outlineLevel="0" collapsed="false"/>
    <row r="388" customFormat="false" ht="12.75" hidden="false" customHeight="false" outlineLevel="0" collapsed="false"/>
    <row r="389" customFormat="false" ht="12.75" hidden="false" customHeight="false" outlineLevel="0" collapsed="false"/>
    <row r="390" customFormat="false" ht="12.75" hidden="false" customHeight="false" outlineLevel="0" collapsed="false"/>
    <row r="391" customFormat="false" ht="12.75" hidden="false" customHeight="false" outlineLevel="0" collapsed="false"/>
    <row r="392" customFormat="false" ht="12.75" hidden="false" customHeight="false" outlineLevel="0" collapsed="false"/>
    <row r="393" customFormat="false" ht="12.75" hidden="false" customHeight="false" outlineLevel="0" collapsed="false"/>
    <row r="394" customFormat="false" ht="12.75" hidden="false" customHeight="false" outlineLevel="0" collapsed="false"/>
    <row r="395" customFormat="false" ht="12.75" hidden="false" customHeight="false" outlineLevel="0" collapsed="false"/>
    <row r="396" customFormat="false" ht="12.75" hidden="false" customHeight="false" outlineLevel="0" collapsed="false"/>
    <row r="397" customFormat="false" ht="12.75" hidden="false" customHeight="false" outlineLevel="0" collapsed="false"/>
    <row r="398" customFormat="false" ht="12.75" hidden="false" customHeight="false" outlineLevel="0" collapsed="false"/>
    <row r="399" customFormat="false" ht="12.75" hidden="false" customHeight="false" outlineLevel="0" collapsed="false"/>
    <row r="400" customFormat="false" ht="12.75" hidden="false" customHeight="false" outlineLevel="0" collapsed="false"/>
    <row r="401" customFormat="false" ht="12.75" hidden="false" customHeight="false" outlineLevel="0" collapsed="false"/>
    <row r="402" customFormat="false" ht="12.75" hidden="false" customHeight="false" outlineLevel="0" collapsed="false"/>
    <row r="403" customFormat="false" ht="12.75" hidden="false" customHeight="false" outlineLevel="0" collapsed="false"/>
    <row r="404" customFormat="false" ht="12.75" hidden="false" customHeight="false" outlineLevel="0" collapsed="false"/>
    <row r="405" customFormat="false" ht="12.75" hidden="false" customHeight="false" outlineLevel="0" collapsed="false"/>
    <row r="406" customFormat="false" ht="12.75" hidden="false" customHeight="false" outlineLevel="0" collapsed="false"/>
    <row r="407" customFormat="false" ht="12.75" hidden="false" customHeight="false" outlineLevel="0" collapsed="false"/>
    <row r="408" customFormat="false" ht="12.75" hidden="false" customHeight="false" outlineLevel="0" collapsed="false"/>
    <row r="409" customFormat="false" ht="12.75" hidden="false" customHeight="false" outlineLevel="0" collapsed="false"/>
    <row r="410" customFormat="false" ht="12.75" hidden="false" customHeight="false" outlineLevel="0" collapsed="false"/>
    <row r="411" customFormat="false" ht="12.75" hidden="false" customHeight="false" outlineLevel="0" collapsed="false"/>
    <row r="412" customFormat="false" ht="12.75" hidden="false" customHeight="false" outlineLevel="0" collapsed="false"/>
    <row r="413" customFormat="false" ht="12.75" hidden="false" customHeight="false" outlineLevel="0" collapsed="false"/>
    <row r="414" customFormat="false" ht="12.75" hidden="false" customHeight="false" outlineLevel="0" collapsed="false"/>
    <row r="415" customFormat="false" ht="12.75" hidden="false" customHeight="false" outlineLevel="0" collapsed="false"/>
    <row r="416" customFormat="false" ht="12.75" hidden="false" customHeight="false" outlineLevel="0" collapsed="false"/>
    <row r="417" customFormat="false" ht="12.75" hidden="false" customHeight="false" outlineLevel="0" collapsed="false"/>
    <row r="418" customFormat="false" ht="12.75" hidden="false" customHeight="false" outlineLevel="0" collapsed="false"/>
    <row r="419" customFormat="false" ht="12.75" hidden="false" customHeight="false" outlineLevel="0" collapsed="false"/>
    <row r="420" customFormat="false" ht="12.75" hidden="false" customHeight="false" outlineLevel="0" collapsed="false"/>
    <row r="421" customFormat="false" ht="12.75" hidden="false" customHeight="false" outlineLevel="0" collapsed="false"/>
    <row r="422" customFormat="false" ht="12.75" hidden="false" customHeight="false" outlineLevel="0" collapsed="false"/>
    <row r="423" customFormat="false" ht="12.75" hidden="false" customHeight="false" outlineLevel="0" collapsed="false"/>
    <row r="424" customFormat="false" ht="12.75" hidden="false" customHeight="false" outlineLevel="0" collapsed="false"/>
    <row r="425" customFormat="false" ht="12.75" hidden="false" customHeight="false" outlineLevel="0" collapsed="false"/>
    <row r="426" customFormat="false" ht="12.75" hidden="false" customHeight="false" outlineLevel="0" collapsed="false"/>
    <row r="427" customFormat="false" ht="12.75" hidden="false" customHeight="false" outlineLevel="0" collapsed="false"/>
    <row r="428" customFormat="false" ht="12.75" hidden="false" customHeight="false" outlineLevel="0" collapsed="false"/>
    <row r="429" customFormat="false" ht="12.75" hidden="false" customHeight="false" outlineLevel="0" collapsed="false"/>
    <row r="430" customFormat="false" ht="12.75" hidden="false" customHeight="false" outlineLevel="0" collapsed="false"/>
    <row r="431" customFormat="false" ht="12.75" hidden="false" customHeight="false" outlineLevel="0" collapsed="false"/>
    <row r="432" customFormat="false" ht="12.75" hidden="false" customHeight="false" outlineLevel="0" collapsed="false"/>
    <row r="433" customFormat="false" ht="12.75" hidden="false" customHeight="false" outlineLevel="0" collapsed="false"/>
    <row r="434" customFormat="false" ht="12.75" hidden="false" customHeight="false" outlineLevel="0" collapsed="false"/>
    <row r="435" customFormat="false" ht="12.75" hidden="false" customHeight="false" outlineLevel="0" collapsed="false"/>
    <row r="436" customFormat="false" ht="12.75" hidden="false" customHeight="false" outlineLevel="0" collapsed="false"/>
    <row r="437" customFormat="false" ht="12.75" hidden="false" customHeight="false" outlineLevel="0" collapsed="false"/>
    <row r="438" customFormat="false" ht="12.75" hidden="false" customHeight="false" outlineLevel="0" collapsed="false"/>
    <row r="439" customFormat="false" ht="12.75" hidden="false" customHeight="false" outlineLevel="0" collapsed="false"/>
    <row r="440" customFormat="false" ht="12.75" hidden="false" customHeight="false" outlineLevel="0" collapsed="false"/>
    <row r="441" customFormat="false" ht="12.75" hidden="false" customHeight="false" outlineLevel="0" collapsed="false"/>
    <row r="442" customFormat="false" ht="12.75" hidden="false" customHeight="false" outlineLevel="0" collapsed="false"/>
    <row r="443" customFormat="false" ht="12.75" hidden="false" customHeight="false" outlineLevel="0" collapsed="false"/>
    <row r="444" customFormat="false" ht="12.75" hidden="false" customHeight="false" outlineLevel="0" collapsed="false"/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/>
    <row r="455" customFormat="false" ht="12.75" hidden="false" customHeight="false" outlineLevel="0" collapsed="false"/>
    <row r="456" customFormat="false" ht="12.75" hidden="false" customHeight="false" outlineLevel="0" collapsed="false"/>
    <row r="457" customFormat="false" ht="12.75" hidden="false" customHeight="false" outlineLevel="0" collapsed="false"/>
    <row r="458" customFormat="false" ht="12.75" hidden="false" customHeight="false" outlineLevel="0" collapsed="false"/>
    <row r="459" customFormat="false" ht="12.75" hidden="false" customHeight="false" outlineLevel="0" collapsed="false"/>
    <row r="460" customFormat="false" ht="12.75" hidden="false" customHeight="false" outlineLevel="0" collapsed="false"/>
    <row r="461" customFormat="false" ht="12.75" hidden="false" customHeight="false" outlineLevel="0" collapsed="false"/>
    <row r="462" customFormat="false" ht="12.75" hidden="false" customHeight="false" outlineLevel="0" collapsed="false"/>
    <row r="463" customFormat="false" ht="12.75" hidden="false" customHeight="false" outlineLevel="0" collapsed="false"/>
    <row r="464" customFormat="false" ht="12.75" hidden="false" customHeight="false" outlineLevel="0" collapsed="false"/>
    <row r="465" customFormat="false" ht="12.75" hidden="false" customHeight="false" outlineLevel="0" collapsed="false"/>
    <row r="466" customFormat="false" ht="12.75" hidden="false" customHeight="false" outlineLevel="0" collapsed="false"/>
    <row r="467" customFormat="false" ht="12.75" hidden="false" customHeight="false" outlineLevel="0" collapsed="false"/>
    <row r="468" customFormat="false" ht="12.75" hidden="false" customHeight="false" outlineLevel="0" collapsed="false"/>
    <row r="469" customFormat="false" ht="12.75" hidden="false" customHeight="false" outlineLevel="0" collapsed="false"/>
    <row r="470" customFormat="false" ht="12.75" hidden="false" customHeight="false" outlineLevel="0" collapsed="false"/>
    <row r="471" customFormat="false" ht="12.75" hidden="false" customHeight="false" outlineLevel="0" collapsed="false"/>
    <row r="472" customFormat="false" ht="12.75" hidden="false" customHeight="false" outlineLevel="0" collapsed="false"/>
    <row r="473" customFormat="false" ht="12.75" hidden="false" customHeight="false" outlineLevel="0" collapsed="false"/>
    <row r="474" customFormat="false" ht="12.75" hidden="false" customHeight="false" outlineLevel="0" collapsed="false"/>
    <row r="475" customFormat="false" ht="12.75" hidden="false" customHeight="false" outlineLevel="0" collapsed="false"/>
    <row r="476" customFormat="false" ht="12.75" hidden="false" customHeight="false" outlineLevel="0" collapsed="false"/>
    <row r="477" customFormat="false" ht="12.75" hidden="false" customHeight="false" outlineLevel="0" collapsed="false"/>
    <row r="478" customFormat="false" ht="12.75" hidden="false" customHeight="false" outlineLevel="0" collapsed="false"/>
    <row r="479" customFormat="false" ht="12.75" hidden="false" customHeight="false" outlineLevel="0" collapsed="false"/>
    <row r="480" customFormat="false" ht="12.75" hidden="false" customHeight="false" outlineLevel="0" collapsed="false"/>
    <row r="481" customFormat="false" ht="12.75" hidden="false" customHeight="false" outlineLevel="0" collapsed="false"/>
    <row r="482" customFormat="false" ht="12.75" hidden="false" customHeight="false" outlineLevel="0" collapsed="false"/>
    <row r="483" customFormat="false" ht="12.75" hidden="false" customHeight="false" outlineLevel="0" collapsed="false"/>
    <row r="484" customFormat="false" ht="12.75" hidden="false" customHeight="false" outlineLevel="0" collapsed="false"/>
    <row r="485" customFormat="false" ht="12.75" hidden="false" customHeight="false" outlineLevel="0" collapsed="false"/>
    <row r="486" customFormat="false" ht="12.75" hidden="false" customHeight="false" outlineLevel="0" collapsed="false"/>
    <row r="487" customFormat="false" ht="12.75" hidden="false" customHeight="false" outlineLevel="0" collapsed="false"/>
    <row r="488" customFormat="false" ht="12.75" hidden="false" customHeight="false" outlineLevel="0" collapsed="false"/>
    <row r="489" customFormat="false" ht="12.75" hidden="false" customHeight="false" outlineLevel="0" collapsed="false"/>
    <row r="490" customFormat="false" ht="12.75" hidden="false" customHeight="false" outlineLevel="0" collapsed="false"/>
    <row r="491" customFormat="false" ht="12.75" hidden="false" customHeight="false" outlineLevel="0" collapsed="false"/>
    <row r="492" customFormat="false" ht="12.75" hidden="false" customHeight="false" outlineLevel="0" collapsed="false"/>
    <row r="493" customFormat="false" ht="12.75" hidden="false" customHeight="false" outlineLevel="0" collapsed="false"/>
    <row r="494" customFormat="false" ht="12.75" hidden="false" customHeight="false" outlineLevel="0" collapsed="false"/>
    <row r="495" customFormat="false" ht="12.75" hidden="false" customHeight="false" outlineLevel="0" collapsed="false"/>
    <row r="496" customFormat="false" ht="12.75" hidden="false" customHeight="false" outlineLevel="0" collapsed="false"/>
    <row r="497" customFormat="false" ht="12.75" hidden="false" customHeight="false" outlineLevel="0" collapsed="false"/>
    <row r="498" customFormat="false" ht="12.75" hidden="false" customHeight="false" outlineLevel="0" collapsed="false"/>
    <row r="499" customFormat="false" ht="12.75" hidden="false" customHeight="false" outlineLevel="0" collapsed="false"/>
    <row r="500" customFormat="false" ht="12.75" hidden="false" customHeight="false" outlineLevel="0" collapsed="false"/>
    <row r="501" customFormat="false" ht="12.75" hidden="false" customHeight="false" outlineLevel="0" collapsed="false"/>
    <row r="502" customFormat="false" ht="12.75" hidden="false" customHeight="false" outlineLevel="0" collapsed="false"/>
    <row r="503" customFormat="false" ht="12.75" hidden="false" customHeight="false" outlineLevel="0" collapsed="false"/>
    <row r="504" customFormat="false" ht="12.75" hidden="false" customHeight="false" outlineLevel="0" collapsed="false"/>
    <row r="505" customFormat="false" ht="12.75" hidden="false" customHeight="false" outlineLevel="0" collapsed="false"/>
    <row r="506" customFormat="false" ht="12.75" hidden="false" customHeight="false" outlineLevel="0" collapsed="false"/>
    <row r="507" customFormat="false" ht="12.75" hidden="false" customHeight="false" outlineLevel="0" collapsed="false"/>
    <row r="508" customFormat="false" ht="12.75" hidden="false" customHeight="false" outlineLevel="0" collapsed="false"/>
    <row r="509" customFormat="false" ht="12.75" hidden="false" customHeight="false" outlineLevel="0" collapsed="false"/>
    <row r="510" customFormat="false" ht="12.75" hidden="false" customHeight="false" outlineLevel="0" collapsed="false"/>
    <row r="511" customFormat="false" ht="12.75" hidden="false" customHeight="false" outlineLevel="0" collapsed="false"/>
    <row r="512" customFormat="false" ht="12.75" hidden="false" customHeight="false" outlineLevel="0" collapsed="false"/>
    <row r="513" customFormat="false" ht="12.75" hidden="false" customHeight="false" outlineLevel="0" collapsed="false"/>
    <row r="514" customFormat="false" ht="12.75" hidden="false" customHeight="false" outlineLevel="0" collapsed="false"/>
    <row r="515" customFormat="false" ht="12.75" hidden="false" customHeight="false" outlineLevel="0" collapsed="false"/>
    <row r="516" customFormat="false" ht="12.75" hidden="false" customHeight="false" outlineLevel="0" collapsed="false"/>
    <row r="517" customFormat="false" ht="12.75" hidden="false" customHeight="false" outlineLevel="0" collapsed="false"/>
    <row r="518" customFormat="false" ht="12.75" hidden="false" customHeight="false" outlineLevel="0" collapsed="false"/>
    <row r="519" customFormat="false" ht="12.75" hidden="false" customHeight="false" outlineLevel="0" collapsed="false"/>
    <row r="520" customFormat="false" ht="12.75" hidden="false" customHeight="false" outlineLevel="0" collapsed="false"/>
    <row r="521" customFormat="false" ht="12.75" hidden="false" customHeight="false" outlineLevel="0" collapsed="false"/>
    <row r="522" customFormat="false" ht="12.75" hidden="false" customHeight="false" outlineLevel="0" collapsed="false"/>
    <row r="523" customFormat="false" ht="12.75" hidden="false" customHeight="false" outlineLevel="0" collapsed="false"/>
    <row r="524" customFormat="false" ht="12.75" hidden="false" customHeight="false" outlineLevel="0" collapsed="false"/>
    <row r="525" customFormat="false" ht="12.75" hidden="false" customHeight="false" outlineLevel="0" collapsed="false"/>
    <row r="526" customFormat="false" ht="12.75" hidden="false" customHeight="false" outlineLevel="0" collapsed="false"/>
    <row r="527" customFormat="false" ht="12.75" hidden="false" customHeight="false" outlineLevel="0" collapsed="false"/>
    <row r="528" customFormat="false" ht="12.75" hidden="false" customHeight="false" outlineLevel="0" collapsed="false"/>
    <row r="529" customFormat="false" ht="12.75" hidden="false" customHeight="false" outlineLevel="0" collapsed="false"/>
    <row r="530" customFormat="false" ht="12.75" hidden="false" customHeight="false" outlineLevel="0" collapsed="false"/>
    <row r="531" customFormat="false" ht="12.75" hidden="false" customHeight="false" outlineLevel="0" collapsed="false"/>
    <row r="532" customFormat="false" ht="12.75" hidden="false" customHeight="false" outlineLevel="0" collapsed="false"/>
    <row r="533" customFormat="false" ht="12.75" hidden="false" customHeight="false" outlineLevel="0" collapsed="false"/>
    <row r="534" customFormat="false" ht="12.75" hidden="false" customHeight="false" outlineLevel="0" collapsed="false"/>
    <row r="535" customFormat="false" ht="12.75" hidden="false" customHeight="false" outlineLevel="0" collapsed="false"/>
    <row r="536" customFormat="false" ht="12.75" hidden="false" customHeight="false" outlineLevel="0" collapsed="false"/>
    <row r="537" customFormat="false" ht="12.75" hidden="false" customHeight="false" outlineLevel="0" collapsed="false"/>
    <row r="538" customFormat="false" ht="12.75" hidden="false" customHeight="false" outlineLevel="0" collapsed="false"/>
    <row r="539" customFormat="false" ht="12.75" hidden="false" customHeight="false" outlineLevel="0" collapsed="false"/>
    <row r="540" customFormat="false" ht="12.75" hidden="false" customHeight="false" outlineLevel="0" collapsed="false"/>
    <row r="541" customFormat="false" ht="12.75" hidden="false" customHeight="false" outlineLevel="0" collapsed="false"/>
    <row r="542" customFormat="false" ht="12.75" hidden="false" customHeight="false" outlineLevel="0" collapsed="false"/>
    <row r="543" customFormat="false" ht="12.75" hidden="false" customHeight="false" outlineLevel="0" collapsed="false"/>
    <row r="544" customFormat="false" ht="12.75" hidden="false" customHeight="false" outlineLevel="0" collapsed="false"/>
    <row r="545" customFormat="false" ht="12.75" hidden="false" customHeight="false" outlineLevel="0" collapsed="false"/>
    <row r="546" customFormat="false" ht="12.75" hidden="false" customHeight="false" outlineLevel="0" collapsed="false"/>
    <row r="547" customFormat="false" ht="12.75" hidden="false" customHeight="false" outlineLevel="0" collapsed="false"/>
    <row r="548" customFormat="false" ht="12.75" hidden="false" customHeight="false" outlineLevel="0" collapsed="false"/>
    <row r="549" customFormat="false" ht="12.75" hidden="false" customHeight="false" outlineLevel="0" collapsed="false"/>
    <row r="550" customFormat="false" ht="12.75" hidden="false" customHeight="false" outlineLevel="0" collapsed="false"/>
    <row r="551" customFormat="false" ht="12.75" hidden="false" customHeight="false" outlineLevel="0" collapsed="false"/>
    <row r="552" customFormat="false" ht="12.75" hidden="false" customHeight="false" outlineLevel="0" collapsed="false"/>
    <row r="553" customFormat="false" ht="12.75" hidden="false" customHeight="false" outlineLevel="0" collapsed="false"/>
    <row r="554" customFormat="false" ht="12.75" hidden="false" customHeight="false" outlineLevel="0" collapsed="false"/>
    <row r="555" customFormat="false" ht="12.75" hidden="false" customHeight="false" outlineLevel="0" collapsed="false"/>
    <row r="556" customFormat="false" ht="12.75" hidden="false" customHeight="false" outlineLevel="0" collapsed="false"/>
    <row r="557" customFormat="false" ht="12.75" hidden="false" customHeight="false" outlineLevel="0" collapsed="false"/>
    <row r="558" customFormat="false" ht="12.75" hidden="false" customHeight="false" outlineLevel="0" collapsed="false"/>
    <row r="559" customFormat="false" ht="12.75" hidden="false" customHeight="false" outlineLevel="0" collapsed="false"/>
    <row r="560" customFormat="false" ht="12.75" hidden="false" customHeight="false" outlineLevel="0" collapsed="false"/>
    <row r="561" customFormat="false" ht="12.75" hidden="false" customHeight="false" outlineLevel="0" collapsed="false"/>
    <row r="562" customFormat="false" ht="12.75" hidden="false" customHeight="false" outlineLevel="0" collapsed="false"/>
    <row r="563" customFormat="false" ht="12.75" hidden="false" customHeight="false" outlineLevel="0" collapsed="false"/>
    <row r="564" customFormat="false" ht="12.75" hidden="false" customHeight="false" outlineLevel="0" collapsed="false"/>
    <row r="565" customFormat="false" ht="12.75" hidden="false" customHeight="false" outlineLevel="0" collapsed="false"/>
    <row r="566" customFormat="false" ht="12.75" hidden="false" customHeight="false" outlineLevel="0" collapsed="false"/>
    <row r="567" customFormat="false" ht="12.75" hidden="false" customHeight="false" outlineLevel="0" collapsed="false"/>
    <row r="568" customFormat="false" ht="12.75" hidden="false" customHeight="false" outlineLevel="0" collapsed="false"/>
    <row r="569" customFormat="false" ht="12.75" hidden="false" customHeight="false" outlineLevel="0" collapsed="false"/>
    <row r="570" customFormat="false" ht="12.75" hidden="false" customHeight="false" outlineLevel="0" collapsed="false"/>
    <row r="571" customFormat="false" ht="12.75" hidden="false" customHeight="false" outlineLevel="0" collapsed="false"/>
    <row r="572" customFormat="false" ht="12.75" hidden="false" customHeight="false" outlineLevel="0" collapsed="false"/>
    <row r="573" customFormat="false" ht="12.75" hidden="false" customHeight="false" outlineLevel="0" collapsed="false"/>
    <row r="574" customFormat="false" ht="12.75" hidden="false" customHeight="false" outlineLevel="0" collapsed="false"/>
    <row r="575" customFormat="false" ht="12.75" hidden="false" customHeight="false" outlineLevel="0" collapsed="false"/>
    <row r="576" customFormat="false" ht="12.75" hidden="false" customHeight="false" outlineLevel="0" collapsed="false"/>
    <row r="577" customFormat="false" ht="12.75" hidden="false" customHeight="false" outlineLevel="0" collapsed="false"/>
    <row r="578" customFormat="false" ht="12.75" hidden="false" customHeight="false" outlineLevel="0" collapsed="false"/>
    <row r="579" customFormat="false" ht="12.75" hidden="false" customHeight="false" outlineLevel="0" collapsed="false"/>
    <row r="580" customFormat="false" ht="12.75" hidden="false" customHeight="false" outlineLevel="0" collapsed="false"/>
    <row r="581" customFormat="false" ht="12.75" hidden="false" customHeight="false" outlineLevel="0" collapsed="false"/>
    <row r="582" customFormat="false" ht="12.75" hidden="false" customHeight="false" outlineLevel="0" collapsed="false"/>
    <row r="583" customFormat="false" ht="12.75" hidden="false" customHeight="false" outlineLevel="0" collapsed="false"/>
    <row r="584" customFormat="false" ht="12.75" hidden="false" customHeight="false" outlineLevel="0" collapsed="false"/>
    <row r="585" customFormat="false" ht="12.75" hidden="false" customHeight="false" outlineLevel="0" collapsed="false"/>
    <row r="586" customFormat="false" ht="12.75" hidden="false" customHeight="false" outlineLevel="0" collapsed="false"/>
    <row r="587" customFormat="false" ht="12.75" hidden="false" customHeight="false" outlineLevel="0" collapsed="false"/>
    <row r="588" customFormat="false" ht="12.75" hidden="false" customHeight="false" outlineLevel="0" collapsed="false"/>
    <row r="589" customFormat="false" ht="12.75" hidden="false" customHeight="false" outlineLevel="0" collapsed="false"/>
    <row r="590" customFormat="false" ht="12.75" hidden="false" customHeight="false" outlineLevel="0" collapsed="false"/>
    <row r="591" customFormat="false" ht="12.75" hidden="false" customHeight="false" outlineLevel="0" collapsed="false"/>
    <row r="592" customFormat="false" ht="12.75" hidden="false" customHeight="false" outlineLevel="0" collapsed="false"/>
    <row r="593" customFormat="false" ht="12.75" hidden="false" customHeight="false" outlineLevel="0" collapsed="false"/>
    <row r="594" customFormat="false" ht="12.75" hidden="false" customHeight="false" outlineLevel="0" collapsed="false"/>
    <row r="595" customFormat="false" ht="12.75" hidden="false" customHeight="false" outlineLevel="0" collapsed="false"/>
    <row r="596" customFormat="false" ht="12.75" hidden="false" customHeight="false" outlineLevel="0" collapsed="false"/>
    <row r="597" customFormat="false" ht="12.75" hidden="false" customHeight="false" outlineLevel="0" collapsed="false"/>
    <row r="598" customFormat="false" ht="12.75" hidden="false" customHeight="false" outlineLevel="0" collapsed="false"/>
    <row r="599" customFormat="false" ht="12.75" hidden="false" customHeight="false" outlineLevel="0" collapsed="false"/>
    <row r="600" customFormat="false" ht="12.75" hidden="false" customHeight="false" outlineLevel="0" collapsed="false"/>
    <row r="601" customFormat="false" ht="12.75" hidden="false" customHeight="false" outlineLevel="0" collapsed="false"/>
    <row r="602" customFormat="false" ht="12.75" hidden="false" customHeight="false" outlineLevel="0" collapsed="false"/>
    <row r="603" customFormat="false" ht="12.75" hidden="false" customHeight="false" outlineLevel="0" collapsed="false"/>
    <row r="604" customFormat="false" ht="12.75" hidden="false" customHeight="false" outlineLevel="0" collapsed="false"/>
    <row r="605" customFormat="false" ht="12.75" hidden="false" customHeight="false" outlineLevel="0" collapsed="false"/>
    <row r="606" customFormat="false" ht="12.75" hidden="false" customHeight="false" outlineLevel="0" collapsed="false"/>
    <row r="607" customFormat="false" ht="12.75" hidden="false" customHeight="false" outlineLevel="0" collapsed="false"/>
    <row r="608" customFormat="false" ht="12.75" hidden="false" customHeight="false" outlineLevel="0" collapsed="false"/>
    <row r="609" customFormat="false" ht="12.75" hidden="false" customHeight="false" outlineLevel="0" collapsed="false"/>
    <row r="610" customFormat="false" ht="12.75" hidden="false" customHeight="false" outlineLevel="0" collapsed="false"/>
    <row r="611" customFormat="false" ht="12.75" hidden="false" customHeight="false" outlineLevel="0" collapsed="false"/>
    <row r="612" customFormat="false" ht="12.75" hidden="false" customHeight="false" outlineLevel="0" collapsed="false"/>
    <row r="613" customFormat="false" ht="12.75" hidden="false" customHeight="false" outlineLevel="0" collapsed="false"/>
    <row r="614" customFormat="false" ht="12.75" hidden="false" customHeight="false" outlineLevel="0" collapsed="false"/>
    <row r="615" customFormat="false" ht="12.75" hidden="false" customHeight="false" outlineLevel="0" collapsed="false"/>
    <row r="616" customFormat="false" ht="12.75" hidden="false" customHeight="false" outlineLevel="0" collapsed="false"/>
    <row r="617" customFormat="false" ht="12.75" hidden="false" customHeight="false" outlineLevel="0" collapsed="false"/>
    <row r="618" customFormat="false" ht="12.75" hidden="false" customHeight="false" outlineLevel="0" collapsed="false"/>
    <row r="619" customFormat="false" ht="12.75" hidden="false" customHeight="false" outlineLevel="0" collapsed="false"/>
    <row r="620" customFormat="false" ht="12.75" hidden="false" customHeight="false" outlineLevel="0" collapsed="false"/>
    <row r="621" customFormat="false" ht="12.75" hidden="false" customHeight="false" outlineLevel="0" collapsed="false"/>
    <row r="622" customFormat="false" ht="12.75" hidden="false" customHeight="false" outlineLevel="0" collapsed="false"/>
    <row r="623" customFormat="false" ht="12.75" hidden="false" customHeight="false" outlineLevel="0" collapsed="false"/>
    <row r="624" customFormat="false" ht="12.75" hidden="false" customHeight="false" outlineLevel="0" collapsed="false"/>
    <row r="625" customFormat="false" ht="12.75" hidden="false" customHeight="false" outlineLevel="0" collapsed="false"/>
    <row r="626" customFormat="false" ht="12.75" hidden="false" customHeight="false" outlineLevel="0" collapsed="false"/>
    <row r="627" customFormat="false" ht="12.75" hidden="false" customHeight="false" outlineLevel="0" collapsed="false"/>
    <row r="628" customFormat="false" ht="12.75" hidden="false" customHeight="false" outlineLevel="0" collapsed="false"/>
    <row r="629" customFormat="false" ht="12.75" hidden="false" customHeight="false" outlineLevel="0" collapsed="false"/>
    <row r="630" customFormat="false" ht="12.75" hidden="false" customHeight="false" outlineLevel="0" collapsed="false"/>
    <row r="631" customFormat="false" ht="12.75" hidden="false" customHeight="false" outlineLevel="0" collapsed="false"/>
    <row r="632" customFormat="false" ht="12.75" hidden="false" customHeight="false" outlineLevel="0" collapsed="false"/>
    <row r="633" customFormat="false" ht="12.75" hidden="false" customHeight="false" outlineLevel="0" collapsed="false"/>
    <row r="634" customFormat="false" ht="12.75" hidden="false" customHeight="false" outlineLevel="0" collapsed="false"/>
    <row r="635" customFormat="false" ht="12.75" hidden="false" customHeight="false" outlineLevel="0" collapsed="false"/>
    <row r="636" customFormat="false" ht="12.75" hidden="false" customHeight="false" outlineLevel="0" collapsed="false"/>
    <row r="637" customFormat="false" ht="12.75" hidden="false" customHeight="false" outlineLevel="0" collapsed="false"/>
    <row r="638" customFormat="false" ht="12.75" hidden="false" customHeight="false" outlineLevel="0" collapsed="false"/>
    <row r="639" customFormat="false" ht="12.75" hidden="false" customHeight="false" outlineLevel="0" collapsed="false"/>
    <row r="640" customFormat="false" ht="12.75" hidden="false" customHeight="false" outlineLevel="0" collapsed="false"/>
    <row r="641" customFormat="false" ht="12.75" hidden="false" customHeight="false" outlineLevel="0" collapsed="false"/>
    <row r="642" customFormat="false" ht="12.75" hidden="false" customHeight="false" outlineLevel="0" collapsed="false"/>
    <row r="643" customFormat="false" ht="12.75" hidden="false" customHeight="false" outlineLevel="0" collapsed="false"/>
    <row r="644" customFormat="false" ht="12.75" hidden="false" customHeight="false" outlineLevel="0" collapsed="false"/>
    <row r="645" customFormat="false" ht="12.75" hidden="false" customHeight="false" outlineLevel="0" collapsed="false"/>
    <row r="646" customFormat="false" ht="12.75" hidden="false" customHeight="false" outlineLevel="0" collapsed="false"/>
    <row r="647" customFormat="false" ht="12.75" hidden="false" customHeight="false" outlineLevel="0" collapsed="false"/>
    <row r="648" customFormat="false" ht="12.75" hidden="false" customHeight="false" outlineLevel="0" collapsed="false"/>
    <row r="649" customFormat="false" ht="12.75" hidden="false" customHeight="false" outlineLevel="0" collapsed="false"/>
    <row r="650" customFormat="false" ht="12.75" hidden="false" customHeight="false" outlineLevel="0" collapsed="false"/>
    <row r="651" customFormat="false" ht="12.75" hidden="false" customHeight="false" outlineLevel="0" collapsed="false"/>
    <row r="652" customFormat="false" ht="12.75" hidden="false" customHeight="false" outlineLevel="0" collapsed="false"/>
    <row r="653" customFormat="false" ht="12.75" hidden="false" customHeight="false" outlineLevel="0" collapsed="false"/>
    <row r="654" customFormat="false" ht="12.75" hidden="false" customHeight="false" outlineLevel="0" collapsed="false"/>
    <row r="655" customFormat="false" ht="12.75" hidden="false" customHeight="false" outlineLevel="0" collapsed="false"/>
    <row r="656" customFormat="false" ht="12.75" hidden="false" customHeight="false" outlineLevel="0" collapsed="false"/>
    <row r="657" customFormat="false" ht="12.75" hidden="false" customHeight="false" outlineLevel="0" collapsed="false"/>
    <row r="658" customFormat="false" ht="12.75" hidden="false" customHeight="false" outlineLevel="0" collapsed="false"/>
    <row r="659" customFormat="false" ht="12.75" hidden="false" customHeight="false" outlineLevel="0" collapsed="false"/>
    <row r="660" customFormat="false" ht="12.75" hidden="false" customHeight="false" outlineLevel="0" collapsed="false"/>
    <row r="661" customFormat="false" ht="12.75" hidden="false" customHeight="false" outlineLevel="0" collapsed="false"/>
    <row r="662" customFormat="false" ht="12.75" hidden="false" customHeight="false" outlineLevel="0" collapsed="false"/>
    <row r="663" customFormat="false" ht="12.75" hidden="false" customHeight="false" outlineLevel="0" collapsed="false"/>
    <row r="664" customFormat="false" ht="12.75" hidden="false" customHeight="false" outlineLevel="0" collapsed="false"/>
    <row r="665" customFormat="false" ht="12.75" hidden="false" customHeight="false" outlineLevel="0" collapsed="false"/>
    <row r="666" customFormat="false" ht="12.75" hidden="false" customHeight="false" outlineLevel="0" collapsed="false"/>
    <row r="667" customFormat="false" ht="12.75" hidden="false" customHeight="false" outlineLevel="0" collapsed="false"/>
    <row r="668" customFormat="false" ht="12.75" hidden="false" customHeight="false" outlineLevel="0" collapsed="false"/>
    <row r="669" customFormat="false" ht="12.75" hidden="false" customHeight="false" outlineLevel="0" collapsed="false"/>
    <row r="670" customFormat="false" ht="12.75" hidden="false" customHeight="false" outlineLevel="0" collapsed="false"/>
    <row r="671" customFormat="false" ht="12.75" hidden="false" customHeight="false" outlineLevel="0" collapsed="false"/>
    <row r="672" customFormat="false" ht="12.75" hidden="false" customHeight="false" outlineLevel="0" collapsed="false"/>
    <row r="673" customFormat="false" ht="12.75" hidden="false" customHeight="false" outlineLevel="0" collapsed="false"/>
    <row r="674" customFormat="false" ht="12.75" hidden="false" customHeight="false" outlineLevel="0" collapsed="false"/>
    <row r="675" customFormat="false" ht="12.75" hidden="false" customHeight="false" outlineLevel="0" collapsed="false"/>
    <row r="676" customFormat="false" ht="12.75" hidden="false" customHeight="false" outlineLevel="0" collapsed="false"/>
    <row r="677" customFormat="false" ht="12.75" hidden="false" customHeight="false" outlineLevel="0" collapsed="false"/>
    <row r="678" customFormat="false" ht="12.75" hidden="false" customHeight="false" outlineLevel="0" collapsed="false"/>
    <row r="679" customFormat="false" ht="12.75" hidden="false" customHeight="false" outlineLevel="0" collapsed="false"/>
    <row r="680" customFormat="false" ht="12.75" hidden="false" customHeight="false" outlineLevel="0" collapsed="false"/>
    <row r="681" customFormat="false" ht="12.75" hidden="false" customHeight="false" outlineLevel="0" collapsed="false"/>
    <row r="682" customFormat="false" ht="12.75" hidden="false" customHeight="false" outlineLevel="0" collapsed="false"/>
    <row r="683" customFormat="false" ht="12.75" hidden="false" customHeight="false" outlineLevel="0" collapsed="false"/>
    <row r="684" customFormat="false" ht="12.75" hidden="false" customHeight="false" outlineLevel="0" collapsed="false"/>
    <row r="685" customFormat="false" ht="12.75" hidden="false" customHeight="false" outlineLevel="0" collapsed="false"/>
    <row r="686" customFormat="false" ht="12.75" hidden="false" customHeight="false" outlineLevel="0" collapsed="false"/>
    <row r="687" customFormat="false" ht="12.75" hidden="false" customHeight="false" outlineLevel="0" collapsed="false"/>
    <row r="688" customFormat="false" ht="12.75" hidden="false" customHeight="false" outlineLevel="0" collapsed="false"/>
    <row r="689" customFormat="false" ht="12.75" hidden="false" customHeight="false" outlineLevel="0" collapsed="false"/>
    <row r="690" customFormat="false" ht="12.75" hidden="false" customHeight="false" outlineLevel="0" collapsed="false"/>
    <row r="691" customFormat="false" ht="12.75" hidden="false" customHeight="false" outlineLevel="0" collapsed="false"/>
    <row r="692" customFormat="false" ht="12.75" hidden="false" customHeight="false" outlineLevel="0" collapsed="false"/>
    <row r="693" customFormat="false" ht="12.75" hidden="false" customHeight="false" outlineLevel="0" collapsed="false"/>
    <row r="694" customFormat="false" ht="12.75" hidden="false" customHeight="false" outlineLevel="0" collapsed="false"/>
    <row r="695" customFormat="false" ht="12.75" hidden="false" customHeight="false" outlineLevel="0" collapsed="false"/>
    <row r="696" customFormat="false" ht="12.75" hidden="false" customHeight="false" outlineLevel="0" collapsed="false"/>
    <row r="697" customFormat="false" ht="12.75" hidden="false" customHeight="false" outlineLevel="0" collapsed="false"/>
    <row r="698" customFormat="false" ht="12.75" hidden="false" customHeight="false" outlineLevel="0" collapsed="false"/>
    <row r="699" customFormat="false" ht="12.75" hidden="false" customHeight="false" outlineLevel="0" collapsed="false"/>
    <row r="700" customFormat="false" ht="12.75" hidden="false" customHeight="false" outlineLevel="0" collapsed="false"/>
    <row r="701" customFormat="false" ht="12.75" hidden="false" customHeight="false" outlineLevel="0" collapsed="false"/>
    <row r="702" customFormat="false" ht="12.75" hidden="false" customHeight="false" outlineLevel="0" collapsed="false"/>
    <row r="703" customFormat="false" ht="12.75" hidden="false" customHeight="false" outlineLevel="0" collapsed="false"/>
    <row r="704" customFormat="false" ht="12.75" hidden="false" customHeight="false" outlineLevel="0" collapsed="false"/>
    <row r="705" customFormat="false" ht="12.75" hidden="false" customHeight="false" outlineLevel="0" collapsed="false"/>
    <row r="706" customFormat="false" ht="12.75" hidden="false" customHeight="false" outlineLevel="0" collapsed="false"/>
    <row r="707" customFormat="false" ht="12.75" hidden="false" customHeight="false" outlineLevel="0" collapsed="false"/>
    <row r="708" customFormat="false" ht="12.75" hidden="false" customHeight="false" outlineLevel="0" collapsed="false"/>
    <row r="709" customFormat="false" ht="12.75" hidden="false" customHeight="false" outlineLevel="0" collapsed="false"/>
    <row r="710" customFormat="false" ht="12.75" hidden="false" customHeight="false" outlineLevel="0" collapsed="false"/>
    <row r="711" customFormat="false" ht="12.75" hidden="false" customHeight="false" outlineLevel="0" collapsed="false"/>
    <row r="712" customFormat="false" ht="12.75" hidden="false" customHeight="false" outlineLevel="0" collapsed="false"/>
    <row r="713" customFormat="false" ht="12.75" hidden="false" customHeight="false" outlineLevel="0" collapsed="false"/>
    <row r="714" customFormat="false" ht="12.75" hidden="false" customHeight="false" outlineLevel="0" collapsed="false"/>
    <row r="715" customFormat="false" ht="12.75" hidden="false" customHeight="false" outlineLevel="0" collapsed="false"/>
    <row r="716" customFormat="false" ht="12.75" hidden="false" customHeight="false" outlineLevel="0" collapsed="false"/>
    <row r="717" customFormat="false" ht="12.75" hidden="false" customHeight="false" outlineLevel="0" collapsed="false"/>
    <row r="718" customFormat="false" ht="12.75" hidden="false" customHeight="false" outlineLevel="0" collapsed="false"/>
    <row r="719" customFormat="false" ht="12.75" hidden="false" customHeight="false" outlineLevel="0" collapsed="false"/>
    <row r="720" customFormat="false" ht="12.75" hidden="false" customHeight="false" outlineLevel="0" collapsed="false"/>
    <row r="721" customFormat="false" ht="12.75" hidden="false" customHeight="false" outlineLevel="0" collapsed="false"/>
    <row r="722" customFormat="false" ht="12.75" hidden="false" customHeight="false" outlineLevel="0" collapsed="false"/>
    <row r="723" customFormat="false" ht="12.75" hidden="false" customHeight="false" outlineLevel="0" collapsed="false"/>
    <row r="724" customFormat="false" ht="12.75" hidden="false" customHeight="false" outlineLevel="0" collapsed="false"/>
    <row r="725" customFormat="false" ht="12.75" hidden="false" customHeight="false" outlineLevel="0" collapsed="false"/>
    <row r="726" customFormat="false" ht="12.75" hidden="false" customHeight="false" outlineLevel="0" collapsed="false"/>
    <row r="727" customFormat="false" ht="12.75" hidden="false" customHeight="false" outlineLevel="0" collapsed="false"/>
    <row r="728" customFormat="false" ht="12.75" hidden="false" customHeight="false" outlineLevel="0" collapsed="false"/>
    <row r="729" customFormat="false" ht="12.75" hidden="false" customHeight="false" outlineLevel="0" collapsed="false"/>
    <row r="730" customFormat="false" ht="12.75" hidden="false" customHeight="false" outlineLevel="0" collapsed="false"/>
    <row r="731" customFormat="false" ht="12.75" hidden="false" customHeight="false" outlineLevel="0" collapsed="false"/>
    <row r="732" customFormat="false" ht="12.75" hidden="false" customHeight="false" outlineLevel="0" collapsed="false"/>
    <row r="733" customFormat="false" ht="12.75" hidden="false" customHeight="false" outlineLevel="0" collapsed="false"/>
    <row r="734" customFormat="false" ht="12.75" hidden="false" customHeight="false" outlineLevel="0" collapsed="false"/>
    <row r="735" customFormat="false" ht="12.75" hidden="false" customHeight="false" outlineLevel="0" collapsed="false"/>
    <row r="736" customFormat="false" ht="12.75" hidden="false" customHeight="false" outlineLevel="0" collapsed="false"/>
    <row r="737" customFormat="false" ht="12.75" hidden="false" customHeight="false" outlineLevel="0" collapsed="false"/>
    <row r="738" customFormat="false" ht="12.75" hidden="false" customHeight="false" outlineLevel="0" collapsed="false"/>
    <row r="739" customFormat="false" ht="12.75" hidden="false" customHeight="false" outlineLevel="0" collapsed="false"/>
    <row r="740" customFormat="false" ht="12.75" hidden="false" customHeight="false" outlineLevel="0" collapsed="false"/>
    <row r="741" customFormat="false" ht="12.75" hidden="false" customHeight="false" outlineLevel="0" collapsed="false"/>
    <row r="742" customFormat="false" ht="12.75" hidden="false" customHeight="false" outlineLevel="0" collapsed="false"/>
    <row r="743" customFormat="false" ht="12.75" hidden="false" customHeight="false" outlineLevel="0" collapsed="false"/>
    <row r="744" customFormat="false" ht="12.75" hidden="false" customHeight="false" outlineLevel="0" collapsed="false"/>
    <row r="745" customFormat="false" ht="12.75" hidden="false" customHeight="false" outlineLevel="0" collapsed="false"/>
    <row r="746" customFormat="false" ht="12.75" hidden="false" customHeight="false" outlineLevel="0" collapsed="false"/>
    <row r="747" customFormat="false" ht="12.75" hidden="false" customHeight="false" outlineLevel="0" collapsed="false"/>
    <row r="748" customFormat="false" ht="12.75" hidden="false" customHeight="false" outlineLevel="0" collapsed="false"/>
    <row r="749" customFormat="false" ht="12.75" hidden="false" customHeight="false" outlineLevel="0" collapsed="false"/>
    <row r="750" customFormat="false" ht="12.75" hidden="false" customHeight="false" outlineLevel="0" collapsed="false"/>
    <row r="751" customFormat="false" ht="12.75" hidden="false" customHeight="false" outlineLevel="0" collapsed="false"/>
    <row r="752" customFormat="false" ht="12.75" hidden="false" customHeight="false" outlineLevel="0" collapsed="false"/>
    <row r="753" customFormat="false" ht="12.75" hidden="false" customHeight="false" outlineLevel="0" collapsed="false"/>
    <row r="754" customFormat="false" ht="12.75" hidden="false" customHeight="false" outlineLevel="0" collapsed="false"/>
    <row r="755" customFormat="false" ht="12.75" hidden="false" customHeight="false" outlineLevel="0" collapsed="false"/>
    <row r="756" customFormat="false" ht="12.75" hidden="false" customHeight="false" outlineLevel="0" collapsed="false"/>
    <row r="757" customFormat="false" ht="12.75" hidden="false" customHeight="false" outlineLevel="0" collapsed="false"/>
    <row r="758" customFormat="false" ht="12.75" hidden="false" customHeight="false" outlineLevel="0" collapsed="false"/>
    <row r="759" customFormat="false" ht="12.75" hidden="false" customHeight="false" outlineLevel="0" collapsed="false"/>
    <row r="760" customFormat="false" ht="12.75" hidden="false" customHeight="false" outlineLevel="0" collapsed="false"/>
    <row r="761" customFormat="false" ht="12.75" hidden="false" customHeight="false" outlineLevel="0" collapsed="false"/>
    <row r="762" customFormat="false" ht="12.75" hidden="false" customHeight="false" outlineLevel="0" collapsed="false"/>
    <row r="763" customFormat="false" ht="12.75" hidden="false" customHeight="false" outlineLevel="0" collapsed="false"/>
    <row r="764" customFormat="false" ht="12.75" hidden="false" customHeight="false" outlineLevel="0" collapsed="false"/>
    <row r="765" customFormat="false" ht="12.75" hidden="false" customHeight="false" outlineLevel="0" collapsed="false"/>
    <row r="766" customFormat="false" ht="12.75" hidden="false" customHeight="false" outlineLevel="0" collapsed="false"/>
    <row r="767" customFormat="false" ht="12.75" hidden="false" customHeight="false" outlineLevel="0" collapsed="false"/>
    <row r="768" customFormat="false" ht="12.75" hidden="false" customHeight="false" outlineLevel="0" collapsed="false"/>
    <row r="769" customFormat="false" ht="12.75" hidden="false" customHeight="false" outlineLevel="0" collapsed="false"/>
    <row r="770" customFormat="false" ht="12.75" hidden="false" customHeight="false" outlineLevel="0" collapsed="false"/>
    <row r="771" customFormat="false" ht="12.75" hidden="false" customHeight="false" outlineLevel="0" collapsed="false"/>
    <row r="772" customFormat="false" ht="12.75" hidden="false" customHeight="false" outlineLevel="0" collapsed="false"/>
    <row r="773" customFormat="false" ht="12.75" hidden="false" customHeight="false" outlineLevel="0" collapsed="false"/>
    <row r="774" customFormat="false" ht="12.75" hidden="false" customHeight="false" outlineLevel="0" collapsed="false"/>
    <row r="775" customFormat="false" ht="12.75" hidden="false" customHeight="false" outlineLevel="0" collapsed="false"/>
    <row r="776" customFormat="false" ht="12.75" hidden="false" customHeight="false" outlineLevel="0" collapsed="false"/>
    <row r="777" customFormat="false" ht="12.75" hidden="false" customHeight="false" outlineLevel="0" collapsed="false"/>
    <row r="778" customFormat="false" ht="12.75" hidden="false" customHeight="false" outlineLevel="0" collapsed="false"/>
    <row r="779" customFormat="false" ht="12.75" hidden="false" customHeight="false" outlineLevel="0" collapsed="false"/>
    <row r="780" customFormat="false" ht="12.75" hidden="false" customHeight="false" outlineLevel="0" collapsed="false"/>
    <row r="781" customFormat="false" ht="12.75" hidden="false" customHeight="false" outlineLevel="0" collapsed="false"/>
    <row r="782" customFormat="false" ht="12.75" hidden="false" customHeight="false" outlineLevel="0" collapsed="false"/>
    <row r="783" customFormat="false" ht="12.75" hidden="false" customHeight="false" outlineLevel="0" collapsed="false"/>
    <row r="784" customFormat="false" ht="12.75" hidden="false" customHeight="false" outlineLevel="0" collapsed="false"/>
    <row r="785" customFormat="false" ht="12.75" hidden="false" customHeight="false" outlineLevel="0" collapsed="false"/>
    <row r="786" customFormat="false" ht="12.75" hidden="false" customHeight="false" outlineLevel="0" collapsed="false"/>
    <row r="787" customFormat="false" ht="12.75" hidden="false" customHeight="false" outlineLevel="0" collapsed="false"/>
    <row r="788" customFormat="false" ht="12.75" hidden="false" customHeight="false" outlineLevel="0" collapsed="false"/>
    <row r="789" customFormat="false" ht="12.75" hidden="false" customHeight="false" outlineLevel="0" collapsed="false"/>
    <row r="790" customFormat="false" ht="12.75" hidden="false" customHeight="false" outlineLevel="0" collapsed="false"/>
    <row r="791" customFormat="false" ht="12.75" hidden="false" customHeight="false" outlineLevel="0" collapsed="false"/>
    <row r="792" customFormat="false" ht="12.75" hidden="false" customHeight="false" outlineLevel="0" collapsed="false"/>
    <row r="793" customFormat="false" ht="12.75" hidden="false" customHeight="false" outlineLevel="0" collapsed="false"/>
    <row r="794" customFormat="false" ht="12.75" hidden="false" customHeight="false" outlineLevel="0" collapsed="false"/>
    <row r="795" customFormat="false" ht="12.75" hidden="false" customHeight="false" outlineLevel="0" collapsed="false"/>
    <row r="796" customFormat="false" ht="12.75" hidden="false" customHeight="false" outlineLevel="0" collapsed="false"/>
    <row r="797" customFormat="false" ht="12.75" hidden="false" customHeight="false" outlineLevel="0" collapsed="false"/>
    <row r="798" customFormat="false" ht="12.75" hidden="false" customHeight="false" outlineLevel="0" collapsed="false"/>
    <row r="799" customFormat="false" ht="12.75" hidden="false" customHeight="false" outlineLevel="0" collapsed="false"/>
    <row r="800" customFormat="false" ht="12.75" hidden="false" customHeight="false" outlineLevel="0" collapsed="false"/>
    <row r="801" customFormat="false" ht="12.75" hidden="false" customHeight="false" outlineLevel="0" collapsed="false"/>
    <row r="802" customFormat="false" ht="12.75" hidden="false" customHeight="false" outlineLevel="0" collapsed="false"/>
    <row r="803" customFormat="false" ht="12.75" hidden="false" customHeight="false" outlineLevel="0" collapsed="false"/>
    <row r="804" customFormat="false" ht="12.75" hidden="false" customHeight="false" outlineLevel="0" collapsed="false"/>
    <row r="805" customFormat="false" ht="12.75" hidden="false" customHeight="false" outlineLevel="0" collapsed="false"/>
    <row r="806" customFormat="false" ht="12.75" hidden="false" customHeight="false" outlineLevel="0" collapsed="false"/>
    <row r="807" customFormat="false" ht="12.75" hidden="false" customHeight="false" outlineLevel="0" collapsed="false"/>
    <row r="808" customFormat="false" ht="12.75" hidden="false" customHeight="false" outlineLevel="0" collapsed="false"/>
    <row r="809" customFormat="false" ht="12.75" hidden="false" customHeight="false" outlineLevel="0" collapsed="false"/>
    <row r="810" customFormat="false" ht="12.75" hidden="false" customHeight="false" outlineLevel="0" collapsed="false"/>
    <row r="811" customFormat="false" ht="12.75" hidden="false" customHeight="false" outlineLevel="0" collapsed="false"/>
    <row r="812" customFormat="false" ht="12.75" hidden="false" customHeight="false" outlineLevel="0" collapsed="false"/>
    <row r="813" customFormat="false" ht="12.75" hidden="false" customHeight="false" outlineLevel="0" collapsed="false"/>
    <row r="814" customFormat="false" ht="12.75" hidden="false" customHeight="false" outlineLevel="0" collapsed="false"/>
    <row r="815" customFormat="false" ht="12.75" hidden="false" customHeight="false" outlineLevel="0" collapsed="false"/>
    <row r="816" customFormat="false" ht="12.75" hidden="false" customHeight="false" outlineLevel="0" collapsed="false"/>
    <row r="817" customFormat="false" ht="12.75" hidden="false" customHeight="false" outlineLevel="0" collapsed="false"/>
    <row r="818" customFormat="false" ht="12.75" hidden="false" customHeight="false" outlineLevel="0" collapsed="false"/>
    <row r="819" customFormat="false" ht="12.75" hidden="false" customHeight="false" outlineLevel="0" collapsed="false"/>
    <row r="820" customFormat="false" ht="12.75" hidden="false" customHeight="false" outlineLevel="0" collapsed="false"/>
    <row r="821" customFormat="false" ht="12.75" hidden="false" customHeight="false" outlineLevel="0" collapsed="false"/>
    <row r="822" customFormat="false" ht="12.75" hidden="false" customHeight="false" outlineLevel="0" collapsed="false"/>
    <row r="823" customFormat="false" ht="12.75" hidden="false" customHeight="false" outlineLevel="0" collapsed="false"/>
    <row r="824" customFormat="false" ht="12.75" hidden="false" customHeight="false" outlineLevel="0" collapsed="false"/>
    <row r="825" customFormat="false" ht="12.75" hidden="false" customHeight="false" outlineLevel="0" collapsed="false"/>
    <row r="826" customFormat="false" ht="12.75" hidden="false" customHeight="false" outlineLevel="0" collapsed="false"/>
    <row r="827" customFormat="false" ht="12.75" hidden="false" customHeight="false" outlineLevel="0" collapsed="false"/>
    <row r="828" customFormat="false" ht="12.75" hidden="false" customHeight="false" outlineLevel="0" collapsed="false"/>
    <row r="829" customFormat="false" ht="12.75" hidden="false" customHeight="false" outlineLevel="0" collapsed="false"/>
    <row r="830" customFormat="false" ht="12.75" hidden="false" customHeight="false" outlineLevel="0" collapsed="false"/>
    <row r="831" customFormat="false" ht="12.75" hidden="false" customHeight="false" outlineLevel="0" collapsed="false"/>
    <row r="832" customFormat="false" ht="12.75" hidden="false" customHeight="false" outlineLevel="0" collapsed="false"/>
    <row r="833" customFormat="false" ht="12.75" hidden="false" customHeight="false" outlineLevel="0" collapsed="false"/>
    <row r="834" customFormat="false" ht="12.75" hidden="false" customHeight="false" outlineLevel="0" collapsed="false"/>
    <row r="835" customFormat="false" ht="12.75" hidden="false" customHeight="false" outlineLevel="0" collapsed="false"/>
    <row r="836" customFormat="false" ht="12.75" hidden="false" customHeight="false" outlineLevel="0" collapsed="false"/>
    <row r="837" customFormat="false" ht="12.75" hidden="false" customHeight="false" outlineLevel="0" collapsed="false"/>
    <row r="838" customFormat="false" ht="12.75" hidden="false" customHeight="false" outlineLevel="0" collapsed="false"/>
    <row r="839" customFormat="false" ht="12.75" hidden="false" customHeight="false" outlineLevel="0" collapsed="false"/>
    <row r="840" customFormat="false" ht="12.75" hidden="false" customHeight="false" outlineLevel="0" collapsed="false"/>
    <row r="841" customFormat="false" ht="12.75" hidden="false" customHeight="false" outlineLevel="0" collapsed="false"/>
    <row r="842" customFormat="false" ht="12.75" hidden="false" customHeight="false" outlineLevel="0" collapsed="false"/>
    <row r="843" customFormat="false" ht="12.75" hidden="false" customHeight="false" outlineLevel="0" collapsed="false"/>
    <row r="844" customFormat="false" ht="12.75" hidden="false" customHeight="false" outlineLevel="0" collapsed="false"/>
    <row r="845" customFormat="false" ht="12.75" hidden="false" customHeight="false" outlineLevel="0" collapsed="false"/>
    <row r="846" customFormat="false" ht="12.75" hidden="false" customHeight="false" outlineLevel="0" collapsed="false"/>
    <row r="847" customFormat="false" ht="12.75" hidden="false" customHeight="false" outlineLevel="0" collapsed="false"/>
    <row r="848" customFormat="false" ht="12.75" hidden="false" customHeight="false" outlineLevel="0" collapsed="false"/>
    <row r="849" customFormat="false" ht="12.75" hidden="false" customHeight="false" outlineLevel="0" collapsed="false"/>
    <row r="850" customFormat="false" ht="12.75" hidden="false" customHeight="false" outlineLevel="0" collapsed="false"/>
    <row r="851" customFormat="false" ht="12.75" hidden="false" customHeight="false" outlineLevel="0" collapsed="false"/>
    <row r="852" customFormat="false" ht="12.75" hidden="false" customHeight="false" outlineLevel="0" collapsed="false"/>
    <row r="853" customFormat="false" ht="12.75" hidden="false" customHeight="false" outlineLevel="0" collapsed="false"/>
    <row r="854" customFormat="false" ht="12.75" hidden="false" customHeight="false" outlineLevel="0" collapsed="false"/>
    <row r="855" customFormat="false" ht="12.75" hidden="false" customHeight="false" outlineLevel="0" collapsed="false"/>
    <row r="856" customFormat="false" ht="12.75" hidden="false" customHeight="false" outlineLevel="0" collapsed="false"/>
    <row r="857" customFormat="false" ht="12.75" hidden="false" customHeight="false" outlineLevel="0" collapsed="false"/>
    <row r="858" customFormat="false" ht="12.75" hidden="false" customHeight="false" outlineLevel="0" collapsed="false"/>
    <row r="859" customFormat="false" ht="12.75" hidden="false" customHeight="false" outlineLevel="0" collapsed="false"/>
    <row r="860" customFormat="false" ht="12.75" hidden="false" customHeight="false" outlineLevel="0" collapsed="false"/>
    <row r="861" customFormat="false" ht="12.75" hidden="false" customHeight="false" outlineLevel="0" collapsed="false"/>
    <row r="862" customFormat="false" ht="12.75" hidden="false" customHeight="false" outlineLevel="0" collapsed="false"/>
    <row r="863" customFormat="false" ht="12.75" hidden="false" customHeight="false" outlineLevel="0" collapsed="false"/>
    <row r="864" customFormat="false" ht="12.75" hidden="false" customHeight="false" outlineLevel="0" collapsed="false"/>
    <row r="865" customFormat="false" ht="12.75" hidden="false" customHeight="false" outlineLevel="0" collapsed="false"/>
    <row r="866" customFormat="false" ht="12.75" hidden="false" customHeight="false" outlineLevel="0" collapsed="false"/>
    <row r="867" customFormat="false" ht="12.75" hidden="false" customHeight="false" outlineLevel="0" collapsed="false"/>
    <row r="868" customFormat="false" ht="12.75" hidden="false" customHeight="false" outlineLevel="0" collapsed="false"/>
    <row r="869" customFormat="false" ht="12.75" hidden="false" customHeight="false" outlineLevel="0" collapsed="false"/>
    <row r="870" customFormat="false" ht="12.75" hidden="false" customHeight="false" outlineLevel="0" collapsed="false"/>
    <row r="871" customFormat="false" ht="12.75" hidden="false" customHeight="false" outlineLevel="0" collapsed="false"/>
    <row r="872" customFormat="false" ht="12.75" hidden="false" customHeight="false" outlineLevel="0" collapsed="false"/>
    <row r="873" customFormat="false" ht="12.75" hidden="false" customHeight="false" outlineLevel="0" collapsed="false"/>
    <row r="874" customFormat="false" ht="12.75" hidden="false" customHeight="false" outlineLevel="0" collapsed="false"/>
    <row r="875" customFormat="false" ht="12.75" hidden="false" customHeight="false" outlineLevel="0" collapsed="false"/>
    <row r="876" customFormat="false" ht="12.75" hidden="false" customHeight="false" outlineLevel="0" collapsed="false"/>
    <row r="877" customFormat="false" ht="12.75" hidden="false" customHeight="false" outlineLevel="0" collapsed="false"/>
    <row r="878" customFormat="false" ht="12.75" hidden="false" customHeight="false" outlineLevel="0" collapsed="false"/>
    <row r="879" customFormat="false" ht="12.75" hidden="false" customHeight="false" outlineLevel="0" collapsed="false"/>
    <row r="880" customFormat="false" ht="12.75" hidden="false" customHeight="false" outlineLevel="0" collapsed="false"/>
    <row r="881" customFormat="false" ht="12.75" hidden="false" customHeight="false" outlineLevel="0" collapsed="false"/>
    <row r="882" customFormat="false" ht="12.75" hidden="false" customHeight="false" outlineLevel="0" collapsed="false"/>
    <row r="883" customFormat="false" ht="12.75" hidden="false" customHeight="false" outlineLevel="0" collapsed="false"/>
    <row r="884" customFormat="false" ht="12.75" hidden="false" customHeight="false" outlineLevel="0" collapsed="false"/>
    <row r="885" customFormat="false" ht="12.75" hidden="false" customHeight="false" outlineLevel="0" collapsed="false"/>
    <row r="886" customFormat="false" ht="12.75" hidden="false" customHeight="false" outlineLevel="0" collapsed="false"/>
    <row r="887" customFormat="false" ht="12.75" hidden="false" customHeight="false" outlineLevel="0" collapsed="false"/>
    <row r="888" customFormat="false" ht="12.75" hidden="false" customHeight="false" outlineLevel="0" collapsed="false"/>
    <row r="889" customFormat="false" ht="12.75" hidden="false" customHeight="false" outlineLevel="0" collapsed="false"/>
    <row r="890" customFormat="false" ht="12.75" hidden="false" customHeight="false" outlineLevel="0" collapsed="false"/>
    <row r="891" customFormat="false" ht="12.75" hidden="false" customHeight="false" outlineLevel="0" collapsed="false"/>
    <row r="892" customFormat="false" ht="12.75" hidden="false" customHeight="false" outlineLevel="0" collapsed="false"/>
    <row r="893" customFormat="false" ht="12.75" hidden="false" customHeight="false" outlineLevel="0" collapsed="false"/>
    <row r="894" customFormat="false" ht="12.75" hidden="false" customHeight="false" outlineLevel="0" collapsed="false"/>
    <row r="895" customFormat="false" ht="12.75" hidden="false" customHeight="false" outlineLevel="0" collapsed="false"/>
    <row r="896" customFormat="false" ht="12.75" hidden="false" customHeight="false" outlineLevel="0" collapsed="false"/>
    <row r="897" customFormat="false" ht="12.75" hidden="false" customHeight="false" outlineLevel="0" collapsed="false"/>
    <row r="898" customFormat="false" ht="12.75" hidden="false" customHeight="false" outlineLevel="0" collapsed="false"/>
    <row r="899" customFormat="false" ht="12.75" hidden="false" customHeight="false" outlineLevel="0" collapsed="false"/>
    <row r="900" customFormat="false" ht="12.75" hidden="false" customHeight="false" outlineLevel="0" collapsed="false"/>
    <row r="901" customFormat="false" ht="12.75" hidden="false" customHeight="false" outlineLevel="0" collapsed="false"/>
    <row r="902" customFormat="false" ht="12.75" hidden="false" customHeight="false" outlineLevel="0" collapsed="false"/>
    <row r="903" customFormat="false" ht="12.75" hidden="false" customHeight="false" outlineLevel="0" collapsed="false"/>
    <row r="904" customFormat="false" ht="12.75" hidden="false" customHeight="false" outlineLevel="0" collapsed="false"/>
    <row r="905" customFormat="false" ht="12.75" hidden="false" customHeight="false" outlineLevel="0" collapsed="false"/>
    <row r="906" customFormat="false" ht="12.75" hidden="false" customHeight="false" outlineLevel="0" collapsed="false"/>
    <row r="907" customFormat="false" ht="12.75" hidden="false" customHeight="false" outlineLevel="0" collapsed="false"/>
    <row r="908" customFormat="false" ht="12.75" hidden="false" customHeight="false" outlineLevel="0" collapsed="false"/>
    <row r="909" customFormat="false" ht="12.75" hidden="false" customHeight="false" outlineLevel="0" collapsed="false"/>
    <row r="910" customFormat="false" ht="12.75" hidden="false" customHeight="false" outlineLevel="0" collapsed="false"/>
    <row r="911" customFormat="false" ht="12.75" hidden="false" customHeight="false" outlineLevel="0" collapsed="false"/>
    <row r="912" customFormat="false" ht="12.75" hidden="false" customHeight="false" outlineLevel="0" collapsed="false"/>
    <row r="913" customFormat="false" ht="12.75" hidden="false" customHeight="false" outlineLevel="0" collapsed="false"/>
    <row r="914" customFormat="false" ht="12.75" hidden="false" customHeight="false" outlineLevel="0" collapsed="false"/>
    <row r="915" customFormat="false" ht="12.75" hidden="false" customHeight="false" outlineLevel="0" collapsed="false"/>
    <row r="916" customFormat="false" ht="12.75" hidden="false" customHeight="false" outlineLevel="0" collapsed="false"/>
    <row r="917" customFormat="false" ht="12.75" hidden="false" customHeight="false" outlineLevel="0" collapsed="false"/>
    <row r="918" customFormat="false" ht="12.75" hidden="false" customHeight="false" outlineLevel="0" collapsed="false"/>
    <row r="919" customFormat="false" ht="12.75" hidden="false" customHeight="false" outlineLevel="0" collapsed="false"/>
    <row r="920" customFormat="false" ht="12.75" hidden="false" customHeight="false" outlineLevel="0" collapsed="false"/>
    <row r="921" customFormat="false" ht="12.75" hidden="false" customHeight="false" outlineLevel="0" collapsed="false"/>
    <row r="922" customFormat="false" ht="12.75" hidden="false" customHeight="false" outlineLevel="0" collapsed="false"/>
    <row r="923" customFormat="false" ht="12.75" hidden="false" customHeight="false" outlineLevel="0" collapsed="false"/>
    <row r="924" customFormat="false" ht="12.75" hidden="false" customHeight="false" outlineLevel="0" collapsed="false"/>
    <row r="925" customFormat="false" ht="12.75" hidden="false" customHeight="false" outlineLevel="0" collapsed="false"/>
    <row r="926" customFormat="false" ht="12.75" hidden="false" customHeight="false" outlineLevel="0" collapsed="false"/>
    <row r="927" customFormat="false" ht="12.75" hidden="false" customHeight="false" outlineLevel="0" collapsed="false"/>
    <row r="928" customFormat="false" ht="12.75" hidden="false" customHeight="false" outlineLevel="0" collapsed="false"/>
    <row r="929" customFormat="false" ht="12.75" hidden="false" customHeight="false" outlineLevel="0" collapsed="false"/>
    <row r="930" customFormat="false" ht="12.75" hidden="false" customHeight="false" outlineLevel="0" collapsed="false"/>
    <row r="931" customFormat="false" ht="12.75" hidden="false" customHeight="false" outlineLevel="0" collapsed="false"/>
    <row r="932" customFormat="false" ht="12.75" hidden="false" customHeight="false" outlineLevel="0" collapsed="false"/>
    <row r="933" customFormat="false" ht="12.75" hidden="false" customHeight="false" outlineLevel="0" collapsed="false"/>
    <row r="934" customFormat="false" ht="12.75" hidden="false" customHeight="false" outlineLevel="0" collapsed="false"/>
    <row r="935" customFormat="false" ht="12.75" hidden="false" customHeight="false" outlineLevel="0" collapsed="false"/>
    <row r="936" customFormat="false" ht="12.75" hidden="false" customHeight="false" outlineLevel="0" collapsed="false"/>
    <row r="937" customFormat="false" ht="12.75" hidden="false" customHeight="false" outlineLevel="0" collapsed="false"/>
    <row r="938" customFormat="false" ht="12.75" hidden="false" customHeight="false" outlineLevel="0" collapsed="false"/>
    <row r="939" customFormat="false" ht="12.75" hidden="false" customHeight="false" outlineLevel="0" collapsed="false"/>
    <row r="940" customFormat="false" ht="12.75" hidden="false" customHeight="false" outlineLevel="0" collapsed="false"/>
    <row r="941" customFormat="false" ht="12.75" hidden="false" customHeight="false" outlineLevel="0" collapsed="false"/>
    <row r="942" customFormat="false" ht="12.75" hidden="false" customHeight="false" outlineLevel="0" collapsed="false"/>
    <row r="943" customFormat="false" ht="12.75" hidden="false" customHeight="false" outlineLevel="0" collapsed="false"/>
    <row r="944" customFormat="false" ht="12.75" hidden="false" customHeight="false" outlineLevel="0" collapsed="false"/>
    <row r="945" customFormat="false" ht="12.75" hidden="false" customHeight="false" outlineLevel="0" collapsed="false"/>
    <row r="946" customFormat="false" ht="12.75" hidden="false" customHeight="false" outlineLevel="0" collapsed="false"/>
    <row r="947" customFormat="false" ht="12.75" hidden="false" customHeight="false" outlineLevel="0" collapsed="false"/>
    <row r="948" customFormat="false" ht="12.75" hidden="false" customHeight="false" outlineLevel="0" collapsed="false"/>
    <row r="949" customFormat="false" ht="12.75" hidden="false" customHeight="false" outlineLevel="0" collapsed="false"/>
    <row r="950" customFormat="false" ht="12.75" hidden="false" customHeight="false" outlineLevel="0" collapsed="false"/>
    <row r="951" customFormat="false" ht="12.75" hidden="false" customHeight="false" outlineLevel="0" collapsed="false"/>
    <row r="952" customFormat="false" ht="12.75" hidden="false" customHeight="false" outlineLevel="0" collapsed="false"/>
    <row r="953" customFormat="false" ht="12.75" hidden="false" customHeight="false" outlineLevel="0" collapsed="false"/>
    <row r="954" customFormat="false" ht="12.75" hidden="false" customHeight="false" outlineLevel="0" collapsed="false"/>
    <row r="955" customFormat="false" ht="12.75" hidden="false" customHeight="false" outlineLevel="0" collapsed="false"/>
    <row r="956" customFormat="false" ht="12.75" hidden="false" customHeight="false" outlineLevel="0" collapsed="false"/>
    <row r="957" customFormat="false" ht="12.75" hidden="false" customHeight="false" outlineLevel="0" collapsed="false"/>
    <row r="958" customFormat="false" ht="12.75" hidden="false" customHeight="false" outlineLevel="0" collapsed="false"/>
    <row r="959" customFormat="false" ht="12.75" hidden="false" customHeight="false" outlineLevel="0" collapsed="false"/>
    <row r="960" customFormat="false" ht="12.75" hidden="false" customHeight="false" outlineLevel="0" collapsed="false"/>
    <row r="961" customFormat="false" ht="12.75" hidden="false" customHeight="false" outlineLevel="0" collapsed="false"/>
    <row r="962" customFormat="false" ht="12.75" hidden="false" customHeight="false" outlineLevel="0" collapsed="false"/>
    <row r="963" customFormat="false" ht="12.75" hidden="false" customHeight="false" outlineLevel="0" collapsed="false"/>
    <row r="964" customFormat="false" ht="12.75" hidden="false" customHeight="false" outlineLevel="0" collapsed="false"/>
    <row r="965" customFormat="false" ht="12.75" hidden="false" customHeight="false" outlineLevel="0" collapsed="false"/>
    <row r="966" customFormat="false" ht="12.75" hidden="false" customHeight="false" outlineLevel="0" collapsed="false"/>
    <row r="967" customFormat="false" ht="12.75" hidden="false" customHeight="false" outlineLevel="0" collapsed="false"/>
    <row r="968" customFormat="false" ht="12.75" hidden="false" customHeight="false" outlineLevel="0" collapsed="false"/>
    <row r="969" customFormat="false" ht="12.75" hidden="false" customHeight="false" outlineLevel="0" collapsed="false"/>
    <row r="970" customFormat="false" ht="12.75" hidden="false" customHeight="false" outlineLevel="0" collapsed="false"/>
    <row r="971" customFormat="false" ht="12.75" hidden="false" customHeight="false" outlineLevel="0" collapsed="false"/>
    <row r="972" customFormat="false" ht="12.75" hidden="false" customHeight="false" outlineLevel="0" collapsed="false"/>
    <row r="973" customFormat="false" ht="12.75" hidden="false" customHeight="false" outlineLevel="0" collapsed="false"/>
    <row r="974" customFormat="false" ht="12.75" hidden="false" customHeight="false" outlineLevel="0" collapsed="false"/>
    <row r="975" customFormat="false" ht="12.75" hidden="false" customHeight="false" outlineLevel="0" collapsed="false"/>
    <row r="976" customFormat="false" ht="12.75" hidden="false" customHeight="false" outlineLevel="0" collapsed="false"/>
    <row r="977" customFormat="false" ht="12.75" hidden="false" customHeight="false" outlineLevel="0" collapsed="false"/>
    <row r="978" customFormat="false" ht="12.75" hidden="false" customHeight="false" outlineLevel="0" collapsed="false"/>
    <row r="979" customFormat="false" ht="12.75" hidden="false" customHeight="false" outlineLevel="0" collapsed="false"/>
    <row r="980" customFormat="false" ht="12.75" hidden="false" customHeight="false" outlineLevel="0" collapsed="false"/>
    <row r="981" customFormat="false" ht="12.75" hidden="false" customHeight="false" outlineLevel="0" collapsed="false"/>
    <row r="982" customFormat="false" ht="12.75" hidden="false" customHeight="false" outlineLevel="0" collapsed="false"/>
    <row r="983" customFormat="false" ht="12.75" hidden="false" customHeight="false" outlineLevel="0" collapsed="false"/>
    <row r="984" customFormat="false" ht="12.75" hidden="false" customHeight="false" outlineLevel="0" collapsed="false"/>
    <row r="985" customFormat="false" ht="12.75" hidden="false" customHeight="false" outlineLevel="0" collapsed="false"/>
    <row r="986" customFormat="false" ht="12.75" hidden="false" customHeight="false" outlineLevel="0" collapsed="false"/>
    <row r="987" customFormat="false" ht="12.75" hidden="false" customHeight="false" outlineLevel="0" collapsed="false"/>
    <row r="988" customFormat="false" ht="12.75" hidden="false" customHeight="false" outlineLevel="0" collapsed="false"/>
    <row r="989" customFormat="false" ht="12.75" hidden="false" customHeight="false" outlineLevel="0" collapsed="false"/>
    <row r="990" customFormat="false" ht="12.75" hidden="false" customHeight="false" outlineLevel="0" collapsed="false"/>
    <row r="991" customFormat="false" ht="12.75" hidden="false" customHeight="false" outlineLevel="0" collapsed="false"/>
    <row r="992" customFormat="false" ht="12.75" hidden="false" customHeight="false" outlineLevel="0" collapsed="false"/>
    <row r="993" customFormat="false" ht="12.75" hidden="false" customHeight="false" outlineLevel="0" collapsed="false"/>
    <row r="994" customFormat="false" ht="12.75" hidden="false" customHeight="false" outlineLevel="0" collapsed="false"/>
    <row r="995" customFormat="false" ht="12.75" hidden="false" customHeight="false" outlineLevel="0" collapsed="false"/>
    <row r="996" customFormat="false" ht="12.75" hidden="false" customHeight="false" outlineLevel="0" collapsed="false"/>
    <row r="997" customFormat="false" ht="12.75" hidden="false" customHeight="false" outlineLevel="0" collapsed="false"/>
    <row r="998" customFormat="false" ht="12.75" hidden="false" customHeight="false" outlineLevel="0" collapsed="false"/>
    <row r="999" customFormat="false" ht="12.75" hidden="false" customHeight="false" outlineLevel="0" collapsed="false"/>
    <row r="1000" customFormat="false" ht="12.75" hidden="false" customHeight="false" outlineLevel="0" collapsed="false"/>
    <row r="1001" customFormat="false" ht="12.75" hidden="false" customHeight="false" outlineLevel="0" collapsed="false"/>
  </sheetData>
  <mergeCells count="1">
    <mergeCell ref="H1:I1"/>
  </mergeCells>
  <conditionalFormatting sqref="H6:H1001">
    <cfRule type="cellIs" priority="2" operator="between" aboveAverage="0" equalAverage="0" bottom="0" percent="0" rank="0" text="" dxfId="0">
      <formula>0</formula>
      <formula>0.5</formula>
    </cfRule>
  </conditionalFormatting>
  <conditionalFormatting sqref="H6:H1001">
    <cfRule type="cellIs" priority="3" operator="between" aboveAverage="0" equalAverage="0" bottom="0" percent="0" rank="0" text="" dxfId="1">
      <formula>0.51</formula>
      <formula>0.99</formula>
    </cfRule>
  </conditionalFormatting>
  <conditionalFormatting sqref="H6:H1001">
    <cfRule type="cellIs" priority="4" operator="greaterThanOrEqual" aboveAverage="0" equalAverage="0" bottom="0" percent="0" rank="0" text="" dxfId="2">
      <formula>1</formula>
    </cfRule>
  </conditionalFormatting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RowHeight="15.75" zeroHeight="false" outlineLevelRow="0" outlineLevelCol="0"/>
  <cols>
    <col collapsed="false" customWidth="true" hidden="false" outlineLevel="0" max="2" min="1" style="0" width="14.43"/>
    <col collapsed="false" customWidth="true" hidden="false" outlineLevel="0" max="3" min="3" style="0" width="22.43"/>
    <col collapsed="false" customWidth="true" hidden="false" outlineLevel="0" max="1025" min="4" style="0" width="14.43"/>
  </cols>
  <sheetData>
    <row r="1" s="26" customFormat="true" ht="48" hidden="false" customHeight="true" outlineLevel="0" collapsed="false">
      <c r="A1" s="23"/>
      <c r="B1" s="23"/>
      <c r="C1" s="23"/>
      <c r="D1" s="23"/>
      <c r="E1" s="24" t="s">
        <v>20</v>
      </c>
      <c r="F1" s="24" t="n">
        <f aca="false">'Cadastro Institucional'!D$6</f>
        <v>0</v>
      </c>
      <c r="G1" s="25" t="n">
        <f aca="false">'Cadastro Institucional'!D$7</f>
        <v>0</v>
      </c>
      <c r="H1" s="41"/>
      <c r="I1" s="41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customFormat="false" ht="12.75" hidden="false" customHeight="false" outlineLevel="0" collapsed="false">
      <c r="A2" s="27" t="s">
        <v>14</v>
      </c>
      <c r="B2" s="27" t="s">
        <v>13</v>
      </c>
      <c r="C2" s="27" t="s">
        <v>15</v>
      </c>
      <c r="D2" s="27" t="s">
        <v>16</v>
      </c>
      <c r="E2" s="27" t="s">
        <v>17</v>
      </c>
      <c r="F2" s="27" t="s">
        <v>18</v>
      </c>
      <c r="G2" s="27" t="s">
        <v>19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customFormat="false" ht="12.75" hidden="false" customHeight="false" outlineLevel="0" collapsed="false">
      <c r="A3" s="30" t="n">
        <f aca="false">'Cadastro Institucional'!D$10</f>
        <v>0</v>
      </c>
      <c r="B3" s="31" t="n">
        <f aca="false">'Cadastro Institucional'!D$9</f>
        <v>0</v>
      </c>
      <c r="C3" s="31" t="n">
        <f aca="false">'Cadastro Institucional'!D$11</f>
        <v>0</v>
      </c>
      <c r="D3" s="32" t="n">
        <f aca="false">'Cadastro Institucional'!D$12</f>
        <v>0</v>
      </c>
      <c r="E3" s="31" t="n">
        <f aca="false">'Cadastro Institucional'!D$13</f>
        <v>0</v>
      </c>
      <c r="F3" s="31" t="n">
        <f aca="false">'Cadastro Institucional'!D$14</f>
        <v>0</v>
      </c>
      <c r="G3" s="33" t="n">
        <f aca="false">'Cadastro Institucional'!D$15</f>
        <v>0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customFormat="false" ht="12.75" hidden="false" customHeight="false" outlineLevel="0" collapsed="false">
      <c r="A4" s="55"/>
      <c r="B4" s="55"/>
      <c r="C4" s="55"/>
      <c r="D4" s="55"/>
      <c r="E4" s="55"/>
      <c r="F4" s="55"/>
      <c r="G4" s="55"/>
      <c r="H4" s="55"/>
      <c r="I4" s="29"/>
      <c r="J4" s="29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 customFormat="false" ht="25.5" hidden="false" customHeight="false" outlineLevel="0" collapsed="false">
      <c r="A5" s="18" t="s">
        <v>34</v>
      </c>
      <c r="B5" s="18" t="s">
        <v>21</v>
      </c>
      <c r="C5" s="66" t="s">
        <v>28</v>
      </c>
      <c r="D5" s="67" t="s">
        <v>29</v>
      </c>
      <c r="E5" s="66" t="s">
        <v>30</v>
      </c>
      <c r="F5" s="66" t="s">
        <v>31</v>
      </c>
      <c r="G5" s="66" t="s">
        <v>32</v>
      </c>
      <c r="H5" s="67" t="s">
        <v>33</v>
      </c>
      <c r="I5" s="6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</row>
    <row r="6" customFormat="false" ht="12.75" hidden="false" customHeight="false" outlineLevel="0" collapsed="false">
      <c r="A6" s="29" t="n">
        <f aca="false">Etapas!A6</f>
        <v>1</v>
      </c>
      <c r="B6" s="29" t="n">
        <f aca="false">Etapas!B6</f>
        <v>0</v>
      </c>
      <c r="C6" s="59" t="n">
        <f aca="false">SUMIF('Medição 01'!$A:$A,$B6,'Medição 01'!D:D)</f>
        <v>0</v>
      </c>
      <c r="D6" s="60" t="n">
        <f aca="false">SUMIF('Medição 01'!$A:$A,$B6,'Medição 01'!E:E)</f>
        <v>0</v>
      </c>
      <c r="E6" s="59" t="n">
        <f aca="false">SUMIF('Medição 01'!$A:$A,$B6,'Medição 01'!F:F)</f>
        <v>0</v>
      </c>
      <c r="F6" s="59" t="n">
        <f aca="false">SUMIF('Medição 01'!$A:$A,$B6,'Medição 01'!G:G)</f>
        <v>0</v>
      </c>
      <c r="G6" s="61" t="e">
        <f aca="false">F6/C6</f>
        <v>#DIV/0!</v>
      </c>
      <c r="H6" s="60" t="n">
        <f aca="false">SUMIF('Medição 01'!$A:$A,$B6,'Medição 01'!I:I)</f>
        <v>0</v>
      </c>
      <c r="I6" s="64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customFormat="false" ht="12.75" hidden="false" customHeight="false" outlineLevel="0" collapsed="false">
      <c r="A7" s="37" t="n">
        <f aca="false">Etapas!A7</f>
        <v>2</v>
      </c>
      <c r="B7" s="37" t="n">
        <f aca="false">Etapas!B7</f>
        <v>0</v>
      </c>
      <c r="C7" s="62" t="n">
        <f aca="false">SUMIF('Medição 01'!$A:$A,$B7,'Medição 01'!D:D)</f>
        <v>0</v>
      </c>
      <c r="D7" s="63" t="n">
        <f aca="false">SUMIF('Medição 01'!$A:$A,$B7,'Medição 01'!E:E)</f>
        <v>0</v>
      </c>
      <c r="E7" s="62" t="n">
        <f aca="false">SUMIF('Medição 01'!$A:$A,$B7,'Medição 01'!F:F)</f>
        <v>0</v>
      </c>
      <c r="F7" s="62" t="n">
        <f aca="false">SUMIF('Medição 01'!$A:$A,$B7,'Medição 01'!G:G)</f>
        <v>0</v>
      </c>
      <c r="G7" s="64" t="e">
        <f aca="false">F7/C7</f>
        <v>#DIV/0!</v>
      </c>
      <c r="H7" s="63" t="n">
        <f aca="false">SUMIF('Medição 01'!$A:$A,$B7,'Medição 01'!I:I)</f>
        <v>0</v>
      </c>
      <c r="I7" s="64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customFormat="false" ht="12.75" hidden="false" customHeight="false" outlineLevel="0" collapsed="false">
      <c r="A8" s="37" t="n">
        <f aca="false">Etapas!A8</f>
        <v>3</v>
      </c>
      <c r="B8" s="37" t="n">
        <f aca="false">Etapas!B8</f>
        <v>0</v>
      </c>
      <c r="C8" s="62" t="n">
        <f aca="false">SUMIF('Medição 01'!$A:$A,$B8,'Medição 01'!D:D)</f>
        <v>0</v>
      </c>
      <c r="D8" s="63" t="n">
        <f aca="false">SUMIF('Medição 01'!$A:$A,$B8,'Medição 01'!E:E)</f>
        <v>0</v>
      </c>
      <c r="E8" s="62" t="n">
        <f aca="false">SUMIF('Medição 01'!$A:$A,$B8,'Medição 01'!F:F)</f>
        <v>0</v>
      </c>
      <c r="F8" s="62" t="n">
        <f aca="false">SUMIF('Medição 01'!$A:$A,$B8,'Medição 01'!G:G)</f>
        <v>0</v>
      </c>
      <c r="G8" s="64" t="e">
        <f aca="false">F8/C8</f>
        <v>#DIV/0!</v>
      </c>
      <c r="H8" s="63" t="n">
        <f aca="false">SUMIF('Medição 01'!$A:$A,$B8,'Medição 01'!I:I)</f>
        <v>0</v>
      </c>
      <c r="I8" s="64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customFormat="false" ht="12.75" hidden="false" customHeight="false" outlineLevel="0" collapsed="false">
      <c r="A9" s="37" t="n">
        <f aca="false">Etapas!A9</f>
        <v>4</v>
      </c>
      <c r="B9" s="37" t="n">
        <f aca="false">Etapas!B9</f>
        <v>0</v>
      </c>
      <c r="C9" s="62" t="n">
        <f aca="false">SUMIF('Medição 01'!$A:$A,$B9,'Medição 01'!D:D)</f>
        <v>0</v>
      </c>
      <c r="D9" s="63" t="n">
        <f aca="false">SUMIF('Medição 01'!$A:$A,$B9,'Medição 01'!E:E)</f>
        <v>0</v>
      </c>
      <c r="E9" s="62" t="n">
        <f aca="false">SUMIF('Medição 01'!$A:$A,$B9,'Medição 01'!F:F)</f>
        <v>0</v>
      </c>
      <c r="F9" s="62" t="n">
        <f aca="false">SUMIF('Medição 01'!$A:$A,$B9,'Medição 01'!G:G)</f>
        <v>0</v>
      </c>
      <c r="G9" s="64" t="e">
        <f aca="false">F9/C9</f>
        <v>#DIV/0!</v>
      </c>
      <c r="H9" s="63" t="n">
        <f aca="false">SUMIF('Medição 01'!$A:$A,$B9,'Medição 01'!I:I)</f>
        <v>0</v>
      </c>
      <c r="I9" s="64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 customFormat="false" ht="12.75" hidden="false" customHeight="false" outlineLevel="0" collapsed="false">
      <c r="A10" s="37" t="n">
        <f aca="false">Etapas!A10</f>
        <v>5</v>
      </c>
      <c r="B10" s="37" t="n">
        <f aca="false">Etapas!B10</f>
        <v>0</v>
      </c>
      <c r="C10" s="62" t="n">
        <f aca="false">SUMIF('Medição 01'!$A:$A,$B10,'Medição 01'!D:D)</f>
        <v>0</v>
      </c>
      <c r="D10" s="63" t="n">
        <f aca="false">SUMIF('Medição 01'!$A:$A,$B10,'Medição 01'!E:E)</f>
        <v>0</v>
      </c>
      <c r="E10" s="62" t="n">
        <f aca="false">SUMIF('Medição 01'!$A:$A,$B10,'Medição 01'!F:F)</f>
        <v>0</v>
      </c>
      <c r="F10" s="62" t="n">
        <f aca="false">SUMIF('Medição 01'!$A:$A,$B10,'Medição 01'!G:G)</f>
        <v>0</v>
      </c>
      <c r="G10" s="64" t="e">
        <f aca="false">F10/C10</f>
        <v>#DIV/0!</v>
      </c>
      <c r="H10" s="63" t="n">
        <f aca="false">SUMIF('Medição 01'!$A:$A,$B10,'Medição 01'!I:I)</f>
        <v>0</v>
      </c>
      <c r="I10" s="64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 customFormat="false" ht="12.75" hidden="false" customHeight="false" outlineLevel="0" collapsed="false">
      <c r="A11" s="37" t="n">
        <f aca="false">Etapas!A11</f>
        <v>6</v>
      </c>
      <c r="B11" s="37" t="n">
        <f aca="false">Etapas!B11</f>
        <v>0</v>
      </c>
      <c r="C11" s="62" t="n">
        <f aca="false">SUMIF('Medição 01'!$A:$A,$B11,'Medição 01'!D:D)</f>
        <v>0</v>
      </c>
      <c r="D11" s="63" t="n">
        <f aca="false">SUMIF('Medição 01'!$A:$A,$B11,'Medição 01'!E:E)</f>
        <v>0</v>
      </c>
      <c r="E11" s="62" t="n">
        <f aca="false">SUMIF('Medição 01'!$A:$A,$B11,'Medição 01'!F:F)</f>
        <v>0</v>
      </c>
      <c r="F11" s="62" t="n">
        <f aca="false">SUMIF('Medição 01'!$A:$A,$B11,'Medição 01'!G:G)</f>
        <v>0</v>
      </c>
      <c r="G11" s="64" t="e">
        <f aca="false">F11/C11</f>
        <v>#DIV/0!</v>
      </c>
      <c r="H11" s="63" t="n">
        <f aca="false">SUMIF('Medição 01'!$A:$A,$B11,'Medição 01'!I:I)</f>
        <v>0</v>
      </c>
      <c r="I11" s="64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 customFormat="false" ht="12.75" hidden="false" customHeight="false" outlineLevel="0" collapsed="false">
      <c r="A12" s="37" t="n">
        <f aca="false">Etapas!A12</f>
        <v>7</v>
      </c>
      <c r="B12" s="37" t="n">
        <f aca="false">Etapas!B12</f>
        <v>0</v>
      </c>
      <c r="C12" s="62" t="n">
        <f aca="false">SUMIF('Medição 01'!$A:$A,$B12,'Medição 01'!D:D)</f>
        <v>0</v>
      </c>
      <c r="D12" s="63" t="n">
        <f aca="false">SUMIF('Medição 01'!$A:$A,$B12,'Medição 01'!E:E)</f>
        <v>0</v>
      </c>
      <c r="E12" s="62" t="n">
        <f aca="false">SUMIF('Medição 01'!$A:$A,$B12,'Medição 01'!F:F)</f>
        <v>0</v>
      </c>
      <c r="F12" s="62" t="n">
        <f aca="false">SUMIF('Medição 01'!$A:$A,$B12,'Medição 01'!G:G)</f>
        <v>0</v>
      </c>
      <c r="G12" s="64" t="e">
        <f aca="false">F12/C12</f>
        <v>#DIV/0!</v>
      </c>
      <c r="H12" s="63" t="n">
        <f aca="false">SUMIF('Medição 01'!$A:$A,$B12,'Medição 01'!I:I)</f>
        <v>0</v>
      </c>
      <c r="I12" s="64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 customFormat="false" ht="12.75" hidden="false" customHeight="false" outlineLevel="0" collapsed="false">
      <c r="A13" s="37" t="n">
        <f aca="false">Etapas!A13</f>
        <v>8</v>
      </c>
      <c r="B13" s="37" t="n">
        <f aca="false">Etapas!B13</f>
        <v>0</v>
      </c>
      <c r="C13" s="62" t="n">
        <f aca="false">SUMIF('Medição 01'!$A:$A,$B13,'Medição 01'!D:D)</f>
        <v>0</v>
      </c>
      <c r="D13" s="63" t="n">
        <f aca="false">SUMIF('Medição 01'!$A:$A,$B13,'Medição 01'!E:E)</f>
        <v>0</v>
      </c>
      <c r="E13" s="62" t="n">
        <f aca="false">SUMIF('Medição 01'!$A:$A,$B13,'Medição 01'!F:F)</f>
        <v>0</v>
      </c>
      <c r="F13" s="62" t="n">
        <f aca="false">SUMIF('Medição 01'!$A:$A,$B13,'Medição 01'!G:G)</f>
        <v>0</v>
      </c>
      <c r="G13" s="64" t="e">
        <f aca="false">F13/C13</f>
        <v>#DIV/0!</v>
      </c>
      <c r="H13" s="63" t="n">
        <f aca="false">SUMIF('Medição 01'!$A:$A,$B13,'Medição 01'!I:I)</f>
        <v>0</v>
      </c>
      <c r="I13" s="64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customFormat="false" ht="12.75" hidden="false" customHeight="false" outlineLevel="0" collapsed="false">
      <c r="A14" s="37" t="n">
        <f aca="false">Etapas!A14</f>
        <v>9</v>
      </c>
      <c r="B14" s="37" t="n">
        <f aca="false">Etapas!B14</f>
        <v>0</v>
      </c>
      <c r="C14" s="62" t="n">
        <f aca="false">SUMIF('Medição 01'!$A:$A,$B14,'Medição 01'!D:D)</f>
        <v>0</v>
      </c>
      <c r="D14" s="63" t="n">
        <f aca="false">SUMIF('Medição 01'!$A:$A,$B14,'Medição 01'!E:E)</f>
        <v>0</v>
      </c>
      <c r="E14" s="62" t="n">
        <f aca="false">SUMIF('Medição 01'!$A:$A,$B14,'Medição 01'!F:F)</f>
        <v>0</v>
      </c>
      <c r="F14" s="62" t="n">
        <f aca="false">SUMIF('Medição 01'!$A:$A,$B14,'Medição 01'!G:G)</f>
        <v>0</v>
      </c>
      <c r="G14" s="64" t="e">
        <f aca="false">F14/C14</f>
        <v>#DIV/0!</v>
      </c>
      <c r="H14" s="63" t="n">
        <f aca="false">SUMIF('Medição 01'!$A:$A,$B14,'Medição 01'!I:I)</f>
        <v>0</v>
      </c>
      <c r="I14" s="64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 customFormat="false" ht="12.75" hidden="false" customHeight="false" outlineLevel="0" collapsed="false">
      <c r="A15" s="37" t="n">
        <f aca="false">Etapas!A15</f>
        <v>10</v>
      </c>
      <c r="B15" s="37" t="n">
        <f aca="false">Etapas!B15</f>
        <v>0</v>
      </c>
      <c r="C15" s="62" t="n">
        <f aca="false">SUMIF('Medição 01'!$A:$A,$B15,'Medição 01'!D:D)</f>
        <v>0</v>
      </c>
      <c r="D15" s="63" t="n">
        <f aca="false">SUMIF('Medição 01'!$A:$A,$B15,'Medição 01'!E:E)</f>
        <v>0</v>
      </c>
      <c r="E15" s="62" t="n">
        <f aca="false">SUMIF('Medição 01'!$A:$A,$B15,'Medição 01'!F:F)</f>
        <v>0</v>
      </c>
      <c r="F15" s="62" t="n">
        <f aca="false">SUMIF('Medição 01'!$A:$A,$B15,'Medição 01'!G:G)</f>
        <v>0</v>
      </c>
      <c r="G15" s="64" t="e">
        <f aca="false">F15/C15</f>
        <v>#DIV/0!</v>
      </c>
      <c r="H15" s="63" t="n">
        <f aca="false">SUMIF('Medição 01'!$A:$A,$B15,'Medição 01'!I:I)</f>
        <v>0</v>
      </c>
      <c r="I15" s="64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customFormat="false" ht="12.75" hidden="false" customHeight="false" outlineLevel="0" collapsed="false">
      <c r="A16" s="37" t="n">
        <f aca="false">Etapas!A16</f>
        <v>11</v>
      </c>
      <c r="B16" s="37" t="n">
        <f aca="false">Etapas!B16</f>
        <v>0</v>
      </c>
      <c r="C16" s="62" t="n">
        <f aca="false">SUMIF('Medição 01'!$A:$A,$B16,'Medição 01'!D:D)</f>
        <v>0</v>
      </c>
      <c r="D16" s="63" t="n">
        <f aca="false">SUMIF('Medição 01'!$A:$A,$B16,'Medição 01'!E:E)</f>
        <v>0</v>
      </c>
      <c r="E16" s="62" t="n">
        <f aca="false">SUMIF('Medição 01'!$A:$A,$B16,'Medição 01'!F:F)</f>
        <v>0</v>
      </c>
      <c r="F16" s="62" t="n">
        <f aca="false">SUMIF('Medição 01'!$A:$A,$B16,'Medição 01'!G:G)</f>
        <v>0</v>
      </c>
      <c r="G16" s="64" t="e">
        <f aca="false">F16/C16</f>
        <v>#DIV/0!</v>
      </c>
      <c r="H16" s="63" t="n">
        <f aca="false">SUMIF('Medição 01'!$A:$A,$B16,'Medição 01'!I:I)</f>
        <v>0</v>
      </c>
      <c r="I16" s="64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7" customFormat="false" ht="12.75" hidden="false" customHeight="false" outlineLevel="0" collapsed="false">
      <c r="A17" s="37" t="n">
        <f aca="false">Etapas!A17</f>
        <v>12</v>
      </c>
      <c r="B17" s="37" t="n">
        <f aca="false">Etapas!B17</f>
        <v>0</v>
      </c>
      <c r="C17" s="62" t="n">
        <f aca="false">SUMIF('Medição 01'!$A:$A,$B17,'Medição 01'!D:D)</f>
        <v>0</v>
      </c>
      <c r="D17" s="63" t="n">
        <f aca="false">SUMIF('Medição 01'!$A:$A,$B17,'Medição 01'!E:E)</f>
        <v>0</v>
      </c>
      <c r="E17" s="62" t="n">
        <f aca="false">SUMIF('Medição 01'!$A:$A,$B17,'Medição 01'!F:F)</f>
        <v>0</v>
      </c>
      <c r="F17" s="62" t="n">
        <f aca="false">SUMIF('Medição 01'!$A:$A,$B17,'Medição 01'!G:G)</f>
        <v>0</v>
      </c>
      <c r="G17" s="64" t="e">
        <f aca="false">F17/C17</f>
        <v>#DIV/0!</v>
      </c>
      <c r="H17" s="63" t="n">
        <f aca="false">SUMIF('Medição 01'!$A:$A,$B17,'Medição 01'!I:I)</f>
        <v>0</v>
      </c>
      <c r="I17" s="64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</row>
    <row r="18" customFormat="false" ht="12.75" hidden="false" customHeight="false" outlineLevel="0" collapsed="false">
      <c r="A18" s="37" t="n">
        <f aca="false">Etapas!A18</f>
        <v>13</v>
      </c>
      <c r="B18" s="37" t="n">
        <f aca="false">Etapas!B18</f>
        <v>0</v>
      </c>
      <c r="C18" s="62" t="n">
        <f aca="false">SUMIF('Medição 01'!$A:$A,$B18,'Medição 01'!D:D)</f>
        <v>0</v>
      </c>
      <c r="D18" s="63" t="n">
        <f aca="false">SUMIF('Medição 01'!$A:$A,$B18,'Medição 01'!E:E)</f>
        <v>0</v>
      </c>
      <c r="E18" s="62" t="n">
        <f aca="false">SUMIF('Medição 01'!$A:$A,$B18,'Medição 01'!F:F)</f>
        <v>0</v>
      </c>
      <c r="F18" s="62" t="n">
        <f aca="false">SUMIF('Medição 01'!$A:$A,$B18,'Medição 01'!G:G)</f>
        <v>0</v>
      </c>
      <c r="G18" s="64" t="e">
        <f aca="false">F18/C18</f>
        <v>#DIV/0!</v>
      </c>
      <c r="H18" s="63" t="n">
        <f aca="false">SUMIF('Medição 01'!$A:$A,$B18,'Medição 01'!I:I)</f>
        <v>0</v>
      </c>
      <c r="I18" s="64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</row>
    <row r="19" customFormat="false" ht="12.75" hidden="false" customHeight="false" outlineLevel="0" collapsed="false">
      <c r="A19" s="37" t="n">
        <f aca="false">Etapas!A19</f>
        <v>14</v>
      </c>
      <c r="B19" s="37" t="n">
        <f aca="false">Etapas!B19</f>
        <v>0</v>
      </c>
      <c r="C19" s="62" t="n">
        <f aca="false">SUMIF('Medição 01'!$A:$A,$B19,'Medição 01'!D:D)</f>
        <v>0</v>
      </c>
      <c r="D19" s="63" t="n">
        <f aca="false">SUMIF('Medição 01'!$A:$A,$B19,'Medição 01'!E:E)</f>
        <v>0</v>
      </c>
      <c r="E19" s="62" t="n">
        <f aca="false">SUMIF('Medição 01'!$A:$A,$B19,'Medição 01'!F:F)</f>
        <v>0</v>
      </c>
      <c r="F19" s="62" t="n">
        <f aca="false">SUMIF('Medição 01'!$A:$A,$B19,'Medição 01'!G:G)</f>
        <v>0</v>
      </c>
      <c r="G19" s="64" t="e">
        <f aca="false">F19/C19</f>
        <v>#DIV/0!</v>
      </c>
      <c r="H19" s="63" t="n">
        <f aca="false">SUMIF('Medição 01'!$A:$A,$B19,'Medição 01'!I:I)</f>
        <v>0</v>
      </c>
      <c r="I19" s="64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</row>
    <row r="20" customFormat="false" ht="12.75" hidden="false" customHeight="false" outlineLevel="0" collapsed="false">
      <c r="A20" s="37" t="n">
        <f aca="false">Etapas!A20</f>
        <v>15</v>
      </c>
      <c r="B20" s="37" t="n">
        <f aca="false">Etapas!B20</f>
        <v>0</v>
      </c>
      <c r="C20" s="62" t="n">
        <f aca="false">SUMIF('Medição 01'!$A:$A,$B20,'Medição 01'!D:D)</f>
        <v>0</v>
      </c>
      <c r="D20" s="63" t="n">
        <f aca="false">SUMIF('Medição 01'!$A:$A,$B20,'Medição 01'!E:E)</f>
        <v>0</v>
      </c>
      <c r="E20" s="62" t="n">
        <f aca="false">SUMIF('Medição 01'!$A:$A,$B20,'Medição 01'!F:F)</f>
        <v>0</v>
      </c>
      <c r="F20" s="62" t="n">
        <f aca="false">SUMIF('Medição 01'!$A:$A,$B20,'Medição 01'!G:G)</f>
        <v>0</v>
      </c>
      <c r="G20" s="64" t="e">
        <f aca="false">F20/C20</f>
        <v>#DIV/0!</v>
      </c>
      <c r="H20" s="63" t="n">
        <f aca="false">SUMIF('Medição 01'!$A:$A,$B20,'Medição 01'!I:I)</f>
        <v>0</v>
      </c>
      <c r="I20" s="64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</row>
    <row r="21" customFormat="false" ht="12.75" hidden="false" customHeight="false" outlineLevel="0" collapsed="false">
      <c r="A21" s="37" t="n">
        <f aca="false">Etapas!A21</f>
        <v>16</v>
      </c>
      <c r="B21" s="37" t="n">
        <f aca="false">Etapas!B21</f>
        <v>0</v>
      </c>
      <c r="C21" s="62" t="n">
        <f aca="false">SUMIF('Medição 01'!$A:$A,$B21,'Medição 01'!D:D)</f>
        <v>0</v>
      </c>
      <c r="D21" s="63" t="n">
        <f aca="false">SUMIF('Medição 01'!$A:$A,$B21,'Medição 01'!E:E)</f>
        <v>0</v>
      </c>
      <c r="E21" s="62" t="n">
        <f aca="false">SUMIF('Medição 01'!$A:$A,$B21,'Medição 01'!F:F)</f>
        <v>0</v>
      </c>
      <c r="F21" s="62" t="n">
        <f aca="false">SUMIF('Medição 01'!$A:$A,$B21,'Medição 01'!G:G)</f>
        <v>0</v>
      </c>
      <c r="G21" s="64" t="e">
        <f aca="false">F21/C21</f>
        <v>#DIV/0!</v>
      </c>
      <c r="H21" s="63" t="n">
        <f aca="false">SUMIF('Medição 01'!$A:$A,$B21,'Medição 01'!I:I)</f>
        <v>0</v>
      </c>
      <c r="I21" s="64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customFormat="false" ht="12.75" hidden="false" customHeight="false" outlineLevel="0" collapsed="false">
      <c r="A22" s="37" t="n">
        <f aca="false">Etapas!A22</f>
        <v>17</v>
      </c>
      <c r="B22" s="37" t="n">
        <f aca="false">Etapas!B22</f>
        <v>0</v>
      </c>
      <c r="C22" s="62" t="n">
        <f aca="false">SUMIF('Medição 01'!$A:$A,$B22,'Medição 01'!D:D)</f>
        <v>0</v>
      </c>
      <c r="D22" s="63" t="n">
        <f aca="false">SUMIF('Medição 01'!$A:$A,$B22,'Medição 01'!E:E)</f>
        <v>0</v>
      </c>
      <c r="E22" s="62" t="n">
        <f aca="false">SUMIF('Medição 01'!$A:$A,$B22,'Medição 01'!F:F)</f>
        <v>0</v>
      </c>
      <c r="F22" s="62" t="n">
        <f aca="false">SUMIF('Medição 01'!$A:$A,$B22,'Medição 01'!G:G)</f>
        <v>0</v>
      </c>
      <c r="G22" s="64" t="e">
        <f aca="false">F22/C22</f>
        <v>#DIV/0!</v>
      </c>
      <c r="H22" s="63" t="n">
        <f aca="false">SUMIF('Medição 01'!$A:$A,$B22,'Medição 01'!I:I)</f>
        <v>0</v>
      </c>
      <c r="I22" s="64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  <row r="23" customFormat="false" ht="12.75" hidden="false" customHeight="false" outlineLevel="0" collapsed="false">
      <c r="A23" s="37" t="n">
        <f aca="false">Etapas!A23</f>
        <v>18</v>
      </c>
      <c r="B23" s="37" t="n">
        <f aca="false">Etapas!B23</f>
        <v>0</v>
      </c>
      <c r="C23" s="62" t="n">
        <f aca="false">SUMIF('Medição 01'!$A:$A,$B23,'Medição 01'!D:D)</f>
        <v>0</v>
      </c>
      <c r="D23" s="63" t="n">
        <f aca="false">SUMIF('Medição 01'!$A:$A,$B23,'Medição 01'!E:E)</f>
        <v>0</v>
      </c>
      <c r="E23" s="62" t="n">
        <f aca="false">SUMIF('Medição 01'!$A:$A,$B23,'Medição 01'!F:F)</f>
        <v>0</v>
      </c>
      <c r="F23" s="62" t="n">
        <f aca="false">SUMIF('Medição 01'!$A:$A,$B23,'Medição 01'!G:G)</f>
        <v>0</v>
      </c>
      <c r="G23" s="64" t="e">
        <f aca="false">F23/C23</f>
        <v>#DIV/0!</v>
      </c>
      <c r="H23" s="63" t="n">
        <f aca="false">SUMIF('Medição 01'!$A:$A,$B23,'Medição 01'!I:I)</f>
        <v>0</v>
      </c>
      <c r="I23" s="64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</row>
    <row r="24" customFormat="false" ht="12.75" hidden="false" customHeight="false" outlineLevel="0" collapsed="false">
      <c r="A24" s="37" t="n">
        <f aca="false">Etapas!A24</f>
        <v>19</v>
      </c>
      <c r="B24" s="37" t="n">
        <f aca="false">Etapas!B24</f>
        <v>0</v>
      </c>
      <c r="C24" s="62" t="n">
        <f aca="false">SUMIF('Medição 01'!$A:$A,$B24,'Medição 01'!D:D)</f>
        <v>0</v>
      </c>
      <c r="D24" s="63" t="n">
        <f aca="false">SUMIF('Medição 01'!$A:$A,$B24,'Medição 01'!E:E)</f>
        <v>0</v>
      </c>
      <c r="E24" s="62" t="n">
        <f aca="false">SUMIF('Medição 01'!$A:$A,$B24,'Medição 01'!F:F)</f>
        <v>0</v>
      </c>
      <c r="F24" s="62" t="n">
        <f aca="false">SUMIF('Medição 01'!$A:$A,$B24,'Medição 01'!G:G)</f>
        <v>0</v>
      </c>
      <c r="G24" s="64" t="e">
        <f aca="false">F24/C24</f>
        <v>#DIV/0!</v>
      </c>
      <c r="H24" s="63" t="n">
        <f aca="false">SUMIF('Medição 01'!$A:$A,$B24,'Medição 01'!I:I)</f>
        <v>0</v>
      </c>
      <c r="I24" s="64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</row>
    <row r="25" customFormat="false" ht="12.75" hidden="false" customHeight="false" outlineLevel="0" collapsed="false">
      <c r="A25" s="37" t="n">
        <f aca="false">Etapas!A25</f>
        <v>20</v>
      </c>
      <c r="B25" s="37" t="n">
        <f aca="false">Etapas!B25</f>
        <v>0</v>
      </c>
      <c r="C25" s="62" t="n">
        <f aca="false">SUMIF('Medição 01'!$A:$A,$B25,'Medição 01'!D:D)</f>
        <v>0</v>
      </c>
      <c r="D25" s="63" t="n">
        <f aca="false">SUMIF('Medição 01'!$A:$A,$B25,'Medição 01'!E:E)</f>
        <v>0</v>
      </c>
      <c r="E25" s="62" t="n">
        <f aca="false">SUMIF('Medição 01'!$A:$A,$B25,'Medição 01'!F:F)</f>
        <v>0</v>
      </c>
      <c r="F25" s="62" t="n">
        <f aca="false">SUMIF('Medição 01'!$A:$A,$B25,'Medição 01'!G:G)</f>
        <v>0</v>
      </c>
      <c r="G25" s="64" t="e">
        <f aca="false">F25/C25</f>
        <v>#DIV/0!</v>
      </c>
      <c r="H25" s="63" t="n">
        <f aca="false">SUMIF('Medição 01'!$A:$A,$B25,'Medição 01'!I:I)</f>
        <v>0</v>
      </c>
      <c r="I25" s="64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</row>
    <row r="26" customFormat="false" ht="12.75" hidden="false" customHeight="false" outlineLevel="0" collapsed="false"/>
    <row r="27" customFormat="false" ht="12.75" hidden="false" customHeight="false" outlineLevel="0" collapsed="false"/>
    <row r="28" customFormat="false" ht="12.75" hidden="false" customHeight="false" outlineLevel="0" collapsed="false"/>
    <row r="29" customFormat="false" ht="12.75" hidden="false" customHeight="false" outlineLevel="0" collapsed="false"/>
    <row r="30" customFormat="false" ht="12.75" hidden="false" customHeight="false" outlineLevel="0" collapsed="false"/>
    <row r="31" customFormat="false" ht="12.75" hidden="false" customHeight="false" outlineLevel="0" collapsed="false"/>
    <row r="32" customFormat="false" ht="12.75" hidden="false" customHeight="false" outlineLevel="0" collapsed="false"/>
    <row r="33" customFormat="false" ht="12.75" hidden="false" customHeight="false" outlineLevel="0" collapsed="false"/>
    <row r="34" customFormat="false" ht="12.75" hidden="false" customHeight="false" outlineLevel="0" collapsed="false"/>
    <row r="35" customFormat="false" ht="12.75" hidden="false" customHeight="false" outlineLevel="0" collapsed="false"/>
    <row r="36" customFormat="false" ht="12.75" hidden="false" customHeight="false" outlineLevel="0" collapsed="false"/>
    <row r="37" customFormat="false" ht="12.75" hidden="false" customHeight="false" outlineLevel="0" collapsed="false"/>
    <row r="38" customFormat="false" ht="12.75" hidden="false" customHeight="false" outlineLevel="0" collapsed="false"/>
    <row r="39" customFormat="false" ht="12.75" hidden="false" customHeight="false" outlineLevel="0" collapsed="false"/>
    <row r="40" customFormat="false" ht="12.75" hidden="false" customHeight="false" outlineLevel="0" collapsed="false"/>
    <row r="41" customFormat="false" ht="12.75" hidden="false" customHeight="false" outlineLevel="0" collapsed="false"/>
    <row r="42" customFormat="false" ht="12.75" hidden="false" customHeight="false" outlineLevel="0" collapsed="false"/>
    <row r="43" customFormat="false" ht="12.75" hidden="false" customHeight="false" outlineLevel="0" collapsed="false"/>
    <row r="44" customFormat="false" ht="12.75" hidden="false" customHeight="false" outlineLevel="0" collapsed="false"/>
    <row r="45" customFormat="false" ht="12.75" hidden="false" customHeight="false" outlineLevel="0" collapsed="false"/>
    <row r="46" customFormat="false" ht="12.75" hidden="false" customHeight="false" outlineLevel="0" collapsed="false"/>
    <row r="47" customFormat="false" ht="12.75" hidden="false" customHeight="false" outlineLevel="0" collapsed="false"/>
    <row r="48" customFormat="false" ht="12.75" hidden="false" customHeight="false" outlineLevel="0" collapsed="false"/>
    <row r="49" customFormat="false" ht="12.75" hidden="false" customHeight="false" outlineLevel="0" collapsed="false"/>
    <row r="50" customFormat="false" ht="12.75" hidden="false" customHeight="false" outlineLevel="0" collapsed="false"/>
    <row r="51" customFormat="false" ht="12.75" hidden="false" customHeight="false" outlineLevel="0" collapsed="false"/>
    <row r="52" customFormat="false" ht="12.75" hidden="false" customHeight="false" outlineLevel="0" collapsed="false"/>
    <row r="53" customFormat="false" ht="12.75" hidden="false" customHeight="false" outlineLevel="0" collapsed="false"/>
    <row r="54" customFormat="false" ht="12.75" hidden="false" customHeight="false" outlineLevel="0" collapsed="false"/>
    <row r="55" customFormat="false" ht="12.75" hidden="false" customHeight="false" outlineLevel="0" collapsed="false"/>
    <row r="56" customFormat="false" ht="12.75" hidden="false" customHeight="false" outlineLevel="0" collapsed="false"/>
    <row r="57" customFormat="false" ht="12.75" hidden="false" customHeight="false" outlineLevel="0" collapsed="false"/>
    <row r="58" customFormat="false" ht="12.75" hidden="false" customHeight="false" outlineLevel="0" collapsed="false"/>
    <row r="59" customFormat="false" ht="12.75" hidden="false" customHeight="false" outlineLevel="0" collapsed="false"/>
    <row r="60" customFormat="false" ht="12.75" hidden="false" customHeight="false" outlineLevel="0" collapsed="false"/>
    <row r="61" customFormat="false" ht="12.75" hidden="false" customHeight="false" outlineLevel="0" collapsed="false"/>
    <row r="62" customFormat="false" ht="12.75" hidden="false" customHeight="false" outlineLevel="0" collapsed="false"/>
    <row r="63" customFormat="false" ht="12.75" hidden="false" customHeight="false" outlineLevel="0" collapsed="false"/>
    <row r="64" customFormat="false" ht="12.75" hidden="false" customHeight="false" outlineLevel="0" collapsed="false"/>
    <row r="65" customFormat="false" ht="12.75" hidden="false" customHeight="false" outlineLevel="0" collapsed="false"/>
    <row r="66" customFormat="false" ht="12.75" hidden="false" customHeight="false" outlineLevel="0" collapsed="false"/>
    <row r="67" customFormat="false" ht="12.75" hidden="false" customHeight="false" outlineLevel="0" collapsed="false"/>
    <row r="68" customFormat="false" ht="12.75" hidden="false" customHeight="false" outlineLevel="0" collapsed="false"/>
    <row r="69" customFormat="false" ht="12.75" hidden="false" customHeight="false" outlineLevel="0" collapsed="false"/>
    <row r="70" customFormat="false" ht="12.75" hidden="false" customHeight="false" outlineLevel="0" collapsed="false"/>
    <row r="71" customFormat="false" ht="12.75" hidden="false" customHeight="false" outlineLevel="0" collapsed="false"/>
    <row r="72" customFormat="false" ht="12.75" hidden="false" customHeight="false" outlineLevel="0" collapsed="false"/>
    <row r="73" customFormat="false" ht="12.75" hidden="false" customHeight="false" outlineLevel="0" collapsed="false"/>
    <row r="74" customFormat="false" ht="12.75" hidden="false" customHeight="false" outlineLevel="0" collapsed="false"/>
    <row r="75" customFormat="false" ht="12.75" hidden="false" customHeight="false" outlineLevel="0" collapsed="false"/>
    <row r="76" customFormat="false" ht="12.75" hidden="false" customHeight="false" outlineLevel="0" collapsed="false"/>
    <row r="77" customFormat="false" ht="12.75" hidden="false" customHeight="false" outlineLevel="0" collapsed="false"/>
    <row r="78" customFormat="false" ht="12.75" hidden="false" customHeight="false" outlineLevel="0" collapsed="false"/>
    <row r="79" customFormat="false" ht="12.75" hidden="false" customHeight="false" outlineLevel="0" collapsed="false"/>
    <row r="80" customFormat="false" ht="12.75" hidden="false" customHeight="false" outlineLevel="0" collapsed="false"/>
    <row r="81" customFormat="false" ht="12.75" hidden="false" customHeight="false" outlineLevel="0" collapsed="false"/>
    <row r="82" customFormat="false" ht="12.75" hidden="false" customHeight="false" outlineLevel="0" collapsed="false"/>
    <row r="83" customFormat="false" ht="12.75" hidden="false" customHeight="false" outlineLevel="0" collapsed="false"/>
    <row r="84" customFormat="false" ht="12.75" hidden="false" customHeight="false" outlineLevel="0" collapsed="false"/>
    <row r="85" customFormat="false" ht="12.75" hidden="false" customHeight="false" outlineLevel="0" collapsed="false"/>
    <row r="86" customFormat="false" ht="12.75" hidden="false" customHeight="false" outlineLevel="0" collapsed="false"/>
    <row r="87" customFormat="false" ht="12.75" hidden="false" customHeight="false" outlineLevel="0" collapsed="false"/>
    <row r="88" customFormat="false" ht="12.75" hidden="false" customHeight="false" outlineLevel="0" collapsed="false"/>
    <row r="89" customFormat="false" ht="12.75" hidden="false" customHeight="false" outlineLevel="0" collapsed="false"/>
    <row r="90" customFormat="false" ht="12.75" hidden="false" customHeight="false" outlineLevel="0" collapsed="false"/>
    <row r="91" customFormat="false" ht="12.75" hidden="false" customHeight="false" outlineLevel="0" collapsed="false"/>
    <row r="92" customFormat="false" ht="12.75" hidden="false" customHeight="false" outlineLevel="0" collapsed="false"/>
    <row r="93" customFormat="false" ht="12.75" hidden="false" customHeight="false" outlineLevel="0" collapsed="false"/>
    <row r="94" customFormat="false" ht="12.75" hidden="false" customHeight="false" outlineLevel="0" collapsed="false"/>
    <row r="95" customFormat="false" ht="12.75" hidden="false" customHeight="false" outlineLevel="0" collapsed="false"/>
    <row r="96" customFormat="false" ht="12.75" hidden="false" customHeight="false" outlineLevel="0" collapsed="false"/>
    <row r="97" customFormat="false" ht="12.75" hidden="false" customHeight="false" outlineLevel="0" collapsed="false"/>
    <row r="98" customFormat="false" ht="12.75" hidden="false" customHeight="false" outlineLevel="0" collapsed="false"/>
    <row r="99" customFormat="false" ht="12.75" hidden="false" customHeight="false" outlineLevel="0" collapsed="false"/>
    <row r="100" customFormat="false" ht="12.75" hidden="false" customHeight="false" outlineLevel="0" collapsed="false"/>
    <row r="101" customFormat="false" ht="12.75" hidden="false" customHeight="false" outlineLevel="0" collapsed="false"/>
    <row r="102" customFormat="false" ht="12.75" hidden="false" customHeight="false" outlineLevel="0" collapsed="false"/>
    <row r="103" customFormat="false" ht="12.75" hidden="false" customHeight="false" outlineLevel="0" collapsed="false"/>
    <row r="104" customFormat="false" ht="12.75" hidden="false" customHeight="false" outlineLevel="0" collapsed="false"/>
    <row r="105" customFormat="false" ht="12.75" hidden="false" customHeight="false" outlineLevel="0" collapsed="false"/>
    <row r="106" customFormat="false" ht="12.75" hidden="false" customHeight="false" outlineLevel="0" collapsed="false"/>
    <row r="107" customFormat="false" ht="12.75" hidden="false" customHeight="false" outlineLevel="0" collapsed="false"/>
    <row r="108" customFormat="false" ht="12.75" hidden="false" customHeight="false" outlineLevel="0" collapsed="false"/>
    <row r="109" customFormat="false" ht="12.75" hidden="false" customHeight="false" outlineLevel="0" collapsed="false"/>
    <row r="110" customFormat="false" ht="12.75" hidden="false" customHeight="false" outlineLevel="0" collapsed="false"/>
    <row r="111" customFormat="false" ht="12.75" hidden="false" customHeight="false" outlineLevel="0" collapsed="false"/>
    <row r="112" customFormat="false" ht="12.75" hidden="false" customHeight="false" outlineLevel="0" collapsed="false"/>
    <row r="113" customFormat="false" ht="12.75" hidden="false" customHeight="false" outlineLevel="0" collapsed="false"/>
    <row r="114" customFormat="false" ht="12.75" hidden="false" customHeight="false" outlineLevel="0" collapsed="false"/>
    <row r="115" customFormat="false" ht="12.75" hidden="false" customHeight="false" outlineLevel="0" collapsed="false"/>
    <row r="116" customFormat="false" ht="12.75" hidden="false" customHeight="false" outlineLevel="0" collapsed="false"/>
    <row r="117" customFormat="false" ht="12.75" hidden="false" customHeight="false" outlineLevel="0" collapsed="false"/>
    <row r="118" customFormat="false" ht="12.75" hidden="false" customHeight="false" outlineLevel="0" collapsed="false"/>
    <row r="119" customFormat="false" ht="12.75" hidden="false" customHeight="false" outlineLevel="0" collapsed="false"/>
    <row r="120" customFormat="false" ht="12.75" hidden="false" customHeight="false" outlineLevel="0" collapsed="false"/>
    <row r="121" customFormat="false" ht="12.75" hidden="false" customHeight="false" outlineLevel="0" collapsed="false"/>
    <row r="122" customFormat="false" ht="12.75" hidden="false" customHeight="false" outlineLevel="0" collapsed="false"/>
    <row r="123" customFormat="false" ht="12.75" hidden="false" customHeight="false" outlineLevel="0" collapsed="false"/>
    <row r="124" customFormat="false" ht="12.75" hidden="false" customHeight="false" outlineLevel="0" collapsed="false"/>
    <row r="125" customFormat="false" ht="12.75" hidden="false" customHeight="false" outlineLevel="0" collapsed="false"/>
    <row r="126" customFormat="false" ht="12.75" hidden="false" customHeight="false" outlineLevel="0" collapsed="false"/>
    <row r="127" customFormat="false" ht="12.75" hidden="false" customHeight="false" outlineLevel="0" collapsed="false"/>
    <row r="128" customFormat="false" ht="12.75" hidden="false" customHeight="false" outlineLevel="0" collapsed="false"/>
    <row r="129" customFormat="false" ht="12.75" hidden="false" customHeight="false" outlineLevel="0" collapsed="false"/>
    <row r="130" customFormat="false" ht="12.75" hidden="false" customHeight="false" outlineLevel="0" collapsed="false"/>
    <row r="131" customFormat="false" ht="12.75" hidden="false" customHeight="false" outlineLevel="0" collapsed="false"/>
    <row r="132" customFormat="false" ht="12.75" hidden="false" customHeight="false" outlineLevel="0" collapsed="false"/>
    <row r="133" customFormat="false" ht="12.75" hidden="false" customHeight="false" outlineLevel="0" collapsed="false"/>
    <row r="134" customFormat="false" ht="12.75" hidden="false" customHeight="false" outlineLevel="0" collapsed="false"/>
    <row r="135" customFormat="false" ht="12.75" hidden="false" customHeight="false" outlineLevel="0" collapsed="false"/>
    <row r="136" customFormat="false" ht="12.75" hidden="false" customHeight="false" outlineLevel="0" collapsed="false"/>
    <row r="137" customFormat="false" ht="12.75" hidden="false" customHeight="false" outlineLevel="0" collapsed="false"/>
    <row r="138" customFormat="false" ht="12.75" hidden="false" customHeight="false" outlineLevel="0" collapsed="false"/>
    <row r="139" customFormat="false" ht="12.75" hidden="false" customHeight="false" outlineLevel="0" collapsed="false"/>
    <row r="140" customFormat="false" ht="12.75" hidden="false" customHeight="false" outlineLevel="0" collapsed="false"/>
    <row r="141" customFormat="false" ht="12.75" hidden="false" customHeight="false" outlineLevel="0" collapsed="false"/>
    <row r="142" customFormat="false" ht="12.75" hidden="false" customHeight="false" outlineLevel="0" collapsed="false"/>
    <row r="143" customFormat="false" ht="12.75" hidden="false" customHeight="false" outlineLevel="0" collapsed="false"/>
    <row r="144" customFormat="false" ht="12.75" hidden="false" customHeight="false" outlineLevel="0" collapsed="false"/>
    <row r="145" customFormat="false" ht="12.75" hidden="false" customHeight="false" outlineLevel="0" collapsed="false"/>
    <row r="146" customFormat="false" ht="12.75" hidden="false" customHeight="false" outlineLevel="0" collapsed="false"/>
    <row r="147" customFormat="false" ht="12.75" hidden="false" customHeight="false" outlineLevel="0" collapsed="false"/>
    <row r="148" customFormat="false" ht="12.75" hidden="false" customHeight="false" outlineLevel="0" collapsed="false"/>
    <row r="149" customFormat="false" ht="12.75" hidden="false" customHeight="false" outlineLevel="0" collapsed="false"/>
    <row r="150" customFormat="false" ht="12.75" hidden="false" customHeight="false" outlineLevel="0" collapsed="false"/>
    <row r="151" customFormat="false" ht="12.75" hidden="false" customHeight="false" outlineLevel="0" collapsed="false"/>
    <row r="152" customFormat="false" ht="12.75" hidden="false" customHeight="false" outlineLevel="0" collapsed="false"/>
    <row r="153" customFormat="false" ht="12.75" hidden="false" customHeight="false" outlineLevel="0" collapsed="false"/>
    <row r="154" customFormat="false" ht="12.75" hidden="false" customHeight="false" outlineLevel="0" collapsed="false"/>
    <row r="155" customFormat="false" ht="12.75" hidden="false" customHeight="false" outlineLevel="0" collapsed="false"/>
    <row r="156" customFormat="false" ht="12.75" hidden="false" customHeight="false" outlineLevel="0" collapsed="false"/>
    <row r="157" customFormat="false" ht="12.75" hidden="false" customHeight="false" outlineLevel="0" collapsed="false"/>
    <row r="158" customFormat="false" ht="12.75" hidden="false" customHeight="false" outlineLevel="0" collapsed="false"/>
    <row r="159" customFormat="false" ht="12.75" hidden="false" customHeight="false" outlineLevel="0" collapsed="false"/>
    <row r="160" customFormat="false" ht="12.75" hidden="false" customHeight="false" outlineLevel="0" collapsed="false"/>
    <row r="161" customFormat="false" ht="12.75" hidden="false" customHeight="false" outlineLevel="0" collapsed="false"/>
    <row r="162" customFormat="false" ht="12.75" hidden="false" customHeight="false" outlineLevel="0" collapsed="false"/>
    <row r="163" customFormat="false" ht="12.75" hidden="false" customHeight="false" outlineLevel="0" collapsed="false"/>
    <row r="164" customFormat="false" ht="12.75" hidden="false" customHeight="false" outlineLevel="0" collapsed="false"/>
    <row r="165" customFormat="false" ht="12.75" hidden="false" customHeight="false" outlineLevel="0" collapsed="false"/>
    <row r="166" customFormat="false" ht="12.75" hidden="false" customHeight="false" outlineLevel="0" collapsed="false"/>
    <row r="167" customFormat="false" ht="12.75" hidden="false" customHeight="false" outlineLevel="0" collapsed="false"/>
    <row r="168" customFormat="false" ht="12.75" hidden="false" customHeight="false" outlineLevel="0" collapsed="false"/>
    <row r="169" customFormat="false" ht="12.75" hidden="false" customHeight="false" outlineLevel="0" collapsed="false"/>
    <row r="170" customFormat="false" ht="12.75" hidden="false" customHeight="false" outlineLevel="0" collapsed="false"/>
    <row r="171" customFormat="false" ht="12.75" hidden="false" customHeight="false" outlineLevel="0" collapsed="false"/>
    <row r="172" customFormat="false" ht="12.75" hidden="false" customHeight="false" outlineLevel="0" collapsed="false"/>
    <row r="173" customFormat="false" ht="12.75" hidden="false" customHeight="false" outlineLevel="0" collapsed="false"/>
    <row r="174" customFormat="false" ht="12.75" hidden="false" customHeight="false" outlineLevel="0" collapsed="false"/>
    <row r="175" customFormat="false" ht="12.75" hidden="false" customHeight="false" outlineLevel="0" collapsed="false"/>
    <row r="176" customFormat="false" ht="12.75" hidden="false" customHeight="false" outlineLevel="0" collapsed="false"/>
    <row r="177" customFormat="false" ht="12.75" hidden="false" customHeight="false" outlineLevel="0" collapsed="false"/>
    <row r="178" customFormat="false" ht="12.75" hidden="false" customHeight="false" outlineLevel="0" collapsed="false"/>
    <row r="179" customFormat="false" ht="12.75" hidden="false" customHeight="false" outlineLevel="0" collapsed="false"/>
    <row r="180" customFormat="false" ht="12.75" hidden="false" customHeight="false" outlineLevel="0" collapsed="false"/>
    <row r="181" customFormat="false" ht="12.75" hidden="false" customHeight="false" outlineLevel="0" collapsed="false"/>
    <row r="182" customFormat="false" ht="12.75" hidden="false" customHeight="false" outlineLevel="0" collapsed="false"/>
    <row r="183" customFormat="false" ht="12.75" hidden="false" customHeight="false" outlineLevel="0" collapsed="false"/>
    <row r="184" customFormat="false" ht="12.75" hidden="false" customHeight="false" outlineLevel="0" collapsed="false"/>
    <row r="185" customFormat="false" ht="12.75" hidden="false" customHeight="false" outlineLevel="0" collapsed="false"/>
    <row r="186" customFormat="false" ht="12.75" hidden="false" customHeight="false" outlineLevel="0" collapsed="false"/>
    <row r="187" customFormat="false" ht="12.75" hidden="false" customHeight="false" outlineLevel="0" collapsed="false"/>
    <row r="188" customFormat="false" ht="12.75" hidden="false" customHeight="false" outlineLevel="0" collapsed="false"/>
    <row r="189" customFormat="false" ht="12.75" hidden="false" customHeight="false" outlineLevel="0" collapsed="false"/>
    <row r="190" customFormat="false" ht="12.75" hidden="false" customHeight="false" outlineLevel="0" collapsed="false"/>
    <row r="191" customFormat="false" ht="12.75" hidden="false" customHeight="false" outlineLevel="0" collapsed="false"/>
    <row r="192" customFormat="false" ht="12.75" hidden="false" customHeight="false" outlineLevel="0" collapsed="false"/>
    <row r="193" customFormat="false" ht="12.75" hidden="false" customHeight="false" outlineLevel="0" collapsed="false"/>
    <row r="194" customFormat="false" ht="12.75" hidden="false" customHeight="false" outlineLevel="0" collapsed="false"/>
    <row r="195" customFormat="false" ht="12.75" hidden="false" customHeight="false" outlineLevel="0" collapsed="false"/>
    <row r="196" customFormat="false" ht="12.75" hidden="false" customHeight="false" outlineLevel="0" collapsed="false"/>
    <row r="197" customFormat="false" ht="12.75" hidden="false" customHeight="false" outlineLevel="0" collapsed="false"/>
    <row r="198" customFormat="false" ht="12.75" hidden="false" customHeight="false" outlineLevel="0" collapsed="false"/>
    <row r="199" customFormat="false" ht="12.75" hidden="false" customHeight="false" outlineLevel="0" collapsed="false"/>
    <row r="200" customFormat="false" ht="12.75" hidden="false" customHeight="false" outlineLevel="0" collapsed="false"/>
    <row r="201" customFormat="false" ht="12.75" hidden="false" customHeight="false" outlineLevel="0" collapsed="false"/>
    <row r="202" customFormat="false" ht="12.75" hidden="false" customHeight="false" outlineLevel="0" collapsed="false"/>
    <row r="203" customFormat="false" ht="12.75" hidden="false" customHeight="false" outlineLevel="0" collapsed="false"/>
    <row r="204" customFormat="false" ht="12.75" hidden="false" customHeight="false" outlineLevel="0" collapsed="false"/>
    <row r="205" customFormat="false" ht="12.75" hidden="false" customHeight="false" outlineLevel="0" collapsed="false"/>
    <row r="206" customFormat="false" ht="12.75" hidden="false" customHeight="false" outlineLevel="0" collapsed="false"/>
    <row r="207" customFormat="false" ht="12.75" hidden="false" customHeight="false" outlineLevel="0" collapsed="false"/>
    <row r="208" customFormat="false" ht="12.75" hidden="false" customHeight="false" outlineLevel="0" collapsed="false"/>
    <row r="209" customFormat="false" ht="12.75" hidden="false" customHeight="false" outlineLevel="0" collapsed="false"/>
    <row r="210" customFormat="false" ht="12.75" hidden="false" customHeight="false" outlineLevel="0" collapsed="false"/>
    <row r="211" customFormat="false" ht="12.75" hidden="false" customHeight="false" outlineLevel="0" collapsed="false"/>
    <row r="212" customFormat="false" ht="12.75" hidden="false" customHeight="false" outlineLevel="0" collapsed="false"/>
    <row r="213" customFormat="false" ht="12.75" hidden="false" customHeight="false" outlineLevel="0" collapsed="false"/>
    <row r="214" customFormat="false" ht="12.75" hidden="false" customHeight="false" outlineLevel="0" collapsed="false"/>
    <row r="215" customFormat="false" ht="12.75" hidden="false" customHeight="false" outlineLevel="0" collapsed="false"/>
    <row r="216" customFormat="false" ht="12.75" hidden="false" customHeight="false" outlineLevel="0" collapsed="false"/>
    <row r="217" customFormat="false" ht="12.75" hidden="false" customHeight="false" outlineLevel="0" collapsed="false"/>
    <row r="218" customFormat="false" ht="12.75" hidden="false" customHeight="false" outlineLevel="0" collapsed="false"/>
    <row r="219" customFormat="false" ht="12.75" hidden="false" customHeight="false" outlineLevel="0" collapsed="false"/>
    <row r="220" customFormat="false" ht="12.75" hidden="false" customHeight="false" outlineLevel="0" collapsed="false"/>
    <row r="221" customFormat="false" ht="12.75" hidden="false" customHeight="false" outlineLevel="0" collapsed="false"/>
    <row r="222" customFormat="false" ht="12.75" hidden="false" customHeight="false" outlineLevel="0" collapsed="false"/>
    <row r="223" customFormat="false" ht="12.75" hidden="false" customHeight="false" outlineLevel="0" collapsed="false"/>
    <row r="224" customFormat="false" ht="12.75" hidden="false" customHeight="false" outlineLevel="0" collapsed="false"/>
    <row r="225" customFormat="false" ht="12.75" hidden="false" customHeight="false" outlineLevel="0" collapsed="false"/>
    <row r="226" customFormat="false" ht="12.75" hidden="false" customHeight="false" outlineLevel="0" collapsed="false"/>
    <row r="227" customFormat="false" ht="12.75" hidden="false" customHeight="false" outlineLevel="0" collapsed="false"/>
    <row r="228" customFormat="false" ht="12.75" hidden="false" customHeight="false" outlineLevel="0" collapsed="false"/>
    <row r="229" customFormat="false" ht="12.75" hidden="false" customHeight="false" outlineLevel="0" collapsed="false"/>
    <row r="230" customFormat="false" ht="12.75" hidden="false" customHeight="false" outlineLevel="0" collapsed="false"/>
    <row r="231" customFormat="false" ht="12.75" hidden="false" customHeight="false" outlineLevel="0" collapsed="false"/>
    <row r="232" customFormat="false" ht="12.75" hidden="false" customHeight="false" outlineLevel="0" collapsed="false"/>
    <row r="233" customFormat="false" ht="12.75" hidden="false" customHeight="false" outlineLevel="0" collapsed="false"/>
    <row r="234" customFormat="false" ht="12.75" hidden="false" customHeight="false" outlineLevel="0" collapsed="false"/>
    <row r="235" customFormat="false" ht="12.75" hidden="false" customHeight="false" outlineLevel="0" collapsed="false"/>
    <row r="236" customFormat="false" ht="12.75" hidden="false" customHeight="false" outlineLevel="0" collapsed="false"/>
    <row r="237" customFormat="false" ht="12.75" hidden="false" customHeight="false" outlineLevel="0" collapsed="false"/>
    <row r="238" customFormat="false" ht="12.75" hidden="false" customHeight="false" outlineLevel="0" collapsed="false"/>
    <row r="239" customFormat="false" ht="12.75" hidden="false" customHeight="false" outlineLevel="0" collapsed="false"/>
    <row r="240" customFormat="false" ht="12.75" hidden="false" customHeight="false" outlineLevel="0" collapsed="false"/>
    <row r="241" customFormat="false" ht="12.75" hidden="false" customHeight="false" outlineLevel="0" collapsed="false"/>
    <row r="242" customFormat="false" ht="12.75" hidden="false" customHeight="false" outlineLevel="0" collapsed="false"/>
    <row r="243" customFormat="false" ht="12.75" hidden="false" customHeight="false" outlineLevel="0" collapsed="false"/>
    <row r="244" customFormat="false" ht="12.75" hidden="false" customHeight="false" outlineLevel="0" collapsed="false"/>
    <row r="245" customFormat="false" ht="12.75" hidden="false" customHeight="false" outlineLevel="0" collapsed="false"/>
    <row r="246" customFormat="false" ht="12.75" hidden="false" customHeight="false" outlineLevel="0" collapsed="false"/>
    <row r="247" customFormat="false" ht="12.75" hidden="false" customHeight="false" outlineLevel="0" collapsed="false"/>
    <row r="248" customFormat="false" ht="12.75" hidden="false" customHeight="false" outlineLevel="0" collapsed="false"/>
    <row r="249" customFormat="false" ht="12.75" hidden="false" customHeight="false" outlineLevel="0" collapsed="false"/>
    <row r="250" customFormat="false" ht="12.75" hidden="false" customHeight="false" outlineLevel="0" collapsed="false"/>
    <row r="251" customFormat="false" ht="12.75" hidden="false" customHeight="false" outlineLevel="0" collapsed="false"/>
    <row r="252" customFormat="false" ht="12.75" hidden="false" customHeight="false" outlineLevel="0" collapsed="false"/>
    <row r="253" customFormat="false" ht="12.75" hidden="false" customHeight="false" outlineLevel="0" collapsed="false"/>
    <row r="254" customFormat="false" ht="12.75" hidden="false" customHeight="false" outlineLevel="0" collapsed="false"/>
    <row r="255" customFormat="false" ht="12.75" hidden="false" customHeight="false" outlineLevel="0" collapsed="false"/>
    <row r="256" customFormat="false" ht="12.75" hidden="false" customHeight="false" outlineLevel="0" collapsed="false"/>
    <row r="257" customFormat="false" ht="12.75" hidden="false" customHeight="false" outlineLevel="0" collapsed="false"/>
    <row r="258" customFormat="false" ht="12.75" hidden="false" customHeight="false" outlineLevel="0" collapsed="false"/>
    <row r="259" customFormat="false" ht="12.75" hidden="false" customHeight="false" outlineLevel="0" collapsed="false"/>
    <row r="260" customFormat="false" ht="12.75" hidden="false" customHeight="false" outlineLevel="0" collapsed="false"/>
    <row r="261" customFormat="false" ht="12.75" hidden="false" customHeight="false" outlineLevel="0" collapsed="false"/>
    <row r="262" customFormat="false" ht="12.75" hidden="false" customHeight="false" outlineLevel="0" collapsed="false"/>
    <row r="263" customFormat="false" ht="12.75" hidden="false" customHeight="false" outlineLevel="0" collapsed="false"/>
    <row r="264" customFormat="false" ht="12.75" hidden="false" customHeight="false" outlineLevel="0" collapsed="false"/>
    <row r="265" customFormat="false" ht="12.75" hidden="false" customHeight="false" outlineLevel="0" collapsed="false"/>
    <row r="266" customFormat="false" ht="12.75" hidden="false" customHeight="false" outlineLevel="0" collapsed="false"/>
    <row r="267" customFormat="false" ht="12.75" hidden="false" customHeight="false" outlineLevel="0" collapsed="false"/>
    <row r="268" customFormat="false" ht="12.75" hidden="false" customHeight="false" outlineLevel="0" collapsed="false"/>
    <row r="269" customFormat="false" ht="12.75" hidden="false" customHeight="false" outlineLevel="0" collapsed="false"/>
    <row r="270" customFormat="false" ht="12.75" hidden="false" customHeight="false" outlineLevel="0" collapsed="false"/>
    <row r="271" customFormat="false" ht="12.75" hidden="false" customHeight="false" outlineLevel="0" collapsed="false"/>
    <row r="272" customFormat="false" ht="12.75" hidden="false" customHeight="false" outlineLevel="0" collapsed="false"/>
    <row r="273" customFormat="false" ht="12.75" hidden="false" customHeight="fals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12.75" hidden="false" customHeight="false" outlineLevel="0" collapsed="false"/>
    <row r="283" customFormat="false" ht="12.75" hidden="false" customHeight="false" outlineLevel="0" collapsed="false"/>
    <row r="284" customFormat="false" ht="12.75" hidden="false" customHeight="fals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12.75" hidden="false" customHeight="false" outlineLevel="0" collapsed="false"/>
    <row r="291" customFormat="false" ht="12.75" hidden="false" customHeight="false" outlineLevel="0" collapsed="false"/>
    <row r="292" customFormat="false" ht="12.75" hidden="false" customHeight="false" outlineLevel="0" collapsed="false"/>
    <row r="293" customFormat="false" ht="12.75" hidden="false" customHeight="false" outlineLevel="0" collapsed="false"/>
    <row r="294" customFormat="false" ht="12.75" hidden="false" customHeight="false" outlineLevel="0" collapsed="false"/>
    <row r="295" customFormat="false" ht="12.75" hidden="false" customHeight="fals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12.75" hidden="false" customHeight="false" outlineLevel="0" collapsed="false"/>
    <row r="299" customFormat="false" ht="12.75" hidden="false" customHeight="false" outlineLevel="0" collapsed="false"/>
    <row r="300" customFormat="false" ht="12.75" hidden="false" customHeight="fals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12.75" hidden="false" customHeight="false" outlineLevel="0" collapsed="false"/>
    <row r="308" customFormat="false" ht="12.75" hidden="false" customHeight="false" outlineLevel="0" collapsed="false"/>
    <row r="309" customFormat="false" ht="12.75" hidden="false" customHeight="false" outlineLevel="0" collapsed="false"/>
    <row r="310" customFormat="false" ht="12.75" hidden="false" customHeight="false" outlineLevel="0" collapsed="false"/>
    <row r="311" customFormat="false" ht="12.75" hidden="false" customHeight="false" outlineLevel="0" collapsed="false"/>
    <row r="312" customFormat="false" ht="12.75" hidden="false" customHeight="false" outlineLevel="0" collapsed="false"/>
    <row r="313" customFormat="false" ht="12.75" hidden="false" customHeight="false" outlineLevel="0" collapsed="false"/>
    <row r="314" customFormat="false" ht="12.75" hidden="false" customHeight="fals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12.75" hidden="false" customHeight="fals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  <row r="344" customFormat="false" ht="12.75" hidden="false" customHeight="false" outlineLevel="0" collapsed="false"/>
    <row r="345" customFormat="false" ht="12.75" hidden="false" customHeight="false" outlineLevel="0" collapsed="false"/>
    <row r="346" customFormat="false" ht="12.75" hidden="false" customHeight="false" outlineLevel="0" collapsed="false"/>
    <row r="347" customFormat="false" ht="12.75" hidden="false" customHeight="false" outlineLevel="0" collapsed="false"/>
    <row r="348" customFormat="false" ht="12.75" hidden="false" customHeight="false" outlineLevel="0" collapsed="false"/>
    <row r="349" customFormat="false" ht="12.75" hidden="false" customHeight="false" outlineLevel="0" collapsed="false"/>
    <row r="350" customFormat="false" ht="12.75" hidden="false" customHeight="false" outlineLevel="0" collapsed="false"/>
    <row r="351" customFormat="false" ht="12.75" hidden="false" customHeight="false" outlineLevel="0" collapsed="false"/>
    <row r="352" customFormat="false" ht="12.75" hidden="false" customHeight="false" outlineLevel="0" collapsed="false"/>
    <row r="353" customFormat="false" ht="12.75" hidden="false" customHeight="false" outlineLevel="0" collapsed="false"/>
    <row r="354" customFormat="false" ht="12.75" hidden="false" customHeight="false" outlineLevel="0" collapsed="false"/>
    <row r="355" customFormat="false" ht="12.75" hidden="false" customHeight="false" outlineLevel="0" collapsed="false"/>
    <row r="356" customFormat="false" ht="12.75" hidden="false" customHeight="false" outlineLevel="0" collapsed="false"/>
    <row r="357" customFormat="false" ht="12.75" hidden="false" customHeight="false" outlineLevel="0" collapsed="false"/>
    <row r="358" customFormat="false" ht="12.75" hidden="false" customHeight="false" outlineLevel="0" collapsed="false"/>
    <row r="359" customFormat="false" ht="12.75" hidden="false" customHeight="false" outlineLevel="0" collapsed="false"/>
    <row r="360" customFormat="false" ht="12.75" hidden="false" customHeight="false" outlineLevel="0" collapsed="false"/>
    <row r="361" customFormat="false" ht="12.75" hidden="false" customHeight="false" outlineLevel="0" collapsed="false"/>
    <row r="362" customFormat="false" ht="12.75" hidden="false" customHeight="false" outlineLevel="0" collapsed="false"/>
    <row r="363" customFormat="false" ht="12.75" hidden="false" customHeight="false" outlineLevel="0" collapsed="false"/>
    <row r="364" customFormat="false" ht="12.75" hidden="false" customHeight="false" outlineLevel="0" collapsed="false"/>
    <row r="365" customFormat="false" ht="12.75" hidden="false" customHeight="false" outlineLevel="0" collapsed="false"/>
    <row r="366" customFormat="false" ht="12.75" hidden="false" customHeight="false" outlineLevel="0" collapsed="false"/>
    <row r="367" customFormat="false" ht="12.75" hidden="false" customHeight="false" outlineLevel="0" collapsed="false"/>
    <row r="368" customFormat="false" ht="12.75" hidden="false" customHeight="false" outlineLevel="0" collapsed="false"/>
    <row r="369" customFormat="false" ht="12.75" hidden="false" customHeight="false" outlineLevel="0" collapsed="false"/>
    <row r="370" customFormat="false" ht="12.75" hidden="false" customHeight="false" outlineLevel="0" collapsed="false"/>
    <row r="371" customFormat="false" ht="12.75" hidden="false" customHeight="false" outlineLevel="0" collapsed="false"/>
    <row r="372" customFormat="false" ht="12.75" hidden="false" customHeight="false" outlineLevel="0" collapsed="false"/>
    <row r="373" customFormat="false" ht="12.75" hidden="false" customHeight="false" outlineLevel="0" collapsed="false"/>
    <row r="374" customFormat="false" ht="12.75" hidden="false" customHeight="false" outlineLevel="0" collapsed="false"/>
    <row r="375" customFormat="false" ht="12.75" hidden="false" customHeight="false" outlineLevel="0" collapsed="false"/>
    <row r="376" customFormat="false" ht="12.75" hidden="false" customHeight="false" outlineLevel="0" collapsed="false"/>
    <row r="377" customFormat="false" ht="12.75" hidden="false" customHeight="false" outlineLevel="0" collapsed="false"/>
    <row r="378" customFormat="false" ht="12.75" hidden="false" customHeight="false" outlineLevel="0" collapsed="false"/>
    <row r="379" customFormat="false" ht="12.75" hidden="false" customHeight="false" outlineLevel="0" collapsed="false"/>
    <row r="380" customFormat="false" ht="12.75" hidden="false" customHeight="false" outlineLevel="0" collapsed="false"/>
    <row r="381" customFormat="false" ht="12.75" hidden="false" customHeight="false" outlineLevel="0" collapsed="false"/>
    <row r="382" customFormat="false" ht="12.75" hidden="false" customHeight="false" outlineLevel="0" collapsed="false"/>
    <row r="383" customFormat="false" ht="12.75" hidden="false" customHeight="false" outlineLevel="0" collapsed="false"/>
    <row r="384" customFormat="false" ht="12.75" hidden="false" customHeight="false" outlineLevel="0" collapsed="false"/>
    <row r="385" customFormat="false" ht="12.75" hidden="false" customHeight="false" outlineLevel="0" collapsed="false"/>
    <row r="386" customFormat="false" ht="12.75" hidden="false" customHeight="false" outlineLevel="0" collapsed="false"/>
    <row r="387" customFormat="false" ht="12.75" hidden="false" customHeight="false" outlineLevel="0" collapsed="false"/>
    <row r="388" customFormat="false" ht="12.75" hidden="false" customHeight="false" outlineLevel="0" collapsed="false"/>
    <row r="389" customFormat="false" ht="12.75" hidden="false" customHeight="false" outlineLevel="0" collapsed="false"/>
    <row r="390" customFormat="false" ht="12.75" hidden="false" customHeight="false" outlineLevel="0" collapsed="false"/>
    <row r="391" customFormat="false" ht="12.75" hidden="false" customHeight="false" outlineLevel="0" collapsed="false"/>
    <row r="392" customFormat="false" ht="12.75" hidden="false" customHeight="false" outlineLevel="0" collapsed="false"/>
    <row r="393" customFormat="false" ht="12.75" hidden="false" customHeight="false" outlineLevel="0" collapsed="false"/>
    <row r="394" customFormat="false" ht="12.75" hidden="false" customHeight="false" outlineLevel="0" collapsed="false"/>
    <row r="395" customFormat="false" ht="12.75" hidden="false" customHeight="false" outlineLevel="0" collapsed="false"/>
    <row r="396" customFormat="false" ht="12.75" hidden="false" customHeight="false" outlineLevel="0" collapsed="false"/>
    <row r="397" customFormat="false" ht="12.75" hidden="false" customHeight="false" outlineLevel="0" collapsed="false"/>
    <row r="398" customFormat="false" ht="12.75" hidden="false" customHeight="false" outlineLevel="0" collapsed="false"/>
    <row r="399" customFormat="false" ht="12.75" hidden="false" customHeight="false" outlineLevel="0" collapsed="false"/>
    <row r="400" customFormat="false" ht="12.75" hidden="false" customHeight="false" outlineLevel="0" collapsed="false"/>
    <row r="401" customFormat="false" ht="12.75" hidden="false" customHeight="false" outlineLevel="0" collapsed="false"/>
    <row r="402" customFormat="false" ht="12.75" hidden="false" customHeight="false" outlineLevel="0" collapsed="false"/>
    <row r="403" customFormat="false" ht="12.75" hidden="false" customHeight="false" outlineLevel="0" collapsed="false"/>
    <row r="404" customFormat="false" ht="12.75" hidden="false" customHeight="false" outlineLevel="0" collapsed="false"/>
    <row r="405" customFormat="false" ht="12.75" hidden="false" customHeight="false" outlineLevel="0" collapsed="false"/>
    <row r="406" customFormat="false" ht="12.75" hidden="false" customHeight="false" outlineLevel="0" collapsed="false"/>
    <row r="407" customFormat="false" ht="12.75" hidden="false" customHeight="false" outlineLevel="0" collapsed="false"/>
    <row r="408" customFormat="false" ht="12.75" hidden="false" customHeight="false" outlineLevel="0" collapsed="false"/>
    <row r="409" customFormat="false" ht="12.75" hidden="false" customHeight="false" outlineLevel="0" collapsed="false"/>
    <row r="410" customFormat="false" ht="12.75" hidden="false" customHeight="false" outlineLevel="0" collapsed="false"/>
    <row r="411" customFormat="false" ht="12.75" hidden="false" customHeight="false" outlineLevel="0" collapsed="false"/>
    <row r="412" customFormat="false" ht="12.75" hidden="false" customHeight="false" outlineLevel="0" collapsed="false"/>
    <row r="413" customFormat="false" ht="12.75" hidden="false" customHeight="false" outlineLevel="0" collapsed="false"/>
    <row r="414" customFormat="false" ht="12.75" hidden="false" customHeight="false" outlineLevel="0" collapsed="false"/>
    <row r="415" customFormat="false" ht="12.75" hidden="false" customHeight="false" outlineLevel="0" collapsed="false"/>
    <row r="416" customFormat="false" ht="12.75" hidden="false" customHeight="false" outlineLevel="0" collapsed="false"/>
    <row r="417" customFormat="false" ht="12.75" hidden="false" customHeight="false" outlineLevel="0" collapsed="false"/>
    <row r="418" customFormat="false" ht="12.75" hidden="false" customHeight="false" outlineLevel="0" collapsed="false"/>
    <row r="419" customFormat="false" ht="12.75" hidden="false" customHeight="false" outlineLevel="0" collapsed="false"/>
    <row r="420" customFormat="false" ht="12.75" hidden="false" customHeight="false" outlineLevel="0" collapsed="false"/>
    <row r="421" customFormat="false" ht="12.75" hidden="false" customHeight="false" outlineLevel="0" collapsed="false"/>
    <row r="422" customFormat="false" ht="12.75" hidden="false" customHeight="false" outlineLevel="0" collapsed="false"/>
    <row r="423" customFormat="false" ht="12.75" hidden="false" customHeight="false" outlineLevel="0" collapsed="false"/>
    <row r="424" customFormat="false" ht="12.75" hidden="false" customHeight="false" outlineLevel="0" collapsed="false"/>
    <row r="425" customFormat="false" ht="12.75" hidden="false" customHeight="false" outlineLevel="0" collapsed="false"/>
    <row r="426" customFormat="false" ht="12.75" hidden="false" customHeight="false" outlineLevel="0" collapsed="false"/>
    <row r="427" customFormat="false" ht="12.75" hidden="false" customHeight="false" outlineLevel="0" collapsed="false"/>
    <row r="428" customFormat="false" ht="12.75" hidden="false" customHeight="false" outlineLevel="0" collapsed="false"/>
    <row r="429" customFormat="false" ht="12.75" hidden="false" customHeight="false" outlineLevel="0" collapsed="false"/>
    <row r="430" customFormat="false" ht="12.75" hidden="false" customHeight="false" outlineLevel="0" collapsed="false"/>
    <row r="431" customFormat="false" ht="12.75" hidden="false" customHeight="false" outlineLevel="0" collapsed="false"/>
    <row r="432" customFormat="false" ht="12.75" hidden="false" customHeight="false" outlineLevel="0" collapsed="false"/>
    <row r="433" customFormat="false" ht="12.75" hidden="false" customHeight="false" outlineLevel="0" collapsed="false"/>
    <row r="434" customFormat="false" ht="12.75" hidden="false" customHeight="false" outlineLevel="0" collapsed="false"/>
    <row r="435" customFormat="false" ht="12.75" hidden="false" customHeight="false" outlineLevel="0" collapsed="false"/>
    <row r="436" customFormat="false" ht="12.75" hidden="false" customHeight="false" outlineLevel="0" collapsed="false"/>
    <row r="437" customFormat="false" ht="12.75" hidden="false" customHeight="false" outlineLevel="0" collapsed="false"/>
    <row r="438" customFormat="false" ht="12.75" hidden="false" customHeight="false" outlineLevel="0" collapsed="false"/>
    <row r="439" customFormat="false" ht="12.75" hidden="false" customHeight="false" outlineLevel="0" collapsed="false"/>
    <row r="440" customFormat="false" ht="12.75" hidden="false" customHeight="false" outlineLevel="0" collapsed="false"/>
    <row r="441" customFormat="false" ht="12.75" hidden="false" customHeight="false" outlineLevel="0" collapsed="false"/>
    <row r="442" customFormat="false" ht="12.75" hidden="false" customHeight="false" outlineLevel="0" collapsed="false"/>
    <row r="443" customFormat="false" ht="12.75" hidden="false" customHeight="false" outlineLevel="0" collapsed="false"/>
    <row r="444" customFormat="false" ht="12.75" hidden="false" customHeight="false" outlineLevel="0" collapsed="false"/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/>
    <row r="455" customFormat="false" ht="12.75" hidden="false" customHeight="false" outlineLevel="0" collapsed="false"/>
    <row r="456" customFormat="false" ht="12.75" hidden="false" customHeight="false" outlineLevel="0" collapsed="false"/>
    <row r="457" customFormat="false" ht="12.75" hidden="false" customHeight="false" outlineLevel="0" collapsed="false"/>
    <row r="458" customFormat="false" ht="12.75" hidden="false" customHeight="false" outlineLevel="0" collapsed="false"/>
    <row r="459" customFormat="false" ht="12.75" hidden="false" customHeight="false" outlineLevel="0" collapsed="false"/>
    <row r="460" customFormat="false" ht="12.75" hidden="false" customHeight="false" outlineLevel="0" collapsed="false"/>
    <row r="461" customFormat="false" ht="12.75" hidden="false" customHeight="false" outlineLevel="0" collapsed="false"/>
    <row r="462" customFormat="false" ht="12.75" hidden="false" customHeight="false" outlineLevel="0" collapsed="false"/>
    <row r="463" customFormat="false" ht="12.75" hidden="false" customHeight="false" outlineLevel="0" collapsed="false"/>
    <row r="464" customFormat="false" ht="12.75" hidden="false" customHeight="false" outlineLevel="0" collapsed="false"/>
    <row r="465" customFormat="false" ht="12.75" hidden="false" customHeight="false" outlineLevel="0" collapsed="false"/>
    <row r="466" customFormat="false" ht="12.75" hidden="false" customHeight="false" outlineLevel="0" collapsed="false"/>
    <row r="467" customFormat="false" ht="12.75" hidden="false" customHeight="false" outlineLevel="0" collapsed="false"/>
    <row r="468" customFormat="false" ht="12.75" hidden="false" customHeight="false" outlineLevel="0" collapsed="false"/>
    <row r="469" customFormat="false" ht="12.75" hidden="false" customHeight="false" outlineLevel="0" collapsed="false"/>
    <row r="470" customFormat="false" ht="12.75" hidden="false" customHeight="false" outlineLevel="0" collapsed="false"/>
    <row r="471" customFormat="false" ht="12.75" hidden="false" customHeight="false" outlineLevel="0" collapsed="false"/>
    <row r="472" customFormat="false" ht="12.75" hidden="false" customHeight="false" outlineLevel="0" collapsed="false"/>
    <row r="473" customFormat="false" ht="12.75" hidden="false" customHeight="false" outlineLevel="0" collapsed="false"/>
    <row r="474" customFormat="false" ht="12.75" hidden="false" customHeight="false" outlineLevel="0" collapsed="false"/>
    <row r="475" customFormat="false" ht="12.75" hidden="false" customHeight="false" outlineLevel="0" collapsed="false"/>
    <row r="476" customFormat="false" ht="12.75" hidden="false" customHeight="false" outlineLevel="0" collapsed="false"/>
    <row r="477" customFormat="false" ht="12.75" hidden="false" customHeight="false" outlineLevel="0" collapsed="false"/>
    <row r="478" customFormat="false" ht="12.75" hidden="false" customHeight="false" outlineLevel="0" collapsed="false"/>
    <row r="479" customFormat="false" ht="12.75" hidden="false" customHeight="false" outlineLevel="0" collapsed="false"/>
    <row r="480" customFormat="false" ht="12.75" hidden="false" customHeight="false" outlineLevel="0" collapsed="false"/>
    <row r="481" customFormat="false" ht="12.75" hidden="false" customHeight="false" outlineLevel="0" collapsed="false"/>
    <row r="482" customFormat="false" ht="12.75" hidden="false" customHeight="false" outlineLevel="0" collapsed="false"/>
    <row r="483" customFormat="false" ht="12.75" hidden="false" customHeight="false" outlineLevel="0" collapsed="false"/>
    <row r="484" customFormat="false" ht="12.75" hidden="false" customHeight="false" outlineLevel="0" collapsed="false"/>
    <row r="485" customFormat="false" ht="12.75" hidden="false" customHeight="false" outlineLevel="0" collapsed="false"/>
    <row r="486" customFormat="false" ht="12.75" hidden="false" customHeight="false" outlineLevel="0" collapsed="false"/>
    <row r="487" customFormat="false" ht="12.75" hidden="false" customHeight="false" outlineLevel="0" collapsed="false"/>
    <row r="488" customFormat="false" ht="12.75" hidden="false" customHeight="false" outlineLevel="0" collapsed="false"/>
    <row r="489" customFormat="false" ht="12.75" hidden="false" customHeight="false" outlineLevel="0" collapsed="false"/>
    <row r="490" customFormat="false" ht="12.75" hidden="false" customHeight="false" outlineLevel="0" collapsed="false"/>
    <row r="491" customFormat="false" ht="12.75" hidden="false" customHeight="false" outlineLevel="0" collapsed="false"/>
    <row r="492" customFormat="false" ht="12.75" hidden="false" customHeight="false" outlineLevel="0" collapsed="false"/>
    <row r="493" customFormat="false" ht="12.75" hidden="false" customHeight="false" outlineLevel="0" collapsed="false"/>
    <row r="494" customFormat="false" ht="12.75" hidden="false" customHeight="false" outlineLevel="0" collapsed="false"/>
    <row r="495" customFormat="false" ht="12.75" hidden="false" customHeight="false" outlineLevel="0" collapsed="false"/>
    <row r="496" customFormat="false" ht="12.75" hidden="false" customHeight="false" outlineLevel="0" collapsed="false"/>
    <row r="497" customFormat="false" ht="12.75" hidden="false" customHeight="false" outlineLevel="0" collapsed="false"/>
    <row r="498" customFormat="false" ht="12.75" hidden="false" customHeight="false" outlineLevel="0" collapsed="false"/>
    <row r="499" customFormat="false" ht="12.75" hidden="false" customHeight="false" outlineLevel="0" collapsed="false"/>
    <row r="500" customFormat="false" ht="12.75" hidden="false" customHeight="false" outlineLevel="0" collapsed="false"/>
    <row r="501" customFormat="false" ht="12.75" hidden="false" customHeight="false" outlineLevel="0" collapsed="false"/>
    <row r="502" customFormat="false" ht="12.75" hidden="false" customHeight="false" outlineLevel="0" collapsed="false"/>
    <row r="503" customFormat="false" ht="12.75" hidden="false" customHeight="false" outlineLevel="0" collapsed="false"/>
    <row r="504" customFormat="false" ht="12.75" hidden="false" customHeight="false" outlineLevel="0" collapsed="false"/>
    <row r="505" customFormat="false" ht="12.75" hidden="false" customHeight="false" outlineLevel="0" collapsed="false"/>
    <row r="506" customFormat="false" ht="12.75" hidden="false" customHeight="false" outlineLevel="0" collapsed="false"/>
    <row r="507" customFormat="false" ht="12.75" hidden="false" customHeight="false" outlineLevel="0" collapsed="false"/>
    <row r="508" customFormat="false" ht="12.75" hidden="false" customHeight="false" outlineLevel="0" collapsed="false"/>
    <row r="509" customFormat="false" ht="12.75" hidden="false" customHeight="false" outlineLevel="0" collapsed="false"/>
    <row r="510" customFormat="false" ht="12.75" hidden="false" customHeight="false" outlineLevel="0" collapsed="false"/>
    <row r="511" customFormat="false" ht="12.75" hidden="false" customHeight="false" outlineLevel="0" collapsed="false"/>
    <row r="512" customFormat="false" ht="12.75" hidden="false" customHeight="false" outlineLevel="0" collapsed="false"/>
    <row r="513" customFormat="false" ht="12.75" hidden="false" customHeight="false" outlineLevel="0" collapsed="false"/>
    <row r="514" customFormat="false" ht="12.75" hidden="false" customHeight="false" outlineLevel="0" collapsed="false"/>
    <row r="515" customFormat="false" ht="12.75" hidden="false" customHeight="false" outlineLevel="0" collapsed="false"/>
    <row r="516" customFormat="false" ht="12.75" hidden="false" customHeight="false" outlineLevel="0" collapsed="false"/>
    <row r="517" customFormat="false" ht="12.75" hidden="false" customHeight="false" outlineLevel="0" collapsed="false"/>
    <row r="518" customFormat="false" ht="12.75" hidden="false" customHeight="false" outlineLevel="0" collapsed="false"/>
    <row r="519" customFormat="false" ht="12.75" hidden="false" customHeight="false" outlineLevel="0" collapsed="false"/>
    <row r="520" customFormat="false" ht="12.75" hidden="false" customHeight="false" outlineLevel="0" collapsed="false"/>
    <row r="521" customFormat="false" ht="12.75" hidden="false" customHeight="false" outlineLevel="0" collapsed="false"/>
    <row r="522" customFormat="false" ht="12.75" hidden="false" customHeight="false" outlineLevel="0" collapsed="false"/>
    <row r="523" customFormat="false" ht="12.75" hidden="false" customHeight="false" outlineLevel="0" collapsed="false"/>
    <row r="524" customFormat="false" ht="12.75" hidden="false" customHeight="false" outlineLevel="0" collapsed="false"/>
    <row r="525" customFormat="false" ht="12.75" hidden="false" customHeight="false" outlineLevel="0" collapsed="false"/>
    <row r="526" customFormat="false" ht="12.75" hidden="false" customHeight="false" outlineLevel="0" collapsed="false"/>
    <row r="527" customFormat="false" ht="12.75" hidden="false" customHeight="false" outlineLevel="0" collapsed="false"/>
    <row r="528" customFormat="false" ht="12.75" hidden="false" customHeight="false" outlineLevel="0" collapsed="false"/>
    <row r="529" customFormat="false" ht="12.75" hidden="false" customHeight="false" outlineLevel="0" collapsed="false"/>
    <row r="530" customFormat="false" ht="12.75" hidden="false" customHeight="false" outlineLevel="0" collapsed="false"/>
    <row r="531" customFormat="false" ht="12.75" hidden="false" customHeight="false" outlineLevel="0" collapsed="false"/>
    <row r="532" customFormat="false" ht="12.75" hidden="false" customHeight="false" outlineLevel="0" collapsed="false"/>
    <row r="533" customFormat="false" ht="12.75" hidden="false" customHeight="false" outlineLevel="0" collapsed="false"/>
    <row r="534" customFormat="false" ht="12.75" hidden="false" customHeight="false" outlineLevel="0" collapsed="false"/>
    <row r="535" customFormat="false" ht="12.75" hidden="false" customHeight="false" outlineLevel="0" collapsed="false"/>
    <row r="536" customFormat="false" ht="12.75" hidden="false" customHeight="false" outlineLevel="0" collapsed="false"/>
    <row r="537" customFormat="false" ht="12.75" hidden="false" customHeight="false" outlineLevel="0" collapsed="false"/>
    <row r="538" customFormat="false" ht="12.75" hidden="false" customHeight="false" outlineLevel="0" collapsed="false"/>
    <row r="539" customFormat="false" ht="12.75" hidden="false" customHeight="false" outlineLevel="0" collapsed="false"/>
    <row r="540" customFormat="false" ht="12.75" hidden="false" customHeight="false" outlineLevel="0" collapsed="false"/>
    <row r="541" customFormat="false" ht="12.75" hidden="false" customHeight="false" outlineLevel="0" collapsed="false"/>
    <row r="542" customFormat="false" ht="12.75" hidden="false" customHeight="false" outlineLevel="0" collapsed="false"/>
    <row r="543" customFormat="false" ht="12.75" hidden="false" customHeight="false" outlineLevel="0" collapsed="false"/>
    <row r="544" customFormat="false" ht="12.75" hidden="false" customHeight="false" outlineLevel="0" collapsed="false"/>
    <row r="545" customFormat="false" ht="12.75" hidden="false" customHeight="false" outlineLevel="0" collapsed="false"/>
    <row r="546" customFormat="false" ht="12.75" hidden="false" customHeight="false" outlineLevel="0" collapsed="false"/>
    <row r="547" customFormat="false" ht="12.75" hidden="false" customHeight="false" outlineLevel="0" collapsed="false"/>
    <row r="548" customFormat="false" ht="12.75" hidden="false" customHeight="false" outlineLevel="0" collapsed="false"/>
    <row r="549" customFormat="false" ht="12.75" hidden="false" customHeight="false" outlineLevel="0" collapsed="false"/>
    <row r="550" customFormat="false" ht="12.75" hidden="false" customHeight="false" outlineLevel="0" collapsed="false"/>
    <row r="551" customFormat="false" ht="12.75" hidden="false" customHeight="false" outlineLevel="0" collapsed="false"/>
    <row r="552" customFormat="false" ht="12.75" hidden="false" customHeight="false" outlineLevel="0" collapsed="false"/>
    <row r="553" customFormat="false" ht="12.75" hidden="false" customHeight="false" outlineLevel="0" collapsed="false"/>
    <row r="554" customFormat="false" ht="12.75" hidden="false" customHeight="false" outlineLevel="0" collapsed="false"/>
    <row r="555" customFormat="false" ht="12.75" hidden="false" customHeight="false" outlineLevel="0" collapsed="false"/>
    <row r="556" customFormat="false" ht="12.75" hidden="false" customHeight="false" outlineLevel="0" collapsed="false"/>
    <row r="557" customFormat="false" ht="12.75" hidden="false" customHeight="false" outlineLevel="0" collapsed="false"/>
    <row r="558" customFormat="false" ht="12.75" hidden="false" customHeight="false" outlineLevel="0" collapsed="false"/>
    <row r="559" customFormat="false" ht="12.75" hidden="false" customHeight="false" outlineLevel="0" collapsed="false"/>
    <row r="560" customFormat="false" ht="12.75" hidden="false" customHeight="false" outlineLevel="0" collapsed="false"/>
    <row r="561" customFormat="false" ht="12.75" hidden="false" customHeight="false" outlineLevel="0" collapsed="false"/>
    <row r="562" customFormat="false" ht="12.75" hidden="false" customHeight="false" outlineLevel="0" collapsed="false"/>
    <row r="563" customFormat="false" ht="12.75" hidden="false" customHeight="false" outlineLevel="0" collapsed="false"/>
    <row r="564" customFormat="false" ht="12.75" hidden="false" customHeight="false" outlineLevel="0" collapsed="false"/>
    <row r="565" customFormat="false" ht="12.75" hidden="false" customHeight="false" outlineLevel="0" collapsed="false"/>
    <row r="566" customFormat="false" ht="12.75" hidden="false" customHeight="false" outlineLevel="0" collapsed="false"/>
    <row r="567" customFormat="false" ht="12.75" hidden="false" customHeight="false" outlineLevel="0" collapsed="false"/>
    <row r="568" customFormat="false" ht="12.75" hidden="false" customHeight="false" outlineLevel="0" collapsed="false"/>
    <row r="569" customFormat="false" ht="12.75" hidden="false" customHeight="false" outlineLevel="0" collapsed="false"/>
    <row r="570" customFormat="false" ht="12.75" hidden="false" customHeight="false" outlineLevel="0" collapsed="false"/>
    <row r="571" customFormat="false" ht="12.75" hidden="false" customHeight="false" outlineLevel="0" collapsed="false"/>
    <row r="572" customFormat="false" ht="12.75" hidden="false" customHeight="false" outlineLevel="0" collapsed="false"/>
    <row r="573" customFormat="false" ht="12.75" hidden="false" customHeight="false" outlineLevel="0" collapsed="false"/>
    <row r="574" customFormat="false" ht="12.75" hidden="false" customHeight="false" outlineLevel="0" collapsed="false"/>
    <row r="575" customFormat="false" ht="12.75" hidden="false" customHeight="false" outlineLevel="0" collapsed="false"/>
    <row r="576" customFormat="false" ht="12.75" hidden="false" customHeight="false" outlineLevel="0" collapsed="false"/>
    <row r="577" customFormat="false" ht="12.75" hidden="false" customHeight="false" outlineLevel="0" collapsed="false"/>
    <row r="578" customFormat="false" ht="12.75" hidden="false" customHeight="false" outlineLevel="0" collapsed="false"/>
    <row r="579" customFormat="false" ht="12.75" hidden="false" customHeight="false" outlineLevel="0" collapsed="false"/>
    <row r="580" customFormat="false" ht="12.75" hidden="false" customHeight="false" outlineLevel="0" collapsed="false"/>
    <row r="581" customFormat="false" ht="12.75" hidden="false" customHeight="false" outlineLevel="0" collapsed="false"/>
    <row r="582" customFormat="false" ht="12.75" hidden="false" customHeight="false" outlineLevel="0" collapsed="false"/>
    <row r="583" customFormat="false" ht="12.75" hidden="false" customHeight="false" outlineLevel="0" collapsed="false"/>
    <row r="584" customFormat="false" ht="12.75" hidden="false" customHeight="false" outlineLevel="0" collapsed="false"/>
    <row r="585" customFormat="false" ht="12.75" hidden="false" customHeight="false" outlineLevel="0" collapsed="false"/>
    <row r="586" customFormat="false" ht="12.75" hidden="false" customHeight="false" outlineLevel="0" collapsed="false"/>
    <row r="587" customFormat="false" ht="12.75" hidden="false" customHeight="false" outlineLevel="0" collapsed="false"/>
    <row r="588" customFormat="false" ht="12.75" hidden="false" customHeight="false" outlineLevel="0" collapsed="false"/>
    <row r="589" customFormat="false" ht="12.75" hidden="false" customHeight="false" outlineLevel="0" collapsed="false"/>
    <row r="590" customFormat="false" ht="12.75" hidden="false" customHeight="false" outlineLevel="0" collapsed="false"/>
    <row r="591" customFormat="false" ht="12.75" hidden="false" customHeight="false" outlineLevel="0" collapsed="false"/>
    <row r="592" customFormat="false" ht="12.75" hidden="false" customHeight="false" outlineLevel="0" collapsed="false"/>
    <row r="593" customFormat="false" ht="12.75" hidden="false" customHeight="false" outlineLevel="0" collapsed="false"/>
    <row r="594" customFormat="false" ht="12.75" hidden="false" customHeight="false" outlineLevel="0" collapsed="false"/>
    <row r="595" customFormat="false" ht="12.75" hidden="false" customHeight="false" outlineLevel="0" collapsed="false"/>
    <row r="596" customFormat="false" ht="12.75" hidden="false" customHeight="false" outlineLevel="0" collapsed="false"/>
    <row r="597" customFormat="false" ht="12.75" hidden="false" customHeight="false" outlineLevel="0" collapsed="false"/>
    <row r="598" customFormat="false" ht="12.75" hidden="false" customHeight="false" outlineLevel="0" collapsed="false"/>
    <row r="599" customFormat="false" ht="12.75" hidden="false" customHeight="false" outlineLevel="0" collapsed="false"/>
    <row r="600" customFormat="false" ht="12.75" hidden="false" customHeight="false" outlineLevel="0" collapsed="false"/>
    <row r="601" customFormat="false" ht="12.75" hidden="false" customHeight="false" outlineLevel="0" collapsed="false"/>
    <row r="602" customFormat="false" ht="12.75" hidden="false" customHeight="false" outlineLevel="0" collapsed="false"/>
    <row r="603" customFormat="false" ht="12.75" hidden="false" customHeight="false" outlineLevel="0" collapsed="false"/>
    <row r="604" customFormat="false" ht="12.75" hidden="false" customHeight="false" outlineLevel="0" collapsed="false"/>
    <row r="605" customFormat="false" ht="12.75" hidden="false" customHeight="false" outlineLevel="0" collapsed="false"/>
    <row r="606" customFormat="false" ht="12.75" hidden="false" customHeight="false" outlineLevel="0" collapsed="false"/>
    <row r="607" customFormat="false" ht="12.75" hidden="false" customHeight="false" outlineLevel="0" collapsed="false"/>
    <row r="608" customFormat="false" ht="12.75" hidden="false" customHeight="false" outlineLevel="0" collapsed="false"/>
    <row r="609" customFormat="false" ht="12.75" hidden="false" customHeight="false" outlineLevel="0" collapsed="false"/>
    <row r="610" customFormat="false" ht="12.75" hidden="false" customHeight="false" outlineLevel="0" collapsed="false"/>
    <row r="611" customFormat="false" ht="12.75" hidden="false" customHeight="false" outlineLevel="0" collapsed="false"/>
    <row r="612" customFormat="false" ht="12.75" hidden="false" customHeight="false" outlineLevel="0" collapsed="false"/>
    <row r="613" customFormat="false" ht="12.75" hidden="false" customHeight="false" outlineLevel="0" collapsed="false"/>
    <row r="614" customFormat="false" ht="12.75" hidden="false" customHeight="false" outlineLevel="0" collapsed="false"/>
    <row r="615" customFormat="false" ht="12.75" hidden="false" customHeight="false" outlineLevel="0" collapsed="false"/>
    <row r="616" customFormat="false" ht="12.75" hidden="false" customHeight="false" outlineLevel="0" collapsed="false"/>
    <row r="617" customFormat="false" ht="12.75" hidden="false" customHeight="false" outlineLevel="0" collapsed="false"/>
    <row r="618" customFormat="false" ht="12.75" hidden="false" customHeight="false" outlineLevel="0" collapsed="false"/>
    <row r="619" customFormat="false" ht="12.75" hidden="false" customHeight="false" outlineLevel="0" collapsed="false"/>
    <row r="620" customFormat="false" ht="12.75" hidden="false" customHeight="false" outlineLevel="0" collapsed="false"/>
    <row r="621" customFormat="false" ht="12.75" hidden="false" customHeight="false" outlineLevel="0" collapsed="false"/>
    <row r="622" customFormat="false" ht="12.75" hidden="false" customHeight="false" outlineLevel="0" collapsed="false"/>
    <row r="623" customFormat="false" ht="12.75" hidden="false" customHeight="false" outlineLevel="0" collapsed="false"/>
    <row r="624" customFormat="false" ht="12.75" hidden="false" customHeight="false" outlineLevel="0" collapsed="false"/>
    <row r="625" customFormat="false" ht="12.75" hidden="false" customHeight="false" outlineLevel="0" collapsed="false"/>
    <row r="626" customFormat="false" ht="12.75" hidden="false" customHeight="false" outlineLevel="0" collapsed="false"/>
    <row r="627" customFormat="false" ht="12.75" hidden="false" customHeight="false" outlineLevel="0" collapsed="false"/>
    <row r="628" customFormat="false" ht="12.75" hidden="false" customHeight="false" outlineLevel="0" collapsed="false"/>
    <row r="629" customFormat="false" ht="12.75" hidden="false" customHeight="false" outlineLevel="0" collapsed="false"/>
    <row r="630" customFormat="false" ht="12.75" hidden="false" customHeight="false" outlineLevel="0" collapsed="false"/>
    <row r="631" customFormat="false" ht="12.75" hidden="false" customHeight="false" outlineLevel="0" collapsed="false"/>
    <row r="632" customFormat="false" ht="12.75" hidden="false" customHeight="false" outlineLevel="0" collapsed="false"/>
    <row r="633" customFormat="false" ht="12.75" hidden="false" customHeight="false" outlineLevel="0" collapsed="false"/>
    <row r="634" customFormat="false" ht="12.75" hidden="false" customHeight="false" outlineLevel="0" collapsed="false"/>
    <row r="635" customFormat="false" ht="12.75" hidden="false" customHeight="false" outlineLevel="0" collapsed="false"/>
    <row r="636" customFormat="false" ht="12.75" hidden="false" customHeight="false" outlineLevel="0" collapsed="false"/>
    <row r="637" customFormat="false" ht="12.75" hidden="false" customHeight="false" outlineLevel="0" collapsed="false"/>
    <row r="638" customFormat="false" ht="12.75" hidden="false" customHeight="false" outlineLevel="0" collapsed="false"/>
    <row r="639" customFormat="false" ht="12.75" hidden="false" customHeight="false" outlineLevel="0" collapsed="false"/>
    <row r="640" customFormat="false" ht="12.75" hidden="false" customHeight="false" outlineLevel="0" collapsed="false"/>
    <row r="641" customFormat="false" ht="12.75" hidden="false" customHeight="false" outlineLevel="0" collapsed="false"/>
    <row r="642" customFormat="false" ht="12.75" hidden="false" customHeight="false" outlineLevel="0" collapsed="false"/>
    <row r="643" customFormat="false" ht="12.75" hidden="false" customHeight="false" outlineLevel="0" collapsed="false"/>
    <row r="644" customFormat="false" ht="12.75" hidden="false" customHeight="false" outlineLevel="0" collapsed="false"/>
    <row r="645" customFormat="false" ht="12.75" hidden="false" customHeight="false" outlineLevel="0" collapsed="false"/>
    <row r="646" customFormat="false" ht="12.75" hidden="false" customHeight="false" outlineLevel="0" collapsed="false"/>
    <row r="647" customFormat="false" ht="12.75" hidden="false" customHeight="false" outlineLevel="0" collapsed="false"/>
    <row r="648" customFormat="false" ht="12.75" hidden="false" customHeight="false" outlineLevel="0" collapsed="false"/>
    <row r="649" customFormat="false" ht="12.75" hidden="false" customHeight="false" outlineLevel="0" collapsed="false"/>
    <row r="650" customFormat="false" ht="12.75" hidden="false" customHeight="false" outlineLevel="0" collapsed="false"/>
    <row r="651" customFormat="false" ht="12.75" hidden="false" customHeight="false" outlineLevel="0" collapsed="false"/>
    <row r="652" customFormat="false" ht="12.75" hidden="false" customHeight="false" outlineLevel="0" collapsed="false"/>
    <row r="653" customFormat="false" ht="12.75" hidden="false" customHeight="false" outlineLevel="0" collapsed="false"/>
    <row r="654" customFormat="false" ht="12.75" hidden="false" customHeight="false" outlineLevel="0" collapsed="false"/>
    <row r="655" customFormat="false" ht="12.75" hidden="false" customHeight="false" outlineLevel="0" collapsed="false"/>
    <row r="656" customFormat="false" ht="12.75" hidden="false" customHeight="false" outlineLevel="0" collapsed="false"/>
    <row r="657" customFormat="false" ht="12.75" hidden="false" customHeight="false" outlineLevel="0" collapsed="false"/>
    <row r="658" customFormat="false" ht="12.75" hidden="false" customHeight="false" outlineLevel="0" collapsed="false"/>
    <row r="659" customFormat="false" ht="12.75" hidden="false" customHeight="false" outlineLevel="0" collapsed="false"/>
    <row r="660" customFormat="false" ht="12.75" hidden="false" customHeight="false" outlineLevel="0" collapsed="false"/>
    <row r="661" customFormat="false" ht="12.75" hidden="false" customHeight="false" outlineLevel="0" collapsed="false"/>
    <row r="662" customFormat="false" ht="12.75" hidden="false" customHeight="false" outlineLevel="0" collapsed="false"/>
    <row r="663" customFormat="false" ht="12.75" hidden="false" customHeight="false" outlineLevel="0" collapsed="false"/>
    <row r="664" customFormat="false" ht="12.75" hidden="false" customHeight="false" outlineLevel="0" collapsed="false"/>
    <row r="665" customFormat="false" ht="12.75" hidden="false" customHeight="false" outlineLevel="0" collapsed="false"/>
    <row r="666" customFormat="false" ht="12.75" hidden="false" customHeight="false" outlineLevel="0" collapsed="false"/>
    <row r="667" customFormat="false" ht="12.75" hidden="false" customHeight="false" outlineLevel="0" collapsed="false"/>
    <row r="668" customFormat="false" ht="12.75" hidden="false" customHeight="false" outlineLevel="0" collapsed="false"/>
    <row r="669" customFormat="false" ht="12.75" hidden="false" customHeight="false" outlineLevel="0" collapsed="false"/>
    <row r="670" customFormat="false" ht="12.75" hidden="false" customHeight="false" outlineLevel="0" collapsed="false"/>
    <row r="671" customFormat="false" ht="12.75" hidden="false" customHeight="false" outlineLevel="0" collapsed="false"/>
    <row r="672" customFormat="false" ht="12.75" hidden="false" customHeight="false" outlineLevel="0" collapsed="false"/>
    <row r="673" customFormat="false" ht="12.75" hidden="false" customHeight="false" outlineLevel="0" collapsed="false"/>
    <row r="674" customFormat="false" ht="12.75" hidden="false" customHeight="false" outlineLevel="0" collapsed="false"/>
    <row r="675" customFormat="false" ht="12.75" hidden="false" customHeight="false" outlineLevel="0" collapsed="false"/>
    <row r="676" customFormat="false" ht="12.75" hidden="false" customHeight="false" outlineLevel="0" collapsed="false"/>
    <row r="677" customFormat="false" ht="12.75" hidden="false" customHeight="false" outlineLevel="0" collapsed="false"/>
    <row r="678" customFormat="false" ht="12.75" hidden="false" customHeight="false" outlineLevel="0" collapsed="false"/>
    <row r="679" customFormat="false" ht="12.75" hidden="false" customHeight="false" outlineLevel="0" collapsed="false"/>
    <row r="680" customFormat="false" ht="12.75" hidden="false" customHeight="false" outlineLevel="0" collapsed="false"/>
    <row r="681" customFormat="false" ht="12.75" hidden="false" customHeight="false" outlineLevel="0" collapsed="false"/>
    <row r="682" customFormat="false" ht="12.75" hidden="false" customHeight="false" outlineLevel="0" collapsed="false"/>
    <row r="683" customFormat="false" ht="12.75" hidden="false" customHeight="false" outlineLevel="0" collapsed="false"/>
    <row r="684" customFormat="false" ht="12.75" hidden="false" customHeight="false" outlineLevel="0" collapsed="false"/>
    <row r="685" customFormat="false" ht="12.75" hidden="false" customHeight="false" outlineLevel="0" collapsed="false"/>
    <row r="686" customFormat="false" ht="12.75" hidden="false" customHeight="false" outlineLevel="0" collapsed="false"/>
    <row r="687" customFormat="false" ht="12.75" hidden="false" customHeight="false" outlineLevel="0" collapsed="false"/>
    <row r="688" customFormat="false" ht="12.75" hidden="false" customHeight="false" outlineLevel="0" collapsed="false"/>
    <row r="689" customFormat="false" ht="12.75" hidden="false" customHeight="false" outlineLevel="0" collapsed="false"/>
    <row r="690" customFormat="false" ht="12.75" hidden="false" customHeight="false" outlineLevel="0" collapsed="false"/>
    <row r="691" customFormat="false" ht="12.75" hidden="false" customHeight="false" outlineLevel="0" collapsed="false"/>
    <row r="692" customFormat="false" ht="12.75" hidden="false" customHeight="false" outlineLevel="0" collapsed="false"/>
    <row r="693" customFormat="false" ht="12.75" hidden="false" customHeight="false" outlineLevel="0" collapsed="false"/>
    <row r="694" customFormat="false" ht="12.75" hidden="false" customHeight="false" outlineLevel="0" collapsed="false"/>
    <row r="695" customFormat="false" ht="12.75" hidden="false" customHeight="false" outlineLevel="0" collapsed="false"/>
    <row r="696" customFormat="false" ht="12.75" hidden="false" customHeight="false" outlineLevel="0" collapsed="false"/>
    <row r="697" customFormat="false" ht="12.75" hidden="false" customHeight="false" outlineLevel="0" collapsed="false"/>
    <row r="698" customFormat="false" ht="12.75" hidden="false" customHeight="false" outlineLevel="0" collapsed="false"/>
    <row r="699" customFormat="false" ht="12.75" hidden="false" customHeight="false" outlineLevel="0" collapsed="false"/>
    <row r="700" customFormat="false" ht="12.75" hidden="false" customHeight="false" outlineLevel="0" collapsed="false"/>
    <row r="701" customFormat="false" ht="12.75" hidden="false" customHeight="false" outlineLevel="0" collapsed="false"/>
    <row r="702" customFormat="false" ht="12.75" hidden="false" customHeight="false" outlineLevel="0" collapsed="false"/>
    <row r="703" customFormat="false" ht="12.75" hidden="false" customHeight="false" outlineLevel="0" collapsed="false"/>
    <row r="704" customFormat="false" ht="12.75" hidden="false" customHeight="false" outlineLevel="0" collapsed="false"/>
    <row r="705" customFormat="false" ht="12.75" hidden="false" customHeight="false" outlineLevel="0" collapsed="false"/>
    <row r="706" customFormat="false" ht="12.75" hidden="false" customHeight="false" outlineLevel="0" collapsed="false"/>
    <row r="707" customFormat="false" ht="12.75" hidden="false" customHeight="false" outlineLevel="0" collapsed="false"/>
    <row r="708" customFormat="false" ht="12.75" hidden="false" customHeight="false" outlineLevel="0" collapsed="false"/>
    <row r="709" customFormat="false" ht="12.75" hidden="false" customHeight="false" outlineLevel="0" collapsed="false"/>
    <row r="710" customFormat="false" ht="12.75" hidden="false" customHeight="false" outlineLevel="0" collapsed="false"/>
    <row r="711" customFormat="false" ht="12.75" hidden="false" customHeight="false" outlineLevel="0" collapsed="false"/>
    <row r="712" customFormat="false" ht="12.75" hidden="false" customHeight="false" outlineLevel="0" collapsed="false"/>
    <row r="713" customFormat="false" ht="12.75" hidden="false" customHeight="false" outlineLevel="0" collapsed="false"/>
    <row r="714" customFormat="false" ht="12.75" hidden="false" customHeight="false" outlineLevel="0" collapsed="false"/>
    <row r="715" customFormat="false" ht="12.75" hidden="false" customHeight="false" outlineLevel="0" collapsed="false"/>
    <row r="716" customFormat="false" ht="12.75" hidden="false" customHeight="false" outlineLevel="0" collapsed="false"/>
    <row r="717" customFormat="false" ht="12.75" hidden="false" customHeight="false" outlineLevel="0" collapsed="false"/>
    <row r="718" customFormat="false" ht="12.75" hidden="false" customHeight="false" outlineLevel="0" collapsed="false"/>
    <row r="719" customFormat="false" ht="12.75" hidden="false" customHeight="false" outlineLevel="0" collapsed="false"/>
    <row r="720" customFormat="false" ht="12.75" hidden="false" customHeight="false" outlineLevel="0" collapsed="false"/>
    <row r="721" customFormat="false" ht="12.75" hidden="false" customHeight="false" outlineLevel="0" collapsed="false"/>
    <row r="722" customFormat="false" ht="12.75" hidden="false" customHeight="false" outlineLevel="0" collapsed="false"/>
    <row r="723" customFormat="false" ht="12.75" hidden="false" customHeight="false" outlineLevel="0" collapsed="false"/>
    <row r="724" customFormat="false" ht="12.75" hidden="false" customHeight="false" outlineLevel="0" collapsed="false"/>
    <row r="725" customFormat="false" ht="12.75" hidden="false" customHeight="false" outlineLevel="0" collapsed="false"/>
    <row r="726" customFormat="false" ht="12.75" hidden="false" customHeight="false" outlineLevel="0" collapsed="false"/>
    <row r="727" customFormat="false" ht="12.75" hidden="false" customHeight="false" outlineLevel="0" collapsed="false"/>
    <row r="728" customFormat="false" ht="12.75" hidden="false" customHeight="false" outlineLevel="0" collapsed="false"/>
    <row r="729" customFormat="false" ht="12.75" hidden="false" customHeight="false" outlineLevel="0" collapsed="false"/>
    <row r="730" customFormat="false" ht="12.75" hidden="false" customHeight="false" outlineLevel="0" collapsed="false"/>
    <row r="731" customFormat="false" ht="12.75" hidden="false" customHeight="false" outlineLevel="0" collapsed="false"/>
    <row r="732" customFormat="false" ht="12.75" hidden="false" customHeight="false" outlineLevel="0" collapsed="false"/>
    <row r="733" customFormat="false" ht="12.75" hidden="false" customHeight="false" outlineLevel="0" collapsed="false"/>
    <row r="734" customFormat="false" ht="12.75" hidden="false" customHeight="false" outlineLevel="0" collapsed="false"/>
    <row r="735" customFormat="false" ht="12.75" hidden="false" customHeight="false" outlineLevel="0" collapsed="false"/>
    <row r="736" customFormat="false" ht="12.75" hidden="false" customHeight="false" outlineLevel="0" collapsed="false"/>
    <row r="737" customFormat="false" ht="12.75" hidden="false" customHeight="false" outlineLevel="0" collapsed="false"/>
    <row r="738" customFormat="false" ht="12.75" hidden="false" customHeight="false" outlineLevel="0" collapsed="false"/>
    <row r="739" customFormat="false" ht="12.75" hidden="false" customHeight="false" outlineLevel="0" collapsed="false"/>
    <row r="740" customFormat="false" ht="12.75" hidden="false" customHeight="false" outlineLevel="0" collapsed="false"/>
    <row r="741" customFormat="false" ht="12.75" hidden="false" customHeight="false" outlineLevel="0" collapsed="false"/>
    <row r="742" customFormat="false" ht="12.75" hidden="false" customHeight="false" outlineLevel="0" collapsed="false"/>
    <row r="743" customFormat="false" ht="12.75" hidden="false" customHeight="false" outlineLevel="0" collapsed="false"/>
    <row r="744" customFormat="false" ht="12.75" hidden="false" customHeight="false" outlineLevel="0" collapsed="false"/>
    <row r="745" customFormat="false" ht="12.75" hidden="false" customHeight="false" outlineLevel="0" collapsed="false"/>
    <row r="746" customFormat="false" ht="12.75" hidden="false" customHeight="false" outlineLevel="0" collapsed="false"/>
    <row r="747" customFormat="false" ht="12.75" hidden="false" customHeight="false" outlineLevel="0" collapsed="false"/>
    <row r="748" customFormat="false" ht="12.75" hidden="false" customHeight="false" outlineLevel="0" collapsed="false"/>
    <row r="749" customFormat="false" ht="12.75" hidden="false" customHeight="false" outlineLevel="0" collapsed="false"/>
    <row r="750" customFormat="false" ht="12.75" hidden="false" customHeight="false" outlineLevel="0" collapsed="false"/>
    <row r="751" customFormat="false" ht="12.75" hidden="false" customHeight="false" outlineLevel="0" collapsed="false"/>
    <row r="752" customFormat="false" ht="12.75" hidden="false" customHeight="false" outlineLevel="0" collapsed="false"/>
    <row r="753" customFormat="false" ht="12.75" hidden="false" customHeight="false" outlineLevel="0" collapsed="false"/>
    <row r="754" customFormat="false" ht="12.75" hidden="false" customHeight="false" outlineLevel="0" collapsed="false"/>
    <row r="755" customFormat="false" ht="12.75" hidden="false" customHeight="false" outlineLevel="0" collapsed="false"/>
    <row r="756" customFormat="false" ht="12.75" hidden="false" customHeight="false" outlineLevel="0" collapsed="false"/>
    <row r="757" customFormat="false" ht="12.75" hidden="false" customHeight="false" outlineLevel="0" collapsed="false"/>
    <row r="758" customFormat="false" ht="12.75" hidden="false" customHeight="false" outlineLevel="0" collapsed="false"/>
    <row r="759" customFormat="false" ht="12.75" hidden="false" customHeight="false" outlineLevel="0" collapsed="false"/>
    <row r="760" customFormat="false" ht="12.75" hidden="false" customHeight="false" outlineLevel="0" collapsed="false"/>
    <row r="761" customFormat="false" ht="12.75" hidden="false" customHeight="false" outlineLevel="0" collapsed="false"/>
    <row r="762" customFormat="false" ht="12.75" hidden="false" customHeight="false" outlineLevel="0" collapsed="false"/>
    <row r="763" customFormat="false" ht="12.75" hidden="false" customHeight="false" outlineLevel="0" collapsed="false"/>
    <row r="764" customFormat="false" ht="12.75" hidden="false" customHeight="false" outlineLevel="0" collapsed="false"/>
    <row r="765" customFormat="false" ht="12.75" hidden="false" customHeight="false" outlineLevel="0" collapsed="false"/>
    <row r="766" customFormat="false" ht="12.75" hidden="false" customHeight="false" outlineLevel="0" collapsed="false"/>
    <row r="767" customFormat="false" ht="12.75" hidden="false" customHeight="false" outlineLevel="0" collapsed="false"/>
    <row r="768" customFormat="false" ht="12.75" hidden="false" customHeight="false" outlineLevel="0" collapsed="false"/>
    <row r="769" customFormat="false" ht="12.75" hidden="false" customHeight="false" outlineLevel="0" collapsed="false"/>
    <row r="770" customFormat="false" ht="12.75" hidden="false" customHeight="false" outlineLevel="0" collapsed="false"/>
    <row r="771" customFormat="false" ht="12.75" hidden="false" customHeight="false" outlineLevel="0" collapsed="false"/>
    <row r="772" customFormat="false" ht="12.75" hidden="false" customHeight="false" outlineLevel="0" collapsed="false"/>
    <row r="773" customFormat="false" ht="12.75" hidden="false" customHeight="false" outlineLevel="0" collapsed="false"/>
    <row r="774" customFormat="false" ht="12.75" hidden="false" customHeight="false" outlineLevel="0" collapsed="false"/>
    <row r="775" customFormat="false" ht="12.75" hidden="false" customHeight="false" outlineLevel="0" collapsed="false"/>
    <row r="776" customFormat="false" ht="12.75" hidden="false" customHeight="false" outlineLevel="0" collapsed="false"/>
    <row r="777" customFormat="false" ht="12.75" hidden="false" customHeight="false" outlineLevel="0" collapsed="false"/>
    <row r="778" customFormat="false" ht="12.75" hidden="false" customHeight="false" outlineLevel="0" collapsed="false"/>
    <row r="779" customFormat="false" ht="12.75" hidden="false" customHeight="false" outlineLevel="0" collapsed="false"/>
    <row r="780" customFormat="false" ht="12.75" hidden="false" customHeight="false" outlineLevel="0" collapsed="false"/>
    <row r="781" customFormat="false" ht="12.75" hidden="false" customHeight="false" outlineLevel="0" collapsed="false"/>
    <row r="782" customFormat="false" ht="12.75" hidden="false" customHeight="false" outlineLevel="0" collapsed="false"/>
    <row r="783" customFormat="false" ht="12.75" hidden="false" customHeight="false" outlineLevel="0" collapsed="false"/>
    <row r="784" customFormat="false" ht="12.75" hidden="false" customHeight="false" outlineLevel="0" collapsed="false"/>
    <row r="785" customFormat="false" ht="12.75" hidden="false" customHeight="false" outlineLevel="0" collapsed="false"/>
    <row r="786" customFormat="false" ht="12.75" hidden="false" customHeight="false" outlineLevel="0" collapsed="false"/>
    <row r="787" customFormat="false" ht="12.75" hidden="false" customHeight="false" outlineLevel="0" collapsed="false"/>
    <row r="788" customFormat="false" ht="12.75" hidden="false" customHeight="false" outlineLevel="0" collapsed="false"/>
    <row r="789" customFormat="false" ht="12.75" hidden="false" customHeight="false" outlineLevel="0" collapsed="false"/>
    <row r="790" customFormat="false" ht="12.75" hidden="false" customHeight="false" outlineLevel="0" collapsed="false"/>
    <row r="791" customFormat="false" ht="12.75" hidden="false" customHeight="false" outlineLevel="0" collapsed="false"/>
    <row r="792" customFormat="false" ht="12.75" hidden="false" customHeight="false" outlineLevel="0" collapsed="false"/>
    <row r="793" customFormat="false" ht="12.75" hidden="false" customHeight="false" outlineLevel="0" collapsed="false"/>
    <row r="794" customFormat="false" ht="12.75" hidden="false" customHeight="false" outlineLevel="0" collapsed="false"/>
    <row r="795" customFormat="false" ht="12.75" hidden="false" customHeight="false" outlineLevel="0" collapsed="false"/>
    <row r="796" customFormat="false" ht="12.75" hidden="false" customHeight="false" outlineLevel="0" collapsed="false"/>
    <row r="797" customFormat="false" ht="12.75" hidden="false" customHeight="false" outlineLevel="0" collapsed="false"/>
    <row r="798" customFormat="false" ht="12.75" hidden="false" customHeight="false" outlineLevel="0" collapsed="false"/>
    <row r="799" customFormat="false" ht="12.75" hidden="false" customHeight="false" outlineLevel="0" collapsed="false"/>
    <row r="800" customFormat="false" ht="12.75" hidden="false" customHeight="false" outlineLevel="0" collapsed="false"/>
    <row r="801" customFormat="false" ht="12.75" hidden="false" customHeight="false" outlineLevel="0" collapsed="false"/>
    <row r="802" customFormat="false" ht="12.75" hidden="false" customHeight="false" outlineLevel="0" collapsed="false"/>
    <row r="803" customFormat="false" ht="12.75" hidden="false" customHeight="false" outlineLevel="0" collapsed="false"/>
    <row r="804" customFormat="false" ht="12.75" hidden="false" customHeight="false" outlineLevel="0" collapsed="false"/>
    <row r="805" customFormat="false" ht="12.75" hidden="false" customHeight="false" outlineLevel="0" collapsed="false"/>
    <row r="806" customFormat="false" ht="12.75" hidden="false" customHeight="false" outlineLevel="0" collapsed="false"/>
    <row r="807" customFormat="false" ht="12.75" hidden="false" customHeight="false" outlineLevel="0" collapsed="false"/>
    <row r="808" customFormat="false" ht="12.75" hidden="false" customHeight="false" outlineLevel="0" collapsed="false"/>
    <row r="809" customFormat="false" ht="12.75" hidden="false" customHeight="false" outlineLevel="0" collapsed="false"/>
    <row r="810" customFormat="false" ht="12.75" hidden="false" customHeight="false" outlineLevel="0" collapsed="false"/>
    <row r="811" customFormat="false" ht="12.75" hidden="false" customHeight="false" outlineLevel="0" collapsed="false"/>
    <row r="812" customFormat="false" ht="12.75" hidden="false" customHeight="false" outlineLevel="0" collapsed="false"/>
    <row r="813" customFormat="false" ht="12.75" hidden="false" customHeight="false" outlineLevel="0" collapsed="false"/>
    <row r="814" customFormat="false" ht="12.75" hidden="false" customHeight="false" outlineLevel="0" collapsed="false"/>
    <row r="815" customFormat="false" ht="12.75" hidden="false" customHeight="false" outlineLevel="0" collapsed="false"/>
    <row r="816" customFormat="false" ht="12.75" hidden="false" customHeight="false" outlineLevel="0" collapsed="false"/>
    <row r="817" customFormat="false" ht="12.75" hidden="false" customHeight="false" outlineLevel="0" collapsed="false"/>
    <row r="818" customFormat="false" ht="12.75" hidden="false" customHeight="false" outlineLevel="0" collapsed="false"/>
    <row r="819" customFormat="false" ht="12.75" hidden="false" customHeight="false" outlineLevel="0" collapsed="false"/>
    <row r="820" customFormat="false" ht="12.75" hidden="false" customHeight="false" outlineLevel="0" collapsed="false"/>
    <row r="821" customFormat="false" ht="12.75" hidden="false" customHeight="false" outlineLevel="0" collapsed="false"/>
    <row r="822" customFormat="false" ht="12.75" hidden="false" customHeight="false" outlineLevel="0" collapsed="false"/>
    <row r="823" customFormat="false" ht="12.75" hidden="false" customHeight="false" outlineLevel="0" collapsed="false"/>
    <row r="824" customFormat="false" ht="12.75" hidden="false" customHeight="false" outlineLevel="0" collapsed="false"/>
    <row r="825" customFormat="false" ht="12.75" hidden="false" customHeight="false" outlineLevel="0" collapsed="false"/>
    <row r="826" customFormat="false" ht="12.75" hidden="false" customHeight="false" outlineLevel="0" collapsed="false"/>
    <row r="827" customFormat="false" ht="12.75" hidden="false" customHeight="false" outlineLevel="0" collapsed="false"/>
    <row r="828" customFormat="false" ht="12.75" hidden="false" customHeight="false" outlineLevel="0" collapsed="false"/>
    <row r="829" customFormat="false" ht="12.75" hidden="false" customHeight="false" outlineLevel="0" collapsed="false"/>
    <row r="830" customFormat="false" ht="12.75" hidden="false" customHeight="false" outlineLevel="0" collapsed="false"/>
    <row r="831" customFormat="false" ht="12.75" hidden="false" customHeight="false" outlineLevel="0" collapsed="false"/>
    <row r="832" customFormat="false" ht="12.75" hidden="false" customHeight="false" outlineLevel="0" collapsed="false"/>
    <row r="833" customFormat="false" ht="12.75" hidden="false" customHeight="false" outlineLevel="0" collapsed="false"/>
    <row r="834" customFormat="false" ht="12.75" hidden="false" customHeight="false" outlineLevel="0" collapsed="false"/>
    <row r="835" customFormat="false" ht="12.75" hidden="false" customHeight="false" outlineLevel="0" collapsed="false"/>
    <row r="836" customFormat="false" ht="12.75" hidden="false" customHeight="false" outlineLevel="0" collapsed="false"/>
    <row r="837" customFormat="false" ht="12.75" hidden="false" customHeight="false" outlineLevel="0" collapsed="false"/>
    <row r="838" customFormat="false" ht="12.75" hidden="false" customHeight="false" outlineLevel="0" collapsed="false"/>
    <row r="839" customFormat="false" ht="12.75" hidden="false" customHeight="false" outlineLevel="0" collapsed="false"/>
    <row r="840" customFormat="false" ht="12.75" hidden="false" customHeight="false" outlineLevel="0" collapsed="false"/>
    <row r="841" customFormat="false" ht="12.75" hidden="false" customHeight="false" outlineLevel="0" collapsed="false"/>
    <row r="842" customFormat="false" ht="12.75" hidden="false" customHeight="false" outlineLevel="0" collapsed="false"/>
    <row r="843" customFormat="false" ht="12.75" hidden="false" customHeight="false" outlineLevel="0" collapsed="false"/>
    <row r="844" customFormat="false" ht="12.75" hidden="false" customHeight="false" outlineLevel="0" collapsed="false"/>
    <row r="845" customFormat="false" ht="12.75" hidden="false" customHeight="false" outlineLevel="0" collapsed="false"/>
    <row r="846" customFormat="false" ht="12.75" hidden="false" customHeight="false" outlineLevel="0" collapsed="false"/>
    <row r="847" customFormat="false" ht="12.75" hidden="false" customHeight="false" outlineLevel="0" collapsed="false"/>
    <row r="848" customFormat="false" ht="12.75" hidden="false" customHeight="false" outlineLevel="0" collapsed="false"/>
    <row r="849" customFormat="false" ht="12.75" hidden="false" customHeight="false" outlineLevel="0" collapsed="false"/>
    <row r="850" customFormat="false" ht="12.75" hidden="false" customHeight="false" outlineLevel="0" collapsed="false"/>
    <row r="851" customFormat="false" ht="12.75" hidden="false" customHeight="false" outlineLevel="0" collapsed="false"/>
    <row r="852" customFormat="false" ht="12.75" hidden="false" customHeight="false" outlineLevel="0" collapsed="false"/>
    <row r="853" customFormat="false" ht="12.75" hidden="false" customHeight="false" outlineLevel="0" collapsed="false"/>
    <row r="854" customFormat="false" ht="12.75" hidden="false" customHeight="false" outlineLevel="0" collapsed="false"/>
    <row r="855" customFormat="false" ht="12.75" hidden="false" customHeight="false" outlineLevel="0" collapsed="false"/>
    <row r="856" customFormat="false" ht="12.75" hidden="false" customHeight="false" outlineLevel="0" collapsed="false"/>
    <row r="857" customFormat="false" ht="12.75" hidden="false" customHeight="false" outlineLevel="0" collapsed="false"/>
    <row r="858" customFormat="false" ht="12.75" hidden="false" customHeight="false" outlineLevel="0" collapsed="false"/>
    <row r="859" customFormat="false" ht="12.75" hidden="false" customHeight="false" outlineLevel="0" collapsed="false"/>
    <row r="860" customFormat="false" ht="12.75" hidden="false" customHeight="false" outlineLevel="0" collapsed="false"/>
    <row r="861" customFormat="false" ht="12.75" hidden="false" customHeight="false" outlineLevel="0" collapsed="false"/>
    <row r="862" customFormat="false" ht="12.75" hidden="false" customHeight="false" outlineLevel="0" collapsed="false"/>
    <row r="863" customFormat="false" ht="12.75" hidden="false" customHeight="false" outlineLevel="0" collapsed="false"/>
    <row r="864" customFormat="false" ht="12.75" hidden="false" customHeight="false" outlineLevel="0" collapsed="false"/>
    <row r="865" customFormat="false" ht="12.75" hidden="false" customHeight="false" outlineLevel="0" collapsed="false"/>
    <row r="866" customFormat="false" ht="12.75" hidden="false" customHeight="false" outlineLevel="0" collapsed="false"/>
    <row r="867" customFormat="false" ht="12.75" hidden="false" customHeight="false" outlineLevel="0" collapsed="false"/>
    <row r="868" customFormat="false" ht="12.75" hidden="false" customHeight="false" outlineLevel="0" collapsed="false"/>
  </sheetData>
  <mergeCells count="1">
    <mergeCell ref="H1:I1"/>
  </mergeCells>
  <conditionalFormatting sqref="I5:I25 H26:H868">
    <cfRule type="cellIs" priority="2" operator="between" aboveAverage="0" equalAverage="0" bottom="0" percent="0" rank="0" text="" dxfId="0">
      <formula>0</formula>
      <formula>0.5</formula>
    </cfRule>
  </conditionalFormatting>
  <conditionalFormatting sqref="I5:I25 H26:H868 G6:G868">
    <cfRule type="cellIs" priority="3" operator="between" aboveAverage="0" equalAverage="0" bottom="0" percent="0" rank="0" text="" dxfId="1">
      <formula>0.51</formula>
      <formula>0.99</formula>
    </cfRule>
  </conditionalFormatting>
  <conditionalFormatting sqref="I5:I25 H26:H868 G6:G868">
    <cfRule type="cellIs" priority="4" operator="greaterThanOrEqual" aboveAverage="0" equalAverage="0" bottom="0" percent="0" rank="0" text="" dxfId="2">
      <formula>1</formula>
    </cfRule>
  </conditionalFormatting>
  <conditionalFormatting sqref="G6:G868">
    <cfRule type="cellIs" priority="5" operator="between" aboveAverage="0" equalAverage="0" bottom="0" percent="0" rank="0" text="" dxfId="3">
      <formula>0</formula>
      <formula>0.5</formula>
    </cfRule>
  </conditionalFormatting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1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RowHeight="15.75" zeroHeight="false" outlineLevelRow="0" outlineLevelCol="0"/>
  <cols>
    <col collapsed="false" customWidth="true" hidden="false" outlineLevel="0" max="2" min="1" style="0" width="14.43"/>
    <col collapsed="false" customWidth="true" hidden="false" outlineLevel="0" max="3" min="3" style="0" width="22.43"/>
    <col collapsed="false" customWidth="true" hidden="false" outlineLevel="0" max="1025" min="4" style="0" width="14.43"/>
  </cols>
  <sheetData>
    <row r="1" s="26" customFormat="true" ht="48" hidden="false" customHeight="true" outlineLevel="0" collapsed="false">
      <c r="A1" s="23"/>
      <c r="B1" s="23"/>
      <c r="C1" s="23"/>
      <c r="D1" s="23"/>
      <c r="E1" s="24" t="s">
        <v>20</v>
      </c>
      <c r="F1" s="24" t="n">
        <f aca="false">'Cadastro Institucional'!D$6</f>
        <v>0</v>
      </c>
      <c r="G1" s="25" t="n">
        <f aca="false">'Cadastro Institucional'!D$7</f>
        <v>0</v>
      </c>
      <c r="H1" s="41"/>
      <c r="I1" s="41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customFormat="false" ht="12.75" hidden="false" customHeight="false" outlineLevel="0" collapsed="false">
      <c r="A2" s="27" t="s">
        <v>14</v>
      </c>
      <c r="B2" s="27" t="s">
        <v>13</v>
      </c>
      <c r="C2" s="27" t="s">
        <v>15</v>
      </c>
      <c r="D2" s="27" t="s">
        <v>16</v>
      </c>
      <c r="E2" s="27" t="s">
        <v>17</v>
      </c>
      <c r="F2" s="27" t="s">
        <v>18</v>
      </c>
      <c r="G2" s="27" t="s">
        <v>19</v>
      </c>
      <c r="H2" s="69" t="s">
        <v>35</v>
      </c>
      <c r="I2" s="69" t="s">
        <v>36</v>
      </c>
      <c r="J2" s="28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customFormat="false" ht="12.75" hidden="false" customHeight="false" outlineLevel="0" collapsed="false">
      <c r="A3" s="30" t="n">
        <f aca="false">'Cadastro Institucional'!D$10</f>
        <v>0</v>
      </c>
      <c r="B3" s="31" t="n">
        <f aca="false">'Cadastro Institucional'!D$9</f>
        <v>0</v>
      </c>
      <c r="C3" s="31" t="n">
        <f aca="false">'Cadastro Institucional'!D$11</f>
        <v>0</v>
      </c>
      <c r="D3" s="32" t="n">
        <f aca="false">'Cadastro Institucional'!D$12</f>
        <v>0</v>
      </c>
      <c r="E3" s="31" t="n">
        <f aca="false">'Cadastro Institucional'!D$13</f>
        <v>0</v>
      </c>
      <c r="F3" s="31" t="n">
        <f aca="false">'Cadastro Institucional'!D$14</f>
        <v>0</v>
      </c>
      <c r="G3" s="33" t="n">
        <f aca="false">'Cadastro Institucional'!D$15</f>
        <v>0</v>
      </c>
      <c r="H3" s="70"/>
      <c r="I3" s="70"/>
      <c r="J3" s="28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customFormat="false" ht="12.75" hidden="false" customHeight="false" outlineLevel="0" collapsed="false">
      <c r="A4" s="55"/>
      <c r="B4" s="55"/>
      <c r="C4" s="55"/>
      <c r="D4" s="55"/>
      <c r="E4" s="55"/>
      <c r="F4" s="55"/>
      <c r="G4" s="55"/>
      <c r="H4" s="55"/>
      <c r="I4" s="55"/>
      <c r="J4" s="29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 customFormat="false" ht="25.5" hidden="false" customHeight="true" outlineLevel="0" collapsed="false">
      <c r="A5" s="56" t="s">
        <v>21</v>
      </c>
      <c r="B5" s="56" t="s">
        <v>23</v>
      </c>
      <c r="C5" s="56" t="s">
        <v>22</v>
      </c>
      <c r="D5" s="56" t="s">
        <v>28</v>
      </c>
      <c r="E5" s="56" t="s">
        <v>29</v>
      </c>
      <c r="F5" s="56" t="s">
        <v>30</v>
      </c>
      <c r="G5" s="56" t="s">
        <v>31</v>
      </c>
      <c r="H5" s="56" t="s">
        <v>32</v>
      </c>
      <c r="I5" s="56" t="s">
        <v>33</v>
      </c>
      <c r="J5" s="57"/>
      <c r="K5" s="20" t="s">
        <v>8</v>
      </c>
      <c r="L5" s="20"/>
      <c r="M5" s="20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</row>
    <row r="6" customFormat="false" ht="12.75" hidden="false" customHeight="true" outlineLevel="0" collapsed="false">
      <c r="A6" s="29" t="n">
        <f aca="false">'Itens de Contrato'!A6</f>
        <v>0</v>
      </c>
      <c r="B6" s="29" t="n">
        <f aca="false">'Itens de Contrato'!B6</f>
        <v>0</v>
      </c>
      <c r="C6" s="71" t="e">
        <f aca="false">VLOOKUP(B6,'Itens de Contrato'!B$5:G$151,2,0)</f>
        <v>#N/A</v>
      </c>
      <c r="D6" s="48"/>
      <c r="E6" s="50" t="n">
        <f aca="false">D6*'Itens de Contrato'!F6</f>
        <v>0</v>
      </c>
      <c r="F6" s="72" t="n">
        <f aca="false">'Itens de Contrato'!E6</f>
        <v>0</v>
      </c>
      <c r="G6" s="48"/>
      <c r="H6" s="73" t="e">
        <f aca="false">G6/D6</f>
        <v>#DIV/0!</v>
      </c>
      <c r="I6" s="60" t="n">
        <f aca="false">G6*'Itens de Contrato'!F6</f>
        <v>0</v>
      </c>
      <c r="J6" s="37"/>
      <c r="K6" s="20"/>
      <c r="L6" s="20"/>
      <c r="M6" s="20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customFormat="false" ht="12.8" hidden="false" customHeight="false" outlineLevel="0" collapsed="false">
      <c r="A7" s="37" t="n">
        <f aca="false">'Itens de Contrato'!A7</f>
        <v>0</v>
      </c>
      <c r="B7" s="37" t="n">
        <f aca="false">'Itens de Contrato'!B7</f>
        <v>0</v>
      </c>
      <c r="C7" s="71" t="e">
        <f aca="false">VLOOKUP(B7,'Itens de Contrato'!B$5:G$151,2,0)</f>
        <v>#N/A</v>
      </c>
      <c r="D7" s="52"/>
      <c r="E7" s="54" t="n">
        <f aca="false">D7*'Itens de Contrato'!F7</f>
        <v>0</v>
      </c>
      <c r="F7" s="74" t="n">
        <f aca="false">'Itens de Contrato'!E7</f>
        <v>0</v>
      </c>
      <c r="G7" s="52"/>
      <c r="H7" s="68" t="e">
        <f aca="false">G7/D7</f>
        <v>#DIV/0!</v>
      </c>
      <c r="I7" s="63" t="n">
        <f aca="false">G7*'Itens de Contrato'!F7</f>
        <v>0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customFormat="false" ht="12.8" hidden="false" customHeight="false" outlineLevel="0" collapsed="false">
      <c r="A8" s="37" t="n">
        <f aca="false">'Itens de Contrato'!A8</f>
        <v>0</v>
      </c>
      <c r="B8" s="37" t="n">
        <f aca="false">'Itens de Contrato'!B8</f>
        <v>0</v>
      </c>
      <c r="C8" s="71" t="e">
        <f aca="false">VLOOKUP(B8,'Itens de Contrato'!B$5:G$151,2,0)</f>
        <v>#N/A</v>
      </c>
      <c r="D8" s="52"/>
      <c r="E8" s="54" t="n">
        <f aca="false">D8*'Itens de Contrato'!F8</f>
        <v>0</v>
      </c>
      <c r="F8" s="74" t="n">
        <f aca="false">'Itens de Contrato'!E8</f>
        <v>0</v>
      </c>
      <c r="G8" s="52"/>
      <c r="H8" s="68" t="e">
        <f aca="false">G8/D8</f>
        <v>#DIV/0!</v>
      </c>
      <c r="I8" s="63" t="n">
        <f aca="false">G8*'Itens de Contrato'!F8</f>
        <v>0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customFormat="false" ht="12.8" hidden="false" customHeight="false" outlineLevel="0" collapsed="false">
      <c r="A9" s="37" t="n">
        <f aca="false">'Itens de Contrato'!A9</f>
        <v>0</v>
      </c>
      <c r="B9" s="37" t="n">
        <f aca="false">'Itens de Contrato'!B9</f>
        <v>0</v>
      </c>
      <c r="C9" s="71" t="e">
        <f aca="false">VLOOKUP(B9,'Itens de Contrato'!B$5:G$151,2,0)</f>
        <v>#N/A</v>
      </c>
      <c r="D9" s="52"/>
      <c r="E9" s="54" t="n">
        <f aca="false">D9*'Itens de Contrato'!F9</f>
        <v>0</v>
      </c>
      <c r="F9" s="74" t="n">
        <f aca="false">'Itens de Contrato'!E9</f>
        <v>0</v>
      </c>
      <c r="G9" s="52"/>
      <c r="H9" s="68" t="e">
        <f aca="false">G9/D9</f>
        <v>#DIV/0!</v>
      </c>
      <c r="I9" s="63" t="n">
        <f aca="false">G9*'Itens de Contrato'!F9</f>
        <v>0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 customFormat="false" ht="12.8" hidden="false" customHeight="false" outlineLevel="0" collapsed="false">
      <c r="A10" s="37" t="n">
        <f aca="false">'Itens de Contrato'!A10</f>
        <v>0</v>
      </c>
      <c r="B10" s="37" t="n">
        <f aca="false">'Itens de Contrato'!B10</f>
        <v>0</v>
      </c>
      <c r="C10" s="71" t="e">
        <f aca="false">VLOOKUP(B10,'Itens de Contrato'!B$5:G$151,2,0)</f>
        <v>#N/A</v>
      </c>
      <c r="D10" s="52"/>
      <c r="E10" s="54" t="n">
        <f aca="false">D10*'Itens de Contrato'!F10</f>
        <v>0</v>
      </c>
      <c r="F10" s="74" t="n">
        <f aca="false">'Itens de Contrato'!E10</f>
        <v>0</v>
      </c>
      <c r="G10" s="52"/>
      <c r="H10" s="68" t="e">
        <f aca="false">G10/D10</f>
        <v>#DIV/0!</v>
      </c>
      <c r="I10" s="63" t="n">
        <f aca="false">G10*'Itens de Contrato'!F10</f>
        <v>0</v>
      </c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 customFormat="false" ht="12.8" hidden="false" customHeight="false" outlineLevel="0" collapsed="false">
      <c r="A11" s="37" t="n">
        <f aca="false">'Itens de Contrato'!A11</f>
        <v>0</v>
      </c>
      <c r="B11" s="37" t="n">
        <f aca="false">'Itens de Contrato'!B11</f>
        <v>0</v>
      </c>
      <c r="C11" s="71" t="e">
        <f aca="false">VLOOKUP(B11,'Itens de Contrato'!B$5:G$151,2,0)</f>
        <v>#N/A</v>
      </c>
      <c r="D11" s="52"/>
      <c r="E11" s="54" t="n">
        <f aca="false">D11*'Itens de Contrato'!F11</f>
        <v>0</v>
      </c>
      <c r="F11" s="74" t="n">
        <f aca="false">'Itens de Contrato'!E11</f>
        <v>0</v>
      </c>
      <c r="G11" s="52"/>
      <c r="H11" s="68" t="e">
        <f aca="false">G11/D11</f>
        <v>#DIV/0!</v>
      </c>
      <c r="I11" s="63" t="n">
        <f aca="false">G11*'Itens de Contrato'!F11</f>
        <v>0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 customFormat="false" ht="12.8" hidden="false" customHeight="false" outlineLevel="0" collapsed="false">
      <c r="A12" s="37" t="n">
        <f aca="false">'Itens de Contrato'!A12</f>
        <v>0</v>
      </c>
      <c r="B12" s="37" t="n">
        <f aca="false">'Itens de Contrato'!B12</f>
        <v>0</v>
      </c>
      <c r="C12" s="71" t="e">
        <f aca="false">VLOOKUP(B12,'Itens de Contrato'!B$5:G$151,2,0)</f>
        <v>#N/A</v>
      </c>
      <c r="D12" s="52"/>
      <c r="E12" s="54" t="n">
        <f aca="false">D12*'Itens de Contrato'!F12</f>
        <v>0</v>
      </c>
      <c r="F12" s="74" t="n">
        <f aca="false">'Itens de Contrato'!E12</f>
        <v>0</v>
      </c>
      <c r="G12" s="52"/>
      <c r="H12" s="68" t="e">
        <f aca="false">G12/D12</f>
        <v>#DIV/0!</v>
      </c>
      <c r="I12" s="63" t="n">
        <f aca="false">G12*'Itens de Contrato'!F12</f>
        <v>0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 customFormat="false" ht="12.8" hidden="false" customHeight="false" outlineLevel="0" collapsed="false">
      <c r="A13" s="37" t="n">
        <f aca="false">'Itens de Contrato'!A13</f>
        <v>0</v>
      </c>
      <c r="B13" s="37" t="n">
        <f aca="false">'Itens de Contrato'!B13</f>
        <v>0</v>
      </c>
      <c r="C13" s="71" t="e">
        <f aca="false">VLOOKUP(B13,'Itens de Contrato'!B$5:G$151,2,0)</f>
        <v>#N/A</v>
      </c>
      <c r="D13" s="52"/>
      <c r="E13" s="54" t="n">
        <f aca="false">D13*'Itens de Contrato'!F13</f>
        <v>0</v>
      </c>
      <c r="F13" s="74" t="n">
        <f aca="false">'Itens de Contrato'!E13</f>
        <v>0</v>
      </c>
      <c r="G13" s="52"/>
      <c r="H13" s="68" t="e">
        <f aca="false">G13/D13</f>
        <v>#DIV/0!</v>
      </c>
      <c r="I13" s="63" t="n">
        <f aca="false">G13*'Itens de Contrato'!F13</f>
        <v>0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customFormat="false" ht="12.8" hidden="false" customHeight="false" outlineLevel="0" collapsed="false">
      <c r="A14" s="37" t="n">
        <f aca="false">'Itens de Contrato'!A14</f>
        <v>0</v>
      </c>
      <c r="B14" s="37" t="n">
        <f aca="false">'Itens de Contrato'!B14</f>
        <v>0</v>
      </c>
      <c r="C14" s="71" t="e">
        <f aca="false">VLOOKUP(B14,'Itens de Contrato'!B$5:G$151,2,0)</f>
        <v>#N/A</v>
      </c>
      <c r="D14" s="52"/>
      <c r="E14" s="54" t="n">
        <f aca="false">D14*'Itens de Contrato'!F14</f>
        <v>0</v>
      </c>
      <c r="F14" s="74" t="n">
        <f aca="false">'Itens de Contrato'!E14</f>
        <v>0</v>
      </c>
      <c r="G14" s="52"/>
      <c r="H14" s="68" t="e">
        <f aca="false">G14/D14</f>
        <v>#DIV/0!</v>
      </c>
      <c r="I14" s="63" t="n">
        <f aca="false">G14*'Itens de Contrato'!F14</f>
        <v>0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 customFormat="false" ht="12.8" hidden="false" customHeight="false" outlineLevel="0" collapsed="false">
      <c r="A15" s="37" t="n">
        <f aca="false">'Itens de Contrato'!A15</f>
        <v>0</v>
      </c>
      <c r="B15" s="37" t="n">
        <f aca="false">'Itens de Contrato'!B15</f>
        <v>0</v>
      </c>
      <c r="C15" s="71" t="e">
        <f aca="false">VLOOKUP(B15,'Itens de Contrato'!B$5:G$151,2,0)</f>
        <v>#N/A</v>
      </c>
      <c r="D15" s="52"/>
      <c r="E15" s="54" t="n">
        <f aca="false">D15*'Itens de Contrato'!F15</f>
        <v>0</v>
      </c>
      <c r="F15" s="74" t="n">
        <f aca="false">'Itens de Contrato'!E15</f>
        <v>0</v>
      </c>
      <c r="G15" s="52"/>
      <c r="H15" s="68" t="e">
        <f aca="false">G15/D15</f>
        <v>#DIV/0!</v>
      </c>
      <c r="I15" s="63" t="n">
        <f aca="false">G15*'Itens de Contrato'!F15</f>
        <v>0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customFormat="false" ht="12.8" hidden="false" customHeight="false" outlineLevel="0" collapsed="false">
      <c r="A16" s="37" t="n">
        <f aca="false">'Itens de Contrato'!A16</f>
        <v>0</v>
      </c>
      <c r="B16" s="37" t="n">
        <f aca="false">'Itens de Contrato'!B16</f>
        <v>0</v>
      </c>
      <c r="C16" s="71" t="e">
        <f aca="false">VLOOKUP(B16,'Itens de Contrato'!B$5:G$151,2,0)</f>
        <v>#N/A</v>
      </c>
      <c r="D16" s="52"/>
      <c r="E16" s="54" t="n">
        <f aca="false">D16*'Itens de Contrato'!F16</f>
        <v>0</v>
      </c>
      <c r="F16" s="74" t="n">
        <f aca="false">'Itens de Contrato'!E16</f>
        <v>0</v>
      </c>
      <c r="G16" s="52"/>
      <c r="H16" s="68" t="e">
        <f aca="false">G16/D16</f>
        <v>#DIV/0!</v>
      </c>
      <c r="I16" s="63" t="n">
        <f aca="false">G16*'Itens de Contrato'!F16</f>
        <v>0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7" customFormat="false" ht="12.8" hidden="false" customHeight="false" outlineLevel="0" collapsed="false">
      <c r="A17" s="37" t="n">
        <f aca="false">'Itens de Contrato'!A17</f>
        <v>0</v>
      </c>
      <c r="B17" s="37" t="n">
        <f aca="false">'Itens de Contrato'!B17</f>
        <v>0</v>
      </c>
      <c r="C17" s="71" t="e">
        <f aca="false">VLOOKUP(B17,'Itens de Contrato'!B$5:G$151,2,0)</f>
        <v>#N/A</v>
      </c>
      <c r="D17" s="52"/>
      <c r="E17" s="54" t="n">
        <f aca="false">D17*'Itens de Contrato'!F17</f>
        <v>0</v>
      </c>
      <c r="F17" s="74" t="n">
        <f aca="false">'Itens de Contrato'!E17</f>
        <v>0</v>
      </c>
      <c r="G17" s="52"/>
      <c r="H17" s="68" t="e">
        <f aca="false">G17/D17</f>
        <v>#DIV/0!</v>
      </c>
      <c r="I17" s="63" t="n">
        <f aca="false">G17*'Itens de Contrato'!F17</f>
        <v>0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</row>
    <row r="18" customFormat="false" ht="12.8" hidden="false" customHeight="false" outlineLevel="0" collapsed="false">
      <c r="A18" s="37" t="n">
        <f aca="false">'Itens de Contrato'!A18</f>
        <v>0</v>
      </c>
      <c r="B18" s="37" t="n">
        <f aca="false">'Itens de Contrato'!B18</f>
        <v>0</v>
      </c>
      <c r="C18" s="71" t="e">
        <f aca="false">VLOOKUP(B18,'Itens de Contrato'!B$5:G$151,2,0)</f>
        <v>#N/A</v>
      </c>
      <c r="D18" s="52"/>
      <c r="E18" s="54" t="n">
        <f aca="false">D18*'Itens de Contrato'!F18</f>
        <v>0</v>
      </c>
      <c r="F18" s="74" t="n">
        <f aca="false">'Itens de Contrato'!E18</f>
        <v>0</v>
      </c>
      <c r="G18" s="52"/>
      <c r="H18" s="68" t="e">
        <f aca="false">G18/D18</f>
        <v>#DIV/0!</v>
      </c>
      <c r="I18" s="63" t="n">
        <f aca="false">G18*'Itens de Contrato'!F18</f>
        <v>0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</row>
    <row r="19" customFormat="false" ht="12.8" hidden="false" customHeight="false" outlineLevel="0" collapsed="false">
      <c r="A19" s="37" t="n">
        <f aca="false">'Itens de Contrato'!A19</f>
        <v>0</v>
      </c>
      <c r="B19" s="37" t="n">
        <f aca="false">'Itens de Contrato'!B19</f>
        <v>0</v>
      </c>
      <c r="C19" s="71" t="e">
        <f aca="false">VLOOKUP(B19,'Itens de Contrato'!B$5:G$151,2,0)</f>
        <v>#N/A</v>
      </c>
      <c r="D19" s="52"/>
      <c r="E19" s="54" t="n">
        <f aca="false">D19*'Itens de Contrato'!F19</f>
        <v>0</v>
      </c>
      <c r="F19" s="74" t="n">
        <f aca="false">'Itens de Contrato'!E19</f>
        <v>0</v>
      </c>
      <c r="G19" s="52"/>
      <c r="H19" s="68" t="e">
        <f aca="false">G19/D19</f>
        <v>#DIV/0!</v>
      </c>
      <c r="I19" s="63" t="n">
        <f aca="false">G19*'Itens de Contrato'!F19</f>
        <v>0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</row>
    <row r="20" customFormat="false" ht="12.8" hidden="false" customHeight="false" outlineLevel="0" collapsed="false">
      <c r="A20" s="37" t="n">
        <f aca="false">'Itens de Contrato'!A20</f>
        <v>0</v>
      </c>
      <c r="B20" s="37" t="n">
        <f aca="false">'Itens de Contrato'!B20</f>
        <v>0</v>
      </c>
      <c r="C20" s="71" t="e">
        <f aca="false">VLOOKUP(B20,'Itens de Contrato'!B$5:G$151,2,0)</f>
        <v>#N/A</v>
      </c>
      <c r="D20" s="52"/>
      <c r="E20" s="54" t="n">
        <f aca="false">D20*'Itens de Contrato'!F20</f>
        <v>0</v>
      </c>
      <c r="F20" s="74" t="n">
        <f aca="false">'Itens de Contrato'!E20</f>
        <v>0</v>
      </c>
      <c r="G20" s="52"/>
      <c r="H20" s="68" t="e">
        <f aca="false">G20/D20</f>
        <v>#DIV/0!</v>
      </c>
      <c r="I20" s="63" t="n">
        <f aca="false">G20*'Itens de Contrato'!F20</f>
        <v>0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</row>
    <row r="21" customFormat="false" ht="12.8" hidden="false" customHeight="false" outlineLevel="0" collapsed="false">
      <c r="A21" s="37" t="n">
        <f aca="false">'Itens de Contrato'!A21</f>
        <v>0</v>
      </c>
      <c r="B21" s="37" t="n">
        <f aca="false">'Itens de Contrato'!B21</f>
        <v>0</v>
      </c>
      <c r="C21" s="71" t="e">
        <f aca="false">VLOOKUP(B21,'Itens de Contrato'!B$5:G$151,2,0)</f>
        <v>#N/A</v>
      </c>
      <c r="D21" s="52"/>
      <c r="E21" s="54" t="n">
        <f aca="false">D21*'Itens de Contrato'!F21</f>
        <v>0</v>
      </c>
      <c r="F21" s="74" t="n">
        <f aca="false">'Itens de Contrato'!E21</f>
        <v>0</v>
      </c>
      <c r="G21" s="52"/>
      <c r="H21" s="68" t="e">
        <f aca="false">G21/D21</f>
        <v>#DIV/0!</v>
      </c>
      <c r="I21" s="63" t="n">
        <f aca="false">G21*'Itens de Contrato'!F21</f>
        <v>0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customFormat="false" ht="12.8" hidden="false" customHeight="false" outlineLevel="0" collapsed="false">
      <c r="A22" s="37" t="n">
        <f aca="false">'Itens de Contrato'!A22</f>
        <v>0</v>
      </c>
      <c r="B22" s="37" t="n">
        <f aca="false">'Itens de Contrato'!B22</f>
        <v>0</v>
      </c>
      <c r="C22" s="71" t="e">
        <f aca="false">VLOOKUP(B22,'Itens de Contrato'!B$5:G$151,2,0)</f>
        <v>#N/A</v>
      </c>
      <c r="D22" s="52"/>
      <c r="E22" s="54" t="n">
        <f aca="false">D22*'Itens de Contrato'!F22</f>
        <v>0</v>
      </c>
      <c r="F22" s="74" t="n">
        <f aca="false">'Itens de Contrato'!E22</f>
        <v>0</v>
      </c>
      <c r="G22" s="52"/>
      <c r="H22" s="68" t="e">
        <f aca="false">G22/D22</f>
        <v>#DIV/0!</v>
      </c>
      <c r="I22" s="63" t="n">
        <f aca="false">G22*'Itens de Contrato'!F22</f>
        <v>0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  <row r="23" customFormat="false" ht="12.8" hidden="false" customHeight="false" outlineLevel="0" collapsed="false">
      <c r="A23" s="37" t="n">
        <f aca="false">'Itens de Contrato'!A23</f>
        <v>0</v>
      </c>
      <c r="B23" s="37" t="n">
        <f aca="false">'Itens de Contrato'!B23</f>
        <v>0</v>
      </c>
      <c r="C23" s="71" t="e">
        <f aca="false">VLOOKUP(B23,'Itens de Contrato'!B$5:G$151,2,0)</f>
        <v>#N/A</v>
      </c>
      <c r="D23" s="52"/>
      <c r="E23" s="54" t="n">
        <f aca="false">D23*'Itens de Contrato'!F23</f>
        <v>0</v>
      </c>
      <c r="F23" s="74" t="n">
        <f aca="false">'Itens de Contrato'!E23</f>
        <v>0</v>
      </c>
      <c r="G23" s="52"/>
      <c r="H23" s="68" t="e">
        <f aca="false">G23/D23</f>
        <v>#DIV/0!</v>
      </c>
      <c r="I23" s="63" t="n">
        <f aca="false">G23*'Itens de Contrato'!F23</f>
        <v>0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</row>
    <row r="24" customFormat="false" ht="12.8" hidden="false" customHeight="false" outlineLevel="0" collapsed="false">
      <c r="A24" s="37" t="n">
        <f aca="false">'Itens de Contrato'!A24</f>
        <v>0</v>
      </c>
      <c r="B24" s="37" t="n">
        <f aca="false">'Itens de Contrato'!B24</f>
        <v>0</v>
      </c>
      <c r="C24" s="71" t="e">
        <f aca="false">VLOOKUP(B24,'Itens de Contrato'!B$5:G$151,2,0)</f>
        <v>#N/A</v>
      </c>
      <c r="D24" s="52"/>
      <c r="E24" s="54" t="n">
        <f aca="false">D24*'Itens de Contrato'!F24</f>
        <v>0</v>
      </c>
      <c r="F24" s="74" t="n">
        <f aca="false">'Itens de Contrato'!E24</f>
        <v>0</v>
      </c>
      <c r="G24" s="52"/>
      <c r="H24" s="68" t="e">
        <f aca="false">G24/D24</f>
        <v>#DIV/0!</v>
      </c>
      <c r="I24" s="63" t="n">
        <f aca="false">G24*'Itens de Contrato'!F24</f>
        <v>0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</row>
    <row r="25" customFormat="false" ht="12.8" hidden="false" customHeight="false" outlineLevel="0" collapsed="false">
      <c r="A25" s="37" t="n">
        <f aca="false">'Itens de Contrato'!A25</f>
        <v>0</v>
      </c>
      <c r="B25" s="37" t="n">
        <f aca="false">'Itens de Contrato'!B25</f>
        <v>0</v>
      </c>
      <c r="C25" s="71" t="e">
        <f aca="false">VLOOKUP(B25,'Itens de Contrato'!B$5:G$151,2,0)</f>
        <v>#N/A</v>
      </c>
      <c r="D25" s="52"/>
      <c r="E25" s="54" t="n">
        <f aca="false">D25*'Itens de Contrato'!F25</f>
        <v>0</v>
      </c>
      <c r="F25" s="74" t="n">
        <f aca="false">'Itens de Contrato'!E25</f>
        <v>0</v>
      </c>
      <c r="G25" s="52"/>
      <c r="H25" s="68" t="e">
        <f aca="false">G25/D25</f>
        <v>#DIV/0!</v>
      </c>
      <c r="I25" s="63" t="n">
        <f aca="false">G25*'Itens de Contrato'!F25</f>
        <v>0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</row>
    <row r="26" customFormat="false" ht="12.8" hidden="false" customHeight="false" outlineLevel="0" collapsed="false">
      <c r="A26" s="37" t="n">
        <f aca="false">'Itens de Contrato'!A26</f>
        <v>0</v>
      </c>
      <c r="B26" s="37" t="n">
        <f aca="false">'Itens de Contrato'!B26</f>
        <v>0</v>
      </c>
      <c r="C26" s="71" t="e">
        <f aca="false">VLOOKUP(B26,'Itens de Contrato'!B$5:G$151,2,0)</f>
        <v>#N/A</v>
      </c>
      <c r="D26" s="52"/>
      <c r="E26" s="54" t="n">
        <f aca="false">D26*'Itens de Contrato'!F26</f>
        <v>0</v>
      </c>
      <c r="F26" s="74" t="n">
        <f aca="false">'Itens de Contrato'!E26</f>
        <v>0</v>
      </c>
      <c r="G26" s="52"/>
      <c r="H26" s="68" t="e">
        <f aca="false">G26/D26</f>
        <v>#DIV/0!</v>
      </c>
      <c r="I26" s="63" t="n">
        <f aca="false">G26*'Itens de Contrato'!F26</f>
        <v>0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</row>
    <row r="27" customFormat="false" ht="12.8" hidden="false" customHeight="false" outlineLevel="0" collapsed="false">
      <c r="A27" s="37" t="n">
        <f aca="false">'Itens de Contrato'!A27</f>
        <v>0</v>
      </c>
      <c r="B27" s="37" t="n">
        <f aca="false">'Itens de Contrato'!B27</f>
        <v>0</v>
      </c>
      <c r="C27" s="71" t="e">
        <f aca="false">VLOOKUP(B27,'Itens de Contrato'!B$5:G$151,2,0)</f>
        <v>#N/A</v>
      </c>
      <c r="D27" s="52"/>
      <c r="E27" s="54" t="n">
        <f aca="false">D27*'Itens de Contrato'!F27</f>
        <v>0</v>
      </c>
      <c r="F27" s="74" t="n">
        <f aca="false">'Itens de Contrato'!E27</f>
        <v>0</v>
      </c>
      <c r="G27" s="52"/>
      <c r="H27" s="68" t="e">
        <f aca="false">G27/D27</f>
        <v>#DIV/0!</v>
      </c>
      <c r="I27" s="63" t="n">
        <f aca="false">G27*'Itens de Contrato'!F27</f>
        <v>0</v>
      </c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</row>
    <row r="28" customFormat="false" ht="12.8" hidden="false" customHeight="false" outlineLevel="0" collapsed="false">
      <c r="A28" s="37" t="n">
        <f aca="false">'Itens de Contrato'!A28</f>
        <v>0</v>
      </c>
      <c r="B28" s="37" t="n">
        <f aca="false">'Itens de Contrato'!B28</f>
        <v>0</v>
      </c>
      <c r="C28" s="71" t="e">
        <f aca="false">VLOOKUP(B28,'Itens de Contrato'!B$5:G$151,2,0)</f>
        <v>#N/A</v>
      </c>
      <c r="D28" s="52"/>
      <c r="E28" s="54" t="n">
        <f aca="false">D28*'Itens de Contrato'!F28</f>
        <v>0</v>
      </c>
      <c r="F28" s="74" t="n">
        <f aca="false">'Itens de Contrato'!E28</f>
        <v>0</v>
      </c>
      <c r="G28" s="52"/>
      <c r="H28" s="68" t="e">
        <f aca="false">G28/D28</f>
        <v>#DIV/0!</v>
      </c>
      <c r="I28" s="63" t="n">
        <f aca="false">G28*'Itens de Contrato'!F28</f>
        <v>0</v>
      </c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customFormat="false" ht="12.8" hidden="false" customHeight="false" outlineLevel="0" collapsed="false">
      <c r="A29" s="37" t="n">
        <f aca="false">'Itens de Contrato'!A29</f>
        <v>0</v>
      </c>
      <c r="B29" s="37" t="n">
        <f aca="false">'Itens de Contrato'!B29</f>
        <v>0</v>
      </c>
      <c r="C29" s="71" t="e">
        <f aca="false">VLOOKUP(B29,'Itens de Contrato'!B$5:G$151,2,0)</f>
        <v>#N/A</v>
      </c>
      <c r="D29" s="52"/>
      <c r="E29" s="54" t="n">
        <f aca="false">D29*'Itens de Contrato'!F29</f>
        <v>0</v>
      </c>
      <c r="F29" s="74" t="n">
        <f aca="false">'Itens de Contrato'!E29</f>
        <v>0</v>
      </c>
      <c r="G29" s="52"/>
      <c r="H29" s="68" t="e">
        <f aca="false">G29/D29</f>
        <v>#DIV/0!</v>
      </c>
      <c r="I29" s="63" t="n">
        <f aca="false">G29*'Itens de Contrato'!F29</f>
        <v>0</v>
      </c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</row>
    <row r="30" customFormat="false" ht="12.8" hidden="false" customHeight="false" outlineLevel="0" collapsed="false">
      <c r="A30" s="37" t="n">
        <f aca="false">'Itens de Contrato'!A30</f>
        <v>0</v>
      </c>
      <c r="B30" s="37" t="n">
        <f aca="false">'Itens de Contrato'!B30</f>
        <v>0</v>
      </c>
      <c r="C30" s="71" t="e">
        <f aca="false">VLOOKUP(B30,'Itens de Contrato'!B$5:G$151,2,0)</f>
        <v>#N/A</v>
      </c>
      <c r="D30" s="52"/>
      <c r="E30" s="54" t="n">
        <f aca="false">D30*'Itens de Contrato'!F30</f>
        <v>0</v>
      </c>
      <c r="F30" s="74" t="n">
        <f aca="false">'Itens de Contrato'!E30</f>
        <v>0</v>
      </c>
      <c r="G30" s="52"/>
      <c r="H30" s="68" t="e">
        <f aca="false">G30/D30</f>
        <v>#DIV/0!</v>
      </c>
      <c r="I30" s="63" t="n">
        <f aca="false">G30*'Itens de Contrato'!F30</f>
        <v>0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</row>
    <row r="31" customFormat="false" ht="12.8" hidden="false" customHeight="false" outlineLevel="0" collapsed="false">
      <c r="A31" s="37" t="n">
        <f aca="false">'Itens de Contrato'!A31</f>
        <v>0</v>
      </c>
      <c r="B31" s="37" t="n">
        <f aca="false">'Itens de Contrato'!B31</f>
        <v>0</v>
      </c>
      <c r="C31" s="71" t="e">
        <f aca="false">VLOOKUP(B31,'Itens de Contrato'!B$5:G$151,2,0)</f>
        <v>#N/A</v>
      </c>
      <c r="D31" s="52"/>
      <c r="E31" s="54" t="n">
        <f aca="false">D31*'Itens de Contrato'!F31</f>
        <v>0</v>
      </c>
      <c r="F31" s="74" t="n">
        <f aca="false">'Itens de Contrato'!E31</f>
        <v>0</v>
      </c>
      <c r="G31" s="52"/>
      <c r="H31" s="68" t="e">
        <f aca="false">G31/D31</f>
        <v>#DIV/0!</v>
      </c>
      <c r="I31" s="63" t="n">
        <f aca="false">G31*'Itens de Contrato'!F31</f>
        <v>0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customFormat="false" ht="12.8" hidden="false" customHeight="false" outlineLevel="0" collapsed="false">
      <c r="A32" s="37" t="n">
        <f aca="false">'Itens de Contrato'!A32</f>
        <v>0</v>
      </c>
      <c r="B32" s="37" t="n">
        <f aca="false">'Itens de Contrato'!B32</f>
        <v>0</v>
      </c>
      <c r="C32" s="71" t="e">
        <f aca="false">VLOOKUP(B32,'Itens de Contrato'!B$5:G$151,2,0)</f>
        <v>#N/A</v>
      </c>
      <c r="D32" s="52"/>
      <c r="E32" s="54" t="n">
        <f aca="false">D32*'Itens de Contrato'!F32</f>
        <v>0</v>
      </c>
      <c r="F32" s="74" t="n">
        <f aca="false">'Itens de Contrato'!E32</f>
        <v>0</v>
      </c>
      <c r="G32" s="52"/>
      <c r="H32" s="68" t="e">
        <f aca="false">G32/D32</f>
        <v>#DIV/0!</v>
      </c>
      <c r="I32" s="63" t="n">
        <f aca="false">G32*'Itens de Contrato'!F32</f>
        <v>0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customFormat="false" ht="12.8" hidden="false" customHeight="false" outlineLevel="0" collapsed="false">
      <c r="A33" s="37" t="n">
        <f aca="false">'Itens de Contrato'!A33</f>
        <v>0</v>
      </c>
      <c r="B33" s="37" t="n">
        <f aca="false">'Itens de Contrato'!B33</f>
        <v>0</v>
      </c>
      <c r="C33" s="71" t="e">
        <f aca="false">VLOOKUP(B33,'Itens de Contrato'!B$5:G$151,2,0)</f>
        <v>#N/A</v>
      </c>
      <c r="D33" s="52"/>
      <c r="E33" s="54" t="n">
        <f aca="false">D33*'Itens de Contrato'!F33</f>
        <v>0</v>
      </c>
      <c r="F33" s="74" t="n">
        <f aca="false">'Itens de Contrato'!E33</f>
        <v>0</v>
      </c>
      <c r="G33" s="52"/>
      <c r="H33" s="68" t="e">
        <f aca="false">G33/D33</f>
        <v>#DIV/0!</v>
      </c>
      <c r="I33" s="63" t="n">
        <f aca="false">G33*'Itens de Contrato'!F33</f>
        <v>0</v>
      </c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customFormat="false" ht="12.8" hidden="false" customHeight="false" outlineLevel="0" collapsed="false">
      <c r="A34" s="37" t="n">
        <f aca="false">'Itens de Contrato'!A34</f>
        <v>0</v>
      </c>
      <c r="B34" s="37" t="n">
        <f aca="false">'Itens de Contrato'!B34</f>
        <v>0</v>
      </c>
      <c r="C34" s="71" t="e">
        <f aca="false">VLOOKUP(B34,'Itens de Contrato'!B$5:G$151,2,0)</f>
        <v>#N/A</v>
      </c>
      <c r="D34" s="52"/>
      <c r="E34" s="54" t="n">
        <f aca="false">D34*'Itens de Contrato'!F34</f>
        <v>0</v>
      </c>
      <c r="F34" s="74" t="n">
        <f aca="false">'Itens de Contrato'!E34</f>
        <v>0</v>
      </c>
      <c r="G34" s="52"/>
      <c r="H34" s="68" t="e">
        <f aca="false">G34/D34</f>
        <v>#DIV/0!</v>
      </c>
      <c r="I34" s="63" t="n">
        <f aca="false">G34*'Itens de Contrato'!F34</f>
        <v>0</v>
      </c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</row>
    <row r="35" customFormat="false" ht="12.8" hidden="false" customHeight="false" outlineLevel="0" collapsed="false">
      <c r="A35" s="37" t="n">
        <f aca="false">'Itens de Contrato'!A35</f>
        <v>0</v>
      </c>
      <c r="B35" s="37" t="n">
        <f aca="false">'Itens de Contrato'!B35</f>
        <v>0</v>
      </c>
      <c r="C35" s="71" t="e">
        <f aca="false">VLOOKUP(B35,'Itens de Contrato'!B$5:G$151,2,0)</f>
        <v>#N/A</v>
      </c>
      <c r="D35" s="52"/>
      <c r="E35" s="54" t="n">
        <f aca="false">D35*'Itens de Contrato'!F35</f>
        <v>0</v>
      </c>
      <c r="F35" s="74" t="n">
        <f aca="false">'Itens de Contrato'!E35</f>
        <v>0</v>
      </c>
      <c r="G35" s="52"/>
      <c r="H35" s="68" t="e">
        <f aca="false">G35/D35</f>
        <v>#DIV/0!</v>
      </c>
      <c r="I35" s="63" t="n">
        <f aca="false">G35*'Itens de Contrato'!F35</f>
        <v>0</v>
      </c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</row>
    <row r="36" customFormat="false" ht="12.8" hidden="false" customHeight="false" outlineLevel="0" collapsed="false">
      <c r="A36" s="37" t="n">
        <f aca="false">'Itens de Contrato'!A36</f>
        <v>0</v>
      </c>
      <c r="B36" s="37" t="n">
        <f aca="false">'Itens de Contrato'!B36</f>
        <v>0</v>
      </c>
      <c r="C36" s="71" t="e">
        <f aca="false">VLOOKUP(B36,'Itens de Contrato'!B$5:G$151,2,0)</f>
        <v>#N/A</v>
      </c>
      <c r="D36" s="52"/>
      <c r="E36" s="54" t="n">
        <f aca="false">D36*'Itens de Contrato'!F36</f>
        <v>0</v>
      </c>
      <c r="F36" s="74" t="n">
        <f aca="false">'Itens de Contrato'!E36</f>
        <v>0</v>
      </c>
      <c r="G36" s="52"/>
      <c r="H36" s="68" t="e">
        <f aca="false">G36/D36</f>
        <v>#DIV/0!</v>
      </c>
      <c r="I36" s="63" t="n">
        <f aca="false">G36*'Itens de Contrato'!F36</f>
        <v>0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customFormat="false" ht="12.8" hidden="false" customHeight="false" outlineLevel="0" collapsed="false">
      <c r="A37" s="37" t="n">
        <f aca="false">'Itens de Contrato'!A37</f>
        <v>0</v>
      </c>
      <c r="B37" s="37" t="n">
        <f aca="false">'Itens de Contrato'!B37</f>
        <v>0</v>
      </c>
      <c r="C37" s="71" t="e">
        <f aca="false">VLOOKUP(B37,'Itens de Contrato'!B$5:G$151,2,0)</f>
        <v>#N/A</v>
      </c>
      <c r="D37" s="52"/>
      <c r="E37" s="54" t="n">
        <f aca="false">D37*'Itens de Contrato'!F37</f>
        <v>0</v>
      </c>
      <c r="F37" s="74" t="n">
        <f aca="false">'Itens de Contrato'!E37</f>
        <v>0</v>
      </c>
      <c r="G37" s="52"/>
      <c r="H37" s="68" t="e">
        <f aca="false">G37/D37</f>
        <v>#DIV/0!</v>
      </c>
      <c r="I37" s="63" t="n">
        <f aca="false">G37*'Itens de Contrato'!F37</f>
        <v>0</v>
      </c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customFormat="false" ht="12.8" hidden="false" customHeight="false" outlineLevel="0" collapsed="false">
      <c r="A38" s="37" t="n">
        <f aca="false">'Itens de Contrato'!A38</f>
        <v>0</v>
      </c>
      <c r="B38" s="37" t="n">
        <f aca="false">'Itens de Contrato'!B38</f>
        <v>0</v>
      </c>
      <c r="C38" s="71" t="e">
        <f aca="false">VLOOKUP(B38,'Itens de Contrato'!B$5:G$151,2,0)</f>
        <v>#N/A</v>
      </c>
      <c r="D38" s="52"/>
      <c r="E38" s="54" t="n">
        <f aca="false">D38*'Itens de Contrato'!F38</f>
        <v>0</v>
      </c>
      <c r="F38" s="74" t="n">
        <f aca="false">'Itens de Contrato'!E38</f>
        <v>0</v>
      </c>
      <c r="G38" s="52"/>
      <c r="H38" s="68" t="e">
        <f aca="false">G38/D38</f>
        <v>#DIV/0!</v>
      </c>
      <c r="I38" s="63" t="n">
        <f aca="false">G38*'Itens de Contrato'!F38</f>
        <v>0</v>
      </c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customFormat="false" ht="12.8" hidden="false" customHeight="false" outlineLevel="0" collapsed="false">
      <c r="A39" s="37" t="n">
        <f aca="false">'Itens de Contrato'!A39</f>
        <v>0</v>
      </c>
      <c r="B39" s="37" t="n">
        <f aca="false">'Itens de Contrato'!B39</f>
        <v>0</v>
      </c>
      <c r="C39" s="71" t="e">
        <f aca="false">VLOOKUP(B39,'Itens de Contrato'!B$5:G$151,2,0)</f>
        <v>#N/A</v>
      </c>
      <c r="D39" s="52"/>
      <c r="E39" s="54" t="n">
        <f aca="false">D39*'Itens de Contrato'!F39</f>
        <v>0</v>
      </c>
      <c r="F39" s="74" t="n">
        <f aca="false">'Itens de Contrato'!E39</f>
        <v>0</v>
      </c>
      <c r="G39" s="52"/>
      <c r="H39" s="68" t="e">
        <f aca="false">G39/D39</f>
        <v>#DIV/0!</v>
      </c>
      <c r="I39" s="63" t="n">
        <f aca="false">G39*'Itens de Contrato'!F39</f>
        <v>0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customFormat="false" ht="12.8" hidden="false" customHeight="false" outlineLevel="0" collapsed="false">
      <c r="A40" s="37" t="n">
        <f aca="false">'Itens de Contrato'!A40</f>
        <v>0</v>
      </c>
      <c r="B40" s="37" t="n">
        <f aca="false">'Itens de Contrato'!B40</f>
        <v>0</v>
      </c>
      <c r="C40" s="71" t="e">
        <f aca="false">VLOOKUP(B40,'Itens de Contrato'!B$5:G$151,2,0)</f>
        <v>#N/A</v>
      </c>
      <c r="D40" s="52"/>
      <c r="E40" s="54" t="n">
        <f aca="false">D40*'Itens de Contrato'!F40</f>
        <v>0</v>
      </c>
      <c r="F40" s="74" t="n">
        <f aca="false">'Itens de Contrato'!E40</f>
        <v>0</v>
      </c>
      <c r="G40" s="52"/>
      <c r="H40" s="68" t="e">
        <f aca="false">G40/D40</f>
        <v>#DIV/0!</v>
      </c>
      <c r="I40" s="63" t="n">
        <f aca="false">G40*'Itens de Contrato'!F40</f>
        <v>0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customFormat="false" ht="12.8" hidden="false" customHeight="false" outlineLevel="0" collapsed="false">
      <c r="A41" s="37" t="n">
        <f aca="false">'Itens de Contrato'!A41</f>
        <v>0</v>
      </c>
      <c r="B41" s="37" t="n">
        <f aca="false">'Itens de Contrato'!B41</f>
        <v>0</v>
      </c>
      <c r="C41" s="71" t="e">
        <f aca="false">VLOOKUP(B41,'Itens de Contrato'!B$5:G$151,2,0)</f>
        <v>#N/A</v>
      </c>
      <c r="D41" s="52"/>
      <c r="E41" s="54" t="n">
        <f aca="false">D41*'Itens de Contrato'!F41</f>
        <v>0</v>
      </c>
      <c r="F41" s="74" t="n">
        <f aca="false">'Itens de Contrato'!E41</f>
        <v>0</v>
      </c>
      <c r="G41" s="52"/>
      <c r="H41" s="68" t="e">
        <f aca="false">G41/D41</f>
        <v>#DIV/0!</v>
      </c>
      <c r="I41" s="63" t="n">
        <f aca="false">G41*'Itens de Contrato'!F41</f>
        <v>0</v>
      </c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customFormat="false" ht="12.8" hidden="false" customHeight="false" outlineLevel="0" collapsed="false">
      <c r="A42" s="37" t="n">
        <f aca="false">'Itens de Contrato'!A42</f>
        <v>0</v>
      </c>
      <c r="B42" s="37" t="n">
        <f aca="false">'Itens de Contrato'!B42</f>
        <v>0</v>
      </c>
      <c r="C42" s="71" t="e">
        <f aca="false">VLOOKUP(B42,'Itens de Contrato'!B$5:G$151,2,0)</f>
        <v>#N/A</v>
      </c>
      <c r="D42" s="52"/>
      <c r="E42" s="54" t="n">
        <f aca="false">D42*'Itens de Contrato'!F42</f>
        <v>0</v>
      </c>
      <c r="F42" s="74" t="n">
        <f aca="false">'Itens de Contrato'!E42</f>
        <v>0</v>
      </c>
      <c r="G42" s="52"/>
      <c r="H42" s="68" t="e">
        <f aca="false">G42/D42</f>
        <v>#DIV/0!</v>
      </c>
      <c r="I42" s="63" t="n">
        <f aca="false">G42*'Itens de Contrato'!F42</f>
        <v>0</v>
      </c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customFormat="false" ht="12.8" hidden="false" customHeight="false" outlineLevel="0" collapsed="false">
      <c r="A43" s="37" t="n">
        <f aca="false">'Itens de Contrato'!A43</f>
        <v>0</v>
      </c>
      <c r="B43" s="37" t="n">
        <f aca="false">'Itens de Contrato'!B43</f>
        <v>0</v>
      </c>
      <c r="C43" s="71" t="e">
        <f aca="false">VLOOKUP(B43,'Itens de Contrato'!B$5:G$151,2,0)</f>
        <v>#N/A</v>
      </c>
      <c r="D43" s="52"/>
      <c r="E43" s="54" t="n">
        <f aca="false">D43*'Itens de Contrato'!F43</f>
        <v>0</v>
      </c>
      <c r="F43" s="74" t="n">
        <f aca="false">'Itens de Contrato'!E43</f>
        <v>0</v>
      </c>
      <c r="G43" s="52"/>
      <c r="H43" s="68" t="e">
        <f aca="false">G43/D43</f>
        <v>#DIV/0!</v>
      </c>
      <c r="I43" s="63" t="n">
        <f aca="false">G43*'Itens de Contrato'!F43</f>
        <v>0</v>
      </c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customFormat="false" ht="12.8" hidden="false" customHeight="false" outlineLevel="0" collapsed="false">
      <c r="A44" s="37" t="n">
        <f aca="false">'Itens de Contrato'!A44</f>
        <v>0</v>
      </c>
      <c r="B44" s="37" t="n">
        <f aca="false">'Itens de Contrato'!B44</f>
        <v>0</v>
      </c>
      <c r="C44" s="71" t="e">
        <f aca="false">VLOOKUP(B44,'Itens de Contrato'!B$5:G$151,2,0)</f>
        <v>#N/A</v>
      </c>
      <c r="D44" s="52"/>
      <c r="E44" s="54" t="n">
        <f aca="false">D44*'Itens de Contrato'!F44</f>
        <v>0</v>
      </c>
      <c r="F44" s="74" t="n">
        <f aca="false">'Itens de Contrato'!E44</f>
        <v>0</v>
      </c>
      <c r="G44" s="52"/>
      <c r="H44" s="68" t="e">
        <f aca="false">G44/D44</f>
        <v>#DIV/0!</v>
      </c>
      <c r="I44" s="63" t="n">
        <f aca="false">G44*'Itens de Contrato'!F44</f>
        <v>0</v>
      </c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customFormat="false" ht="12.8" hidden="false" customHeight="false" outlineLevel="0" collapsed="false">
      <c r="A45" s="37" t="n">
        <f aca="false">'Itens de Contrato'!A45</f>
        <v>0</v>
      </c>
      <c r="B45" s="37" t="n">
        <f aca="false">'Itens de Contrato'!B45</f>
        <v>0</v>
      </c>
      <c r="C45" s="71" t="e">
        <f aca="false">VLOOKUP(B45,'Itens de Contrato'!B$5:G$151,2,0)</f>
        <v>#N/A</v>
      </c>
      <c r="D45" s="52"/>
      <c r="E45" s="54" t="n">
        <f aca="false">D45*'Itens de Contrato'!F45</f>
        <v>0</v>
      </c>
      <c r="F45" s="74" t="n">
        <f aca="false">'Itens de Contrato'!E45</f>
        <v>0</v>
      </c>
      <c r="G45" s="52"/>
      <c r="H45" s="68" t="e">
        <f aca="false">G45/D45</f>
        <v>#DIV/0!</v>
      </c>
      <c r="I45" s="63" t="n">
        <f aca="false">G45*'Itens de Contrato'!F45</f>
        <v>0</v>
      </c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customFormat="false" ht="12.8" hidden="false" customHeight="false" outlineLevel="0" collapsed="false">
      <c r="A46" s="37" t="n">
        <f aca="false">'Itens de Contrato'!A46</f>
        <v>0</v>
      </c>
      <c r="B46" s="37" t="n">
        <f aca="false">'Itens de Contrato'!B46</f>
        <v>0</v>
      </c>
      <c r="C46" s="71" t="e">
        <f aca="false">VLOOKUP(B46,'Itens de Contrato'!B$5:G$151,2,0)</f>
        <v>#N/A</v>
      </c>
      <c r="D46" s="52"/>
      <c r="E46" s="54" t="n">
        <f aca="false">D46*'Itens de Contrato'!F46</f>
        <v>0</v>
      </c>
      <c r="F46" s="74" t="n">
        <f aca="false">'Itens de Contrato'!E46</f>
        <v>0</v>
      </c>
      <c r="G46" s="52"/>
      <c r="H46" s="68" t="e">
        <f aca="false">G46/D46</f>
        <v>#DIV/0!</v>
      </c>
      <c r="I46" s="63" t="n">
        <f aca="false">G46*'Itens de Contrato'!F46</f>
        <v>0</v>
      </c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customFormat="false" ht="12.8" hidden="false" customHeight="false" outlineLevel="0" collapsed="false">
      <c r="A47" s="37" t="n">
        <f aca="false">'Itens de Contrato'!A47</f>
        <v>0</v>
      </c>
      <c r="B47" s="37" t="n">
        <f aca="false">'Itens de Contrato'!B47</f>
        <v>0</v>
      </c>
      <c r="C47" s="71" t="e">
        <f aca="false">VLOOKUP(B47,'Itens de Contrato'!B$5:G$151,2,0)</f>
        <v>#N/A</v>
      </c>
      <c r="D47" s="52"/>
      <c r="E47" s="54" t="n">
        <f aca="false">D47*'Itens de Contrato'!F47</f>
        <v>0</v>
      </c>
      <c r="F47" s="74" t="n">
        <f aca="false">'Itens de Contrato'!E47</f>
        <v>0</v>
      </c>
      <c r="G47" s="52"/>
      <c r="H47" s="68" t="e">
        <f aca="false">G47/D47</f>
        <v>#DIV/0!</v>
      </c>
      <c r="I47" s="63" t="n">
        <f aca="false">G47*'Itens de Contrato'!F47</f>
        <v>0</v>
      </c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customFormat="false" ht="12.8" hidden="false" customHeight="false" outlineLevel="0" collapsed="false">
      <c r="A48" s="37" t="n">
        <f aca="false">'Itens de Contrato'!A48</f>
        <v>0</v>
      </c>
      <c r="B48" s="37" t="n">
        <f aca="false">'Itens de Contrato'!B48</f>
        <v>0</v>
      </c>
      <c r="C48" s="71" t="e">
        <f aca="false">VLOOKUP(B48,'Itens de Contrato'!B$5:G$151,2,0)</f>
        <v>#N/A</v>
      </c>
      <c r="D48" s="52"/>
      <c r="E48" s="54" t="n">
        <f aca="false">D48*'Itens de Contrato'!F48</f>
        <v>0</v>
      </c>
      <c r="F48" s="74" t="n">
        <f aca="false">'Itens de Contrato'!E48</f>
        <v>0</v>
      </c>
      <c r="G48" s="52"/>
      <c r="H48" s="68" t="e">
        <f aca="false">G48/D48</f>
        <v>#DIV/0!</v>
      </c>
      <c r="I48" s="63" t="n">
        <f aca="false">G48*'Itens de Contrato'!F48</f>
        <v>0</v>
      </c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customFormat="false" ht="12.8" hidden="false" customHeight="false" outlineLevel="0" collapsed="false">
      <c r="A49" s="37" t="n">
        <f aca="false">'Itens de Contrato'!A49</f>
        <v>0</v>
      </c>
      <c r="B49" s="37" t="n">
        <f aca="false">'Itens de Contrato'!B49</f>
        <v>0</v>
      </c>
      <c r="C49" s="71" t="e">
        <f aca="false">VLOOKUP(B49,'Itens de Contrato'!B$5:G$151,2,0)</f>
        <v>#N/A</v>
      </c>
      <c r="D49" s="52"/>
      <c r="E49" s="54" t="n">
        <f aca="false">D49*'Itens de Contrato'!F49</f>
        <v>0</v>
      </c>
      <c r="F49" s="74" t="n">
        <f aca="false">'Itens de Contrato'!E49</f>
        <v>0</v>
      </c>
      <c r="G49" s="52"/>
      <c r="H49" s="68" t="e">
        <f aca="false">G49/D49</f>
        <v>#DIV/0!</v>
      </c>
      <c r="I49" s="63" t="n">
        <f aca="false">G49*'Itens de Contrato'!F49</f>
        <v>0</v>
      </c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customFormat="false" ht="12.8" hidden="false" customHeight="false" outlineLevel="0" collapsed="false">
      <c r="A50" s="37" t="n">
        <f aca="false">'Itens de Contrato'!A50</f>
        <v>0</v>
      </c>
      <c r="B50" s="37" t="n">
        <f aca="false">'Itens de Contrato'!B50</f>
        <v>0</v>
      </c>
      <c r="C50" s="71" t="e">
        <f aca="false">VLOOKUP(B50,'Itens de Contrato'!B$5:G$151,2,0)</f>
        <v>#N/A</v>
      </c>
      <c r="D50" s="52"/>
      <c r="E50" s="54" t="n">
        <f aca="false">D50*'Itens de Contrato'!F50</f>
        <v>0</v>
      </c>
      <c r="F50" s="74" t="n">
        <f aca="false">'Itens de Contrato'!E50</f>
        <v>0</v>
      </c>
      <c r="G50" s="52"/>
      <c r="H50" s="68" t="e">
        <f aca="false">G50/D50</f>
        <v>#DIV/0!</v>
      </c>
      <c r="I50" s="63" t="n">
        <f aca="false">G50*'Itens de Contrato'!F50</f>
        <v>0</v>
      </c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customFormat="false" ht="12.8" hidden="false" customHeight="false" outlineLevel="0" collapsed="false">
      <c r="A51" s="37" t="n">
        <f aca="false">'Itens de Contrato'!A51</f>
        <v>0</v>
      </c>
      <c r="B51" s="37" t="n">
        <f aca="false">'Itens de Contrato'!B51</f>
        <v>0</v>
      </c>
      <c r="C51" s="71" t="e">
        <f aca="false">VLOOKUP(B51,'Itens de Contrato'!B$5:G$151,2,0)</f>
        <v>#N/A</v>
      </c>
      <c r="D51" s="52"/>
      <c r="E51" s="54" t="n">
        <f aca="false">D51*'Itens de Contrato'!F51</f>
        <v>0</v>
      </c>
      <c r="F51" s="74" t="n">
        <f aca="false">'Itens de Contrato'!E51</f>
        <v>0</v>
      </c>
      <c r="G51" s="52"/>
      <c r="H51" s="68" t="e">
        <f aca="false">G51/D51</f>
        <v>#DIV/0!</v>
      </c>
      <c r="I51" s="63" t="n">
        <f aca="false">G51*'Itens de Contrato'!F51</f>
        <v>0</v>
      </c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customFormat="false" ht="12.8" hidden="false" customHeight="false" outlineLevel="0" collapsed="false">
      <c r="A52" s="37" t="n">
        <f aca="false">'Itens de Contrato'!A52</f>
        <v>0</v>
      </c>
      <c r="B52" s="37" t="n">
        <f aca="false">'Itens de Contrato'!B52</f>
        <v>0</v>
      </c>
      <c r="C52" s="71" t="e">
        <f aca="false">VLOOKUP(B52,'Itens de Contrato'!B$5:G$151,2,0)</f>
        <v>#N/A</v>
      </c>
      <c r="D52" s="52"/>
      <c r="E52" s="54" t="n">
        <f aca="false">D52*'Itens de Contrato'!F52</f>
        <v>0</v>
      </c>
      <c r="F52" s="74" t="n">
        <f aca="false">'Itens de Contrato'!E52</f>
        <v>0</v>
      </c>
      <c r="G52" s="52"/>
      <c r="H52" s="68" t="e">
        <f aca="false">G52/D52</f>
        <v>#DIV/0!</v>
      </c>
      <c r="I52" s="63" t="n">
        <f aca="false">G52*'Itens de Contrato'!F52</f>
        <v>0</v>
      </c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customFormat="false" ht="12.8" hidden="false" customHeight="false" outlineLevel="0" collapsed="false">
      <c r="A53" s="37" t="n">
        <f aca="false">'Itens de Contrato'!A53</f>
        <v>0</v>
      </c>
      <c r="B53" s="37" t="n">
        <f aca="false">'Itens de Contrato'!B53</f>
        <v>0</v>
      </c>
      <c r="C53" s="71" t="e">
        <f aca="false">VLOOKUP(B53,'Itens de Contrato'!B$5:G$151,2,0)</f>
        <v>#N/A</v>
      </c>
      <c r="D53" s="52"/>
      <c r="E53" s="54" t="n">
        <f aca="false">D53*'Itens de Contrato'!F53</f>
        <v>0</v>
      </c>
      <c r="F53" s="74" t="n">
        <f aca="false">'Itens de Contrato'!E53</f>
        <v>0</v>
      </c>
      <c r="G53" s="52"/>
      <c r="H53" s="68" t="e">
        <f aca="false">G53/D53</f>
        <v>#DIV/0!</v>
      </c>
      <c r="I53" s="63" t="n">
        <f aca="false">G53*'Itens de Contrato'!F53</f>
        <v>0</v>
      </c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customFormat="false" ht="12.8" hidden="false" customHeight="false" outlineLevel="0" collapsed="false">
      <c r="A54" s="37" t="n">
        <f aca="false">'Itens de Contrato'!A54</f>
        <v>0</v>
      </c>
      <c r="B54" s="37" t="n">
        <f aca="false">'Itens de Contrato'!B54</f>
        <v>0</v>
      </c>
      <c r="C54" s="71" t="e">
        <f aca="false">VLOOKUP(B54,'Itens de Contrato'!B$5:G$151,2,0)</f>
        <v>#N/A</v>
      </c>
      <c r="D54" s="52"/>
      <c r="E54" s="54" t="n">
        <f aca="false">D54*'Itens de Contrato'!F54</f>
        <v>0</v>
      </c>
      <c r="F54" s="74" t="n">
        <f aca="false">'Itens de Contrato'!E54</f>
        <v>0</v>
      </c>
      <c r="G54" s="52"/>
      <c r="H54" s="68" t="e">
        <f aca="false">G54/D54</f>
        <v>#DIV/0!</v>
      </c>
      <c r="I54" s="63" t="n">
        <f aca="false">G54*'Itens de Contrato'!F54</f>
        <v>0</v>
      </c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customFormat="false" ht="12.8" hidden="false" customHeight="false" outlineLevel="0" collapsed="false">
      <c r="A55" s="37" t="n">
        <f aca="false">'Itens de Contrato'!A55</f>
        <v>0</v>
      </c>
      <c r="B55" s="37" t="n">
        <f aca="false">'Itens de Contrato'!B55</f>
        <v>0</v>
      </c>
      <c r="C55" s="71" t="e">
        <f aca="false">VLOOKUP(B55,'Itens de Contrato'!B$5:G$151,2,0)</f>
        <v>#N/A</v>
      </c>
      <c r="D55" s="52"/>
      <c r="E55" s="54" t="n">
        <f aca="false">D55*'Itens de Contrato'!F55</f>
        <v>0</v>
      </c>
      <c r="F55" s="74" t="n">
        <f aca="false">'Itens de Contrato'!E55</f>
        <v>0</v>
      </c>
      <c r="G55" s="52"/>
      <c r="H55" s="68" t="e">
        <f aca="false">G55/D55</f>
        <v>#DIV/0!</v>
      </c>
      <c r="I55" s="63" t="n">
        <f aca="false">G55*'Itens de Contrato'!F55</f>
        <v>0</v>
      </c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customFormat="false" ht="12.8" hidden="false" customHeight="false" outlineLevel="0" collapsed="false">
      <c r="A56" s="37" t="n">
        <f aca="false">'Itens de Contrato'!A56</f>
        <v>0</v>
      </c>
      <c r="B56" s="37" t="n">
        <f aca="false">'Itens de Contrato'!B56</f>
        <v>0</v>
      </c>
      <c r="C56" s="71" t="e">
        <f aca="false">VLOOKUP(B56,'Itens de Contrato'!B$5:G$151,2,0)</f>
        <v>#N/A</v>
      </c>
      <c r="D56" s="52"/>
      <c r="E56" s="54" t="n">
        <f aca="false">D56*'Itens de Contrato'!F56</f>
        <v>0</v>
      </c>
      <c r="F56" s="74" t="n">
        <f aca="false">'Itens de Contrato'!E56</f>
        <v>0</v>
      </c>
      <c r="G56" s="52"/>
      <c r="H56" s="68" t="e">
        <f aca="false">G56/D56</f>
        <v>#DIV/0!</v>
      </c>
      <c r="I56" s="63" t="n">
        <f aca="false">G56*'Itens de Contrato'!F56</f>
        <v>0</v>
      </c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customFormat="false" ht="12.8" hidden="false" customHeight="false" outlineLevel="0" collapsed="false">
      <c r="A57" s="37" t="n">
        <f aca="false">'Itens de Contrato'!A57</f>
        <v>0</v>
      </c>
      <c r="B57" s="37" t="n">
        <f aca="false">'Itens de Contrato'!B57</f>
        <v>0</v>
      </c>
      <c r="C57" s="71" t="e">
        <f aca="false">VLOOKUP(B57,'Itens de Contrato'!B$5:G$151,2,0)</f>
        <v>#N/A</v>
      </c>
      <c r="D57" s="52"/>
      <c r="E57" s="54" t="n">
        <f aca="false">D57*'Itens de Contrato'!F57</f>
        <v>0</v>
      </c>
      <c r="F57" s="74" t="n">
        <f aca="false">'Itens de Contrato'!E57</f>
        <v>0</v>
      </c>
      <c r="G57" s="52"/>
      <c r="H57" s="68" t="e">
        <f aca="false">G57/D57</f>
        <v>#DIV/0!</v>
      </c>
      <c r="I57" s="63" t="n">
        <f aca="false">G57*'Itens de Contrato'!F57</f>
        <v>0</v>
      </c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customFormat="false" ht="12.8" hidden="false" customHeight="false" outlineLevel="0" collapsed="false">
      <c r="A58" s="37" t="n">
        <f aca="false">'Itens de Contrato'!A58</f>
        <v>0</v>
      </c>
      <c r="B58" s="37" t="n">
        <f aca="false">'Itens de Contrato'!B58</f>
        <v>0</v>
      </c>
      <c r="C58" s="71" t="e">
        <f aca="false">VLOOKUP(B58,'Itens de Contrato'!B$5:G$151,2,0)</f>
        <v>#N/A</v>
      </c>
      <c r="D58" s="52"/>
      <c r="E58" s="54" t="n">
        <f aca="false">D58*'Itens de Contrato'!F58</f>
        <v>0</v>
      </c>
      <c r="F58" s="74" t="n">
        <f aca="false">'Itens de Contrato'!E58</f>
        <v>0</v>
      </c>
      <c r="G58" s="52"/>
      <c r="H58" s="68" t="e">
        <f aca="false">G58/D58</f>
        <v>#DIV/0!</v>
      </c>
      <c r="I58" s="63" t="n">
        <f aca="false">G58*'Itens de Contrato'!F58</f>
        <v>0</v>
      </c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customFormat="false" ht="12.8" hidden="false" customHeight="false" outlineLevel="0" collapsed="false">
      <c r="A59" s="37" t="n">
        <f aca="false">'Itens de Contrato'!A59</f>
        <v>0</v>
      </c>
      <c r="B59" s="37" t="n">
        <f aca="false">'Itens de Contrato'!B59</f>
        <v>0</v>
      </c>
      <c r="C59" s="71" t="e">
        <f aca="false">VLOOKUP(B59,'Itens de Contrato'!B$5:G$151,2,0)</f>
        <v>#N/A</v>
      </c>
      <c r="D59" s="52"/>
      <c r="E59" s="54" t="n">
        <f aca="false">D59*'Itens de Contrato'!F59</f>
        <v>0</v>
      </c>
      <c r="F59" s="74" t="n">
        <f aca="false">'Itens de Contrato'!E59</f>
        <v>0</v>
      </c>
      <c r="G59" s="52"/>
      <c r="H59" s="68" t="e">
        <f aca="false">G59/D59</f>
        <v>#DIV/0!</v>
      </c>
      <c r="I59" s="63" t="n">
        <f aca="false">G59*'Itens de Contrato'!F59</f>
        <v>0</v>
      </c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</row>
    <row r="60" customFormat="false" ht="12.8" hidden="false" customHeight="false" outlineLevel="0" collapsed="false">
      <c r="A60" s="37" t="n">
        <f aca="false">'Itens de Contrato'!A60</f>
        <v>0</v>
      </c>
      <c r="B60" s="37" t="n">
        <f aca="false">'Itens de Contrato'!B60</f>
        <v>0</v>
      </c>
      <c r="C60" s="71" t="e">
        <f aca="false">VLOOKUP(B60,'Itens de Contrato'!B$5:G$151,2,0)</f>
        <v>#N/A</v>
      </c>
      <c r="D60" s="52"/>
      <c r="E60" s="54" t="n">
        <f aca="false">D60*'Itens de Contrato'!F60</f>
        <v>0</v>
      </c>
      <c r="F60" s="74" t="n">
        <f aca="false">'Itens de Contrato'!E60</f>
        <v>0</v>
      </c>
      <c r="G60" s="52"/>
      <c r="H60" s="68" t="e">
        <f aca="false">G60/D60</f>
        <v>#DIV/0!</v>
      </c>
      <c r="I60" s="63" t="n">
        <f aca="false">G60*'Itens de Contrato'!F60</f>
        <v>0</v>
      </c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customFormat="false" ht="12.8" hidden="false" customHeight="false" outlineLevel="0" collapsed="false">
      <c r="A61" s="37" t="n">
        <f aca="false">'Itens de Contrato'!A61</f>
        <v>0</v>
      </c>
      <c r="B61" s="37" t="n">
        <f aca="false">'Itens de Contrato'!B61</f>
        <v>0</v>
      </c>
      <c r="C61" s="71" t="e">
        <f aca="false">VLOOKUP(B61,'Itens de Contrato'!B$5:G$151,2,0)</f>
        <v>#N/A</v>
      </c>
      <c r="D61" s="52"/>
      <c r="E61" s="54" t="n">
        <f aca="false">D61*'Itens de Contrato'!F61</f>
        <v>0</v>
      </c>
      <c r="F61" s="74" t="n">
        <f aca="false">'Itens de Contrato'!E61</f>
        <v>0</v>
      </c>
      <c r="G61" s="52"/>
      <c r="H61" s="68" t="e">
        <f aca="false">G61/D61</f>
        <v>#DIV/0!</v>
      </c>
      <c r="I61" s="63" t="n">
        <f aca="false">G61*'Itens de Contrato'!F61</f>
        <v>0</v>
      </c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customFormat="false" ht="12.8" hidden="false" customHeight="false" outlineLevel="0" collapsed="false">
      <c r="A62" s="37" t="n">
        <f aca="false">'Itens de Contrato'!A62</f>
        <v>0</v>
      </c>
      <c r="B62" s="37" t="n">
        <f aca="false">'Itens de Contrato'!B62</f>
        <v>0</v>
      </c>
      <c r="C62" s="71" t="e">
        <f aca="false">VLOOKUP(B62,'Itens de Contrato'!B$5:G$151,2,0)</f>
        <v>#N/A</v>
      </c>
      <c r="D62" s="52"/>
      <c r="E62" s="54" t="n">
        <f aca="false">D62*'Itens de Contrato'!F62</f>
        <v>0</v>
      </c>
      <c r="F62" s="74" t="n">
        <f aca="false">'Itens de Contrato'!E62</f>
        <v>0</v>
      </c>
      <c r="G62" s="52"/>
      <c r="H62" s="68" t="e">
        <f aca="false">G62/D62</f>
        <v>#DIV/0!</v>
      </c>
      <c r="I62" s="63" t="n">
        <f aca="false">G62*'Itens de Contrato'!F62</f>
        <v>0</v>
      </c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customFormat="false" ht="12.8" hidden="false" customHeight="false" outlineLevel="0" collapsed="false">
      <c r="A63" s="37" t="n">
        <f aca="false">'Itens de Contrato'!A63</f>
        <v>0</v>
      </c>
      <c r="B63" s="37" t="n">
        <f aca="false">'Itens de Contrato'!B63</f>
        <v>0</v>
      </c>
      <c r="C63" s="71" t="e">
        <f aca="false">VLOOKUP(B63,'Itens de Contrato'!B$5:G$151,2,0)</f>
        <v>#N/A</v>
      </c>
      <c r="D63" s="52"/>
      <c r="E63" s="54" t="n">
        <f aca="false">D63*'Itens de Contrato'!F63</f>
        <v>0</v>
      </c>
      <c r="F63" s="74" t="n">
        <f aca="false">'Itens de Contrato'!E63</f>
        <v>0</v>
      </c>
      <c r="G63" s="52"/>
      <c r="H63" s="68" t="e">
        <f aca="false">G63/D63</f>
        <v>#DIV/0!</v>
      </c>
      <c r="I63" s="63" t="n">
        <f aca="false">G63*'Itens de Contrato'!F63</f>
        <v>0</v>
      </c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customFormat="false" ht="12.8" hidden="false" customHeight="false" outlineLevel="0" collapsed="false">
      <c r="A64" s="37" t="n">
        <f aca="false">'Itens de Contrato'!A64</f>
        <v>0</v>
      </c>
      <c r="B64" s="37" t="n">
        <f aca="false">'Itens de Contrato'!B64</f>
        <v>0</v>
      </c>
      <c r="C64" s="71" t="e">
        <f aca="false">VLOOKUP(B64,'Itens de Contrato'!B$5:G$151,2,0)</f>
        <v>#N/A</v>
      </c>
      <c r="D64" s="52"/>
      <c r="E64" s="54" t="n">
        <f aca="false">D64*'Itens de Contrato'!F64</f>
        <v>0</v>
      </c>
      <c r="F64" s="74" t="n">
        <f aca="false">'Itens de Contrato'!E64</f>
        <v>0</v>
      </c>
      <c r="G64" s="52"/>
      <c r="H64" s="68" t="e">
        <f aca="false">G64/D64</f>
        <v>#DIV/0!</v>
      </c>
      <c r="I64" s="63" t="n">
        <f aca="false">G64*'Itens de Contrato'!F64</f>
        <v>0</v>
      </c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customFormat="false" ht="12.8" hidden="false" customHeight="false" outlineLevel="0" collapsed="false">
      <c r="A65" s="37" t="n">
        <f aca="false">'Itens de Contrato'!A65</f>
        <v>0</v>
      </c>
      <c r="B65" s="37" t="n">
        <f aca="false">'Itens de Contrato'!B65</f>
        <v>0</v>
      </c>
      <c r="C65" s="71" t="e">
        <f aca="false">VLOOKUP(B65,'Itens de Contrato'!B$5:G$151,2,0)</f>
        <v>#N/A</v>
      </c>
      <c r="D65" s="52"/>
      <c r="E65" s="54" t="n">
        <f aca="false">D65*'Itens de Contrato'!F65</f>
        <v>0</v>
      </c>
      <c r="F65" s="74" t="n">
        <f aca="false">'Itens de Contrato'!E65</f>
        <v>0</v>
      </c>
      <c r="G65" s="52"/>
      <c r="H65" s="68" t="e">
        <f aca="false">G65/D65</f>
        <v>#DIV/0!</v>
      </c>
      <c r="I65" s="63" t="n">
        <f aca="false">G65*'Itens de Contrato'!F65</f>
        <v>0</v>
      </c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customFormat="false" ht="12.8" hidden="false" customHeight="false" outlineLevel="0" collapsed="false">
      <c r="A66" s="37" t="n">
        <f aca="false">'Itens de Contrato'!A66</f>
        <v>0</v>
      </c>
      <c r="B66" s="37" t="n">
        <f aca="false">'Itens de Contrato'!B66</f>
        <v>0</v>
      </c>
      <c r="C66" s="71" t="e">
        <f aca="false">VLOOKUP(B66,'Itens de Contrato'!B$5:G$151,2,0)</f>
        <v>#N/A</v>
      </c>
      <c r="D66" s="52"/>
      <c r="E66" s="54" t="n">
        <f aca="false">D66*'Itens de Contrato'!F66</f>
        <v>0</v>
      </c>
      <c r="F66" s="74" t="n">
        <f aca="false">'Itens de Contrato'!E66</f>
        <v>0</v>
      </c>
      <c r="G66" s="52"/>
      <c r="H66" s="68" t="e">
        <f aca="false">G66/D66</f>
        <v>#DIV/0!</v>
      </c>
      <c r="I66" s="63" t="n">
        <f aca="false">G66*'Itens de Contrato'!F66</f>
        <v>0</v>
      </c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customFormat="false" ht="12.8" hidden="false" customHeight="false" outlineLevel="0" collapsed="false">
      <c r="A67" s="37" t="n">
        <f aca="false">'Itens de Contrato'!A67</f>
        <v>0</v>
      </c>
      <c r="B67" s="37" t="n">
        <f aca="false">'Itens de Contrato'!B67</f>
        <v>0</v>
      </c>
      <c r="C67" s="71" t="e">
        <f aca="false">VLOOKUP(B67,'Itens de Contrato'!B$5:G$151,2,0)</f>
        <v>#N/A</v>
      </c>
      <c r="D67" s="52"/>
      <c r="E67" s="54" t="n">
        <f aca="false">D67*'Itens de Contrato'!F67</f>
        <v>0</v>
      </c>
      <c r="F67" s="74" t="n">
        <f aca="false">'Itens de Contrato'!E67</f>
        <v>0</v>
      </c>
      <c r="G67" s="52"/>
      <c r="H67" s="68" t="e">
        <f aca="false">G67/D67</f>
        <v>#DIV/0!</v>
      </c>
      <c r="I67" s="63" t="n">
        <f aca="false">G67*'Itens de Contrato'!F67</f>
        <v>0</v>
      </c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customFormat="false" ht="12.8" hidden="false" customHeight="false" outlineLevel="0" collapsed="false">
      <c r="A68" s="37" t="n">
        <f aca="false">'Itens de Contrato'!A68</f>
        <v>0</v>
      </c>
      <c r="B68" s="37" t="n">
        <f aca="false">'Itens de Contrato'!B68</f>
        <v>0</v>
      </c>
      <c r="C68" s="71" t="e">
        <f aca="false">VLOOKUP(B68,'Itens de Contrato'!B$5:G$151,2,0)</f>
        <v>#N/A</v>
      </c>
      <c r="D68" s="52"/>
      <c r="E68" s="54" t="n">
        <f aca="false">D68*'Itens de Contrato'!F68</f>
        <v>0</v>
      </c>
      <c r="F68" s="74" t="n">
        <f aca="false">'Itens de Contrato'!E68</f>
        <v>0</v>
      </c>
      <c r="G68" s="52"/>
      <c r="H68" s="68" t="e">
        <f aca="false">G68/D68</f>
        <v>#DIV/0!</v>
      </c>
      <c r="I68" s="63" t="n">
        <f aca="false">G68*'Itens de Contrato'!F68</f>
        <v>0</v>
      </c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</row>
    <row r="69" customFormat="false" ht="12.8" hidden="false" customHeight="false" outlineLevel="0" collapsed="false">
      <c r="A69" s="37" t="n">
        <f aca="false">'Itens de Contrato'!A69</f>
        <v>0</v>
      </c>
      <c r="B69" s="37" t="n">
        <f aca="false">'Itens de Contrato'!B69</f>
        <v>0</v>
      </c>
      <c r="C69" s="71" t="e">
        <f aca="false">VLOOKUP(B69,'Itens de Contrato'!B$5:G$151,2,0)</f>
        <v>#N/A</v>
      </c>
      <c r="D69" s="52"/>
      <c r="E69" s="54" t="n">
        <f aca="false">D69*'Itens de Contrato'!F69</f>
        <v>0</v>
      </c>
      <c r="F69" s="74" t="n">
        <f aca="false">'Itens de Contrato'!E69</f>
        <v>0</v>
      </c>
      <c r="G69" s="52"/>
      <c r="H69" s="68" t="e">
        <f aca="false">G69/D69</f>
        <v>#DIV/0!</v>
      </c>
      <c r="I69" s="63" t="n">
        <f aca="false">G69*'Itens de Contrato'!F69</f>
        <v>0</v>
      </c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</row>
    <row r="70" customFormat="false" ht="12.8" hidden="false" customHeight="false" outlineLevel="0" collapsed="false">
      <c r="A70" s="37" t="n">
        <f aca="false">'Itens de Contrato'!A70</f>
        <v>0</v>
      </c>
      <c r="B70" s="37" t="n">
        <f aca="false">'Itens de Contrato'!B70</f>
        <v>0</v>
      </c>
      <c r="C70" s="71" t="e">
        <f aca="false">VLOOKUP(B70,'Itens de Contrato'!B$5:G$151,2,0)</f>
        <v>#N/A</v>
      </c>
      <c r="D70" s="52"/>
      <c r="E70" s="54" t="n">
        <f aca="false">D70*'Itens de Contrato'!F70</f>
        <v>0</v>
      </c>
      <c r="F70" s="74" t="n">
        <f aca="false">'Itens de Contrato'!E70</f>
        <v>0</v>
      </c>
      <c r="G70" s="52"/>
      <c r="H70" s="68" t="e">
        <f aca="false">G70/D70</f>
        <v>#DIV/0!</v>
      </c>
      <c r="I70" s="63" t="n">
        <f aca="false">G70*'Itens de Contrato'!F70</f>
        <v>0</v>
      </c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</row>
    <row r="71" customFormat="false" ht="12.8" hidden="false" customHeight="false" outlineLevel="0" collapsed="false">
      <c r="A71" s="37" t="n">
        <f aca="false">'Itens de Contrato'!A71</f>
        <v>0</v>
      </c>
      <c r="B71" s="37" t="n">
        <f aca="false">'Itens de Contrato'!B71</f>
        <v>0</v>
      </c>
      <c r="C71" s="71" t="e">
        <f aca="false">VLOOKUP(B71,'Itens de Contrato'!B$5:G$151,2,0)</f>
        <v>#N/A</v>
      </c>
      <c r="D71" s="52"/>
      <c r="E71" s="54" t="n">
        <f aca="false">D71*'Itens de Contrato'!F71</f>
        <v>0</v>
      </c>
      <c r="F71" s="74" t="n">
        <f aca="false">'Itens de Contrato'!E71</f>
        <v>0</v>
      </c>
      <c r="G71" s="52"/>
      <c r="H71" s="68" t="e">
        <f aca="false">G71/D71</f>
        <v>#DIV/0!</v>
      </c>
      <c r="I71" s="63" t="n">
        <f aca="false">G71*'Itens de Contrato'!F71</f>
        <v>0</v>
      </c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</row>
    <row r="72" customFormat="false" ht="12.8" hidden="false" customHeight="false" outlineLevel="0" collapsed="false">
      <c r="A72" s="37" t="n">
        <f aca="false">'Itens de Contrato'!A72</f>
        <v>0</v>
      </c>
      <c r="B72" s="37" t="n">
        <f aca="false">'Itens de Contrato'!B72</f>
        <v>0</v>
      </c>
      <c r="C72" s="71" t="e">
        <f aca="false">VLOOKUP(B72,'Itens de Contrato'!B$5:G$151,2,0)</f>
        <v>#N/A</v>
      </c>
      <c r="D72" s="52"/>
      <c r="E72" s="54" t="n">
        <f aca="false">D72*'Itens de Contrato'!F72</f>
        <v>0</v>
      </c>
      <c r="F72" s="74" t="n">
        <f aca="false">'Itens de Contrato'!E72</f>
        <v>0</v>
      </c>
      <c r="G72" s="52"/>
      <c r="H72" s="68" t="e">
        <f aca="false">G72/D72</f>
        <v>#DIV/0!</v>
      </c>
      <c r="I72" s="63" t="n">
        <f aca="false">G72*'Itens de Contrato'!F72</f>
        <v>0</v>
      </c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</row>
    <row r="73" customFormat="false" ht="12.8" hidden="false" customHeight="false" outlineLevel="0" collapsed="false">
      <c r="A73" s="37" t="n">
        <f aca="false">'Itens de Contrato'!A73</f>
        <v>0</v>
      </c>
      <c r="B73" s="37" t="n">
        <f aca="false">'Itens de Contrato'!B73</f>
        <v>0</v>
      </c>
      <c r="C73" s="71" t="e">
        <f aca="false">VLOOKUP(B73,'Itens de Contrato'!B$5:G$151,2,0)</f>
        <v>#N/A</v>
      </c>
      <c r="D73" s="52"/>
      <c r="E73" s="54" t="n">
        <f aca="false">D73*'Itens de Contrato'!F73</f>
        <v>0</v>
      </c>
      <c r="F73" s="74" t="n">
        <f aca="false">'Itens de Contrato'!E73</f>
        <v>0</v>
      </c>
      <c r="G73" s="52"/>
      <c r="H73" s="68" t="e">
        <f aca="false">G73/D73</f>
        <v>#DIV/0!</v>
      </c>
      <c r="I73" s="63" t="n">
        <f aca="false">G73*'Itens de Contrato'!F73</f>
        <v>0</v>
      </c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</row>
    <row r="74" customFormat="false" ht="12.8" hidden="false" customHeight="false" outlineLevel="0" collapsed="false">
      <c r="A74" s="37" t="n">
        <f aca="false">'Itens de Contrato'!A74</f>
        <v>0</v>
      </c>
      <c r="B74" s="37" t="n">
        <f aca="false">'Itens de Contrato'!B74</f>
        <v>0</v>
      </c>
      <c r="C74" s="71" t="e">
        <f aca="false">VLOOKUP(B74,'Itens de Contrato'!B$5:G$151,2,0)</f>
        <v>#N/A</v>
      </c>
      <c r="D74" s="52"/>
      <c r="E74" s="54" t="n">
        <f aca="false">D74*'Itens de Contrato'!F74</f>
        <v>0</v>
      </c>
      <c r="F74" s="74" t="n">
        <f aca="false">'Itens de Contrato'!E74</f>
        <v>0</v>
      </c>
      <c r="G74" s="52"/>
      <c r="H74" s="68" t="e">
        <f aca="false">G74/D74</f>
        <v>#DIV/0!</v>
      </c>
      <c r="I74" s="63" t="n">
        <f aca="false">G74*'Itens de Contrato'!F74</f>
        <v>0</v>
      </c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</row>
    <row r="75" customFormat="false" ht="12.8" hidden="false" customHeight="false" outlineLevel="0" collapsed="false">
      <c r="A75" s="37" t="n">
        <f aca="false">'Itens de Contrato'!A75</f>
        <v>0</v>
      </c>
      <c r="B75" s="37" t="n">
        <f aca="false">'Itens de Contrato'!B75</f>
        <v>0</v>
      </c>
      <c r="C75" s="71" t="e">
        <f aca="false">VLOOKUP(B75,'Itens de Contrato'!B$5:G$151,2,0)</f>
        <v>#N/A</v>
      </c>
      <c r="D75" s="52"/>
      <c r="E75" s="54" t="n">
        <f aca="false">D75*'Itens de Contrato'!F75</f>
        <v>0</v>
      </c>
      <c r="F75" s="74" t="n">
        <f aca="false">'Itens de Contrato'!E75</f>
        <v>0</v>
      </c>
      <c r="G75" s="52"/>
      <c r="H75" s="68" t="e">
        <f aca="false">G75/D75</f>
        <v>#DIV/0!</v>
      </c>
      <c r="I75" s="63" t="n">
        <f aca="false">G75*'Itens de Contrato'!F75</f>
        <v>0</v>
      </c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</row>
    <row r="76" customFormat="false" ht="12.8" hidden="false" customHeight="false" outlineLevel="0" collapsed="false">
      <c r="A76" s="37" t="n">
        <f aca="false">'Itens de Contrato'!A76</f>
        <v>0</v>
      </c>
      <c r="B76" s="37" t="n">
        <f aca="false">'Itens de Contrato'!B76</f>
        <v>0</v>
      </c>
      <c r="C76" s="71" t="e">
        <f aca="false">VLOOKUP(B76,'Itens de Contrato'!B$5:G$151,2,0)</f>
        <v>#N/A</v>
      </c>
      <c r="D76" s="52"/>
      <c r="E76" s="54" t="n">
        <f aca="false">D76*'Itens de Contrato'!F76</f>
        <v>0</v>
      </c>
      <c r="F76" s="74" t="n">
        <f aca="false">'Itens de Contrato'!E76</f>
        <v>0</v>
      </c>
      <c r="G76" s="52"/>
      <c r="H76" s="68" t="e">
        <f aca="false">G76/D76</f>
        <v>#DIV/0!</v>
      </c>
      <c r="I76" s="63" t="n">
        <f aca="false">G76*'Itens de Contrato'!F76</f>
        <v>0</v>
      </c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</row>
    <row r="77" customFormat="false" ht="12.8" hidden="false" customHeight="false" outlineLevel="0" collapsed="false">
      <c r="A77" s="37" t="n">
        <f aca="false">'Itens de Contrato'!A77</f>
        <v>0</v>
      </c>
      <c r="B77" s="37" t="n">
        <f aca="false">'Itens de Contrato'!B77</f>
        <v>0</v>
      </c>
      <c r="C77" s="71" t="e">
        <f aca="false">VLOOKUP(B77,'Itens de Contrato'!B$5:G$151,2,0)</f>
        <v>#N/A</v>
      </c>
      <c r="D77" s="52"/>
      <c r="E77" s="54" t="n">
        <f aca="false">D77*'Itens de Contrato'!F77</f>
        <v>0</v>
      </c>
      <c r="F77" s="74" t="n">
        <f aca="false">'Itens de Contrato'!E77</f>
        <v>0</v>
      </c>
      <c r="G77" s="52"/>
      <c r="H77" s="68" t="e">
        <f aca="false">G77/D77</f>
        <v>#DIV/0!</v>
      </c>
      <c r="I77" s="63" t="n">
        <f aca="false">G77*'Itens de Contrato'!F77</f>
        <v>0</v>
      </c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</row>
    <row r="78" customFormat="false" ht="12.8" hidden="false" customHeight="false" outlineLevel="0" collapsed="false">
      <c r="A78" s="37" t="n">
        <f aca="false">'Itens de Contrato'!A78</f>
        <v>0</v>
      </c>
      <c r="B78" s="37" t="n">
        <f aca="false">'Itens de Contrato'!B78</f>
        <v>0</v>
      </c>
      <c r="C78" s="71" t="e">
        <f aca="false">VLOOKUP(B78,'Itens de Contrato'!B$5:G$151,2,0)</f>
        <v>#N/A</v>
      </c>
      <c r="D78" s="52"/>
      <c r="E78" s="54" t="n">
        <f aca="false">D78*'Itens de Contrato'!F78</f>
        <v>0</v>
      </c>
      <c r="F78" s="74" t="n">
        <f aca="false">'Itens de Contrato'!E78</f>
        <v>0</v>
      </c>
      <c r="G78" s="52"/>
      <c r="H78" s="68" t="e">
        <f aca="false">G78/D78</f>
        <v>#DIV/0!</v>
      </c>
      <c r="I78" s="63" t="n">
        <f aca="false">G78*'Itens de Contrato'!F78</f>
        <v>0</v>
      </c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</row>
    <row r="79" customFormat="false" ht="12.8" hidden="false" customHeight="false" outlineLevel="0" collapsed="false">
      <c r="A79" s="37" t="n">
        <f aca="false">'Itens de Contrato'!A79</f>
        <v>0</v>
      </c>
      <c r="B79" s="37" t="n">
        <f aca="false">'Itens de Contrato'!B79</f>
        <v>0</v>
      </c>
      <c r="C79" s="71" t="e">
        <f aca="false">VLOOKUP(B79,'Itens de Contrato'!B$5:G$151,2,0)</f>
        <v>#N/A</v>
      </c>
      <c r="D79" s="52"/>
      <c r="E79" s="54" t="n">
        <f aca="false">D79*'Itens de Contrato'!F79</f>
        <v>0</v>
      </c>
      <c r="F79" s="74" t="n">
        <f aca="false">'Itens de Contrato'!E79</f>
        <v>0</v>
      </c>
      <c r="G79" s="52"/>
      <c r="H79" s="68" t="e">
        <f aca="false">G79/D79</f>
        <v>#DIV/0!</v>
      </c>
      <c r="I79" s="63" t="n">
        <f aca="false">G79*'Itens de Contrato'!F79</f>
        <v>0</v>
      </c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</row>
    <row r="80" customFormat="false" ht="12.8" hidden="false" customHeight="false" outlineLevel="0" collapsed="false">
      <c r="A80" s="37" t="n">
        <f aca="false">'Itens de Contrato'!A80</f>
        <v>0</v>
      </c>
      <c r="B80" s="37" t="n">
        <f aca="false">'Itens de Contrato'!B80</f>
        <v>0</v>
      </c>
      <c r="C80" s="71" t="e">
        <f aca="false">VLOOKUP(B80,'Itens de Contrato'!B$5:G$151,2,0)</f>
        <v>#N/A</v>
      </c>
      <c r="D80" s="52"/>
      <c r="E80" s="54" t="n">
        <f aca="false">D80*'Itens de Contrato'!F80</f>
        <v>0</v>
      </c>
      <c r="F80" s="74" t="n">
        <f aca="false">'Itens de Contrato'!E80</f>
        <v>0</v>
      </c>
      <c r="G80" s="52"/>
      <c r="H80" s="68" t="e">
        <f aca="false">G80/D80</f>
        <v>#DIV/0!</v>
      </c>
      <c r="I80" s="63" t="n">
        <f aca="false">G80*'Itens de Contrato'!F80</f>
        <v>0</v>
      </c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</row>
    <row r="81" customFormat="false" ht="12.8" hidden="false" customHeight="false" outlineLevel="0" collapsed="false">
      <c r="A81" s="37" t="n">
        <f aca="false">'Itens de Contrato'!A81</f>
        <v>0</v>
      </c>
      <c r="B81" s="37" t="n">
        <f aca="false">'Itens de Contrato'!B81</f>
        <v>0</v>
      </c>
      <c r="C81" s="71" t="e">
        <f aca="false">VLOOKUP(B81,'Itens de Contrato'!B$5:G$151,2,0)</f>
        <v>#N/A</v>
      </c>
      <c r="D81" s="52"/>
      <c r="E81" s="54" t="n">
        <f aca="false">D81*'Itens de Contrato'!F81</f>
        <v>0</v>
      </c>
      <c r="F81" s="74" t="n">
        <f aca="false">'Itens de Contrato'!E81</f>
        <v>0</v>
      </c>
      <c r="G81" s="52"/>
      <c r="H81" s="68" t="e">
        <f aca="false">G81/D81</f>
        <v>#DIV/0!</v>
      </c>
      <c r="I81" s="63" t="n">
        <f aca="false">G81*'Itens de Contrato'!F81</f>
        <v>0</v>
      </c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</row>
    <row r="82" customFormat="false" ht="12.8" hidden="false" customHeight="false" outlineLevel="0" collapsed="false">
      <c r="A82" s="37" t="n">
        <f aca="false">'Itens de Contrato'!A82</f>
        <v>0</v>
      </c>
      <c r="B82" s="37" t="n">
        <f aca="false">'Itens de Contrato'!B82</f>
        <v>0</v>
      </c>
      <c r="C82" s="71" t="e">
        <f aca="false">VLOOKUP(B82,'Itens de Contrato'!B$5:G$151,2,0)</f>
        <v>#N/A</v>
      </c>
      <c r="D82" s="52"/>
      <c r="E82" s="54" t="n">
        <f aca="false">D82*'Itens de Contrato'!F82</f>
        <v>0</v>
      </c>
      <c r="F82" s="74" t="n">
        <f aca="false">'Itens de Contrato'!E82</f>
        <v>0</v>
      </c>
      <c r="G82" s="52"/>
      <c r="H82" s="68" t="e">
        <f aca="false">G82/D82</f>
        <v>#DIV/0!</v>
      </c>
      <c r="I82" s="63" t="n">
        <f aca="false">G82*'Itens de Contrato'!F82</f>
        <v>0</v>
      </c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</row>
    <row r="83" customFormat="false" ht="12.8" hidden="false" customHeight="false" outlineLevel="0" collapsed="false">
      <c r="A83" s="37" t="n">
        <f aca="false">'Itens de Contrato'!A83</f>
        <v>0</v>
      </c>
      <c r="B83" s="37" t="n">
        <f aca="false">'Itens de Contrato'!B83</f>
        <v>0</v>
      </c>
      <c r="C83" s="71" t="e">
        <f aca="false">VLOOKUP(B83,'Itens de Contrato'!B$5:G$151,2,0)</f>
        <v>#N/A</v>
      </c>
      <c r="D83" s="52"/>
      <c r="E83" s="54" t="n">
        <f aca="false">D83*'Itens de Contrato'!F83</f>
        <v>0</v>
      </c>
      <c r="F83" s="74" t="n">
        <f aca="false">'Itens de Contrato'!E83</f>
        <v>0</v>
      </c>
      <c r="G83" s="52"/>
      <c r="H83" s="68" t="e">
        <f aca="false">G83/D83</f>
        <v>#DIV/0!</v>
      </c>
      <c r="I83" s="63" t="n">
        <f aca="false">G83*'Itens de Contrato'!F83</f>
        <v>0</v>
      </c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</row>
    <row r="84" customFormat="false" ht="12.8" hidden="false" customHeight="false" outlineLevel="0" collapsed="false">
      <c r="A84" s="37" t="n">
        <f aca="false">'Itens de Contrato'!A84</f>
        <v>0</v>
      </c>
      <c r="B84" s="37" t="n">
        <f aca="false">'Itens de Contrato'!B84</f>
        <v>0</v>
      </c>
      <c r="C84" s="71" t="e">
        <f aca="false">VLOOKUP(B84,'Itens de Contrato'!B$5:G$151,2,0)</f>
        <v>#N/A</v>
      </c>
      <c r="D84" s="52"/>
      <c r="E84" s="54" t="n">
        <f aca="false">D84*'Itens de Contrato'!F84</f>
        <v>0</v>
      </c>
      <c r="F84" s="74" t="n">
        <f aca="false">'Itens de Contrato'!E84</f>
        <v>0</v>
      </c>
      <c r="G84" s="52"/>
      <c r="H84" s="68" t="e">
        <f aca="false">G84/D84</f>
        <v>#DIV/0!</v>
      </c>
      <c r="I84" s="63" t="n">
        <f aca="false">G84*'Itens de Contrato'!F84</f>
        <v>0</v>
      </c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</row>
    <row r="85" customFormat="false" ht="12.8" hidden="false" customHeight="false" outlineLevel="0" collapsed="false">
      <c r="A85" s="37" t="n">
        <f aca="false">'Itens de Contrato'!A85</f>
        <v>0</v>
      </c>
      <c r="B85" s="37" t="n">
        <f aca="false">'Itens de Contrato'!B85</f>
        <v>0</v>
      </c>
      <c r="C85" s="71" t="e">
        <f aca="false">VLOOKUP(B85,'Itens de Contrato'!B$5:G$151,2,0)</f>
        <v>#N/A</v>
      </c>
      <c r="D85" s="52"/>
      <c r="E85" s="54" t="n">
        <f aca="false">D85*'Itens de Contrato'!F85</f>
        <v>0</v>
      </c>
      <c r="F85" s="74" t="n">
        <f aca="false">'Itens de Contrato'!E85</f>
        <v>0</v>
      </c>
      <c r="G85" s="52"/>
      <c r="H85" s="68" t="e">
        <f aca="false">G85/D85</f>
        <v>#DIV/0!</v>
      </c>
      <c r="I85" s="63" t="n">
        <f aca="false">G85*'Itens de Contrato'!F85</f>
        <v>0</v>
      </c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</row>
    <row r="86" customFormat="false" ht="12.8" hidden="false" customHeight="false" outlineLevel="0" collapsed="false">
      <c r="A86" s="37" t="n">
        <f aca="false">'Itens de Contrato'!A86</f>
        <v>0</v>
      </c>
      <c r="B86" s="37" t="n">
        <f aca="false">'Itens de Contrato'!B86</f>
        <v>0</v>
      </c>
      <c r="C86" s="71" t="e">
        <f aca="false">VLOOKUP(B86,'Itens de Contrato'!B$5:G$151,2,0)</f>
        <v>#N/A</v>
      </c>
      <c r="D86" s="52"/>
      <c r="E86" s="54" t="n">
        <f aca="false">D86*'Itens de Contrato'!F86</f>
        <v>0</v>
      </c>
      <c r="F86" s="74" t="n">
        <f aca="false">'Itens de Contrato'!E86</f>
        <v>0</v>
      </c>
      <c r="G86" s="52"/>
      <c r="H86" s="68" t="e">
        <f aca="false">G86/D86</f>
        <v>#DIV/0!</v>
      </c>
      <c r="I86" s="63" t="n">
        <f aca="false">G86*'Itens de Contrato'!F86</f>
        <v>0</v>
      </c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</row>
    <row r="87" customFormat="false" ht="12.8" hidden="false" customHeight="false" outlineLevel="0" collapsed="false">
      <c r="A87" s="37" t="n">
        <f aca="false">'Itens de Contrato'!A87</f>
        <v>0</v>
      </c>
      <c r="B87" s="37" t="n">
        <f aca="false">'Itens de Contrato'!B87</f>
        <v>0</v>
      </c>
      <c r="C87" s="71" t="e">
        <f aca="false">VLOOKUP(B87,'Itens de Contrato'!B$5:G$151,2,0)</f>
        <v>#N/A</v>
      </c>
      <c r="D87" s="52"/>
      <c r="E87" s="54" t="n">
        <f aca="false">D87*'Itens de Contrato'!F87</f>
        <v>0</v>
      </c>
      <c r="F87" s="74" t="n">
        <f aca="false">'Itens de Contrato'!E87</f>
        <v>0</v>
      </c>
      <c r="G87" s="52"/>
      <c r="H87" s="68" t="e">
        <f aca="false">G87/D87</f>
        <v>#DIV/0!</v>
      </c>
      <c r="I87" s="63" t="n">
        <f aca="false">G87*'Itens de Contrato'!F87</f>
        <v>0</v>
      </c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</row>
    <row r="88" customFormat="false" ht="12.8" hidden="false" customHeight="false" outlineLevel="0" collapsed="false">
      <c r="A88" s="37" t="n">
        <f aca="false">'Itens de Contrato'!A88</f>
        <v>0</v>
      </c>
      <c r="B88" s="37" t="n">
        <f aca="false">'Itens de Contrato'!B88</f>
        <v>0</v>
      </c>
      <c r="C88" s="71" t="e">
        <f aca="false">VLOOKUP(B88,'Itens de Contrato'!B$5:G$151,2,0)</f>
        <v>#N/A</v>
      </c>
      <c r="D88" s="52"/>
      <c r="E88" s="54" t="n">
        <f aca="false">D88*'Itens de Contrato'!F88</f>
        <v>0</v>
      </c>
      <c r="F88" s="74" t="n">
        <f aca="false">'Itens de Contrato'!E88</f>
        <v>0</v>
      </c>
      <c r="G88" s="52"/>
      <c r="H88" s="68" t="e">
        <f aca="false">G88/D88</f>
        <v>#DIV/0!</v>
      </c>
      <c r="I88" s="63" t="n">
        <f aca="false">G88*'Itens de Contrato'!F88</f>
        <v>0</v>
      </c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</row>
    <row r="89" customFormat="false" ht="12.8" hidden="false" customHeight="false" outlineLevel="0" collapsed="false">
      <c r="A89" s="37" t="n">
        <f aca="false">'Itens de Contrato'!A89</f>
        <v>0</v>
      </c>
      <c r="B89" s="37" t="n">
        <f aca="false">'Itens de Contrato'!B89</f>
        <v>0</v>
      </c>
      <c r="C89" s="71" t="e">
        <f aca="false">VLOOKUP(B89,'Itens de Contrato'!B$5:G$151,2,0)</f>
        <v>#N/A</v>
      </c>
      <c r="D89" s="52"/>
      <c r="E89" s="54" t="n">
        <f aca="false">D89*'Itens de Contrato'!F89</f>
        <v>0</v>
      </c>
      <c r="F89" s="74" t="n">
        <f aca="false">'Itens de Contrato'!E89</f>
        <v>0</v>
      </c>
      <c r="G89" s="52"/>
      <c r="H89" s="68" t="e">
        <f aca="false">G89/D89</f>
        <v>#DIV/0!</v>
      </c>
      <c r="I89" s="63" t="n">
        <f aca="false">G89*'Itens de Contrato'!F89</f>
        <v>0</v>
      </c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</row>
    <row r="90" customFormat="false" ht="12.8" hidden="false" customHeight="false" outlineLevel="0" collapsed="false">
      <c r="A90" s="37" t="n">
        <f aca="false">'Itens de Contrato'!A90</f>
        <v>0</v>
      </c>
      <c r="B90" s="37" t="n">
        <f aca="false">'Itens de Contrato'!B90</f>
        <v>0</v>
      </c>
      <c r="C90" s="71" t="e">
        <f aca="false">VLOOKUP(B90,'Itens de Contrato'!B$5:G$151,2,0)</f>
        <v>#N/A</v>
      </c>
      <c r="D90" s="52"/>
      <c r="E90" s="54" t="n">
        <f aca="false">D90*'Itens de Contrato'!F90</f>
        <v>0</v>
      </c>
      <c r="F90" s="74" t="n">
        <f aca="false">'Itens de Contrato'!E90</f>
        <v>0</v>
      </c>
      <c r="G90" s="52"/>
      <c r="H90" s="68" t="e">
        <f aca="false">G90/D90</f>
        <v>#DIV/0!</v>
      </c>
      <c r="I90" s="63" t="n">
        <f aca="false">G90*'Itens de Contrato'!F90</f>
        <v>0</v>
      </c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</row>
    <row r="91" customFormat="false" ht="12.8" hidden="false" customHeight="false" outlineLevel="0" collapsed="false">
      <c r="A91" s="37" t="n">
        <f aca="false">'Itens de Contrato'!A91</f>
        <v>0</v>
      </c>
      <c r="B91" s="37" t="n">
        <f aca="false">'Itens de Contrato'!B91</f>
        <v>0</v>
      </c>
      <c r="C91" s="71" t="e">
        <f aca="false">VLOOKUP(B91,'Itens de Contrato'!B$5:G$151,2,0)</f>
        <v>#N/A</v>
      </c>
      <c r="D91" s="52"/>
      <c r="E91" s="54" t="n">
        <f aca="false">D91*'Itens de Contrato'!F91</f>
        <v>0</v>
      </c>
      <c r="F91" s="74" t="n">
        <f aca="false">'Itens de Contrato'!E91</f>
        <v>0</v>
      </c>
      <c r="G91" s="52"/>
      <c r="H91" s="68" t="e">
        <f aca="false">G91/D91</f>
        <v>#DIV/0!</v>
      </c>
      <c r="I91" s="63" t="n">
        <f aca="false">G91*'Itens de Contrato'!F91</f>
        <v>0</v>
      </c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customFormat="false" ht="12.8" hidden="false" customHeight="false" outlineLevel="0" collapsed="false">
      <c r="A92" s="37" t="n">
        <f aca="false">'Itens de Contrato'!A92</f>
        <v>0</v>
      </c>
      <c r="B92" s="37" t="n">
        <f aca="false">'Itens de Contrato'!B92</f>
        <v>0</v>
      </c>
      <c r="C92" s="71" t="e">
        <f aca="false">VLOOKUP(B92,'Itens de Contrato'!B$5:G$151,2,0)</f>
        <v>#N/A</v>
      </c>
      <c r="D92" s="52"/>
      <c r="E92" s="54" t="n">
        <f aca="false">D92*'Itens de Contrato'!F92</f>
        <v>0</v>
      </c>
      <c r="F92" s="74" t="n">
        <f aca="false">'Itens de Contrato'!E92</f>
        <v>0</v>
      </c>
      <c r="G92" s="52"/>
      <c r="H92" s="68" t="e">
        <f aca="false">G92/D92</f>
        <v>#DIV/0!</v>
      </c>
      <c r="I92" s="63" t="n">
        <f aca="false">G92*'Itens de Contrato'!F92</f>
        <v>0</v>
      </c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</row>
    <row r="93" customFormat="false" ht="12.8" hidden="false" customHeight="false" outlineLevel="0" collapsed="false">
      <c r="A93" s="37" t="n">
        <f aca="false">'Itens de Contrato'!A93</f>
        <v>0</v>
      </c>
      <c r="B93" s="37" t="n">
        <f aca="false">'Itens de Contrato'!B93</f>
        <v>0</v>
      </c>
      <c r="C93" s="71" t="e">
        <f aca="false">VLOOKUP(B93,'Itens de Contrato'!B$5:G$151,2,0)</f>
        <v>#N/A</v>
      </c>
      <c r="D93" s="52"/>
      <c r="E93" s="54" t="n">
        <f aca="false">D93*'Itens de Contrato'!F93</f>
        <v>0</v>
      </c>
      <c r="F93" s="74" t="n">
        <f aca="false">'Itens de Contrato'!E93</f>
        <v>0</v>
      </c>
      <c r="G93" s="52"/>
      <c r="H93" s="68" t="e">
        <f aca="false">G93/D93</f>
        <v>#DIV/0!</v>
      </c>
      <c r="I93" s="63" t="n">
        <f aca="false">G93*'Itens de Contrato'!F93</f>
        <v>0</v>
      </c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</row>
    <row r="94" customFormat="false" ht="12.8" hidden="false" customHeight="false" outlineLevel="0" collapsed="false">
      <c r="A94" s="37" t="n">
        <f aca="false">'Itens de Contrato'!A94</f>
        <v>0</v>
      </c>
      <c r="B94" s="37" t="n">
        <f aca="false">'Itens de Contrato'!B94</f>
        <v>0</v>
      </c>
      <c r="C94" s="71" t="e">
        <f aca="false">VLOOKUP(B94,'Itens de Contrato'!B$5:G$151,2,0)</f>
        <v>#N/A</v>
      </c>
      <c r="D94" s="52"/>
      <c r="E94" s="54" t="n">
        <f aca="false">D94*'Itens de Contrato'!F94</f>
        <v>0</v>
      </c>
      <c r="F94" s="74" t="n">
        <f aca="false">'Itens de Contrato'!E94</f>
        <v>0</v>
      </c>
      <c r="G94" s="52"/>
      <c r="H94" s="68" t="e">
        <f aca="false">G94/D94</f>
        <v>#DIV/0!</v>
      </c>
      <c r="I94" s="63" t="n">
        <f aca="false">G94*'Itens de Contrato'!F94</f>
        <v>0</v>
      </c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</row>
    <row r="95" customFormat="false" ht="12.8" hidden="false" customHeight="false" outlineLevel="0" collapsed="false">
      <c r="A95" s="37" t="n">
        <f aca="false">'Itens de Contrato'!A95</f>
        <v>0</v>
      </c>
      <c r="B95" s="37" t="n">
        <f aca="false">'Itens de Contrato'!B95</f>
        <v>0</v>
      </c>
      <c r="C95" s="71" t="e">
        <f aca="false">VLOOKUP(B95,'Itens de Contrato'!B$5:G$151,2,0)</f>
        <v>#N/A</v>
      </c>
      <c r="D95" s="52"/>
      <c r="E95" s="54" t="n">
        <f aca="false">D95*'Itens de Contrato'!F95</f>
        <v>0</v>
      </c>
      <c r="F95" s="74" t="n">
        <f aca="false">'Itens de Contrato'!E95</f>
        <v>0</v>
      </c>
      <c r="G95" s="52"/>
      <c r="H95" s="68" t="e">
        <f aca="false">G95/D95</f>
        <v>#DIV/0!</v>
      </c>
      <c r="I95" s="63" t="n">
        <f aca="false">G95*'Itens de Contrato'!F95</f>
        <v>0</v>
      </c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</row>
    <row r="96" customFormat="false" ht="12.8" hidden="false" customHeight="false" outlineLevel="0" collapsed="false">
      <c r="A96" s="37" t="n">
        <f aca="false">'Itens de Contrato'!A96</f>
        <v>0</v>
      </c>
      <c r="B96" s="37" t="n">
        <f aca="false">'Itens de Contrato'!B96</f>
        <v>0</v>
      </c>
      <c r="C96" s="71" t="e">
        <f aca="false">VLOOKUP(B96,'Itens de Contrato'!B$5:G$151,2,0)</f>
        <v>#N/A</v>
      </c>
      <c r="D96" s="52"/>
      <c r="E96" s="54" t="n">
        <f aca="false">D96*'Itens de Contrato'!F96</f>
        <v>0</v>
      </c>
      <c r="F96" s="74" t="n">
        <f aca="false">'Itens de Contrato'!E96</f>
        <v>0</v>
      </c>
      <c r="G96" s="52"/>
      <c r="H96" s="68" t="e">
        <f aca="false">G96/D96</f>
        <v>#DIV/0!</v>
      </c>
      <c r="I96" s="63" t="n">
        <f aca="false">G96*'Itens de Contrato'!F96</f>
        <v>0</v>
      </c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</row>
    <row r="97" customFormat="false" ht="12.8" hidden="false" customHeight="false" outlineLevel="0" collapsed="false">
      <c r="A97" s="37" t="n">
        <f aca="false">'Itens de Contrato'!A97</f>
        <v>0</v>
      </c>
      <c r="B97" s="37" t="n">
        <f aca="false">'Itens de Contrato'!B97</f>
        <v>0</v>
      </c>
      <c r="C97" s="71" t="e">
        <f aca="false">VLOOKUP(B97,'Itens de Contrato'!B$5:G$151,2,0)</f>
        <v>#N/A</v>
      </c>
      <c r="D97" s="52"/>
      <c r="E97" s="54" t="n">
        <f aca="false">D97*'Itens de Contrato'!F97</f>
        <v>0</v>
      </c>
      <c r="F97" s="74" t="n">
        <f aca="false">'Itens de Contrato'!E97</f>
        <v>0</v>
      </c>
      <c r="G97" s="52"/>
      <c r="H97" s="68" t="e">
        <f aca="false">G97/D97</f>
        <v>#DIV/0!</v>
      </c>
      <c r="I97" s="63" t="n">
        <f aca="false">G97*'Itens de Contrato'!F97</f>
        <v>0</v>
      </c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</row>
    <row r="98" customFormat="false" ht="12.8" hidden="false" customHeight="false" outlineLevel="0" collapsed="false">
      <c r="A98" s="37" t="n">
        <f aca="false">'Itens de Contrato'!A98</f>
        <v>0</v>
      </c>
      <c r="B98" s="37" t="n">
        <f aca="false">'Itens de Contrato'!B98</f>
        <v>0</v>
      </c>
      <c r="C98" s="71" t="e">
        <f aca="false">VLOOKUP(B98,'Itens de Contrato'!B$5:G$151,2,0)</f>
        <v>#N/A</v>
      </c>
      <c r="D98" s="52"/>
      <c r="E98" s="54" t="n">
        <f aca="false">D98*'Itens de Contrato'!F98</f>
        <v>0</v>
      </c>
      <c r="F98" s="74" t="n">
        <f aca="false">'Itens de Contrato'!E98</f>
        <v>0</v>
      </c>
      <c r="G98" s="52"/>
      <c r="H98" s="68" t="e">
        <f aca="false">G98/D98</f>
        <v>#DIV/0!</v>
      </c>
      <c r="I98" s="63" t="n">
        <f aca="false">G98*'Itens de Contrato'!F98</f>
        <v>0</v>
      </c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</row>
    <row r="99" customFormat="false" ht="12.8" hidden="false" customHeight="false" outlineLevel="0" collapsed="false">
      <c r="A99" s="37" t="n">
        <f aca="false">'Itens de Contrato'!A99</f>
        <v>0</v>
      </c>
      <c r="B99" s="37" t="n">
        <f aca="false">'Itens de Contrato'!B99</f>
        <v>0</v>
      </c>
      <c r="C99" s="71" t="e">
        <f aca="false">VLOOKUP(B99,'Itens de Contrato'!B$5:G$151,2,0)</f>
        <v>#N/A</v>
      </c>
      <c r="D99" s="52"/>
      <c r="E99" s="54" t="n">
        <f aca="false">D99*'Itens de Contrato'!F99</f>
        <v>0</v>
      </c>
      <c r="F99" s="74" t="n">
        <f aca="false">'Itens de Contrato'!E99</f>
        <v>0</v>
      </c>
      <c r="G99" s="52"/>
      <c r="H99" s="68" t="e">
        <f aca="false">G99/D99</f>
        <v>#DIV/0!</v>
      </c>
      <c r="I99" s="63" t="n">
        <f aca="false">G99*'Itens de Contrato'!F99</f>
        <v>0</v>
      </c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</row>
    <row r="100" customFormat="false" ht="12.8" hidden="false" customHeight="false" outlineLevel="0" collapsed="false">
      <c r="A100" s="37" t="n">
        <f aca="false">'Itens de Contrato'!A100</f>
        <v>0</v>
      </c>
      <c r="B100" s="37" t="n">
        <f aca="false">'Itens de Contrato'!B100</f>
        <v>0</v>
      </c>
      <c r="C100" s="71" t="e">
        <f aca="false">VLOOKUP(B100,'Itens de Contrato'!B$5:G$151,2,0)</f>
        <v>#N/A</v>
      </c>
      <c r="D100" s="52"/>
      <c r="E100" s="54" t="n">
        <f aca="false">D100*'Itens de Contrato'!F100</f>
        <v>0</v>
      </c>
      <c r="F100" s="74" t="n">
        <f aca="false">'Itens de Contrato'!E100</f>
        <v>0</v>
      </c>
      <c r="G100" s="52"/>
      <c r="H100" s="68" t="e">
        <f aca="false">G100/D100</f>
        <v>#DIV/0!</v>
      </c>
      <c r="I100" s="63" t="n">
        <f aca="false">G100*'Itens de Contrato'!F100</f>
        <v>0</v>
      </c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customFormat="false" ht="12.8" hidden="false" customHeight="false" outlineLevel="0" collapsed="false">
      <c r="A101" s="37" t="n">
        <f aca="false">'Itens de Contrato'!A101</f>
        <v>0</v>
      </c>
      <c r="B101" s="37" t="n">
        <f aca="false">'Itens de Contrato'!B101</f>
        <v>0</v>
      </c>
      <c r="C101" s="71" t="e">
        <f aca="false">VLOOKUP(B101,'Itens de Contrato'!B$5:G$151,2,0)</f>
        <v>#N/A</v>
      </c>
      <c r="D101" s="52"/>
      <c r="E101" s="54" t="n">
        <f aca="false">D101*'Itens de Contrato'!F101</f>
        <v>0</v>
      </c>
      <c r="F101" s="74" t="n">
        <f aca="false">'Itens de Contrato'!E101</f>
        <v>0</v>
      </c>
      <c r="G101" s="52"/>
      <c r="H101" s="68" t="e">
        <f aca="false">G101/D101</f>
        <v>#DIV/0!</v>
      </c>
      <c r="I101" s="63" t="n">
        <f aca="false">G101*'Itens de Contrato'!F101</f>
        <v>0</v>
      </c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customFormat="false" ht="12.8" hidden="false" customHeight="false" outlineLevel="0" collapsed="false">
      <c r="A102" s="37" t="n">
        <f aca="false">'Itens de Contrato'!A102</f>
        <v>0</v>
      </c>
      <c r="B102" s="37" t="n">
        <f aca="false">'Itens de Contrato'!B102</f>
        <v>0</v>
      </c>
      <c r="C102" s="71" t="e">
        <f aca="false">VLOOKUP(B102,'Itens de Contrato'!B$5:G$151,2,0)</f>
        <v>#N/A</v>
      </c>
      <c r="D102" s="52"/>
      <c r="E102" s="54" t="n">
        <f aca="false">D102*'Itens de Contrato'!F102</f>
        <v>0</v>
      </c>
      <c r="F102" s="74" t="n">
        <f aca="false">'Itens de Contrato'!E102</f>
        <v>0</v>
      </c>
      <c r="G102" s="52"/>
      <c r="H102" s="68" t="e">
        <f aca="false">G102/D102</f>
        <v>#DIV/0!</v>
      </c>
      <c r="I102" s="63" t="n">
        <f aca="false">G102*'Itens de Contrato'!F102</f>
        <v>0</v>
      </c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</row>
    <row r="103" customFormat="false" ht="12.8" hidden="false" customHeight="false" outlineLevel="0" collapsed="false">
      <c r="A103" s="37" t="n">
        <f aca="false">'Itens de Contrato'!A103</f>
        <v>0</v>
      </c>
      <c r="B103" s="37" t="n">
        <f aca="false">'Itens de Contrato'!B103</f>
        <v>0</v>
      </c>
      <c r="C103" s="71" t="e">
        <f aca="false">VLOOKUP(B103,'Itens de Contrato'!B$5:G$151,2,0)</f>
        <v>#N/A</v>
      </c>
      <c r="D103" s="52"/>
      <c r="E103" s="54" t="n">
        <f aca="false">D103*'Itens de Contrato'!F103</f>
        <v>0</v>
      </c>
      <c r="F103" s="74" t="n">
        <f aca="false">'Itens de Contrato'!E103</f>
        <v>0</v>
      </c>
      <c r="G103" s="52"/>
      <c r="H103" s="68" t="e">
        <f aca="false">G103/D103</f>
        <v>#DIV/0!</v>
      </c>
      <c r="I103" s="63" t="n">
        <f aca="false">G103*'Itens de Contrato'!F103</f>
        <v>0</v>
      </c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</row>
    <row r="104" customFormat="false" ht="12.8" hidden="false" customHeight="false" outlineLevel="0" collapsed="false">
      <c r="A104" s="37" t="n">
        <f aca="false">'Itens de Contrato'!A104</f>
        <v>0</v>
      </c>
      <c r="B104" s="37" t="n">
        <f aca="false">'Itens de Contrato'!B104</f>
        <v>0</v>
      </c>
      <c r="C104" s="71" t="e">
        <f aca="false">VLOOKUP(B104,'Itens de Contrato'!B$5:G$151,2,0)</f>
        <v>#N/A</v>
      </c>
      <c r="D104" s="52"/>
      <c r="E104" s="54" t="n">
        <f aca="false">D104*'Itens de Contrato'!F104</f>
        <v>0</v>
      </c>
      <c r="F104" s="74" t="n">
        <f aca="false">'Itens de Contrato'!E104</f>
        <v>0</v>
      </c>
      <c r="G104" s="52"/>
      <c r="H104" s="68" t="e">
        <f aca="false">G104/D104</f>
        <v>#DIV/0!</v>
      </c>
      <c r="I104" s="63" t="n">
        <f aca="false">G104*'Itens de Contrato'!F104</f>
        <v>0</v>
      </c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</row>
    <row r="105" customFormat="false" ht="12.8" hidden="false" customHeight="false" outlineLevel="0" collapsed="false">
      <c r="A105" s="37" t="n">
        <f aca="false">'Itens de Contrato'!A105</f>
        <v>0</v>
      </c>
      <c r="B105" s="37" t="n">
        <f aca="false">'Itens de Contrato'!B105</f>
        <v>0</v>
      </c>
      <c r="C105" s="71" t="e">
        <f aca="false">VLOOKUP(B105,'Itens de Contrato'!B$5:G$151,2,0)</f>
        <v>#N/A</v>
      </c>
      <c r="D105" s="52"/>
      <c r="E105" s="54" t="n">
        <f aca="false">D105*'Itens de Contrato'!F105</f>
        <v>0</v>
      </c>
      <c r="F105" s="74" t="n">
        <f aca="false">'Itens de Contrato'!E105</f>
        <v>0</v>
      </c>
      <c r="G105" s="52"/>
      <c r="H105" s="68" t="e">
        <f aca="false">G105/D105</f>
        <v>#DIV/0!</v>
      </c>
      <c r="I105" s="63" t="n">
        <f aca="false">G105*'Itens de Contrato'!F105</f>
        <v>0</v>
      </c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</row>
    <row r="106" customFormat="false" ht="12.8" hidden="false" customHeight="false" outlineLevel="0" collapsed="false">
      <c r="A106" s="37" t="n">
        <f aca="false">'Itens de Contrato'!A106</f>
        <v>0</v>
      </c>
      <c r="B106" s="37" t="n">
        <f aca="false">'Itens de Contrato'!B106</f>
        <v>0</v>
      </c>
      <c r="C106" s="71" t="e">
        <f aca="false">VLOOKUP(B106,'Itens de Contrato'!B$5:G$151,2,0)</f>
        <v>#N/A</v>
      </c>
      <c r="D106" s="52"/>
      <c r="E106" s="54" t="n">
        <f aca="false">D106*'Itens de Contrato'!F106</f>
        <v>0</v>
      </c>
      <c r="F106" s="74" t="n">
        <f aca="false">'Itens de Contrato'!E106</f>
        <v>0</v>
      </c>
      <c r="G106" s="52"/>
      <c r="H106" s="68" t="e">
        <f aca="false">G106/D106</f>
        <v>#DIV/0!</v>
      </c>
      <c r="I106" s="63" t="n">
        <f aca="false">G106*'Itens de Contrato'!F106</f>
        <v>0</v>
      </c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</row>
    <row r="107" customFormat="false" ht="12.8" hidden="false" customHeight="false" outlineLevel="0" collapsed="false">
      <c r="A107" s="37" t="n">
        <f aca="false">'Itens de Contrato'!A107</f>
        <v>0</v>
      </c>
      <c r="B107" s="37" t="n">
        <f aca="false">'Itens de Contrato'!B107</f>
        <v>0</v>
      </c>
      <c r="C107" s="71" t="e">
        <f aca="false">VLOOKUP(B107,'Itens de Contrato'!B$5:G$151,2,0)</f>
        <v>#N/A</v>
      </c>
      <c r="D107" s="52"/>
      <c r="E107" s="54" t="n">
        <f aca="false">D107*'Itens de Contrato'!F107</f>
        <v>0</v>
      </c>
      <c r="F107" s="74" t="n">
        <f aca="false">'Itens de Contrato'!E107</f>
        <v>0</v>
      </c>
      <c r="G107" s="52"/>
      <c r="H107" s="68" t="e">
        <f aca="false">G107/D107</f>
        <v>#DIV/0!</v>
      </c>
      <c r="I107" s="63" t="n">
        <f aca="false">G107*'Itens de Contrato'!F107</f>
        <v>0</v>
      </c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</row>
    <row r="108" customFormat="false" ht="12.8" hidden="false" customHeight="false" outlineLevel="0" collapsed="false">
      <c r="A108" s="37" t="n">
        <f aca="false">'Itens de Contrato'!A108</f>
        <v>0</v>
      </c>
      <c r="B108" s="37" t="n">
        <f aca="false">'Itens de Contrato'!B108</f>
        <v>0</v>
      </c>
      <c r="C108" s="71" t="e">
        <f aca="false">VLOOKUP(B108,'Itens de Contrato'!B$5:G$151,2,0)</f>
        <v>#N/A</v>
      </c>
      <c r="D108" s="52"/>
      <c r="E108" s="54" t="n">
        <f aca="false">D108*'Itens de Contrato'!F108</f>
        <v>0</v>
      </c>
      <c r="F108" s="74" t="n">
        <f aca="false">'Itens de Contrato'!E108</f>
        <v>0</v>
      </c>
      <c r="G108" s="52"/>
      <c r="H108" s="68" t="e">
        <f aca="false">G108/D108</f>
        <v>#DIV/0!</v>
      </c>
      <c r="I108" s="63" t="n">
        <f aca="false">G108*'Itens de Contrato'!F108</f>
        <v>0</v>
      </c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</row>
    <row r="109" customFormat="false" ht="12.8" hidden="false" customHeight="false" outlineLevel="0" collapsed="false">
      <c r="A109" s="37" t="n">
        <f aca="false">'Itens de Contrato'!A109</f>
        <v>0</v>
      </c>
      <c r="B109" s="37" t="n">
        <f aca="false">'Itens de Contrato'!B109</f>
        <v>0</v>
      </c>
      <c r="C109" s="71" t="e">
        <f aca="false">VLOOKUP(B109,'Itens de Contrato'!B$5:G$151,2,0)</f>
        <v>#N/A</v>
      </c>
      <c r="D109" s="52"/>
      <c r="E109" s="54" t="n">
        <f aca="false">D109*'Itens de Contrato'!F109</f>
        <v>0</v>
      </c>
      <c r="F109" s="74" t="n">
        <f aca="false">'Itens de Contrato'!E109</f>
        <v>0</v>
      </c>
      <c r="G109" s="52"/>
      <c r="H109" s="68" t="e">
        <f aca="false">G109/D109</f>
        <v>#DIV/0!</v>
      </c>
      <c r="I109" s="63" t="n">
        <f aca="false">G109*'Itens de Contrato'!F109</f>
        <v>0</v>
      </c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</row>
    <row r="110" customFormat="false" ht="12.8" hidden="false" customHeight="false" outlineLevel="0" collapsed="false">
      <c r="A110" s="37" t="n">
        <f aca="false">'Itens de Contrato'!A110</f>
        <v>0</v>
      </c>
      <c r="B110" s="37" t="n">
        <f aca="false">'Itens de Contrato'!B110</f>
        <v>0</v>
      </c>
      <c r="C110" s="71" t="e">
        <f aca="false">VLOOKUP(B110,'Itens de Contrato'!B$5:G$151,2,0)</f>
        <v>#N/A</v>
      </c>
      <c r="D110" s="52"/>
      <c r="E110" s="54" t="n">
        <f aca="false">D110*'Itens de Contrato'!F110</f>
        <v>0</v>
      </c>
      <c r="F110" s="74" t="n">
        <f aca="false">'Itens de Contrato'!E110</f>
        <v>0</v>
      </c>
      <c r="G110" s="52"/>
      <c r="H110" s="68" t="e">
        <f aca="false">G110/D110</f>
        <v>#DIV/0!</v>
      </c>
      <c r="I110" s="63" t="n">
        <f aca="false">G110*'Itens de Contrato'!F110</f>
        <v>0</v>
      </c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</row>
    <row r="111" customFormat="false" ht="12.8" hidden="false" customHeight="false" outlineLevel="0" collapsed="false">
      <c r="A111" s="37" t="n">
        <f aca="false">'Itens de Contrato'!A111</f>
        <v>0</v>
      </c>
      <c r="B111" s="37" t="n">
        <f aca="false">'Itens de Contrato'!B111</f>
        <v>0</v>
      </c>
      <c r="C111" s="71" t="e">
        <f aca="false">VLOOKUP(B111,'Itens de Contrato'!B$5:G$151,2,0)</f>
        <v>#N/A</v>
      </c>
      <c r="D111" s="52"/>
      <c r="E111" s="54" t="n">
        <f aca="false">D111*'Itens de Contrato'!F111</f>
        <v>0</v>
      </c>
      <c r="F111" s="74" t="n">
        <f aca="false">'Itens de Contrato'!E111</f>
        <v>0</v>
      </c>
      <c r="G111" s="52"/>
      <c r="H111" s="68" t="e">
        <f aca="false">G111/D111</f>
        <v>#DIV/0!</v>
      </c>
      <c r="I111" s="63" t="n">
        <f aca="false">G111*'Itens de Contrato'!F111</f>
        <v>0</v>
      </c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</row>
    <row r="112" customFormat="false" ht="12.8" hidden="false" customHeight="false" outlineLevel="0" collapsed="false">
      <c r="A112" s="37" t="n">
        <f aca="false">'Itens de Contrato'!A112</f>
        <v>0</v>
      </c>
      <c r="B112" s="37" t="n">
        <f aca="false">'Itens de Contrato'!B112</f>
        <v>0</v>
      </c>
      <c r="C112" s="71" t="e">
        <f aca="false">VLOOKUP(B112,'Itens de Contrato'!B$5:G$151,2,0)</f>
        <v>#N/A</v>
      </c>
      <c r="D112" s="52"/>
      <c r="E112" s="54" t="n">
        <f aca="false">D112*'Itens de Contrato'!F112</f>
        <v>0</v>
      </c>
      <c r="F112" s="74" t="n">
        <f aca="false">'Itens de Contrato'!E112</f>
        <v>0</v>
      </c>
      <c r="G112" s="52"/>
      <c r="H112" s="68" t="e">
        <f aca="false">G112/D112</f>
        <v>#DIV/0!</v>
      </c>
      <c r="I112" s="63" t="n">
        <f aca="false">G112*'Itens de Contrato'!F112</f>
        <v>0</v>
      </c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</row>
    <row r="113" customFormat="false" ht="12.8" hidden="false" customHeight="false" outlineLevel="0" collapsed="false">
      <c r="A113" s="37" t="n">
        <f aca="false">'Itens de Contrato'!A113</f>
        <v>0</v>
      </c>
      <c r="B113" s="37" t="n">
        <f aca="false">'Itens de Contrato'!B113</f>
        <v>0</v>
      </c>
      <c r="C113" s="71" t="e">
        <f aca="false">VLOOKUP(B113,'Itens de Contrato'!B$5:G$151,2,0)</f>
        <v>#N/A</v>
      </c>
      <c r="D113" s="52"/>
      <c r="E113" s="54" t="n">
        <f aca="false">D113*'Itens de Contrato'!F113</f>
        <v>0</v>
      </c>
      <c r="F113" s="74" t="n">
        <f aca="false">'Itens de Contrato'!E113</f>
        <v>0</v>
      </c>
      <c r="G113" s="52"/>
      <c r="H113" s="68" t="e">
        <f aca="false">G113/D113</f>
        <v>#DIV/0!</v>
      </c>
      <c r="I113" s="63" t="n">
        <f aca="false">G113*'Itens de Contrato'!F113</f>
        <v>0</v>
      </c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</row>
    <row r="114" customFormat="false" ht="12.8" hidden="false" customHeight="false" outlineLevel="0" collapsed="false">
      <c r="A114" s="37" t="n">
        <f aca="false">'Itens de Contrato'!A114</f>
        <v>0</v>
      </c>
      <c r="B114" s="37" t="n">
        <f aca="false">'Itens de Contrato'!B114</f>
        <v>0</v>
      </c>
      <c r="C114" s="71" t="e">
        <f aca="false">VLOOKUP(B114,'Itens de Contrato'!B$5:G$151,2,0)</f>
        <v>#N/A</v>
      </c>
      <c r="D114" s="52"/>
      <c r="E114" s="54" t="n">
        <f aca="false">D114*'Itens de Contrato'!F114</f>
        <v>0</v>
      </c>
      <c r="F114" s="74" t="n">
        <f aca="false">'Itens de Contrato'!E114</f>
        <v>0</v>
      </c>
      <c r="G114" s="52"/>
      <c r="H114" s="68" t="e">
        <f aca="false">G114/D114</f>
        <v>#DIV/0!</v>
      </c>
      <c r="I114" s="63" t="n">
        <f aca="false">G114*'Itens de Contrato'!F114</f>
        <v>0</v>
      </c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</row>
    <row r="115" customFormat="false" ht="12.8" hidden="false" customHeight="false" outlineLevel="0" collapsed="false">
      <c r="A115" s="37" t="n">
        <f aca="false">'Itens de Contrato'!A115</f>
        <v>0</v>
      </c>
      <c r="B115" s="37" t="n">
        <f aca="false">'Itens de Contrato'!B115</f>
        <v>0</v>
      </c>
      <c r="C115" s="71" t="e">
        <f aca="false">VLOOKUP(B115,'Itens de Contrato'!B$5:G$151,2,0)</f>
        <v>#N/A</v>
      </c>
      <c r="D115" s="52"/>
      <c r="E115" s="54" t="n">
        <f aca="false">D115*'Itens de Contrato'!F115</f>
        <v>0</v>
      </c>
      <c r="F115" s="74" t="n">
        <f aca="false">'Itens de Contrato'!E115</f>
        <v>0</v>
      </c>
      <c r="G115" s="52"/>
      <c r="H115" s="68" t="e">
        <f aca="false">G115/D115</f>
        <v>#DIV/0!</v>
      </c>
      <c r="I115" s="63" t="n">
        <f aca="false">G115*'Itens de Contrato'!F115</f>
        <v>0</v>
      </c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</row>
    <row r="116" customFormat="false" ht="12.8" hidden="false" customHeight="false" outlineLevel="0" collapsed="false">
      <c r="A116" s="37" t="n">
        <f aca="false">'Itens de Contrato'!A116</f>
        <v>0</v>
      </c>
      <c r="B116" s="37" t="n">
        <f aca="false">'Itens de Contrato'!B116</f>
        <v>0</v>
      </c>
      <c r="C116" s="71" t="e">
        <f aca="false">VLOOKUP(B116,'Itens de Contrato'!B$5:G$151,2,0)</f>
        <v>#N/A</v>
      </c>
      <c r="D116" s="52"/>
      <c r="E116" s="54" t="n">
        <f aca="false">D116*'Itens de Contrato'!F116</f>
        <v>0</v>
      </c>
      <c r="F116" s="74" t="n">
        <f aca="false">'Itens de Contrato'!E116</f>
        <v>0</v>
      </c>
      <c r="G116" s="52"/>
      <c r="H116" s="68" t="e">
        <f aca="false">G116/D116</f>
        <v>#DIV/0!</v>
      </c>
      <c r="I116" s="63" t="n">
        <f aca="false">G116*'Itens de Contrato'!F116</f>
        <v>0</v>
      </c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</row>
    <row r="117" customFormat="false" ht="12.8" hidden="false" customHeight="false" outlineLevel="0" collapsed="false">
      <c r="A117" s="37" t="n">
        <f aca="false">'Itens de Contrato'!A117</f>
        <v>0</v>
      </c>
      <c r="B117" s="37" t="n">
        <f aca="false">'Itens de Contrato'!B117</f>
        <v>0</v>
      </c>
      <c r="C117" s="71" t="e">
        <f aca="false">VLOOKUP(B117,'Itens de Contrato'!B$5:G$151,2,0)</f>
        <v>#N/A</v>
      </c>
      <c r="D117" s="52"/>
      <c r="E117" s="54" t="n">
        <f aca="false">D117*'Itens de Contrato'!F117</f>
        <v>0</v>
      </c>
      <c r="F117" s="74" t="n">
        <f aca="false">'Itens de Contrato'!E117</f>
        <v>0</v>
      </c>
      <c r="G117" s="52"/>
      <c r="H117" s="68" t="e">
        <f aca="false">G117/D117</f>
        <v>#DIV/0!</v>
      </c>
      <c r="I117" s="63" t="n">
        <f aca="false">G117*'Itens de Contrato'!F117</f>
        <v>0</v>
      </c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</row>
    <row r="118" customFormat="false" ht="12.8" hidden="false" customHeight="false" outlineLevel="0" collapsed="false">
      <c r="A118" s="37" t="n">
        <f aca="false">'Itens de Contrato'!A118</f>
        <v>0</v>
      </c>
      <c r="B118" s="37" t="n">
        <f aca="false">'Itens de Contrato'!B118</f>
        <v>0</v>
      </c>
      <c r="C118" s="71" t="e">
        <f aca="false">VLOOKUP(B118,'Itens de Contrato'!B$5:G$151,2,0)</f>
        <v>#N/A</v>
      </c>
      <c r="D118" s="52"/>
      <c r="E118" s="54" t="n">
        <f aca="false">D118*'Itens de Contrato'!F118</f>
        <v>0</v>
      </c>
      <c r="F118" s="74" t="n">
        <f aca="false">'Itens de Contrato'!E118</f>
        <v>0</v>
      </c>
      <c r="G118" s="52"/>
      <c r="H118" s="68" t="e">
        <f aca="false">G118/D118</f>
        <v>#DIV/0!</v>
      </c>
      <c r="I118" s="63" t="n">
        <f aca="false">G118*'Itens de Contrato'!F118</f>
        <v>0</v>
      </c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</row>
    <row r="119" customFormat="false" ht="12.8" hidden="false" customHeight="false" outlineLevel="0" collapsed="false">
      <c r="A119" s="37" t="n">
        <f aca="false">'Itens de Contrato'!A119</f>
        <v>0</v>
      </c>
      <c r="B119" s="37" t="n">
        <f aca="false">'Itens de Contrato'!B119</f>
        <v>0</v>
      </c>
      <c r="C119" s="71" t="e">
        <f aca="false">VLOOKUP(B119,'Itens de Contrato'!B$5:G$151,2,0)</f>
        <v>#N/A</v>
      </c>
      <c r="D119" s="52"/>
      <c r="E119" s="54" t="n">
        <f aca="false">D119*'Itens de Contrato'!F119</f>
        <v>0</v>
      </c>
      <c r="F119" s="74" t="n">
        <f aca="false">'Itens de Contrato'!E119</f>
        <v>0</v>
      </c>
      <c r="G119" s="52"/>
      <c r="H119" s="68" t="e">
        <f aca="false">G119/D119</f>
        <v>#DIV/0!</v>
      </c>
      <c r="I119" s="63" t="n">
        <f aca="false">G119*'Itens de Contrato'!F119</f>
        <v>0</v>
      </c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</row>
    <row r="120" customFormat="false" ht="12.8" hidden="false" customHeight="false" outlineLevel="0" collapsed="false">
      <c r="A120" s="37" t="n">
        <f aca="false">'Itens de Contrato'!A120</f>
        <v>0</v>
      </c>
      <c r="B120" s="37" t="n">
        <f aca="false">'Itens de Contrato'!B120</f>
        <v>0</v>
      </c>
      <c r="C120" s="71" t="e">
        <f aca="false">VLOOKUP(B120,'Itens de Contrato'!B$5:G$151,2,0)</f>
        <v>#N/A</v>
      </c>
      <c r="D120" s="52"/>
      <c r="E120" s="54" t="n">
        <f aca="false">D120*'Itens de Contrato'!F120</f>
        <v>0</v>
      </c>
      <c r="F120" s="74" t="n">
        <f aca="false">'Itens de Contrato'!E120</f>
        <v>0</v>
      </c>
      <c r="G120" s="52"/>
      <c r="H120" s="68" t="e">
        <f aca="false">G120/D120</f>
        <v>#DIV/0!</v>
      </c>
      <c r="I120" s="63" t="n">
        <f aca="false">G120*'Itens de Contrato'!F120</f>
        <v>0</v>
      </c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</row>
    <row r="121" customFormat="false" ht="12.8" hidden="false" customHeight="false" outlineLevel="0" collapsed="false">
      <c r="A121" s="37" t="n">
        <f aca="false">'Itens de Contrato'!A121</f>
        <v>0</v>
      </c>
      <c r="B121" s="37" t="n">
        <f aca="false">'Itens de Contrato'!B121</f>
        <v>0</v>
      </c>
      <c r="C121" s="71" t="e">
        <f aca="false">VLOOKUP(B121,'Itens de Contrato'!B$5:G$151,2,0)</f>
        <v>#N/A</v>
      </c>
      <c r="D121" s="52"/>
      <c r="E121" s="54" t="n">
        <f aca="false">D121*'Itens de Contrato'!F121</f>
        <v>0</v>
      </c>
      <c r="F121" s="74" t="n">
        <f aca="false">'Itens de Contrato'!E121</f>
        <v>0</v>
      </c>
      <c r="G121" s="52"/>
      <c r="H121" s="68" t="e">
        <f aca="false">G121/D121</f>
        <v>#DIV/0!</v>
      </c>
      <c r="I121" s="63" t="n">
        <f aca="false">G121*'Itens de Contrato'!F121</f>
        <v>0</v>
      </c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</row>
    <row r="122" customFormat="false" ht="12.8" hidden="false" customHeight="false" outlineLevel="0" collapsed="false">
      <c r="A122" s="37" t="n">
        <f aca="false">'Itens de Contrato'!A122</f>
        <v>0</v>
      </c>
      <c r="B122" s="37" t="n">
        <f aca="false">'Itens de Contrato'!B122</f>
        <v>0</v>
      </c>
      <c r="C122" s="71" t="e">
        <f aca="false">VLOOKUP(B122,'Itens de Contrato'!B$5:G$151,2,0)</f>
        <v>#N/A</v>
      </c>
      <c r="D122" s="52"/>
      <c r="E122" s="54" t="n">
        <f aca="false">D122*'Itens de Contrato'!F122</f>
        <v>0</v>
      </c>
      <c r="F122" s="74" t="n">
        <f aca="false">'Itens de Contrato'!E122</f>
        <v>0</v>
      </c>
      <c r="G122" s="52"/>
      <c r="H122" s="68" t="e">
        <f aca="false">G122/D122</f>
        <v>#DIV/0!</v>
      </c>
      <c r="I122" s="63" t="n">
        <f aca="false">G122*'Itens de Contrato'!F122</f>
        <v>0</v>
      </c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</row>
    <row r="123" customFormat="false" ht="12.8" hidden="false" customHeight="false" outlineLevel="0" collapsed="false">
      <c r="A123" s="37" t="n">
        <f aca="false">'Itens de Contrato'!A123</f>
        <v>0</v>
      </c>
      <c r="B123" s="37" t="n">
        <f aca="false">'Itens de Contrato'!B123</f>
        <v>0</v>
      </c>
      <c r="C123" s="71" t="e">
        <f aca="false">VLOOKUP(B123,'Itens de Contrato'!B$5:G$151,2,0)</f>
        <v>#N/A</v>
      </c>
      <c r="D123" s="52"/>
      <c r="E123" s="54" t="n">
        <f aca="false">D123*'Itens de Contrato'!F123</f>
        <v>0</v>
      </c>
      <c r="F123" s="74" t="n">
        <f aca="false">'Itens de Contrato'!E123</f>
        <v>0</v>
      </c>
      <c r="G123" s="52"/>
      <c r="H123" s="68" t="e">
        <f aca="false">G123/D123</f>
        <v>#DIV/0!</v>
      </c>
      <c r="I123" s="63" t="n">
        <f aca="false">G123*'Itens de Contrato'!F123</f>
        <v>0</v>
      </c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</row>
    <row r="124" customFormat="false" ht="12.8" hidden="false" customHeight="false" outlineLevel="0" collapsed="false">
      <c r="A124" s="37" t="n">
        <f aca="false">'Itens de Contrato'!A124</f>
        <v>0</v>
      </c>
      <c r="B124" s="37" t="n">
        <f aca="false">'Itens de Contrato'!B124</f>
        <v>0</v>
      </c>
      <c r="C124" s="71" t="e">
        <f aca="false">VLOOKUP(B124,'Itens de Contrato'!B$5:G$151,2,0)</f>
        <v>#N/A</v>
      </c>
      <c r="D124" s="52"/>
      <c r="E124" s="54" t="n">
        <f aca="false">D124*'Itens de Contrato'!F124</f>
        <v>0</v>
      </c>
      <c r="F124" s="74" t="n">
        <f aca="false">'Itens de Contrato'!E124</f>
        <v>0</v>
      </c>
      <c r="G124" s="52"/>
      <c r="H124" s="68" t="e">
        <f aca="false">G124/D124</f>
        <v>#DIV/0!</v>
      </c>
      <c r="I124" s="63" t="n">
        <f aca="false">G124*'Itens de Contrato'!F124</f>
        <v>0</v>
      </c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</row>
    <row r="125" customFormat="false" ht="12.8" hidden="false" customHeight="false" outlineLevel="0" collapsed="false">
      <c r="A125" s="37" t="n">
        <f aca="false">'Itens de Contrato'!A125</f>
        <v>0</v>
      </c>
      <c r="B125" s="37" t="n">
        <f aca="false">'Itens de Contrato'!B125</f>
        <v>0</v>
      </c>
      <c r="C125" s="71" t="e">
        <f aca="false">VLOOKUP(B125,'Itens de Contrato'!B$5:G$151,2,0)</f>
        <v>#N/A</v>
      </c>
      <c r="D125" s="52"/>
      <c r="E125" s="54" t="n">
        <f aca="false">D125*'Itens de Contrato'!F125</f>
        <v>0</v>
      </c>
      <c r="F125" s="74" t="n">
        <f aca="false">'Itens de Contrato'!E125</f>
        <v>0</v>
      </c>
      <c r="G125" s="52"/>
      <c r="H125" s="68" t="e">
        <f aca="false">G125/D125</f>
        <v>#DIV/0!</v>
      </c>
      <c r="I125" s="63" t="n">
        <f aca="false">G125*'Itens de Contrato'!F125</f>
        <v>0</v>
      </c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</row>
    <row r="126" customFormat="false" ht="12.8" hidden="false" customHeight="false" outlineLevel="0" collapsed="false">
      <c r="A126" s="37" t="n">
        <f aca="false">'Itens de Contrato'!A126</f>
        <v>0</v>
      </c>
      <c r="B126" s="37" t="n">
        <f aca="false">'Itens de Contrato'!B126</f>
        <v>0</v>
      </c>
      <c r="C126" s="71" t="e">
        <f aca="false">VLOOKUP(B126,'Itens de Contrato'!B$5:G$151,2,0)</f>
        <v>#N/A</v>
      </c>
      <c r="D126" s="52"/>
      <c r="E126" s="54" t="n">
        <f aca="false">D126*'Itens de Contrato'!F126</f>
        <v>0</v>
      </c>
      <c r="F126" s="74" t="n">
        <f aca="false">'Itens de Contrato'!E126</f>
        <v>0</v>
      </c>
      <c r="G126" s="52"/>
      <c r="H126" s="68" t="e">
        <f aca="false">G126/D126</f>
        <v>#DIV/0!</v>
      </c>
      <c r="I126" s="63" t="n">
        <f aca="false">G126*'Itens de Contrato'!F126</f>
        <v>0</v>
      </c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</row>
    <row r="127" customFormat="false" ht="12.8" hidden="false" customHeight="false" outlineLevel="0" collapsed="false">
      <c r="A127" s="37" t="n">
        <f aca="false">'Itens de Contrato'!A127</f>
        <v>0</v>
      </c>
      <c r="B127" s="37" t="n">
        <f aca="false">'Itens de Contrato'!B127</f>
        <v>0</v>
      </c>
      <c r="C127" s="71" t="e">
        <f aca="false">VLOOKUP(B127,'Itens de Contrato'!B$5:G$151,2,0)</f>
        <v>#N/A</v>
      </c>
      <c r="D127" s="52"/>
      <c r="E127" s="54" t="n">
        <f aca="false">D127*'Itens de Contrato'!F127</f>
        <v>0</v>
      </c>
      <c r="F127" s="74" t="n">
        <f aca="false">'Itens de Contrato'!E127</f>
        <v>0</v>
      </c>
      <c r="G127" s="52"/>
      <c r="H127" s="68" t="e">
        <f aca="false">G127/D127</f>
        <v>#DIV/0!</v>
      </c>
      <c r="I127" s="63" t="n">
        <f aca="false">G127*'Itens de Contrato'!F127</f>
        <v>0</v>
      </c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</row>
    <row r="128" customFormat="false" ht="12.8" hidden="false" customHeight="false" outlineLevel="0" collapsed="false">
      <c r="A128" s="37" t="n">
        <f aca="false">'Itens de Contrato'!A128</f>
        <v>0</v>
      </c>
      <c r="B128" s="37" t="n">
        <f aca="false">'Itens de Contrato'!B128</f>
        <v>0</v>
      </c>
      <c r="C128" s="71" t="e">
        <f aca="false">VLOOKUP(B128,'Itens de Contrato'!B$5:G$151,2,0)</f>
        <v>#N/A</v>
      </c>
      <c r="D128" s="52"/>
      <c r="E128" s="54" t="n">
        <f aca="false">D128*'Itens de Contrato'!F128</f>
        <v>0</v>
      </c>
      <c r="F128" s="74" t="n">
        <f aca="false">'Itens de Contrato'!E128</f>
        <v>0</v>
      </c>
      <c r="G128" s="52"/>
      <c r="H128" s="68" t="e">
        <f aca="false">G128/D128</f>
        <v>#DIV/0!</v>
      </c>
      <c r="I128" s="63" t="n">
        <f aca="false">G128*'Itens de Contrato'!F128</f>
        <v>0</v>
      </c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</row>
    <row r="129" customFormat="false" ht="12.8" hidden="false" customHeight="false" outlineLevel="0" collapsed="false">
      <c r="A129" s="37" t="n">
        <f aca="false">'Itens de Contrato'!A129</f>
        <v>0</v>
      </c>
      <c r="B129" s="37" t="n">
        <f aca="false">'Itens de Contrato'!B129</f>
        <v>0</v>
      </c>
      <c r="C129" s="71" t="e">
        <f aca="false">VLOOKUP(B129,'Itens de Contrato'!B$5:G$151,2,0)</f>
        <v>#N/A</v>
      </c>
      <c r="D129" s="52"/>
      <c r="E129" s="54" t="n">
        <f aca="false">D129*'Itens de Contrato'!F129</f>
        <v>0</v>
      </c>
      <c r="F129" s="74" t="n">
        <f aca="false">'Itens de Contrato'!E129</f>
        <v>0</v>
      </c>
      <c r="G129" s="52"/>
      <c r="H129" s="68" t="e">
        <f aca="false">G129/D129</f>
        <v>#DIV/0!</v>
      </c>
      <c r="I129" s="63" t="n">
        <f aca="false">G129*'Itens de Contrato'!F129</f>
        <v>0</v>
      </c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</row>
    <row r="130" customFormat="false" ht="12.8" hidden="false" customHeight="false" outlineLevel="0" collapsed="false">
      <c r="A130" s="37" t="n">
        <f aca="false">'Itens de Contrato'!A130</f>
        <v>0</v>
      </c>
      <c r="B130" s="37" t="n">
        <f aca="false">'Itens de Contrato'!B130</f>
        <v>0</v>
      </c>
      <c r="C130" s="71" t="e">
        <f aca="false">VLOOKUP(B130,'Itens de Contrato'!B$5:G$151,2,0)</f>
        <v>#N/A</v>
      </c>
      <c r="D130" s="52"/>
      <c r="E130" s="54" t="n">
        <f aca="false">D130*'Itens de Contrato'!F130</f>
        <v>0</v>
      </c>
      <c r="F130" s="74" t="n">
        <f aca="false">'Itens de Contrato'!E130</f>
        <v>0</v>
      </c>
      <c r="G130" s="52"/>
      <c r="H130" s="68" t="e">
        <f aca="false">G130/D130</f>
        <v>#DIV/0!</v>
      </c>
      <c r="I130" s="63" t="n">
        <f aca="false">G130*'Itens de Contrato'!F130</f>
        <v>0</v>
      </c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</row>
    <row r="131" customFormat="false" ht="12.8" hidden="false" customHeight="false" outlineLevel="0" collapsed="false">
      <c r="A131" s="37" t="n">
        <f aca="false">'Itens de Contrato'!A131</f>
        <v>0</v>
      </c>
      <c r="B131" s="37" t="n">
        <f aca="false">'Itens de Contrato'!B131</f>
        <v>0</v>
      </c>
      <c r="C131" s="71" t="e">
        <f aca="false">VLOOKUP(B131,'Itens de Contrato'!B$5:G$151,2,0)</f>
        <v>#N/A</v>
      </c>
      <c r="D131" s="52"/>
      <c r="E131" s="54" t="n">
        <f aca="false">D131*'Itens de Contrato'!F131</f>
        <v>0</v>
      </c>
      <c r="F131" s="74" t="n">
        <f aca="false">'Itens de Contrato'!E131</f>
        <v>0</v>
      </c>
      <c r="G131" s="52"/>
      <c r="H131" s="68" t="e">
        <f aca="false">G131/D131</f>
        <v>#DIV/0!</v>
      </c>
      <c r="I131" s="63" t="n">
        <f aca="false">G131*'Itens de Contrato'!F131</f>
        <v>0</v>
      </c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</row>
    <row r="132" customFormat="false" ht="12.8" hidden="false" customHeight="false" outlineLevel="0" collapsed="false">
      <c r="A132" s="37" t="n">
        <f aca="false">'Itens de Contrato'!A132</f>
        <v>0</v>
      </c>
      <c r="B132" s="37" t="n">
        <f aca="false">'Itens de Contrato'!B132</f>
        <v>0</v>
      </c>
      <c r="C132" s="71" t="e">
        <f aca="false">VLOOKUP(B132,'Itens de Contrato'!B$5:G$151,2,0)</f>
        <v>#N/A</v>
      </c>
      <c r="D132" s="52"/>
      <c r="E132" s="54" t="n">
        <f aca="false">D132*'Itens de Contrato'!F132</f>
        <v>0</v>
      </c>
      <c r="F132" s="74" t="n">
        <f aca="false">'Itens de Contrato'!E132</f>
        <v>0</v>
      </c>
      <c r="G132" s="52"/>
      <c r="H132" s="68" t="e">
        <f aca="false">G132/D132</f>
        <v>#DIV/0!</v>
      </c>
      <c r="I132" s="63" t="n">
        <f aca="false">G132*'Itens de Contrato'!F132</f>
        <v>0</v>
      </c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</row>
    <row r="133" customFormat="false" ht="12.8" hidden="false" customHeight="false" outlineLevel="0" collapsed="false">
      <c r="A133" s="37" t="n">
        <f aca="false">'Itens de Contrato'!A133</f>
        <v>0</v>
      </c>
      <c r="B133" s="37" t="n">
        <f aca="false">'Itens de Contrato'!B133</f>
        <v>0</v>
      </c>
      <c r="C133" s="71" t="e">
        <f aca="false">VLOOKUP(B133,'Itens de Contrato'!B$5:G$151,2,0)</f>
        <v>#N/A</v>
      </c>
      <c r="D133" s="52"/>
      <c r="E133" s="54" t="n">
        <f aca="false">D133*'Itens de Contrato'!F133</f>
        <v>0</v>
      </c>
      <c r="F133" s="74" t="n">
        <f aca="false">'Itens de Contrato'!E133</f>
        <v>0</v>
      </c>
      <c r="G133" s="52"/>
      <c r="H133" s="68" t="e">
        <f aca="false">G133/D133</f>
        <v>#DIV/0!</v>
      </c>
      <c r="I133" s="63" t="n">
        <f aca="false">G133*'Itens de Contrato'!F133</f>
        <v>0</v>
      </c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</row>
    <row r="134" customFormat="false" ht="12.8" hidden="false" customHeight="false" outlineLevel="0" collapsed="false">
      <c r="A134" s="37" t="n">
        <f aca="false">'Itens de Contrato'!A134</f>
        <v>0</v>
      </c>
      <c r="B134" s="37" t="n">
        <f aca="false">'Itens de Contrato'!B134</f>
        <v>0</v>
      </c>
      <c r="C134" s="71" t="e">
        <f aca="false">VLOOKUP(B134,'Itens de Contrato'!B$5:G$151,2,0)</f>
        <v>#N/A</v>
      </c>
      <c r="D134" s="52"/>
      <c r="E134" s="54" t="n">
        <f aca="false">D134*'Itens de Contrato'!F134</f>
        <v>0</v>
      </c>
      <c r="F134" s="74" t="n">
        <f aca="false">'Itens de Contrato'!E134</f>
        <v>0</v>
      </c>
      <c r="G134" s="52"/>
      <c r="H134" s="68" t="e">
        <f aca="false">G134/D134</f>
        <v>#DIV/0!</v>
      </c>
      <c r="I134" s="63" t="n">
        <f aca="false">G134*'Itens de Contrato'!F134</f>
        <v>0</v>
      </c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</row>
    <row r="135" customFormat="false" ht="12.8" hidden="false" customHeight="false" outlineLevel="0" collapsed="false">
      <c r="A135" s="37" t="n">
        <f aca="false">'Itens de Contrato'!A135</f>
        <v>0</v>
      </c>
      <c r="B135" s="37" t="n">
        <f aca="false">'Itens de Contrato'!B135</f>
        <v>0</v>
      </c>
      <c r="C135" s="71" t="e">
        <f aca="false">VLOOKUP(B135,'Itens de Contrato'!B$5:G$151,2,0)</f>
        <v>#N/A</v>
      </c>
      <c r="D135" s="52"/>
      <c r="E135" s="54" t="n">
        <f aca="false">D135*'Itens de Contrato'!F135</f>
        <v>0</v>
      </c>
      <c r="F135" s="74" t="n">
        <f aca="false">'Itens de Contrato'!E135</f>
        <v>0</v>
      </c>
      <c r="G135" s="52"/>
      <c r="H135" s="68" t="e">
        <f aca="false">G135/D135</f>
        <v>#DIV/0!</v>
      </c>
      <c r="I135" s="63" t="n">
        <f aca="false">G135*'Itens de Contrato'!F135</f>
        <v>0</v>
      </c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</row>
    <row r="136" customFormat="false" ht="12.8" hidden="false" customHeight="false" outlineLevel="0" collapsed="false">
      <c r="A136" s="37" t="n">
        <f aca="false">'Itens de Contrato'!A136</f>
        <v>0</v>
      </c>
      <c r="B136" s="37" t="n">
        <f aca="false">'Itens de Contrato'!B136</f>
        <v>0</v>
      </c>
      <c r="C136" s="71" t="e">
        <f aca="false">VLOOKUP(B136,'Itens de Contrato'!B$5:G$151,2,0)</f>
        <v>#N/A</v>
      </c>
      <c r="D136" s="52"/>
      <c r="E136" s="54" t="n">
        <f aca="false">D136*'Itens de Contrato'!F136</f>
        <v>0</v>
      </c>
      <c r="F136" s="74" t="n">
        <f aca="false">'Itens de Contrato'!E136</f>
        <v>0</v>
      </c>
      <c r="G136" s="52"/>
      <c r="H136" s="68" t="e">
        <f aca="false">G136/D136</f>
        <v>#DIV/0!</v>
      </c>
      <c r="I136" s="63" t="n">
        <f aca="false">G136*'Itens de Contrato'!F136</f>
        <v>0</v>
      </c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</row>
    <row r="137" customFormat="false" ht="12.8" hidden="false" customHeight="false" outlineLevel="0" collapsed="false">
      <c r="A137" s="37" t="n">
        <f aca="false">'Itens de Contrato'!A137</f>
        <v>0</v>
      </c>
      <c r="B137" s="37" t="n">
        <f aca="false">'Itens de Contrato'!B137</f>
        <v>0</v>
      </c>
      <c r="C137" s="71" t="e">
        <f aca="false">VLOOKUP(B137,'Itens de Contrato'!B$5:G$151,2,0)</f>
        <v>#N/A</v>
      </c>
      <c r="D137" s="52"/>
      <c r="E137" s="54" t="n">
        <f aca="false">D137*'Itens de Contrato'!F137</f>
        <v>0</v>
      </c>
      <c r="F137" s="74" t="n">
        <f aca="false">'Itens de Contrato'!E137</f>
        <v>0</v>
      </c>
      <c r="G137" s="52"/>
      <c r="H137" s="68" t="e">
        <f aca="false">G137/D137</f>
        <v>#DIV/0!</v>
      </c>
      <c r="I137" s="63" t="n">
        <f aca="false">G137*'Itens de Contrato'!F137</f>
        <v>0</v>
      </c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</row>
    <row r="138" customFormat="false" ht="12.8" hidden="false" customHeight="false" outlineLevel="0" collapsed="false">
      <c r="A138" s="37" t="n">
        <f aca="false">'Itens de Contrato'!A138</f>
        <v>0</v>
      </c>
      <c r="B138" s="37" t="n">
        <f aca="false">'Itens de Contrato'!B138</f>
        <v>0</v>
      </c>
      <c r="C138" s="71" t="e">
        <f aca="false">VLOOKUP(B138,'Itens de Contrato'!B$5:G$151,2,0)</f>
        <v>#N/A</v>
      </c>
      <c r="D138" s="52"/>
      <c r="E138" s="54" t="n">
        <f aca="false">D138*'Itens de Contrato'!F138</f>
        <v>0</v>
      </c>
      <c r="F138" s="74" t="n">
        <f aca="false">'Itens de Contrato'!E138</f>
        <v>0</v>
      </c>
      <c r="G138" s="52"/>
      <c r="H138" s="68" t="e">
        <f aca="false">G138/D138</f>
        <v>#DIV/0!</v>
      </c>
      <c r="I138" s="63" t="n">
        <f aca="false">G138*'Itens de Contrato'!F138</f>
        <v>0</v>
      </c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</row>
    <row r="139" customFormat="false" ht="12.8" hidden="false" customHeight="false" outlineLevel="0" collapsed="false">
      <c r="A139" s="37" t="n">
        <f aca="false">'Itens de Contrato'!A139</f>
        <v>0</v>
      </c>
      <c r="B139" s="37" t="n">
        <f aca="false">'Itens de Contrato'!B139</f>
        <v>0</v>
      </c>
      <c r="C139" s="71" t="e">
        <f aca="false">VLOOKUP(B139,'Itens de Contrato'!B$5:G$151,2,0)</f>
        <v>#N/A</v>
      </c>
      <c r="D139" s="52"/>
      <c r="E139" s="54" t="n">
        <f aca="false">D139*'Itens de Contrato'!F139</f>
        <v>0</v>
      </c>
      <c r="F139" s="74" t="n">
        <f aca="false">'Itens de Contrato'!E139</f>
        <v>0</v>
      </c>
      <c r="G139" s="52"/>
      <c r="H139" s="68" t="e">
        <f aca="false">G139/D139</f>
        <v>#DIV/0!</v>
      </c>
      <c r="I139" s="63" t="n">
        <f aca="false">G139*'Itens de Contrato'!F139</f>
        <v>0</v>
      </c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</row>
    <row r="140" customFormat="false" ht="12.8" hidden="false" customHeight="false" outlineLevel="0" collapsed="false">
      <c r="A140" s="37" t="n">
        <f aca="false">'Itens de Contrato'!A140</f>
        <v>0</v>
      </c>
      <c r="B140" s="37" t="n">
        <f aca="false">'Itens de Contrato'!B140</f>
        <v>0</v>
      </c>
      <c r="C140" s="71" t="e">
        <f aca="false">VLOOKUP(B140,'Itens de Contrato'!B$5:G$151,2,0)</f>
        <v>#N/A</v>
      </c>
      <c r="D140" s="52"/>
      <c r="E140" s="54" t="n">
        <f aca="false">D140*'Itens de Contrato'!F140</f>
        <v>0</v>
      </c>
      <c r="F140" s="74" t="n">
        <f aca="false">'Itens de Contrato'!E140</f>
        <v>0</v>
      </c>
      <c r="G140" s="52"/>
      <c r="H140" s="68" t="e">
        <f aca="false">G140/D140</f>
        <v>#DIV/0!</v>
      </c>
      <c r="I140" s="63" t="n">
        <f aca="false">G140*'Itens de Contrato'!F140</f>
        <v>0</v>
      </c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</row>
    <row r="141" customFormat="false" ht="12.8" hidden="false" customHeight="false" outlineLevel="0" collapsed="false">
      <c r="A141" s="37" t="n">
        <f aca="false">'Itens de Contrato'!A141</f>
        <v>0</v>
      </c>
      <c r="B141" s="37" t="n">
        <f aca="false">'Itens de Contrato'!B141</f>
        <v>0</v>
      </c>
      <c r="C141" s="71" t="e">
        <f aca="false">VLOOKUP(B141,'Itens de Contrato'!B$5:G$151,2,0)</f>
        <v>#N/A</v>
      </c>
      <c r="D141" s="52"/>
      <c r="E141" s="54" t="n">
        <f aca="false">D141*'Itens de Contrato'!F141</f>
        <v>0</v>
      </c>
      <c r="F141" s="74" t="n">
        <f aca="false">'Itens de Contrato'!E141</f>
        <v>0</v>
      </c>
      <c r="G141" s="52"/>
      <c r="H141" s="68" t="e">
        <f aca="false">G141/D141</f>
        <v>#DIV/0!</v>
      </c>
      <c r="I141" s="63" t="n">
        <f aca="false">G141*'Itens de Contrato'!F141</f>
        <v>0</v>
      </c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</row>
    <row r="142" customFormat="false" ht="12.8" hidden="false" customHeight="false" outlineLevel="0" collapsed="false">
      <c r="A142" s="37" t="n">
        <f aca="false">'Itens de Contrato'!A142</f>
        <v>0</v>
      </c>
      <c r="B142" s="37" t="n">
        <f aca="false">'Itens de Contrato'!B142</f>
        <v>0</v>
      </c>
      <c r="C142" s="71" t="e">
        <f aca="false">VLOOKUP(B142,'Itens de Contrato'!B$5:G$151,2,0)</f>
        <v>#N/A</v>
      </c>
      <c r="D142" s="52"/>
      <c r="E142" s="54" t="n">
        <f aca="false">D142*'Itens de Contrato'!F142</f>
        <v>0</v>
      </c>
      <c r="F142" s="74" t="n">
        <f aca="false">'Itens de Contrato'!E142</f>
        <v>0</v>
      </c>
      <c r="G142" s="52"/>
      <c r="H142" s="68" t="e">
        <f aca="false">G142/D142</f>
        <v>#DIV/0!</v>
      </c>
      <c r="I142" s="63" t="n">
        <f aca="false">G142*'Itens de Contrato'!F142</f>
        <v>0</v>
      </c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</row>
    <row r="143" customFormat="false" ht="12.8" hidden="false" customHeight="false" outlineLevel="0" collapsed="false">
      <c r="A143" s="37" t="n">
        <f aca="false">'Itens de Contrato'!A143</f>
        <v>0</v>
      </c>
      <c r="B143" s="37" t="n">
        <f aca="false">'Itens de Contrato'!B143</f>
        <v>0</v>
      </c>
      <c r="C143" s="71" t="e">
        <f aca="false">VLOOKUP(B143,'Itens de Contrato'!B$5:G$151,2,0)</f>
        <v>#N/A</v>
      </c>
      <c r="D143" s="52"/>
      <c r="E143" s="54" t="n">
        <f aca="false">D143*'Itens de Contrato'!F143</f>
        <v>0</v>
      </c>
      <c r="F143" s="74" t="n">
        <f aca="false">'Itens de Contrato'!E143</f>
        <v>0</v>
      </c>
      <c r="G143" s="52"/>
      <c r="H143" s="68" t="e">
        <f aca="false">G143/D143</f>
        <v>#DIV/0!</v>
      </c>
      <c r="I143" s="63" t="n">
        <f aca="false">G143*'Itens de Contrato'!F143</f>
        <v>0</v>
      </c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</row>
    <row r="144" customFormat="false" ht="12.8" hidden="false" customHeight="false" outlineLevel="0" collapsed="false">
      <c r="A144" s="37" t="n">
        <f aca="false">'Itens de Contrato'!A144</f>
        <v>0</v>
      </c>
      <c r="B144" s="37" t="n">
        <f aca="false">'Itens de Contrato'!B144</f>
        <v>0</v>
      </c>
      <c r="C144" s="71" t="e">
        <f aca="false">VLOOKUP(B144,'Itens de Contrato'!B$5:G$151,2,0)</f>
        <v>#N/A</v>
      </c>
      <c r="D144" s="52"/>
      <c r="E144" s="54" t="n">
        <f aca="false">D144*'Itens de Contrato'!F144</f>
        <v>0</v>
      </c>
      <c r="F144" s="74" t="n">
        <f aca="false">'Itens de Contrato'!E144</f>
        <v>0</v>
      </c>
      <c r="G144" s="52"/>
      <c r="H144" s="68" t="e">
        <f aca="false">G144/D144</f>
        <v>#DIV/0!</v>
      </c>
      <c r="I144" s="63" t="n">
        <f aca="false">G144*'Itens de Contrato'!F144</f>
        <v>0</v>
      </c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</row>
    <row r="145" customFormat="false" ht="12.8" hidden="false" customHeight="false" outlineLevel="0" collapsed="false">
      <c r="A145" s="37" t="n">
        <f aca="false">'Itens de Contrato'!A145</f>
        <v>0</v>
      </c>
      <c r="B145" s="37" t="n">
        <f aca="false">'Itens de Contrato'!B145</f>
        <v>0</v>
      </c>
      <c r="C145" s="71" t="e">
        <f aca="false">VLOOKUP(B145,'Itens de Contrato'!B$5:G$151,2,0)</f>
        <v>#N/A</v>
      </c>
      <c r="D145" s="52"/>
      <c r="E145" s="54" t="n">
        <f aca="false">D145*'Itens de Contrato'!F145</f>
        <v>0</v>
      </c>
      <c r="F145" s="74" t="n">
        <f aca="false">'Itens de Contrato'!E145</f>
        <v>0</v>
      </c>
      <c r="G145" s="52"/>
      <c r="H145" s="68" t="e">
        <f aca="false">G145/D145</f>
        <v>#DIV/0!</v>
      </c>
      <c r="I145" s="63" t="n">
        <f aca="false">G145*'Itens de Contrato'!F145</f>
        <v>0</v>
      </c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</row>
    <row r="146" customFormat="false" ht="12.8" hidden="false" customHeight="false" outlineLevel="0" collapsed="false">
      <c r="A146" s="37" t="n">
        <f aca="false">'Itens de Contrato'!A146</f>
        <v>0</v>
      </c>
      <c r="B146" s="37" t="n">
        <f aca="false">'Itens de Contrato'!B146</f>
        <v>0</v>
      </c>
      <c r="C146" s="71" t="e">
        <f aca="false">VLOOKUP(B146,'Itens de Contrato'!B$5:G$151,2,0)</f>
        <v>#N/A</v>
      </c>
      <c r="D146" s="52"/>
      <c r="E146" s="54" t="n">
        <f aca="false">D146*'Itens de Contrato'!F146</f>
        <v>0</v>
      </c>
      <c r="F146" s="74" t="n">
        <f aca="false">'Itens de Contrato'!E146</f>
        <v>0</v>
      </c>
      <c r="G146" s="52"/>
      <c r="H146" s="68" t="e">
        <f aca="false">G146/D146</f>
        <v>#DIV/0!</v>
      </c>
      <c r="I146" s="63" t="n">
        <f aca="false">G146*'Itens de Contrato'!F146</f>
        <v>0</v>
      </c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</row>
    <row r="147" customFormat="false" ht="12.8" hidden="false" customHeight="false" outlineLevel="0" collapsed="false">
      <c r="A147" s="37" t="n">
        <f aca="false">'Itens de Contrato'!A147</f>
        <v>0</v>
      </c>
      <c r="B147" s="37" t="n">
        <f aca="false">'Itens de Contrato'!B147</f>
        <v>0</v>
      </c>
      <c r="C147" s="71" t="e">
        <f aca="false">VLOOKUP(B147,'Itens de Contrato'!B$5:G$151,2,0)</f>
        <v>#N/A</v>
      </c>
      <c r="D147" s="52"/>
      <c r="E147" s="54" t="n">
        <f aca="false">D147*'Itens de Contrato'!F147</f>
        <v>0</v>
      </c>
      <c r="F147" s="74" t="n">
        <f aca="false">'Itens de Contrato'!E147</f>
        <v>0</v>
      </c>
      <c r="G147" s="52"/>
      <c r="H147" s="68" t="e">
        <f aca="false">G147/D147</f>
        <v>#DIV/0!</v>
      </c>
      <c r="I147" s="63" t="n">
        <f aca="false">G147*'Itens de Contrato'!F147</f>
        <v>0</v>
      </c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</row>
    <row r="148" customFormat="false" ht="12.8" hidden="false" customHeight="false" outlineLevel="0" collapsed="false">
      <c r="A148" s="37" t="n">
        <f aca="false">'Itens de Contrato'!A148</f>
        <v>0</v>
      </c>
      <c r="B148" s="37" t="n">
        <f aca="false">'Itens de Contrato'!B148</f>
        <v>0</v>
      </c>
      <c r="C148" s="71" t="e">
        <f aca="false">VLOOKUP(B148,'Itens de Contrato'!B$5:G$151,2,0)</f>
        <v>#N/A</v>
      </c>
      <c r="D148" s="52"/>
      <c r="E148" s="54" t="n">
        <f aca="false">D148*'Itens de Contrato'!F148</f>
        <v>0</v>
      </c>
      <c r="F148" s="74" t="n">
        <f aca="false">'Itens de Contrato'!E148</f>
        <v>0</v>
      </c>
      <c r="G148" s="52"/>
      <c r="H148" s="68" t="e">
        <f aca="false">G148/D148</f>
        <v>#DIV/0!</v>
      </c>
      <c r="I148" s="63" t="n">
        <f aca="false">G148*'Itens de Contrato'!F148</f>
        <v>0</v>
      </c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</row>
    <row r="149" customFormat="false" ht="12.8" hidden="false" customHeight="false" outlineLevel="0" collapsed="false">
      <c r="A149" s="37" t="n">
        <f aca="false">'Itens de Contrato'!A149</f>
        <v>0</v>
      </c>
      <c r="B149" s="37" t="n">
        <f aca="false">'Itens de Contrato'!B149</f>
        <v>0</v>
      </c>
      <c r="C149" s="71" t="e">
        <f aca="false">VLOOKUP(B149,'Itens de Contrato'!B$5:G$151,2,0)</f>
        <v>#N/A</v>
      </c>
      <c r="D149" s="52"/>
      <c r="E149" s="54" t="n">
        <f aca="false">D149*'Itens de Contrato'!F149</f>
        <v>0</v>
      </c>
      <c r="F149" s="74" t="n">
        <f aca="false">'Itens de Contrato'!E149</f>
        <v>0</v>
      </c>
      <c r="G149" s="52"/>
      <c r="H149" s="68" t="e">
        <f aca="false">G149/D149</f>
        <v>#DIV/0!</v>
      </c>
      <c r="I149" s="63" t="n">
        <f aca="false">G149*'Itens de Contrato'!F149</f>
        <v>0</v>
      </c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</row>
    <row r="150" customFormat="false" ht="12.8" hidden="false" customHeight="false" outlineLevel="0" collapsed="false">
      <c r="A150" s="37" t="n">
        <f aca="false">'Itens de Contrato'!A150</f>
        <v>0</v>
      </c>
      <c r="B150" s="37" t="n">
        <f aca="false">'Itens de Contrato'!B150</f>
        <v>0</v>
      </c>
      <c r="C150" s="71" t="e">
        <f aca="false">VLOOKUP(B150,'Itens de Contrato'!B$5:G$151,2,0)</f>
        <v>#N/A</v>
      </c>
      <c r="D150" s="52"/>
      <c r="E150" s="54" t="n">
        <f aca="false">D150*'Itens de Contrato'!F150</f>
        <v>0</v>
      </c>
      <c r="F150" s="74" t="n">
        <f aca="false">'Itens de Contrato'!E150</f>
        <v>0</v>
      </c>
      <c r="G150" s="52"/>
      <c r="H150" s="68" t="e">
        <f aca="false">G150/D150</f>
        <v>#DIV/0!</v>
      </c>
      <c r="I150" s="63" t="n">
        <f aca="false">G150*'Itens de Contrato'!F150</f>
        <v>0</v>
      </c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</row>
    <row r="151" customFormat="false" ht="12.8" hidden="false" customHeight="false" outlineLevel="0" collapsed="false">
      <c r="A151" s="37" t="n">
        <f aca="false">'Itens de Contrato'!A151</f>
        <v>0</v>
      </c>
      <c r="B151" s="37" t="n">
        <f aca="false">'Itens de Contrato'!B151</f>
        <v>0</v>
      </c>
      <c r="C151" s="71" t="e">
        <f aca="false">VLOOKUP(B151,'Itens de Contrato'!B$5:G$151,2,0)</f>
        <v>#N/A</v>
      </c>
      <c r="D151" s="52"/>
      <c r="E151" s="54" t="n">
        <f aca="false">D151*'Itens de Contrato'!F151</f>
        <v>0</v>
      </c>
      <c r="F151" s="74" t="n">
        <f aca="false">'Itens de Contrato'!E151</f>
        <v>0</v>
      </c>
      <c r="G151" s="52"/>
      <c r="H151" s="68" t="e">
        <f aca="false">G151/D151</f>
        <v>#DIV/0!</v>
      </c>
      <c r="I151" s="63" t="n">
        <f aca="false">G151*'Itens de Contrato'!F151</f>
        <v>0</v>
      </c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</row>
    <row r="152" customFormat="false" ht="12.75" hidden="false" customHeight="false" outlineLevel="0" collapsed="false"/>
    <row r="153" customFormat="false" ht="12.75" hidden="false" customHeight="false" outlineLevel="0" collapsed="false"/>
    <row r="154" customFormat="false" ht="12.75" hidden="false" customHeight="false" outlineLevel="0" collapsed="false"/>
    <row r="155" customFormat="false" ht="12.75" hidden="false" customHeight="false" outlineLevel="0" collapsed="false"/>
    <row r="156" customFormat="false" ht="12.75" hidden="false" customHeight="false" outlineLevel="0" collapsed="false"/>
    <row r="157" customFormat="false" ht="12.75" hidden="false" customHeight="false" outlineLevel="0" collapsed="false"/>
    <row r="158" customFormat="false" ht="12.75" hidden="false" customHeight="false" outlineLevel="0" collapsed="false"/>
    <row r="159" customFormat="false" ht="12.75" hidden="false" customHeight="false" outlineLevel="0" collapsed="false"/>
    <row r="160" customFormat="false" ht="12.75" hidden="false" customHeight="false" outlineLevel="0" collapsed="false"/>
    <row r="161" customFormat="false" ht="12.75" hidden="false" customHeight="false" outlineLevel="0" collapsed="false"/>
    <row r="162" customFormat="false" ht="12.75" hidden="false" customHeight="false" outlineLevel="0" collapsed="false"/>
    <row r="163" customFormat="false" ht="12.75" hidden="false" customHeight="false" outlineLevel="0" collapsed="false"/>
    <row r="164" customFormat="false" ht="12.75" hidden="false" customHeight="false" outlineLevel="0" collapsed="false"/>
    <row r="165" customFormat="false" ht="12.75" hidden="false" customHeight="false" outlineLevel="0" collapsed="false"/>
    <row r="166" customFormat="false" ht="12.75" hidden="false" customHeight="false" outlineLevel="0" collapsed="false"/>
    <row r="167" customFormat="false" ht="12.75" hidden="false" customHeight="false" outlineLevel="0" collapsed="false"/>
    <row r="168" customFormat="false" ht="12.75" hidden="false" customHeight="false" outlineLevel="0" collapsed="false"/>
    <row r="169" customFormat="false" ht="12.75" hidden="false" customHeight="false" outlineLevel="0" collapsed="false"/>
    <row r="170" customFormat="false" ht="12.75" hidden="false" customHeight="false" outlineLevel="0" collapsed="false"/>
    <row r="171" customFormat="false" ht="12.75" hidden="false" customHeight="false" outlineLevel="0" collapsed="false"/>
    <row r="172" customFormat="false" ht="12.75" hidden="false" customHeight="false" outlineLevel="0" collapsed="false"/>
    <row r="173" customFormat="false" ht="12.75" hidden="false" customHeight="false" outlineLevel="0" collapsed="false"/>
    <row r="174" customFormat="false" ht="12.75" hidden="false" customHeight="false" outlineLevel="0" collapsed="false"/>
    <row r="175" customFormat="false" ht="12.75" hidden="false" customHeight="false" outlineLevel="0" collapsed="false"/>
    <row r="176" customFormat="false" ht="12.75" hidden="false" customHeight="false" outlineLevel="0" collapsed="false"/>
    <row r="177" customFormat="false" ht="12.75" hidden="false" customHeight="false" outlineLevel="0" collapsed="false"/>
    <row r="178" customFormat="false" ht="12.75" hidden="false" customHeight="false" outlineLevel="0" collapsed="false"/>
    <row r="179" customFormat="false" ht="12.75" hidden="false" customHeight="false" outlineLevel="0" collapsed="false"/>
    <row r="180" customFormat="false" ht="12.75" hidden="false" customHeight="false" outlineLevel="0" collapsed="false"/>
    <row r="181" customFormat="false" ht="12.75" hidden="false" customHeight="false" outlineLevel="0" collapsed="false"/>
    <row r="182" customFormat="false" ht="12.75" hidden="false" customHeight="false" outlineLevel="0" collapsed="false"/>
    <row r="183" customFormat="false" ht="12.75" hidden="false" customHeight="false" outlineLevel="0" collapsed="false"/>
    <row r="184" customFormat="false" ht="12.75" hidden="false" customHeight="false" outlineLevel="0" collapsed="false"/>
    <row r="185" customFormat="false" ht="12.75" hidden="false" customHeight="false" outlineLevel="0" collapsed="false"/>
    <row r="186" customFormat="false" ht="12.75" hidden="false" customHeight="false" outlineLevel="0" collapsed="false"/>
    <row r="187" customFormat="false" ht="12.75" hidden="false" customHeight="false" outlineLevel="0" collapsed="false"/>
    <row r="188" customFormat="false" ht="12.75" hidden="false" customHeight="false" outlineLevel="0" collapsed="false"/>
    <row r="189" customFormat="false" ht="12.75" hidden="false" customHeight="false" outlineLevel="0" collapsed="false"/>
    <row r="190" customFormat="false" ht="12.75" hidden="false" customHeight="false" outlineLevel="0" collapsed="false"/>
    <row r="191" customFormat="false" ht="12.75" hidden="false" customHeight="false" outlineLevel="0" collapsed="false"/>
    <row r="192" customFormat="false" ht="12.75" hidden="false" customHeight="false" outlineLevel="0" collapsed="false"/>
    <row r="193" customFormat="false" ht="12.75" hidden="false" customHeight="false" outlineLevel="0" collapsed="false"/>
    <row r="194" customFormat="false" ht="12.75" hidden="false" customHeight="false" outlineLevel="0" collapsed="false"/>
    <row r="195" customFormat="false" ht="12.75" hidden="false" customHeight="false" outlineLevel="0" collapsed="false"/>
    <row r="196" customFormat="false" ht="12.75" hidden="false" customHeight="false" outlineLevel="0" collapsed="false"/>
    <row r="197" customFormat="false" ht="12.75" hidden="false" customHeight="false" outlineLevel="0" collapsed="false"/>
    <row r="198" customFormat="false" ht="12.75" hidden="false" customHeight="false" outlineLevel="0" collapsed="false"/>
    <row r="199" customFormat="false" ht="12.75" hidden="false" customHeight="false" outlineLevel="0" collapsed="false"/>
    <row r="200" customFormat="false" ht="12.75" hidden="false" customHeight="false" outlineLevel="0" collapsed="false"/>
    <row r="201" customFormat="false" ht="12.75" hidden="false" customHeight="false" outlineLevel="0" collapsed="false"/>
    <row r="202" customFormat="false" ht="12.75" hidden="false" customHeight="false" outlineLevel="0" collapsed="false"/>
    <row r="203" customFormat="false" ht="12.75" hidden="false" customHeight="false" outlineLevel="0" collapsed="false"/>
    <row r="204" customFormat="false" ht="12.75" hidden="false" customHeight="false" outlineLevel="0" collapsed="false"/>
    <row r="205" customFormat="false" ht="12.75" hidden="false" customHeight="false" outlineLevel="0" collapsed="false"/>
    <row r="206" customFormat="false" ht="12.75" hidden="false" customHeight="false" outlineLevel="0" collapsed="false"/>
    <row r="207" customFormat="false" ht="12.75" hidden="false" customHeight="false" outlineLevel="0" collapsed="false"/>
    <row r="208" customFormat="false" ht="12.75" hidden="false" customHeight="false" outlineLevel="0" collapsed="false"/>
    <row r="209" customFormat="false" ht="12.75" hidden="false" customHeight="false" outlineLevel="0" collapsed="false"/>
    <row r="210" customFormat="false" ht="12.75" hidden="false" customHeight="false" outlineLevel="0" collapsed="false"/>
    <row r="211" customFormat="false" ht="12.75" hidden="false" customHeight="false" outlineLevel="0" collapsed="false"/>
    <row r="212" customFormat="false" ht="12.75" hidden="false" customHeight="false" outlineLevel="0" collapsed="false"/>
    <row r="213" customFormat="false" ht="12.75" hidden="false" customHeight="false" outlineLevel="0" collapsed="false"/>
    <row r="214" customFormat="false" ht="12.75" hidden="false" customHeight="false" outlineLevel="0" collapsed="false"/>
    <row r="215" customFormat="false" ht="12.75" hidden="false" customHeight="false" outlineLevel="0" collapsed="false"/>
    <row r="216" customFormat="false" ht="12.75" hidden="false" customHeight="false" outlineLevel="0" collapsed="false"/>
    <row r="217" customFormat="false" ht="12.75" hidden="false" customHeight="false" outlineLevel="0" collapsed="false"/>
    <row r="218" customFormat="false" ht="12.75" hidden="false" customHeight="false" outlineLevel="0" collapsed="false"/>
    <row r="219" customFormat="false" ht="12.75" hidden="false" customHeight="false" outlineLevel="0" collapsed="false"/>
    <row r="220" customFormat="false" ht="12.75" hidden="false" customHeight="false" outlineLevel="0" collapsed="false"/>
    <row r="221" customFormat="false" ht="12.75" hidden="false" customHeight="false" outlineLevel="0" collapsed="false"/>
    <row r="222" customFormat="false" ht="12.75" hidden="false" customHeight="false" outlineLevel="0" collapsed="false"/>
    <row r="223" customFormat="false" ht="12.75" hidden="false" customHeight="false" outlineLevel="0" collapsed="false"/>
    <row r="224" customFormat="false" ht="12.75" hidden="false" customHeight="false" outlineLevel="0" collapsed="false"/>
    <row r="225" customFormat="false" ht="12.75" hidden="false" customHeight="false" outlineLevel="0" collapsed="false"/>
    <row r="226" customFormat="false" ht="12.75" hidden="false" customHeight="false" outlineLevel="0" collapsed="false"/>
    <row r="227" customFormat="false" ht="12.75" hidden="false" customHeight="false" outlineLevel="0" collapsed="false"/>
    <row r="228" customFormat="false" ht="12.75" hidden="false" customHeight="false" outlineLevel="0" collapsed="false"/>
    <row r="229" customFormat="false" ht="12.75" hidden="false" customHeight="false" outlineLevel="0" collapsed="false"/>
    <row r="230" customFormat="false" ht="12.75" hidden="false" customHeight="false" outlineLevel="0" collapsed="false"/>
    <row r="231" customFormat="false" ht="12.75" hidden="false" customHeight="false" outlineLevel="0" collapsed="false"/>
    <row r="232" customFormat="false" ht="12.75" hidden="false" customHeight="false" outlineLevel="0" collapsed="false"/>
    <row r="233" customFormat="false" ht="12.75" hidden="false" customHeight="false" outlineLevel="0" collapsed="false"/>
    <row r="234" customFormat="false" ht="12.75" hidden="false" customHeight="false" outlineLevel="0" collapsed="false"/>
    <row r="235" customFormat="false" ht="12.75" hidden="false" customHeight="false" outlineLevel="0" collapsed="false"/>
    <row r="236" customFormat="false" ht="12.75" hidden="false" customHeight="false" outlineLevel="0" collapsed="false"/>
    <row r="237" customFormat="false" ht="12.75" hidden="false" customHeight="false" outlineLevel="0" collapsed="false"/>
    <row r="238" customFormat="false" ht="12.75" hidden="false" customHeight="false" outlineLevel="0" collapsed="false"/>
    <row r="239" customFormat="false" ht="12.75" hidden="false" customHeight="false" outlineLevel="0" collapsed="false"/>
    <row r="240" customFormat="false" ht="12.75" hidden="false" customHeight="false" outlineLevel="0" collapsed="false"/>
    <row r="241" customFormat="false" ht="12.75" hidden="false" customHeight="false" outlineLevel="0" collapsed="false"/>
    <row r="242" customFormat="false" ht="12.75" hidden="false" customHeight="false" outlineLevel="0" collapsed="false"/>
    <row r="243" customFormat="false" ht="12.75" hidden="false" customHeight="false" outlineLevel="0" collapsed="false"/>
    <row r="244" customFormat="false" ht="12.75" hidden="false" customHeight="false" outlineLevel="0" collapsed="false"/>
    <row r="245" customFormat="false" ht="12.75" hidden="false" customHeight="false" outlineLevel="0" collapsed="false"/>
    <row r="246" customFormat="false" ht="12.75" hidden="false" customHeight="false" outlineLevel="0" collapsed="false"/>
    <row r="247" customFormat="false" ht="12.75" hidden="false" customHeight="false" outlineLevel="0" collapsed="false"/>
    <row r="248" customFormat="false" ht="12.75" hidden="false" customHeight="false" outlineLevel="0" collapsed="false"/>
    <row r="249" customFormat="false" ht="12.75" hidden="false" customHeight="false" outlineLevel="0" collapsed="false"/>
    <row r="250" customFormat="false" ht="12.75" hidden="false" customHeight="false" outlineLevel="0" collapsed="false"/>
    <row r="251" customFormat="false" ht="12.75" hidden="false" customHeight="false" outlineLevel="0" collapsed="false"/>
    <row r="252" customFormat="false" ht="12.75" hidden="false" customHeight="false" outlineLevel="0" collapsed="false"/>
    <row r="253" customFormat="false" ht="12.75" hidden="false" customHeight="false" outlineLevel="0" collapsed="false"/>
    <row r="254" customFormat="false" ht="12.75" hidden="false" customHeight="false" outlineLevel="0" collapsed="false"/>
    <row r="255" customFormat="false" ht="12.75" hidden="false" customHeight="false" outlineLevel="0" collapsed="false"/>
    <row r="256" customFormat="false" ht="12.75" hidden="false" customHeight="false" outlineLevel="0" collapsed="false"/>
    <row r="257" customFormat="false" ht="12.75" hidden="false" customHeight="false" outlineLevel="0" collapsed="false"/>
    <row r="258" customFormat="false" ht="12.75" hidden="false" customHeight="false" outlineLevel="0" collapsed="false"/>
    <row r="259" customFormat="false" ht="12.75" hidden="false" customHeight="false" outlineLevel="0" collapsed="false"/>
    <row r="260" customFormat="false" ht="12.75" hidden="false" customHeight="false" outlineLevel="0" collapsed="false"/>
    <row r="261" customFormat="false" ht="12.75" hidden="false" customHeight="false" outlineLevel="0" collapsed="false"/>
    <row r="262" customFormat="false" ht="12.75" hidden="false" customHeight="false" outlineLevel="0" collapsed="false"/>
    <row r="263" customFormat="false" ht="12.75" hidden="false" customHeight="false" outlineLevel="0" collapsed="false"/>
    <row r="264" customFormat="false" ht="12.75" hidden="false" customHeight="false" outlineLevel="0" collapsed="false"/>
    <row r="265" customFormat="false" ht="12.75" hidden="false" customHeight="false" outlineLevel="0" collapsed="false"/>
    <row r="266" customFormat="false" ht="12.75" hidden="false" customHeight="false" outlineLevel="0" collapsed="false"/>
    <row r="267" customFormat="false" ht="12.75" hidden="false" customHeight="false" outlineLevel="0" collapsed="false"/>
    <row r="268" customFormat="false" ht="12.75" hidden="false" customHeight="false" outlineLevel="0" collapsed="false"/>
    <row r="269" customFormat="false" ht="12.75" hidden="false" customHeight="false" outlineLevel="0" collapsed="false"/>
    <row r="270" customFormat="false" ht="12.75" hidden="false" customHeight="false" outlineLevel="0" collapsed="false"/>
    <row r="271" customFormat="false" ht="12.75" hidden="false" customHeight="false" outlineLevel="0" collapsed="false"/>
    <row r="272" customFormat="false" ht="12.75" hidden="false" customHeight="false" outlineLevel="0" collapsed="false"/>
    <row r="273" customFormat="false" ht="12.75" hidden="false" customHeight="fals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12.75" hidden="false" customHeight="false" outlineLevel="0" collapsed="false"/>
    <row r="283" customFormat="false" ht="12.75" hidden="false" customHeight="false" outlineLevel="0" collapsed="false"/>
    <row r="284" customFormat="false" ht="12.75" hidden="false" customHeight="fals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12.75" hidden="false" customHeight="false" outlineLevel="0" collapsed="false"/>
    <row r="291" customFormat="false" ht="12.75" hidden="false" customHeight="false" outlineLevel="0" collapsed="false"/>
    <row r="292" customFormat="false" ht="12.75" hidden="false" customHeight="false" outlineLevel="0" collapsed="false"/>
    <row r="293" customFormat="false" ht="12.75" hidden="false" customHeight="false" outlineLevel="0" collapsed="false"/>
    <row r="294" customFormat="false" ht="12.75" hidden="false" customHeight="false" outlineLevel="0" collapsed="false"/>
    <row r="295" customFormat="false" ht="12.75" hidden="false" customHeight="fals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12.75" hidden="false" customHeight="false" outlineLevel="0" collapsed="false"/>
    <row r="299" customFormat="false" ht="12.75" hidden="false" customHeight="false" outlineLevel="0" collapsed="false"/>
    <row r="300" customFormat="false" ht="12.75" hidden="false" customHeight="fals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12.75" hidden="false" customHeight="false" outlineLevel="0" collapsed="false"/>
    <row r="308" customFormat="false" ht="12.75" hidden="false" customHeight="false" outlineLevel="0" collapsed="false"/>
    <row r="309" customFormat="false" ht="12.75" hidden="false" customHeight="false" outlineLevel="0" collapsed="false"/>
    <row r="310" customFormat="false" ht="12.75" hidden="false" customHeight="false" outlineLevel="0" collapsed="false"/>
    <row r="311" customFormat="false" ht="12.75" hidden="false" customHeight="false" outlineLevel="0" collapsed="false"/>
    <row r="312" customFormat="false" ht="12.75" hidden="false" customHeight="false" outlineLevel="0" collapsed="false"/>
    <row r="313" customFormat="false" ht="12.75" hidden="false" customHeight="false" outlineLevel="0" collapsed="false"/>
    <row r="314" customFormat="false" ht="12.75" hidden="false" customHeight="fals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12.75" hidden="false" customHeight="fals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  <row r="344" customFormat="false" ht="12.75" hidden="false" customHeight="false" outlineLevel="0" collapsed="false"/>
    <row r="345" customFormat="false" ht="12.75" hidden="false" customHeight="false" outlineLevel="0" collapsed="false"/>
    <row r="346" customFormat="false" ht="12.75" hidden="false" customHeight="false" outlineLevel="0" collapsed="false"/>
    <row r="347" customFormat="false" ht="12.75" hidden="false" customHeight="false" outlineLevel="0" collapsed="false"/>
    <row r="348" customFormat="false" ht="12.75" hidden="false" customHeight="false" outlineLevel="0" collapsed="false"/>
    <row r="349" customFormat="false" ht="12.75" hidden="false" customHeight="false" outlineLevel="0" collapsed="false"/>
    <row r="350" customFormat="false" ht="12.75" hidden="false" customHeight="false" outlineLevel="0" collapsed="false"/>
    <row r="351" customFormat="false" ht="12.75" hidden="false" customHeight="false" outlineLevel="0" collapsed="false"/>
    <row r="352" customFormat="false" ht="12.75" hidden="false" customHeight="false" outlineLevel="0" collapsed="false"/>
    <row r="353" customFormat="false" ht="12.75" hidden="false" customHeight="false" outlineLevel="0" collapsed="false"/>
    <row r="354" customFormat="false" ht="12.75" hidden="false" customHeight="false" outlineLevel="0" collapsed="false"/>
    <row r="355" customFormat="false" ht="12.75" hidden="false" customHeight="false" outlineLevel="0" collapsed="false"/>
    <row r="356" customFormat="false" ht="12.75" hidden="false" customHeight="false" outlineLevel="0" collapsed="false"/>
    <row r="357" customFormat="false" ht="12.75" hidden="false" customHeight="false" outlineLevel="0" collapsed="false"/>
    <row r="358" customFormat="false" ht="12.75" hidden="false" customHeight="false" outlineLevel="0" collapsed="false"/>
    <row r="359" customFormat="false" ht="12.75" hidden="false" customHeight="false" outlineLevel="0" collapsed="false"/>
    <row r="360" customFormat="false" ht="12.75" hidden="false" customHeight="false" outlineLevel="0" collapsed="false"/>
    <row r="361" customFormat="false" ht="12.75" hidden="false" customHeight="false" outlineLevel="0" collapsed="false"/>
    <row r="362" customFormat="false" ht="12.75" hidden="false" customHeight="false" outlineLevel="0" collapsed="false"/>
    <row r="363" customFormat="false" ht="12.75" hidden="false" customHeight="false" outlineLevel="0" collapsed="false"/>
    <row r="364" customFormat="false" ht="12.75" hidden="false" customHeight="false" outlineLevel="0" collapsed="false"/>
    <row r="365" customFormat="false" ht="12.75" hidden="false" customHeight="false" outlineLevel="0" collapsed="false"/>
    <row r="366" customFormat="false" ht="12.75" hidden="false" customHeight="false" outlineLevel="0" collapsed="false"/>
    <row r="367" customFormat="false" ht="12.75" hidden="false" customHeight="false" outlineLevel="0" collapsed="false"/>
    <row r="368" customFormat="false" ht="12.75" hidden="false" customHeight="false" outlineLevel="0" collapsed="false"/>
    <row r="369" customFormat="false" ht="12.75" hidden="false" customHeight="false" outlineLevel="0" collapsed="false"/>
    <row r="370" customFormat="false" ht="12.75" hidden="false" customHeight="false" outlineLevel="0" collapsed="false"/>
    <row r="371" customFormat="false" ht="12.75" hidden="false" customHeight="false" outlineLevel="0" collapsed="false"/>
    <row r="372" customFormat="false" ht="12.75" hidden="false" customHeight="false" outlineLevel="0" collapsed="false"/>
    <row r="373" customFormat="false" ht="12.75" hidden="false" customHeight="false" outlineLevel="0" collapsed="false"/>
    <row r="374" customFormat="false" ht="12.75" hidden="false" customHeight="false" outlineLevel="0" collapsed="false"/>
    <row r="375" customFormat="false" ht="12.75" hidden="false" customHeight="false" outlineLevel="0" collapsed="false"/>
    <row r="376" customFormat="false" ht="12.75" hidden="false" customHeight="false" outlineLevel="0" collapsed="false"/>
    <row r="377" customFormat="false" ht="12.75" hidden="false" customHeight="false" outlineLevel="0" collapsed="false"/>
    <row r="378" customFormat="false" ht="12.75" hidden="false" customHeight="false" outlineLevel="0" collapsed="false"/>
    <row r="379" customFormat="false" ht="12.75" hidden="false" customHeight="false" outlineLevel="0" collapsed="false"/>
    <row r="380" customFormat="false" ht="12.75" hidden="false" customHeight="false" outlineLevel="0" collapsed="false"/>
    <row r="381" customFormat="false" ht="12.75" hidden="false" customHeight="false" outlineLevel="0" collapsed="false"/>
    <row r="382" customFormat="false" ht="12.75" hidden="false" customHeight="false" outlineLevel="0" collapsed="false"/>
    <row r="383" customFormat="false" ht="12.75" hidden="false" customHeight="false" outlineLevel="0" collapsed="false"/>
    <row r="384" customFormat="false" ht="12.75" hidden="false" customHeight="false" outlineLevel="0" collapsed="false"/>
    <row r="385" customFormat="false" ht="12.75" hidden="false" customHeight="false" outlineLevel="0" collapsed="false"/>
    <row r="386" customFormat="false" ht="12.75" hidden="false" customHeight="false" outlineLevel="0" collapsed="false"/>
    <row r="387" customFormat="false" ht="12.75" hidden="false" customHeight="false" outlineLevel="0" collapsed="false"/>
    <row r="388" customFormat="false" ht="12.75" hidden="false" customHeight="false" outlineLevel="0" collapsed="false"/>
    <row r="389" customFormat="false" ht="12.75" hidden="false" customHeight="false" outlineLevel="0" collapsed="false"/>
    <row r="390" customFormat="false" ht="12.75" hidden="false" customHeight="false" outlineLevel="0" collapsed="false"/>
    <row r="391" customFormat="false" ht="12.75" hidden="false" customHeight="false" outlineLevel="0" collapsed="false"/>
    <row r="392" customFormat="false" ht="12.75" hidden="false" customHeight="false" outlineLevel="0" collapsed="false"/>
    <row r="393" customFormat="false" ht="12.75" hidden="false" customHeight="false" outlineLevel="0" collapsed="false"/>
    <row r="394" customFormat="false" ht="12.75" hidden="false" customHeight="false" outlineLevel="0" collapsed="false"/>
    <row r="395" customFormat="false" ht="12.75" hidden="false" customHeight="false" outlineLevel="0" collapsed="false"/>
    <row r="396" customFormat="false" ht="12.75" hidden="false" customHeight="false" outlineLevel="0" collapsed="false"/>
    <row r="397" customFormat="false" ht="12.75" hidden="false" customHeight="false" outlineLevel="0" collapsed="false"/>
    <row r="398" customFormat="false" ht="12.75" hidden="false" customHeight="false" outlineLevel="0" collapsed="false"/>
    <row r="399" customFormat="false" ht="12.75" hidden="false" customHeight="false" outlineLevel="0" collapsed="false"/>
    <row r="400" customFormat="false" ht="12.75" hidden="false" customHeight="false" outlineLevel="0" collapsed="false"/>
    <row r="401" customFormat="false" ht="12.75" hidden="false" customHeight="false" outlineLevel="0" collapsed="false"/>
    <row r="402" customFormat="false" ht="12.75" hidden="false" customHeight="false" outlineLevel="0" collapsed="false"/>
    <row r="403" customFormat="false" ht="12.75" hidden="false" customHeight="false" outlineLevel="0" collapsed="false"/>
    <row r="404" customFormat="false" ht="12.75" hidden="false" customHeight="false" outlineLevel="0" collapsed="false"/>
    <row r="405" customFormat="false" ht="12.75" hidden="false" customHeight="false" outlineLevel="0" collapsed="false"/>
    <row r="406" customFormat="false" ht="12.75" hidden="false" customHeight="false" outlineLevel="0" collapsed="false"/>
    <row r="407" customFormat="false" ht="12.75" hidden="false" customHeight="false" outlineLevel="0" collapsed="false"/>
    <row r="408" customFormat="false" ht="12.75" hidden="false" customHeight="false" outlineLevel="0" collapsed="false"/>
    <row r="409" customFormat="false" ht="12.75" hidden="false" customHeight="false" outlineLevel="0" collapsed="false"/>
    <row r="410" customFormat="false" ht="12.75" hidden="false" customHeight="false" outlineLevel="0" collapsed="false"/>
    <row r="411" customFormat="false" ht="12.75" hidden="false" customHeight="false" outlineLevel="0" collapsed="false"/>
    <row r="412" customFormat="false" ht="12.75" hidden="false" customHeight="false" outlineLevel="0" collapsed="false"/>
    <row r="413" customFormat="false" ht="12.75" hidden="false" customHeight="false" outlineLevel="0" collapsed="false"/>
    <row r="414" customFormat="false" ht="12.75" hidden="false" customHeight="false" outlineLevel="0" collapsed="false"/>
    <row r="415" customFormat="false" ht="12.75" hidden="false" customHeight="false" outlineLevel="0" collapsed="false"/>
    <row r="416" customFormat="false" ht="12.75" hidden="false" customHeight="false" outlineLevel="0" collapsed="false"/>
    <row r="417" customFormat="false" ht="12.75" hidden="false" customHeight="false" outlineLevel="0" collapsed="false"/>
    <row r="418" customFormat="false" ht="12.75" hidden="false" customHeight="false" outlineLevel="0" collapsed="false"/>
    <row r="419" customFormat="false" ht="12.75" hidden="false" customHeight="false" outlineLevel="0" collapsed="false"/>
    <row r="420" customFormat="false" ht="12.75" hidden="false" customHeight="false" outlineLevel="0" collapsed="false"/>
    <row r="421" customFormat="false" ht="12.75" hidden="false" customHeight="false" outlineLevel="0" collapsed="false"/>
    <row r="422" customFormat="false" ht="12.75" hidden="false" customHeight="false" outlineLevel="0" collapsed="false"/>
    <row r="423" customFormat="false" ht="12.75" hidden="false" customHeight="false" outlineLevel="0" collapsed="false"/>
    <row r="424" customFormat="false" ht="12.75" hidden="false" customHeight="false" outlineLevel="0" collapsed="false"/>
    <row r="425" customFormat="false" ht="12.75" hidden="false" customHeight="false" outlineLevel="0" collapsed="false"/>
    <row r="426" customFormat="false" ht="12.75" hidden="false" customHeight="false" outlineLevel="0" collapsed="false"/>
    <row r="427" customFormat="false" ht="12.75" hidden="false" customHeight="false" outlineLevel="0" collapsed="false"/>
    <row r="428" customFormat="false" ht="12.75" hidden="false" customHeight="false" outlineLevel="0" collapsed="false"/>
    <row r="429" customFormat="false" ht="12.75" hidden="false" customHeight="false" outlineLevel="0" collapsed="false"/>
    <row r="430" customFormat="false" ht="12.75" hidden="false" customHeight="false" outlineLevel="0" collapsed="false"/>
    <row r="431" customFormat="false" ht="12.75" hidden="false" customHeight="false" outlineLevel="0" collapsed="false"/>
    <row r="432" customFormat="false" ht="12.75" hidden="false" customHeight="false" outlineLevel="0" collapsed="false"/>
    <row r="433" customFormat="false" ht="12.75" hidden="false" customHeight="false" outlineLevel="0" collapsed="false"/>
    <row r="434" customFormat="false" ht="12.75" hidden="false" customHeight="false" outlineLevel="0" collapsed="false"/>
    <row r="435" customFormat="false" ht="12.75" hidden="false" customHeight="false" outlineLevel="0" collapsed="false"/>
    <row r="436" customFormat="false" ht="12.75" hidden="false" customHeight="false" outlineLevel="0" collapsed="false"/>
    <row r="437" customFormat="false" ht="12.75" hidden="false" customHeight="false" outlineLevel="0" collapsed="false"/>
    <row r="438" customFormat="false" ht="12.75" hidden="false" customHeight="false" outlineLevel="0" collapsed="false"/>
    <row r="439" customFormat="false" ht="12.75" hidden="false" customHeight="false" outlineLevel="0" collapsed="false"/>
    <row r="440" customFormat="false" ht="12.75" hidden="false" customHeight="false" outlineLevel="0" collapsed="false"/>
    <row r="441" customFormat="false" ht="12.75" hidden="false" customHeight="false" outlineLevel="0" collapsed="false"/>
    <row r="442" customFormat="false" ht="12.75" hidden="false" customHeight="false" outlineLevel="0" collapsed="false"/>
    <row r="443" customFormat="false" ht="12.75" hidden="false" customHeight="false" outlineLevel="0" collapsed="false"/>
    <row r="444" customFormat="false" ht="12.75" hidden="false" customHeight="false" outlineLevel="0" collapsed="false"/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/>
    <row r="455" customFormat="false" ht="12.75" hidden="false" customHeight="false" outlineLevel="0" collapsed="false"/>
    <row r="456" customFormat="false" ht="12.75" hidden="false" customHeight="false" outlineLevel="0" collapsed="false"/>
    <row r="457" customFormat="false" ht="12.75" hidden="false" customHeight="false" outlineLevel="0" collapsed="false"/>
    <row r="458" customFormat="false" ht="12.75" hidden="false" customHeight="false" outlineLevel="0" collapsed="false"/>
    <row r="459" customFormat="false" ht="12.75" hidden="false" customHeight="false" outlineLevel="0" collapsed="false"/>
    <row r="460" customFormat="false" ht="12.75" hidden="false" customHeight="false" outlineLevel="0" collapsed="false"/>
    <row r="461" customFormat="false" ht="12.75" hidden="false" customHeight="false" outlineLevel="0" collapsed="false"/>
    <row r="462" customFormat="false" ht="12.75" hidden="false" customHeight="false" outlineLevel="0" collapsed="false"/>
    <row r="463" customFormat="false" ht="12.75" hidden="false" customHeight="false" outlineLevel="0" collapsed="false"/>
    <row r="464" customFormat="false" ht="12.75" hidden="false" customHeight="false" outlineLevel="0" collapsed="false"/>
    <row r="465" customFormat="false" ht="12.75" hidden="false" customHeight="false" outlineLevel="0" collapsed="false"/>
    <row r="466" customFormat="false" ht="12.75" hidden="false" customHeight="false" outlineLevel="0" collapsed="false"/>
    <row r="467" customFormat="false" ht="12.75" hidden="false" customHeight="false" outlineLevel="0" collapsed="false"/>
    <row r="468" customFormat="false" ht="12.75" hidden="false" customHeight="false" outlineLevel="0" collapsed="false"/>
    <row r="469" customFormat="false" ht="12.75" hidden="false" customHeight="false" outlineLevel="0" collapsed="false"/>
    <row r="470" customFormat="false" ht="12.75" hidden="false" customHeight="false" outlineLevel="0" collapsed="false"/>
    <row r="471" customFormat="false" ht="12.75" hidden="false" customHeight="false" outlineLevel="0" collapsed="false"/>
    <row r="472" customFormat="false" ht="12.75" hidden="false" customHeight="false" outlineLevel="0" collapsed="false"/>
    <row r="473" customFormat="false" ht="12.75" hidden="false" customHeight="false" outlineLevel="0" collapsed="false"/>
    <row r="474" customFormat="false" ht="12.75" hidden="false" customHeight="false" outlineLevel="0" collapsed="false"/>
    <row r="475" customFormat="false" ht="12.75" hidden="false" customHeight="false" outlineLevel="0" collapsed="false"/>
    <row r="476" customFormat="false" ht="12.75" hidden="false" customHeight="false" outlineLevel="0" collapsed="false"/>
    <row r="477" customFormat="false" ht="12.75" hidden="false" customHeight="false" outlineLevel="0" collapsed="false"/>
    <row r="478" customFormat="false" ht="12.75" hidden="false" customHeight="false" outlineLevel="0" collapsed="false"/>
    <row r="479" customFormat="false" ht="12.75" hidden="false" customHeight="false" outlineLevel="0" collapsed="false"/>
    <row r="480" customFormat="false" ht="12.75" hidden="false" customHeight="false" outlineLevel="0" collapsed="false"/>
    <row r="481" customFormat="false" ht="12.75" hidden="false" customHeight="false" outlineLevel="0" collapsed="false"/>
    <row r="482" customFormat="false" ht="12.75" hidden="false" customHeight="false" outlineLevel="0" collapsed="false"/>
    <row r="483" customFormat="false" ht="12.75" hidden="false" customHeight="false" outlineLevel="0" collapsed="false"/>
    <row r="484" customFormat="false" ht="12.75" hidden="false" customHeight="false" outlineLevel="0" collapsed="false"/>
    <row r="485" customFormat="false" ht="12.75" hidden="false" customHeight="false" outlineLevel="0" collapsed="false"/>
    <row r="486" customFormat="false" ht="12.75" hidden="false" customHeight="false" outlineLevel="0" collapsed="false"/>
    <row r="487" customFormat="false" ht="12.75" hidden="false" customHeight="false" outlineLevel="0" collapsed="false"/>
    <row r="488" customFormat="false" ht="12.75" hidden="false" customHeight="false" outlineLevel="0" collapsed="false"/>
    <row r="489" customFormat="false" ht="12.75" hidden="false" customHeight="false" outlineLevel="0" collapsed="false"/>
    <row r="490" customFormat="false" ht="12.75" hidden="false" customHeight="false" outlineLevel="0" collapsed="false"/>
    <row r="491" customFormat="false" ht="12.75" hidden="false" customHeight="false" outlineLevel="0" collapsed="false"/>
    <row r="492" customFormat="false" ht="12.75" hidden="false" customHeight="false" outlineLevel="0" collapsed="false"/>
    <row r="493" customFormat="false" ht="12.75" hidden="false" customHeight="false" outlineLevel="0" collapsed="false"/>
    <row r="494" customFormat="false" ht="12.75" hidden="false" customHeight="false" outlineLevel="0" collapsed="false"/>
    <row r="495" customFormat="false" ht="12.75" hidden="false" customHeight="false" outlineLevel="0" collapsed="false"/>
    <row r="496" customFormat="false" ht="12.75" hidden="false" customHeight="false" outlineLevel="0" collapsed="false"/>
    <row r="497" customFormat="false" ht="12.75" hidden="false" customHeight="false" outlineLevel="0" collapsed="false"/>
    <row r="498" customFormat="false" ht="12.75" hidden="false" customHeight="false" outlineLevel="0" collapsed="false"/>
    <row r="499" customFormat="false" ht="12.75" hidden="false" customHeight="false" outlineLevel="0" collapsed="false"/>
    <row r="500" customFormat="false" ht="12.75" hidden="false" customHeight="false" outlineLevel="0" collapsed="false"/>
    <row r="501" customFormat="false" ht="12.75" hidden="false" customHeight="false" outlineLevel="0" collapsed="false"/>
    <row r="502" customFormat="false" ht="12.75" hidden="false" customHeight="false" outlineLevel="0" collapsed="false"/>
    <row r="503" customFormat="false" ht="12.75" hidden="false" customHeight="false" outlineLevel="0" collapsed="false"/>
    <row r="504" customFormat="false" ht="12.75" hidden="false" customHeight="false" outlineLevel="0" collapsed="false"/>
    <row r="505" customFormat="false" ht="12.75" hidden="false" customHeight="false" outlineLevel="0" collapsed="false"/>
    <row r="506" customFormat="false" ht="12.75" hidden="false" customHeight="false" outlineLevel="0" collapsed="false"/>
    <row r="507" customFormat="false" ht="12.75" hidden="false" customHeight="false" outlineLevel="0" collapsed="false"/>
    <row r="508" customFormat="false" ht="12.75" hidden="false" customHeight="false" outlineLevel="0" collapsed="false"/>
    <row r="509" customFormat="false" ht="12.75" hidden="false" customHeight="false" outlineLevel="0" collapsed="false"/>
    <row r="510" customFormat="false" ht="12.75" hidden="false" customHeight="false" outlineLevel="0" collapsed="false"/>
    <row r="511" customFormat="false" ht="12.75" hidden="false" customHeight="false" outlineLevel="0" collapsed="false"/>
    <row r="512" customFormat="false" ht="12.75" hidden="false" customHeight="false" outlineLevel="0" collapsed="false"/>
    <row r="513" customFormat="false" ht="12.75" hidden="false" customHeight="false" outlineLevel="0" collapsed="false"/>
    <row r="514" customFormat="false" ht="12.75" hidden="false" customHeight="false" outlineLevel="0" collapsed="false"/>
    <row r="515" customFormat="false" ht="12.75" hidden="false" customHeight="false" outlineLevel="0" collapsed="false"/>
    <row r="516" customFormat="false" ht="12.75" hidden="false" customHeight="false" outlineLevel="0" collapsed="false"/>
    <row r="517" customFormat="false" ht="12.75" hidden="false" customHeight="false" outlineLevel="0" collapsed="false"/>
    <row r="518" customFormat="false" ht="12.75" hidden="false" customHeight="false" outlineLevel="0" collapsed="false"/>
    <row r="519" customFormat="false" ht="12.75" hidden="false" customHeight="false" outlineLevel="0" collapsed="false"/>
    <row r="520" customFormat="false" ht="12.75" hidden="false" customHeight="false" outlineLevel="0" collapsed="false"/>
    <row r="521" customFormat="false" ht="12.75" hidden="false" customHeight="false" outlineLevel="0" collapsed="false"/>
    <row r="522" customFormat="false" ht="12.75" hidden="false" customHeight="false" outlineLevel="0" collapsed="false"/>
    <row r="523" customFormat="false" ht="12.75" hidden="false" customHeight="false" outlineLevel="0" collapsed="false"/>
    <row r="524" customFormat="false" ht="12.75" hidden="false" customHeight="false" outlineLevel="0" collapsed="false"/>
    <row r="525" customFormat="false" ht="12.75" hidden="false" customHeight="false" outlineLevel="0" collapsed="false"/>
    <row r="526" customFormat="false" ht="12.75" hidden="false" customHeight="false" outlineLevel="0" collapsed="false"/>
    <row r="527" customFormat="false" ht="12.75" hidden="false" customHeight="false" outlineLevel="0" collapsed="false"/>
    <row r="528" customFormat="false" ht="12.75" hidden="false" customHeight="false" outlineLevel="0" collapsed="false"/>
    <row r="529" customFormat="false" ht="12.75" hidden="false" customHeight="false" outlineLevel="0" collapsed="false"/>
    <row r="530" customFormat="false" ht="12.75" hidden="false" customHeight="false" outlineLevel="0" collapsed="false"/>
    <row r="531" customFormat="false" ht="12.75" hidden="false" customHeight="false" outlineLevel="0" collapsed="false"/>
    <row r="532" customFormat="false" ht="12.75" hidden="false" customHeight="false" outlineLevel="0" collapsed="false"/>
    <row r="533" customFormat="false" ht="12.75" hidden="false" customHeight="false" outlineLevel="0" collapsed="false"/>
    <row r="534" customFormat="false" ht="12.75" hidden="false" customHeight="false" outlineLevel="0" collapsed="false"/>
    <row r="535" customFormat="false" ht="12.75" hidden="false" customHeight="false" outlineLevel="0" collapsed="false"/>
    <row r="536" customFormat="false" ht="12.75" hidden="false" customHeight="false" outlineLevel="0" collapsed="false"/>
    <row r="537" customFormat="false" ht="12.75" hidden="false" customHeight="false" outlineLevel="0" collapsed="false"/>
    <row r="538" customFormat="false" ht="12.75" hidden="false" customHeight="false" outlineLevel="0" collapsed="false"/>
    <row r="539" customFormat="false" ht="12.75" hidden="false" customHeight="false" outlineLevel="0" collapsed="false"/>
    <row r="540" customFormat="false" ht="12.75" hidden="false" customHeight="false" outlineLevel="0" collapsed="false"/>
    <row r="541" customFormat="false" ht="12.75" hidden="false" customHeight="false" outlineLevel="0" collapsed="false"/>
    <row r="542" customFormat="false" ht="12.75" hidden="false" customHeight="false" outlineLevel="0" collapsed="false"/>
    <row r="543" customFormat="false" ht="12.75" hidden="false" customHeight="false" outlineLevel="0" collapsed="false"/>
    <row r="544" customFormat="false" ht="12.75" hidden="false" customHeight="false" outlineLevel="0" collapsed="false"/>
    <row r="545" customFormat="false" ht="12.75" hidden="false" customHeight="false" outlineLevel="0" collapsed="false"/>
    <row r="546" customFormat="false" ht="12.75" hidden="false" customHeight="false" outlineLevel="0" collapsed="false"/>
    <row r="547" customFormat="false" ht="12.75" hidden="false" customHeight="false" outlineLevel="0" collapsed="false"/>
    <row r="548" customFormat="false" ht="12.75" hidden="false" customHeight="false" outlineLevel="0" collapsed="false"/>
    <row r="549" customFormat="false" ht="12.75" hidden="false" customHeight="false" outlineLevel="0" collapsed="false"/>
    <row r="550" customFormat="false" ht="12.75" hidden="false" customHeight="false" outlineLevel="0" collapsed="false"/>
    <row r="551" customFormat="false" ht="12.75" hidden="false" customHeight="false" outlineLevel="0" collapsed="false"/>
    <row r="552" customFormat="false" ht="12.75" hidden="false" customHeight="false" outlineLevel="0" collapsed="false"/>
    <row r="553" customFormat="false" ht="12.75" hidden="false" customHeight="false" outlineLevel="0" collapsed="false"/>
    <row r="554" customFormat="false" ht="12.75" hidden="false" customHeight="false" outlineLevel="0" collapsed="false"/>
    <row r="555" customFormat="false" ht="12.75" hidden="false" customHeight="false" outlineLevel="0" collapsed="false"/>
    <row r="556" customFormat="false" ht="12.75" hidden="false" customHeight="false" outlineLevel="0" collapsed="false"/>
    <row r="557" customFormat="false" ht="12.75" hidden="false" customHeight="false" outlineLevel="0" collapsed="false"/>
    <row r="558" customFormat="false" ht="12.75" hidden="false" customHeight="false" outlineLevel="0" collapsed="false"/>
    <row r="559" customFormat="false" ht="12.75" hidden="false" customHeight="false" outlineLevel="0" collapsed="false"/>
    <row r="560" customFormat="false" ht="12.75" hidden="false" customHeight="false" outlineLevel="0" collapsed="false"/>
    <row r="561" customFormat="false" ht="12.75" hidden="false" customHeight="false" outlineLevel="0" collapsed="false"/>
    <row r="562" customFormat="false" ht="12.75" hidden="false" customHeight="false" outlineLevel="0" collapsed="false"/>
    <row r="563" customFormat="false" ht="12.75" hidden="false" customHeight="false" outlineLevel="0" collapsed="false"/>
    <row r="564" customFormat="false" ht="12.75" hidden="false" customHeight="false" outlineLevel="0" collapsed="false"/>
    <row r="565" customFormat="false" ht="12.75" hidden="false" customHeight="false" outlineLevel="0" collapsed="false"/>
    <row r="566" customFormat="false" ht="12.75" hidden="false" customHeight="false" outlineLevel="0" collapsed="false"/>
    <row r="567" customFormat="false" ht="12.75" hidden="false" customHeight="false" outlineLevel="0" collapsed="false"/>
    <row r="568" customFormat="false" ht="12.75" hidden="false" customHeight="false" outlineLevel="0" collapsed="false"/>
    <row r="569" customFormat="false" ht="12.75" hidden="false" customHeight="false" outlineLevel="0" collapsed="false"/>
    <row r="570" customFormat="false" ht="12.75" hidden="false" customHeight="false" outlineLevel="0" collapsed="false"/>
    <row r="571" customFormat="false" ht="12.75" hidden="false" customHeight="false" outlineLevel="0" collapsed="false"/>
    <row r="572" customFormat="false" ht="12.75" hidden="false" customHeight="false" outlineLevel="0" collapsed="false"/>
    <row r="573" customFormat="false" ht="12.75" hidden="false" customHeight="false" outlineLevel="0" collapsed="false"/>
    <row r="574" customFormat="false" ht="12.75" hidden="false" customHeight="false" outlineLevel="0" collapsed="false"/>
    <row r="575" customFormat="false" ht="12.75" hidden="false" customHeight="false" outlineLevel="0" collapsed="false"/>
    <row r="576" customFormat="false" ht="12.75" hidden="false" customHeight="false" outlineLevel="0" collapsed="false"/>
    <row r="577" customFormat="false" ht="12.75" hidden="false" customHeight="false" outlineLevel="0" collapsed="false"/>
    <row r="578" customFormat="false" ht="12.75" hidden="false" customHeight="false" outlineLevel="0" collapsed="false"/>
    <row r="579" customFormat="false" ht="12.75" hidden="false" customHeight="false" outlineLevel="0" collapsed="false"/>
    <row r="580" customFormat="false" ht="12.75" hidden="false" customHeight="false" outlineLevel="0" collapsed="false"/>
    <row r="581" customFormat="false" ht="12.75" hidden="false" customHeight="false" outlineLevel="0" collapsed="false"/>
    <row r="582" customFormat="false" ht="12.75" hidden="false" customHeight="false" outlineLevel="0" collapsed="false"/>
    <row r="583" customFormat="false" ht="12.75" hidden="false" customHeight="false" outlineLevel="0" collapsed="false"/>
    <row r="584" customFormat="false" ht="12.75" hidden="false" customHeight="false" outlineLevel="0" collapsed="false"/>
    <row r="585" customFormat="false" ht="12.75" hidden="false" customHeight="false" outlineLevel="0" collapsed="false"/>
    <row r="586" customFormat="false" ht="12.75" hidden="false" customHeight="false" outlineLevel="0" collapsed="false"/>
    <row r="587" customFormat="false" ht="12.75" hidden="false" customHeight="false" outlineLevel="0" collapsed="false"/>
    <row r="588" customFormat="false" ht="12.75" hidden="false" customHeight="false" outlineLevel="0" collapsed="false"/>
    <row r="589" customFormat="false" ht="12.75" hidden="false" customHeight="false" outlineLevel="0" collapsed="false"/>
    <row r="590" customFormat="false" ht="12.75" hidden="false" customHeight="false" outlineLevel="0" collapsed="false"/>
    <row r="591" customFormat="false" ht="12.75" hidden="false" customHeight="false" outlineLevel="0" collapsed="false"/>
    <row r="592" customFormat="false" ht="12.75" hidden="false" customHeight="false" outlineLevel="0" collapsed="false"/>
    <row r="593" customFormat="false" ht="12.75" hidden="false" customHeight="false" outlineLevel="0" collapsed="false"/>
    <row r="594" customFormat="false" ht="12.75" hidden="false" customHeight="false" outlineLevel="0" collapsed="false"/>
    <row r="595" customFormat="false" ht="12.75" hidden="false" customHeight="false" outlineLevel="0" collapsed="false"/>
    <row r="596" customFormat="false" ht="12.75" hidden="false" customHeight="false" outlineLevel="0" collapsed="false"/>
    <row r="597" customFormat="false" ht="12.75" hidden="false" customHeight="false" outlineLevel="0" collapsed="false"/>
    <row r="598" customFormat="false" ht="12.75" hidden="false" customHeight="false" outlineLevel="0" collapsed="false"/>
    <row r="599" customFormat="false" ht="12.75" hidden="false" customHeight="false" outlineLevel="0" collapsed="false"/>
    <row r="600" customFormat="false" ht="12.75" hidden="false" customHeight="false" outlineLevel="0" collapsed="false"/>
    <row r="601" customFormat="false" ht="12.75" hidden="false" customHeight="false" outlineLevel="0" collapsed="false"/>
    <row r="602" customFormat="false" ht="12.75" hidden="false" customHeight="false" outlineLevel="0" collapsed="false"/>
    <row r="603" customFormat="false" ht="12.75" hidden="false" customHeight="false" outlineLevel="0" collapsed="false"/>
    <row r="604" customFormat="false" ht="12.75" hidden="false" customHeight="false" outlineLevel="0" collapsed="false"/>
    <row r="605" customFormat="false" ht="12.75" hidden="false" customHeight="false" outlineLevel="0" collapsed="false"/>
    <row r="606" customFormat="false" ht="12.75" hidden="false" customHeight="false" outlineLevel="0" collapsed="false"/>
    <row r="607" customFormat="false" ht="12.75" hidden="false" customHeight="false" outlineLevel="0" collapsed="false"/>
    <row r="608" customFormat="false" ht="12.75" hidden="false" customHeight="false" outlineLevel="0" collapsed="false"/>
    <row r="609" customFormat="false" ht="12.75" hidden="false" customHeight="false" outlineLevel="0" collapsed="false"/>
    <row r="610" customFormat="false" ht="12.75" hidden="false" customHeight="false" outlineLevel="0" collapsed="false"/>
    <row r="611" customFormat="false" ht="12.75" hidden="false" customHeight="false" outlineLevel="0" collapsed="false"/>
    <row r="612" customFormat="false" ht="12.75" hidden="false" customHeight="false" outlineLevel="0" collapsed="false"/>
    <row r="613" customFormat="false" ht="12.75" hidden="false" customHeight="false" outlineLevel="0" collapsed="false"/>
    <row r="614" customFormat="false" ht="12.75" hidden="false" customHeight="false" outlineLevel="0" collapsed="false"/>
    <row r="615" customFormat="false" ht="12.75" hidden="false" customHeight="false" outlineLevel="0" collapsed="false"/>
    <row r="616" customFormat="false" ht="12.75" hidden="false" customHeight="false" outlineLevel="0" collapsed="false"/>
    <row r="617" customFormat="false" ht="12.75" hidden="false" customHeight="false" outlineLevel="0" collapsed="false"/>
    <row r="618" customFormat="false" ht="12.75" hidden="false" customHeight="false" outlineLevel="0" collapsed="false"/>
    <row r="619" customFormat="false" ht="12.75" hidden="false" customHeight="false" outlineLevel="0" collapsed="false"/>
    <row r="620" customFormat="false" ht="12.75" hidden="false" customHeight="false" outlineLevel="0" collapsed="false"/>
    <row r="621" customFormat="false" ht="12.75" hidden="false" customHeight="false" outlineLevel="0" collapsed="false"/>
    <row r="622" customFormat="false" ht="12.75" hidden="false" customHeight="false" outlineLevel="0" collapsed="false"/>
    <row r="623" customFormat="false" ht="12.75" hidden="false" customHeight="false" outlineLevel="0" collapsed="false"/>
    <row r="624" customFormat="false" ht="12.75" hidden="false" customHeight="false" outlineLevel="0" collapsed="false"/>
    <row r="625" customFormat="false" ht="12.75" hidden="false" customHeight="false" outlineLevel="0" collapsed="false"/>
    <row r="626" customFormat="false" ht="12.75" hidden="false" customHeight="false" outlineLevel="0" collapsed="false"/>
    <row r="627" customFormat="false" ht="12.75" hidden="false" customHeight="false" outlineLevel="0" collapsed="false"/>
    <row r="628" customFormat="false" ht="12.75" hidden="false" customHeight="false" outlineLevel="0" collapsed="false"/>
    <row r="629" customFormat="false" ht="12.75" hidden="false" customHeight="false" outlineLevel="0" collapsed="false"/>
    <row r="630" customFormat="false" ht="12.75" hidden="false" customHeight="false" outlineLevel="0" collapsed="false"/>
    <row r="631" customFormat="false" ht="12.75" hidden="false" customHeight="false" outlineLevel="0" collapsed="false"/>
    <row r="632" customFormat="false" ht="12.75" hidden="false" customHeight="false" outlineLevel="0" collapsed="false"/>
    <row r="633" customFormat="false" ht="12.75" hidden="false" customHeight="false" outlineLevel="0" collapsed="false"/>
    <row r="634" customFormat="false" ht="12.75" hidden="false" customHeight="false" outlineLevel="0" collapsed="false"/>
    <row r="635" customFormat="false" ht="12.75" hidden="false" customHeight="false" outlineLevel="0" collapsed="false"/>
    <row r="636" customFormat="false" ht="12.75" hidden="false" customHeight="false" outlineLevel="0" collapsed="false"/>
    <row r="637" customFormat="false" ht="12.75" hidden="false" customHeight="false" outlineLevel="0" collapsed="false"/>
    <row r="638" customFormat="false" ht="12.75" hidden="false" customHeight="false" outlineLevel="0" collapsed="false"/>
    <row r="639" customFormat="false" ht="12.75" hidden="false" customHeight="false" outlineLevel="0" collapsed="false"/>
    <row r="640" customFormat="false" ht="12.75" hidden="false" customHeight="false" outlineLevel="0" collapsed="false"/>
    <row r="641" customFormat="false" ht="12.75" hidden="false" customHeight="false" outlineLevel="0" collapsed="false"/>
    <row r="642" customFormat="false" ht="12.75" hidden="false" customHeight="false" outlineLevel="0" collapsed="false"/>
    <row r="643" customFormat="false" ht="12.75" hidden="false" customHeight="false" outlineLevel="0" collapsed="false"/>
    <row r="644" customFormat="false" ht="12.75" hidden="false" customHeight="false" outlineLevel="0" collapsed="false"/>
    <row r="645" customFormat="false" ht="12.75" hidden="false" customHeight="false" outlineLevel="0" collapsed="false"/>
    <row r="646" customFormat="false" ht="12.75" hidden="false" customHeight="false" outlineLevel="0" collapsed="false"/>
    <row r="647" customFormat="false" ht="12.75" hidden="false" customHeight="false" outlineLevel="0" collapsed="false"/>
    <row r="648" customFormat="false" ht="12.75" hidden="false" customHeight="false" outlineLevel="0" collapsed="false"/>
    <row r="649" customFormat="false" ht="12.75" hidden="false" customHeight="false" outlineLevel="0" collapsed="false"/>
    <row r="650" customFormat="false" ht="12.75" hidden="false" customHeight="false" outlineLevel="0" collapsed="false"/>
    <row r="651" customFormat="false" ht="12.75" hidden="false" customHeight="false" outlineLevel="0" collapsed="false"/>
    <row r="652" customFormat="false" ht="12.75" hidden="false" customHeight="false" outlineLevel="0" collapsed="false"/>
    <row r="653" customFormat="false" ht="12.75" hidden="false" customHeight="false" outlineLevel="0" collapsed="false"/>
    <row r="654" customFormat="false" ht="12.75" hidden="false" customHeight="false" outlineLevel="0" collapsed="false"/>
    <row r="655" customFormat="false" ht="12.75" hidden="false" customHeight="false" outlineLevel="0" collapsed="false"/>
    <row r="656" customFormat="false" ht="12.75" hidden="false" customHeight="false" outlineLevel="0" collapsed="false"/>
    <row r="657" customFormat="false" ht="12.75" hidden="false" customHeight="false" outlineLevel="0" collapsed="false"/>
    <row r="658" customFormat="false" ht="12.75" hidden="false" customHeight="false" outlineLevel="0" collapsed="false"/>
    <row r="659" customFormat="false" ht="12.75" hidden="false" customHeight="false" outlineLevel="0" collapsed="false"/>
    <row r="660" customFormat="false" ht="12.75" hidden="false" customHeight="false" outlineLevel="0" collapsed="false"/>
    <row r="661" customFormat="false" ht="12.75" hidden="false" customHeight="false" outlineLevel="0" collapsed="false"/>
    <row r="662" customFormat="false" ht="12.75" hidden="false" customHeight="false" outlineLevel="0" collapsed="false"/>
    <row r="663" customFormat="false" ht="12.75" hidden="false" customHeight="false" outlineLevel="0" collapsed="false"/>
    <row r="664" customFormat="false" ht="12.75" hidden="false" customHeight="false" outlineLevel="0" collapsed="false"/>
    <row r="665" customFormat="false" ht="12.75" hidden="false" customHeight="false" outlineLevel="0" collapsed="false"/>
    <row r="666" customFormat="false" ht="12.75" hidden="false" customHeight="false" outlineLevel="0" collapsed="false"/>
    <row r="667" customFormat="false" ht="12.75" hidden="false" customHeight="false" outlineLevel="0" collapsed="false"/>
    <row r="668" customFormat="false" ht="12.75" hidden="false" customHeight="false" outlineLevel="0" collapsed="false"/>
    <row r="669" customFormat="false" ht="12.75" hidden="false" customHeight="false" outlineLevel="0" collapsed="false"/>
    <row r="670" customFormat="false" ht="12.75" hidden="false" customHeight="false" outlineLevel="0" collapsed="false"/>
    <row r="671" customFormat="false" ht="12.75" hidden="false" customHeight="false" outlineLevel="0" collapsed="false"/>
    <row r="672" customFormat="false" ht="12.75" hidden="false" customHeight="false" outlineLevel="0" collapsed="false"/>
    <row r="673" customFormat="false" ht="12.75" hidden="false" customHeight="false" outlineLevel="0" collapsed="false"/>
    <row r="674" customFormat="false" ht="12.75" hidden="false" customHeight="false" outlineLevel="0" collapsed="false"/>
    <row r="675" customFormat="false" ht="12.75" hidden="false" customHeight="false" outlineLevel="0" collapsed="false"/>
    <row r="676" customFormat="false" ht="12.75" hidden="false" customHeight="false" outlineLevel="0" collapsed="false"/>
    <row r="677" customFormat="false" ht="12.75" hidden="false" customHeight="false" outlineLevel="0" collapsed="false"/>
    <row r="678" customFormat="false" ht="12.75" hidden="false" customHeight="false" outlineLevel="0" collapsed="false"/>
    <row r="679" customFormat="false" ht="12.75" hidden="false" customHeight="false" outlineLevel="0" collapsed="false"/>
    <row r="680" customFormat="false" ht="12.75" hidden="false" customHeight="false" outlineLevel="0" collapsed="false"/>
    <row r="681" customFormat="false" ht="12.75" hidden="false" customHeight="false" outlineLevel="0" collapsed="false"/>
    <row r="682" customFormat="false" ht="12.75" hidden="false" customHeight="false" outlineLevel="0" collapsed="false"/>
    <row r="683" customFormat="false" ht="12.75" hidden="false" customHeight="false" outlineLevel="0" collapsed="false"/>
    <row r="684" customFormat="false" ht="12.75" hidden="false" customHeight="false" outlineLevel="0" collapsed="false"/>
    <row r="685" customFormat="false" ht="12.75" hidden="false" customHeight="false" outlineLevel="0" collapsed="false"/>
    <row r="686" customFormat="false" ht="12.75" hidden="false" customHeight="false" outlineLevel="0" collapsed="false"/>
    <row r="687" customFormat="false" ht="12.75" hidden="false" customHeight="false" outlineLevel="0" collapsed="false"/>
    <row r="688" customFormat="false" ht="12.75" hidden="false" customHeight="false" outlineLevel="0" collapsed="false"/>
    <row r="689" customFormat="false" ht="12.75" hidden="false" customHeight="false" outlineLevel="0" collapsed="false"/>
    <row r="690" customFormat="false" ht="12.75" hidden="false" customHeight="false" outlineLevel="0" collapsed="false"/>
    <row r="691" customFormat="false" ht="12.75" hidden="false" customHeight="false" outlineLevel="0" collapsed="false"/>
    <row r="692" customFormat="false" ht="12.75" hidden="false" customHeight="false" outlineLevel="0" collapsed="false"/>
    <row r="693" customFormat="false" ht="12.75" hidden="false" customHeight="false" outlineLevel="0" collapsed="false"/>
    <row r="694" customFormat="false" ht="12.75" hidden="false" customHeight="false" outlineLevel="0" collapsed="false"/>
    <row r="695" customFormat="false" ht="12.75" hidden="false" customHeight="false" outlineLevel="0" collapsed="false"/>
    <row r="696" customFormat="false" ht="12.75" hidden="false" customHeight="false" outlineLevel="0" collapsed="false"/>
    <row r="697" customFormat="false" ht="12.75" hidden="false" customHeight="false" outlineLevel="0" collapsed="false"/>
    <row r="698" customFormat="false" ht="12.75" hidden="false" customHeight="false" outlineLevel="0" collapsed="false"/>
    <row r="699" customFormat="false" ht="12.75" hidden="false" customHeight="false" outlineLevel="0" collapsed="false"/>
    <row r="700" customFormat="false" ht="12.75" hidden="false" customHeight="false" outlineLevel="0" collapsed="false"/>
    <row r="701" customFormat="false" ht="12.75" hidden="false" customHeight="false" outlineLevel="0" collapsed="false"/>
    <row r="702" customFormat="false" ht="12.75" hidden="false" customHeight="false" outlineLevel="0" collapsed="false"/>
    <row r="703" customFormat="false" ht="12.75" hidden="false" customHeight="false" outlineLevel="0" collapsed="false"/>
    <row r="704" customFormat="false" ht="12.75" hidden="false" customHeight="false" outlineLevel="0" collapsed="false"/>
    <row r="705" customFormat="false" ht="12.75" hidden="false" customHeight="false" outlineLevel="0" collapsed="false"/>
    <row r="706" customFormat="false" ht="12.75" hidden="false" customHeight="false" outlineLevel="0" collapsed="false"/>
    <row r="707" customFormat="false" ht="12.75" hidden="false" customHeight="false" outlineLevel="0" collapsed="false"/>
    <row r="708" customFormat="false" ht="12.75" hidden="false" customHeight="false" outlineLevel="0" collapsed="false"/>
    <row r="709" customFormat="false" ht="12.75" hidden="false" customHeight="false" outlineLevel="0" collapsed="false"/>
    <row r="710" customFormat="false" ht="12.75" hidden="false" customHeight="false" outlineLevel="0" collapsed="false"/>
    <row r="711" customFormat="false" ht="12.75" hidden="false" customHeight="false" outlineLevel="0" collapsed="false"/>
    <row r="712" customFormat="false" ht="12.75" hidden="false" customHeight="false" outlineLevel="0" collapsed="false"/>
    <row r="713" customFormat="false" ht="12.75" hidden="false" customHeight="false" outlineLevel="0" collapsed="false"/>
    <row r="714" customFormat="false" ht="12.75" hidden="false" customHeight="false" outlineLevel="0" collapsed="false"/>
    <row r="715" customFormat="false" ht="12.75" hidden="false" customHeight="false" outlineLevel="0" collapsed="false"/>
    <row r="716" customFormat="false" ht="12.75" hidden="false" customHeight="false" outlineLevel="0" collapsed="false"/>
    <row r="717" customFormat="false" ht="12.75" hidden="false" customHeight="false" outlineLevel="0" collapsed="false"/>
    <row r="718" customFormat="false" ht="12.75" hidden="false" customHeight="false" outlineLevel="0" collapsed="false"/>
    <row r="719" customFormat="false" ht="12.75" hidden="false" customHeight="false" outlineLevel="0" collapsed="false"/>
    <row r="720" customFormat="false" ht="12.75" hidden="false" customHeight="false" outlineLevel="0" collapsed="false"/>
    <row r="721" customFormat="false" ht="12.75" hidden="false" customHeight="false" outlineLevel="0" collapsed="false"/>
    <row r="722" customFormat="false" ht="12.75" hidden="false" customHeight="false" outlineLevel="0" collapsed="false"/>
    <row r="723" customFormat="false" ht="12.75" hidden="false" customHeight="false" outlineLevel="0" collapsed="false"/>
    <row r="724" customFormat="false" ht="12.75" hidden="false" customHeight="false" outlineLevel="0" collapsed="false"/>
    <row r="725" customFormat="false" ht="12.75" hidden="false" customHeight="false" outlineLevel="0" collapsed="false"/>
    <row r="726" customFormat="false" ht="12.75" hidden="false" customHeight="false" outlineLevel="0" collapsed="false"/>
    <row r="727" customFormat="false" ht="12.75" hidden="false" customHeight="false" outlineLevel="0" collapsed="false"/>
    <row r="728" customFormat="false" ht="12.75" hidden="false" customHeight="false" outlineLevel="0" collapsed="false"/>
    <row r="729" customFormat="false" ht="12.75" hidden="false" customHeight="false" outlineLevel="0" collapsed="false"/>
    <row r="730" customFormat="false" ht="12.75" hidden="false" customHeight="false" outlineLevel="0" collapsed="false"/>
    <row r="731" customFormat="false" ht="12.75" hidden="false" customHeight="false" outlineLevel="0" collapsed="false"/>
    <row r="732" customFormat="false" ht="12.75" hidden="false" customHeight="false" outlineLevel="0" collapsed="false"/>
    <row r="733" customFormat="false" ht="12.75" hidden="false" customHeight="false" outlineLevel="0" collapsed="false"/>
    <row r="734" customFormat="false" ht="12.75" hidden="false" customHeight="false" outlineLevel="0" collapsed="false"/>
    <row r="735" customFormat="false" ht="12.75" hidden="false" customHeight="false" outlineLevel="0" collapsed="false"/>
    <row r="736" customFormat="false" ht="12.75" hidden="false" customHeight="false" outlineLevel="0" collapsed="false"/>
    <row r="737" customFormat="false" ht="12.75" hidden="false" customHeight="false" outlineLevel="0" collapsed="false"/>
    <row r="738" customFormat="false" ht="12.75" hidden="false" customHeight="false" outlineLevel="0" collapsed="false"/>
    <row r="739" customFormat="false" ht="12.75" hidden="false" customHeight="false" outlineLevel="0" collapsed="false"/>
    <row r="740" customFormat="false" ht="12.75" hidden="false" customHeight="false" outlineLevel="0" collapsed="false"/>
    <row r="741" customFormat="false" ht="12.75" hidden="false" customHeight="false" outlineLevel="0" collapsed="false"/>
    <row r="742" customFormat="false" ht="12.75" hidden="false" customHeight="false" outlineLevel="0" collapsed="false"/>
    <row r="743" customFormat="false" ht="12.75" hidden="false" customHeight="false" outlineLevel="0" collapsed="false"/>
    <row r="744" customFormat="false" ht="12.75" hidden="false" customHeight="false" outlineLevel="0" collapsed="false"/>
    <row r="745" customFormat="false" ht="12.75" hidden="false" customHeight="false" outlineLevel="0" collapsed="false"/>
    <row r="746" customFormat="false" ht="12.75" hidden="false" customHeight="false" outlineLevel="0" collapsed="false"/>
    <row r="747" customFormat="false" ht="12.75" hidden="false" customHeight="false" outlineLevel="0" collapsed="false"/>
    <row r="748" customFormat="false" ht="12.75" hidden="false" customHeight="false" outlineLevel="0" collapsed="false"/>
    <row r="749" customFormat="false" ht="12.75" hidden="false" customHeight="false" outlineLevel="0" collapsed="false"/>
    <row r="750" customFormat="false" ht="12.75" hidden="false" customHeight="false" outlineLevel="0" collapsed="false"/>
    <row r="751" customFormat="false" ht="12.75" hidden="false" customHeight="false" outlineLevel="0" collapsed="false"/>
    <row r="752" customFormat="false" ht="12.75" hidden="false" customHeight="false" outlineLevel="0" collapsed="false"/>
    <row r="753" customFormat="false" ht="12.75" hidden="false" customHeight="false" outlineLevel="0" collapsed="false"/>
    <row r="754" customFormat="false" ht="12.75" hidden="false" customHeight="false" outlineLevel="0" collapsed="false"/>
    <row r="755" customFormat="false" ht="12.75" hidden="false" customHeight="false" outlineLevel="0" collapsed="false"/>
    <row r="756" customFormat="false" ht="12.75" hidden="false" customHeight="false" outlineLevel="0" collapsed="false"/>
    <row r="757" customFormat="false" ht="12.75" hidden="false" customHeight="false" outlineLevel="0" collapsed="false"/>
    <row r="758" customFormat="false" ht="12.75" hidden="false" customHeight="false" outlineLevel="0" collapsed="false"/>
    <row r="759" customFormat="false" ht="12.75" hidden="false" customHeight="false" outlineLevel="0" collapsed="false"/>
    <row r="760" customFormat="false" ht="12.75" hidden="false" customHeight="false" outlineLevel="0" collapsed="false"/>
    <row r="761" customFormat="false" ht="12.75" hidden="false" customHeight="false" outlineLevel="0" collapsed="false"/>
    <row r="762" customFormat="false" ht="12.75" hidden="false" customHeight="false" outlineLevel="0" collapsed="false"/>
    <row r="763" customFormat="false" ht="12.75" hidden="false" customHeight="false" outlineLevel="0" collapsed="false"/>
    <row r="764" customFormat="false" ht="12.75" hidden="false" customHeight="false" outlineLevel="0" collapsed="false"/>
    <row r="765" customFormat="false" ht="12.75" hidden="false" customHeight="false" outlineLevel="0" collapsed="false"/>
    <row r="766" customFormat="false" ht="12.75" hidden="false" customHeight="false" outlineLevel="0" collapsed="false"/>
    <row r="767" customFormat="false" ht="12.75" hidden="false" customHeight="false" outlineLevel="0" collapsed="false"/>
    <row r="768" customFormat="false" ht="12.75" hidden="false" customHeight="false" outlineLevel="0" collapsed="false"/>
    <row r="769" customFormat="false" ht="12.75" hidden="false" customHeight="false" outlineLevel="0" collapsed="false"/>
    <row r="770" customFormat="false" ht="12.75" hidden="false" customHeight="false" outlineLevel="0" collapsed="false"/>
    <row r="771" customFormat="false" ht="12.75" hidden="false" customHeight="false" outlineLevel="0" collapsed="false"/>
    <row r="772" customFormat="false" ht="12.75" hidden="false" customHeight="false" outlineLevel="0" collapsed="false"/>
    <row r="773" customFormat="false" ht="12.75" hidden="false" customHeight="false" outlineLevel="0" collapsed="false"/>
    <row r="774" customFormat="false" ht="12.75" hidden="false" customHeight="false" outlineLevel="0" collapsed="false"/>
    <row r="775" customFormat="false" ht="12.75" hidden="false" customHeight="false" outlineLevel="0" collapsed="false"/>
    <row r="776" customFormat="false" ht="12.75" hidden="false" customHeight="false" outlineLevel="0" collapsed="false"/>
    <row r="777" customFormat="false" ht="12.75" hidden="false" customHeight="false" outlineLevel="0" collapsed="false"/>
    <row r="778" customFormat="false" ht="12.75" hidden="false" customHeight="false" outlineLevel="0" collapsed="false"/>
    <row r="779" customFormat="false" ht="12.75" hidden="false" customHeight="false" outlineLevel="0" collapsed="false"/>
    <row r="780" customFormat="false" ht="12.75" hidden="false" customHeight="false" outlineLevel="0" collapsed="false"/>
    <row r="781" customFormat="false" ht="12.75" hidden="false" customHeight="false" outlineLevel="0" collapsed="false"/>
    <row r="782" customFormat="false" ht="12.75" hidden="false" customHeight="false" outlineLevel="0" collapsed="false"/>
    <row r="783" customFormat="false" ht="12.75" hidden="false" customHeight="false" outlineLevel="0" collapsed="false"/>
    <row r="784" customFormat="false" ht="12.75" hidden="false" customHeight="false" outlineLevel="0" collapsed="false"/>
    <row r="785" customFormat="false" ht="12.75" hidden="false" customHeight="false" outlineLevel="0" collapsed="false"/>
    <row r="786" customFormat="false" ht="12.75" hidden="false" customHeight="false" outlineLevel="0" collapsed="false"/>
    <row r="787" customFormat="false" ht="12.75" hidden="false" customHeight="false" outlineLevel="0" collapsed="false"/>
    <row r="788" customFormat="false" ht="12.75" hidden="false" customHeight="false" outlineLevel="0" collapsed="false"/>
    <row r="789" customFormat="false" ht="12.75" hidden="false" customHeight="false" outlineLevel="0" collapsed="false"/>
    <row r="790" customFormat="false" ht="12.75" hidden="false" customHeight="false" outlineLevel="0" collapsed="false"/>
    <row r="791" customFormat="false" ht="12.75" hidden="false" customHeight="false" outlineLevel="0" collapsed="false"/>
    <row r="792" customFormat="false" ht="12.75" hidden="false" customHeight="false" outlineLevel="0" collapsed="false"/>
    <row r="793" customFormat="false" ht="12.75" hidden="false" customHeight="false" outlineLevel="0" collapsed="false"/>
    <row r="794" customFormat="false" ht="12.75" hidden="false" customHeight="false" outlineLevel="0" collapsed="false"/>
    <row r="795" customFormat="false" ht="12.75" hidden="false" customHeight="false" outlineLevel="0" collapsed="false"/>
    <row r="796" customFormat="false" ht="12.75" hidden="false" customHeight="false" outlineLevel="0" collapsed="false"/>
    <row r="797" customFormat="false" ht="12.75" hidden="false" customHeight="false" outlineLevel="0" collapsed="false"/>
    <row r="798" customFormat="false" ht="12.75" hidden="false" customHeight="false" outlineLevel="0" collapsed="false"/>
    <row r="799" customFormat="false" ht="12.75" hidden="false" customHeight="false" outlineLevel="0" collapsed="false"/>
    <row r="800" customFormat="false" ht="12.75" hidden="false" customHeight="false" outlineLevel="0" collapsed="false"/>
    <row r="801" customFormat="false" ht="12.75" hidden="false" customHeight="false" outlineLevel="0" collapsed="false"/>
    <row r="802" customFormat="false" ht="12.75" hidden="false" customHeight="false" outlineLevel="0" collapsed="false"/>
    <row r="803" customFormat="false" ht="12.75" hidden="false" customHeight="false" outlineLevel="0" collapsed="false"/>
    <row r="804" customFormat="false" ht="12.75" hidden="false" customHeight="false" outlineLevel="0" collapsed="false"/>
    <row r="805" customFormat="false" ht="12.75" hidden="false" customHeight="false" outlineLevel="0" collapsed="false"/>
    <row r="806" customFormat="false" ht="12.75" hidden="false" customHeight="false" outlineLevel="0" collapsed="false"/>
    <row r="807" customFormat="false" ht="12.75" hidden="false" customHeight="false" outlineLevel="0" collapsed="false"/>
    <row r="808" customFormat="false" ht="12.75" hidden="false" customHeight="false" outlineLevel="0" collapsed="false"/>
    <row r="809" customFormat="false" ht="12.75" hidden="false" customHeight="false" outlineLevel="0" collapsed="false"/>
    <row r="810" customFormat="false" ht="12.75" hidden="false" customHeight="false" outlineLevel="0" collapsed="false"/>
    <row r="811" customFormat="false" ht="12.75" hidden="false" customHeight="false" outlineLevel="0" collapsed="false"/>
    <row r="812" customFormat="false" ht="12.75" hidden="false" customHeight="false" outlineLevel="0" collapsed="false"/>
    <row r="813" customFormat="false" ht="12.75" hidden="false" customHeight="false" outlineLevel="0" collapsed="false"/>
    <row r="814" customFormat="false" ht="12.75" hidden="false" customHeight="false" outlineLevel="0" collapsed="false"/>
    <row r="815" customFormat="false" ht="12.75" hidden="false" customHeight="false" outlineLevel="0" collapsed="false"/>
    <row r="816" customFormat="false" ht="12.75" hidden="false" customHeight="false" outlineLevel="0" collapsed="false"/>
    <row r="817" customFormat="false" ht="12.75" hidden="false" customHeight="false" outlineLevel="0" collapsed="false"/>
    <row r="818" customFormat="false" ht="12.75" hidden="false" customHeight="false" outlineLevel="0" collapsed="false"/>
    <row r="819" customFormat="false" ht="12.75" hidden="false" customHeight="false" outlineLevel="0" collapsed="false"/>
    <row r="820" customFormat="false" ht="12.75" hidden="false" customHeight="false" outlineLevel="0" collapsed="false"/>
    <row r="821" customFormat="false" ht="12.75" hidden="false" customHeight="false" outlineLevel="0" collapsed="false"/>
    <row r="822" customFormat="false" ht="12.75" hidden="false" customHeight="false" outlineLevel="0" collapsed="false"/>
    <row r="823" customFormat="false" ht="12.75" hidden="false" customHeight="false" outlineLevel="0" collapsed="false"/>
    <row r="824" customFormat="false" ht="12.75" hidden="false" customHeight="false" outlineLevel="0" collapsed="false"/>
    <row r="825" customFormat="false" ht="12.75" hidden="false" customHeight="false" outlineLevel="0" collapsed="false"/>
    <row r="826" customFormat="false" ht="12.75" hidden="false" customHeight="false" outlineLevel="0" collapsed="false"/>
    <row r="827" customFormat="false" ht="12.75" hidden="false" customHeight="false" outlineLevel="0" collapsed="false"/>
    <row r="828" customFormat="false" ht="12.75" hidden="false" customHeight="false" outlineLevel="0" collapsed="false"/>
    <row r="829" customFormat="false" ht="12.75" hidden="false" customHeight="false" outlineLevel="0" collapsed="false"/>
    <row r="830" customFormat="false" ht="12.75" hidden="false" customHeight="false" outlineLevel="0" collapsed="false"/>
    <row r="831" customFormat="false" ht="12.75" hidden="false" customHeight="false" outlineLevel="0" collapsed="false"/>
    <row r="832" customFormat="false" ht="12.75" hidden="false" customHeight="false" outlineLevel="0" collapsed="false"/>
    <row r="833" customFormat="false" ht="12.75" hidden="false" customHeight="false" outlineLevel="0" collapsed="false"/>
    <row r="834" customFormat="false" ht="12.75" hidden="false" customHeight="false" outlineLevel="0" collapsed="false"/>
    <row r="835" customFormat="false" ht="12.75" hidden="false" customHeight="false" outlineLevel="0" collapsed="false"/>
    <row r="836" customFormat="false" ht="12.75" hidden="false" customHeight="false" outlineLevel="0" collapsed="false"/>
    <row r="837" customFormat="false" ht="12.75" hidden="false" customHeight="false" outlineLevel="0" collapsed="false"/>
    <row r="838" customFormat="false" ht="12.75" hidden="false" customHeight="false" outlineLevel="0" collapsed="false"/>
    <row r="839" customFormat="false" ht="12.75" hidden="false" customHeight="false" outlineLevel="0" collapsed="false"/>
    <row r="840" customFormat="false" ht="12.75" hidden="false" customHeight="false" outlineLevel="0" collapsed="false"/>
    <row r="841" customFormat="false" ht="12.75" hidden="false" customHeight="false" outlineLevel="0" collapsed="false"/>
    <row r="842" customFormat="false" ht="12.75" hidden="false" customHeight="false" outlineLevel="0" collapsed="false"/>
    <row r="843" customFormat="false" ht="12.75" hidden="false" customHeight="false" outlineLevel="0" collapsed="false"/>
    <row r="844" customFormat="false" ht="12.75" hidden="false" customHeight="false" outlineLevel="0" collapsed="false"/>
    <row r="845" customFormat="false" ht="12.75" hidden="false" customHeight="false" outlineLevel="0" collapsed="false"/>
    <row r="846" customFormat="false" ht="12.75" hidden="false" customHeight="false" outlineLevel="0" collapsed="false"/>
    <row r="847" customFormat="false" ht="12.75" hidden="false" customHeight="false" outlineLevel="0" collapsed="false"/>
    <row r="848" customFormat="false" ht="12.75" hidden="false" customHeight="false" outlineLevel="0" collapsed="false"/>
    <row r="849" customFormat="false" ht="12.75" hidden="false" customHeight="false" outlineLevel="0" collapsed="false"/>
    <row r="850" customFormat="false" ht="12.75" hidden="false" customHeight="false" outlineLevel="0" collapsed="false"/>
    <row r="851" customFormat="false" ht="12.75" hidden="false" customHeight="false" outlineLevel="0" collapsed="false"/>
    <row r="852" customFormat="false" ht="12.75" hidden="false" customHeight="false" outlineLevel="0" collapsed="false"/>
    <row r="853" customFormat="false" ht="12.75" hidden="false" customHeight="false" outlineLevel="0" collapsed="false"/>
    <row r="854" customFormat="false" ht="12.75" hidden="false" customHeight="false" outlineLevel="0" collapsed="false"/>
    <row r="855" customFormat="false" ht="12.75" hidden="false" customHeight="false" outlineLevel="0" collapsed="false"/>
    <row r="856" customFormat="false" ht="12.75" hidden="false" customHeight="false" outlineLevel="0" collapsed="false"/>
    <row r="857" customFormat="false" ht="12.75" hidden="false" customHeight="false" outlineLevel="0" collapsed="false"/>
    <row r="858" customFormat="false" ht="12.75" hidden="false" customHeight="false" outlineLevel="0" collapsed="false"/>
    <row r="859" customFormat="false" ht="12.75" hidden="false" customHeight="false" outlineLevel="0" collapsed="false"/>
    <row r="860" customFormat="false" ht="12.75" hidden="false" customHeight="false" outlineLevel="0" collapsed="false"/>
    <row r="861" customFormat="false" ht="12.75" hidden="false" customHeight="false" outlineLevel="0" collapsed="false"/>
    <row r="862" customFormat="false" ht="12.75" hidden="false" customHeight="false" outlineLevel="0" collapsed="false"/>
    <row r="863" customFormat="false" ht="12.75" hidden="false" customHeight="false" outlineLevel="0" collapsed="false"/>
    <row r="864" customFormat="false" ht="12.75" hidden="false" customHeight="false" outlineLevel="0" collapsed="false"/>
    <row r="865" customFormat="false" ht="12.75" hidden="false" customHeight="false" outlineLevel="0" collapsed="false"/>
    <row r="866" customFormat="false" ht="12.75" hidden="false" customHeight="false" outlineLevel="0" collapsed="false"/>
    <row r="867" customFormat="false" ht="12.75" hidden="false" customHeight="false" outlineLevel="0" collapsed="false"/>
    <row r="868" customFormat="false" ht="12.75" hidden="false" customHeight="false" outlineLevel="0" collapsed="false"/>
    <row r="869" customFormat="false" ht="12.75" hidden="false" customHeight="false" outlineLevel="0" collapsed="false"/>
    <row r="870" customFormat="false" ht="12.75" hidden="false" customHeight="false" outlineLevel="0" collapsed="false"/>
    <row r="871" customFormat="false" ht="12.75" hidden="false" customHeight="false" outlineLevel="0" collapsed="false"/>
    <row r="872" customFormat="false" ht="12.75" hidden="false" customHeight="false" outlineLevel="0" collapsed="false"/>
    <row r="873" customFormat="false" ht="12.75" hidden="false" customHeight="false" outlineLevel="0" collapsed="false"/>
    <row r="874" customFormat="false" ht="12.75" hidden="false" customHeight="false" outlineLevel="0" collapsed="false"/>
    <row r="875" customFormat="false" ht="12.75" hidden="false" customHeight="false" outlineLevel="0" collapsed="false"/>
    <row r="876" customFormat="false" ht="12.75" hidden="false" customHeight="false" outlineLevel="0" collapsed="false"/>
    <row r="877" customFormat="false" ht="12.75" hidden="false" customHeight="false" outlineLevel="0" collapsed="false"/>
    <row r="878" customFormat="false" ht="12.75" hidden="false" customHeight="false" outlineLevel="0" collapsed="false"/>
    <row r="879" customFormat="false" ht="12.75" hidden="false" customHeight="false" outlineLevel="0" collapsed="false"/>
    <row r="880" customFormat="false" ht="12.75" hidden="false" customHeight="false" outlineLevel="0" collapsed="false"/>
    <row r="881" customFormat="false" ht="12.75" hidden="false" customHeight="false" outlineLevel="0" collapsed="false"/>
    <row r="882" customFormat="false" ht="12.75" hidden="false" customHeight="false" outlineLevel="0" collapsed="false"/>
    <row r="883" customFormat="false" ht="12.75" hidden="false" customHeight="false" outlineLevel="0" collapsed="false"/>
    <row r="884" customFormat="false" ht="12.75" hidden="false" customHeight="false" outlineLevel="0" collapsed="false"/>
    <row r="885" customFormat="false" ht="12.75" hidden="false" customHeight="false" outlineLevel="0" collapsed="false"/>
    <row r="886" customFormat="false" ht="12.75" hidden="false" customHeight="false" outlineLevel="0" collapsed="false"/>
    <row r="887" customFormat="false" ht="12.75" hidden="false" customHeight="false" outlineLevel="0" collapsed="false"/>
    <row r="888" customFormat="false" ht="12.75" hidden="false" customHeight="false" outlineLevel="0" collapsed="false"/>
    <row r="889" customFormat="false" ht="12.75" hidden="false" customHeight="false" outlineLevel="0" collapsed="false"/>
    <row r="890" customFormat="false" ht="12.75" hidden="false" customHeight="false" outlineLevel="0" collapsed="false"/>
    <row r="891" customFormat="false" ht="12.75" hidden="false" customHeight="false" outlineLevel="0" collapsed="false"/>
    <row r="892" customFormat="false" ht="12.75" hidden="false" customHeight="false" outlineLevel="0" collapsed="false"/>
    <row r="893" customFormat="false" ht="12.75" hidden="false" customHeight="false" outlineLevel="0" collapsed="false"/>
    <row r="894" customFormat="false" ht="12.75" hidden="false" customHeight="false" outlineLevel="0" collapsed="false"/>
    <row r="895" customFormat="false" ht="12.75" hidden="false" customHeight="false" outlineLevel="0" collapsed="false"/>
    <row r="896" customFormat="false" ht="12.75" hidden="false" customHeight="false" outlineLevel="0" collapsed="false"/>
    <row r="897" customFormat="false" ht="12.75" hidden="false" customHeight="false" outlineLevel="0" collapsed="false"/>
    <row r="898" customFormat="false" ht="12.75" hidden="false" customHeight="false" outlineLevel="0" collapsed="false"/>
    <row r="899" customFormat="false" ht="12.75" hidden="false" customHeight="false" outlineLevel="0" collapsed="false"/>
    <row r="900" customFormat="false" ht="12.75" hidden="false" customHeight="false" outlineLevel="0" collapsed="false"/>
    <row r="901" customFormat="false" ht="12.75" hidden="false" customHeight="false" outlineLevel="0" collapsed="false"/>
    <row r="902" customFormat="false" ht="12.75" hidden="false" customHeight="false" outlineLevel="0" collapsed="false"/>
    <row r="903" customFormat="false" ht="12.75" hidden="false" customHeight="false" outlineLevel="0" collapsed="false"/>
    <row r="904" customFormat="false" ht="12.75" hidden="false" customHeight="false" outlineLevel="0" collapsed="false"/>
    <row r="905" customFormat="false" ht="12.75" hidden="false" customHeight="false" outlineLevel="0" collapsed="false"/>
    <row r="906" customFormat="false" ht="12.75" hidden="false" customHeight="false" outlineLevel="0" collapsed="false"/>
    <row r="907" customFormat="false" ht="12.75" hidden="false" customHeight="false" outlineLevel="0" collapsed="false"/>
    <row r="908" customFormat="false" ht="12.75" hidden="false" customHeight="false" outlineLevel="0" collapsed="false"/>
    <row r="909" customFormat="false" ht="12.75" hidden="false" customHeight="false" outlineLevel="0" collapsed="false"/>
    <row r="910" customFormat="false" ht="12.75" hidden="false" customHeight="false" outlineLevel="0" collapsed="false"/>
    <row r="911" customFormat="false" ht="12.75" hidden="false" customHeight="false" outlineLevel="0" collapsed="false"/>
    <row r="912" customFormat="false" ht="12.75" hidden="false" customHeight="false" outlineLevel="0" collapsed="false"/>
    <row r="913" customFormat="false" ht="12.75" hidden="false" customHeight="false" outlineLevel="0" collapsed="false"/>
    <row r="914" customFormat="false" ht="12.75" hidden="false" customHeight="false" outlineLevel="0" collapsed="false"/>
    <row r="915" customFormat="false" ht="12.75" hidden="false" customHeight="false" outlineLevel="0" collapsed="false"/>
    <row r="916" customFormat="false" ht="12.75" hidden="false" customHeight="false" outlineLevel="0" collapsed="false"/>
    <row r="917" customFormat="false" ht="12.75" hidden="false" customHeight="false" outlineLevel="0" collapsed="false"/>
    <row r="918" customFormat="false" ht="12.75" hidden="false" customHeight="false" outlineLevel="0" collapsed="false"/>
    <row r="919" customFormat="false" ht="12.75" hidden="false" customHeight="false" outlineLevel="0" collapsed="false"/>
    <row r="920" customFormat="false" ht="12.75" hidden="false" customHeight="false" outlineLevel="0" collapsed="false"/>
    <row r="921" customFormat="false" ht="12.75" hidden="false" customHeight="false" outlineLevel="0" collapsed="false"/>
    <row r="922" customFormat="false" ht="12.75" hidden="false" customHeight="false" outlineLevel="0" collapsed="false"/>
    <row r="923" customFormat="false" ht="12.75" hidden="false" customHeight="false" outlineLevel="0" collapsed="false"/>
    <row r="924" customFormat="false" ht="12.75" hidden="false" customHeight="false" outlineLevel="0" collapsed="false"/>
    <row r="925" customFormat="false" ht="12.75" hidden="false" customHeight="false" outlineLevel="0" collapsed="false"/>
    <row r="926" customFormat="false" ht="12.75" hidden="false" customHeight="false" outlineLevel="0" collapsed="false"/>
    <row r="927" customFormat="false" ht="12.75" hidden="false" customHeight="false" outlineLevel="0" collapsed="false"/>
    <row r="928" customFormat="false" ht="12.75" hidden="false" customHeight="false" outlineLevel="0" collapsed="false"/>
    <row r="929" customFormat="false" ht="12.75" hidden="false" customHeight="false" outlineLevel="0" collapsed="false"/>
    <row r="930" customFormat="false" ht="12.75" hidden="false" customHeight="false" outlineLevel="0" collapsed="false"/>
    <row r="931" customFormat="false" ht="12.75" hidden="false" customHeight="false" outlineLevel="0" collapsed="false"/>
    <row r="932" customFormat="false" ht="12.75" hidden="false" customHeight="false" outlineLevel="0" collapsed="false"/>
    <row r="933" customFormat="false" ht="12.75" hidden="false" customHeight="false" outlineLevel="0" collapsed="false"/>
    <row r="934" customFormat="false" ht="12.75" hidden="false" customHeight="false" outlineLevel="0" collapsed="false"/>
    <row r="935" customFormat="false" ht="12.75" hidden="false" customHeight="false" outlineLevel="0" collapsed="false"/>
    <row r="936" customFormat="false" ht="12.75" hidden="false" customHeight="false" outlineLevel="0" collapsed="false"/>
    <row r="937" customFormat="false" ht="12.75" hidden="false" customHeight="false" outlineLevel="0" collapsed="false"/>
    <row r="938" customFormat="false" ht="12.75" hidden="false" customHeight="false" outlineLevel="0" collapsed="false"/>
    <row r="939" customFormat="false" ht="12.75" hidden="false" customHeight="false" outlineLevel="0" collapsed="false"/>
    <row r="940" customFormat="false" ht="12.75" hidden="false" customHeight="false" outlineLevel="0" collapsed="false"/>
    <row r="941" customFormat="false" ht="12.75" hidden="false" customHeight="false" outlineLevel="0" collapsed="false"/>
    <row r="942" customFormat="false" ht="12.75" hidden="false" customHeight="false" outlineLevel="0" collapsed="false"/>
    <row r="943" customFormat="false" ht="12.75" hidden="false" customHeight="false" outlineLevel="0" collapsed="false"/>
    <row r="944" customFormat="false" ht="12.75" hidden="false" customHeight="false" outlineLevel="0" collapsed="false"/>
    <row r="945" customFormat="false" ht="12.75" hidden="false" customHeight="false" outlineLevel="0" collapsed="false"/>
    <row r="946" customFormat="false" ht="12.75" hidden="false" customHeight="false" outlineLevel="0" collapsed="false"/>
    <row r="947" customFormat="false" ht="12.75" hidden="false" customHeight="false" outlineLevel="0" collapsed="false"/>
    <row r="948" customFormat="false" ht="12.75" hidden="false" customHeight="false" outlineLevel="0" collapsed="false"/>
    <row r="949" customFormat="false" ht="12.75" hidden="false" customHeight="false" outlineLevel="0" collapsed="false"/>
    <row r="950" customFormat="false" ht="12.75" hidden="false" customHeight="false" outlineLevel="0" collapsed="false"/>
    <row r="951" customFormat="false" ht="12.75" hidden="false" customHeight="false" outlineLevel="0" collapsed="false"/>
    <row r="952" customFormat="false" ht="12.75" hidden="false" customHeight="false" outlineLevel="0" collapsed="false"/>
    <row r="953" customFormat="false" ht="12.75" hidden="false" customHeight="false" outlineLevel="0" collapsed="false"/>
    <row r="954" customFormat="false" ht="12.75" hidden="false" customHeight="false" outlineLevel="0" collapsed="false"/>
    <row r="955" customFormat="false" ht="12.75" hidden="false" customHeight="false" outlineLevel="0" collapsed="false"/>
    <row r="956" customFormat="false" ht="12.75" hidden="false" customHeight="false" outlineLevel="0" collapsed="false"/>
    <row r="957" customFormat="false" ht="12.75" hidden="false" customHeight="false" outlineLevel="0" collapsed="false"/>
    <row r="958" customFormat="false" ht="12.75" hidden="false" customHeight="false" outlineLevel="0" collapsed="false"/>
    <row r="959" customFormat="false" ht="12.75" hidden="false" customHeight="false" outlineLevel="0" collapsed="false"/>
    <row r="960" customFormat="false" ht="12.75" hidden="false" customHeight="false" outlineLevel="0" collapsed="false"/>
    <row r="961" customFormat="false" ht="12.75" hidden="false" customHeight="false" outlineLevel="0" collapsed="false"/>
    <row r="962" customFormat="false" ht="12.75" hidden="false" customHeight="false" outlineLevel="0" collapsed="false"/>
    <row r="963" customFormat="false" ht="12.75" hidden="false" customHeight="false" outlineLevel="0" collapsed="false"/>
    <row r="964" customFormat="false" ht="12.75" hidden="false" customHeight="false" outlineLevel="0" collapsed="false"/>
    <row r="965" customFormat="false" ht="12.75" hidden="false" customHeight="false" outlineLevel="0" collapsed="false"/>
    <row r="966" customFormat="false" ht="12.75" hidden="false" customHeight="false" outlineLevel="0" collapsed="false"/>
    <row r="967" customFormat="false" ht="12.75" hidden="false" customHeight="false" outlineLevel="0" collapsed="false"/>
    <row r="968" customFormat="false" ht="12.75" hidden="false" customHeight="false" outlineLevel="0" collapsed="false"/>
    <row r="969" customFormat="false" ht="12.75" hidden="false" customHeight="false" outlineLevel="0" collapsed="false"/>
    <row r="970" customFormat="false" ht="12.75" hidden="false" customHeight="false" outlineLevel="0" collapsed="false"/>
    <row r="971" customFormat="false" ht="12.75" hidden="false" customHeight="false" outlineLevel="0" collapsed="false"/>
    <row r="972" customFormat="false" ht="12.75" hidden="false" customHeight="false" outlineLevel="0" collapsed="false"/>
    <row r="973" customFormat="false" ht="12.75" hidden="false" customHeight="false" outlineLevel="0" collapsed="false"/>
    <row r="974" customFormat="false" ht="12.75" hidden="false" customHeight="false" outlineLevel="0" collapsed="false"/>
    <row r="975" customFormat="false" ht="12.75" hidden="false" customHeight="false" outlineLevel="0" collapsed="false"/>
    <row r="976" customFormat="false" ht="12.75" hidden="false" customHeight="false" outlineLevel="0" collapsed="false"/>
    <row r="977" customFormat="false" ht="12.75" hidden="false" customHeight="false" outlineLevel="0" collapsed="false"/>
    <row r="978" customFormat="false" ht="12.75" hidden="false" customHeight="false" outlineLevel="0" collapsed="false"/>
    <row r="979" customFormat="false" ht="12.75" hidden="false" customHeight="false" outlineLevel="0" collapsed="false"/>
    <row r="980" customFormat="false" ht="12.75" hidden="false" customHeight="false" outlineLevel="0" collapsed="false"/>
    <row r="981" customFormat="false" ht="12.75" hidden="false" customHeight="false" outlineLevel="0" collapsed="false"/>
    <row r="982" customFormat="false" ht="12.75" hidden="false" customHeight="false" outlineLevel="0" collapsed="false"/>
    <row r="983" customFormat="false" ht="12.75" hidden="false" customHeight="false" outlineLevel="0" collapsed="false"/>
    <row r="984" customFormat="false" ht="12.75" hidden="false" customHeight="false" outlineLevel="0" collapsed="false"/>
    <row r="985" customFormat="false" ht="12.75" hidden="false" customHeight="false" outlineLevel="0" collapsed="false"/>
    <row r="986" customFormat="false" ht="12.75" hidden="false" customHeight="false" outlineLevel="0" collapsed="false"/>
    <row r="987" customFormat="false" ht="12.75" hidden="false" customHeight="false" outlineLevel="0" collapsed="false"/>
    <row r="988" customFormat="false" ht="12.75" hidden="false" customHeight="false" outlineLevel="0" collapsed="false"/>
    <row r="989" customFormat="false" ht="12.75" hidden="false" customHeight="false" outlineLevel="0" collapsed="false"/>
    <row r="990" customFormat="false" ht="12.75" hidden="false" customHeight="false" outlineLevel="0" collapsed="false"/>
    <row r="991" customFormat="false" ht="12.75" hidden="false" customHeight="false" outlineLevel="0" collapsed="false"/>
    <row r="992" customFormat="false" ht="12.75" hidden="false" customHeight="false" outlineLevel="0" collapsed="false"/>
    <row r="993" customFormat="false" ht="12.75" hidden="false" customHeight="false" outlineLevel="0" collapsed="false"/>
    <row r="994" customFormat="false" ht="12.75" hidden="false" customHeight="false" outlineLevel="0" collapsed="false"/>
    <row r="995" customFormat="false" ht="12.75" hidden="false" customHeight="false" outlineLevel="0" collapsed="false"/>
    <row r="996" customFormat="false" ht="12.75" hidden="false" customHeight="false" outlineLevel="0" collapsed="false"/>
    <row r="997" customFormat="false" ht="12.75" hidden="false" customHeight="false" outlineLevel="0" collapsed="false"/>
    <row r="998" customFormat="false" ht="12.75" hidden="false" customHeight="false" outlineLevel="0" collapsed="false"/>
    <row r="999" customFormat="false" ht="12.75" hidden="false" customHeight="false" outlineLevel="0" collapsed="false"/>
    <row r="1000" customFormat="false" ht="12.75" hidden="false" customHeight="false" outlineLevel="0" collapsed="false"/>
    <row r="1001" customFormat="false" ht="12.75" hidden="false" customHeight="false" outlineLevel="0" collapsed="false"/>
  </sheetData>
  <mergeCells count="2">
    <mergeCell ref="H1:I1"/>
    <mergeCell ref="K5:M6"/>
  </mergeCells>
  <conditionalFormatting sqref="H6:H1001">
    <cfRule type="cellIs" priority="2" operator="between" aboveAverage="0" equalAverage="0" bottom="0" percent="0" rank="0" text="" dxfId="0">
      <formula>0</formula>
      <formula>0.5</formula>
    </cfRule>
  </conditionalFormatting>
  <conditionalFormatting sqref="H6:H1001">
    <cfRule type="cellIs" priority="3" operator="between" aboveAverage="0" equalAverage="0" bottom="0" percent="0" rank="0" text="" dxfId="1">
      <formula>0.51</formula>
      <formula>0.99</formula>
    </cfRule>
  </conditionalFormatting>
  <conditionalFormatting sqref="H6:H1001">
    <cfRule type="cellIs" priority="4" operator="greaterThanOrEqual" aboveAverage="0" equalAverage="0" bottom="0" percent="0" rank="0" text="" dxfId="2">
      <formula>1</formula>
    </cfRule>
  </conditionalFormatting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1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RowHeight="15.75" zeroHeight="false" outlineLevelRow="0" outlineLevelCol="0"/>
  <cols>
    <col collapsed="false" customWidth="true" hidden="false" outlineLevel="0" max="2" min="1" style="0" width="14.43"/>
    <col collapsed="false" customWidth="true" hidden="false" outlineLevel="0" max="3" min="3" style="0" width="22.43"/>
    <col collapsed="false" customWidth="true" hidden="false" outlineLevel="0" max="1025" min="4" style="0" width="14.43"/>
  </cols>
  <sheetData>
    <row r="1" s="26" customFormat="true" ht="48" hidden="false" customHeight="true" outlineLevel="0" collapsed="false">
      <c r="A1" s="23"/>
      <c r="B1" s="23"/>
      <c r="C1" s="23"/>
      <c r="D1" s="23"/>
      <c r="E1" s="24" t="s">
        <v>20</v>
      </c>
      <c r="F1" s="24" t="n">
        <f aca="false">'Cadastro Institucional'!D$6</f>
        <v>0</v>
      </c>
      <c r="G1" s="25" t="n">
        <f aca="false">'Cadastro Institucional'!D$7</f>
        <v>0</v>
      </c>
      <c r="H1" s="41"/>
      <c r="I1" s="41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customFormat="false" ht="12.75" hidden="false" customHeight="false" outlineLevel="0" collapsed="false">
      <c r="A2" s="27" t="s">
        <v>14</v>
      </c>
      <c r="B2" s="27" t="s">
        <v>13</v>
      </c>
      <c r="C2" s="27" t="s">
        <v>15</v>
      </c>
      <c r="D2" s="27" t="s">
        <v>16</v>
      </c>
      <c r="E2" s="27" t="s">
        <v>17</v>
      </c>
      <c r="F2" s="27" t="s">
        <v>18</v>
      </c>
      <c r="G2" s="27" t="s">
        <v>19</v>
      </c>
      <c r="H2" s="69" t="s">
        <v>35</v>
      </c>
      <c r="I2" s="69" t="s">
        <v>36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customFormat="false" ht="12.75" hidden="false" customHeight="false" outlineLevel="0" collapsed="false">
      <c r="A3" s="30" t="n">
        <f aca="false">'Cadastro Institucional'!D$10</f>
        <v>0</v>
      </c>
      <c r="B3" s="31" t="n">
        <f aca="false">'Cadastro Institucional'!D$9</f>
        <v>0</v>
      </c>
      <c r="C3" s="31" t="n">
        <f aca="false">'Cadastro Institucional'!D$11</f>
        <v>0</v>
      </c>
      <c r="D3" s="32" t="n">
        <f aca="false">'Cadastro Institucional'!D$12</f>
        <v>0</v>
      </c>
      <c r="E3" s="31" t="n">
        <f aca="false">'Cadastro Institucional'!D$13</f>
        <v>0</v>
      </c>
      <c r="F3" s="31" t="n">
        <f aca="false">'Cadastro Institucional'!D$14</f>
        <v>0</v>
      </c>
      <c r="G3" s="33" t="n">
        <f aca="false">'Cadastro Institucional'!D$15</f>
        <v>0</v>
      </c>
      <c r="H3" s="70"/>
      <c r="I3" s="70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customFormat="false" ht="12.75" hidden="false" customHeight="false" outlineLevel="0" collapsed="false">
      <c r="A4" s="29"/>
      <c r="B4" s="29"/>
      <c r="C4" s="29"/>
      <c r="D4" s="29"/>
      <c r="E4" s="29"/>
      <c r="F4" s="29"/>
      <c r="G4" s="29"/>
      <c r="H4" s="29"/>
      <c r="I4" s="29"/>
      <c r="J4" s="29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 customFormat="false" ht="25.5" hidden="false" customHeight="true" outlineLevel="0" collapsed="false">
      <c r="A5" s="56" t="s">
        <v>21</v>
      </c>
      <c r="B5" s="56" t="s">
        <v>23</v>
      </c>
      <c r="C5" s="56" t="s">
        <v>22</v>
      </c>
      <c r="D5" s="56" t="s">
        <v>28</v>
      </c>
      <c r="E5" s="56" t="s">
        <v>29</v>
      </c>
      <c r="F5" s="56" t="s">
        <v>30</v>
      </c>
      <c r="G5" s="56" t="s">
        <v>31</v>
      </c>
      <c r="H5" s="56" t="s">
        <v>32</v>
      </c>
      <c r="I5" s="56" t="s">
        <v>33</v>
      </c>
      <c r="J5" s="58"/>
      <c r="K5" s="20" t="s">
        <v>8</v>
      </c>
      <c r="L5" s="20"/>
      <c r="M5" s="20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</row>
    <row r="6" customFormat="false" ht="12.75" hidden="false" customHeight="true" outlineLevel="0" collapsed="false">
      <c r="A6" s="37" t="n">
        <f aca="false">'Itens de Contrato'!A6</f>
        <v>0</v>
      </c>
      <c r="B6" s="37" t="n">
        <f aca="false">'Itens de Contrato'!B6</f>
        <v>0</v>
      </c>
      <c r="C6" s="37" t="e">
        <f aca="false">VLOOKUP(B6,'Itens de Contrato'!B$5:G$151,2,0)</f>
        <v>#N/A</v>
      </c>
      <c r="D6" s="52"/>
      <c r="E6" s="63" t="n">
        <f aca="false">D6*'Itens de Contrato'!F6</f>
        <v>0</v>
      </c>
      <c r="F6" s="62" t="n">
        <f aca="false">'Medição 01'!F6-'Medição 01'!G6</f>
        <v>0</v>
      </c>
      <c r="G6" s="52"/>
      <c r="H6" s="64" t="e">
        <f aca="false">G6/D6</f>
        <v>#DIV/0!</v>
      </c>
      <c r="I6" s="63" t="n">
        <f aca="false">G6*'Itens de Contrato'!F6</f>
        <v>0</v>
      </c>
      <c r="J6" s="37"/>
      <c r="K6" s="20"/>
      <c r="L6" s="20"/>
      <c r="M6" s="20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customFormat="false" ht="12.8" hidden="false" customHeight="false" outlineLevel="0" collapsed="false">
      <c r="A7" s="37" t="n">
        <f aca="false">'Itens de Contrato'!A7</f>
        <v>0</v>
      </c>
      <c r="B7" s="37" t="n">
        <f aca="false">'Itens de Contrato'!B7</f>
        <v>0</v>
      </c>
      <c r="C7" s="37" t="e">
        <f aca="false">VLOOKUP(B7,'Itens de Contrato'!B$5:G$151,2,0)</f>
        <v>#N/A</v>
      </c>
      <c r="D7" s="52"/>
      <c r="E7" s="63" t="n">
        <f aca="false">D7*'Itens de Contrato'!F7</f>
        <v>0</v>
      </c>
      <c r="F7" s="62" t="n">
        <f aca="false">'Medição 01'!F7-'Medição 01'!G7</f>
        <v>0</v>
      </c>
      <c r="G7" s="52"/>
      <c r="H7" s="64" t="e">
        <f aca="false">G7/D7</f>
        <v>#DIV/0!</v>
      </c>
      <c r="I7" s="63" t="n">
        <f aca="false">G7*'Itens de Contrato'!F7</f>
        <v>0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customFormat="false" ht="12.8" hidden="false" customHeight="false" outlineLevel="0" collapsed="false">
      <c r="A8" s="37" t="n">
        <f aca="false">'Itens de Contrato'!A8</f>
        <v>0</v>
      </c>
      <c r="B8" s="37" t="n">
        <f aca="false">'Itens de Contrato'!B8</f>
        <v>0</v>
      </c>
      <c r="C8" s="37" t="e">
        <f aca="false">VLOOKUP(B8,'Itens de Contrato'!B$5:G$151,2,0)</f>
        <v>#N/A</v>
      </c>
      <c r="D8" s="52"/>
      <c r="E8" s="63" t="n">
        <f aca="false">D8*'Itens de Contrato'!F8</f>
        <v>0</v>
      </c>
      <c r="F8" s="62" t="n">
        <f aca="false">'Medição 01'!F8-'Medição 01'!G8</f>
        <v>0</v>
      </c>
      <c r="G8" s="52"/>
      <c r="H8" s="64" t="e">
        <f aca="false">G8/D8</f>
        <v>#DIV/0!</v>
      </c>
      <c r="I8" s="63" t="n">
        <f aca="false">G8*'Itens de Contrato'!F8</f>
        <v>0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customFormat="false" ht="12.8" hidden="false" customHeight="false" outlineLevel="0" collapsed="false">
      <c r="A9" s="37" t="n">
        <f aca="false">'Itens de Contrato'!A9</f>
        <v>0</v>
      </c>
      <c r="B9" s="37" t="n">
        <f aca="false">'Itens de Contrato'!B9</f>
        <v>0</v>
      </c>
      <c r="C9" s="37" t="e">
        <f aca="false">VLOOKUP(B9,'Itens de Contrato'!B$5:G$151,2,0)</f>
        <v>#N/A</v>
      </c>
      <c r="D9" s="52"/>
      <c r="E9" s="63" t="n">
        <f aca="false">D9*'Itens de Contrato'!F9</f>
        <v>0</v>
      </c>
      <c r="F9" s="62" t="n">
        <f aca="false">'Medição 01'!F9-'Medição 01'!G9</f>
        <v>0</v>
      </c>
      <c r="G9" s="52"/>
      <c r="H9" s="64" t="e">
        <f aca="false">G9/D9</f>
        <v>#DIV/0!</v>
      </c>
      <c r="I9" s="63" t="n">
        <f aca="false">G9*'Itens de Contrato'!F9</f>
        <v>0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 customFormat="false" ht="12.8" hidden="false" customHeight="false" outlineLevel="0" collapsed="false">
      <c r="A10" s="37" t="n">
        <f aca="false">'Itens de Contrato'!A10</f>
        <v>0</v>
      </c>
      <c r="B10" s="37" t="n">
        <f aca="false">'Itens de Contrato'!B10</f>
        <v>0</v>
      </c>
      <c r="C10" s="37" t="e">
        <f aca="false">VLOOKUP(B10,'Itens de Contrato'!B$5:G$151,2,0)</f>
        <v>#N/A</v>
      </c>
      <c r="D10" s="52"/>
      <c r="E10" s="63" t="n">
        <f aca="false">D10*'Itens de Contrato'!F10</f>
        <v>0</v>
      </c>
      <c r="F10" s="62" t="n">
        <f aca="false">'Medição 01'!F10-'Medição 01'!G10</f>
        <v>0</v>
      </c>
      <c r="G10" s="52"/>
      <c r="H10" s="64" t="e">
        <f aca="false">G10/D10</f>
        <v>#DIV/0!</v>
      </c>
      <c r="I10" s="63" t="n">
        <f aca="false">G10*'Itens de Contrato'!F10</f>
        <v>0</v>
      </c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 customFormat="false" ht="12.8" hidden="false" customHeight="false" outlineLevel="0" collapsed="false">
      <c r="A11" s="37" t="n">
        <f aca="false">'Itens de Contrato'!A11</f>
        <v>0</v>
      </c>
      <c r="B11" s="37" t="n">
        <f aca="false">'Itens de Contrato'!B11</f>
        <v>0</v>
      </c>
      <c r="C11" s="37" t="e">
        <f aca="false">VLOOKUP(B11,'Itens de Contrato'!B$5:G$151,2,0)</f>
        <v>#N/A</v>
      </c>
      <c r="D11" s="52"/>
      <c r="E11" s="63" t="n">
        <f aca="false">D11*'Itens de Contrato'!F11</f>
        <v>0</v>
      </c>
      <c r="F11" s="62" t="n">
        <f aca="false">'Medição 01'!F11-'Medição 01'!G11</f>
        <v>0</v>
      </c>
      <c r="G11" s="52"/>
      <c r="H11" s="64" t="e">
        <f aca="false">G11/D11</f>
        <v>#DIV/0!</v>
      </c>
      <c r="I11" s="63" t="n">
        <f aca="false">G11*'Itens de Contrato'!F11</f>
        <v>0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 customFormat="false" ht="12.8" hidden="false" customHeight="false" outlineLevel="0" collapsed="false">
      <c r="A12" s="37" t="n">
        <f aca="false">'Itens de Contrato'!A12</f>
        <v>0</v>
      </c>
      <c r="B12" s="37" t="n">
        <f aca="false">'Itens de Contrato'!B12</f>
        <v>0</v>
      </c>
      <c r="C12" s="37" t="e">
        <f aca="false">VLOOKUP(B12,'Itens de Contrato'!B$5:G$151,2,0)</f>
        <v>#N/A</v>
      </c>
      <c r="D12" s="52"/>
      <c r="E12" s="63" t="n">
        <f aca="false">D12*'Itens de Contrato'!F12</f>
        <v>0</v>
      </c>
      <c r="F12" s="62" t="n">
        <f aca="false">'Medição 01'!F12-'Medição 01'!G12</f>
        <v>0</v>
      </c>
      <c r="G12" s="52"/>
      <c r="H12" s="64" t="e">
        <f aca="false">G12/D12</f>
        <v>#DIV/0!</v>
      </c>
      <c r="I12" s="63" t="n">
        <f aca="false">G12*'Itens de Contrato'!F12</f>
        <v>0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 customFormat="false" ht="12.8" hidden="false" customHeight="false" outlineLevel="0" collapsed="false">
      <c r="A13" s="37" t="n">
        <f aca="false">'Itens de Contrato'!A13</f>
        <v>0</v>
      </c>
      <c r="B13" s="37" t="n">
        <f aca="false">'Itens de Contrato'!B13</f>
        <v>0</v>
      </c>
      <c r="C13" s="37" t="e">
        <f aca="false">VLOOKUP(B13,'Itens de Contrato'!B$5:G$151,2,0)</f>
        <v>#N/A</v>
      </c>
      <c r="D13" s="52"/>
      <c r="E13" s="63" t="n">
        <f aca="false">D13*'Itens de Contrato'!F13</f>
        <v>0</v>
      </c>
      <c r="F13" s="62" t="n">
        <f aca="false">'Medição 01'!F13-'Medição 01'!G13</f>
        <v>0</v>
      </c>
      <c r="G13" s="52"/>
      <c r="H13" s="64" t="e">
        <f aca="false">G13/D13</f>
        <v>#DIV/0!</v>
      </c>
      <c r="I13" s="63" t="n">
        <f aca="false">G13*'Itens de Contrato'!F13</f>
        <v>0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customFormat="false" ht="12.8" hidden="false" customHeight="false" outlineLevel="0" collapsed="false">
      <c r="A14" s="37" t="n">
        <f aca="false">'Itens de Contrato'!A14</f>
        <v>0</v>
      </c>
      <c r="B14" s="37" t="n">
        <f aca="false">'Itens de Contrato'!B14</f>
        <v>0</v>
      </c>
      <c r="C14" s="37" t="e">
        <f aca="false">VLOOKUP(B14,'Itens de Contrato'!B$5:G$151,2,0)</f>
        <v>#N/A</v>
      </c>
      <c r="D14" s="52"/>
      <c r="E14" s="63" t="n">
        <f aca="false">D14*'Itens de Contrato'!F14</f>
        <v>0</v>
      </c>
      <c r="F14" s="62" t="n">
        <f aca="false">'Medição 01'!F14-'Medição 01'!G14</f>
        <v>0</v>
      </c>
      <c r="G14" s="52"/>
      <c r="H14" s="64" t="e">
        <f aca="false">G14/D14</f>
        <v>#DIV/0!</v>
      </c>
      <c r="I14" s="63" t="n">
        <f aca="false">G14*'Itens de Contrato'!F14</f>
        <v>0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 customFormat="false" ht="12.8" hidden="false" customHeight="false" outlineLevel="0" collapsed="false">
      <c r="A15" s="37" t="n">
        <f aca="false">'Itens de Contrato'!A15</f>
        <v>0</v>
      </c>
      <c r="B15" s="37" t="n">
        <f aca="false">'Itens de Contrato'!B15</f>
        <v>0</v>
      </c>
      <c r="C15" s="37" t="e">
        <f aca="false">VLOOKUP(B15,'Itens de Contrato'!B$5:G$151,2,0)</f>
        <v>#N/A</v>
      </c>
      <c r="D15" s="52"/>
      <c r="E15" s="63" t="n">
        <f aca="false">D15*'Itens de Contrato'!F15</f>
        <v>0</v>
      </c>
      <c r="F15" s="62" t="n">
        <f aca="false">'Medição 01'!F15-'Medição 01'!G15</f>
        <v>0</v>
      </c>
      <c r="G15" s="52"/>
      <c r="H15" s="64" t="e">
        <f aca="false">G15/D15</f>
        <v>#DIV/0!</v>
      </c>
      <c r="I15" s="63" t="n">
        <f aca="false">G15*'Itens de Contrato'!F15</f>
        <v>0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customFormat="false" ht="12.8" hidden="false" customHeight="false" outlineLevel="0" collapsed="false">
      <c r="A16" s="37" t="n">
        <f aca="false">'Itens de Contrato'!A16</f>
        <v>0</v>
      </c>
      <c r="B16" s="37" t="n">
        <f aca="false">'Itens de Contrato'!B16</f>
        <v>0</v>
      </c>
      <c r="C16" s="37" t="e">
        <f aca="false">VLOOKUP(B16,'Itens de Contrato'!B$5:G$151,2,0)</f>
        <v>#N/A</v>
      </c>
      <c r="D16" s="52"/>
      <c r="E16" s="63" t="n">
        <f aca="false">D16*'Itens de Contrato'!F16</f>
        <v>0</v>
      </c>
      <c r="F16" s="62" t="n">
        <f aca="false">'Medição 01'!F16-'Medição 01'!G16</f>
        <v>0</v>
      </c>
      <c r="G16" s="52"/>
      <c r="H16" s="64" t="e">
        <f aca="false">G16/D16</f>
        <v>#DIV/0!</v>
      </c>
      <c r="I16" s="63" t="n">
        <f aca="false">G16*'Itens de Contrato'!F16</f>
        <v>0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7" customFormat="false" ht="12.8" hidden="false" customHeight="false" outlineLevel="0" collapsed="false">
      <c r="A17" s="37" t="n">
        <f aca="false">'Itens de Contrato'!A17</f>
        <v>0</v>
      </c>
      <c r="B17" s="37" t="n">
        <f aca="false">'Itens de Contrato'!B17</f>
        <v>0</v>
      </c>
      <c r="C17" s="37" t="e">
        <f aca="false">VLOOKUP(B17,'Itens de Contrato'!B$5:G$151,2,0)</f>
        <v>#N/A</v>
      </c>
      <c r="D17" s="52"/>
      <c r="E17" s="63" t="n">
        <f aca="false">D17*'Itens de Contrato'!F17</f>
        <v>0</v>
      </c>
      <c r="F17" s="62" t="n">
        <f aca="false">'Medição 01'!F17-'Medição 01'!G17</f>
        <v>0</v>
      </c>
      <c r="G17" s="52"/>
      <c r="H17" s="64" t="e">
        <f aca="false">G17/D17</f>
        <v>#DIV/0!</v>
      </c>
      <c r="I17" s="63" t="n">
        <f aca="false">G17*'Itens de Contrato'!F17</f>
        <v>0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</row>
    <row r="18" customFormat="false" ht="12.8" hidden="false" customHeight="false" outlineLevel="0" collapsed="false">
      <c r="A18" s="37" t="n">
        <f aca="false">'Itens de Contrato'!A18</f>
        <v>0</v>
      </c>
      <c r="B18" s="37" t="n">
        <f aca="false">'Itens de Contrato'!B18</f>
        <v>0</v>
      </c>
      <c r="C18" s="37" t="e">
        <f aca="false">VLOOKUP(B18,'Itens de Contrato'!B$5:G$151,2,0)</f>
        <v>#N/A</v>
      </c>
      <c r="D18" s="52"/>
      <c r="E18" s="63" t="n">
        <f aca="false">D18*'Itens de Contrato'!F18</f>
        <v>0</v>
      </c>
      <c r="F18" s="62" t="n">
        <f aca="false">'Medição 01'!F18-'Medição 01'!G18</f>
        <v>0</v>
      </c>
      <c r="G18" s="52"/>
      <c r="H18" s="64" t="e">
        <f aca="false">G18/D18</f>
        <v>#DIV/0!</v>
      </c>
      <c r="I18" s="63" t="n">
        <f aca="false">G18*'Itens de Contrato'!F18</f>
        <v>0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</row>
    <row r="19" customFormat="false" ht="12.8" hidden="false" customHeight="false" outlineLevel="0" collapsed="false">
      <c r="A19" s="37" t="n">
        <f aca="false">'Itens de Contrato'!A19</f>
        <v>0</v>
      </c>
      <c r="B19" s="37" t="n">
        <f aca="false">'Itens de Contrato'!B19</f>
        <v>0</v>
      </c>
      <c r="C19" s="37" t="e">
        <f aca="false">VLOOKUP(B19,'Itens de Contrato'!B$5:G$151,2,0)</f>
        <v>#N/A</v>
      </c>
      <c r="D19" s="52"/>
      <c r="E19" s="63" t="n">
        <f aca="false">D19*'Itens de Contrato'!F19</f>
        <v>0</v>
      </c>
      <c r="F19" s="62" t="n">
        <f aca="false">'Medição 01'!F19-'Medição 01'!G19</f>
        <v>0</v>
      </c>
      <c r="G19" s="52"/>
      <c r="H19" s="64" t="e">
        <f aca="false">G19/D19</f>
        <v>#DIV/0!</v>
      </c>
      <c r="I19" s="63" t="n">
        <f aca="false">G19*'Itens de Contrato'!F19</f>
        <v>0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</row>
    <row r="20" customFormat="false" ht="12.8" hidden="false" customHeight="false" outlineLevel="0" collapsed="false">
      <c r="A20" s="37" t="n">
        <f aca="false">'Itens de Contrato'!A20</f>
        <v>0</v>
      </c>
      <c r="B20" s="37" t="n">
        <f aca="false">'Itens de Contrato'!B20</f>
        <v>0</v>
      </c>
      <c r="C20" s="37" t="e">
        <f aca="false">VLOOKUP(B20,'Itens de Contrato'!B$5:G$151,2,0)</f>
        <v>#N/A</v>
      </c>
      <c r="D20" s="52"/>
      <c r="E20" s="63" t="n">
        <f aca="false">D20*'Itens de Contrato'!F20</f>
        <v>0</v>
      </c>
      <c r="F20" s="62" t="n">
        <f aca="false">'Medição 01'!F20-'Medição 01'!G20</f>
        <v>0</v>
      </c>
      <c r="G20" s="52"/>
      <c r="H20" s="64" t="e">
        <f aca="false">G20/D20</f>
        <v>#DIV/0!</v>
      </c>
      <c r="I20" s="63" t="n">
        <f aca="false">G20*'Itens de Contrato'!F20</f>
        <v>0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</row>
    <row r="21" customFormat="false" ht="12.8" hidden="false" customHeight="false" outlineLevel="0" collapsed="false">
      <c r="A21" s="37" t="n">
        <f aca="false">'Itens de Contrato'!A21</f>
        <v>0</v>
      </c>
      <c r="B21" s="37" t="n">
        <f aca="false">'Itens de Contrato'!B21</f>
        <v>0</v>
      </c>
      <c r="C21" s="37" t="e">
        <f aca="false">VLOOKUP(B21,'Itens de Contrato'!B$5:G$151,2,0)</f>
        <v>#N/A</v>
      </c>
      <c r="D21" s="52"/>
      <c r="E21" s="63" t="n">
        <f aca="false">D21*'Itens de Contrato'!F21</f>
        <v>0</v>
      </c>
      <c r="F21" s="62" t="n">
        <f aca="false">'Medição 01'!F21-'Medição 01'!G21</f>
        <v>0</v>
      </c>
      <c r="G21" s="52"/>
      <c r="H21" s="64" t="e">
        <f aca="false">G21/D21</f>
        <v>#DIV/0!</v>
      </c>
      <c r="I21" s="63" t="n">
        <f aca="false">G21*'Itens de Contrato'!F21</f>
        <v>0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customFormat="false" ht="12.8" hidden="false" customHeight="false" outlineLevel="0" collapsed="false">
      <c r="A22" s="37" t="n">
        <f aca="false">'Itens de Contrato'!A22</f>
        <v>0</v>
      </c>
      <c r="B22" s="37" t="n">
        <f aca="false">'Itens de Contrato'!B22</f>
        <v>0</v>
      </c>
      <c r="C22" s="37" t="e">
        <f aca="false">VLOOKUP(B22,'Itens de Contrato'!B$5:G$151,2,0)</f>
        <v>#N/A</v>
      </c>
      <c r="D22" s="52"/>
      <c r="E22" s="63" t="n">
        <f aca="false">D22*'Itens de Contrato'!F22</f>
        <v>0</v>
      </c>
      <c r="F22" s="62" t="n">
        <f aca="false">'Medição 01'!F22-'Medição 01'!G22</f>
        <v>0</v>
      </c>
      <c r="G22" s="52"/>
      <c r="H22" s="64" t="e">
        <f aca="false">G22/D22</f>
        <v>#DIV/0!</v>
      </c>
      <c r="I22" s="63" t="n">
        <f aca="false">G22*'Itens de Contrato'!F22</f>
        <v>0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  <row r="23" customFormat="false" ht="12.8" hidden="false" customHeight="false" outlineLevel="0" collapsed="false">
      <c r="A23" s="37" t="n">
        <f aca="false">'Itens de Contrato'!A23</f>
        <v>0</v>
      </c>
      <c r="B23" s="37" t="n">
        <f aca="false">'Itens de Contrato'!B23</f>
        <v>0</v>
      </c>
      <c r="C23" s="37" t="e">
        <f aca="false">VLOOKUP(B23,'Itens de Contrato'!B$5:G$151,2,0)</f>
        <v>#N/A</v>
      </c>
      <c r="D23" s="52"/>
      <c r="E23" s="63" t="n">
        <f aca="false">D23*'Itens de Contrato'!F23</f>
        <v>0</v>
      </c>
      <c r="F23" s="62" t="n">
        <f aca="false">'Medição 01'!F23-'Medição 01'!G23</f>
        <v>0</v>
      </c>
      <c r="G23" s="52"/>
      <c r="H23" s="64" t="e">
        <f aca="false">G23/D23</f>
        <v>#DIV/0!</v>
      </c>
      <c r="I23" s="63" t="n">
        <f aca="false">G23*'Itens de Contrato'!F23</f>
        <v>0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</row>
    <row r="24" customFormat="false" ht="12.8" hidden="false" customHeight="false" outlineLevel="0" collapsed="false">
      <c r="A24" s="37" t="n">
        <f aca="false">'Itens de Contrato'!A24</f>
        <v>0</v>
      </c>
      <c r="B24" s="37" t="n">
        <f aca="false">'Itens de Contrato'!B24</f>
        <v>0</v>
      </c>
      <c r="C24" s="37" t="e">
        <f aca="false">VLOOKUP(B24,'Itens de Contrato'!B$5:G$151,2,0)</f>
        <v>#N/A</v>
      </c>
      <c r="D24" s="52"/>
      <c r="E24" s="63" t="n">
        <f aca="false">D24*'Itens de Contrato'!F24</f>
        <v>0</v>
      </c>
      <c r="F24" s="62" t="n">
        <f aca="false">'Medição 01'!F24-'Medição 01'!G24</f>
        <v>0</v>
      </c>
      <c r="G24" s="52"/>
      <c r="H24" s="64" t="e">
        <f aca="false">G24/D24</f>
        <v>#DIV/0!</v>
      </c>
      <c r="I24" s="63" t="n">
        <f aca="false">G24*'Itens de Contrato'!F24</f>
        <v>0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</row>
    <row r="25" customFormat="false" ht="12.8" hidden="false" customHeight="false" outlineLevel="0" collapsed="false">
      <c r="A25" s="37" t="n">
        <f aca="false">'Itens de Contrato'!A25</f>
        <v>0</v>
      </c>
      <c r="B25" s="37" t="n">
        <f aca="false">'Itens de Contrato'!B25</f>
        <v>0</v>
      </c>
      <c r="C25" s="37" t="e">
        <f aca="false">VLOOKUP(B25,'Itens de Contrato'!B$5:G$151,2,0)</f>
        <v>#N/A</v>
      </c>
      <c r="D25" s="52"/>
      <c r="E25" s="63" t="n">
        <f aca="false">D25*'Itens de Contrato'!F25</f>
        <v>0</v>
      </c>
      <c r="F25" s="62" t="n">
        <f aca="false">'Medição 01'!F25-'Medição 01'!G25</f>
        <v>0</v>
      </c>
      <c r="G25" s="52"/>
      <c r="H25" s="64" t="e">
        <f aca="false">G25/D25</f>
        <v>#DIV/0!</v>
      </c>
      <c r="I25" s="63" t="n">
        <f aca="false">G25*'Itens de Contrato'!F25</f>
        <v>0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</row>
    <row r="26" customFormat="false" ht="12.8" hidden="false" customHeight="false" outlineLevel="0" collapsed="false">
      <c r="A26" s="37" t="n">
        <f aca="false">'Itens de Contrato'!A26</f>
        <v>0</v>
      </c>
      <c r="B26" s="37" t="n">
        <f aca="false">'Itens de Contrato'!B26</f>
        <v>0</v>
      </c>
      <c r="C26" s="37" t="e">
        <f aca="false">VLOOKUP(B26,'Itens de Contrato'!B$5:G$151,2,0)</f>
        <v>#N/A</v>
      </c>
      <c r="D26" s="52"/>
      <c r="E26" s="63" t="n">
        <f aca="false">D26*'Itens de Contrato'!F26</f>
        <v>0</v>
      </c>
      <c r="F26" s="62" t="n">
        <f aca="false">'Medição 01'!F26-'Medição 01'!G26</f>
        <v>0</v>
      </c>
      <c r="G26" s="52"/>
      <c r="H26" s="64" t="e">
        <f aca="false">G26/D26</f>
        <v>#DIV/0!</v>
      </c>
      <c r="I26" s="63" t="n">
        <f aca="false">G26*'Itens de Contrato'!F26</f>
        <v>0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</row>
    <row r="27" customFormat="false" ht="12.8" hidden="false" customHeight="false" outlineLevel="0" collapsed="false">
      <c r="A27" s="37" t="n">
        <f aca="false">'Itens de Contrato'!A27</f>
        <v>0</v>
      </c>
      <c r="B27" s="37" t="n">
        <f aca="false">'Itens de Contrato'!B27</f>
        <v>0</v>
      </c>
      <c r="C27" s="37" t="e">
        <f aca="false">VLOOKUP(B27,'Itens de Contrato'!B$5:G$151,2,0)</f>
        <v>#N/A</v>
      </c>
      <c r="D27" s="52"/>
      <c r="E27" s="63" t="n">
        <f aca="false">D27*'Itens de Contrato'!F27</f>
        <v>0</v>
      </c>
      <c r="F27" s="62" t="n">
        <f aca="false">'Medição 01'!F27-'Medição 01'!G27</f>
        <v>0</v>
      </c>
      <c r="G27" s="52"/>
      <c r="H27" s="64" t="e">
        <f aca="false">G27/D27</f>
        <v>#DIV/0!</v>
      </c>
      <c r="I27" s="63" t="n">
        <f aca="false">G27*'Itens de Contrato'!F27</f>
        <v>0</v>
      </c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</row>
    <row r="28" customFormat="false" ht="12.8" hidden="false" customHeight="false" outlineLevel="0" collapsed="false">
      <c r="A28" s="37" t="n">
        <f aca="false">'Itens de Contrato'!A28</f>
        <v>0</v>
      </c>
      <c r="B28" s="37" t="n">
        <f aca="false">'Itens de Contrato'!B28</f>
        <v>0</v>
      </c>
      <c r="C28" s="37" t="e">
        <f aca="false">VLOOKUP(B28,'Itens de Contrato'!B$5:G$151,2,0)</f>
        <v>#N/A</v>
      </c>
      <c r="D28" s="52"/>
      <c r="E28" s="63" t="n">
        <f aca="false">D28*'Itens de Contrato'!F28</f>
        <v>0</v>
      </c>
      <c r="F28" s="62" t="n">
        <f aca="false">'Medição 01'!F28-'Medição 01'!G28</f>
        <v>0</v>
      </c>
      <c r="G28" s="52"/>
      <c r="H28" s="64" t="e">
        <f aca="false">G28/D28</f>
        <v>#DIV/0!</v>
      </c>
      <c r="I28" s="63" t="n">
        <f aca="false">G28*'Itens de Contrato'!F28</f>
        <v>0</v>
      </c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customFormat="false" ht="12.8" hidden="false" customHeight="false" outlineLevel="0" collapsed="false">
      <c r="A29" s="37" t="n">
        <f aca="false">'Itens de Contrato'!A29</f>
        <v>0</v>
      </c>
      <c r="B29" s="37" t="n">
        <f aca="false">'Itens de Contrato'!B29</f>
        <v>0</v>
      </c>
      <c r="C29" s="37" t="e">
        <f aca="false">VLOOKUP(B29,'Itens de Contrato'!B$5:G$151,2,0)</f>
        <v>#N/A</v>
      </c>
      <c r="D29" s="52"/>
      <c r="E29" s="63" t="n">
        <f aca="false">D29*'Itens de Contrato'!F29</f>
        <v>0</v>
      </c>
      <c r="F29" s="62" t="n">
        <f aca="false">'Medição 01'!F29-'Medição 01'!G29</f>
        <v>0</v>
      </c>
      <c r="G29" s="52"/>
      <c r="H29" s="64" t="e">
        <f aca="false">G29/D29</f>
        <v>#DIV/0!</v>
      </c>
      <c r="I29" s="63" t="n">
        <f aca="false">G29*'Itens de Contrato'!F29</f>
        <v>0</v>
      </c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</row>
    <row r="30" customFormat="false" ht="12.8" hidden="false" customHeight="false" outlineLevel="0" collapsed="false">
      <c r="A30" s="37" t="n">
        <f aca="false">'Itens de Contrato'!A30</f>
        <v>0</v>
      </c>
      <c r="B30" s="37" t="n">
        <f aca="false">'Itens de Contrato'!B30</f>
        <v>0</v>
      </c>
      <c r="C30" s="37" t="e">
        <f aca="false">VLOOKUP(B30,'Itens de Contrato'!B$5:G$151,2,0)</f>
        <v>#N/A</v>
      </c>
      <c r="D30" s="52"/>
      <c r="E30" s="63" t="n">
        <f aca="false">D30*'Itens de Contrato'!F30</f>
        <v>0</v>
      </c>
      <c r="F30" s="62" t="n">
        <f aca="false">'Medição 01'!F30-'Medição 01'!G30</f>
        <v>0</v>
      </c>
      <c r="G30" s="52"/>
      <c r="H30" s="64" t="e">
        <f aca="false">G30/D30</f>
        <v>#DIV/0!</v>
      </c>
      <c r="I30" s="63" t="n">
        <f aca="false">G30*'Itens de Contrato'!F30</f>
        <v>0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</row>
    <row r="31" customFormat="false" ht="12.8" hidden="false" customHeight="false" outlineLevel="0" collapsed="false">
      <c r="A31" s="37" t="n">
        <f aca="false">'Itens de Contrato'!A31</f>
        <v>0</v>
      </c>
      <c r="B31" s="37" t="n">
        <f aca="false">'Itens de Contrato'!B31</f>
        <v>0</v>
      </c>
      <c r="C31" s="37" t="e">
        <f aca="false">VLOOKUP(B31,'Itens de Contrato'!B$5:G$151,2,0)</f>
        <v>#N/A</v>
      </c>
      <c r="D31" s="52"/>
      <c r="E31" s="63" t="n">
        <f aca="false">D31*'Itens de Contrato'!F31</f>
        <v>0</v>
      </c>
      <c r="F31" s="62" t="n">
        <f aca="false">'Medição 01'!F31-'Medição 01'!G31</f>
        <v>0</v>
      </c>
      <c r="G31" s="52"/>
      <c r="H31" s="64" t="e">
        <f aca="false">G31/D31</f>
        <v>#DIV/0!</v>
      </c>
      <c r="I31" s="63" t="n">
        <f aca="false">G31*'Itens de Contrato'!F31</f>
        <v>0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customFormat="false" ht="12.8" hidden="false" customHeight="false" outlineLevel="0" collapsed="false">
      <c r="A32" s="37" t="n">
        <f aca="false">'Itens de Contrato'!A32</f>
        <v>0</v>
      </c>
      <c r="B32" s="37" t="n">
        <f aca="false">'Itens de Contrato'!B32</f>
        <v>0</v>
      </c>
      <c r="C32" s="37" t="e">
        <f aca="false">VLOOKUP(B32,'Itens de Contrato'!B$5:G$151,2,0)</f>
        <v>#N/A</v>
      </c>
      <c r="D32" s="52"/>
      <c r="E32" s="63" t="n">
        <f aca="false">D32*'Itens de Contrato'!F32</f>
        <v>0</v>
      </c>
      <c r="F32" s="62" t="n">
        <f aca="false">'Medição 01'!F32-'Medição 01'!G32</f>
        <v>0</v>
      </c>
      <c r="G32" s="52"/>
      <c r="H32" s="64" t="e">
        <f aca="false">G32/D32</f>
        <v>#DIV/0!</v>
      </c>
      <c r="I32" s="63" t="n">
        <f aca="false">G32*'Itens de Contrato'!F32</f>
        <v>0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customFormat="false" ht="12.8" hidden="false" customHeight="false" outlineLevel="0" collapsed="false">
      <c r="A33" s="37" t="n">
        <f aca="false">'Itens de Contrato'!A33</f>
        <v>0</v>
      </c>
      <c r="B33" s="37" t="n">
        <f aca="false">'Itens de Contrato'!B33</f>
        <v>0</v>
      </c>
      <c r="C33" s="37" t="e">
        <f aca="false">VLOOKUP(B33,'Itens de Contrato'!B$5:G$151,2,0)</f>
        <v>#N/A</v>
      </c>
      <c r="D33" s="52"/>
      <c r="E33" s="63" t="n">
        <f aca="false">D33*'Itens de Contrato'!F33</f>
        <v>0</v>
      </c>
      <c r="F33" s="62" t="n">
        <f aca="false">'Medição 01'!F33-'Medição 01'!G33</f>
        <v>0</v>
      </c>
      <c r="G33" s="52"/>
      <c r="H33" s="64" t="e">
        <f aca="false">G33/D33</f>
        <v>#DIV/0!</v>
      </c>
      <c r="I33" s="63" t="n">
        <f aca="false">G33*'Itens de Contrato'!F33</f>
        <v>0</v>
      </c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customFormat="false" ht="12.8" hidden="false" customHeight="false" outlineLevel="0" collapsed="false">
      <c r="A34" s="37" t="n">
        <f aca="false">'Itens de Contrato'!A34</f>
        <v>0</v>
      </c>
      <c r="B34" s="37" t="n">
        <f aca="false">'Itens de Contrato'!B34</f>
        <v>0</v>
      </c>
      <c r="C34" s="37" t="e">
        <f aca="false">VLOOKUP(B34,'Itens de Contrato'!B$5:G$151,2,0)</f>
        <v>#N/A</v>
      </c>
      <c r="D34" s="52"/>
      <c r="E34" s="63" t="n">
        <f aca="false">D34*'Itens de Contrato'!F34</f>
        <v>0</v>
      </c>
      <c r="F34" s="62" t="n">
        <f aca="false">'Medição 01'!F34-'Medição 01'!G34</f>
        <v>0</v>
      </c>
      <c r="G34" s="52"/>
      <c r="H34" s="64" t="e">
        <f aca="false">G34/D34</f>
        <v>#DIV/0!</v>
      </c>
      <c r="I34" s="63" t="n">
        <f aca="false">G34*'Itens de Contrato'!F34</f>
        <v>0</v>
      </c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</row>
    <row r="35" customFormat="false" ht="12.8" hidden="false" customHeight="false" outlineLevel="0" collapsed="false">
      <c r="A35" s="37" t="n">
        <f aca="false">'Itens de Contrato'!A35</f>
        <v>0</v>
      </c>
      <c r="B35" s="37" t="n">
        <f aca="false">'Itens de Contrato'!B35</f>
        <v>0</v>
      </c>
      <c r="C35" s="37" t="e">
        <f aca="false">VLOOKUP(B35,'Itens de Contrato'!B$5:G$151,2,0)</f>
        <v>#N/A</v>
      </c>
      <c r="D35" s="52"/>
      <c r="E35" s="63" t="n">
        <f aca="false">D35*'Itens de Contrato'!F35</f>
        <v>0</v>
      </c>
      <c r="F35" s="62" t="n">
        <f aca="false">'Medição 01'!F35-'Medição 01'!G35</f>
        <v>0</v>
      </c>
      <c r="G35" s="52"/>
      <c r="H35" s="64" t="e">
        <f aca="false">G35/D35</f>
        <v>#DIV/0!</v>
      </c>
      <c r="I35" s="63" t="n">
        <f aca="false">G35*'Itens de Contrato'!F35</f>
        <v>0</v>
      </c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</row>
    <row r="36" customFormat="false" ht="12.8" hidden="false" customHeight="false" outlineLevel="0" collapsed="false">
      <c r="A36" s="37" t="n">
        <f aca="false">'Itens de Contrato'!A36</f>
        <v>0</v>
      </c>
      <c r="B36" s="37" t="n">
        <f aca="false">'Itens de Contrato'!B36</f>
        <v>0</v>
      </c>
      <c r="C36" s="37" t="e">
        <f aca="false">VLOOKUP(B36,'Itens de Contrato'!B$5:G$151,2,0)</f>
        <v>#N/A</v>
      </c>
      <c r="D36" s="52"/>
      <c r="E36" s="63" t="n">
        <f aca="false">D36*'Itens de Contrato'!F36</f>
        <v>0</v>
      </c>
      <c r="F36" s="62" t="n">
        <f aca="false">'Medição 01'!F36-'Medição 01'!G36</f>
        <v>0</v>
      </c>
      <c r="G36" s="52"/>
      <c r="H36" s="64" t="e">
        <f aca="false">G36/D36</f>
        <v>#DIV/0!</v>
      </c>
      <c r="I36" s="63" t="n">
        <f aca="false">G36*'Itens de Contrato'!F36</f>
        <v>0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customFormat="false" ht="12.8" hidden="false" customHeight="false" outlineLevel="0" collapsed="false">
      <c r="A37" s="37" t="n">
        <f aca="false">'Itens de Contrato'!A37</f>
        <v>0</v>
      </c>
      <c r="B37" s="37" t="n">
        <f aca="false">'Itens de Contrato'!B37</f>
        <v>0</v>
      </c>
      <c r="C37" s="37" t="e">
        <f aca="false">VLOOKUP(B37,'Itens de Contrato'!B$5:G$151,2,0)</f>
        <v>#N/A</v>
      </c>
      <c r="D37" s="52"/>
      <c r="E37" s="63" t="n">
        <f aca="false">D37*'Itens de Contrato'!F37</f>
        <v>0</v>
      </c>
      <c r="F37" s="62" t="n">
        <f aca="false">'Medição 01'!F37-'Medição 01'!G37</f>
        <v>0</v>
      </c>
      <c r="G37" s="52"/>
      <c r="H37" s="64" t="e">
        <f aca="false">G37/D37</f>
        <v>#DIV/0!</v>
      </c>
      <c r="I37" s="63" t="n">
        <f aca="false">G37*'Itens de Contrato'!F37</f>
        <v>0</v>
      </c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customFormat="false" ht="12.8" hidden="false" customHeight="false" outlineLevel="0" collapsed="false">
      <c r="A38" s="37" t="n">
        <f aca="false">'Itens de Contrato'!A38</f>
        <v>0</v>
      </c>
      <c r="B38" s="37" t="n">
        <f aca="false">'Itens de Contrato'!B38</f>
        <v>0</v>
      </c>
      <c r="C38" s="37" t="e">
        <f aca="false">VLOOKUP(B38,'Itens de Contrato'!B$5:G$151,2,0)</f>
        <v>#N/A</v>
      </c>
      <c r="D38" s="52"/>
      <c r="E38" s="63" t="n">
        <f aca="false">D38*'Itens de Contrato'!F38</f>
        <v>0</v>
      </c>
      <c r="F38" s="62" t="n">
        <f aca="false">'Medição 01'!F38-'Medição 01'!G38</f>
        <v>0</v>
      </c>
      <c r="G38" s="52"/>
      <c r="H38" s="64" t="e">
        <f aca="false">G38/D38</f>
        <v>#DIV/0!</v>
      </c>
      <c r="I38" s="63" t="n">
        <f aca="false">G38*'Itens de Contrato'!F38</f>
        <v>0</v>
      </c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customFormat="false" ht="12.8" hidden="false" customHeight="false" outlineLevel="0" collapsed="false">
      <c r="A39" s="37" t="n">
        <f aca="false">'Itens de Contrato'!A39</f>
        <v>0</v>
      </c>
      <c r="B39" s="37" t="n">
        <f aca="false">'Itens de Contrato'!B39</f>
        <v>0</v>
      </c>
      <c r="C39" s="37" t="e">
        <f aca="false">VLOOKUP(B39,'Itens de Contrato'!B$5:G$151,2,0)</f>
        <v>#N/A</v>
      </c>
      <c r="D39" s="52"/>
      <c r="E39" s="63" t="n">
        <f aca="false">D39*'Itens de Contrato'!F39</f>
        <v>0</v>
      </c>
      <c r="F39" s="62" t="n">
        <f aca="false">'Medição 01'!F39-'Medição 01'!G39</f>
        <v>0</v>
      </c>
      <c r="G39" s="52"/>
      <c r="H39" s="64" t="e">
        <f aca="false">G39/D39</f>
        <v>#DIV/0!</v>
      </c>
      <c r="I39" s="63" t="n">
        <f aca="false">G39*'Itens de Contrato'!F39</f>
        <v>0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customFormat="false" ht="12.8" hidden="false" customHeight="false" outlineLevel="0" collapsed="false">
      <c r="A40" s="37" t="n">
        <f aca="false">'Itens de Contrato'!A40</f>
        <v>0</v>
      </c>
      <c r="B40" s="37" t="n">
        <f aca="false">'Itens de Contrato'!B40</f>
        <v>0</v>
      </c>
      <c r="C40" s="37" t="e">
        <f aca="false">VLOOKUP(B40,'Itens de Contrato'!B$5:G$151,2,0)</f>
        <v>#N/A</v>
      </c>
      <c r="D40" s="52"/>
      <c r="E40" s="63" t="n">
        <f aca="false">D40*'Itens de Contrato'!F40</f>
        <v>0</v>
      </c>
      <c r="F40" s="62" t="n">
        <f aca="false">'Medição 01'!F40-'Medição 01'!G40</f>
        <v>0</v>
      </c>
      <c r="G40" s="52"/>
      <c r="H40" s="64" t="e">
        <f aca="false">G40/D40</f>
        <v>#DIV/0!</v>
      </c>
      <c r="I40" s="63" t="n">
        <f aca="false">G40*'Itens de Contrato'!F40</f>
        <v>0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customFormat="false" ht="12.8" hidden="false" customHeight="false" outlineLevel="0" collapsed="false">
      <c r="A41" s="37" t="n">
        <f aca="false">'Itens de Contrato'!A41</f>
        <v>0</v>
      </c>
      <c r="B41" s="37" t="n">
        <f aca="false">'Itens de Contrato'!B41</f>
        <v>0</v>
      </c>
      <c r="C41" s="37" t="e">
        <f aca="false">VLOOKUP(B41,'Itens de Contrato'!B$5:G$151,2,0)</f>
        <v>#N/A</v>
      </c>
      <c r="D41" s="52"/>
      <c r="E41" s="63" t="n">
        <f aca="false">D41*'Itens de Contrato'!F41</f>
        <v>0</v>
      </c>
      <c r="F41" s="62" t="n">
        <f aca="false">'Medição 01'!F41-'Medição 01'!G41</f>
        <v>0</v>
      </c>
      <c r="G41" s="52"/>
      <c r="H41" s="64" t="e">
        <f aca="false">G41/D41</f>
        <v>#DIV/0!</v>
      </c>
      <c r="I41" s="63" t="n">
        <f aca="false">G41*'Itens de Contrato'!F41</f>
        <v>0</v>
      </c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customFormat="false" ht="12.8" hidden="false" customHeight="false" outlineLevel="0" collapsed="false">
      <c r="A42" s="37" t="n">
        <f aca="false">'Itens de Contrato'!A42</f>
        <v>0</v>
      </c>
      <c r="B42" s="37" t="n">
        <f aca="false">'Itens de Contrato'!B42</f>
        <v>0</v>
      </c>
      <c r="C42" s="37" t="e">
        <f aca="false">VLOOKUP(B42,'Itens de Contrato'!B$5:G$151,2,0)</f>
        <v>#N/A</v>
      </c>
      <c r="D42" s="52"/>
      <c r="E42" s="63" t="n">
        <f aca="false">D42*'Itens de Contrato'!F42</f>
        <v>0</v>
      </c>
      <c r="F42" s="62" t="n">
        <f aca="false">'Medição 01'!F42-'Medição 01'!G42</f>
        <v>0</v>
      </c>
      <c r="G42" s="52"/>
      <c r="H42" s="64" t="e">
        <f aca="false">G42/D42</f>
        <v>#DIV/0!</v>
      </c>
      <c r="I42" s="63" t="n">
        <f aca="false">G42*'Itens de Contrato'!F42</f>
        <v>0</v>
      </c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customFormat="false" ht="12.8" hidden="false" customHeight="false" outlineLevel="0" collapsed="false">
      <c r="A43" s="37" t="n">
        <f aca="false">'Itens de Contrato'!A43</f>
        <v>0</v>
      </c>
      <c r="B43" s="37" t="n">
        <f aca="false">'Itens de Contrato'!B43</f>
        <v>0</v>
      </c>
      <c r="C43" s="37" t="e">
        <f aca="false">VLOOKUP(B43,'Itens de Contrato'!B$5:G$151,2,0)</f>
        <v>#N/A</v>
      </c>
      <c r="D43" s="52"/>
      <c r="E43" s="63" t="n">
        <f aca="false">D43*'Itens de Contrato'!F43</f>
        <v>0</v>
      </c>
      <c r="F43" s="62" t="n">
        <f aca="false">'Medição 01'!F43-'Medição 01'!G43</f>
        <v>0</v>
      </c>
      <c r="G43" s="52"/>
      <c r="H43" s="64" t="e">
        <f aca="false">G43/D43</f>
        <v>#DIV/0!</v>
      </c>
      <c r="I43" s="63" t="n">
        <f aca="false">G43*'Itens de Contrato'!F43</f>
        <v>0</v>
      </c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customFormat="false" ht="12.8" hidden="false" customHeight="false" outlineLevel="0" collapsed="false">
      <c r="A44" s="37" t="n">
        <f aca="false">'Itens de Contrato'!A44</f>
        <v>0</v>
      </c>
      <c r="B44" s="37" t="n">
        <f aca="false">'Itens de Contrato'!B44</f>
        <v>0</v>
      </c>
      <c r="C44" s="37" t="e">
        <f aca="false">VLOOKUP(B44,'Itens de Contrato'!B$5:G$151,2,0)</f>
        <v>#N/A</v>
      </c>
      <c r="D44" s="52"/>
      <c r="E44" s="63" t="n">
        <f aca="false">D44*'Itens de Contrato'!F44</f>
        <v>0</v>
      </c>
      <c r="F44" s="62" t="n">
        <f aca="false">'Medição 01'!F44-'Medição 01'!G44</f>
        <v>0</v>
      </c>
      <c r="G44" s="52"/>
      <c r="H44" s="64" t="e">
        <f aca="false">G44/D44</f>
        <v>#DIV/0!</v>
      </c>
      <c r="I44" s="63" t="n">
        <f aca="false">G44*'Itens de Contrato'!F44</f>
        <v>0</v>
      </c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customFormat="false" ht="12.8" hidden="false" customHeight="false" outlineLevel="0" collapsed="false">
      <c r="A45" s="37" t="n">
        <f aca="false">'Itens de Contrato'!A45</f>
        <v>0</v>
      </c>
      <c r="B45" s="37" t="n">
        <f aca="false">'Itens de Contrato'!B45</f>
        <v>0</v>
      </c>
      <c r="C45" s="37" t="e">
        <f aca="false">VLOOKUP(B45,'Itens de Contrato'!B$5:G$151,2,0)</f>
        <v>#N/A</v>
      </c>
      <c r="D45" s="52"/>
      <c r="E45" s="63" t="n">
        <f aca="false">D45*'Itens de Contrato'!F45</f>
        <v>0</v>
      </c>
      <c r="F45" s="62" t="n">
        <f aca="false">'Medição 01'!F45-'Medição 01'!G45</f>
        <v>0</v>
      </c>
      <c r="G45" s="52"/>
      <c r="H45" s="64" t="e">
        <f aca="false">G45/D45</f>
        <v>#DIV/0!</v>
      </c>
      <c r="I45" s="63" t="n">
        <f aca="false">G45*'Itens de Contrato'!F45</f>
        <v>0</v>
      </c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customFormat="false" ht="12.8" hidden="false" customHeight="false" outlineLevel="0" collapsed="false">
      <c r="A46" s="37" t="n">
        <f aca="false">'Itens de Contrato'!A46</f>
        <v>0</v>
      </c>
      <c r="B46" s="37" t="n">
        <f aca="false">'Itens de Contrato'!B46</f>
        <v>0</v>
      </c>
      <c r="C46" s="37" t="e">
        <f aca="false">VLOOKUP(B46,'Itens de Contrato'!B$5:G$151,2,0)</f>
        <v>#N/A</v>
      </c>
      <c r="D46" s="52"/>
      <c r="E46" s="63" t="n">
        <f aca="false">D46*'Itens de Contrato'!F46</f>
        <v>0</v>
      </c>
      <c r="F46" s="62" t="n">
        <f aca="false">'Medição 01'!F46-'Medição 01'!G46</f>
        <v>0</v>
      </c>
      <c r="G46" s="52"/>
      <c r="H46" s="64" t="e">
        <f aca="false">G46/D46</f>
        <v>#DIV/0!</v>
      </c>
      <c r="I46" s="63" t="n">
        <f aca="false">G46*'Itens de Contrato'!F46</f>
        <v>0</v>
      </c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customFormat="false" ht="12.8" hidden="false" customHeight="false" outlineLevel="0" collapsed="false">
      <c r="A47" s="37" t="n">
        <f aca="false">'Itens de Contrato'!A47</f>
        <v>0</v>
      </c>
      <c r="B47" s="37" t="n">
        <f aca="false">'Itens de Contrato'!B47</f>
        <v>0</v>
      </c>
      <c r="C47" s="37" t="e">
        <f aca="false">VLOOKUP(B47,'Itens de Contrato'!B$5:G$151,2,0)</f>
        <v>#N/A</v>
      </c>
      <c r="D47" s="52"/>
      <c r="E47" s="63" t="n">
        <f aca="false">D47*'Itens de Contrato'!F47</f>
        <v>0</v>
      </c>
      <c r="F47" s="62" t="n">
        <f aca="false">'Medição 01'!F47-'Medição 01'!G47</f>
        <v>0</v>
      </c>
      <c r="G47" s="52"/>
      <c r="H47" s="64" t="e">
        <f aca="false">G47/D47</f>
        <v>#DIV/0!</v>
      </c>
      <c r="I47" s="63" t="n">
        <f aca="false">G47*'Itens de Contrato'!F47</f>
        <v>0</v>
      </c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customFormat="false" ht="12.8" hidden="false" customHeight="false" outlineLevel="0" collapsed="false">
      <c r="A48" s="37" t="n">
        <f aca="false">'Itens de Contrato'!A48</f>
        <v>0</v>
      </c>
      <c r="B48" s="37" t="n">
        <f aca="false">'Itens de Contrato'!B48</f>
        <v>0</v>
      </c>
      <c r="C48" s="37" t="e">
        <f aca="false">VLOOKUP(B48,'Itens de Contrato'!B$5:G$151,2,0)</f>
        <v>#N/A</v>
      </c>
      <c r="D48" s="52"/>
      <c r="E48" s="63" t="n">
        <f aca="false">D48*'Itens de Contrato'!F48</f>
        <v>0</v>
      </c>
      <c r="F48" s="62" t="n">
        <f aca="false">'Medição 01'!F48-'Medição 01'!G48</f>
        <v>0</v>
      </c>
      <c r="G48" s="52"/>
      <c r="H48" s="64" t="e">
        <f aca="false">G48/D48</f>
        <v>#DIV/0!</v>
      </c>
      <c r="I48" s="63" t="n">
        <f aca="false">G48*'Itens de Contrato'!F48</f>
        <v>0</v>
      </c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customFormat="false" ht="12.8" hidden="false" customHeight="false" outlineLevel="0" collapsed="false">
      <c r="A49" s="37" t="n">
        <f aca="false">'Itens de Contrato'!A49</f>
        <v>0</v>
      </c>
      <c r="B49" s="37" t="n">
        <f aca="false">'Itens de Contrato'!B49</f>
        <v>0</v>
      </c>
      <c r="C49" s="37" t="e">
        <f aca="false">VLOOKUP(B49,'Itens de Contrato'!B$5:G$151,2,0)</f>
        <v>#N/A</v>
      </c>
      <c r="D49" s="52"/>
      <c r="E49" s="63" t="n">
        <f aca="false">D49*'Itens de Contrato'!F49</f>
        <v>0</v>
      </c>
      <c r="F49" s="62" t="n">
        <f aca="false">'Medição 01'!F49-'Medição 01'!G49</f>
        <v>0</v>
      </c>
      <c r="G49" s="52"/>
      <c r="H49" s="64" t="e">
        <f aca="false">G49/D49</f>
        <v>#DIV/0!</v>
      </c>
      <c r="I49" s="63" t="n">
        <f aca="false">G49*'Itens de Contrato'!F49</f>
        <v>0</v>
      </c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customFormat="false" ht="12.8" hidden="false" customHeight="false" outlineLevel="0" collapsed="false">
      <c r="A50" s="37" t="n">
        <f aca="false">'Itens de Contrato'!A50</f>
        <v>0</v>
      </c>
      <c r="B50" s="37" t="n">
        <f aca="false">'Itens de Contrato'!B50</f>
        <v>0</v>
      </c>
      <c r="C50" s="37" t="e">
        <f aca="false">VLOOKUP(B50,'Itens de Contrato'!B$5:G$151,2,0)</f>
        <v>#N/A</v>
      </c>
      <c r="D50" s="52"/>
      <c r="E50" s="63" t="n">
        <f aca="false">D50*'Itens de Contrato'!F50</f>
        <v>0</v>
      </c>
      <c r="F50" s="62" t="n">
        <f aca="false">'Medição 01'!F50-'Medição 01'!G50</f>
        <v>0</v>
      </c>
      <c r="G50" s="52"/>
      <c r="H50" s="64" t="e">
        <f aca="false">G50/D50</f>
        <v>#DIV/0!</v>
      </c>
      <c r="I50" s="63" t="n">
        <f aca="false">G50*'Itens de Contrato'!F50</f>
        <v>0</v>
      </c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customFormat="false" ht="12.8" hidden="false" customHeight="false" outlineLevel="0" collapsed="false">
      <c r="A51" s="37" t="n">
        <f aca="false">'Itens de Contrato'!A51</f>
        <v>0</v>
      </c>
      <c r="B51" s="37" t="n">
        <f aca="false">'Itens de Contrato'!B51</f>
        <v>0</v>
      </c>
      <c r="C51" s="37" t="e">
        <f aca="false">VLOOKUP(B51,'Itens de Contrato'!B$5:G$151,2,0)</f>
        <v>#N/A</v>
      </c>
      <c r="D51" s="52"/>
      <c r="E51" s="63" t="n">
        <f aca="false">D51*'Itens de Contrato'!F51</f>
        <v>0</v>
      </c>
      <c r="F51" s="62" t="n">
        <f aca="false">'Medição 01'!F51-'Medição 01'!G51</f>
        <v>0</v>
      </c>
      <c r="G51" s="52"/>
      <c r="H51" s="64" t="e">
        <f aca="false">G51/D51</f>
        <v>#DIV/0!</v>
      </c>
      <c r="I51" s="63" t="n">
        <f aca="false">G51*'Itens de Contrato'!F51</f>
        <v>0</v>
      </c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customFormat="false" ht="12.8" hidden="false" customHeight="false" outlineLevel="0" collapsed="false">
      <c r="A52" s="37" t="n">
        <f aca="false">'Itens de Contrato'!A52</f>
        <v>0</v>
      </c>
      <c r="B52" s="37" t="n">
        <f aca="false">'Itens de Contrato'!B52</f>
        <v>0</v>
      </c>
      <c r="C52" s="37" t="e">
        <f aca="false">VLOOKUP(B52,'Itens de Contrato'!B$5:G$151,2,0)</f>
        <v>#N/A</v>
      </c>
      <c r="D52" s="52"/>
      <c r="E52" s="63" t="n">
        <f aca="false">D52*'Itens de Contrato'!F52</f>
        <v>0</v>
      </c>
      <c r="F52" s="62" t="n">
        <f aca="false">'Medição 01'!F52-'Medição 01'!G52</f>
        <v>0</v>
      </c>
      <c r="G52" s="52"/>
      <c r="H52" s="64" t="e">
        <f aca="false">G52/D52</f>
        <v>#DIV/0!</v>
      </c>
      <c r="I52" s="63" t="n">
        <f aca="false">G52*'Itens de Contrato'!F52</f>
        <v>0</v>
      </c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customFormat="false" ht="12.8" hidden="false" customHeight="false" outlineLevel="0" collapsed="false">
      <c r="A53" s="37" t="n">
        <f aca="false">'Itens de Contrato'!A53</f>
        <v>0</v>
      </c>
      <c r="B53" s="37" t="n">
        <f aca="false">'Itens de Contrato'!B53</f>
        <v>0</v>
      </c>
      <c r="C53" s="37" t="e">
        <f aca="false">VLOOKUP(B53,'Itens de Contrato'!B$5:G$151,2,0)</f>
        <v>#N/A</v>
      </c>
      <c r="D53" s="52"/>
      <c r="E53" s="63" t="n">
        <f aca="false">D53*'Itens de Contrato'!F53</f>
        <v>0</v>
      </c>
      <c r="F53" s="62" t="n">
        <f aca="false">'Medição 01'!F53-'Medição 01'!G53</f>
        <v>0</v>
      </c>
      <c r="G53" s="52"/>
      <c r="H53" s="64" t="e">
        <f aca="false">G53/D53</f>
        <v>#DIV/0!</v>
      </c>
      <c r="I53" s="63" t="n">
        <f aca="false">G53*'Itens de Contrato'!F53</f>
        <v>0</v>
      </c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customFormat="false" ht="12.8" hidden="false" customHeight="false" outlineLevel="0" collapsed="false">
      <c r="A54" s="37" t="n">
        <f aca="false">'Itens de Contrato'!A54</f>
        <v>0</v>
      </c>
      <c r="B54" s="37" t="n">
        <f aca="false">'Itens de Contrato'!B54</f>
        <v>0</v>
      </c>
      <c r="C54" s="37" t="e">
        <f aca="false">VLOOKUP(B54,'Itens de Contrato'!B$5:G$151,2,0)</f>
        <v>#N/A</v>
      </c>
      <c r="D54" s="52"/>
      <c r="E54" s="63" t="n">
        <f aca="false">D54*'Itens de Contrato'!F54</f>
        <v>0</v>
      </c>
      <c r="F54" s="62" t="n">
        <f aca="false">'Medição 01'!F54-'Medição 01'!G54</f>
        <v>0</v>
      </c>
      <c r="G54" s="52"/>
      <c r="H54" s="64" t="e">
        <f aca="false">G54/D54</f>
        <v>#DIV/0!</v>
      </c>
      <c r="I54" s="63" t="n">
        <f aca="false">G54*'Itens de Contrato'!F54</f>
        <v>0</v>
      </c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customFormat="false" ht="12.8" hidden="false" customHeight="false" outlineLevel="0" collapsed="false">
      <c r="A55" s="37" t="n">
        <f aca="false">'Itens de Contrato'!A55</f>
        <v>0</v>
      </c>
      <c r="B55" s="37" t="n">
        <f aca="false">'Itens de Contrato'!B55</f>
        <v>0</v>
      </c>
      <c r="C55" s="37" t="e">
        <f aca="false">VLOOKUP(B55,'Itens de Contrato'!B$5:G$151,2,0)</f>
        <v>#N/A</v>
      </c>
      <c r="D55" s="52"/>
      <c r="E55" s="63" t="n">
        <f aca="false">D55*'Itens de Contrato'!F55</f>
        <v>0</v>
      </c>
      <c r="F55" s="62" t="n">
        <f aca="false">'Medição 01'!F55-'Medição 01'!G55</f>
        <v>0</v>
      </c>
      <c r="G55" s="52"/>
      <c r="H55" s="64" t="e">
        <f aca="false">G55/D55</f>
        <v>#DIV/0!</v>
      </c>
      <c r="I55" s="63" t="n">
        <f aca="false">G55*'Itens de Contrato'!F55</f>
        <v>0</v>
      </c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customFormat="false" ht="12.8" hidden="false" customHeight="false" outlineLevel="0" collapsed="false">
      <c r="A56" s="37" t="n">
        <f aca="false">'Itens de Contrato'!A56</f>
        <v>0</v>
      </c>
      <c r="B56" s="37" t="n">
        <f aca="false">'Itens de Contrato'!B56</f>
        <v>0</v>
      </c>
      <c r="C56" s="37" t="e">
        <f aca="false">VLOOKUP(B56,'Itens de Contrato'!B$5:G$151,2,0)</f>
        <v>#N/A</v>
      </c>
      <c r="D56" s="52"/>
      <c r="E56" s="63" t="n">
        <f aca="false">D56*'Itens de Contrato'!F56</f>
        <v>0</v>
      </c>
      <c r="F56" s="62" t="n">
        <f aca="false">'Medição 01'!F56-'Medição 01'!G56</f>
        <v>0</v>
      </c>
      <c r="G56" s="52"/>
      <c r="H56" s="64" t="e">
        <f aca="false">G56/D56</f>
        <v>#DIV/0!</v>
      </c>
      <c r="I56" s="63" t="n">
        <f aca="false">G56*'Itens de Contrato'!F56</f>
        <v>0</v>
      </c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customFormat="false" ht="12.8" hidden="false" customHeight="false" outlineLevel="0" collapsed="false">
      <c r="A57" s="37" t="n">
        <f aca="false">'Itens de Contrato'!A57</f>
        <v>0</v>
      </c>
      <c r="B57" s="37" t="n">
        <f aca="false">'Itens de Contrato'!B57</f>
        <v>0</v>
      </c>
      <c r="C57" s="37" t="e">
        <f aca="false">VLOOKUP(B57,'Itens de Contrato'!B$5:G$151,2,0)</f>
        <v>#N/A</v>
      </c>
      <c r="D57" s="52"/>
      <c r="E57" s="63" t="n">
        <f aca="false">D57*'Itens de Contrato'!F57</f>
        <v>0</v>
      </c>
      <c r="F57" s="62" t="n">
        <f aca="false">'Medição 01'!F57-'Medição 01'!G57</f>
        <v>0</v>
      </c>
      <c r="G57" s="52"/>
      <c r="H57" s="64" t="e">
        <f aca="false">G57/D57</f>
        <v>#DIV/0!</v>
      </c>
      <c r="I57" s="63" t="n">
        <f aca="false">G57*'Itens de Contrato'!F57</f>
        <v>0</v>
      </c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customFormat="false" ht="12.8" hidden="false" customHeight="false" outlineLevel="0" collapsed="false">
      <c r="A58" s="37" t="n">
        <f aca="false">'Itens de Contrato'!A58</f>
        <v>0</v>
      </c>
      <c r="B58" s="37" t="n">
        <f aca="false">'Itens de Contrato'!B58</f>
        <v>0</v>
      </c>
      <c r="C58" s="37" t="e">
        <f aca="false">VLOOKUP(B58,'Itens de Contrato'!B$5:G$151,2,0)</f>
        <v>#N/A</v>
      </c>
      <c r="D58" s="52"/>
      <c r="E58" s="63" t="n">
        <f aca="false">D58*'Itens de Contrato'!F58</f>
        <v>0</v>
      </c>
      <c r="F58" s="62" t="n">
        <f aca="false">'Medição 01'!F58-'Medição 01'!G58</f>
        <v>0</v>
      </c>
      <c r="G58" s="52"/>
      <c r="H58" s="64" t="e">
        <f aca="false">G58/D58</f>
        <v>#DIV/0!</v>
      </c>
      <c r="I58" s="63" t="n">
        <f aca="false">G58*'Itens de Contrato'!F58</f>
        <v>0</v>
      </c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customFormat="false" ht="12.8" hidden="false" customHeight="false" outlineLevel="0" collapsed="false">
      <c r="A59" s="37" t="n">
        <f aca="false">'Itens de Contrato'!A59</f>
        <v>0</v>
      </c>
      <c r="B59" s="37" t="n">
        <f aca="false">'Itens de Contrato'!B59</f>
        <v>0</v>
      </c>
      <c r="C59" s="37" t="e">
        <f aca="false">VLOOKUP(B59,'Itens de Contrato'!B$5:G$151,2,0)</f>
        <v>#N/A</v>
      </c>
      <c r="D59" s="52"/>
      <c r="E59" s="63" t="n">
        <f aca="false">D59*'Itens de Contrato'!F59</f>
        <v>0</v>
      </c>
      <c r="F59" s="62" t="n">
        <f aca="false">'Medição 01'!F59-'Medição 01'!G59</f>
        <v>0</v>
      </c>
      <c r="G59" s="52"/>
      <c r="H59" s="64" t="e">
        <f aca="false">G59/D59</f>
        <v>#DIV/0!</v>
      </c>
      <c r="I59" s="63" t="n">
        <f aca="false">G59*'Itens de Contrato'!F59</f>
        <v>0</v>
      </c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</row>
    <row r="60" customFormat="false" ht="12.8" hidden="false" customHeight="false" outlineLevel="0" collapsed="false">
      <c r="A60" s="37" t="n">
        <f aca="false">'Itens de Contrato'!A60</f>
        <v>0</v>
      </c>
      <c r="B60" s="37" t="n">
        <f aca="false">'Itens de Contrato'!B60</f>
        <v>0</v>
      </c>
      <c r="C60" s="37" t="e">
        <f aca="false">VLOOKUP(B60,'Itens de Contrato'!B$5:G$151,2,0)</f>
        <v>#N/A</v>
      </c>
      <c r="D60" s="52"/>
      <c r="E60" s="63" t="n">
        <f aca="false">D60*'Itens de Contrato'!F60</f>
        <v>0</v>
      </c>
      <c r="F60" s="62" t="n">
        <f aca="false">'Medição 01'!F60-'Medição 01'!G60</f>
        <v>0</v>
      </c>
      <c r="G60" s="52"/>
      <c r="H60" s="64" t="e">
        <f aca="false">G60/D60</f>
        <v>#DIV/0!</v>
      </c>
      <c r="I60" s="63" t="n">
        <f aca="false">G60*'Itens de Contrato'!F60</f>
        <v>0</v>
      </c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customFormat="false" ht="12.8" hidden="false" customHeight="false" outlineLevel="0" collapsed="false">
      <c r="A61" s="37" t="n">
        <f aca="false">'Itens de Contrato'!A61</f>
        <v>0</v>
      </c>
      <c r="B61" s="37" t="n">
        <f aca="false">'Itens de Contrato'!B61</f>
        <v>0</v>
      </c>
      <c r="C61" s="37" t="e">
        <f aca="false">VLOOKUP(B61,'Itens de Contrato'!B$5:G$151,2,0)</f>
        <v>#N/A</v>
      </c>
      <c r="D61" s="52"/>
      <c r="E61" s="63" t="n">
        <f aca="false">D61*'Itens de Contrato'!F61</f>
        <v>0</v>
      </c>
      <c r="F61" s="62" t="n">
        <f aca="false">'Medição 01'!F61-'Medição 01'!G61</f>
        <v>0</v>
      </c>
      <c r="G61" s="52"/>
      <c r="H61" s="64" t="e">
        <f aca="false">G61/D61</f>
        <v>#DIV/0!</v>
      </c>
      <c r="I61" s="63" t="n">
        <f aca="false">G61*'Itens de Contrato'!F61</f>
        <v>0</v>
      </c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customFormat="false" ht="12.8" hidden="false" customHeight="false" outlineLevel="0" collapsed="false">
      <c r="A62" s="37" t="n">
        <f aca="false">'Itens de Contrato'!A62</f>
        <v>0</v>
      </c>
      <c r="B62" s="37" t="n">
        <f aca="false">'Itens de Contrato'!B62</f>
        <v>0</v>
      </c>
      <c r="C62" s="37" t="e">
        <f aca="false">VLOOKUP(B62,'Itens de Contrato'!B$5:G$151,2,0)</f>
        <v>#N/A</v>
      </c>
      <c r="D62" s="52"/>
      <c r="E62" s="63" t="n">
        <f aca="false">D62*'Itens de Contrato'!F62</f>
        <v>0</v>
      </c>
      <c r="F62" s="62" t="n">
        <f aca="false">'Medição 01'!F62-'Medição 01'!G62</f>
        <v>0</v>
      </c>
      <c r="G62" s="52"/>
      <c r="H62" s="64" t="e">
        <f aca="false">G62/D62</f>
        <v>#DIV/0!</v>
      </c>
      <c r="I62" s="63" t="n">
        <f aca="false">G62*'Itens de Contrato'!F62</f>
        <v>0</v>
      </c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customFormat="false" ht="12.8" hidden="false" customHeight="false" outlineLevel="0" collapsed="false">
      <c r="A63" s="37" t="n">
        <f aca="false">'Itens de Contrato'!A63</f>
        <v>0</v>
      </c>
      <c r="B63" s="37" t="n">
        <f aca="false">'Itens de Contrato'!B63</f>
        <v>0</v>
      </c>
      <c r="C63" s="37" t="e">
        <f aca="false">VLOOKUP(B63,'Itens de Contrato'!B$5:G$151,2,0)</f>
        <v>#N/A</v>
      </c>
      <c r="D63" s="52"/>
      <c r="E63" s="63" t="n">
        <f aca="false">D63*'Itens de Contrato'!F63</f>
        <v>0</v>
      </c>
      <c r="F63" s="62" t="n">
        <f aca="false">'Medição 01'!F63-'Medição 01'!G63</f>
        <v>0</v>
      </c>
      <c r="G63" s="52"/>
      <c r="H63" s="64" t="e">
        <f aca="false">G63/D63</f>
        <v>#DIV/0!</v>
      </c>
      <c r="I63" s="63" t="n">
        <f aca="false">G63*'Itens de Contrato'!F63</f>
        <v>0</v>
      </c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customFormat="false" ht="12.8" hidden="false" customHeight="false" outlineLevel="0" collapsed="false">
      <c r="A64" s="37" t="n">
        <f aca="false">'Itens de Contrato'!A64</f>
        <v>0</v>
      </c>
      <c r="B64" s="37" t="n">
        <f aca="false">'Itens de Contrato'!B64</f>
        <v>0</v>
      </c>
      <c r="C64" s="37" t="e">
        <f aca="false">VLOOKUP(B64,'Itens de Contrato'!B$5:G$151,2,0)</f>
        <v>#N/A</v>
      </c>
      <c r="D64" s="52"/>
      <c r="E64" s="63" t="n">
        <f aca="false">D64*'Itens de Contrato'!F64</f>
        <v>0</v>
      </c>
      <c r="F64" s="62" t="n">
        <f aca="false">'Medição 01'!F64-'Medição 01'!G64</f>
        <v>0</v>
      </c>
      <c r="G64" s="52"/>
      <c r="H64" s="64" t="e">
        <f aca="false">G64/D64</f>
        <v>#DIV/0!</v>
      </c>
      <c r="I64" s="63" t="n">
        <f aca="false">G64*'Itens de Contrato'!F64</f>
        <v>0</v>
      </c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customFormat="false" ht="12.8" hidden="false" customHeight="false" outlineLevel="0" collapsed="false">
      <c r="A65" s="37" t="n">
        <f aca="false">'Itens de Contrato'!A65</f>
        <v>0</v>
      </c>
      <c r="B65" s="37" t="n">
        <f aca="false">'Itens de Contrato'!B65</f>
        <v>0</v>
      </c>
      <c r="C65" s="37" t="e">
        <f aca="false">VLOOKUP(B65,'Itens de Contrato'!B$5:G$151,2,0)</f>
        <v>#N/A</v>
      </c>
      <c r="D65" s="52"/>
      <c r="E65" s="63" t="n">
        <f aca="false">D65*'Itens de Contrato'!F65</f>
        <v>0</v>
      </c>
      <c r="F65" s="62" t="n">
        <f aca="false">'Medição 01'!F65-'Medição 01'!G65</f>
        <v>0</v>
      </c>
      <c r="G65" s="52"/>
      <c r="H65" s="64" t="e">
        <f aca="false">G65/D65</f>
        <v>#DIV/0!</v>
      </c>
      <c r="I65" s="63" t="n">
        <f aca="false">G65*'Itens de Contrato'!F65</f>
        <v>0</v>
      </c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customFormat="false" ht="12.8" hidden="false" customHeight="false" outlineLevel="0" collapsed="false">
      <c r="A66" s="37" t="n">
        <f aca="false">'Itens de Contrato'!A66</f>
        <v>0</v>
      </c>
      <c r="B66" s="37" t="n">
        <f aca="false">'Itens de Contrato'!B66</f>
        <v>0</v>
      </c>
      <c r="C66" s="37" t="e">
        <f aca="false">VLOOKUP(B66,'Itens de Contrato'!B$5:G$151,2,0)</f>
        <v>#N/A</v>
      </c>
      <c r="D66" s="52"/>
      <c r="E66" s="63" t="n">
        <f aca="false">D66*'Itens de Contrato'!F66</f>
        <v>0</v>
      </c>
      <c r="F66" s="62" t="n">
        <f aca="false">'Medição 01'!F66-'Medição 01'!G66</f>
        <v>0</v>
      </c>
      <c r="G66" s="52"/>
      <c r="H66" s="64" t="e">
        <f aca="false">G66/D66</f>
        <v>#DIV/0!</v>
      </c>
      <c r="I66" s="63" t="n">
        <f aca="false">G66*'Itens de Contrato'!F66</f>
        <v>0</v>
      </c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customFormat="false" ht="12.8" hidden="false" customHeight="false" outlineLevel="0" collapsed="false">
      <c r="A67" s="37" t="n">
        <f aca="false">'Itens de Contrato'!A67</f>
        <v>0</v>
      </c>
      <c r="B67" s="37" t="n">
        <f aca="false">'Itens de Contrato'!B67</f>
        <v>0</v>
      </c>
      <c r="C67" s="37" t="e">
        <f aca="false">VLOOKUP(B67,'Itens de Contrato'!B$5:G$151,2,0)</f>
        <v>#N/A</v>
      </c>
      <c r="D67" s="52"/>
      <c r="E67" s="63" t="n">
        <f aca="false">D67*'Itens de Contrato'!F67</f>
        <v>0</v>
      </c>
      <c r="F67" s="62" t="n">
        <f aca="false">'Medição 01'!F67-'Medição 01'!G67</f>
        <v>0</v>
      </c>
      <c r="G67" s="52"/>
      <c r="H67" s="64" t="e">
        <f aca="false">G67/D67</f>
        <v>#DIV/0!</v>
      </c>
      <c r="I67" s="63" t="n">
        <f aca="false">G67*'Itens de Contrato'!F67</f>
        <v>0</v>
      </c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customFormat="false" ht="12.8" hidden="false" customHeight="false" outlineLevel="0" collapsed="false">
      <c r="A68" s="37" t="n">
        <f aca="false">'Itens de Contrato'!A68</f>
        <v>0</v>
      </c>
      <c r="B68" s="37" t="n">
        <f aca="false">'Itens de Contrato'!B68</f>
        <v>0</v>
      </c>
      <c r="C68" s="37" t="e">
        <f aca="false">VLOOKUP(B68,'Itens de Contrato'!B$5:G$151,2,0)</f>
        <v>#N/A</v>
      </c>
      <c r="D68" s="52"/>
      <c r="E68" s="63" t="n">
        <f aca="false">D68*'Itens de Contrato'!F68</f>
        <v>0</v>
      </c>
      <c r="F68" s="62" t="n">
        <f aca="false">'Medição 01'!F68-'Medição 01'!G68</f>
        <v>0</v>
      </c>
      <c r="G68" s="52"/>
      <c r="H68" s="64" t="e">
        <f aca="false">G68/D68</f>
        <v>#DIV/0!</v>
      </c>
      <c r="I68" s="63" t="n">
        <f aca="false">G68*'Itens de Contrato'!F68</f>
        <v>0</v>
      </c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</row>
    <row r="69" customFormat="false" ht="12.8" hidden="false" customHeight="false" outlineLevel="0" collapsed="false">
      <c r="A69" s="37" t="n">
        <f aca="false">'Itens de Contrato'!A69</f>
        <v>0</v>
      </c>
      <c r="B69" s="37" t="n">
        <f aca="false">'Itens de Contrato'!B69</f>
        <v>0</v>
      </c>
      <c r="C69" s="37" t="e">
        <f aca="false">VLOOKUP(B69,'Itens de Contrato'!B$5:G$151,2,0)</f>
        <v>#N/A</v>
      </c>
      <c r="D69" s="52"/>
      <c r="E69" s="63" t="n">
        <f aca="false">D69*'Itens de Contrato'!F69</f>
        <v>0</v>
      </c>
      <c r="F69" s="62" t="n">
        <f aca="false">'Medição 01'!F69-'Medição 01'!G69</f>
        <v>0</v>
      </c>
      <c r="G69" s="52"/>
      <c r="H69" s="64" t="e">
        <f aca="false">G69/D69</f>
        <v>#DIV/0!</v>
      </c>
      <c r="I69" s="63" t="n">
        <f aca="false">G69*'Itens de Contrato'!F69</f>
        <v>0</v>
      </c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</row>
    <row r="70" customFormat="false" ht="12.8" hidden="false" customHeight="false" outlineLevel="0" collapsed="false">
      <c r="A70" s="37" t="n">
        <f aca="false">'Itens de Contrato'!A70</f>
        <v>0</v>
      </c>
      <c r="B70" s="37" t="n">
        <f aca="false">'Itens de Contrato'!B70</f>
        <v>0</v>
      </c>
      <c r="C70" s="37" t="e">
        <f aca="false">VLOOKUP(B70,'Itens de Contrato'!B$5:G$151,2,0)</f>
        <v>#N/A</v>
      </c>
      <c r="D70" s="52"/>
      <c r="E70" s="63" t="n">
        <f aca="false">D70*'Itens de Contrato'!F70</f>
        <v>0</v>
      </c>
      <c r="F70" s="62" t="n">
        <f aca="false">'Medição 01'!F70-'Medição 01'!G70</f>
        <v>0</v>
      </c>
      <c r="G70" s="52"/>
      <c r="H70" s="64" t="e">
        <f aca="false">G70/D70</f>
        <v>#DIV/0!</v>
      </c>
      <c r="I70" s="63" t="n">
        <f aca="false">G70*'Itens de Contrato'!F70</f>
        <v>0</v>
      </c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</row>
    <row r="71" customFormat="false" ht="12.8" hidden="false" customHeight="false" outlineLevel="0" collapsed="false">
      <c r="A71" s="37" t="n">
        <f aca="false">'Itens de Contrato'!A71</f>
        <v>0</v>
      </c>
      <c r="B71" s="37" t="n">
        <f aca="false">'Itens de Contrato'!B71</f>
        <v>0</v>
      </c>
      <c r="C71" s="37" t="e">
        <f aca="false">VLOOKUP(B71,'Itens de Contrato'!B$5:G$151,2,0)</f>
        <v>#N/A</v>
      </c>
      <c r="D71" s="52"/>
      <c r="E71" s="63" t="n">
        <f aca="false">D71*'Itens de Contrato'!F71</f>
        <v>0</v>
      </c>
      <c r="F71" s="62" t="n">
        <f aca="false">'Medição 01'!F71-'Medição 01'!G71</f>
        <v>0</v>
      </c>
      <c r="G71" s="52"/>
      <c r="H71" s="64" t="e">
        <f aca="false">G71/D71</f>
        <v>#DIV/0!</v>
      </c>
      <c r="I71" s="63" t="n">
        <f aca="false">G71*'Itens de Contrato'!F71</f>
        <v>0</v>
      </c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</row>
    <row r="72" customFormat="false" ht="12.8" hidden="false" customHeight="false" outlineLevel="0" collapsed="false">
      <c r="A72" s="37" t="n">
        <f aca="false">'Itens de Contrato'!A72</f>
        <v>0</v>
      </c>
      <c r="B72" s="37" t="n">
        <f aca="false">'Itens de Contrato'!B72</f>
        <v>0</v>
      </c>
      <c r="C72" s="37" t="e">
        <f aca="false">VLOOKUP(B72,'Itens de Contrato'!B$5:G$151,2,0)</f>
        <v>#N/A</v>
      </c>
      <c r="D72" s="52"/>
      <c r="E72" s="63" t="n">
        <f aca="false">D72*'Itens de Contrato'!F72</f>
        <v>0</v>
      </c>
      <c r="F72" s="62" t="n">
        <f aca="false">'Medição 01'!F72-'Medição 01'!G72</f>
        <v>0</v>
      </c>
      <c r="G72" s="52"/>
      <c r="H72" s="64" t="e">
        <f aca="false">G72/D72</f>
        <v>#DIV/0!</v>
      </c>
      <c r="I72" s="63" t="n">
        <f aca="false">G72*'Itens de Contrato'!F72</f>
        <v>0</v>
      </c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</row>
    <row r="73" customFormat="false" ht="12.8" hidden="false" customHeight="false" outlineLevel="0" collapsed="false">
      <c r="A73" s="37" t="n">
        <f aca="false">'Itens de Contrato'!A73</f>
        <v>0</v>
      </c>
      <c r="B73" s="37" t="n">
        <f aca="false">'Itens de Contrato'!B73</f>
        <v>0</v>
      </c>
      <c r="C73" s="37" t="e">
        <f aca="false">VLOOKUP(B73,'Itens de Contrato'!B$5:G$151,2,0)</f>
        <v>#N/A</v>
      </c>
      <c r="D73" s="52"/>
      <c r="E73" s="63" t="n">
        <f aca="false">D73*'Itens de Contrato'!F73</f>
        <v>0</v>
      </c>
      <c r="F73" s="62" t="n">
        <f aca="false">'Medição 01'!F73-'Medição 01'!G73</f>
        <v>0</v>
      </c>
      <c r="G73" s="52"/>
      <c r="H73" s="64" t="e">
        <f aca="false">G73/D73</f>
        <v>#DIV/0!</v>
      </c>
      <c r="I73" s="63" t="n">
        <f aca="false">G73*'Itens de Contrato'!F73</f>
        <v>0</v>
      </c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</row>
    <row r="74" customFormat="false" ht="12.8" hidden="false" customHeight="false" outlineLevel="0" collapsed="false">
      <c r="A74" s="37" t="n">
        <f aca="false">'Itens de Contrato'!A74</f>
        <v>0</v>
      </c>
      <c r="B74" s="37" t="n">
        <f aca="false">'Itens de Contrato'!B74</f>
        <v>0</v>
      </c>
      <c r="C74" s="37" t="e">
        <f aca="false">VLOOKUP(B74,'Itens de Contrato'!B$5:G$151,2,0)</f>
        <v>#N/A</v>
      </c>
      <c r="D74" s="52"/>
      <c r="E74" s="63" t="n">
        <f aca="false">D74*'Itens de Contrato'!F74</f>
        <v>0</v>
      </c>
      <c r="F74" s="62" t="n">
        <f aca="false">'Medição 01'!F74-'Medição 01'!G74</f>
        <v>0</v>
      </c>
      <c r="G74" s="52"/>
      <c r="H74" s="64" t="e">
        <f aca="false">G74/D74</f>
        <v>#DIV/0!</v>
      </c>
      <c r="I74" s="63" t="n">
        <f aca="false">G74*'Itens de Contrato'!F74</f>
        <v>0</v>
      </c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</row>
    <row r="75" customFormat="false" ht="12.8" hidden="false" customHeight="false" outlineLevel="0" collapsed="false">
      <c r="A75" s="37" t="n">
        <f aca="false">'Itens de Contrato'!A75</f>
        <v>0</v>
      </c>
      <c r="B75" s="37" t="n">
        <f aca="false">'Itens de Contrato'!B75</f>
        <v>0</v>
      </c>
      <c r="C75" s="37" t="e">
        <f aca="false">VLOOKUP(B75,'Itens de Contrato'!B$5:G$151,2,0)</f>
        <v>#N/A</v>
      </c>
      <c r="D75" s="52"/>
      <c r="E75" s="63" t="n">
        <f aca="false">D75*'Itens de Contrato'!F75</f>
        <v>0</v>
      </c>
      <c r="F75" s="62" t="n">
        <f aca="false">'Medição 01'!F75-'Medição 01'!G75</f>
        <v>0</v>
      </c>
      <c r="G75" s="52"/>
      <c r="H75" s="64" t="e">
        <f aca="false">G75/D75</f>
        <v>#DIV/0!</v>
      </c>
      <c r="I75" s="63" t="n">
        <f aca="false">G75*'Itens de Contrato'!F75</f>
        <v>0</v>
      </c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</row>
    <row r="76" customFormat="false" ht="12.8" hidden="false" customHeight="false" outlineLevel="0" collapsed="false">
      <c r="A76" s="37" t="n">
        <f aca="false">'Itens de Contrato'!A76</f>
        <v>0</v>
      </c>
      <c r="B76" s="37" t="n">
        <f aca="false">'Itens de Contrato'!B76</f>
        <v>0</v>
      </c>
      <c r="C76" s="37" t="e">
        <f aca="false">VLOOKUP(B76,'Itens de Contrato'!B$5:G$151,2,0)</f>
        <v>#N/A</v>
      </c>
      <c r="D76" s="52"/>
      <c r="E76" s="63" t="n">
        <f aca="false">D76*'Itens de Contrato'!F76</f>
        <v>0</v>
      </c>
      <c r="F76" s="62" t="n">
        <f aca="false">'Medição 01'!F76-'Medição 01'!G76</f>
        <v>0</v>
      </c>
      <c r="G76" s="52"/>
      <c r="H76" s="64" t="e">
        <f aca="false">G76/D76</f>
        <v>#DIV/0!</v>
      </c>
      <c r="I76" s="63" t="n">
        <f aca="false">G76*'Itens de Contrato'!F76</f>
        <v>0</v>
      </c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</row>
    <row r="77" customFormat="false" ht="12.8" hidden="false" customHeight="false" outlineLevel="0" collapsed="false">
      <c r="A77" s="37" t="n">
        <f aca="false">'Itens de Contrato'!A77</f>
        <v>0</v>
      </c>
      <c r="B77" s="37" t="n">
        <f aca="false">'Itens de Contrato'!B77</f>
        <v>0</v>
      </c>
      <c r="C77" s="37" t="e">
        <f aca="false">VLOOKUP(B77,'Itens de Contrato'!B$5:G$151,2,0)</f>
        <v>#N/A</v>
      </c>
      <c r="D77" s="52"/>
      <c r="E77" s="63" t="n">
        <f aca="false">D77*'Itens de Contrato'!F77</f>
        <v>0</v>
      </c>
      <c r="F77" s="62" t="n">
        <f aca="false">'Medição 01'!F77-'Medição 01'!G77</f>
        <v>0</v>
      </c>
      <c r="G77" s="52"/>
      <c r="H77" s="64" t="e">
        <f aca="false">G77/D77</f>
        <v>#DIV/0!</v>
      </c>
      <c r="I77" s="63" t="n">
        <f aca="false">G77*'Itens de Contrato'!F77</f>
        <v>0</v>
      </c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</row>
    <row r="78" customFormat="false" ht="12.8" hidden="false" customHeight="false" outlineLevel="0" collapsed="false">
      <c r="A78" s="37" t="n">
        <f aca="false">'Itens de Contrato'!A78</f>
        <v>0</v>
      </c>
      <c r="B78" s="37" t="n">
        <f aca="false">'Itens de Contrato'!B78</f>
        <v>0</v>
      </c>
      <c r="C78" s="37" t="e">
        <f aca="false">VLOOKUP(B78,'Itens de Contrato'!B$5:G$151,2,0)</f>
        <v>#N/A</v>
      </c>
      <c r="D78" s="52"/>
      <c r="E78" s="63" t="n">
        <f aca="false">D78*'Itens de Contrato'!F78</f>
        <v>0</v>
      </c>
      <c r="F78" s="62" t="n">
        <f aca="false">'Medição 01'!F78-'Medição 01'!G78</f>
        <v>0</v>
      </c>
      <c r="G78" s="52"/>
      <c r="H78" s="64" t="e">
        <f aca="false">G78/D78</f>
        <v>#DIV/0!</v>
      </c>
      <c r="I78" s="63" t="n">
        <f aca="false">G78*'Itens de Contrato'!F78</f>
        <v>0</v>
      </c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</row>
    <row r="79" customFormat="false" ht="12.8" hidden="false" customHeight="false" outlineLevel="0" collapsed="false">
      <c r="A79" s="37" t="n">
        <f aca="false">'Itens de Contrato'!A79</f>
        <v>0</v>
      </c>
      <c r="B79" s="37" t="n">
        <f aca="false">'Itens de Contrato'!B79</f>
        <v>0</v>
      </c>
      <c r="C79" s="37" t="e">
        <f aca="false">VLOOKUP(B79,'Itens de Contrato'!B$5:G$151,2,0)</f>
        <v>#N/A</v>
      </c>
      <c r="D79" s="52"/>
      <c r="E79" s="63" t="n">
        <f aca="false">D79*'Itens de Contrato'!F79</f>
        <v>0</v>
      </c>
      <c r="F79" s="62" t="n">
        <f aca="false">'Medição 01'!F79-'Medição 01'!G79</f>
        <v>0</v>
      </c>
      <c r="G79" s="52"/>
      <c r="H79" s="64" t="e">
        <f aca="false">G79/D79</f>
        <v>#DIV/0!</v>
      </c>
      <c r="I79" s="63" t="n">
        <f aca="false">G79*'Itens de Contrato'!F79</f>
        <v>0</v>
      </c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</row>
    <row r="80" customFormat="false" ht="12.8" hidden="false" customHeight="false" outlineLevel="0" collapsed="false">
      <c r="A80" s="37" t="n">
        <f aca="false">'Itens de Contrato'!A80</f>
        <v>0</v>
      </c>
      <c r="B80" s="37" t="n">
        <f aca="false">'Itens de Contrato'!B80</f>
        <v>0</v>
      </c>
      <c r="C80" s="37" t="e">
        <f aca="false">VLOOKUP(B80,'Itens de Contrato'!B$5:G$151,2,0)</f>
        <v>#N/A</v>
      </c>
      <c r="D80" s="52"/>
      <c r="E80" s="63" t="n">
        <f aca="false">D80*'Itens de Contrato'!F80</f>
        <v>0</v>
      </c>
      <c r="F80" s="62" t="n">
        <f aca="false">'Medição 01'!F80-'Medição 01'!G80</f>
        <v>0</v>
      </c>
      <c r="G80" s="52"/>
      <c r="H80" s="64" t="e">
        <f aca="false">G80/D80</f>
        <v>#DIV/0!</v>
      </c>
      <c r="I80" s="63" t="n">
        <f aca="false">G80*'Itens de Contrato'!F80</f>
        <v>0</v>
      </c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</row>
    <row r="81" customFormat="false" ht="12.8" hidden="false" customHeight="false" outlineLevel="0" collapsed="false">
      <c r="A81" s="37" t="n">
        <f aca="false">'Itens de Contrato'!A81</f>
        <v>0</v>
      </c>
      <c r="B81" s="37" t="n">
        <f aca="false">'Itens de Contrato'!B81</f>
        <v>0</v>
      </c>
      <c r="C81" s="37" t="e">
        <f aca="false">VLOOKUP(B81,'Itens de Contrato'!B$5:G$151,2,0)</f>
        <v>#N/A</v>
      </c>
      <c r="D81" s="52"/>
      <c r="E81" s="63" t="n">
        <f aca="false">D81*'Itens de Contrato'!F81</f>
        <v>0</v>
      </c>
      <c r="F81" s="62" t="n">
        <f aca="false">'Medição 01'!F81-'Medição 01'!G81</f>
        <v>0</v>
      </c>
      <c r="G81" s="52"/>
      <c r="H81" s="64" t="e">
        <f aca="false">G81/D81</f>
        <v>#DIV/0!</v>
      </c>
      <c r="I81" s="63" t="n">
        <f aca="false">G81*'Itens de Contrato'!F81</f>
        <v>0</v>
      </c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</row>
    <row r="82" customFormat="false" ht="12.8" hidden="false" customHeight="false" outlineLevel="0" collapsed="false">
      <c r="A82" s="37" t="n">
        <f aca="false">'Itens de Contrato'!A82</f>
        <v>0</v>
      </c>
      <c r="B82" s="37" t="n">
        <f aca="false">'Itens de Contrato'!B82</f>
        <v>0</v>
      </c>
      <c r="C82" s="37" t="e">
        <f aca="false">VLOOKUP(B82,'Itens de Contrato'!B$5:G$151,2,0)</f>
        <v>#N/A</v>
      </c>
      <c r="D82" s="52"/>
      <c r="E82" s="63" t="n">
        <f aca="false">D82*'Itens de Contrato'!F82</f>
        <v>0</v>
      </c>
      <c r="F82" s="62" t="n">
        <f aca="false">'Medição 01'!F82-'Medição 01'!G82</f>
        <v>0</v>
      </c>
      <c r="G82" s="52"/>
      <c r="H82" s="64" t="e">
        <f aca="false">G82/D82</f>
        <v>#DIV/0!</v>
      </c>
      <c r="I82" s="63" t="n">
        <f aca="false">G82*'Itens de Contrato'!F82</f>
        <v>0</v>
      </c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</row>
    <row r="83" customFormat="false" ht="12.8" hidden="false" customHeight="false" outlineLevel="0" collapsed="false">
      <c r="A83" s="37" t="n">
        <f aca="false">'Itens de Contrato'!A83</f>
        <v>0</v>
      </c>
      <c r="B83" s="37" t="n">
        <f aca="false">'Itens de Contrato'!B83</f>
        <v>0</v>
      </c>
      <c r="C83" s="37" t="e">
        <f aca="false">VLOOKUP(B83,'Itens de Contrato'!B$5:G$151,2,0)</f>
        <v>#N/A</v>
      </c>
      <c r="D83" s="52"/>
      <c r="E83" s="63" t="n">
        <f aca="false">D83*'Itens de Contrato'!F83</f>
        <v>0</v>
      </c>
      <c r="F83" s="62" t="n">
        <f aca="false">'Medição 01'!F83-'Medição 01'!G83</f>
        <v>0</v>
      </c>
      <c r="G83" s="52"/>
      <c r="H83" s="64" t="e">
        <f aca="false">G83/D83</f>
        <v>#DIV/0!</v>
      </c>
      <c r="I83" s="63" t="n">
        <f aca="false">G83*'Itens de Contrato'!F83</f>
        <v>0</v>
      </c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</row>
    <row r="84" customFormat="false" ht="12.8" hidden="false" customHeight="false" outlineLevel="0" collapsed="false">
      <c r="A84" s="37" t="n">
        <f aca="false">'Itens de Contrato'!A84</f>
        <v>0</v>
      </c>
      <c r="B84" s="37" t="n">
        <f aca="false">'Itens de Contrato'!B84</f>
        <v>0</v>
      </c>
      <c r="C84" s="37" t="e">
        <f aca="false">VLOOKUP(B84,'Itens de Contrato'!B$5:G$151,2,0)</f>
        <v>#N/A</v>
      </c>
      <c r="D84" s="52"/>
      <c r="E84" s="63" t="n">
        <f aca="false">D84*'Itens de Contrato'!F84</f>
        <v>0</v>
      </c>
      <c r="F84" s="62" t="n">
        <f aca="false">'Medição 01'!F84-'Medição 01'!G84</f>
        <v>0</v>
      </c>
      <c r="G84" s="52"/>
      <c r="H84" s="64" t="e">
        <f aca="false">G84/D84</f>
        <v>#DIV/0!</v>
      </c>
      <c r="I84" s="63" t="n">
        <f aca="false">G84*'Itens de Contrato'!F84</f>
        <v>0</v>
      </c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</row>
    <row r="85" customFormat="false" ht="12.8" hidden="false" customHeight="false" outlineLevel="0" collapsed="false">
      <c r="A85" s="37" t="n">
        <f aca="false">'Itens de Contrato'!A85</f>
        <v>0</v>
      </c>
      <c r="B85" s="37" t="n">
        <f aca="false">'Itens de Contrato'!B85</f>
        <v>0</v>
      </c>
      <c r="C85" s="37" t="e">
        <f aca="false">VLOOKUP(B85,'Itens de Contrato'!B$5:G$151,2,0)</f>
        <v>#N/A</v>
      </c>
      <c r="D85" s="52"/>
      <c r="E85" s="63" t="n">
        <f aca="false">D85*'Itens de Contrato'!F85</f>
        <v>0</v>
      </c>
      <c r="F85" s="62" t="n">
        <f aca="false">'Medição 01'!F85-'Medição 01'!G85</f>
        <v>0</v>
      </c>
      <c r="G85" s="52"/>
      <c r="H85" s="64" t="e">
        <f aca="false">G85/D85</f>
        <v>#DIV/0!</v>
      </c>
      <c r="I85" s="63" t="n">
        <f aca="false">G85*'Itens de Contrato'!F85</f>
        <v>0</v>
      </c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</row>
    <row r="86" customFormat="false" ht="12.8" hidden="false" customHeight="false" outlineLevel="0" collapsed="false">
      <c r="A86" s="37" t="n">
        <f aca="false">'Itens de Contrato'!A86</f>
        <v>0</v>
      </c>
      <c r="B86" s="37" t="n">
        <f aca="false">'Itens de Contrato'!B86</f>
        <v>0</v>
      </c>
      <c r="C86" s="37" t="e">
        <f aca="false">VLOOKUP(B86,'Itens de Contrato'!B$5:G$151,2,0)</f>
        <v>#N/A</v>
      </c>
      <c r="D86" s="52"/>
      <c r="E86" s="63" t="n">
        <f aca="false">D86*'Itens de Contrato'!F86</f>
        <v>0</v>
      </c>
      <c r="F86" s="62" t="n">
        <f aca="false">'Medição 01'!F86-'Medição 01'!G86</f>
        <v>0</v>
      </c>
      <c r="G86" s="52"/>
      <c r="H86" s="64" t="e">
        <f aca="false">G86/D86</f>
        <v>#DIV/0!</v>
      </c>
      <c r="I86" s="63" t="n">
        <f aca="false">G86*'Itens de Contrato'!F86</f>
        <v>0</v>
      </c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</row>
    <row r="87" customFormat="false" ht="12.8" hidden="false" customHeight="false" outlineLevel="0" collapsed="false">
      <c r="A87" s="37" t="n">
        <f aca="false">'Itens de Contrato'!A87</f>
        <v>0</v>
      </c>
      <c r="B87" s="37" t="n">
        <f aca="false">'Itens de Contrato'!B87</f>
        <v>0</v>
      </c>
      <c r="C87" s="37" t="e">
        <f aca="false">VLOOKUP(B87,'Itens de Contrato'!B$5:G$151,2,0)</f>
        <v>#N/A</v>
      </c>
      <c r="D87" s="52"/>
      <c r="E87" s="63" t="n">
        <f aca="false">D87*'Itens de Contrato'!F87</f>
        <v>0</v>
      </c>
      <c r="F87" s="62" t="n">
        <f aca="false">'Medição 01'!F87-'Medição 01'!G87</f>
        <v>0</v>
      </c>
      <c r="G87" s="52"/>
      <c r="H87" s="64" t="e">
        <f aca="false">G87/D87</f>
        <v>#DIV/0!</v>
      </c>
      <c r="I87" s="63" t="n">
        <f aca="false">G87*'Itens de Contrato'!F87</f>
        <v>0</v>
      </c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</row>
    <row r="88" customFormat="false" ht="12.8" hidden="false" customHeight="false" outlineLevel="0" collapsed="false">
      <c r="A88" s="37" t="n">
        <f aca="false">'Itens de Contrato'!A88</f>
        <v>0</v>
      </c>
      <c r="B88" s="37" t="n">
        <f aca="false">'Itens de Contrato'!B88</f>
        <v>0</v>
      </c>
      <c r="C88" s="37" t="e">
        <f aca="false">VLOOKUP(B88,'Itens de Contrato'!B$5:G$151,2,0)</f>
        <v>#N/A</v>
      </c>
      <c r="D88" s="52"/>
      <c r="E88" s="63" t="n">
        <f aca="false">D88*'Itens de Contrato'!F88</f>
        <v>0</v>
      </c>
      <c r="F88" s="62" t="n">
        <f aca="false">'Medição 01'!F88-'Medição 01'!G88</f>
        <v>0</v>
      </c>
      <c r="G88" s="52"/>
      <c r="H88" s="64" t="e">
        <f aca="false">G88/D88</f>
        <v>#DIV/0!</v>
      </c>
      <c r="I88" s="63" t="n">
        <f aca="false">G88*'Itens de Contrato'!F88</f>
        <v>0</v>
      </c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</row>
    <row r="89" customFormat="false" ht="12.8" hidden="false" customHeight="false" outlineLevel="0" collapsed="false">
      <c r="A89" s="37" t="n">
        <f aca="false">'Itens de Contrato'!A89</f>
        <v>0</v>
      </c>
      <c r="B89" s="37" t="n">
        <f aca="false">'Itens de Contrato'!B89</f>
        <v>0</v>
      </c>
      <c r="C89" s="37" t="e">
        <f aca="false">VLOOKUP(B89,'Itens de Contrato'!B$5:G$151,2,0)</f>
        <v>#N/A</v>
      </c>
      <c r="D89" s="52"/>
      <c r="E89" s="63" t="n">
        <f aca="false">D89*'Itens de Contrato'!F89</f>
        <v>0</v>
      </c>
      <c r="F89" s="62" t="n">
        <f aca="false">'Medição 01'!F89-'Medição 01'!G89</f>
        <v>0</v>
      </c>
      <c r="G89" s="52"/>
      <c r="H89" s="64" t="e">
        <f aca="false">G89/D89</f>
        <v>#DIV/0!</v>
      </c>
      <c r="I89" s="63" t="n">
        <f aca="false">G89*'Itens de Contrato'!F89</f>
        <v>0</v>
      </c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</row>
    <row r="90" customFormat="false" ht="12.8" hidden="false" customHeight="false" outlineLevel="0" collapsed="false">
      <c r="A90" s="37" t="n">
        <f aca="false">'Itens de Contrato'!A90</f>
        <v>0</v>
      </c>
      <c r="B90" s="37" t="n">
        <f aca="false">'Itens de Contrato'!B90</f>
        <v>0</v>
      </c>
      <c r="C90" s="37" t="e">
        <f aca="false">VLOOKUP(B90,'Itens de Contrato'!B$5:G$151,2,0)</f>
        <v>#N/A</v>
      </c>
      <c r="D90" s="52"/>
      <c r="E90" s="63" t="n">
        <f aca="false">D90*'Itens de Contrato'!F90</f>
        <v>0</v>
      </c>
      <c r="F90" s="62" t="n">
        <f aca="false">'Medição 01'!F90-'Medição 01'!G90</f>
        <v>0</v>
      </c>
      <c r="G90" s="52"/>
      <c r="H90" s="64" t="e">
        <f aca="false">G90/D90</f>
        <v>#DIV/0!</v>
      </c>
      <c r="I90" s="63" t="n">
        <f aca="false">G90*'Itens de Contrato'!F90</f>
        <v>0</v>
      </c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</row>
    <row r="91" customFormat="false" ht="12.8" hidden="false" customHeight="false" outlineLevel="0" collapsed="false">
      <c r="A91" s="37" t="n">
        <f aca="false">'Itens de Contrato'!A91</f>
        <v>0</v>
      </c>
      <c r="B91" s="37" t="n">
        <f aca="false">'Itens de Contrato'!B91</f>
        <v>0</v>
      </c>
      <c r="C91" s="37" t="e">
        <f aca="false">VLOOKUP(B91,'Itens de Contrato'!B$5:G$151,2,0)</f>
        <v>#N/A</v>
      </c>
      <c r="D91" s="52"/>
      <c r="E91" s="63" t="n">
        <f aca="false">D91*'Itens de Contrato'!F91</f>
        <v>0</v>
      </c>
      <c r="F91" s="62" t="n">
        <f aca="false">'Medição 01'!F91-'Medição 01'!G91</f>
        <v>0</v>
      </c>
      <c r="G91" s="52"/>
      <c r="H91" s="64" t="e">
        <f aca="false">G91/D91</f>
        <v>#DIV/0!</v>
      </c>
      <c r="I91" s="63" t="n">
        <f aca="false">G91*'Itens de Contrato'!F91</f>
        <v>0</v>
      </c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customFormat="false" ht="12.8" hidden="false" customHeight="false" outlineLevel="0" collapsed="false">
      <c r="A92" s="37" t="n">
        <f aca="false">'Itens de Contrato'!A92</f>
        <v>0</v>
      </c>
      <c r="B92" s="37" t="n">
        <f aca="false">'Itens de Contrato'!B92</f>
        <v>0</v>
      </c>
      <c r="C92" s="37" t="e">
        <f aca="false">VLOOKUP(B92,'Itens de Contrato'!B$5:G$151,2,0)</f>
        <v>#N/A</v>
      </c>
      <c r="D92" s="52"/>
      <c r="E92" s="63" t="n">
        <f aca="false">D92*'Itens de Contrato'!F92</f>
        <v>0</v>
      </c>
      <c r="F92" s="62" t="n">
        <f aca="false">'Medição 01'!F92-'Medição 01'!G92</f>
        <v>0</v>
      </c>
      <c r="G92" s="52"/>
      <c r="H92" s="64" t="e">
        <f aca="false">G92/D92</f>
        <v>#DIV/0!</v>
      </c>
      <c r="I92" s="63" t="n">
        <f aca="false">G92*'Itens de Contrato'!F92</f>
        <v>0</v>
      </c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</row>
    <row r="93" customFormat="false" ht="12.8" hidden="false" customHeight="false" outlineLevel="0" collapsed="false">
      <c r="A93" s="37" t="n">
        <f aca="false">'Itens de Contrato'!A93</f>
        <v>0</v>
      </c>
      <c r="B93" s="37" t="n">
        <f aca="false">'Itens de Contrato'!B93</f>
        <v>0</v>
      </c>
      <c r="C93" s="37" t="e">
        <f aca="false">VLOOKUP(B93,'Itens de Contrato'!B$5:G$151,2,0)</f>
        <v>#N/A</v>
      </c>
      <c r="D93" s="52"/>
      <c r="E93" s="63" t="n">
        <f aca="false">D93*'Itens de Contrato'!F93</f>
        <v>0</v>
      </c>
      <c r="F93" s="62" t="n">
        <f aca="false">'Medição 01'!F93-'Medição 01'!G93</f>
        <v>0</v>
      </c>
      <c r="G93" s="52"/>
      <c r="H93" s="64" t="e">
        <f aca="false">G93/D93</f>
        <v>#DIV/0!</v>
      </c>
      <c r="I93" s="63" t="n">
        <f aca="false">G93*'Itens de Contrato'!F93</f>
        <v>0</v>
      </c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</row>
    <row r="94" customFormat="false" ht="12.8" hidden="false" customHeight="false" outlineLevel="0" collapsed="false">
      <c r="A94" s="37" t="n">
        <f aca="false">'Itens de Contrato'!A94</f>
        <v>0</v>
      </c>
      <c r="B94" s="37" t="n">
        <f aca="false">'Itens de Contrato'!B94</f>
        <v>0</v>
      </c>
      <c r="C94" s="37" t="e">
        <f aca="false">VLOOKUP(B94,'Itens de Contrato'!B$5:G$151,2,0)</f>
        <v>#N/A</v>
      </c>
      <c r="D94" s="52"/>
      <c r="E94" s="63" t="n">
        <f aca="false">D94*'Itens de Contrato'!F94</f>
        <v>0</v>
      </c>
      <c r="F94" s="62" t="n">
        <f aca="false">'Medição 01'!F94-'Medição 01'!G94</f>
        <v>0</v>
      </c>
      <c r="G94" s="52"/>
      <c r="H94" s="64" t="e">
        <f aca="false">G94/D94</f>
        <v>#DIV/0!</v>
      </c>
      <c r="I94" s="63" t="n">
        <f aca="false">G94*'Itens de Contrato'!F94</f>
        <v>0</v>
      </c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</row>
    <row r="95" customFormat="false" ht="12.8" hidden="false" customHeight="false" outlineLevel="0" collapsed="false">
      <c r="A95" s="37" t="n">
        <f aca="false">'Itens de Contrato'!A95</f>
        <v>0</v>
      </c>
      <c r="B95" s="37" t="n">
        <f aca="false">'Itens de Contrato'!B95</f>
        <v>0</v>
      </c>
      <c r="C95" s="37" t="e">
        <f aca="false">VLOOKUP(B95,'Itens de Contrato'!B$5:G$151,2,0)</f>
        <v>#N/A</v>
      </c>
      <c r="D95" s="52"/>
      <c r="E95" s="63" t="n">
        <f aca="false">D95*'Itens de Contrato'!F95</f>
        <v>0</v>
      </c>
      <c r="F95" s="62" t="n">
        <f aca="false">'Medição 01'!F95-'Medição 01'!G95</f>
        <v>0</v>
      </c>
      <c r="G95" s="52"/>
      <c r="H95" s="64" t="e">
        <f aca="false">G95/D95</f>
        <v>#DIV/0!</v>
      </c>
      <c r="I95" s="63" t="n">
        <f aca="false">G95*'Itens de Contrato'!F95</f>
        <v>0</v>
      </c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</row>
    <row r="96" customFormat="false" ht="12.8" hidden="false" customHeight="false" outlineLevel="0" collapsed="false">
      <c r="A96" s="37" t="n">
        <f aca="false">'Itens de Contrato'!A96</f>
        <v>0</v>
      </c>
      <c r="B96" s="37" t="n">
        <f aca="false">'Itens de Contrato'!B96</f>
        <v>0</v>
      </c>
      <c r="C96" s="37" t="e">
        <f aca="false">VLOOKUP(B96,'Itens de Contrato'!B$5:G$151,2,0)</f>
        <v>#N/A</v>
      </c>
      <c r="D96" s="52"/>
      <c r="E96" s="63" t="n">
        <f aca="false">D96*'Itens de Contrato'!F96</f>
        <v>0</v>
      </c>
      <c r="F96" s="62" t="n">
        <f aca="false">'Medição 01'!F96-'Medição 01'!G96</f>
        <v>0</v>
      </c>
      <c r="G96" s="52"/>
      <c r="H96" s="64" t="e">
        <f aca="false">G96/D96</f>
        <v>#DIV/0!</v>
      </c>
      <c r="I96" s="63" t="n">
        <f aca="false">G96*'Itens de Contrato'!F96</f>
        <v>0</v>
      </c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</row>
    <row r="97" customFormat="false" ht="12.8" hidden="false" customHeight="false" outlineLevel="0" collapsed="false">
      <c r="A97" s="37" t="n">
        <f aca="false">'Itens de Contrato'!A97</f>
        <v>0</v>
      </c>
      <c r="B97" s="37" t="n">
        <f aca="false">'Itens de Contrato'!B97</f>
        <v>0</v>
      </c>
      <c r="C97" s="37" t="e">
        <f aca="false">VLOOKUP(B97,'Itens de Contrato'!B$5:G$151,2,0)</f>
        <v>#N/A</v>
      </c>
      <c r="D97" s="52"/>
      <c r="E97" s="63" t="n">
        <f aca="false">D97*'Itens de Contrato'!F97</f>
        <v>0</v>
      </c>
      <c r="F97" s="62" t="n">
        <f aca="false">'Medição 01'!F97-'Medição 01'!G97</f>
        <v>0</v>
      </c>
      <c r="G97" s="52"/>
      <c r="H97" s="64" t="e">
        <f aca="false">G97/D97</f>
        <v>#DIV/0!</v>
      </c>
      <c r="I97" s="63" t="n">
        <f aca="false">G97*'Itens de Contrato'!F97</f>
        <v>0</v>
      </c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</row>
    <row r="98" customFormat="false" ht="12.8" hidden="false" customHeight="false" outlineLevel="0" collapsed="false">
      <c r="A98" s="37" t="n">
        <f aca="false">'Itens de Contrato'!A98</f>
        <v>0</v>
      </c>
      <c r="B98" s="37" t="n">
        <f aca="false">'Itens de Contrato'!B98</f>
        <v>0</v>
      </c>
      <c r="C98" s="37" t="e">
        <f aca="false">VLOOKUP(B98,'Itens de Contrato'!B$5:G$151,2,0)</f>
        <v>#N/A</v>
      </c>
      <c r="D98" s="52"/>
      <c r="E98" s="63" t="n">
        <f aca="false">D98*'Itens de Contrato'!F98</f>
        <v>0</v>
      </c>
      <c r="F98" s="62" t="n">
        <f aca="false">'Medição 01'!F98-'Medição 01'!G98</f>
        <v>0</v>
      </c>
      <c r="G98" s="52"/>
      <c r="H98" s="64" t="e">
        <f aca="false">G98/D98</f>
        <v>#DIV/0!</v>
      </c>
      <c r="I98" s="63" t="n">
        <f aca="false">G98*'Itens de Contrato'!F98</f>
        <v>0</v>
      </c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</row>
    <row r="99" customFormat="false" ht="12.8" hidden="false" customHeight="false" outlineLevel="0" collapsed="false">
      <c r="A99" s="37" t="n">
        <f aca="false">'Itens de Contrato'!A99</f>
        <v>0</v>
      </c>
      <c r="B99" s="37" t="n">
        <f aca="false">'Itens de Contrato'!B99</f>
        <v>0</v>
      </c>
      <c r="C99" s="37" t="e">
        <f aca="false">VLOOKUP(B99,'Itens de Contrato'!B$5:G$151,2,0)</f>
        <v>#N/A</v>
      </c>
      <c r="D99" s="52"/>
      <c r="E99" s="63" t="n">
        <f aca="false">D99*'Itens de Contrato'!F99</f>
        <v>0</v>
      </c>
      <c r="F99" s="62" t="n">
        <f aca="false">'Medição 01'!F99-'Medição 01'!G99</f>
        <v>0</v>
      </c>
      <c r="G99" s="52"/>
      <c r="H99" s="64" t="e">
        <f aca="false">G99/D99</f>
        <v>#DIV/0!</v>
      </c>
      <c r="I99" s="63" t="n">
        <f aca="false">G99*'Itens de Contrato'!F99</f>
        <v>0</v>
      </c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</row>
    <row r="100" customFormat="false" ht="12.8" hidden="false" customHeight="false" outlineLevel="0" collapsed="false">
      <c r="A100" s="37" t="n">
        <f aca="false">'Itens de Contrato'!A100</f>
        <v>0</v>
      </c>
      <c r="B100" s="37" t="n">
        <f aca="false">'Itens de Contrato'!B100</f>
        <v>0</v>
      </c>
      <c r="C100" s="37" t="e">
        <f aca="false">VLOOKUP(B100,'Itens de Contrato'!B$5:G$151,2,0)</f>
        <v>#N/A</v>
      </c>
      <c r="D100" s="52"/>
      <c r="E100" s="63" t="n">
        <f aca="false">D100*'Itens de Contrato'!F100</f>
        <v>0</v>
      </c>
      <c r="F100" s="62" t="n">
        <f aca="false">'Medição 01'!F100-'Medição 01'!G100</f>
        <v>0</v>
      </c>
      <c r="G100" s="52"/>
      <c r="H100" s="64" t="e">
        <f aca="false">G100/D100</f>
        <v>#DIV/0!</v>
      </c>
      <c r="I100" s="63" t="n">
        <f aca="false">G100*'Itens de Contrato'!F100</f>
        <v>0</v>
      </c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customFormat="false" ht="12.8" hidden="false" customHeight="false" outlineLevel="0" collapsed="false">
      <c r="A101" s="37" t="n">
        <f aca="false">'Itens de Contrato'!A101</f>
        <v>0</v>
      </c>
      <c r="B101" s="37" t="n">
        <f aca="false">'Itens de Contrato'!B101</f>
        <v>0</v>
      </c>
      <c r="C101" s="37" t="e">
        <f aca="false">VLOOKUP(B101,'Itens de Contrato'!B$5:G$151,2,0)</f>
        <v>#N/A</v>
      </c>
      <c r="D101" s="52"/>
      <c r="E101" s="63" t="n">
        <f aca="false">D101*'Itens de Contrato'!F101</f>
        <v>0</v>
      </c>
      <c r="F101" s="62" t="n">
        <f aca="false">'Medição 01'!F101-'Medição 01'!G101</f>
        <v>0</v>
      </c>
      <c r="G101" s="52"/>
      <c r="H101" s="64" t="e">
        <f aca="false">G101/D101</f>
        <v>#DIV/0!</v>
      </c>
      <c r="I101" s="63" t="n">
        <f aca="false">G101*'Itens de Contrato'!F101</f>
        <v>0</v>
      </c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customFormat="false" ht="12.8" hidden="false" customHeight="false" outlineLevel="0" collapsed="false">
      <c r="A102" s="37" t="n">
        <f aca="false">'Itens de Contrato'!A102</f>
        <v>0</v>
      </c>
      <c r="B102" s="37" t="n">
        <f aca="false">'Itens de Contrato'!B102</f>
        <v>0</v>
      </c>
      <c r="C102" s="37" t="e">
        <f aca="false">VLOOKUP(B102,'Itens de Contrato'!B$5:G$151,2,0)</f>
        <v>#N/A</v>
      </c>
      <c r="D102" s="52"/>
      <c r="E102" s="63" t="n">
        <f aca="false">D102*'Itens de Contrato'!F102</f>
        <v>0</v>
      </c>
      <c r="F102" s="62" t="n">
        <f aca="false">'Medição 01'!F102-'Medição 01'!G102</f>
        <v>0</v>
      </c>
      <c r="G102" s="52"/>
      <c r="H102" s="64" t="e">
        <f aca="false">G102/D102</f>
        <v>#DIV/0!</v>
      </c>
      <c r="I102" s="63" t="n">
        <f aca="false">G102*'Itens de Contrato'!F102</f>
        <v>0</v>
      </c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</row>
    <row r="103" customFormat="false" ht="12.8" hidden="false" customHeight="false" outlineLevel="0" collapsed="false">
      <c r="A103" s="37" t="n">
        <f aca="false">'Itens de Contrato'!A103</f>
        <v>0</v>
      </c>
      <c r="B103" s="37" t="n">
        <f aca="false">'Itens de Contrato'!B103</f>
        <v>0</v>
      </c>
      <c r="C103" s="37" t="e">
        <f aca="false">VLOOKUP(B103,'Itens de Contrato'!B$5:G$151,2,0)</f>
        <v>#N/A</v>
      </c>
      <c r="D103" s="52"/>
      <c r="E103" s="63" t="n">
        <f aca="false">D103*'Itens de Contrato'!F103</f>
        <v>0</v>
      </c>
      <c r="F103" s="62" t="n">
        <f aca="false">'Medição 01'!F103-'Medição 01'!G103</f>
        <v>0</v>
      </c>
      <c r="G103" s="52"/>
      <c r="H103" s="64" t="e">
        <f aca="false">G103/D103</f>
        <v>#DIV/0!</v>
      </c>
      <c r="I103" s="63" t="n">
        <f aca="false">G103*'Itens de Contrato'!F103</f>
        <v>0</v>
      </c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</row>
    <row r="104" customFormat="false" ht="12.8" hidden="false" customHeight="false" outlineLevel="0" collapsed="false">
      <c r="A104" s="37" t="n">
        <f aca="false">'Itens de Contrato'!A104</f>
        <v>0</v>
      </c>
      <c r="B104" s="37" t="n">
        <f aca="false">'Itens de Contrato'!B104</f>
        <v>0</v>
      </c>
      <c r="C104" s="37" t="e">
        <f aca="false">VLOOKUP(B104,'Itens de Contrato'!B$5:G$151,2,0)</f>
        <v>#N/A</v>
      </c>
      <c r="D104" s="52"/>
      <c r="E104" s="63" t="n">
        <f aca="false">D104*'Itens de Contrato'!F104</f>
        <v>0</v>
      </c>
      <c r="F104" s="62" t="n">
        <f aca="false">'Medição 01'!F104-'Medição 01'!G104</f>
        <v>0</v>
      </c>
      <c r="G104" s="52"/>
      <c r="H104" s="64" t="e">
        <f aca="false">G104/D104</f>
        <v>#DIV/0!</v>
      </c>
      <c r="I104" s="63" t="n">
        <f aca="false">G104*'Itens de Contrato'!F104</f>
        <v>0</v>
      </c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</row>
    <row r="105" customFormat="false" ht="12.8" hidden="false" customHeight="false" outlineLevel="0" collapsed="false">
      <c r="A105" s="37" t="n">
        <f aca="false">'Itens de Contrato'!A105</f>
        <v>0</v>
      </c>
      <c r="B105" s="37" t="n">
        <f aca="false">'Itens de Contrato'!B105</f>
        <v>0</v>
      </c>
      <c r="C105" s="37" t="e">
        <f aca="false">VLOOKUP(B105,'Itens de Contrato'!B$5:G$151,2,0)</f>
        <v>#N/A</v>
      </c>
      <c r="D105" s="52"/>
      <c r="E105" s="63" t="n">
        <f aca="false">D105*'Itens de Contrato'!F105</f>
        <v>0</v>
      </c>
      <c r="F105" s="62" t="n">
        <f aca="false">'Medição 01'!F105-'Medição 01'!G105</f>
        <v>0</v>
      </c>
      <c r="G105" s="52"/>
      <c r="H105" s="64" t="e">
        <f aca="false">G105/D105</f>
        <v>#DIV/0!</v>
      </c>
      <c r="I105" s="63" t="n">
        <f aca="false">G105*'Itens de Contrato'!F105</f>
        <v>0</v>
      </c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</row>
    <row r="106" customFormat="false" ht="12.8" hidden="false" customHeight="false" outlineLevel="0" collapsed="false">
      <c r="A106" s="37" t="n">
        <f aca="false">'Itens de Contrato'!A106</f>
        <v>0</v>
      </c>
      <c r="B106" s="37" t="n">
        <f aca="false">'Itens de Contrato'!B106</f>
        <v>0</v>
      </c>
      <c r="C106" s="37" t="e">
        <f aca="false">VLOOKUP(B106,'Itens de Contrato'!B$5:G$151,2,0)</f>
        <v>#N/A</v>
      </c>
      <c r="D106" s="52"/>
      <c r="E106" s="63" t="n">
        <f aca="false">D106*'Itens de Contrato'!F106</f>
        <v>0</v>
      </c>
      <c r="F106" s="62" t="n">
        <f aca="false">'Medição 01'!F106-'Medição 01'!G106</f>
        <v>0</v>
      </c>
      <c r="G106" s="52"/>
      <c r="H106" s="64" t="e">
        <f aca="false">G106/D106</f>
        <v>#DIV/0!</v>
      </c>
      <c r="I106" s="63" t="n">
        <f aca="false">G106*'Itens de Contrato'!F106</f>
        <v>0</v>
      </c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</row>
    <row r="107" customFormat="false" ht="12.8" hidden="false" customHeight="false" outlineLevel="0" collapsed="false">
      <c r="A107" s="37" t="n">
        <f aca="false">'Itens de Contrato'!A107</f>
        <v>0</v>
      </c>
      <c r="B107" s="37" t="n">
        <f aca="false">'Itens de Contrato'!B107</f>
        <v>0</v>
      </c>
      <c r="C107" s="37" t="e">
        <f aca="false">VLOOKUP(B107,'Itens de Contrato'!B$5:G$151,2,0)</f>
        <v>#N/A</v>
      </c>
      <c r="D107" s="52"/>
      <c r="E107" s="63" t="n">
        <f aca="false">D107*'Itens de Contrato'!F107</f>
        <v>0</v>
      </c>
      <c r="F107" s="62" t="n">
        <f aca="false">'Medição 01'!F107-'Medição 01'!G107</f>
        <v>0</v>
      </c>
      <c r="G107" s="52"/>
      <c r="H107" s="64" t="e">
        <f aca="false">G107/D107</f>
        <v>#DIV/0!</v>
      </c>
      <c r="I107" s="63" t="n">
        <f aca="false">G107*'Itens de Contrato'!F107</f>
        <v>0</v>
      </c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</row>
    <row r="108" customFormat="false" ht="12.8" hidden="false" customHeight="false" outlineLevel="0" collapsed="false">
      <c r="A108" s="37" t="n">
        <f aca="false">'Itens de Contrato'!A108</f>
        <v>0</v>
      </c>
      <c r="B108" s="37" t="n">
        <f aca="false">'Itens de Contrato'!B108</f>
        <v>0</v>
      </c>
      <c r="C108" s="37" t="e">
        <f aca="false">VLOOKUP(B108,'Itens de Contrato'!B$5:G$151,2,0)</f>
        <v>#N/A</v>
      </c>
      <c r="D108" s="52"/>
      <c r="E108" s="63" t="n">
        <f aca="false">D108*'Itens de Contrato'!F108</f>
        <v>0</v>
      </c>
      <c r="F108" s="62" t="n">
        <f aca="false">'Medição 01'!F108-'Medição 01'!G108</f>
        <v>0</v>
      </c>
      <c r="G108" s="52"/>
      <c r="H108" s="64" t="e">
        <f aca="false">G108/D108</f>
        <v>#DIV/0!</v>
      </c>
      <c r="I108" s="63" t="n">
        <f aca="false">G108*'Itens de Contrato'!F108</f>
        <v>0</v>
      </c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</row>
    <row r="109" customFormat="false" ht="12.8" hidden="false" customHeight="false" outlineLevel="0" collapsed="false">
      <c r="A109" s="37" t="n">
        <f aca="false">'Itens de Contrato'!A109</f>
        <v>0</v>
      </c>
      <c r="B109" s="37" t="n">
        <f aca="false">'Itens de Contrato'!B109</f>
        <v>0</v>
      </c>
      <c r="C109" s="37" t="e">
        <f aca="false">VLOOKUP(B109,'Itens de Contrato'!B$5:G$151,2,0)</f>
        <v>#N/A</v>
      </c>
      <c r="D109" s="52"/>
      <c r="E109" s="63" t="n">
        <f aca="false">D109*'Itens de Contrato'!F109</f>
        <v>0</v>
      </c>
      <c r="F109" s="62" t="n">
        <f aca="false">'Medição 01'!F109-'Medição 01'!G109</f>
        <v>0</v>
      </c>
      <c r="G109" s="52"/>
      <c r="H109" s="64" t="e">
        <f aca="false">G109/D109</f>
        <v>#DIV/0!</v>
      </c>
      <c r="I109" s="63" t="n">
        <f aca="false">G109*'Itens de Contrato'!F109</f>
        <v>0</v>
      </c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</row>
    <row r="110" customFormat="false" ht="12.8" hidden="false" customHeight="false" outlineLevel="0" collapsed="false">
      <c r="A110" s="37" t="n">
        <f aca="false">'Itens de Contrato'!A110</f>
        <v>0</v>
      </c>
      <c r="B110" s="37" t="n">
        <f aca="false">'Itens de Contrato'!B110</f>
        <v>0</v>
      </c>
      <c r="C110" s="37" t="e">
        <f aca="false">VLOOKUP(B110,'Itens de Contrato'!B$5:G$151,2,0)</f>
        <v>#N/A</v>
      </c>
      <c r="D110" s="52"/>
      <c r="E110" s="63" t="n">
        <f aca="false">D110*'Itens de Contrato'!F110</f>
        <v>0</v>
      </c>
      <c r="F110" s="62" t="n">
        <f aca="false">'Medição 01'!F110-'Medição 01'!G110</f>
        <v>0</v>
      </c>
      <c r="G110" s="52"/>
      <c r="H110" s="64" t="e">
        <f aca="false">G110/D110</f>
        <v>#DIV/0!</v>
      </c>
      <c r="I110" s="63" t="n">
        <f aca="false">G110*'Itens de Contrato'!F110</f>
        <v>0</v>
      </c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</row>
    <row r="111" customFormat="false" ht="12.8" hidden="false" customHeight="false" outlineLevel="0" collapsed="false">
      <c r="A111" s="37" t="n">
        <f aca="false">'Itens de Contrato'!A111</f>
        <v>0</v>
      </c>
      <c r="B111" s="37" t="n">
        <f aca="false">'Itens de Contrato'!B111</f>
        <v>0</v>
      </c>
      <c r="C111" s="37" t="e">
        <f aca="false">VLOOKUP(B111,'Itens de Contrato'!B$5:G$151,2,0)</f>
        <v>#N/A</v>
      </c>
      <c r="D111" s="52"/>
      <c r="E111" s="63" t="n">
        <f aca="false">D111*'Itens de Contrato'!F111</f>
        <v>0</v>
      </c>
      <c r="F111" s="62" t="n">
        <f aca="false">'Medição 01'!F111-'Medição 01'!G111</f>
        <v>0</v>
      </c>
      <c r="G111" s="52"/>
      <c r="H111" s="64" t="e">
        <f aca="false">G111/D111</f>
        <v>#DIV/0!</v>
      </c>
      <c r="I111" s="63" t="n">
        <f aca="false">G111*'Itens de Contrato'!F111</f>
        <v>0</v>
      </c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</row>
    <row r="112" customFormat="false" ht="12.8" hidden="false" customHeight="false" outlineLevel="0" collapsed="false">
      <c r="A112" s="37" t="n">
        <f aca="false">'Itens de Contrato'!A112</f>
        <v>0</v>
      </c>
      <c r="B112" s="37" t="n">
        <f aca="false">'Itens de Contrato'!B112</f>
        <v>0</v>
      </c>
      <c r="C112" s="37" t="e">
        <f aca="false">VLOOKUP(B112,'Itens de Contrato'!B$5:G$151,2,0)</f>
        <v>#N/A</v>
      </c>
      <c r="D112" s="52"/>
      <c r="E112" s="63" t="n">
        <f aca="false">D112*'Itens de Contrato'!F112</f>
        <v>0</v>
      </c>
      <c r="F112" s="62" t="n">
        <f aca="false">'Medição 01'!F112-'Medição 01'!G112</f>
        <v>0</v>
      </c>
      <c r="G112" s="52"/>
      <c r="H112" s="64" t="e">
        <f aca="false">G112/D112</f>
        <v>#DIV/0!</v>
      </c>
      <c r="I112" s="63" t="n">
        <f aca="false">G112*'Itens de Contrato'!F112</f>
        <v>0</v>
      </c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</row>
    <row r="113" customFormat="false" ht="12.8" hidden="false" customHeight="false" outlineLevel="0" collapsed="false">
      <c r="A113" s="37" t="n">
        <f aca="false">'Itens de Contrato'!A113</f>
        <v>0</v>
      </c>
      <c r="B113" s="37" t="n">
        <f aca="false">'Itens de Contrato'!B113</f>
        <v>0</v>
      </c>
      <c r="C113" s="37" t="e">
        <f aca="false">VLOOKUP(B113,'Itens de Contrato'!B$5:G$151,2,0)</f>
        <v>#N/A</v>
      </c>
      <c r="D113" s="52"/>
      <c r="E113" s="63" t="n">
        <f aca="false">D113*'Itens de Contrato'!F113</f>
        <v>0</v>
      </c>
      <c r="F113" s="62" t="n">
        <f aca="false">'Medição 01'!F113-'Medição 01'!G113</f>
        <v>0</v>
      </c>
      <c r="G113" s="52"/>
      <c r="H113" s="64" t="e">
        <f aca="false">G113/D113</f>
        <v>#DIV/0!</v>
      </c>
      <c r="I113" s="63" t="n">
        <f aca="false">G113*'Itens de Contrato'!F113</f>
        <v>0</v>
      </c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</row>
    <row r="114" customFormat="false" ht="12.8" hidden="false" customHeight="false" outlineLevel="0" collapsed="false">
      <c r="A114" s="37" t="n">
        <f aca="false">'Itens de Contrato'!A114</f>
        <v>0</v>
      </c>
      <c r="B114" s="37" t="n">
        <f aca="false">'Itens de Contrato'!B114</f>
        <v>0</v>
      </c>
      <c r="C114" s="37" t="e">
        <f aca="false">VLOOKUP(B114,'Itens de Contrato'!B$5:G$151,2,0)</f>
        <v>#N/A</v>
      </c>
      <c r="D114" s="52"/>
      <c r="E114" s="63" t="n">
        <f aca="false">D114*'Itens de Contrato'!F114</f>
        <v>0</v>
      </c>
      <c r="F114" s="62" t="n">
        <f aca="false">'Medição 01'!F114-'Medição 01'!G114</f>
        <v>0</v>
      </c>
      <c r="G114" s="52"/>
      <c r="H114" s="64" t="e">
        <f aca="false">G114/D114</f>
        <v>#DIV/0!</v>
      </c>
      <c r="I114" s="63" t="n">
        <f aca="false">G114*'Itens de Contrato'!F114</f>
        <v>0</v>
      </c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</row>
    <row r="115" customFormat="false" ht="12.8" hidden="false" customHeight="false" outlineLevel="0" collapsed="false">
      <c r="A115" s="37" t="n">
        <f aca="false">'Itens de Contrato'!A115</f>
        <v>0</v>
      </c>
      <c r="B115" s="37" t="n">
        <f aca="false">'Itens de Contrato'!B115</f>
        <v>0</v>
      </c>
      <c r="C115" s="37" t="e">
        <f aca="false">VLOOKUP(B115,'Itens de Contrato'!B$5:G$151,2,0)</f>
        <v>#N/A</v>
      </c>
      <c r="D115" s="52"/>
      <c r="E115" s="63" t="n">
        <f aca="false">D115*'Itens de Contrato'!F115</f>
        <v>0</v>
      </c>
      <c r="F115" s="62" t="n">
        <f aca="false">'Medição 01'!F115-'Medição 01'!G115</f>
        <v>0</v>
      </c>
      <c r="G115" s="52"/>
      <c r="H115" s="64" t="e">
        <f aca="false">G115/D115</f>
        <v>#DIV/0!</v>
      </c>
      <c r="I115" s="63" t="n">
        <f aca="false">G115*'Itens de Contrato'!F115</f>
        <v>0</v>
      </c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</row>
    <row r="116" customFormat="false" ht="12.8" hidden="false" customHeight="false" outlineLevel="0" collapsed="false">
      <c r="A116" s="37" t="n">
        <f aca="false">'Itens de Contrato'!A116</f>
        <v>0</v>
      </c>
      <c r="B116" s="37" t="n">
        <f aca="false">'Itens de Contrato'!B116</f>
        <v>0</v>
      </c>
      <c r="C116" s="37" t="e">
        <f aca="false">VLOOKUP(B116,'Itens de Contrato'!B$5:G$151,2,0)</f>
        <v>#N/A</v>
      </c>
      <c r="D116" s="52"/>
      <c r="E116" s="63" t="n">
        <f aca="false">D116*'Itens de Contrato'!F116</f>
        <v>0</v>
      </c>
      <c r="F116" s="62" t="n">
        <f aca="false">'Medição 01'!F116-'Medição 01'!G116</f>
        <v>0</v>
      </c>
      <c r="G116" s="52"/>
      <c r="H116" s="64" t="e">
        <f aca="false">G116/D116</f>
        <v>#DIV/0!</v>
      </c>
      <c r="I116" s="63" t="n">
        <f aca="false">G116*'Itens de Contrato'!F116</f>
        <v>0</v>
      </c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</row>
    <row r="117" customFormat="false" ht="12.8" hidden="false" customHeight="false" outlineLevel="0" collapsed="false">
      <c r="A117" s="37" t="n">
        <f aca="false">'Itens de Contrato'!A117</f>
        <v>0</v>
      </c>
      <c r="B117" s="37" t="n">
        <f aca="false">'Itens de Contrato'!B117</f>
        <v>0</v>
      </c>
      <c r="C117" s="37" t="e">
        <f aca="false">VLOOKUP(B117,'Itens de Contrato'!B$5:G$151,2,0)</f>
        <v>#N/A</v>
      </c>
      <c r="D117" s="52"/>
      <c r="E117" s="63" t="n">
        <f aca="false">D117*'Itens de Contrato'!F117</f>
        <v>0</v>
      </c>
      <c r="F117" s="62" t="n">
        <f aca="false">'Medição 01'!F117-'Medição 01'!G117</f>
        <v>0</v>
      </c>
      <c r="G117" s="52"/>
      <c r="H117" s="64" t="e">
        <f aca="false">G117/D117</f>
        <v>#DIV/0!</v>
      </c>
      <c r="I117" s="63" t="n">
        <f aca="false">G117*'Itens de Contrato'!F117</f>
        <v>0</v>
      </c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</row>
    <row r="118" customFormat="false" ht="12.8" hidden="false" customHeight="false" outlineLevel="0" collapsed="false">
      <c r="A118" s="37" t="n">
        <f aca="false">'Itens de Contrato'!A118</f>
        <v>0</v>
      </c>
      <c r="B118" s="37" t="n">
        <f aca="false">'Itens de Contrato'!B118</f>
        <v>0</v>
      </c>
      <c r="C118" s="37" t="e">
        <f aca="false">VLOOKUP(B118,'Itens de Contrato'!B$5:G$151,2,0)</f>
        <v>#N/A</v>
      </c>
      <c r="D118" s="52"/>
      <c r="E118" s="63" t="n">
        <f aca="false">D118*'Itens de Contrato'!F118</f>
        <v>0</v>
      </c>
      <c r="F118" s="62" t="n">
        <f aca="false">'Medição 01'!F118-'Medição 01'!G118</f>
        <v>0</v>
      </c>
      <c r="G118" s="52"/>
      <c r="H118" s="64" t="e">
        <f aca="false">G118/D118</f>
        <v>#DIV/0!</v>
      </c>
      <c r="I118" s="63" t="n">
        <f aca="false">G118*'Itens de Contrato'!F118</f>
        <v>0</v>
      </c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</row>
    <row r="119" customFormat="false" ht="12.8" hidden="false" customHeight="false" outlineLevel="0" collapsed="false">
      <c r="A119" s="37" t="n">
        <f aca="false">'Itens de Contrato'!A119</f>
        <v>0</v>
      </c>
      <c r="B119" s="37" t="n">
        <f aca="false">'Itens de Contrato'!B119</f>
        <v>0</v>
      </c>
      <c r="C119" s="37" t="e">
        <f aca="false">VLOOKUP(B119,'Itens de Contrato'!B$5:G$151,2,0)</f>
        <v>#N/A</v>
      </c>
      <c r="D119" s="52"/>
      <c r="E119" s="63" t="n">
        <f aca="false">D119*'Itens de Contrato'!F119</f>
        <v>0</v>
      </c>
      <c r="F119" s="62" t="n">
        <f aca="false">'Medição 01'!F119-'Medição 01'!G119</f>
        <v>0</v>
      </c>
      <c r="G119" s="52"/>
      <c r="H119" s="64" t="e">
        <f aca="false">G119/D119</f>
        <v>#DIV/0!</v>
      </c>
      <c r="I119" s="63" t="n">
        <f aca="false">G119*'Itens de Contrato'!F119</f>
        <v>0</v>
      </c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</row>
    <row r="120" customFormat="false" ht="12.8" hidden="false" customHeight="false" outlineLevel="0" collapsed="false">
      <c r="A120" s="37" t="n">
        <f aca="false">'Itens de Contrato'!A120</f>
        <v>0</v>
      </c>
      <c r="B120" s="37" t="n">
        <f aca="false">'Itens de Contrato'!B120</f>
        <v>0</v>
      </c>
      <c r="C120" s="37" t="e">
        <f aca="false">VLOOKUP(B120,'Itens de Contrato'!B$5:G$151,2,0)</f>
        <v>#N/A</v>
      </c>
      <c r="D120" s="52"/>
      <c r="E120" s="63" t="n">
        <f aca="false">D120*'Itens de Contrato'!F120</f>
        <v>0</v>
      </c>
      <c r="F120" s="62" t="n">
        <f aca="false">'Medição 01'!F120-'Medição 01'!G120</f>
        <v>0</v>
      </c>
      <c r="G120" s="52"/>
      <c r="H120" s="64" t="e">
        <f aca="false">G120/D120</f>
        <v>#DIV/0!</v>
      </c>
      <c r="I120" s="63" t="n">
        <f aca="false">G120*'Itens de Contrato'!F120</f>
        <v>0</v>
      </c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</row>
    <row r="121" customFormat="false" ht="12.8" hidden="false" customHeight="false" outlineLevel="0" collapsed="false">
      <c r="A121" s="37" t="n">
        <f aca="false">'Itens de Contrato'!A121</f>
        <v>0</v>
      </c>
      <c r="B121" s="37" t="n">
        <f aca="false">'Itens de Contrato'!B121</f>
        <v>0</v>
      </c>
      <c r="C121" s="37" t="e">
        <f aca="false">VLOOKUP(B121,'Itens de Contrato'!B$5:G$151,2,0)</f>
        <v>#N/A</v>
      </c>
      <c r="D121" s="52"/>
      <c r="E121" s="63" t="n">
        <f aca="false">D121*'Itens de Contrato'!F121</f>
        <v>0</v>
      </c>
      <c r="F121" s="62" t="n">
        <f aca="false">'Medição 01'!F121-'Medição 01'!G121</f>
        <v>0</v>
      </c>
      <c r="G121" s="52"/>
      <c r="H121" s="64" t="e">
        <f aca="false">G121/D121</f>
        <v>#DIV/0!</v>
      </c>
      <c r="I121" s="63" t="n">
        <f aca="false">G121*'Itens de Contrato'!F121</f>
        <v>0</v>
      </c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</row>
    <row r="122" customFormat="false" ht="12.8" hidden="false" customHeight="false" outlineLevel="0" collapsed="false">
      <c r="A122" s="37" t="n">
        <f aca="false">'Itens de Contrato'!A122</f>
        <v>0</v>
      </c>
      <c r="B122" s="37" t="n">
        <f aca="false">'Itens de Contrato'!B122</f>
        <v>0</v>
      </c>
      <c r="C122" s="37" t="e">
        <f aca="false">VLOOKUP(B122,'Itens de Contrato'!B$5:G$151,2,0)</f>
        <v>#N/A</v>
      </c>
      <c r="D122" s="52"/>
      <c r="E122" s="63" t="n">
        <f aca="false">D122*'Itens de Contrato'!F122</f>
        <v>0</v>
      </c>
      <c r="F122" s="62" t="n">
        <f aca="false">'Medição 01'!F122-'Medição 01'!G122</f>
        <v>0</v>
      </c>
      <c r="G122" s="52"/>
      <c r="H122" s="64" t="e">
        <f aca="false">G122/D122</f>
        <v>#DIV/0!</v>
      </c>
      <c r="I122" s="63" t="n">
        <f aca="false">G122*'Itens de Contrato'!F122</f>
        <v>0</v>
      </c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</row>
    <row r="123" customFormat="false" ht="12.8" hidden="false" customHeight="false" outlineLevel="0" collapsed="false">
      <c r="A123" s="37" t="n">
        <f aca="false">'Itens de Contrato'!A123</f>
        <v>0</v>
      </c>
      <c r="B123" s="37" t="n">
        <f aca="false">'Itens de Contrato'!B123</f>
        <v>0</v>
      </c>
      <c r="C123" s="37" t="e">
        <f aca="false">VLOOKUP(B123,'Itens de Contrato'!B$5:G$151,2,0)</f>
        <v>#N/A</v>
      </c>
      <c r="D123" s="52"/>
      <c r="E123" s="63" t="n">
        <f aca="false">D123*'Itens de Contrato'!F123</f>
        <v>0</v>
      </c>
      <c r="F123" s="62" t="n">
        <f aca="false">'Medição 01'!F123-'Medição 01'!G123</f>
        <v>0</v>
      </c>
      <c r="G123" s="52"/>
      <c r="H123" s="64" t="e">
        <f aca="false">G123/D123</f>
        <v>#DIV/0!</v>
      </c>
      <c r="I123" s="63" t="n">
        <f aca="false">G123*'Itens de Contrato'!F123</f>
        <v>0</v>
      </c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</row>
    <row r="124" customFormat="false" ht="12.8" hidden="false" customHeight="false" outlineLevel="0" collapsed="false">
      <c r="A124" s="37" t="n">
        <f aca="false">'Itens de Contrato'!A124</f>
        <v>0</v>
      </c>
      <c r="B124" s="37" t="n">
        <f aca="false">'Itens de Contrato'!B124</f>
        <v>0</v>
      </c>
      <c r="C124" s="37" t="e">
        <f aca="false">VLOOKUP(B124,'Itens de Contrato'!B$5:G$151,2,0)</f>
        <v>#N/A</v>
      </c>
      <c r="D124" s="52"/>
      <c r="E124" s="63" t="n">
        <f aca="false">D124*'Itens de Contrato'!F124</f>
        <v>0</v>
      </c>
      <c r="F124" s="62" t="n">
        <f aca="false">'Medição 01'!F124-'Medição 01'!G124</f>
        <v>0</v>
      </c>
      <c r="G124" s="52"/>
      <c r="H124" s="64" t="e">
        <f aca="false">G124/D124</f>
        <v>#DIV/0!</v>
      </c>
      <c r="I124" s="63" t="n">
        <f aca="false">G124*'Itens de Contrato'!F124</f>
        <v>0</v>
      </c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</row>
    <row r="125" customFormat="false" ht="12.8" hidden="false" customHeight="false" outlineLevel="0" collapsed="false">
      <c r="A125" s="37" t="n">
        <f aca="false">'Itens de Contrato'!A125</f>
        <v>0</v>
      </c>
      <c r="B125" s="37" t="n">
        <f aca="false">'Itens de Contrato'!B125</f>
        <v>0</v>
      </c>
      <c r="C125" s="37" t="e">
        <f aca="false">VLOOKUP(B125,'Itens de Contrato'!B$5:G$151,2,0)</f>
        <v>#N/A</v>
      </c>
      <c r="D125" s="52"/>
      <c r="E125" s="63" t="n">
        <f aca="false">D125*'Itens de Contrato'!F125</f>
        <v>0</v>
      </c>
      <c r="F125" s="62" t="n">
        <f aca="false">'Medição 01'!F125-'Medição 01'!G125</f>
        <v>0</v>
      </c>
      <c r="G125" s="52"/>
      <c r="H125" s="64" t="e">
        <f aca="false">G125/D125</f>
        <v>#DIV/0!</v>
      </c>
      <c r="I125" s="63" t="n">
        <f aca="false">G125*'Itens de Contrato'!F125</f>
        <v>0</v>
      </c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</row>
    <row r="126" customFormat="false" ht="12.8" hidden="false" customHeight="false" outlineLevel="0" collapsed="false">
      <c r="A126" s="37" t="n">
        <f aca="false">'Itens de Contrato'!A126</f>
        <v>0</v>
      </c>
      <c r="B126" s="37" t="n">
        <f aca="false">'Itens de Contrato'!B126</f>
        <v>0</v>
      </c>
      <c r="C126" s="37" t="e">
        <f aca="false">VLOOKUP(B126,'Itens de Contrato'!B$5:G$151,2,0)</f>
        <v>#N/A</v>
      </c>
      <c r="D126" s="52"/>
      <c r="E126" s="63" t="n">
        <f aca="false">D126*'Itens de Contrato'!F126</f>
        <v>0</v>
      </c>
      <c r="F126" s="62" t="n">
        <f aca="false">'Medição 01'!F126-'Medição 01'!G126</f>
        <v>0</v>
      </c>
      <c r="G126" s="52"/>
      <c r="H126" s="64" t="e">
        <f aca="false">G126/D126</f>
        <v>#DIV/0!</v>
      </c>
      <c r="I126" s="63" t="n">
        <f aca="false">G126*'Itens de Contrato'!F126</f>
        <v>0</v>
      </c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</row>
    <row r="127" customFormat="false" ht="12.8" hidden="false" customHeight="false" outlineLevel="0" collapsed="false">
      <c r="A127" s="37" t="n">
        <f aca="false">'Itens de Contrato'!A127</f>
        <v>0</v>
      </c>
      <c r="B127" s="37" t="n">
        <f aca="false">'Itens de Contrato'!B127</f>
        <v>0</v>
      </c>
      <c r="C127" s="37" t="e">
        <f aca="false">VLOOKUP(B127,'Itens de Contrato'!B$5:G$151,2,0)</f>
        <v>#N/A</v>
      </c>
      <c r="D127" s="52"/>
      <c r="E127" s="63" t="n">
        <f aca="false">D127*'Itens de Contrato'!F127</f>
        <v>0</v>
      </c>
      <c r="F127" s="62" t="n">
        <f aca="false">'Medição 01'!F127-'Medição 01'!G127</f>
        <v>0</v>
      </c>
      <c r="G127" s="52"/>
      <c r="H127" s="64" t="e">
        <f aca="false">G127/D127</f>
        <v>#DIV/0!</v>
      </c>
      <c r="I127" s="63" t="n">
        <f aca="false">G127*'Itens de Contrato'!F127</f>
        <v>0</v>
      </c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</row>
    <row r="128" customFormat="false" ht="12.8" hidden="false" customHeight="false" outlineLevel="0" collapsed="false">
      <c r="A128" s="37" t="n">
        <f aca="false">'Itens de Contrato'!A128</f>
        <v>0</v>
      </c>
      <c r="B128" s="37" t="n">
        <f aca="false">'Itens de Contrato'!B128</f>
        <v>0</v>
      </c>
      <c r="C128" s="37" t="e">
        <f aca="false">VLOOKUP(B128,'Itens de Contrato'!B$5:G$151,2,0)</f>
        <v>#N/A</v>
      </c>
      <c r="D128" s="52"/>
      <c r="E128" s="63" t="n">
        <f aca="false">D128*'Itens de Contrato'!F128</f>
        <v>0</v>
      </c>
      <c r="F128" s="62" t="n">
        <f aca="false">'Medição 01'!F128-'Medição 01'!G128</f>
        <v>0</v>
      </c>
      <c r="G128" s="52"/>
      <c r="H128" s="64" t="e">
        <f aca="false">G128/D128</f>
        <v>#DIV/0!</v>
      </c>
      <c r="I128" s="63" t="n">
        <f aca="false">G128*'Itens de Contrato'!F128</f>
        <v>0</v>
      </c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</row>
    <row r="129" customFormat="false" ht="12.8" hidden="false" customHeight="false" outlineLevel="0" collapsed="false">
      <c r="A129" s="37" t="n">
        <f aca="false">'Itens de Contrato'!A129</f>
        <v>0</v>
      </c>
      <c r="B129" s="37" t="n">
        <f aca="false">'Itens de Contrato'!B129</f>
        <v>0</v>
      </c>
      <c r="C129" s="37" t="e">
        <f aca="false">VLOOKUP(B129,'Itens de Contrato'!B$5:G$151,2,0)</f>
        <v>#N/A</v>
      </c>
      <c r="D129" s="52"/>
      <c r="E129" s="63" t="n">
        <f aca="false">D129*'Itens de Contrato'!F129</f>
        <v>0</v>
      </c>
      <c r="F129" s="62" t="n">
        <f aca="false">'Medição 01'!F129-'Medição 01'!G129</f>
        <v>0</v>
      </c>
      <c r="G129" s="52"/>
      <c r="H129" s="64" t="e">
        <f aca="false">G129/D129</f>
        <v>#DIV/0!</v>
      </c>
      <c r="I129" s="63" t="n">
        <f aca="false">G129*'Itens de Contrato'!F129</f>
        <v>0</v>
      </c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</row>
    <row r="130" customFormat="false" ht="12.8" hidden="false" customHeight="false" outlineLevel="0" collapsed="false">
      <c r="A130" s="37" t="n">
        <f aca="false">'Itens de Contrato'!A130</f>
        <v>0</v>
      </c>
      <c r="B130" s="37" t="n">
        <f aca="false">'Itens de Contrato'!B130</f>
        <v>0</v>
      </c>
      <c r="C130" s="37" t="e">
        <f aca="false">VLOOKUP(B130,'Itens de Contrato'!B$5:G$151,2,0)</f>
        <v>#N/A</v>
      </c>
      <c r="D130" s="52"/>
      <c r="E130" s="63" t="n">
        <f aca="false">D130*'Itens de Contrato'!F130</f>
        <v>0</v>
      </c>
      <c r="F130" s="62" t="n">
        <f aca="false">'Medição 01'!F130-'Medição 01'!G130</f>
        <v>0</v>
      </c>
      <c r="G130" s="52"/>
      <c r="H130" s="64" t="e">
        <f aca="false">G130/D130</f>
        <v>#DIV/0!</v>
      </c>
      <c r="I130" s="63" t="n">
        <f aca="false">G130*'Itens de Contrato'!F130</f>
        <v>0</v>
      </c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</row>
    <row r="131" customFormat="false" ht="12.8" hidden="false" customHeight="false" outlineLevel="0" collapsed="false">
      <c r="A131" s="37" t="n">
        <f aca="false">'Itens de Contrato'!A131</f>
        <v>0</v>
      </c>
      <c r="B131" s="37" t="n">
        <f aca="false">'Itens de Contrato'!B131</f>
        <v>0</v>
      </c>
      <c r="C131" s="37" t="e">
        <f aca="false">VLOOKUP(B131,'Itens de Contrato'!B$5:G$151,2,0)</f>
        <v>#N/A</v>
      </c>
      <c r="D131" s="52"/>
      <c r="E131" s="63" t="n">
        <f aca="false">D131*'Itens de Contrato'!F131</f>
        <v>0</v>
      </c>
      <c r="F131" s="62" t="n">
        <f aca="false">'Medição 01'!F131-'Medição 01'!G131</f>
        <v>0</v>
      </c>
      <c r="G131" s="52"/>
      <c r="H131" s="64" t="e">
        <f aca="false">G131/D131</f>
        <v>#DIV/0!</v>
      </c>
      <c r="I131" s="63" t="n">
        <f aca="false">G131*'Itens de Contrato'!F131</f>
        <v>0</v>
      </c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</row>
    <row r="132" customFormat="false" ht="12.8" hidden="false" customHeight="false" outlineLevel="0" collapsed="false">
      <c r="A132" s="37" t="n">
        <f aca="false">'Itens de Contrato'!A132</f>
        <v>0</v>
      </c>
      <c r="B132" s="37" t="n">
        <f aca="false">'Itens de Contrato'!B132</f>
        <v>0</v>
      </c>
      <c r="C132" s="37" t="e">
        <f aca="false">VLOOKUP(B132,'Itens de Contrato'!B$5:G$151,2,0)</f>
        <v>#N/A</v>
      </c>
      <c r="D132" s="52"/>
      <c r="E132" s="63" t="n">
        <f aca="false">D132*'Itens de Contrato'!F132</f>
        <v>0</v>
      </c>
      <c r="F132" s="62" t="n">
        <f aca="false">'Medição 01'!F132-'Medição 01'!G132</f>
        <v>0</v>
      </c>
      <c r="G132" s="52"/>
      <c r="H132" s="64" t="e">
        <f aca="false">G132/D132</f>
        <v>#DIV/0!</v>
      </c>
      <c r="I132" s="63" t="n">
        <f aca="false">G132*'Itens de Contrato'!F132</f>
        <v>0</v>
      </c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</row>
    <row r="133" customFormat="false" ht="12.8" hidden="false" customHeight="false" outlineLevel="0" collapsed="false">
      <c r="A133" s="37" t="n">
        <f aca="false">'Itens de Contrato'!A133</f>
        <v>0</v>
      </c>
      <c r="B133" s="37" t="n">
        <f aca="false">'Itens de Contrato'!B133</f>
        <v>0</v>
      </c>
      <c r="C133" s="37" t="e">
        <f aca="false">VLOOKUP(B133,'Itens de Contrato'!B$5:G$151,2,0)</f>
        <v>#N/A</v>
      </c>
      <c r="D133" s="52"/>
      <c r="E133" s="63" t="n">
        <f aca="false">D133*'Itens de Contrato'!F133</f>
        <v>0</v>
      </c>
      <c r="F133" s="62" t="n">
        <f aca="false">'Medição 01'!F133-'Medição 01'!G133</f>
        <v>0</v>
      </c>
      <c r="G133" s="52"/>
      <c r="H133" s="64" t="e">
        <f aca="false">G133/D133</f>
        <v>#DIV/0!</v>
      </c>
      <c r="I133" s="63" t="n">
        <f aca="false">G133*'Itens de Contrato'!F133</f>
        <v>0</v>
      </c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</row>
    <row r="134" customFormat="false" ht="12.8" hidden="false" customHeight="false" outlineLevel="0" collapsed="false">
      <c r="A134" s="37" t="n">
        <f aca="false">'Itens de Contrato'!A134</f>
        <v>0</v>
      </c>
      <c r="B134" s="37" t="n">
        <f aca="false">'Itens de Contrato'!B134</f>
        <v>0</v>
      </c>
      <c r="C134" s="37" t="e">
        <f aca="false">VLOOKUP(B134,'Itens de Contrato'!B$5:G$151,2,0)</f>
        <v>#N/A</v>
      </c>
      <c r="D134" s="52"/>
      <c r="E134" s="63" t="n">
        <f aca="false">D134*'Itens de Contrato'!F134</f>
        <v>0</v>
      </c>
      <c r="F134" s="62" t="n">
        <f aca="false">'Medição 01'!F134-'Medição 01'!G134</f>
        <v>0</v>
      </c>
      <c r="G134" s="52"/>
      <c r="H134" s="64" t="e">
        <f aca="false">G134/D134</f>
        <v>#DIV/0!</v>
      </c>
      <c r="I134" s="63" t="n">
        <f aca="false">G134*'Itens de Contrato'!F134</f>
        <v>0</v>
      </c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</row>
    <row r="135" customFormat="false" ht="12.8" hidden="false" customHeight="false" outlineLevel="0" collapsed="false">
      <c r="A135" s="37" t="n">
        <f aca="false">'Itens de Contrato'!A135</f>
        <v>0</v>
      </c>
      <c r="B135" s="37" t="n">
        <f aca="false">'Itens de Contrato'!B135</f>
        <v>0</v>
      </c>
      <c r="C135" s="37" t="e">
        <f aca="false">VLOOKUP(B135,'Itens de Contrato'!B$5:G$151,2,0)</f>
        <v>#N/A</v>
      </c>
      <c r="D135" s="52"/>
      <c r="E135" s="63" t="n">
        <f aca="false">D135*'Itens de Contrato'!F135</f>
        <v>0</v>
      </c>
      <c r="F135" s="62" t="n">
        <f aca="false">'Medição 01'!F135-'Medição 01'!G135</f>
        <v>0</v>
      </c>
      <c r="G135" s="52"/>
      <c r="H135" s="64" t="e">
        <f aca="false">G135/D135</f>
        <v>#DIV/0!</v>
      </c>
      <c r="I135" s="63" t="n">
        <f aca="false">G135*'Itens de Contrato'!F135</f>
        <v>0</v>
      </c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</row>
    <row r="136" customFormat="false" ht="12.8" hidden="false" customHeight="false" outlineLevel="0" collapsed="false">
      <c r="A136" s="37" t="n">
        <f aca="false">'Itens de Contrato'!A136</f>
        <v>0</v>
      </c>
      <c r="B136" s="37" t="n">
        <f aca="false">'Itens de Contrato'!B136</f>
        <v>0</v>
      </c>
      <c r="C136" s="37" t="e">
        <f aca="false">VLOOKUP(B136,'Itens de Contrato'!B$5:G$151,2,0)</f>
        <v>#N/A</v>
      </c>
      <c r="D136" s="52"/>
      <c r="E136" s="63" t="n">
        <f aca="false">D136*'Itens de Contrato'!F136</f>
        <v>0</v>
      </c>
      <c r="F136" s="62" t="n">
        <f aca="false">'Medição 01'!F136-'Medição 01'!G136</f>
        <v>0</v>
      </c>
      <c r="G136" s="52"/>
      <c r="H136" s="64" t="e">
        <f aca="false">G136/D136</f>
        <v>#DIV/0!</v>
      </c>
      <c r="I136" s="63" t="n">
        <f aca="false">G136*'Itens de Contrato'!F136</f>
        <v>0</v>
      </c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</row>
    <row r="137" customFormat="false" ht="12.8" hidden="false" customHeight="false" outlineLevel="0" collapsed="false">
      <c r="A137" s="37" t="n">
        <f aca="false">'Itens de Contrato'!A137</f>
        <v>0</v>
      </c>
      <c r="B137" s="37" t="n">
        <f aca="false">'Itens de Contrato'!B137</f>
        <v>0</v>
      </c>
      <c r="C137" s="37" t="e">
        <f aca="false">VLOOKUP(B137,'Itens de Contrato'!B$5:G$151,2,0)</f>
        <v>#N/A</v>
      </c>
      <c r="D137" s="52"/>
      <c r="E137" s="63" t="n">
        <f aca="false">D137*'Itens de Contrato'!F137</f>
        <v>0</v>
      </c>
      <c r="F137" s="62" t="n">
        <f aca="false">'Medição 01'!F137-'Medição 01'!G137</f>
        <v>0</v>
      </c>
      <c r="G137" s="52"/>
      <c r="H137" s="64" t="e">
        <f aca="false">G137/D137</f>
        <v>#DIV/0!</v>
      </c>
      <c r="I137" s="63" t="n">
        <f aca="false">G137*'Itens de Contrato'!F137</f>
        <v>0</v>
      </c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</row>
    <row r="138" customFormat="false" ht="12.8" hidden="false" customHeight="false" outlineLevel="0" collapsed="false">
      <c r="A138" s="37" t="n">
        <f aca="false">'Itens de Contrato'!A138</f>
        <v>0</v>
      </c>
      <c r="B138" s="37" t="n">
        <f aca="false">'Itens de Contrato'!B138</f>
        <v>0</v>
      </c>
      <c r="C138" s="37" t="e">
        <f aca="false">VLOOKUP(B138,'Itens de Contrato'!B$5:G$151,2,0)</f>
        <v>#N/A</v>
      </c>
      <c r="D138" s="52"/>
      <c r="E138" s="63" t="n">
        <f aca="false">D138*'Itens de Contrato'!F138</f>
        <v>0</v>
      </c>
      <c r="F138" s="62" t="n">
        <f aca="false">'Medição 01'!F138-'Medição 01'!G138</f>
        <v>0</v>
      </c>
      <c r="G138" s="52"/>
      <c r="H138" s="64" t="e">
        <f aca="false">G138/D138</f>
        <v>#DIV/0!</v>
      </c>
      <c r="I138" s="63" t="n">
        <f aca="false">G138*'Itens de Contrato'!F138</f>
        <v>0</v>
      </c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</row>
    <row r="139" customFormat="false" ht="12.8" hidden="false" customHeight="false" outlineLevel="0" collapsed="false">
      <c r="A139" s="37" t="n">
        <f aca="false">'Itens de Contrato'!A139</f>
        <v>0</v>
      </c>
      <c r="B139" s="37" t="n">
        <f aca="false">'Itens de Contrato'!B139</f>
        <v>0</v>
      </c>
      <c r="C139" s="37" t="e">
        <f aca="false">VLOOKUP(B139,'Itens de Contrato'!B$5:G$151,2,0)</f>
        <v>#N/A</v>
      </c>
      <c r="D139" s="52"/>
      <c r="E139" s="63" t="n">
        <f aca="false">D139*'Itens de Contrato'!F139</f>
        <v>0</v>
      </c>
      <c r="F139" s="62" t="n">
        <f aca="false">'Medição 01'!F139-'Medição 01'!G139</f>
        <v>0</v>
      </c>
      <c r="G139" s="52"/>
      <c r="H139" s="64" t="e">
        <f aca="false">G139/D139</f>
        <v>#DIV/0!</v>
      </c>
      <c r="I139" s="63" t="n">
        <f aca="false">G139*'Itens de Contrato'!F139</f>
        <v>0</v>
      </c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</row>
    <row r="140" customFormat="false" ht="12.8" hidden="false" customHeight="false" outlineLevel="0" collapsed="false">
      <c r="A140" s="37" t="n">
        <f aca="false">'Itens de Contrato'!A140</f>
        <v>0</v>
      </c>
      <c r="B140" s="37" t="n">
        <f aca="false">'Itens de Contrato'!B140</f>
        <v>0</v>
      </c>
      <c r="C140" s="37" t="e">
        <f aca="false">VLOOKUP(B140,'Itens de Contrato'!B$5:G$151,2,0)</f>
        <v>#N/A</v>
      </c>
      <c r="D140" s="52"/>
      <c r="E140" s="63" t="n">
        <f aca="false">D140*'Itens de Contrato'!F140</f>
        <v>0</v>
      </c>
      <c r="F140" s="62" t="n">
        <f aca="false">'Medição 01'!F140-'Medição 01'!G140</f>
        <v>0</v>
      </c>
      <c r="G140" s="52"/>
      <c r="H140" s="64" t="e">
        <f aca="false">G140/D140</f>
        <v>#DIV/0!</v>
      </c>
      <c r="I140" s="63" t="n">
        <f aca="false">G140*'Itens de Contrato'!F140</f>
        <v>0</v>
      </c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</row>
    <row r="141" customFormat="false" ht="12.8" hidden="false" customHeight="false" outlineLevel="0" collapsed="false">
      <c r="A141" s="37" t="n">
        <f aca="false">'Itens de Contrato'!A141</f>
        <v>0</v>
      </c>
      <c r="B141" s="37" t="n">
        <f aca="false">'Itens de Contrato'!B141</f>
        <v>0</v>
      </c>
      <c r="C141" s="37" t="e">
        <f aca="false">VLOOKUP(B141,'Itens de Contrato'!B$5:G$151,2,0)</f>
        <v>#N/A</v>
      </c>
      <c r="D141" s="52"/>
      <c r="E141" s="63" t="n">
        <f aca="false">D141*'Itens de Contrato'!F141</f>
        <v>0</v>
      </c>
      <c r="F141" s="62" t="n">
        <f aca="false">'Medição 01'!F141-'Medição 01'!G141</f>
        <v>0</v>
      </c>
      <c r="G141" s="52"/>
      <c r="H141" s="64" t="e">
        <f aca="false">G141/D141</f>
        <v>#DIV/0!</v>
      </c>
      <c r="I141" s="63" t="n">
        <f aca="false">G141*'Itens de Contrato'!F141</f>
        <v>0</v>
      </c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</row>
    <row r="142" customFormat="false" ht="12.8" hidden="false" customHeight="false" outlineLevel="0" collapsed="false">
      <c r="A142" s="37" t="n">
        <f aca="false">'Itens de Contrato'!A142</f>
        <v>0</v>
      </c>
      <c r="B142" s="37" t="n">
        <f aca="false">'Itens de Contrato'!B142</f>
        <v>0</v>
      </c>
      <c r="C142" s="37" t="e">
        <f aca="false">VLOOKUP(B142,'Itens de Contrato'!B$5:G$151,2,0)</f>
        <v>#N/A</v>
      </c>
      <c r="D142" s="52"/>
      <c r="E142" s="63" t="n">
        <f aca="false">D142*'Itens de Contrato'!F142</f>
        <v>0</v>
      </c>
      <c r="F142" s="62" t="n">
        <f aca="false">'Medição 01'!F142-'Medição 01'!G142</f>
        <v>0</v>
      </c>
      <c r="G142" s="52"/>
      <c r="H142" s="64" t="e">
        <f aca="false">G142/D142</f>
        <v>#DIV/0!</v>
      </c>
      <c r="I142" s="63" t="n">
        <f aca="false">G142*'Itens de Contrato'!F142</f>
        <v>0</v>
      </c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</row>
    <row r="143" customFormat="false" ht="12.8" hidden="false" customHeight="false" outlineLevel="0" collapsed="false">
      <c r="A143" s="37" t="n">
        <f aca="false">'Itens de Contrato'!A143</f>
        <v>0</v>
      </c>
      <c r="B143" s="37" t="n">
        <f aca="false">'Itens de Contrato'!B143</f>
        <v>0</v>
      </c>
      <c r="C143" s="37" t="e">
        <f aca="false">VLOOKUP(B143,'Itens de Contrato'!B$5:G$151,2,0)</f>
        <v>#N/A</v>
      </c>
      <c r="D143" s="52"/>
      <c r="E143" s="63" t="n">
        <f aca="false">D143*'Itens de Contrato'!F143</f>
        <v>0</v>
      </c>
      <c r="F143" s="62" t="n">
        <f aca="false">'Medição 01'!F143-'Medição 01'!G143</f>
        <v>0</v>
      </c>
      <c r="G143" s="52"/>
      <c r="H143" s="64" t="e">
        <f aca="false">G143/D143</f>
        <v>#DIV/0!</v>
      </c>
      <c r="I143" s="63" t="n">
        <f aca="false">G143*'Itens de Contrato'!F143</f>
        <v>0</v>
      </c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</row>
    <row r="144" customFormat="false" ht="12.8" hidden="false" customHeight="false" outlineLevel="0" collapsed="false">
      <c r="A144" s="37" t="n">
        <f aca="false">'Itens de Contrato'!A144</f>
        <v>0</v>
      </c>
      <c r="B144" s="37" t="n">
        <f aca="false">'Itens de Contrato'!B144</f>
        <v>0</v>
      </c>
      <c r="C144" s="37" t="e">
        <f aca="false">VLOOKUP(B144,'Itens de Contrato'!B$5:G$151,2,0)</f>
        <v>#N/A</v>
      </c>
      <c r="D144" s="52"/>
      <c r="E144" s="63" t="n">
        <f aca="false">D144*'Itens de Contrato'!F144</f>
        <v>0</v>
      </c>
      <c r="F144" s="62" t="n">
        <f aca="false">'Medição 01'!F144-'Medição 01'!G144</f>
        <v>0</v>
      </c>
      <c r="G144" s="52"/>
      <c r="H144" s="64" t="e">
        <f aca="false">G144/D144</f>
        <v>#DIV/0!</v>
      </c>
      <c r="I144" s="63" t="n">
        <f aca="false">G144*'Itens de Contrato'!F144</f>
        <v>0</v>
      </c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</row>
    <row r="145" customFormat="false" ht="12.8" hidden="false" customHeight="false" outlineLevel="0" collapsed="false">
      <c r="A145" s="37" t="n">
        <f aca="false">'Itens de Contrato'!A145</f>
        <v>0</v>
      </c>
      <c r="B145" s="37" t="n">
        <f aca="false">'Itens de Contrato'!B145</f>
        <v>0</v>
      </c>
      <c r="C145" s="37" t="e">
        <f aca="false">VLOOKUP(B145,'Itens de Contrato'!B$5:G$151,2,0)</f>
        <v>#N/A</v>
      </c>
      <c r="D145" s="52"/>
      <c r="E145" s="63" t="n">
        <f aca="false">D145*'Itens de Contrato'!F145</f>
        <v>0</v>
      </c>
      <c r="F145" s="62" t="n">
        <f aca="false">'Medição 01'!F145-'Medição 01'!G145</f>
        <v>0</v>
      </c>
      <c r="G145" s="52"/>
      <c r="H145" s="64" t="e">
        <f aca="false">G145/D145</f>
        <v>#DIV/0!</v>
      </c>
      <c r="I145" s="63" t="n">
        <f aca="false">G145*'Itens de Contrato'!F145</f>
        <v>0</v>
      </c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</row>
    <row r="146" customFormat="false" ht="12.8" hidden="false" customHeight="false" outlineLevel="0" collapsed="false">
      <c r="A146" s="37" t="n">
        <f aca="false">'Itens de Contrato'!A146</f>
        <v>0</v>
      </c>
      <c r="B146" s="37" t="n">
        <f aca="false">'Itens de Contrato'!B146</f>
        <v>0</v>
      </c>
      <c r="C146" s="37" t="e">
        <f aca="false">VLOOKUP(B146,'Itens de Contrato'!B$5:G$151,2,0)</f>
        <v>#N/A</v>
      </c>
      <c r="D146" s="52"/>
      <c r="E146" s="63" t="n">
        <f aca="false">D146*'Itens de Contrato'!F146</f>
        <v>0</v>
      </c>
      <c r="F146" s="62" t="n">
        <f aca="false">'Medição 01'!F146-'Medição 01'!G146</f>
        <v>0</v>
      </c>
      <c r="G146" s="52"/>
      <c r="H146" s="64" t="e">
        <f aca="false">G146/D146</f>
        <v>#DIV/0!</v>
      </c>
      <c r="I146" s="63" t="n">
        <f aca="false">G146*'Itens de Contrato'!F146</f>
        <v>0</v>
      </c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</row>
    <row r="147" customFormat="false" ht="12.8" hidden="false" customHeight="false" outlineLevel="0" collapsed="false">
      <c r="A147" s="37" t="n">
        <f aca="false">'Itens de Contrato'!A147</f>
        <v>0</v>
      </c>
      <c r="B147" s="37" t="n">
        <f aca="false">'Itens de Contrato'!B147</f>
        <v>0</v>
      </c>
      <c r="C147" s="37" t="e">
        <f aca="false">VLOOKUP(B147,'Itens de Contrato'!B$5:G$151,2,0)</f>
        <v>#N/A</v>
      </c>
      <c r="D147" s="52"/>
      <c r="E147" s="63" t="n">
        <f aca="false">D147*'Itens de Contrato'!F147</f>
        <v>0</v>
      </c>
      <c r="F147" s="62" t="n">
        <f aca="false">'Medição 01'!F147-'Medição 01'!G147</f>
        <v>0</v>
      </c>
      <c r="G147" s="52"/>
      <c r="H147" s="64" t="e">
        <f aca="false">G147/D147</f>
        <v>#DIV/0!</v>
      </c>
      <c r="I147" s="63" t="n">
        <f aca="false">G147*'Itens de Contrato'!F147</f>
        <v>0</v>
      </c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</row>
    <row r="148" customFormat="false" ht="12.8" hidden="false" customHeight="false" outlineLevel="0" collapsed="false">
      <c r="A148" s="37" t="n">
        <f aca="false">'Itens de Contrato'!A148</f>
        <v>0</v>
      </c>
      <c r="B148" s="37" t="n">
        <f aca="false">'Itens de Contrato'!B148</f>
        <v>0</v>
      </c>
      <c r="C148" s="37" t="e">
        <f aca="false">VLOOKUP(B148,'Itens de Contrato'!B$5:G$151,2,0)</f>
        <v>#N/A</v>
      </c>
      <c r="D148" s="52"/>
      <c r="E148" s="63" t="n">
        <f aca="false">D148*'Itens de Contrato'!F148</f>
        <v>0</v>
      </c>
      <c r="F148" s="62" t="n">
        <f aca="false">'Medição 01'!F148-'Medição 01'!G148</f>
        <v>0</v>
      </c>
      <c r="G148" s="52"/>
      <c r="H148" s="64" t="e">
        <f aca="false">G148/D148</f>
        <v>#DIV/0!</v>
      </c>
      <c r="I148" s="63" t="n">
        <f aca="false">G148*'Itens de Contrato'!F148</f>
        <v>0</v>
      </c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</row>
    <row r="149" customFormat="false" ht="12.8" hidden="false" customHeight="false" outlineLevel="0" collapsed="false">
      <c r="A149" s="37" t="n">
        <f aca="false">'Itens de Contrato'!A149</f>
        <v>0</v>
      </c>
      <c r="B149" s="37" t="n">
        <f aca="false">'Itens de Contrato'!B149</f>
        <v>0</v>
      </c>
      <c r="C149" s="37" t="e">
        <f aca="false">VLOOKUP(B149,'Itens de Contrato'!B$5:G$151,2,0)</f>
        <v>#N/A</v>
      </c>
      <c r="D149" s="52"/>
      <c r="E149" s="63" t="n">
        <f aca="false">D149*'Itens de Contrato'!F149</f>
        <v>0</v>
      </c>
      <c r="F149" s="62" t="n">
        <f aca="false">'Medição 01'!F149-'Medição 01'!G149</f>
        <v>0</v>
      </c>
      <c r="G149" s="52"/>
      <c r="H149" s="64" t="e">
        <f aca="false">G149/D149</f>
        <v>#DIV/0!</v>
      </c>
      <c r="I149" s="63" t="n">
        <f aca="false">G149*'Itens de Contrato'!F149</f>
        <v>0</v>
      </c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</row>
    <row r="150" customFormat="false" ht="12.8" hidden="false" customHeight="false" outlineLevel="0" collapsed="false">
      <c r="A150" s="37" t="n">
        <f aca="false">'Itens de Contrato'!A150</f>
        <v>0</v>
      </c>
      <c r="B150" s="37" t="n">
        <f aca="false">'Itens de Contrato'!B150</f>
        <v>0</v>
      </c>
      <c r="C150" s="37" t="e">
        <f aca="false">VLOOKUP(B150,'Itens de Contrato'!B$5:G$151,2,0)</f>
        <v>#N/A</v>
      </c>
      <c r="D150" s="52"/>
      <c r="E150" s="63" t="n">
        <f aca="false">D150*'Itens de Contrato'!F150</f>
        <v>0</v>
      </c>
      <c r="F150" s="62" t="n">
        <f aca="false">'Medição 01'!F150-'Medição 01'!G150</f>
        <v>0</v>
      </c>
      <c r="G150" s="52"/>
      <c r="H150" s="64" t="e">
        <f aca="false">G150/D150</f>
        <v>#DIV/0!</v>
      </c>
      <c r="I150" s="63" t="n">
        <f aca="false">G150*'Itens de Contrato'!F150</f>
        <v>0</v>
      </c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</row>
    <row r="151" customFormat="false" ht="12.8" hidden="false" customHeight="false" outlineLevel="0" collapsed="false">
      <c r="A151" s="37" t="n">
        <f aca="false">'Itens de Contrato'!A151</f>
        <v>0</v>
      </c>
      <c r="B151" s="37" t="n">
        <f aca="false">'Itens de Contrato'!B151</f>
        <v>0</v>
      </c>
      <c r="C151" s="37" t="e">
        <f aca="false">VLOOKUP(B151,'Itens de Contrato'!B$5:G$151,2,0)</f>
        <v>#N/A</v>
      </c>
      <c r="D151" s="52"/>
      <c r="E151" s="63" t="n">
        <f aca="false">D151*'Itens de Contrato'!F151</f>
        <v>0</v>
      </c>
      <c r="F151" s="62" t="n">
        <f aca="false">'Medição 01'!F151-'Medição 01'!G151</f>
        <v>0</v>
      </c>
      <c r="G151" s="52"/>
      <c r="H151" s="64" t="e">
        <f aca="false">G151/D151</f>
        <v>#DIV/0!</v>
      </c>
      <c r="I151" s="63" t="n">
        <f aca="false">G151*'Itens de Contrato'!F151</f>
        <v>0</v>
      </c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</row>
    <row r="152" customFormat="false" ht="12.75" hidden="false" customHeight="false" outlineLevel="0" collapsed="false"/>
    <row r="153" customFormat="false" ht="12.75" hidden="false" customHeight="false" outlineLevel="0" collapsed="false"/>
    <row r="154" customFormat="false" ht="12.75" hidden="false" customHeight="false" outlineLevel="0" collapsed="false"/>
    <row r="155" customFormat="false" ht="12.75" hidden="false" customHeight="false" outlineLevel="0" collapsed="false"/>
    <row r="156" customFormat="false" ht="12.75" hidden="false" customHeight="false" outlineLevel="0" collapsed="false"/>
    <row r="157" customFormat="false" ht="12.75" hidden="false" customHeight="false" outlineLevel="0" collapsed="false"/>
    <row r="158" customFormat="false" ht="12.75" hidden="false" customHeight="false" outlineLevel="0" collapsed="false"/>
    <row r="159" customFormat="false" ht="12.75" hidden="false" customHeight="false" outlineLevel="0" collapsed="false"/>
    <row r="160" customFormat="false" ht="12.75" hidden="false" customHeight="false" outlineLevel="0" collapsed="false"/>
    <row r="161" customFormat="false" ht="12.75" hidden="false" customHeight="false" outlineLevel="0" collapsed="false"/>
    <row r="162" customFormat="false" ht="12.75" hidden="false" customHeight="false" outlineLevel="0" collapsed="false"/>
    <row r="163" customFormat="false" ht="12.75" hidden="false" customHeight="false" outlineLevel="0" collapsed="false"/>
    <row r="164" customFormat="false" ht="12.75" hidden="false" customHeight="false" outlineLevel="0" collapsed="false"/>
    <row r="165" customFormat="false" ht="12.75" hidden="false" customHeight="false" outlineLevel="0" collapsed="false"/>
    <row r="166" customFormat="false" ht="12.75" hidden="false" customHeight="false" outlineLevel="0" collapsed="false"/>
    <row r="167" customFormat="false" ht="12.75" hidden="false" customHeight="false" outlineLevel="0" collapsed="false"/>
    <row r="168" customFormat="false" ht="12.75" hidden="false" customHeight="false" outlineLevel="0" collapsed="false"/>
    <row r="169" customFormat="false" ht="12.75" hidden="false" customHeight="false" outlineLevel="0" collapsed="false"/>
    <row r="170" customFormat="false" ht="12.75" hidden="false" customHeight="false" outlineLevel="0" collapsed="false"/>
    <row r="171" customFormat="false" ht="12.75" hidden="false" customHeight="false" outlineLevel="0" collapsed="false"/>
    <row r="172" customFormat="false" ht="12.75" hidden="false" customHeight="false" outlineLevel="0" collapsed="false"/>
    <row r="173" customFormat="false" ht="12.75" hidden="false" customHeight="false" outlineLevel="0" collapsed="false"/>
    <row r="174" customFormat="false" ht="12.75" hidden="false" customHeight="false" outlineLevel="0" collapsed="false"/>
    <row r="175" customFormat="false" ht="12.75" hidden="false" customHeight="false" outlineLevel="0" collapsed="false"/>
    <row r="176" customFormat="false" ht="12.75" hidden="false" customHeight="false" outlineLevel="0" collapsed="false"/>
    <row r="177" customFormat="false" ht="12.75" hidden="false" customHeight="false" outlineLevel="0" collapsed="false"/>
    <row r="178" customFormat="false" ht="12.75" hidden="false" customHeight="false" outlineLevel="0" collapsed="false"/>
    <row r="179" customFormat="false" ht="12.75" hidden="false" customHeight="false" outlineLevel="0" collapsed="false"/>
    <row r="180" customFormat="false" ht="12.75" hidden="false" customHeight="false" outlineLevel="0" collapsed="false"/>
    <row r="181" customFormat="false" ht="12.75" hidden="false" customHeight="false" outlineLevel="0" collapsed="false"/>
    <row r="182" customFormat="false" ht="12.75" hidden="false" customHeight="false" outlineLevel="0" collapsed="false"/>
    <row r="183" customFormat="false" ht="12.75" hidden="false" customHeight="false" outlineLevel="0" collapsed="false"/>
    <row r="184" customFormat="false" ht="12.75" hidden="false" customHeight="false" outlineLevel="0" collapsed="false"/>
    <row r="185" customFormat="false" ht="12.75" hidden="false" customHeight="false" outlineLevel="0" collapsed="false"/>
    <row r="186" customFormat="false" ht="12.75" hidden="false" customHeight="false" outlineLevel="0" collapsed="false"/>
    <row r="187" customFormat="false" ht="12.75" hidden="false" customHeight="false" outlineLevel="0" collapsed="false"/>
    <row r="188" customFormat="false" ht="12.75" hidden="false" customHeight="false" outlineLevel="0" collapsed="false"/>
    <row r="189" customFormat="false" ht="12.75" hidden="false" customHeight="false" outlineLevel="0" collapsed="false"/>
    <row r="190" customFormat="false" ht="12.75" hidden="false" customHeight="false" outlineLevel="0" collapsed="false"/>
    <row r="191" customFormat="false" ht="12.75" hidden="false" customHeight="false" outlineLevel="0" collapsed="false"/>
    <row r="192" customFormat="false" ht="12.75" hidden="false" customHeight="false" outlineLevel="0" collapsed="false"/>
    <row r="193" customFormat="false" ht="12.75" hidden="false" customHeight="false" outlineLevel="0" collapsed="false"/>
    <row r="194" customFormat="false" ht="12.75" hidden="false" customHeight="false" outlineLevel="0" collapsed="false"/>
    <row r="195" customFormat="false" ht="12.75" hidden="false" customHeight="false" outlineLevel="0" collapsed="false"/>
    <row r="196" customFormat="false" ht="12.75" hidden="false" customHeight="false" outlineLevel="0" collapsed="false"/>
    <row r="197" customFormat="false" ht="12.75" hidden="false" customHeight="false" outlineLevel="0" collapsed="false"/>
    <row r="198" customFormat="false" ht="12.75" hidden="false" customHeight="false" outlineLevel="0" collapsed="false"/>
    <row r="199" customFormat="false" ht="12.75" hidden="false" customHeight="false" outlineLevel="0" collapsed="false"/>
    <row r="200" customFormat="false" ht="12.75" hidden="false" customHeight="false" outlineLevel="0" collapsed="false"/>
    <row r="201" customFormat="false" ht="12.75" hidden="false" customHeight="false" outlineLevel="0" collapsed="false"/>
    <row r="202" customFormat="false" ht="12.75" hidden="false" customHeight="false" outlineLevel="0" collapsed="false"/>
    <row r="203" customFormat="false" ht="12.75" hidden="false" customHeight="false" outlineLevel="0" collapsed="false"/>
    <row r="204" customFormat="false" ht="12.75" hidden="false" customHeight="false" outlineLevel="0" collapsed="false"/>
    <row r="205" customFormat="false" ht="12.75" hidden="false" customHeight="false" outlineLevel="0" collapsed="false"/>
    <row r="206" customFormat="false" ht="12.75" hidden="false" customHeight="false" outlineLevel="0" collapsed="false"/>
    <row r="207" customFormat="false" ht="12.75" hidden="false" customHeight="false" outlineLevel="0" collapsed="false"/>
    <row r="208" customFormat="false" ht="12.75" hidden="false" customHeight="false" outlineLevel="0" collapsed="false"/>
    <row r="209" customFormat="false" ht="12.75" hidden="false" customHeight="false" outlineLevel="0" collapsed="false"/>
    <row r="210" customFormat="false" ht="12.75" hidden="false" customHeight="false" outlineLevel="0" collapsed="false"/>
    <row r="211" customFormat="false" ht="12.75" hidden="false" customHeight="false" outlineLevel="0" collapsed="false"/>
    <row r="212" customFormat="false" ht="12.75" hidden="false" customHeight="false" outlineLevel="0" collapsed="false"/>
    <row r="213" customFormat="false" ht="12.75" hidden="false" customHeight="false" outlineLevel="0" collapsed="false"/>
    <row r="214" customFormat="false" ht="12.75" hidden="false" customHeight="false" outlineLevel="0" collapsed="false"/>
    <row r="215" customFormat="false" ht="12.75" hidden="false" customHeight="false" outlineLevel="0" collapsed="false"/>
    <row r="216" customFormat="false" ht="12.75" hidden="false" customHeight="false" outlineLevel="0" collapsed="false"/>
    <row r="217" customFormat="false" ht="12.75" hidden="false" customHeight="false" outlineLevel="0" collapsed="false"/>
    <row r="218" customFormat="false" ht="12.75" hidden="false" customHeight="false" outlineLevel="0" collapsed="false"/>
    <row r="219" customFormat="false" ht="12.75" hidden="false" customHeight="false" outlineLevel="0" collapsed="false"/>
    <row r="220" customFormat="false" ht="12.75" hidden="false" customHeight="false" outlineLevel="0" collapsed="false"/>
    <row r="221" customFormat="false" ht="12.75" hidden="false" customHeight="false" outlineLevel="0" collapsed="false"/>
    <row r="222" customFormat="false" ht="12.75" hidden="false" customHeight="false" outlineLevel="0" collapsed="false"/>
    <row r="223" customFormat="false" ht="12.75" hidden="false" customHeight="false" outlineLevel="0" collapsed="false"/>
    <row r="224" customFormat="false" ht="12.75" hidden="false" customHeight="false" outlineLevel="0" collapsed="false"/>
    <row r="225" customFormat="false" ht="12.75" hidden="false" customHeight="false" outlineLevel="0" collapsed="false"/>
    <row r="226" customFormat="false" ht="12.75" hidden="false" customHeight="false" outlineLevel="0" collapsed="false"/>
    <row r="227" customFormat="false" ht="12.75" hidden="false" customHeight="false" outlineLevel="0" collapsed="false"/>
    <row r="228" customFormat="false" ht="12.75" hidden="false" customHeight="false" outlineLevel="0" collapsed="false"/>
    <row r="229" customFormat="false" ht="12.75" hidden="false" customHeight="false" outlineLevel="0" collapsed="false"/>
    <row r="230" customFormat="false" ht="12.75" hidden="false" customHeight="false" outlineLevel="0" collapsed="false"/>
    <row r="231" customFormat="false" ht="12.75" hidden="false" customHeight="false" outlineLevel="0" collapsed="false"/>
    <row r="232" customFormat="false" ht="12.75" hidden="false" customHeight="false" outlineLevel="0" collapsed="false"/>
    <row r="233" customFormat="false" ht="12.75" hidden="false" customHeight="false" outlineLevel="0" collapsed="false"/>
    <row r="234" customFormat="false" ht="12.75" hidden="false" customHeight="false" outlineLevel="0" collapsed="false"/>
    <row r="235" customFormat="false" ht="12.75" hidden="false" customHeight="false" outlineLevel="0" collapsed="false"/>
    <row r="236" customFormat="false" ht="12.75" hidden="false" customHeight="false" outlineLevel="0" collapsed="false"/>
    <row r="237" customFormat="false" ht="12.75" hidden="false" customHeight="false" outlineLevel="0" collapsed="false"/>
    <row r="238" customFormat="false" ht="12.75" hidden="false" customHeight="false" outlineLevel="0" collapsed="false"/>
    <row r="239" customFormat="false" ht="12.75" hidden="false" customHeight="false" outlineLevel="0" collapsed="false"/>
    <row r="240" customFormat="false" ht="12.75" hidden="false" customHeight="false" outlineLevel="0" collapsed="false"/>
    <row r="241" customFormat="false" ht="12.75" hidden="false" customHeight="false" outlineLevel="0" collapsed="false"/>
    <row r="242" customFormat="false" ht="12.75" hidden="false" customHeight="false" outlineLevel="0" collapsed="false"/>
    <row r="243" customFormat="false" ht="12.75" hidden="false" customHeight="false" outlineLevel="0" collapsed="false"/>
    <row r="244" customFormat="false" ht="12.75" hidden="false" customHeight="false" outlineLevel="0" collapsed="false"/>
    <row r="245" customFormat="false" ht="12.75" hidden="false" customHeight="false" outlineLevel="0" collapsed="false"/>
    <row r="246" customFormat="false" ht="12.75" hidden="false" customHeight="false" outlineLevel="0" collapsed="false"/>
    <row r="247" customFormat="false" ht="12.75" hidden="false" customHeight="false" outlineLevel="0" collapsed="false"/>
    <row r="248" customFormat="false" ht="12.75" hidden="false" customHeight="false" outlineLevel="0" collapsed="false"/>
    <row r="249" customFormat="false" ht="12.75" hidden="false" customHeight="false" outlineLevel="0" collapsed="false"/>
    <row r="250" customFormat="false" ht="12.75" hidden="false" customHeight="false" outlineLevel="0" collapsed="false"/>
    <row r="251" customFormat="false" ht="12.75" hidden="false" customHeight="false" outlineLevel="0" collapsed="false"/>
    <row r="252" customFormat="false" ht="12.75" hidden="false" customHeight="false" outlineLevel="0" collapsed="false"/>
    <row r="253" customFormat="false" ht="12.75" hidden="false" customHeight="false" outlineLevel="0" collapsed="false"/>
    <row r="254" customFormat="false" ht="12.75" hidden="false" customHeight="false" outlineLevel="0" collapsed="false"/>
    <row r="255" customFormat="false" ht="12.75" hidden="false" customHeight="false" outlineLevel="0" collapsed="false"/>
    <row r="256" customFormat="false" ht="12.75" hidden="false" customHeight="false" outlineLevel="0" collapsed="false"/>
    <row r="257" customFormat="false" ht="12.75" hidden="false" customHeight="false" outlineLevel="0" collapsed="false"/>
    <row r="258" customFormat="false" ht="12.75" hidden="false" customHeight="false" outlineLevel="0" collapsed="false"/>
    <row r="259" customFormat="false" ht="12.75" hidden="false" customHeight="false" outlineLevel="0" collapsed="false"/>
    <row r="260" customFormat="false" ht="12.75" hidden="false" customHeight="false" outlineLevel="0" collapsed="false"/>
    <row r="261" customFormat="false" ht="12.75" hidden="false" customHeight="false" outlineLevel="0" collapsed="false"/>
    <row r="262" customFormat="false" ht="12.75" hidden="false" customHeight="false" outlineLevel="0" collapsed="false"/>
    <row r="263" customFormat="false" ht="12.75" hidden="false" customHeight="false" outlineLevel="0" collapsed="false"/>
    <row r="264" customFormat="false" ht="12.75" hidden="false" customHeight="false" outlineLevel="0" collapsed="false"/>
    <row r="265" customFormat="false" ht="12.75" hidden="false" customHeight="false" outlineLevel="0" collapsed="false"/>
    <row r="266" customFormat="false" ht="12.75" hidden="false" customHeight="false" outlineLevel="0" collapsed="false"/>
    <row r="267" customFormat="false" ht="12.75" hidden="false" customHeight="false" outlineLevel="0" collapsed="false"/>
    <row r="268" customFormat="false" ht="12.75" hidden="false" customHeight="false" outlineLevel="0" collapsed="false"/>
    <row r="269" customFormat="false" ht="12.75" hidden="false" customHeight="false" outlineLevel="0" collapsed="false"/>
    <row r="270" customFormat="false" ht="12.75" hidden="false" customHeight="false" outlineLevel="0" collapsed="false"/>
    <row r="271" customFormat="false" ht="12.75" hidden="false" customHeight="false" outlineLevel="0" collapsed="false"/>
    <row r="272" customFormat="false" ht="12.75" hidden="false" customHeight="false" outlineLevel="0" collapsed="false"/>
    <row r="273" customFormat="false" ht="12.75" hidden="false" customHeight="fals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12.75" hidden="false" customHeight="false" outlineLevel="0" collapsed="false"/>
    <row r="283" customFormat="false" ht="12.75" hidden="false" customHeight="false" outlineLevel="0" collapsed="false"/>
    <row r="284" customFormat="false" ht="12.75" hidden="false" customHeight="fals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12.75" hidden="false" customHeight="false" outlineLevel="0" collapsed="false"/>
    <row r="291" customFormat="false" ht="12.75" hidden="false" customHeight="false" outlineLevel="0" collapsed="false"/>
    <row r="292" customFormat="false" ht="12.75" hidden="false" customHeight="false" outlineLevel="0" collapsed="false"/>
    <row r="293" customFormat="false" ht="12.75" hidden="false" customHeight="false" outlineLevel="0" collapsed="false"/>
    <row r="294" customFormat="false" ht="12.75" hidden="false" customHeight="false" outlineLevel="0" collapsed="false"/>
    <row r="295" customFormat="false" ht="12.75" hidden="false" customHeight="fals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12.75" hidden="false" customHeight="false" outlineLevel="0" collapsed="false"/>
    <row r="299" customFormat="false" ht="12.75" hidden="false" customHeight="false" outlineLevel="0" collapsed="false"/>
    <row r="300" customFormat="false" ht="12.75" hidden="false" customHeight="fals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12.75" hidden="false" customHeight="false" outlineLevel="0" collapsed="false"/>
    <row r="308" customFormat="false" ht="12.75" hidden="false" customHeight="false" outlineLevel="0" collapsed="false"/>
    <row r="309" customFormat="false" ht="12.75" hidden="false" customHeight="false" outlineLevel="0" collapsed="false"/>
    <row r="310" customFormat="false" ht="12.75" hidden="false" customHeight="false" outlineLevel="0" collapsed="false"/>
    <row r="311" customFormat="false" ht="12.75" hidden="false" customHeight="false" outlineLevel="0" collapsed="false"/>
    <row r="312" customFormat="false" ht="12.75" hidden="false" customHeight="false" outlineLevel="0" collapsed="false"/>
    <row r="313" customFormat="false" ht="12.75" hidden="false" customHeight="false" outlineLevel="0" collapsed="false"/>
    <row r="314" customFormat="false" ht="12.75" hidden="false" customHeight="fals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12.75" hidden="false" customHeight="fals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  <row r="344" customFormat="false" ht="12.75" hidden="false" customHeight="false" outlineLevel="0" collapsed="false"/>
    <row r="345" customFormat="false" ht="12.75" hidden="false" customHeight="false" outlineLevel="0" collapsed="false"/>
    <row r="346" customFormat="false" ht="12.75" hidden="false" customHeight="false" outlineLevel="0" collapsed="false"/>
    <row r="347" customFormat="false" ht="12.75" hidden="false" customHeight="false" outlineLevel="0" collapsed="false"/>
    <row r="348" customFormat="false" ht="12.75" hidden="false" customHeight="false" outlineLevel="0" collapsed="false"/>
    <row r="349" customFormat="false" ht="12.75" hidden="false" customHeight="false" outlineLevel="0" collapsed="false"/>
    <row r="350" customFormat="false" ht="12.75" hidden="false" customHeight="false" outlineLevel="0" collapsed="false"/>
    <row r="351" customFormat="false" ht="12.75" hidden="false" customHeight="false" outlineLevel="0" collapsed="false"/>
    <row r="352" customFormat="false" ht="12.75" hidden="false" customHeight="false" outlineLevel="0" collapsed="false"/>
    <row r="353" customFormat="false" ht="12.75" hidden="false" customHeight="false" outlineLevel="0" collapsed="false"/>
    <row r="354" customFormat="false" ht="12.75" hidden="false" customHeight="false" outlineLevel="0" collapsed="false"/>
    <row r="355" customFormat="false" ht="12.75" hidden="false" customHeight="false" outlineLevel="0" collapsed="false"/>
    <row r="356" customFormat="false" ht="12.75" hidden="false" customHeight="false" outlineLevel="0" collapsed="false"/>
    <row r="357" customFormat="false" ht="12.75" hidden="false" customHeight="false" outlineLevel="0" collapsed="false"/>
    <row r="358" customFormat="false" ht="12.75" hidden="false" customHeight="false" outlineLevel="0" collapsed="false"/>
    <row r="359" customFormat="false" ht="12.75" hidden="false" customHeight="false" outlineLevel="0" collapsed="false"/>
    <row r="360" customFormat="false" ht="12.75" hidden="false" customHeight="false" outlineLevel="0" collapsed="false"/>
    <row r="361" customFormat="false" ht="12.75" hidden="false" customHeight="false" outlineLevel="0" collapsed="false"/>
    <row r="362" customFormat="false" ht="12.75" hidden="false" customHeight="false" outlineLevel="0" collapsed="false"/>
    <row r="363" customFormat="false" ht="12.75" hidden="false" customHeight="false" outlineLevel="0" collapsed="false"/>
    <row r="364" customFormat="false" ht="12.75" hidden="false" customHeight="false" outlineLevel="0" collapsed="false"/>
    <row r="365" customFormat="false" ht="12.75" hidden="false" customHeight="false" outlineLevel="0" collapsed="false"/>
    <row r="366" customFormat="false" ht="12.75" hidden="false" customHeight="false" outlineLevel="0" collapsed="false"/>
    <row r="367" customFormat="false" ht="12.75" hidden="false" customHeight="false" outlineLevel="0" collapsed="false"/>
    <row r="368" customFormat="false" ht="12.75" hidden="false" customHeight="false" outlineLevel="0" collapsed="false"/>
    <row r="369" customFormat="false" ht="12.75" hidden="false" customHeight="false" outlineLevel="0" collapsed="false"/>
    <row r="370" customFormat="false" ht="12.75" hidden="false" customHeight="false" outlineLevel="0" collapsed="false"/>
    <row r="371" customFormat="false" ht="12.75" hidden="false" customHeight="false" outlineLevel="0" collapsed="false"/>
    <row r="372" customFormat="false" ht="12.75" hidden="false" customHeight="false" outlineLevel="0" collapsed="false"/>
    <row r="373" customFormat="false" ht="12.75" hidden="false" customHeight="false" outlineLevel="0" collapsed="false"/>
    <row r="374" customFormat="false" ht="12.75" hidden="false" customHeight="false" outlineLevel="0" collapsed="false"/>
    <row r="375" customFormat="false" ht="12.75" hidden="false" customHeight="false" outlineLevel="0" collapsed="false"/>
    <row r="376" customFormat="false" ht="12.75" hidden="false" customHeight="false" outlineLevel="0" collapsed="false"/>
    <row r="377" customFormat="false" ht="12.75" hidden="false" customHeight="false" outlineLevel="0" collapsed="false"/>
    <row r="378" customFormat="false" ht="12.75" hidden="false" customHeight="false" outlineLevel="0" collapsed="false"/>
    <row r="379" customFormat="false" ht="12.75" hidden="false" customHeight="false" outlineLevel="0" collapsed="false"/>
    <row r="380" customFormat="false" ht="12.75" hidden="false" customHeight="false" outlineLevel="0" collapsed="false"/>
    <row r="381" customFormat="false" ht="12.75" hidden="false" customHeight="false" outlineLevel="0" collapsed="false"/>
    <row r="382" customFormat="false" ht="12.75" hidden="false" customHeight="false" outlineLevel="0" collapsed="false"/>
    <row r="383" customFormat="false" ht="12.75" hidden="false" customHeight="false" outlineLevel="0" collapsed="false"/>
    <row r="384" customFormat="false" ht="12.75" hidden="false" customHeight="false" outlineLevel="0" collapsed="false"/>
    <row r="385" customFormat="false" ht="12.75" hidden="false" customHeight="false" outlineLevel="0" collapsed="false"/>
    <row r="386" customFormat="false" ht="12.75" hidden="false" customHeight="false" outlineLevel="0" collapsed="false"/>
    <row r="387" customFormat="false" ht="12.75" hidden="false" customHeight="false" outlineLevel="0" collapsed="false"/>
    <row r="388" customFormat="false" ht="12.75" hidden="false" customHeight="false" outlineLevel="0" collapsed="false"/>
    <row r="389" customFormat="false" ht="12.75" hidden="false" customHeight="false" outlineLevel="0" collapsed="false"/>
    <row r="390" customFormat="false" ht="12.75" hidden="false" customHeight="false" outlineLevel="0" collapsed="false"/>
    <row r="391" customFormat="false" ht="12.75" hidden="false" customHeight="false" outlineLevel="0" collapsed="false"/>
    <row r="392" customFormat="false" ht="12.75" hidden="false" customHeight="false" outlineLevel="0" collapsed="false"/>
    <row r="393" customFormat="false" ht="12.75" hidden="false" customHeight="false" outlineLevel="0" collapsed="false"/>
    <row r="394" customFormat="false" ht="12.75" hidden="false" customHeight="false" outlineLevel="0" collapsed="false"/>
    <row r="395" customFormat="false" ht="12.75" hidden="false" customHeight="false" outlineLevel="0" collapsed="false"/>
    <row r="396" customFormat="false" ht="12.75" hidden="false" customHeight="false" outlineLevel="0" collapsed="false"/>
    <row r="397" customFormat="false" ht="12.75" hidden="false" customHeight="false" outlineLevel="0" collapsed="false"/>
    <row r="398" customFormat="false" ht="12.75" hidden="false" customHeight="false" outlineLevel="0" collapsed="false"/>
    <row r="399" customFormat="false" ht="12.75" hidden="false" customHeight="false" outlineLevel="0" collapsed="false"/>
    <row r="400" customFormat="false" ht="12.75" hidden="false" customHeight="false" outlineLevel="0" collapsed="false"/>
    <row r="401" customFormat="false" ht="12.75" hidden="false" customHeight="false" outlineLevel="0" collapsed="false"/>
    <row r="402" customFormat="false" ht="12.75" hidden="false" customHeight="false" outlineLevel="0" collapsed="false"/>
    <row r="403" customFormat="false" ht="12.75" hidden="false" customHeight="false" outlineLevel="0" collapsed="false"/>
    <row r="404" customFormat="false" ht="12.75" hidden="false" customHeight="false" outlineLevel="0" collapsed="false"/>
    <row r="405" customFormat="false" ht="12.75" hidden="false" customHeight="false" outlineLevel="0" collapsed="false"/>
    <row r="406" customFormat="false" ht="12.75" hidden="false" customHeight="false" outlineLevel="0" collapsed="false"/>
    <row r="407" customFormat="false" ht="12.75" hidden="false" customHeight="false" outlineLevel="0" collapsed="false"/>
    <row r="408" customFormat="false" ht="12.75" hidden="false" customHeight="false" outlineLevel="0" collapsed="false"/>
    <row r="409" customFormat="false" ht="12.75" hidden="false" customHeight="false" outlineLevel="0" collapsed="false"/>
    <row r="410" customFormat="false" ht="12.75" hidden="false" customHeight="false" outlineLevel="0" collapsed="false"/>
    <row r="411" customFormat="false" ht="12.75" hidden="false" customHeight="false" outlineLevel="0" collapsed="false"/>
    <row r="412" customFormat="false" ht="12.75" hidden="false" customHeight="false" outlineLevel="0" collapsed="false"/>
    <row r="413" customFormat="false" ht="12.75" hidden="false" customHeight="false" outlineLevel="0" collapsed="false"/>
    <row r="414" customFormat="false" ht="12.75" hidden="false" customHeight="false" outlineLevel="0" collapsed="false"/>
    <row r="415" customFormat="false" ht="12.75" hidden="false" customHeight="false" outlineLevel="0" collapsed="false"/>
    <row r="416" customFormat="false" ht="12.75" hidden="false" customHeight="false" outlineLevel="0" collapsed="false"/>
    <row r="417" customFormat="false" ht="12.75" hidden="false" customHeight="false" outlineLevel="0" collapsed="false"/>
    <row r="418" customFormat="false" ht="12.75" hidden="false" customHeight="false" outlineLevel="0" collapsed="false"/>
    <row r="419" customFormat="false" ht="12.75" hidden="false" customHeight="false" outlineLevel="0" collapsed="false"/>
    <row r="420" customFormat="false" ht="12.75" hidden="false" customHeight="false" outlineLevel="0" collapsed="false"/>
    <row r="421" customFormat="false" ht="12.75" hidden="false" customHeight="false" outlineLevel="0" collapsed="false"/>
    <row r="422" customFormat="false" ht="12.75" hidden="false" customHeight="false" outlineLevel="0" collapsed="false"/>
    <row r="423" customFormat="false" ht="12.75" hidden="false" customHeight="false" outlineLevel="0" collapsed="false"/>
    <row r="424" customFormat="false" ht="12.75" hidden="false" customHeight="false" outlineLevel="0" collapsed="false"/>
    <row r="425" customFormat="false" ht="12.75" hidden="false" customHeight="false" outlineLevel="0" collapsed="false"/>
    <row r="426" customFormat="false" ht="12.75" hidden="false" customHeight="false" outlineLevel="0" collapsed="false"/>
    <row r="427" customFormat="false" ht="12.75" hidden="false" customHeight="false" outlineLevel="0" collapsed="false"/>
    <row r="428" customFormat="false" ht="12.75" hidden="false" customHeight="false" outlineLevel="0" collapsed="false"/>
    <row r="429" customFormat="false" ht="12.75" hidden="false" customHeight="false" outlineLevel="0" collapsed="false"/>
    <row r="430" customFormat="false" ht="12.75" hidden="false" customHeight="false" outlineLevel="0" collapsed="false"/>
    <row r="431" customFormat="false" ht="12.75" hidden="false" customHeight="false" outlineLevel="0" collapsed="false"/>
    <row r="432" customFormat="false" ht="12.75" hidden="false" customHeight="false" outlineLevel="0" collapsed="false"/>
    <row r="433" customFormat="false" ht="12.75" hidden="false" customHeight="false" outlineLevel="0" collapsed="false"/>
    <row r="434" customFormat="false" ht="12.75" hidden="false" customHeight="false" outlineLevel="0" collapsed="false"/>
    <row r="435" customFormat="false" ht="12.75" hidden="false" customHeight="false" outlineLevel="0" collapsed="false"/>
    <row r="436" customFormat="false" ht="12.75" hidden="false" customHeight="false" outlineLevel="0" collapsed="false"/>
    <row r="437" customFormat="false" ht="12.75" hidden="false" customHeight="false" outlineLevel="0" collapsed="false"/>
    <row r="438" customFormat="false" ht="12.75" hidden="false" customHeight="false" outlineLevel="0" collapsed="false"/>
    <row r="439" customFormat="false" ht="12.75" hidden="false" customHeight="false" outlineLevel="0" collapsed="false"/>
    <row r="440" customFormat="false" ht="12.75" hidden="false" customHeight="false" outlineLevel="0" collapsed="false"/>
    <row r="441" customFormat="false" ht="12.75" hidden="false" customHeight="false" outlineLevel="0" collapsed="false"/>
    <row r="442" customFormat="false" ht="12.75" hidden="false" customHeight="false" outlineLevel="0" collapsed="false"/>
    <row r="443" customFormat="false" ht="12.75" hidden="false" customHeight="false" outlineLevel="0" collapsed="false"/>
    <row r="444" customFormat="false" ht="12.75" hidden="false" customHeight="false" outlineLevel="0" collapsed="false"/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/>
    <row r="455" customFormat="false" ht="12.75" hidden="false" customHeight="false" outlineLevel="0" collapsed="false"/>
    <row r="456" customFormat="false" ht="12.75" hidden="false" customHeight="false" outlineLevel="0" collapsed="false"/>
    <row r="457" customFormat="false" ht="12.75" hidden="false" customHeight="false" outlineLevel="0" collapsed="false"/>
    <row r="458" customFormat="false" ht="12.75" hidden="false" customHeight="false" outlineLevel="0" collapsed="false"/>
    <row r="459" customFormat="false" ht="12.75" hidden="false" customHeight="false" outlineLevel="0" collapsed="false"/>
    <row r="460" customFormat="false" ht="12.75" hidden="false" customHeight="false" outlineLevel="0" collapsed="false"/>
    <row r="461" customFormat="false" ht="12.75" hidden="false" customHeight="false" outlineLevel="0" collapsed="false"/>
    <row r="462" customFormat="false" ht="12.75" hidden="false" customHeight="false" outlineLevel="0" collapsed="false"/>
    <row r="463" customFormat="false" ht="12.75" hidden="false" customHeight="false" outlineLevel="0" collapsed="false"/>
    <row r="464" customFormat="false" ht="12.75" hidden="false" customHeight="false" outlineLevel="0" collapsed="false"/>
    <row r="465" customFormat="false" ht="12.75" hidden="false" customHeight="false" outlineLevel="0" collapsed="false"/>
    <row r="466" customFormat="false" ht="12.75" hidden="false" customHeight="false" outlineLevel="0" collapsed="false"/>
    <row r="467" customFormat="false" ht="12.75" hidden="false" customHeight="false" outlineLevel="0" collapsed="false"/>
    <row r="468" customFormat="false" ht="12.75" hidden="false" customHeight="false" outlineLevel="0" collapsed="false"/>
    <row r="469" customFormat="false" ht="12.75" hidden="false" customHeight="false" outlineLevel="0" collapsed="false"/>
    <row r="470" customFormat="false" ht="12.75" hidden="false" customHeight="false" outlineLevel="0" collapsed="false"/>
    <row r="471" customFormat="false" ht="12.75" hidden="false" customHeight="false" outlineLevel="0" collapsed="false"/>
    <row r="472" customFormat="false" ht="12.75" hidden="false" customHeight="false" outlineLevel="0" collapsed="false"/>
    <row r="473" customFormat="false" ht="12.75" hidden="false" customHeight="false" outlineLevel="0" collapsed="false"/>
    <row r="474" customFormat="false" ht="12.75" hidden="false" customHeight="false" outlineLevel="0" collapsed="false"/>
    <row r="475" customFormat="false" ht="12.75" hidden="false" customHeight="false" outlineLevel="0" collapsed="false"/>
    <row r="476" customFormat="false" ht="12.75" hidden="false" customHeight="false" outlineLevel="0" collapsed="false"/>
    <row r="477" customFormat="false" ht="12.75" hidden="false" customHeight="false" outlineLevel="0" collapsed="false"/>
    <row r="478" customFormat="false" ht="12.75" hidden="false" customHeight="false" outlineLevel="0" collapsed="false"/>
    <row r="479" customFormat="false" ht="12.75" hidden="false" customHeight="false" outlineLevel="0" collapsed="false"/>
    <row r="480" customFormat="false" ht="12.75" hidden="false" customHeight="false" outlineLevel="0" collapsed="false"/>
    <row r="481" customFormat="false" ht="12.75" hidden="false" customHeight="false" outlineLevel="0" collapsed="false"/>
    <row r="482" customFormat="false" ht="12.75" hidden="false" customHeight="false" outlineLevel="0" collapsed="false"/>
    <row r="483" customFormat="false" ht="12.75" hidden="false" customHeight="false" outlineLevel="0" collapsed="false"/>
    <row r="484" customFormat="false" ht="12.75" hidden="false" customHeight="false" outlineLevel="0" collapsed="false"/>
    <row r="485" customFormat="false" ht="12.75" hidden="false" customHeight="false" outlineLevel="0" collapsed="false"/>
    <row r="486" customFormat="false" ht="12.75" hidden="false" customHeight="false" outlineLevel="0" collapsed="false"/>
    <row r="487" customFormat="false" ht="12.75" hidden="false" customHeight="false" outlineLevel="0" collapsed="false"/>
    <row r="488" customFormat="false" ht="12.75" hidden="false" customHeight="false" outlineLevel="0" collapsed="false"/>
    <row r="489" customFormat="false" ht="12.75" hidden="false" customHeight="false" outlineLevel="0" collapsed="false"/>
    <row r="490" customFormat="false" ht="12.75" hidden="false" customHeight="false" outlineLevel="0" collapsed="false"/>
    <row r="491" customFormat="false" ht="12.75" hidden="false" customHeight="false" outlineLevel="0" collapsed="false"/>
    <row r="492" customFormat="false" ht="12.75" hidden="false" customHeight="false" outlineLevel="0" collapsed="false"/>
    <row r="493" customFormat="false" ht="12.75" hidden="false" customHeight="false" outlineLevel="0" collapsed="false"/>
    <row r="494" customFormat="false" ht="12.75" hidden="false" customHeight="false" outlineLevel="0" collapsed="false"/>
    <row r="495" customFormat="false" ht="12.75" hidden="false" customHeight="false" outlineLevel="0" collapsed="false"/>
    <row r="496" customFormat="false" ht="12.75" hidden="false" customHeight="false" outlineLevel="0" collapsed="false"/>
    <row r="497" customFormat="false" ht="12.75" hidden="false" customHeight="false" outlineLevel="0" collapsed="false"/>
    <row r="498" customFormat="false" ht="12.75" hidden="false" customHeight="false" outlineLevel="0" collapsed="false"/>
    <row r="499" customFormat="false" ht="12.75" hidden="false" customHeight="false" outlineLevel="0" collapsed="false"/>
    <row r="500" customFormat="false" ht="12.75" hidden="false" customHeight="false" outlineLevel="0" collapsed="false"/>
    <row r="501" customFormat="false" ht="12.75" hidden="false" customHeight="false" outlineLevel="0" collapsed="false"/>
    <row r="502" customFormat="false" ht="12.75" hidden="false" customHeight="false" outlineLevel="0" collapsed="false"/>
    <row r="503" customFormat="false" ht="12.75" hidden="false" customHeight="false" outlineLevel="0" collapsed="false"/>
    <row r="504" customFormat="false" ht="12.75" hidden="false" customHeight="false" outlineLevel="0" collapsed="false"/>
    <row r="505" customFormat="false" ht="12.75" hidden="false" customHeight="false" outlineLevel="0" collapsed="false"/>
    <row r="506" customFormat="false" ht="12.75" hidden="false" customHeight="false" outlineLevel="0" collapsed="false"/>
    <row r="507" customFormat="false" ht="12.75" hidden="false" customHeight="false" outlineLevel="0" collapsed="false"/>
    <row r="508" customFormat="false" ht="12.75" hidden="false" customHeight="false" outlineLevel="0" collapsed="false"/>
    <row r="509" customFormat="false" ht="12.75" hidden="false" customHeight="false" outlineLevel="0" collapsed="false"/>
    <row r="510" customFormat="false" ht="12.75" hidden="false" customHeight="false" outlineLevel="0" collapsed="false"/>
    <row r="511" customFormat="false" ht="12.75" hidden="false" customHeight="false" outlineLevel="0" collapsed="false"/>
    <row r="512" customFormat="false" ht="12.75" hidden="false" customHeight="false" outlineLevel="0" collapsed="false"/>
    <row r="513" customFormat="false" ht="12.75" hidden="false" customHeight="false" outlineLevel="0" collapsed="false"/>
    <row r="514" customFormat="false" ht="12.75" hidden="false" customHeight="false" outlineLevel="0" collapsed="false"/>
    <row r="515" customFormat="false" ht="12.75" hidden="false" customHeight="false" outlineLevel="0" collapsed="false"/>
    <row r="516" customFormat="false" ht="12.75" hidden="false" customHeight="false" outlineLevel="0" collapsed="false"/>
    <row r="517" customFormat="false" ht="12.75" hidden="false" customHeight="false" outlineLevel="0" collapsed="false"/>
    <row r="518" customFormat="false" ht="12.75" hidden="false" customHeight="false" outlineLevel="0" collapsed="false"/>
    <row r="519" customFormat="false" ht="12.75" hidden="false" customHeight="false" outlineLevel="0" collapsed="false"/>
    <row r="520" customFormat="false" ht="12.75" hidden="false" customHeight="false" outlineLevel="0" collapsed="false"/>
    <row r="521" customFormat="false" ht="12.75" hidden="false" customHeight="false" outlineLevel="0" collapsed="false"/>
    <row r="522" customFormat="false" ht="12.75" hidden="false" customHeight="false" outlineLevel="0" collapsed="false"/>
    <row r="523" customFormat="false" ht="12.75" hidden="false" customHeight="false" outlineLevel="0" collapsed="false"/>
    <row r="524" customFormat="false" ht="12.75" hidden="false" customHeight="false" outlineLevel="0" collapsed="false"/>
    <row r="525" customFormat="false" ht="12.75" hidden="false" customHeight="false" outlineLevel="0" collapsed="false"/>
    <row r="526" customFormat="false" ht="12.75" hidden="false" customHeight="false" outlineLevel="0" collapsed="false"/>
    <row r="527" customFormat="false" ht="12.75" hidden="false" customHeight="false" outlineLevel="0" collapsed="false"/>
    <row r="528" customFormat="false" ht="12.75" hidden="false" customHeight="false" outlineLevel="0" collapsed="false"/>
    <row r="529" customFormat="false" ht="12.75" hidden="false" customHeight="false" outlineLevel="0" collapsed="false"/>
    <row r="530" customFormat="false" ht="12.75" hidden="false" customHeight="false" outlineLevel="0" collapsed="false"/>
    <row r="531" customFormat="false" ht="12.75" hidden="false" customHeight="false" outlineLevel="0" collapsed="false"/>
    <row r="532" customFormat="false" ht="12.75" hidden="false" customHeight="false" outlineLevel="0" collapsed="false"/>
    <row r="533" customFormat="false" ht="12.75" hidden="false" customHeight="false" outlineLevel="0" collapsed="false"/>
    <row r="534" customFormat="false" ht="12.75" hidden="false" customHeight="false" outlineLevel="0" collapsed="false"/>
    <row r="535" customFormat="false" ht="12.75" hidden="false" customHeight="false" outlineLevel="0" collapsed="false"/>
    <row r="536" customFormat="false" ht="12.75" hidden="false" customHeight="false" outlineLevel="0" collapsed="false"/>
    <row r="537" customFormat="false" ht="12.75" hidden="false" customHeight="false" outlineLevel="0" collapsed="false"/>
    <row r="538" customFormat="false" ht="12.75" hidden="false" customHeight="false" outlineLevel="0" collapsed="false"/>
    <row r="539" customFormat="false" ht="12.75" hidden="false" customHeight="false" outlineLevel="0" collapsed="false"/>
    <row r="540" customFormat="false" ht="12.75" hidden="false" customHeight="false" outlineLevel="0" collapsed="false"/>
    <row r="541" customFormat="false" ht="12.75" hidden="false" customHeight="false" outlineLevel="0" collapsed="false"/>
    <row r="542" customFormat="false" ht="12.75" hidden="false" customHeight="false" outlineLevel="0" collapsed="false"/>
    <row r="543" customFormat="false" ht="12.75" hidden="false" customHeight="false" outlineLevel="0" collapsed="false"/>
    <row r="544" customFormat="false" ht="12.75" hidden="false" customHeight="false" outlineLevel="0" collapsed="false"/>
    <row r="545" customFormat="false" ht="12.75" hidden="false" customHeight="false" outlineLevel="0" collapsed="false"/>
    <row r="546" customFormat="false" ht="12.75" hidden="false" customHeight="false" outlineLevel="0" collapsed="false"/>
    <row r="547" customFormat="false" ht="12.75" hidden="false" customHeight="false" outlineLevel="0" collapsed="false"/>
    <row r="548" customFormat="false" ht="12.75" hidden="false" customHeight="false" outlineLevel="0" collapsed="false"/>
    <row r="549" customFormat="false" ht="12.75" hidden="false" customHeight="false" outlineLevel="0" collapsed="false"/>
    <row r="550" customFormat="false" ht="12.75" hidden="false" customHeight="false" outlineLevel="0" collapsed="false"/>
    <row r="551" customFormat="false" ht="12.75" hidden="false" customHeight="false" outlineLevel="0" collapsed="false"/>
    <row r="552" customFormat="false" ht="12.75" hidden="false" customHeight="false" outlineLevel="0" collapsed="false"/>
    <row r="553" customFormat="false" ht="12.75" hidden="false" customHeight="false" outlineLevel="0" collapsed="false"/>
    <row r="554" customFormat="false" ht="12.75" hidden="false" customHeight="false" outlineLevel="0" collapsed="false"/>
    <row r="555" customFormat="false" ht="12.75" hidden="false" customHeight="false" outlineLevel="0" collapsed="false"/>
    <row r="556" customFormat="false" ht="12.75" hidden="false" customHeight="false" outlineLevel="0" collapsed="false"/>
    <row r="557" customFormat="false" ht="12.75" hidden="false" customHeight="false" outlineLevel="0" collapsed="false"/>
    <row r="558" customFormat="false" ht="12.75" hidden="false" customHeight="false" outlineLevel="0" collapsed="false"/>
    <row r="559" customFormat="false" ht="12.75" hidden="false" customHeight="false" outlineLevel="0" collapsed="false"/>
    <row r="560" customFormat="false" ht="12.75" hidden="false" customHeight="false" outlineLevel="0" collapsed="false"/>
    <row r="561" customFormat="false" ht="12.75" hidden="false" customHeight="false" outlineLevel="0" collapsed="false"/>
    <row r="562" customFormat="false" ht="12.75" hidden="false" customHeight="false" outlineLevel="0" collapsed="false"/>
    <row r="563" customFormat="false" ht="12.75" hidden="false" customHeight="false" outlineLevel="0" collapsed="false"/>
    <row r="564" customFormat="false" ht="12.75" hidden="false" customHeight="false" outlineLevel="0" collapsed="false"/>
    <row r="565" customFormat="false" ht="12.75" hidden="false" customHeight="false" outlineLevel="0" collapsed="false"/>
    <row r="566" customFormat="false" ht="12.75" hidden="false" customHeight="false" outlineLevel="0" collapsed="false"/>
    <row r="567" customFormat="false" ht="12.75" hidden="false" customHeight="false" outlineLevel="0" collapsed="false"/>
    <row r="568" customFormat="false" ht="12.75" hidden="false" customHeight="false" outlineLevel="0" collapsed="false"/>
    <row r="569" customFormat="false" ht="12.75" hidden="false" customHeight="false" outlineLevel="0" collapsed="false"/>
    <row r="570" customFormat="false" ht="12.75" hidden="false" customHeight="false" outlineLevel="0" collapsed="false"/>
    <row r="571" customFormat="false" ht="12.75" hidden="false" customHeight="false" outlineLevel="0" collapsed="false"/>
    <row r="572" customFormat="false" ht="12.75" hidden="false" customHeight="false" outlineLevel="0" collapsed="false"/>
    <row r="573" customFormat="false" ht="12.75" hidden="false" customHeight="false" outlineLevel="0" collapsed="false"/>
    <row r="574" customFormat="false" ht="12.75" hidden="false" customHeight="false" outlineLevel="0" collapsed="false"/>
    <row r="575" customFormat="false" ht="12.75" hidden="false" customHeight="false" outlineLevel="0" collapsed="false"/>
    <row r="576" customFormat="false" ht="12.75" hidden="false" customHeight="false" outlineLevel="0" collapsed="false"/>
    <row r="577" customFormat="false" ht="12.75" hidden="false" customHeight="false" outlineLevel="0" collapsed="false"/>
    <row r="578" customFormat="false" ht="12.75" hidden="false" customHeight="false" outlineLevel="0" collapsed="false"/>
    <row r="579" customFormat="false" ht="12.75" hidden="false" customHeight="false" outlineLevel="0" collapsed="false"/>
    <row r="580" customFormat="false" ht="12.75" hidden="false" customHeight="false" outlineLevel="0" collapsed="false"/>
    <row r="581" customFormat="false" ht="12.75" hidden="false" customHeight="false" outlineLevel="0" collapsed="false"/>
    <row r="582" customFormat="false" ht="12.75" hidden="false" customHeight="false" outlineLevel="0" collapsed="false"/>
    <row r="583" customFormat="false" ht="12.75" hidden="false" customHeight="false" outlineLevel="0" collapsed="false"/>
    <row r="584" customFormat="false" ht="12.75" hidden="false" customHeight="false" outlineLevel="0" collapsed="false"/>
    <row r="585" customFormat="false" ht="12.75" hidden="false" customHeight="false" outlineLevel="0" collapsed="false"/>
    <row r="586" customFormat="false" ht="12.75" hidden="false" customHeight="false" outlineLevel="0" collapsed="false"/>
    <row r="587" customFormat="false" ht="12.75" hidden="false" customHeight="false" outlineLevel="0" collapsed="false"/>
    <row r="588" customFormat="false" ht="12.75" hidden="false" customHeight="false" outlineLevel="0" collapsed="false"/>
    <row r="589" customFormat="false" ht="12.75" hidden="false" customHeight="false" outlineLevel="0" collapsed="false"/>
    <row r="590" customFormat="false" ht="12.75" hidden="false" customHeight="false" outlineLevel="0" collapsed="false"/>
    <row r="591" customFormat="false" ht="12.75" hidden="false" customHeight="false" outlineLevel="0" collapsed="false"/>
    <row r="592" customFormat="false" ht="12.75" hidden="false" customHeight="false" outlineLevel="0" collapsed="false"/>
    <row r="593" customFormat="false" ht="12.75" hidden="false" customHeight="false" outlineLevel="0" collapsed="false"/>
    <row r="594" customFormat="false" ht="12.75" hidden="false" customHeight="false" outlineLevel="0" collapsed="false"/>
    <row r="595" customFormat="false" ht="12.75" hidden="false" customHeight="false" outlineLevel="0" collapsed="false"/>
    <row r="596" customFormat="false" ht="12.75" hidden="false" customHeight="false" outlineLevel="0" collapsed="false"/>
    <row r="597" customFormat="false" ht="12.75" hidden="false" customHeight="false" outlineLevel="0" collapsed="false"/>
    <row r="598" customFormat="false" ht="12.75" hidden="false" customHeight="false" outlineLevel="0" collapsed="false"/>
    <row r="599" customFormat="false" ht="12.75" hidden="false" customHeight="false" outlineLevel="0" collapsed="false"/>
    <row r="600" customFormat="false" ht="12.75" hidden="false" customHeight="false" outlineLevel="0" collapsed="false"/>
    <row r="601" customFormat="false" ht="12.75" hidden="false" customHeight="false" outlineLevel="0" collapsed="false"/>
    <row r="602" customFormat="false" ht="12.75" hidden="false" customHeight="false" outlineLevel="0" collapsed="false"/>
    <row r="603" customFormat="false" ht="12.75" hidden="false" customHeight="false" outlineLevel="0" collapsed="false"/>
    <row r="604" customFormat="false" ht="12.75" hidden="false" customHeight="false" outlineLevel="0" collapsed="false"/>
    <row r="605" customFormat="false" ht="12.75" hidden="false" customHeight="false" outlineLevel="0" collapsed="false"/>
    <row r="606" customFormat="false" ht="12.75" hidden="false" customHeight="false" outlineLevel="0" collapsed="false"/>
    <row r="607" customFormat="false" ht="12.75" hidden="false" customHeight="false" outlineLevel="0" collapsed="false"/>
    <row r="608" customFormat="false" ht="12.75" hidden="false" customHeight="false" outlineLevel="0" collapsed="false"/>
    <row r="609" customFormat="false" ht="12.75" hidden="false" customHeight="false" outlineLevel="0" collapsed="false"/>
    <row r="610" customFormat="false" ht="12.75" hidden="false" customHeight="false" outlineLevel="0" collapsed="false"/>
    <row r="611" customFormat="false" ht="12.75" hidden="false" customHeight="false" outlineLevel="0" collapsed="false"/>
    <row r="612" customFormat="false" ht="12.75" hidden="false" customHeight="false" outlineLevel="0" collapsed="false"/>
    <row r="613" customFormat="false" ht="12.75" hidden="false" customHeight="false" outlineLevel="0" collapsed="false"/>
    <row r="614" customFormat="false" ht="12.75" hidden="false" customHeight="false" outlineLevel="0" collapsed="false"/>
    <row r="615" customFormat="false" ht="12.75" hidden="false" customHeight="false" outlineLevel="0" collapsed="false"/>
    <row r="616" customFormat="false" ht="12.75" hidden="false" customHeight="false" outlineLevel="0" collapsed="false"/>
    <row r="617" customFormat="false" ht="12.75" hidden="false" customHeight="false" outlineLevel="0" collapsed="false"/>
    <row r="618" customFormat="false" ht="12.75" hidden="false" customHeight="false" outlineLevel="0" collapsed="false"/>
    <row r="619" customFormat="false" ht="12.75" hidden="false" customHeight="false" outlineLevel="0" collapsed="false"/>
    <row r="620" customFormat="false" ht="12.75" hidden="false" customHeight="false" outlineLevel="0" collapsed="false"/>
    <row r="621" customFormat="false" ht="12.75" hidden="false" customHeight="false" outlineLevel="0" collapsed="false"/>
    <row r="622" customFormat="false" ht="12.75" hidden="false" customHeight="false" outlineLevel="0" collapsed="false"/>
    <row r="623" customFormat="false" ht="12.75" hidden="false" customHeight="false" outlineLevel="0" collapsed="false"/>
    <row r="624" customFormat="false" ht="12.75" hidden="false" customHeight="false" outlineLevel="0" collapsed="false"/>
    <row r="625" customFormat="false" ht="12.75" hidden="false" customHeight="false" outlineLevel="0" collapsed="false"/>
    <row r="626" customFormat="false" ht="12.75" hidden="false" customHeight="false" outlineLevel="0" collapsed="false"/>
    <row r="627" customFormat="false" ht="12.75" hidden="false" customHeight="false" outlineLevel="0" collapsed="false"/>
    <row r="628" customFormat="false" ht="12.75" hidden="false" customHeight="false" outlineLevel="0" collapsed="false"/>
    <row r="629" customFormat="false" ht="12.75" hidden="false" customHeight="false" outlineLevel="0" collapsed="false"/>
    <row r="630" customFormat="false" ht="12.75" hidden="false" customHeight="false" outlineLevel="0" collapsed="false"/>
    <row r="631" customFormat="false" ht="12.75" hidden="false" customHeight="false" outlineLevel="0" collapsed="false"/>
    <row r="632" customFormat="false" ht="12.75" hidden="false" customHeight="false" outlineLevel="0" collapsed="false"/>
    <row r="633" customFormat="false" ht="12.75" hidden="false" customHeight="false" outlineLevel="0" collapsed="false"/>
    <row r="634" customFormat="false" ht="12.75" hidden="false" customHeight="false" outlineLevel="0" collapsed="false"/>
    <row r="635" customFormat="false" ht="12.75" hidden="false" customHeight="false" outlineLevel="0" collapsed="false"/>
    <row r="636" customFormat="false" ht="12.75" hidden="false" customHeight="false" outlineLevel="0" collapsed="false"/>
    <row r="637" customFormat="false" ht="12.75" hidden="false" customHeight="false" outlineLevel="0" collapsed="false"/>
    <row r="638" customFormat="false" ht="12.75" hidden="false" customHeight="false" outlineLevel="0" collapsed="false"/>
    <row r="639" customFormat="false" ht="12.75" hidden="false" customHeight="false" outlineLevel="0" collapsed="false"/>
    <row r="640" customFormat="false" ht="12.75" hidden="false" customHeight="false" outlineLevel="0" collapsed="false"/>
    <row r="641" customFormat="false" ht="12.75" hidden="false" customHeight="false" outlineLevel="0" collapsed="false"/>
    <row r="642" customFormat="false" ht="12.75" hidden="false" customHeight="false" outlineLevel="0" collapsed="false"/>
    <row r="643" customFormat="false" ht="12.75" hidden="false" customHeight="false" outlineLevel="0" collapsed="false"/>
    <row r="644" customFormat="false" ht="12.75" hidden="false" customHeight="false" outlineLevel="0" collapsed="false"/>
    <row r="645" customFormat="false" ht="12.75" hidden="false" customHeight="false" outlineLevel="0" collapsed="false"/>
    <row r="646" customFormat="false" ht="12.75" hidden="false" customHeight="false" outlineLevel="0" collapsed="false"/>
    <row r="647" customFormat="false" ht="12.75" hidden="false" customHeight="false" outlineLevel="0" collapsed="false"/>
    <row r="648" customFormat="false" ht="12.75" hidden="false" customHeight="false" outlineLevel="0" collapsed="false"/>
    <row r="649" customFormat="false" ht="12.75" hidden="false" customHeight="false" outlineLevel="0" collapsed="false"/>
    <row r="650" customFormat="false" ht="12.75" hidden="false" customHeight="false" outlineLevel="0" collapsed="false"/>
    <row r="651" customFormat="false" ht="12.75" hidden="false" customHeight="false" outlineLevel="0" collapsed="false"/>
    <row r="652" customFormat="false" ht="12.75" hidden="false" customHeight="false" outlineLevel="0" collapsed="false"/>
    <row r="653" customFormat="false" ht="12.75" hidden="false" customHeight="false" outlineLevel="0" collapsed="false"/>
    <row r="654" customFormat="false" ht="12.75" hidden="false" customHeight="false" outlineLevel="0" collapsed="false"/>
    <row r="655" customFormat="false" ht="12.75" hidden="false" customHeight="false" outlineLevel="0" collapsed="false"/>
    <row r="656" customFormat="false" ht="12.75" hidden="false" customHeight="false" outlineLevel="0" collapsed="false"/>
    <row r="657" customFormat="false" ht="12.75" hidden="false" customHeight="false" outlineLevel="0" collapsed="false"/>
    <row r="658" customFormat="false" ht="12.75" hidden="false" customHeight="false" outlineLevel="0" collapsed="false"/>
    <row r="659" customFormat="false" ht="12.75" hidden="false" customHeight="false" outlineLevel="0" collapsed="false"/>
    <row r="660" customFormat="false" ht="12.75" hidden="false" customHeight="false" outlineLevel="0" collapsed="false"/>
    <row r="661" customFormat="false" ht="12.75" hidden="false" customHeight="false" outlineLevel="0" collapsed="false"/>
    <row r="662" customFormat="false" ht="12.75" hidden="false" customHeight="false" outlineLevel="0" collapsed="false"/>
    <row r="663" customFormat="false" ht="12.75" hidden="false" customHeight="false" outlineLevel="0" collapsed="false"/>
    <row r="664" customFormat="false" ht="12.75" hidden="false" customHeight="false" outlineLevel="0" collapsed="false"/>
    <row r="665" customFormat="false" ht="12.75" hidden="false" customHeight="false" outlineLevel="0" collapsed="false"/>
    <row r="666" customFormat="false" ht="12.75" hidden="false" customHeight="false" outlineLevel="0" collapsed="false"/>
    <row r="667" customFormat="false" ht="12.75" hidden="false" customHeight="false" outlineLevel="0" collapsed="false"/>
    <row r="668" customFormat="false" ht="12.75" hidden="false" customHeight="false" outlineLevel="0" collapsed="false"/>
    <row r="669" customFormat="false" ht="12.75" hidden="false" customHeight="false" outlineLevel="0" collapsed="false"/>
    <row r="670" customFormat="false" ht="12.75" hidden="false" customHeight="false" outlineLevel="0" collapsed="false"/>
    <row r="671" customFormat="false" ht="12.75" hidden="false" customHeight="false" outlineLevel="0" collapsed="false"/>
    <row r="672" customFormat="false" ht="12.75" hidden="false" customHeight="false" outlineLevel="0" collapsed="false"/>
    <row r="673" customFormat="false" ht="12.75" hidden="false" customHeight="false" outlineLevel="0" collapsed="false"/>
    <row r="674" customFormat="false" ht="12.75" hidden="false" customHeight="false" outlineLevel="0" collapsed="false"/>
    <row r="675" customFormat="false" ht="12.75" hidden="false" customHeight="false" outlineLevel="0" collapsed="false"/>
    <row r="676" customFormat="false" ht="12.75" hidden="false" customHeight="false" outlineLevel="0" collapsed="false"/>
    <row r="677" customFormat="false" ht="12.75" hidden="false" customHeight="false" outlineLevel="0" collapsed="false"/>
    <row r="678" customFormat="false" ht="12.75" hidden="false" customHeight="false" outlineLevel="0" collapsed="false"/>
    <row r="679" customFormat="false" ht="12.75" hidden="false" customHeight="false" outlineLevel="0" collapsed="false"/>
    <row r="680" customFormat="false" ht="12.75" hidden="false" customHeight="false" outlineLevel="0" collapsed="false"/>
    <row r="681" customFormat="false" ht="12.75" hidden="false" customHeight="false" outlineLevel="0" collapsed="false"/>
    <row r="682" customFormat="false" ht="12.75" hidden="false" customHeight="false" outlineLevel="0" collapsed="false"/>
    <row r="683" customFormat="false" ht="12.75" hidden="false" customHeight="false" outlineLevel="0" collapsed="false"/>
    <row r="684" customFormat="false" ht="12.75" hidden="false" customHeight="false" outlineLevel="0" collapsed="false"/>
    <row r="685" customFormat="false" ht="12.75" hidden="false" customHeight="false" outlineLevel="0" collapsed="false"/>
    <row r="686" customFormat="false" ht="12.75" hidden="false" customHeight="false" outlineLevel="0" collapsed="false"/>
    <row r="687" customFormat="false" ht="12.75" hidden="false" customHeight="false" outlineLevel="0" collapsed="false"/>
    <row r="688" customFormat="false" ht="12.75" hidden="false" customHeight="false" outlineLevel="0" collapsed="false"/>
    <row r="689" customFormat="false" ht="12.75" hidden="false" customHeight="false" outlineLevel="0" collapsed="false"/>
    <row r="690" customFormat="false" ht="12.75" hidden="false" customHeight="false" outlineLevel="0" collapsed="false"/>
    <row r="691" customFormat="false" ht="12.75" hidden="false" customHeight="false" outlineLevel="0" collapsed="false"/>
    <row r="692" customFormat="false" ht="12.75" hidden="false" customHeight="false" outlineLevel="0" collapsed="false"/>
    <row r="693" customFormat="false" ht="12.75" hidden="false" customHeight="false" outlineLevel="0" collapsed="false"/>
    <row r="694" customFormat="false" ht="12.75" hidden="false" customHeight="false" outlineLevel="0" collapsed="false"/>
    <row r="695" customFormat="false" ht="12.75" hidden="false" customHeight="false" outlineLevel="0" collapsed="false"/>
    <row r="696" customFormat="false" ht="12.75" hidden="false" customHeight="false" outlineLevel="0" collapsed="false"/>
    <row r="697" customFormat="false" ht="12.75" hidden="false" customHeight="false" outlineLevel="0" collapsed="false"/>
    <row r="698" customFormat="false" ht="12.75" hidden="false" customHeight="false" outlineLevel="0" collapsed="false"/>
    <row r="699" customFormat="false" ht="12.75" hidden="false" customHeight="false" outlineLevel="0" collapsed="false"/>
    <row r="700" customFormat="false" ht="12.75" hidden="false" customHeight="false" outlineLevel="0" collapsed="false"/>
    <row r="701" customFormat="false" ht="12.75" hidden="false" customHeight="false" outlineLevel="0" collapsed="false"/>
    <row r="702" customFormat="false" ht="12.75" hidden="false" customHeight="false" outlineLevel="0" collapsed="false"/>
    <row r="703" customFormat="false" ht="12.75" hidden="false" customHeight="false" outlineLevel="0" collapsed="false"/>
    <row r="704" customFormat="false" ht="12.75" hidden="false" customHeight="false" outlineLevel="0" collapsed="false"/>
    <row r="705" customFormat="false" ht="12.75" hidden="false" customHeight="false" outlineLevel="0" collapsed="false"/>
    <row r="706" customFormat="false" ht="12.75" hidden="false" customHeight="false" outlineLevel="0" collapsed="false"/>
    <row r="707" customFormat="false" ht="12.75" hidden="false" customHeight="false" outlineLevel="0" collapsed="false"/>
    <row r="708" customFormat="false" ht="12.75" hidden="false" customHeight="false" outlineLevel="0" collapsed="false"/>
    <row r="709" customFormat="false" ht="12.75" hidden="false" customHeight="false" outlineLevel="0" collapsed="false"/>
    <row r="710" customFormat="false" ht="12.75" hidden="false" customHeight="false" outlineLevel="0" collapsed="false"/>
    <row r="711" customFormat="false" ht="12.75" hidden="false" customHeight="false" outlineLevel="0" collapsed="false"/>
    <row r="712" customFormat="false" ht="12.75" hidden="false" customHeight="false" outlineLevel="0" collapsed="false"/>
    <row r="713" customFormat="false" ht="12.75" hidden="false" customHeight="false" outlineLevel="0" collapsed="false"/>
    <row r="714" customFormat="false" ht="12.75" hidden="false" customHeight="false" outlineLevel="0" collapsed="false"/>
    <row r="715" customFormat="false" ht="12.75" hidden="false" customHeight="false" outlineLevel="0" collapsed="false"/>
    <row r="716" customFormat="false" ht="12.75" hidden="false" customHeight="false" outlineLevel="0" collapsed="false"/>
    <row r="717" customFormat="false" ht="12.75" hidden="false" customHeight="false" outlineLevel="0" collapsed="false"/>
    <row r="718" customFormat="false" ht="12.75" hidden="false" customHeight="false" outlineLevel="0" collapsed="false"/>
    <row r="719" customFormat="false" ht="12.75" hidden="false" customHeight="false" outlineLevel="0" collapsed="false"/>
    <row r="720" customFormat="false" ht="12.75" hidden="false" customHeight="false" outlineLevel="0" collapsed="false"/>
    <row r="721" customFormat="false" ht="12.75" hidden="false" customHeight="false" outlineLevel="0" collapsed="false"/>
    <row r="722" customFormat="false" ht="12.75" hidden="false" customHeight="false" outlineLevel="0" collapsed="false"/>
    <row r="723" customFormat="false" ht="12.75" hidden="false" customHeight="false" outlineLevel="0" collapsed="false"/>
    <row r="724" customFormat="false" ht="12.75" hidden="false" customHeight="false" outlineLevel="0" collapsed="false"/>
    <row r="725" customFormat="false" ht="12.75" hidden="false" customHeight="false" outlineLevel="0" collapsed="false"/>
    <row r="726" customFormat="false" ht="12.75" hidden="false" customHeight="false" outlineLevel="0" collapsed="false"/>
    <row r="727" customFormat="false" ht="12.75" hidden="false" customHeight="false" outlineLevel="0" collapsed="false"/>
    <row r="728" customFormat="false" ht="12.75" hidden="false" customHeight="false" outlineLevel="0" collapsed="false"/>
    <row r="729" customFormat="false" ht="12.75" hidden="false" customHeight="false" outlineLevel="0" collapsed="false"/>
    <row r="730" customFormat="false" ht="12.75" hidden="false" customHeight="false" outlineLevel="0" collapsed="false"/>
    <row r="731" customFormat="false" ht="12.75" hidden="false" customHeight="false" outlineLevel="0" collapsed="false"/>
    <row r="732" customFormat="false" ht="12.75" hidden="false" customHeight="false" outlineLevel="0" collapsed="false"/>
    <row r="733" customFormat="false" ht="12.75" hidden="false" customHeight="false" outlineLevel="0" collapsed="false"/>
    <row r="734" customFormat="false" ht="12.75" hidden="false" customHeight="false" outlineLevel="0" collapsed="false"/>
    <row r="735" customFormat="false" ht="12.75" hidden="false" customHeight="false" outlineLevel="0" collapsed="false"/>
    <row r="736" customFormat="false" ht="12.75" hidden="false" customHeight="false" outlineLevel="0" collapsed="false"/>
    <row r="737" customFormat="false" ht="12.75" hidden="false" customHeight="false" outlineLevel="0" collapsed="false"/>
    <row r="738" customFormat="false" ht="12.75" hidden="false" customHeight="false" outlineLevel="0" collapsed="false"/>
    <row r="739" customFormat="false" ht="12.75" hidden="false" customHeight="false" outlineLevel="0" collapsed="false"/>
    <row r="740" customFormat="false" ht="12.75" hidden="false" customHeight="false" outlineLevel="0" collapsed="false"/>
    <row r="741" customFormat="false" ht="12.75" hidden="false" customHeight="false" outlineLevel="0" collapsed="false"/>
    <row r="742" customFormat="false" ht="12.75" hidden="false" customHeight="false" outlineLevel="0" collapsed="false"/>
    <row r="743" customFormat="false" ht="12.75" hidden="false" customHeight="false" outlineLevel="0" collapsed="false"/>
    <row r="744" customFormat="false" ht="12.75" hidden="false" customHeight="false" outlineLevel="0" collapsed="false"/>
    <row r="745" customFormat="false" ht="12.75" hidden="false" customHeight="false" outlineLevel="0" collapsed="false"/>
    <row r="746" customFormat="false" ht="12.75" hidden="false" customHeight="false" outlineLevel="0" collapsed="false"/>
    <row r="747" customFormat="false" ht="12.75" hidden="false" customHeight="false" outlineLevel="0" collapsed="false"/>
    <row r="748" customFormat="false" ht="12.75" hidden="false" customHeight="false" outlineLevel="0" collapsed="false"/>
    <row r="749" customFormat="false" ht="12.75" hidden="false" customHeight="false" outlineLevel="0" collapsed="false"/>
    <row r="750" customFormat="false" ht="12.75" hidden="false" customHeight="false" outlineLevel="0" collapsed="false"/>
    <row r="751" customFormat="false" ht="12.75" hidden="false" customHeight="false" outlineLevel="0" collapsed="false"/>
    <row r="752" customFormat="false" ht="12.75" hidden="false" customHeight="false" outlineLevel="0" collapsed="false"/>
    <row r="753" customFormat="false" ht="12.75" hidden="false" customHeight="false" outlineLevel="0" collapsed="false"/>
    <row r="754" customFormat="false" ht="12.75" hidden="false" customHeight="false" outlineLevel="0" collapsed="false"/>
    <row r="755" customFormat="false" ht="12.75" hidden="false" customHeight="false" outlineLevel="0" collapsed="false"/>
    <row r="756" customFormat="false" ht="12.75" hidden="false" customHeight="false" outlineLevel="0" collapsed="false"/>
    <row r="757" customFormat="false" ht="12.75" hidden="false" customHeight="false" outlineLevel="0" collapsed="false"/>
    <row r="758" customFormat="false" ht="12.75" hidden="false" customHeight="false" outlineLevel="0" collapsed="false"/>
    <row r="759" customFormat="false" ht="12.75" hidden="false" customHeight="false" outlineLevel="0" collapsed="false"/>
    <row r="760" customFormat="false" ht="12.75" hidden="false" customHeight="false" outlineLevel="0" collapsed="false"/>
    <row r="761" customFormat="false" ht="12.75" hidden="false" customHeight="false" outlineLevel="0" collapsed="false"/>
    <row r="762" customFormat="false" ht="12.75" hidden="false" customHeight="false" outlineLevel="0" collapsed="false"/>
    <row r="763" customFormat="false" ht="12.75" hidden="false" customHeight="false" outlineLevel="0" collapsed="false"/>
    <row r="764" customFormat="false" ht="12.75" hidden="false" customHeight="false" outlineLevel="0" collapsed="false"/>
    <row r="765" customFormat="false" ht="12.75" hidden="false" customHeight="false" outlineLevel="0" collapsed="false"/>
    <row r="766" customFormat="false" ht="12.75" hidden="false" customHeight="false" outlineLevel="0" collapsed="false"/>
    <row r="767" customFormat="false" ht="12.75" hidden="false" customHeight="false" outlineLevel="0" collapsed="false"/>
    <row r="768" customFormat="false" ht="12.75" hidden="false" customHeight="false" outlineLevel="0" collapsed="false"/>
    <row r="769" customFormat="false" ht="12.75" hidden="false" customHeight="false" outlineLevel="0" collapsed="false"/>
    <row r="770" customFormat="false" ht="12.75" hidden="false" customHeight="false" outlineLevel="0" collapsed="false"/>
    <row r="771" customFormat="false" ht="12.75" hidden="false" customHeight="false" outlineLevel="0" collapsed="false"/>
    <row r="772" customFormat="false" ht="12.75" hidden="false" customHeight="false" outlineLevel="0" collapsed="false"/>
    <row r="773" customFormat="false" ht="12.75" hidden="false" customHeight="false" outlineLevel="0" collapsed="false"/>
    <row r="774" customFormat="false" ht="12.75" hidden="false" customHeight="false" outlineLevel="0" collapsed="false"/>
    <row r="775" customFormat="false" ht="12.75" hidden="false" customHeight="false" outlineLevel="0" collapsed="false"/>
    <row r="776" customFormat="false" ht="12.75" hidden="false" customHeight="false" outlineLevel="0" collapsed="false"/>
    <row r="777" customFormat="false" ht="12.75" hidden="false" customHeight="false" outlineLevel="0" collapsed="false"/>
    <row r="778" customFormat="false" ht="12.75" hidden="false" customHeight="false" outlineLevel="0" collapsed="false"/>
    <row r="779" customFormat="false" ht="12.75" hidden="false" customHeight="false" outlineLevel="0" collapsed="false"/>
    <row r="780" customFormat="false" ht="12.75" hidden="false" customHeight="false" outlineLevel="0" collapsed="false"/>
    <row r="781" customFormat="false" ht="12.75" hidden="false" customHeight="false" outlineLevel="0" collapsed="false"/>
    <row r="782" customFormat="false" ht="12.75" hidden="false" customHeight="false" outlineLevel="0" collapsed="false"/>
    <row r="783" customFormat="false" ht="12.75" hidden="false" customHeight="false" outlineLevel="0" collapsed="false"/>
    <row r="784" customFormat="false" ht="12.75" hidden="false" customHeight="false" outlineLevel="0" collapsed="false"/>
    <row r="785" customFormat="false" ht="12.75" hidden="false" customHeight="false" outlineLevel="0" collapsed="false"/>
    <row r="786" customFormat="false" ht="12.75" hidden="false" customHeight="false" outlineLevel="0" collapsed="false"/>
    <row r="787" customFormat="false" ht="12.75" hidden="false" customHeight="false" outlineLevel="0" collapsed="false"/>
    <row r="788" customFormat="false" ht="12.75" hidden="false" customHeight="false" outlineLevel="0" collapsed="false"/>
    <row r="789" customFormat="false" ht="12.75" hidden="false" customHeight="false" outlineLevel="0" collapsed="false"/>
    <row r="790" customFormat="false" ht="12.75" hidden="false" customHeight="false" outlineLevel="0" collapsed="false"/>
    <row r="791" customFormat="false" ht="12.75" hidden="false" customHeight="false" outlineLevel="0" collapsed="false"/>
    <row r="792" customFormat="false" ht="12.75" hidden="false" customHeight="false" outlineLevel="0" collapsed="false"/>
    <row r="793" customFormat="false" ht="12.75" hidden="false" customHeight="false" outlineLevel="0" collapsed="false"/>
    <row r="794" customFormat="false" ht="12.75" hidden="false" customHeight="false" outlineLevel="0" collapsed="false"/>
    <row r="795" customFormat="false" ht="12.75" hidden="false" customHeight="false" outlineLevel="0" collapsed="false"/>
    <row r="796" customFormat="false" ht="12.75" hidden="false" customHeight="false" outlineLevel="0" collapsed="false"/>
    <row r="797" customFormat="false" ht="12.75" hidden="false" customHeight="false" outlineLevel="0" collapsed="false"/>
    <row r="798" customFormat="false" ht="12.75" hidden="false" customHeight="false" outlineLevel="0" collapsed="false"/>
    <row r="799" customFormat="false" ht="12.75" hidden="false" customHeight="false" outlineLevel="0" collapsed="false"/>
    <row r="800" customFormat="false" ht="12.75" hidden="false" customHeight="false" outlineLevel="0" collapsed="false"/>
    <row r="801" customFormat="false" ht="12.75" hidden="false" customHeight="false" outlineLevel="0" collapsed="false"/>
    <row r="802" customFormat="false" ht="12.75" hidden="false" customHeight="false" outlineLevel="0" collapsed="false"/>
    <row r="803" customFormat="false" ht="12.75" hidden="false" customHeight="false" outlineLevel="0" collapsed="false"/>
    <row r="804" customFormat="false" ht="12.75" hidden="false" customHeight="false" outlineLevel="0" collapsed="false"/>
    <row r="805" customFormat="false" ht="12.75" hidden="false" customHeight="false" outlineLevel="0" collapsed="false"/>
    <row r="806" customFormat="false" ht="12.75" hidden="false" customHeight="false" outlineLevel="0" collapsed="false"/>
    <row r="807" customFormat="false" ht="12.75" hidden="false" customHeight="false" outlineLevel="0" collapsed="false"/>
    <row r="808" customFormat="false" ht="12.75" hidden="false" customHeight="false" outlineLevel="0" collapsed="false"/>
    <row r="809" customFormat="false" ht="12.75" hidden="false" customHeight="false" outlineLevel="0" collapsed="false"/>
    <row r="810" customFormat="false" ht="12.75" hidden="false" customHeight="false" outlineLevel="0" collapsed="false"/>
    <row r="811" customFormat="false" ht="12.75" hidden="false" customHeight="false" outlineLevel="0" collapsed="false"/>
    <row r="812" customFormat="false" ht="12.75" hidden="false" customHeight="false" outlineLevel="0" collapsed="false"/>
    <row r="813" customFormat="false" ht="12.75" hidden="false" customHeight="false" outlineLevel="0" collapsed="false"/>
    <row r="814" customFormat="false" ht="12.75" hidden="false" customHeight="false" outlineLevel="0" collapsed="false"/>
    <row r="815" customFormat="false" ht="12.75" hidden="false" customHeight="false" outlineLevel="0" collapsed="false"/>
    <row r="816" customFormat="false" ht="12.75" hidden="false" customHeight="false" outlineLevel="0" collapsed="false"/>
    <row r="817" customFormat="false" ht="12.75" hidden="false" customHeight="false" outlineLevel="0" collapsed="false"/>
    <row r="818" customFormat="false" ht="12.75" hidden="false" customHeight="false" outlineLevel="0" collapsed="false"/>
    <row r="819" customFormat="false" ht="12.75" hidden="false" customHeight="false" outlineLevel="0" collapsed="false"/>
    <row r="820" customFormat="false" ht="12.75" hidden="false" customHeight="false" outlineLevel="0" collapsed="false"/>
    <row r="821" customFormat="false" ht="12.75" hidden="false" customHeight="false" outlineLevel="0" collapsed="false"/>
    <row r="822" customFormat="false" ht="12.75" hidden="false" customHeight="false" outlineLevel="0" collapsed="false"/>
    <row r="823" customFormat="false" ht="12.75" hidden="false" customHeight="false" outlineLevel="0" collapsed="false"/>
    <row r="824" customFormat="false" ht="12.75" hidden="false" customHeight="false" outlineLevel="0" collapsed="false"/>
    <row r="825" customFormat="false" ht="12.75" hidden="false" customHeight="false" outlineLevel="0" collapsed="false"/>
    <row r="826" customFormat="false" ht="12.75" hidden="false" customHeight="false" outlineLevel="0" collapsed="false"/>
    <row r="827" customFormat="false" ht="12.75" hidden="false" customHeight="false" outlineLevel="0" collapsed="false"/>
    <row r="828" customFormat="false" ht="12.75" hidden="false" customHeight="false" outlineLevel="0" collapsed="false"/>
    <row r="829" customFormat="false" ht="12.75" hidden="false" customHeight="false" outlineLevel="0" collapsed="false"/>
    <row r="830" customFormat="false" ht="12.75" hidden="false" customHeight="false" outlineLevel="0" collapsed="false"/>
    <row r="831" customFormat="false" ht="12.75" hidden="false" customHeight="false" outlineLevel="0" collapsed="false"/>
    <row r="832" customFormat="false" ht="12.75" hidden="false" customHeight="false" outlineLevel="0" collapsed="false"/>
    <row r="833" customFormat="false" ht="12.75" hidden="false" customHeight="false" outlineLevel="0" collapsed="false"/>
    <row r="834" customFormat="false" ht="12.75" hidden="false" customHeight="false" outlineLevel="0" collapsed="false"/>
    <row r="835" customFormat="false" ht="12.75" hidden="false" customHeight="false" outlineLevel="0" collapsed="false"/>
    <row r="836" customFormat="false" ht="12.75" hidden="false" customHeight="false" outlineLevel="0" collapsed="false"/>
    <row r="837" customFormat="false" ht="12.75" hidden="false" customHeight="false" outlineLevel="0" collapsed="false"/>
    <row r="838" customFormat="false" ht="12.75" hidden="false" customHeight="false" outlineLevel="0" collapsed="false"/>
    <row r="839" customFormat="false" ht="12.75" hidden="false" customHeight="false" outlineLevel="0" collapsed="false"/>
    <row r="840" customFormat="false" ht="12.75" hidden="false" customHeight="false" outlineLevel="0" collapsed="false"/>
    <row r="841" customFormat="false" ht="12.75" hidden="false" customHeight="false" outlineLevel="0" collapsed="false"/>
    <row r="842" customFormat="false" ht="12.75" hidden="false" customHeight="false" outlineLevel="0" collapsed="false"/>
    <row r="843" customFormat="false" ht="12.75" hidden="false" customHeight="false" outlineLevel="0" collapsed="false"/>
    <row r="844" customFormat="false" ht="12.75" hidden="false" customHeight="false" outlineLevel="0" collapsed="false"/>
    <row r="845" customFormat="false" ht="12.75" hidden="false" customHeight="false" outlineLevel="0" collapsed="false"/>
    <row r="846" customFormat="false" ht="12.75" hidden="false" customHeight="false" outlineLevel="0" collapsed="false"/>
    <row r="847" customFormat="false" ht="12.75" hidden="false" customHeight="false" outlineLevel="0" collapsed="false"/>
    <row r="848" customFormat="false" ht="12.75" hidden="false" customHeight="false" outlineLevel="0" collapsed="false"/>
    <row r="849" customFormat="false" ht="12.75" hidden="false" customHeight="false" outlineLevel="0" collapsed="false"/>
    <row r="850" customFormat="false" ht="12.75" hidden="false" customHeight="false" outlineLevel="0" collapsed="false"/>
    <row r="851" customFormat="false" ht="12.75" hidden="false" customHeight="false" outlineLevel="0" collapsed="false"/>
    <row r="852" customFormat="false" ht="12.75" hidden="false" customHeight="false" outlineLevel="0" collapsed="false"/>
    <row r="853" customFormat="false" ht="12.75" hidden="false" customHeight="false" outlineLevel="0" collapsed="false"/>
    <row r="854" customFormat="false" ht="12.75" hidden="false" customHeight="false" outlineLevel="0" collapsed="false"/>
    <row r="855" customFormat="false" ht="12.75" hidden="false" customHeight="false" outlineLevel="0" collapsed="false"/>
    <row r="856" customFormat="false" ht="12.75" hidden="false" customHeight="false" outlineLevel="0" collapsed="false"/>
    <row r="857" customFormat="false" ht="12.75" hidden="false" customHeight="false" outlineLevel="0" collapsed="false"/>
    <row r="858" customFormat="false" ht="12.75" hidden="false" customHeight="false" outlineLevel="0" collapsed="false"/>
    <row r="859" customFormat="false" ht="12.75" hidden="false" customHeight="false" outlineLevel="0" collapsed="false"/>
    <row r="860" customFormat="false" ht="12.75" hidden="false" customHeight="false" outlineLevel="0" collapsed="false"/>
    <row r="861" customFormat="false" ht="12.75" hidden="false" customHeight="false" outlineLevel="0" collapsed="false"/>
    <row r="862" customFormat="false" ht="12.75" hidden="false" customHeight="false" outlineLevel="0" collapsed="false"/>
    <row r="863" customFormat="false" ht="12.75" hidden="false" customHeight="false" outlineLevel="0" collapsed="false"/>
    <row r="864" customFormat="false" ht="12.75" hidden="false" customHeight="false" outlineLevel="0" collapsed="false"/>
    <row r="865" customFormat="false" ht="12.75" hidden="false" customHeight="false" outlineLevel="0" collapsed="false"/>
    <row r="866" customFormat="false" ht="12.75" hidden="false" customHeight="false" outlineLevel="0" collapsed="false"/>
    <row r="867" customFormat="false" ht="12.75" hidden="false" customHeight="false" outlineLevel="0" collapsed="false"/>
    <row r="868" customFormat="false" ht="12.75" hidden="false" customHeight="false" outlineLevel="0" collapsed="false"/>
    <row r="869" customFormat="false" ht="12.75" hidden="false" customHeight="false" outlineLevel="0" collapsed="false"/>
    <row r="870" customFormat="false" ht="12.75" hidden="false" customHeight="false" outlineLevel="0" collapsed="false"/>
    <row r="871" customFormat="false" ht="12.75" hidden="false" customHeight="false" outlineLevel="0" collapsed="false"/>
    <row r="872" customFormat="false" ht="12.75" hidden="false" customHeight="false" outlineLevel="0" collapsed="false"/>
    <row r="873" customFormat="false" ht="12.75" hidden="false" customHeight="false" outlineLevel="0" collapsed="false"/>
    <row r="874" customFormat="false" ht="12.75" hidden="false" customHeight="false" outlineLevel="0" collapsed="false"/>
    <row r="875" customFormat="false" ht="12.75" hidden="false" customHeight="false" outlineLevel="0" collapsed="false"/>
    <row r="876" customFormat="false" ht="12.75" hidden="false" customHeight="false" outlineLevel="0" collapsed="false"/>
    <row r="877" customFormat="false" ht="12.75" hidden="false" customHeight="false" outlineLevel="0" collapsed="false"/>
    <row r="878" customFormat="false" ht="12.75" hidden="false" customHeight="false" outlineLevel="0" collapsed="false"/>
    <row r="879" customFormat="false" ht="12.75" hidden="false" customHeight="false" outlineLevel="0" collapsed="false"/>
    <row r="880" customFormat="false" ht="12.75" hidden="false" customHeight="false" outlineLevel="0" collapsed="false"/>
    <row r="881" customFormat="false" ht="12.75" hidden="false" customHeight="false" outlineLevel="0" collapsed="false"/>
    <row r="882" customFormat="false" ht="12.75" hidden="false" customHeight="false" outlineLevel="0" collapsed="false"/>
    <row r="883" customFormat="false" ht="12.75" hidden="false" customHeight="false" outlineLevel="0" collapsed="false"/>
    <row r="884" customFormat="false" ht="12.75" hidden="false" customHeight="false" outlineLevel="0" collapsed="false"/>
    <row r="885" customFormat="false" ht="12.75" hidden="false" customHeight="false" outlineLevel="0" collapsed="false"/>
    <row r="886" customFormat="false" ht="12.75" hidden="false" customHeight="false" outlineLevel="0" collapsed="false"/>
    <row r="887" customFormat="false" ht="12.75" hidden="false" customHeight="false" outlineLevel="0" collapsed="false"/>
    <row r="888" customFormat="false" ht="12.75" hidden="false" customHeight="false" outlineLevel="0" collapsed="false"/>
    <row r="889" customFormat="false" ht="12.75" hidden="false" customHeight="false" outlineLevel="0" collapsed="false"/>
    <row r="890" customFormat="false" ht="12.75" hidden="false" customHeight="false" outlineLevel="0" collapsed="false"/>
    <row r="891" customFormat="false" ht="12.75" hidden="false" customHeight="false" outlineLevel="0" collapsed="false"/>
    <row r="892" customFormat="false" ht="12.75" hidden="false" customHeight="false" outlineLevel="0" collapsed="false"/>
    <row r="893" customFormat="false" ht="12.75" hidden="false" customHeight="false" outlineLevel="0" collapsed="false"/>
    <row r="894" customFormat="false" ht="12.75" hidden="false" customHeight="false" outlineLevel="0" collapsed="false"/>
    <row r="895" customFormat="false" ht="12.75" hidden="false" customHeight="false" outlineLevel="0" collapsed="false"/>
    <row r="896" customFormat="false" ht="12.75" hidden="false" customHeight="false" outlineLevel="0" collapsed="false"/>
    <row r="897" customFormat="false" ht="12.75" hidden="false" customHeight="false" outlineLevel="0" collapsed="false"/>
    <row r="898" customFormat="false" ht="12.75" hidden="false" customHeight="false" outlineLevel="0" collapsed="false"/>
    <row r="899" customFormat="false" ht="12.75" hidden="false" customHeight="false" outlineLevel="0" collapsed="false"/>
    <row r="900" customFormat="false" ht="12.75" hidden="false" customHeight="false" outlineLevel="0" collapsed="false"/>
    <row r="901" customFormat="false" ht="12.75" hidden="false" customHeight="false" outlineLevel="0" collapsed="false"/>
    <row r="902" customFormat="false" ht="12.75" hidden="false" customHeight="false" outlineLevel="0" collapsed="false"/>
    <row r="903" customFormat="false" ht="12.75" hidden="false" customHeight="false" outlineLevel="0" collapsed="false"/>
    <row r="904" customFormat="false" ht="12.75" hidden="false" customHeight="false" outlineLevel="0" collapsed="false"/>
    <row r="905" customFormat="false" ht="12.75" hidden="false" customHeight="false" outlineLevel="0" collapsed="false"/>
    <row r="906" customFormat="false" ht="12.75" hidden="false" customHeight="false" outlineLevel="0" collapsed="false"/>
    <row r="907" customFormat="false" ht="12.75" hidden="false" customHeight="false" outlineLevel="0" collapsed="false"/>
    <row r="908" customFormat="false" ht="12.75" hidden="false" customHeight="false" outlineLevel="0" collapsed="false"/>
    <row r="909" customFormat="false" ht="12.75" hidden="false" customHeight="false" outlineLevel="0" collapsed="false"/>
    <row r="910" customFormat="false" ht="12.75" hidden="false" customHeight="false" outlineLevel="0" collapsed="false"/>
    <row r="911" customFormat="false" ht="12.75" hidden="false" customHeight="false" outlineLevel="0" collapsed="false"/>
    <row r="912" customFormat="false" ht="12.75" hidden="false" customHeight="false" outlineLevel="0" collapsed="false"/>
    <row r="913" customFormat="false" ht="12.75" hidden="false" customHeight="false" outlineLevel="0" collapsed="false"/>
    <row r="914" customFormat="false" ht="12.75" hidden="false" customHeight="false" outlineLevel="0" collapsed="false"/>
    <row r="915" customFormat="false" ht="12.75" hidden="false" customHeight="false" outlineLevel="0" collapsed="false"/>
    <row r="916" customFormat="false" ht="12.75" hidden="false" customHeight="false" outlineLevel="0" collapsed="false"/>
    <row r="917" customFormat="false" ht="12.75" hidden="false" customHeight="false" outlineLevel="0" collapsed="false"/>
    <row r="918" customFormat="false" ht="12.75" hidden="false" customHeight="false" outlineLevel="0" collapsed="false"/>
    <row r="919" customFormat="false" ht="12.75" hidden="false" customHeight="false" outlineLevel="0" collapsed="false"/>
    <row r="920" customFormat="false" ht="12.75" hidden="false" customHeight="false" outlineLevel="0" collapsed="false"/>
    <row r="921" customFormat="false" ht="12.75" hidden="false" customHeight="false" outlineLevel="0" collapsed="false"/>
    <row r="922" customFormat="false" ht="12.75" hidden="false" customHeight="false" outlineLevel="0" collapsed="false"/>
    <row r="923" customFormat="false" ht="12.75" hidden="false" customHeight="false" outlineLevel="0" collapsed="false"/>
    <row r="924" customFormat="false" ht="12.75" hidden="false" customHeight="false" outlineLevel="0" collapsed="false"/>
    <row r="925" customFormat="false" ht="12.75" hidden="false" customHeight="false" outlineLevel="0" collapsed="false"/>
    <row r="926" customFormat="false" ht="12.75" hidden="false" customHeight="false" outlineLevel="0" collapsed="false"/>
    <row r="927" customFormat="false" ht="12.75" hidden="false" customHeight="false" outlineLevel="0" collapsed="false"/>
    <row r="928" customFormat="false" ht="12.75" hidden="false" customHeight="false" outlineLevel="0" collapsed="false"/>
    <row r="929" customFormat="false" ht="12.75" hidden="false" customHeight="false" outlineLevel="0" collapsed="false"/>
    <row r="930" customFormat="false" ht="12.75" hidden="false" customHeight="false" outlineLevel="0" collapsed="false"/>
    <row r="931" customFormat="false" ht="12.75" hidden="false" customHeight="false" outlineLevel="0" collapsed="false"/>
    <row r="932" customFormat="false" ht="12.75" hidden="false" customHeight="false" outlineLevel="0" collapsed="false"/>
    <row r="933" customFormat="false" ht="12.75" hidden="false" customHeight="false" outlineLevel="0" collapsed="false"/>
    <row r="934" customFormat="false" ht="12.75" hidden="false" customHeight="false" outlineLevel="0" collapsed="false"/>
    <row r="935" customFormat="false" ht="12.75" hidden="false" customHeight="false" outlineLevel="0" collapsed="false"/>
    <row r="936" customFormat="false" ht="12.75" hidden="false" customHeight="false" outlineLevel="0" collapsed="false"/>
    <row r="937" customFormat="false" ht="12.75" hidden="false" customHeight="false" outlineLevel="0" collapsed="false"/>
    <row r="938" customFormat="false" ht="12.75" hidden="false" customHeight="false" outlineLevel="0" collapsed="false"/>
    <row r="939" customFormat="false" ht="12.75" hidden="false" customHeight="false" outlineLevel="0" collapsed="false"/>
    <row r="940" customFormat="false" ht="12.75" hidden="false" customHeight="false" outlineLevel="0" collapsed="false"/>
    <row r="941" customFormat="false" ht="12.75" hidden="false" customHeight="false" outlineLevel="0" collapsed="false"/>
    <row r="942" customFormat="false" ht="12.75" hidden="false" customHeight="false" outlineLevel="0" collapsed="false"/>
    <row r="943" customFormat="false" ht="12.75" hidden="false" customHeight="false" outlineLevel="0" collapsed="false"/>
    <row r="944" customFormat="false" ht="12.75" hidden="false" customHeight="false" outlineLevel="0" collapsed="false"/>
    <row r="945" customFormat="false" ht="12.75" hidden="false" customHeight="false" outlineLevel="0" collapsed="false"/>
    <row r="946" customFormat="false" ht="12.75" hidden="false" customHeight="false" outlineLevel="0" collapsed="false"/>
    <row r="947" customFormat="false" ht="12.75" hidden="false" customHeight="false" outlineLevel="0" collapsed="false"/>
    <row r="948" customFormat="false" ht="12.75" hidden="false" customHeight="false" outlineLevel="0" collapsed="false"/>
    <row r="949" customFormat="false" ht="12.75" hidden="false" customHeight="false" outlineLevel="0" collapsed="false"/>
    <row r="950" customFormat="false" ht="12.75" hidden="false" customHeight="false" outlineLevel="0" collapsed="false"/>
    <row r="951" customFormat="false" ht="12.75" hidden="false" customHeight="false" outlineLevel="0" collapsed="false"/>
    <row r="952" customFormat="false" ht="12.75" hidden="false" customHeight="false" outlineLevel="0" collapsed="false"/>
    <row r="953" customFormat="false" ht="12.75" hidden="false" customHeight="false" outlineLevel="0" collapsed="false"/>
    <row r="954" customFormat="false" ht="12.75" hidden="false" customHeight="false" outlineLevel="0" collapsed="false"/>
    <row r="955" customFormat="false" ht="12.75" hidden="false" customHeight="false" outlineLevel="0" collapsed="false"/>
    <row r="956" customFormat="false" ht="12.75" hidden="false" customHeight="false" outlineLevel="0" collapsed="false"/>
    <row r="957" customFormat="false" ht="12.75" hidden="false" customHeight="false" outlineLevel="0" collapsed="false"/>
    <row r="958" customFormat="false" ht="12.75" hidden="false" customHeight="false" outlineLevel="0" collapsed="false"/>
    <row r="959" customFormat="false" ht="12.75" hidden="false" customHeight="false" outlineLevel="0" collapsed="false"/>
    <row r="960" customFormat="false" ht="12.75" hidden="false" customHeight="false" outlineLevel="0" collapsed="false"/>
    <row r="961" customFormat="false" ht="12.75" hidden="false" customHeight="false" outlineLevel="0" collapsed="false"/>
    <row r="962" customFormat="false" ht="12.75" hidden="false" customHeight="false" outlineLevel="0" collapsed="false"/>
    <row r="963" customFormat="false" ht="12.75" hidden="false" customHeight="false" outlineLevel="0" collapsed="false"/>
    <row r="964" customFormat="false" ht="12.75" hidden="false" customHeight="false" outlineLevel="0" collapsed="false"/>
    <row r="965" customFormat="false" ht="12.75" hidden="false" customHeight="false" outlineLevel="0" collapsed="false"/>
    <row r="966" customFormat="false" ht="12.75" hidden="false" customHeight="false" outlineLevel="0" collapsed="false"/>
    <row r="967" customFormat="false" ht="12.75" hidden="false" customHeight="false" outlineLevel="0" collapsed="false"/>
    <row r="968" customFormat="false" ht="12.75" hidden="false" customHeight="false" outlineLevel="0" collapsed="false"/>
    <row r="969" customFormat="false" ht="12.75" hidden="false" customHeight="false" outlineLevel="0" collapsed="false"/>
    <row r="970" customFormat="false" ht="12.75" hidden="false" customHeight="false" outlineLevel="0" collapsed="false"/>
    <row r="971" customFormat="false" ht="12.75" hidden="false" customHeight="false" outlineLevel="0" collapsed="false"/>
    <row r="972" customFormat="false" ht="12.75" hidden="false" customHeight="false" outlineLevel="0" collapsed="false"/>
    <row r="973" customFormat="false" ht="12.75" hidden="false" customHeight="false" outlineLevel="0" collapsed="false"/>
    <row r="974" customFormat="false" ht="12.75" hidden="false" customHeight="false" outlineLevel="0" collapsed="false"/>
    <row r="975" customFormat="false" ht="12.75" hidden="false" customHeight="false" outlineLevel="0" collapsed="false"/>
    <row r="976" customFormat="false" ht="12.75" hidden="false" customHeight="false" outlineLevel="0" collapsed="false"/>
    <row r="977" customFormat="false" ht="12.75" hidden="false" customHeight="false" outlineLevel="0" collapsed="false"/>
    <row r="978" customFormat="false" ht="12.75" hidden="false" customHeight="false" outlineLevel="0" collapsed="false"/>
    <row r="979" customFormat="false" ht="12.75" hidden="false" customHeight="false" outlineLevel="0" collapsed="false"/>
    <row r="980" customFormat="false" ht="12.75" hidden="false" customHeight="false" outlineLevel="0" collapsed="false"/>
    <row r="981" customFormat="false" ht="12.75" hidden="false" customHeight="false" outlineLevel="0" collapsed="false"/>
    <row r="982" customFormat="false" ht="12.75" hidden="false" customHeight="false" outlineLevel="0" collapsed="false"/>
    <row r="983" customFormat="false" ht="12.75" hidden="false" customHeight="false" outlineLevel="0" collapsed="false"/>
    <row r="984" customFormat="false" ht="12.75" hidden="false" customHeight="false" outlineLevel="0" collapsed="false"/>
    <row r="985" customFormat="false" ht="12.75" hidden="false" customHeight="false" outlineLevel="0" collapsed="false"/>
    <row r="986" customFormat="false" ht="12.75" hidden="false" customHeight="false" outlineLevel="0" collapsed="false"/>
    <row r="987" customFormat="false" ht="12.75" hidden="false" customHeight="false" outlineLevel="0" collapsed="false"/>
    <row r="988" customFormat="false" ht="12.75" hidden="false" customHeight="false" outlineLevel="0" collapsed="false"/>
    <row r="989" customFormat="false" ht="12.75" hidden="false" customHeight="false" outlineLevel="0" collapsed="false"/>
    <row r="990" customFormat="false" ht="12.75" hidden="false" customHeight="false" outlineLevel="0" collapsed="false"/>
    <row r="991" customFormat="false" ht="12.75" hidden="false" customHeight="false" outlineLevel="0" collapsed="false"/>
    <row r="992" customFormat="false" ht="12.75" hidden="false" customHeight="false" outlineLevel="0" collapsed="false"/>
    <row r="993" customFormat="false" ht="12.75" hidden="false" customHeight="false" outlineLevel="0" collapsed="false"/>
    <row r="994" customFormat="false" ht="12.75" hidden="false" customHeight="false" outlineLevel="0" collapsed="false"/>
    <row r="995" customFormat="false" ht="12.75" hidden="false" customHeight="false" outlineLevel="0" collapsed="false"/>
    <row r="996" customFormat="false" ht="12.75" hidden="false" customHeight="false" outlineLevel="0" collapsed="false"/>
    <row r="997" customFormat="false" ht="12.75" hidden="false" customHeight="false" outlineLevel="0" collapsed="false"/>
    <row r="998" customFormat="false" ht="12.75" hidden="false" customHeight="false" outlineLevel="0" collapsed="false"/>
    <row r="999" customFormat="false" ht="12.75" hidden="false" customHeight="false" outlineLevel="0" collapsed="false"/>
    <row r="1000" customFormat="false" ht="12.75" hidden="false" customHeight="false" outlineLevel="0" collapsed="false"/>
    <row r="1001" customFormat="false" ht="12.75" hidden="false" customHeight="false" outlineLevel="0" collapsed="false"/>
  </sheetData>
  <mergeCells count="2">
    <mergeCell ref="H1:I1"/>
    <mergeCell ref="K5:M6"/>
  </mergeCells>
  <conditionalFormatting sqref="H6:H1001">
    <cfRule type="cellIs" priority="2" operator="between" aboveAverage="0" equalAverage="0" bottom="0" percent="0" rank="0" text="" dxfId="0">
      <formula>0</formula>
      <formula>0.5</formula>
    </cfRule>
  </conditionalFormatting>
  <conditionalFormatting sqref="H6:H1001">
    <cfRule type="cellIs" priority="3" operator="between" aboveAverage="0" equalAverage="0" bottom="0" percent="0" rank="0" text="" dxfId="1">
      <formula>0.51</formula>
      <formula>0.99</formula>
    </cfRule>
  </conditionalFormatting>
  <conditionalFormatting sqref="H6:H1001">
    <cfRule type="cellIs" priority="4" operator="greaterThanOrEqual" aboveAverage="0" equalAverage="0" bottom="0" percent="0" rank="0" text="" dxfId="2">
      <formula>1</formula>
    </cfRule>
  </conditionalFormatting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1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RowHeight="15.75" zeroHeight="false" outlineLevelRow="0" outlineLevelCol="0"/>
  <cols>
    <col collapsed="false" customWidth="true" hidden="false" outlineLevel="0" max="2" min="1" style="0" width="14.43"/>
    <col collapsed="false" customWidth="true" hidden="false" outlineLevel="0" max="3" min="3" style="0" width="22.43"/>
    <col collapsed="false" customWidth="true" hidden="false" outlineLevel="0" max="1025" min="4" style="0" width="14.43"/>
  </cols>
  <sheetData>
    <row r="1" s="26" customFormat="true" ht="48" hidden="false" customHeight="true" outlineLevel="0" collapsed="false">
      <c r="A1" s="23"/>
      <c r="B1" s="23"/>
      <c r="C1" s="23"/>
      <c r="D1" s="23"/>
      <c r="E1" s="24" t="s">
        <v>20</v>
      </c>
      <c r="F1" s="24" t="n">
        <f aca="false">'Cadastro Institucional'!D$6</f>
        <v>0</v>
      </c>
      <c r="G1" s="25" t="n">
        <f aca="false">'Cadastro Institucional'!D$7</f>
        <v>0</v>
      </c>
      <c r="H1" s="41"/>
      <c r="I1" s="41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customFormat="false" ht="12.75" hidden="false" customHeight="false" outlineLevel="0" collapsed="false">
      <c r="A2" s="27" t="s">
        <v>14</v>
      </c>
      <c r="B2" s="27" t="s">
        <v>13</v>
      </c>
      <c r="C2" s="27" t="s">
        <v>15</v>
      </c>
      <c r="D2" s="27" t="s">
        <v>16</v>
      </c>
      <c r="E2" s="27" t="s">
        <v>17</v>
      </c>
      <c r="F2" s="27" t="s">
        <v>18</v>
      </c>
      <c r="G2" s="27" t="s">
        <v>19</v>
      </c>
      <c r="H2" s="69" t="s">
        <v>35</v>
      </c>
      <c r="I2" s="69" t="s">
        <v>36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customFormat="false" ht="12.75" hidden="false" customHeight="false" outlineLevel="0" collapsed="false">
      <c r="A3" s="30" t="n">
        <f aca="false">'Cadastro Institucional'!D$10</f>
        <v>0</v>
      </c>
      <c r="B3" s="31" t="n">
        <f aca="false">'Cadastro Institucional'!D$9</f>
        <v>0</v>
      </c>
      <c r="C3" s="31" t="n">
        <f aca="false">'Cadastro Institucional'!D$11</f>
        <v>0</v>
      </c>
      <c r="D3" s="32" t="n">
        <f aca="false">'Cadastro Institucional'!D$12</f>
        <v>0</v>
      </c>
      <c r="E3" s="31" t="n">
        <f aca="false">'Cadastro Institucional'!D$13</f>
        <v>0</v>
      </c>
      <c r="F3" s="31" t="n">
        <f aca="false">'Cadastro Institucional'!D$14</f>
        <v>0</v>
      </c>
      <c r="G3" s="33" t="n">
        <f aca="false">'Cadastro Institucional'!D$15</f>
        <v>0</v>
      </c>
      <c r="H3" s="70"/>
      <c r="I3" s="70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customFormat="false" ht="12.75" hidden="false" customHeight="false" outlineLevel="0" collapsed="false">
      <c r="A4" s="29"/>
      <c r="B4" s="29"/>
      <c r="C4" s="29"/>
      <c r="D4" s="29"/>
      <c r="E4" s="29"/>
      <c r="F4" s="29"/>
      <c r="G4" s="29"/>
      <c r="H4" s="29"/>
      <c r="I4" s="29"/>
      <c r="J4" s="29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 customFormat="false" ht="25.5" hidden="false" customHeight="true" outlineLevel="0" collapsed="false">
      <c r="A5" s="56" t="s">
        <v>21</v>
      </c>
      <c r="B5" s="56" t="s">
        <v>23</v>
      </c>
      <c r="C5" s="56" t="s">
        <v>22</v>
      </c>
      <c r="D5" s="56" t="s">
        <v>28</v>
      </c>
      <c r="E5" s="56" t="s">
        <v>29</v>
      </c>
      <c r="F5" s="56" t="s">
        <v>30</v>
      </c>
      <c r="G5" s="56" t="s">
        <v>31</v>
      </c>
      <c r="H5" s="56" t="s">
        <v>32</v>
      </c>
      <c r="I5" s="56" t="s">
        <v>33</v>
      </c>
      <c r="J5" s="58"/>
      <c r="K5" s="20" t="s">
        <v>8</v>
      </c>
      <c r="L5" s="20"/>
      <c r="M5" s="20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</row>
    <row r="6" customFormat="false" ht="12.75" hidden="false" customHeight="true" outlineLevel="0" collapsed="false">
      <c r="A6" s="37" t="n">
        <f aca="false">'Itens de Contrato'!A6</f>
        <v>0</v>
      </c>
      <c r="B6" s="37" t="n">
        <f aca="false">'Itens de Contrato'!B6</f>
        <v>0</v>
      </c>
      <c r="C6" s="37" t="e">
        <f aca="false">VLOOKUP(B6,'Itens de Contrato'!B$5:G$151,2,0)</f>
        <v>#N/A</v>
      </c>
      <c r="D6" s="52"/>
      <c r="E6" s="63" t="n">
        <f aca="false">D6*'Itens de Contrato'!F6</f>
        <v>0</v>
      </c>
      <c r="F6" s="62" t="n">
        <f aca="false">'Medição 02'!F6-'Medição 02'!G6</f>
        <v>0</v>
      </c>
      <c r="G6" s="52"/>
      <c r="H6" s="64" t="e">
        <f aca="false">G6/D6</f>
        <v>#DIV/0!</v>
      </c>
      <c r="I6" s="63" t="n">
        <f aca="false">G6*'Itens de Contrato'!F6</f>
        <v>0</v>
      </c>
      <c r="J6" s="37"/>
      <c r="K6" s="20"/>
      <c r="L6" s="20"/>
      <c r="M6" s="20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customFormat="false" ht="12.8" hidden="false" customHeight="false" outlineLevel="0" collapsed="false">
      <c r="A7" s="37" t="n">
        <f aca="false">'Itens de Contrato'!A7</f>
        <v>0</v>
      </c>
      <c r="B7" s="37" t="n">
        <f aca="false">'Itens de Contrato'!B7</f>
        <v>0</v>
      </c>
      <c r="C7" s="37" t="e">
        <f aca="false">VLOOKUP(B7,'Itens de Contrato'!B$5:G$151,2,0)</f>
        <v>#N/A</v>
      </c>
      <c r="D7" s="52"/>
      <c r="E7" s="63" t="n">
        <f aca="false">D7*'Itens de Contrato'!F7</f>
        <v>0</v>
      </c>
      <c r="F7" s="62" t="n">
        <f aca="false">'Medição 02'!F7-'Medição 02'!G7</f>
        <v>0</v>
      </c>
      <c r="G7" s="52"/>
      <c r="H7" s="64" t="e">
        <f aca="false">G7/D7</f>
        <v>#DIV/0!</v>
      </c>
      <c r="I7" s="63" t="n">
        <f aca="false">G7*'Itens de Contrato'!F7</f>
        <v>0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customFormat="false" ht="12.8" hidden="false" customHeight="false" outlineLevel="0" collapsed="false">
      <c r="A8" s="37" t="n">
        <f aca="false">'Itens de Contrato'!A8</f>
        <v>0</v>
      </c>
      <c r="B8" s="37" t="n">
        <f aca="false">'Itens de Contrato'!B8</f>
        <v>0</v>
      </c>
      <c r="C8" s="37" t="e">
        <f aca="false">VLOOKUP(B8,'Itens de Contrato'!B$5:G$151,2,0)</f>
        <v>#N/A</v>
      </c>
      <c r="D8" s="52"/>
      <c r="E8" s="63" t="n">
        <f aca="false">D8*'Itens de Contrato'!F8</f>
        <v>0</v>
      </c>
      <c r="F8" s="62" t="n">
        <f aca="false">'Medição 02'!F8-'Medição 02'!G8</f>
        <v>0</v>
      </c>
      <c r="G8" s="52"/>
      <c r="H8" s="64" t="e">
        <f aca="false">G8/D8</f>
        <v>#DIV/0!</v>
      </c>
      <c r="I8" s="63" t="n">
        <f aca="false">G8*'Itens de Contrato'!F8</f>
        <v>0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customFormat="false" ht="12.8" hidden="false" customHeight="false" outlineLevel="0" collapsed="false">
      <c r="A9" s="37" t="n">
        <f aca="false">'Itens de Contrato'!A9</f>
        <v>0</v>
      </c>
      <c r="B9" s="37" t="n">
        <f aca="false">'Itens de Contrato'!B9</f>
        <v>0</v>
      </c>
      <c r="C9" s="37" t="e">
        <f aca="false">VLOOKUP(B9,'Itens de Contrato'!B$5:G$151,2,0)</f>
        <v>#N/A</v>
      </c>
      <c r="D9" s="52"/>
      <c r="E9" s="63" t="n">
        <f aca="false">D9*'Itens de Contrato'!F9</f>
        <v>0</v>
      </c>
      <c r="F9" s="62" t="n">
        <f aca="false">'Medição 02'!F9-'Medição 02'!G9</f>
        <v>0</v>
      </c>
      <c r="G9" s="52"/>
      <c r="H9" s="64" t="e">
        <f aca="false">G9/D9</f>
        <v>#DIV/0!</v>
      </c>
      <c r="I9" s="63" t="n">
        <f aca="false">G9*'Itens de Contrato'!F9</f>
        <v>0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 customFormat="false" ht="12.8" hidden="false" customHeight="false" outlineLevel="0" collapsed="false">
      <c r="A10" s="37" t="n">
        <f aca="false">'Itens de Contrato'!A10</f>
        <v>0</v>
      </c>
      <c r="B10" s="37" t="n">
        <f aca="false">'Itens de Contrato'!B10</f>
        <v>0</v>
      </c>
      <c r="C10" s="37" t="e">
        <f aca="false">VLOOKUP(B10,'Itens de Contrato'!B$5:G$151,2,0)</f>
        <v>#N/A</v>
      </c>
      <c r="D10" s="52"/>
      <c r="E10" s="63" t="n">
        <f aca="false">D10*'Itens de Contrato'!F10</f>
        <v>0</v>
      </c>
      <c r="F10" s="62" t="n">
        <f aca="false">'Medição 02'!F10-'Medição 02'!G10</f>
        <v>0</v>
      </c>
      <c r="G10" s="52"/>
      <c r="H10" s="64" t="e">
        <f aca="false">G10/D10</f>
        <v>#DIV/0!</v>
      </c>
      <c r="I10" s="63" t="n">
        <f aca="false">G10*'Itens de Contrato'!F10</f>
        <v>0</v>
      </c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 customFormat="false" ht="12.8" hidden="false" customHeight="false" outlineLevel="0" collapsed="false">
      <c r="A11" s="37" t="n">
        <f aca="false">'Itens de Contrato'!A11</f>
        <v>0</v>
      </c>
      <c r="B11" s="37" t="n">
        <f aca="false">'Itens de Contrato'!B11</f>
        <v>0</v>
      </c>
      <c r="C11" s="37" t="e">
        <f aca="false">VLOOKUP(B11,'Itens de Contrato'!B$5:G$151,2,0)</f>
        <v>#N/A</v>
      </c>
      <c r="D11" s="52"/>
      <c r="E11" s="63" t="n">
        <f aca="false">D11*'Itens de Contrato'!F11</f>
        <v>0</v>
      </c>
      <c r="F11" s="62" t="n">
        <f aca="false">'Medição 02'!F11-'Medição 02'!G11</f>
        <v>0</v>
      </c>
      <c r="G11" s="52"/>
      <c r="H11" s="64" t="e">
        <f aca="false">G11/D11</f>
        <v>#DIV/0!</v>
      </c>
      <c r="I11" s="63" t="n">
        <f aca="false">G11*'Itens de Contrato'!F11</f>
        <v>0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 customFormat="false" ht="12.8" hidden="false" customHeight="false" outlineLevel="0" collapsed="false">
      <c r="A12" s="37" t="n">
        <f aca="false">'Itens de Contrato'!A12</f>
        <v>0</v>
      </c>
      <c r="B12" s="37" t="n">
        <f aca="false">'Itens de Contrato'!B12</f>
        <v>0</v>
      </c>
      <c r="C12" s="37" t="e">
        <f aca="false">VLOOKUP(B12,'Itens de Contrato'!B$5:G$151,2,0)</f>
        <v>#N/A</v>
      </c>
      <c r="D12" s="52"/>
      <c r="E12" s="63" t="n">
        <f aca="false">D12*'Itens de Contrato'!F12</f>
        <v>0</v>
      </c>
      <c r="F12" s="62" t="n">
        <f aca="false">'Medição 02'!F12-'Medição 02'!G12</f>
        <v>0</v>
      </c>
      <c r="G12" s="52"/>
      <c r="H12" s="64" t="e">
        <f aca="false">G12/D12</f>
        <v>#DIV/0!</v>
      </c>
      <c r="I12" s="63" t="n">
        <f aca="false">G12*'Itens de Contrato'!F12</f>
        <v>0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 customFormat="false" ht="12.8" hidden="false" customHeight="false" outlineLevel="0" collapsed="false">
      <c r="A13" s="37" t="n">
        <f aca="false">'Itens de Contrato'!A13</f>
        <v>0</v>
      </c>
      <c r="B13" s="37" t="n">
        <f aca="false">'Itens de Contrato'!B13</f>
        <v>0</v>
      </c>
      <c r="C13" s="37" t="e">
        <f aca="false">VLOOKUP(B13,'Itens de Contrato'!B$5:G$151,2,0)</f>
        <v>#N/A</v>
      </c>
      <c r="D13" s="52"/>
      <c r="E13" s="63" t="n">
        <f aca="false">D13*'Itens de Contrato'!F13</f>
        <v>0</v>
      </c>
      <c r="F13" s="62" t="n">
        <f aca="false">'Medição 02'!F13-'Medição 02'!G13</f>
        <v>0</v>
      </c>
      <c r="G13" s="52"/>
      <c r="H13" s="64" t="e">
        <f aca="false">G13/D13</f>
        <v>#DIV/0!</v>
      </c>
      <c r="I13" s="63" t="n">
        <f aca="false">G13*'Itens de Contrato'!F13</f>
        <v>0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customFormat="false" ht="12.8" hidden="false" customHeight="false" outlineLevel="0" collapsed="false">
      <c r="A14" s="37" t="n">
        <f aca="false">'Itens de Contrato'!A14</f>
        <v>0</v>
      </c>
      <c r="B14" s="37" t="n">
        <f aca="false">'Itens de Contrato'!B14</f>
        <v>0</v>
      </c>
      <c r="C14" s="37" t="e">
        <f aca="false">VLOOKUP(B14,'Itens de Contrato'!B$5:G$151,2,0)</f>
        <v>#N/A</v>
      </c>
      <c r="D14" s="52"/>
      <c r="E14" s="63" t="n">
        <f aca="false">D14*'Itens de Contrato'!F14</f>
        <v>0</v>
      </c>
      <c r="F14" s="62" t="n">
        <f aca="false">'Medição 02'!F14-'Medição 02'!G14</f>
        <v>0</v>
      </c>
      <c r="G14" s="52"/>
      <c r="H14" s="64" t="e">
        <f aca="false">G14/D14</f>
        <v>#DIV/0!</v>
      </c>
      <c r="I14" s="63" t="n">
        <f aca="false">G14*'Itens de Contrato'!F14</f>
        <v>0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 customFormat="false" ht="12.8" hidden="false" customHeight="false" outlineLevel="0" collapsed="false">
      <c r="A15" s="37" t="n">
        <f aca="false">'Itens de Contrato'!A15</f>
        <v>0</v>
      </c>
      <c r="B15" s="37" t="n">
        <f aca="false">'Itens de Contrato'!B15</f>
        <v>0</v>
      </c>
      <c r="C15" s="37" t="e">
        <f aca="false">VLOOKUP(B15,'Itens de Contrato'!B$5:G$151,2,0)</f>
        <v>#N/A</v>
      </c>
      <c r="D15" s="52"/>
      <c r="E15" s="63" t="n">
        <f aca="false">D15*'Itens de Contrato'!F15</f>
        <v>0</v>
      </c>
      <c r="F15" s="62" t="n">
        <f aca="false">'Medição 02'!F15-'Medição 02'!G15</f>
        <v>0</v>
      </c>
      <c r="G15" s="52"/>
      <c r="H15" s="64" t="e">
        <f aca="false">G15/D15</f>
        <v>#DIV/0!</v>
      </c>
      <c r="I15" s="63" t="n">
        <f aca="false">G15*'Itens de Contrato'!F15</f>
        <v>0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customFormat="false" ht="12.8" hidden="false" customHeight="false" outlineLevel="0" collapsed="false">
      <c r="A16" s="37" t="n">
        <f aca="false">'Itens de Contrato'!A16</f>
        <v>0</v>
      </c>
      <c r="B16" s="37" t="n">
        <f aca="false">'Itens de Contrato'!B16</f>
        <v>0</v>
      </c>
      <c r="C16" s="37" t="e">
        <f aca="false">VLOOKUP(B16,'Itens de Contrato'!B$5:G$151,2,0)</f>
        <v>#N/A</v>
      </c>
      <c r="D16" s="52"/>
      <c r="E16" s="63" t="n">
        <f aca="false">D16*'Itens de Contrato'!F16</f>
        <v>0</v>
      </c>
      <c r="F16" s="62" t="n">
        <f aca="false">'Medição 02'!F16-'Medição 02'!G16</f>
        <v>0</v>
      </c>
      <c r="G16" s="52"/>
      <c r="H16" s="64" t="e">
        <f aca="false">G16/D16</f>
        <v>#DIV/0!</v>
      </c>
      <c r="I16" s="63" t="n">
        <f aca="false">G16*'Itens de Contrato'!F16</f>
        <v>0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7" customFormat="false" ht="12.8" hidden="false" customHeight="false" outlineLevel="0" collapsed="false">
      <c r="A17" s="37" t="n">
        <f aca="false">'Itens de Contrato'!A17</f>
        <v>0</v>
      </c>
      <c r="B17" s="37" t="n">
        <f aca="false">'Itens de Contrato'!B17</f>
        <v>0</v>
      </c>
      <c r="C17" s="37" t="e">
        <f aca="false">VLOOKUP(B17,'Itens de Contrato'!B$5:G$151,2,0)</f>
        <v>#N/A</v>
      </c>
      <c r="D17" s="52"/>
      <c r="E17" s="63" t="n">
        <f aca="false">D17*'Itens de Contrato'!F17</f>
        <v>0</v>
      </c>
      <c r="F17" s="62" t="n">
        <f aca="false">'Medição 02'!F17-'Medição 02'!G17</f>
        <v>0</v>
      </c>
      <c r="G17" s="52"/>
      <c r="H17" s="64" t="e">
        <f aca="false">G17/D17</f>
        <v>#DIV/0!</v>
      </c>
      <c r="I17" s="63" t="n">
        <f aca="false">G17*'Itens de Contrato'!F17</f>
        <v>0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</row>
    <row r="18" customFormat="false" ht="12.8" hidden="false" customHeight="false" outlineLevel="0" collapsed="false">
      <c r="A18" s="37" t="n">
        <f aca="false">'Itens de Contrato'!A18</f>
        <v>0</v>
      </c>
      <c r="B18" s="37" t="n">
        <f aca="false">'Itens de Contrato'!B18</f>
        <v>0</v>
      </c>
      <c r="C18" s="37" t="e">
        <f aca="false">VLOOKUP(B18,'Itens de Contrato'!B$5:G$151,2,0)</f>
        <v>#N/A</v>
      </c>
      <c r="D18" s="52"/>
      <c r="E18" s="63" t="n">
        <f aca="false">D18*'Itens de Contrato'!F18</f>
        <v>0</v>
      </c>
      <c r="F18" s="62" t="n">
        <f aca="false">'Medição 02'!F18-'Medição 02'!G18</f>
        <v>0</v>
      </c>
      <c r="G18" s="52"/>
      <c r="H18" s="64" t="e">
        <f aca="false">G18/D18</f>
        <v>#DIV/0!</v>
      </c>
      <c r="I18" s="63" t="n">
        <f aca="false">G18*'Itens de Contrato'!F18</f>
        <v>0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</row>
    <row r="19" customFormat="false" ht="12.8" hidden="false" customHeight="false" outlineLevel="0" collapsed="false">
      <c r="A19" s="37" t="n">
        <f aca="false">'Itens de Contrato'!A19</f>
        <v>0</v>
      </c>
      <c r="B19" s="37" t="n">
        <f aca="false">'Itens de Contrato'!B19</f>
        <v>0</v>
      </c>
      <c r="C19" s="37" t="e">
        <f aca="false">VLOOKUP(B19,'Itens de Contrato'!B$5:G$151,2,0)</f>
        <v>#N/A</v>
      </c>
      <c r="D19" s="52"/>
      <c r="E19" s="63" t="n">
        <f aca="false">D19*'Itens de Contrato'!F19</f>
        <v>0</v>
      </c>
      <c r="F19" s="62" t="n">
        <f aca="false">'Medição 02'!F19-'Medição 02'!G19</f>
        <v>0</v>
      </c>
      <c r="G19" s="52"/>
      <c r="H19" s="64" t="e">
        <f aca="false">G19/D19</f>
        <v>#DIV/0!</v>
      </c>
      <c r="I19" s="63" t="n">
        <f aca="false">G19*'Itens de Contrato'!F19</f>
        <v>0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</row>
    <row r="20" customFormat="false" ht="12.8" hidden="false" customHeight="false" outlineLevel="0" collapsed="false">
      <c r="A20" s="37" t="n">
        <f aca="false">'Itens de Contrato'!A20</f>
        <v>0</v>
      </c>
      <c r="B20" s="37" t="n">
        <f aca="false">'Itens de Contrato'!B20</f>
        <v>0</v>
      </c>
      <c r="C20" s="37" t="e">
        <f aca="false">VLOOKUP(B20,'Itens de Contrato'!B$5:G$151,2,0)</f>
        <v>#N/A</v>
      </c>
      <c r="D20" s="52"/>
      <c r="E20" s="63" t="n">
        <f aca="false">D20*'Itens de Contrato'!F20</f>
        <v>0</v>
      </c>
      <c r="F20" s="62" t="n">
        <f aca="false">'Medição 02'!F20-'Medição 02'!G20</f>
        <v>0</v>
      </c>
      <c r="G20" s="52"/>
      <c r="H20" s="64" t="e">
        <f aca="false">G20/D20</f>
        <v>#DIV/0!</v>
      </c>
      <c r="I20" s="63" t="n">
        <f aca="false">G20*'Itens de Contrato'!F20</f>
        <v>0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</row>
    <row r="21" customFormat="false" ht="12.8" hidden="false" customHeight="false" outlineLevel="0" collapsed="false">
      <c r="A21" s="37" t="n">
        <f aca="false">'Itens de Contrato'!A21</f>
        <v>0</v>
      </c>
      <c r="B21" s="37" t="n">
        <f aca="false">'Itens de Contrato'!B21</f>
        <v>0</v>
      </c>
      <c r="C21" s="37" t="e">
        <f aca="false">VLOOKUP(B21,'Itens de Contrato'!B$5:G$151,2,0)</f>
        <v>#N/A</v>
      </c>
      <c r="D21" s="52"/>
      <c r="E21" s="63" t="n">
        <f aca="false">D21*'Itens de Contrato'!F21</f>
        <v>0</v>
      </c>
      <c r="F21" s="62" t="n">
        <f aca="false">'Medição 02'!F21-'Medição 02'!G21</f>
        <v>0</v>
      </c>
      <c r="G21" s="52"/>
      <c r="H21" s="64" t="e">
        <f aca="false">G21/D21</f>
        <v>#DIV/0!</v>
      </c>
      <c r="I21" s="63" t="n">
        <f aca="false">G21*'Itens de Contrato'!F21</f>
        <v>0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customFormat="false" ht="12.8" hidden="false" customHeight="false" outlineLevel="0" collapsed="false">
      <c r="A22" s="37" t="n">
        <f aca="false">'Itens de Contrato'!A22</f>
        <v>0</v>
      </c>
      <c r="B22" s="37" t="n">
        <f aca="false">'Itens de Contrato'!B22</f>
        <v>0</v>
      </c>
      <c r="C22" s="37" t="e">
        <f aca="false">VLOOKUP(B22,'Itens de Contrato'!B$5:G$151,2,0)</f>
        <v>#N/A</v>
      </c>
      <c r="D22" s="52"/>
      <c r="E22" s="63" t="n">
        <f aca="false">D22*'Itens de Contrato'!F22</f>
        <v>0</v>
      </c>
      <c r="F22" s="62" t="n">
        <f aca="false">'Medição 02'!F22-'Medição 02'!G22</f>
        <v>0</v>
      </c>
      <c r="G22" s="52"/>
      <c r="H22" s="64" t="e">
        <f aca="false">G22/D22</f>
        <v>#DIV/0!</v>
      </c>
      <c r="I22" s="63" t="n">
        <f aca="false">G22*'Itens de Contrato'!F22</f>
        <v>0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  <row r="23" customFormat="false" ht="12.8" hidden="false" customHeight="false" outlineLevel="0" collapsed="false">
      <c r="A23" s="37" t="n">
        <f aca="false">'Itens de Contrato'!A23</f>
        <v>0</v>
      </c>
      <c r="B23" s="37" t="n">
        <f aca="false">'Itens de Contrato'!B23</f>
        <v>0</v>
      </c>
      <c r="C23" s="37" t="e">
        <f aca="false">VLOOKUP(B23,'Itens de Contrato'!B$5:G$151,2,0)</f>
        <v>#N/A</v>
      </c>
      <c r="D23" s="52"/>
      <c r="E23" s="63" t="n">
        <f aca="false">D23*'Itens de Contrato'!F23</f>
        <v>0</v>
      </c>
      <c r="F23" s="62" t="n">
        <f aca="false">'Medição 02'!F23-'Medição 02'!G23</f>
        <v>0</v>
      </c>
      <c r="G23" s="52"/>
      <c r="H23" s="64" t="e">
        <f aca="false">G23/D23</f>
        <v>#DIV/0!</v>
      </c>
      <c r="I23" s="63" t="n">
        <f aca="false">G23*'Itens de Contrato'!F23</f>
        <v>0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</row>
    <row r="24" customFormat="false" ht="12.8" hidden="false" customHeight="false" outlineLevel="0" collapsed="false">
      <c r="A24" s="37" t="n">
        <f aca="false">'Itens de Contrato'!A24</f>
        <v>0</v>
      </c>
      <c r="B24" s="37" t="n">
        <f aca="false">'Itens de Contrato'!B24</f>
        <v>0</v>
      </c>
      <c r="C24" s="37" t="e">
        <f aca="false">VLOOKUP(B24,'Itens de Contrato'!B$5:G$151,2,0)</f>
        <v>#N/A</v>
      </c>
      <c r="D24" s="52"/>
      <c r="E24" s="63" t="n">
        <f aca="false">D24*'Itens de Contrato'!F24</f>
        <v>0</v>
      </c>
      <c r="F24" s="62" t="n">
        <f aca="false">'Medição 02'!F24-'Medição 02'!G24</f>
        <v>0</v>
      </c>
      <c r="G24" s="52"/>
      <c r="H24" s="64" t="e">
        <f aca="false">G24/D24</f>
        <v>#DIV/0!</v>
      </c>
      <c r="I24" s="63" t="n">
        <f aca="false">G24*'Itens de Contrato'!F24</f>
        <v>0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</row>
    <row r="25" customFormat="false" ht="12.8" hidden="false" customHeight="false" outlineLevel="0" collapsed="false">
      <c r="A25" s="37" t="n">
        <f aca="false">'Itens de Contrato'!A25</f>
        <v>0</v>
      </c>
      <c r="B25" s="37" t="n">
        <f aca="false">'Itens de Contrato'!B25</f>
        <v>0</v>
      </c>
      <c r="C25" s="37" t="e">
        <f aca="false">VLOOKUP(B25,'Itens de Contrato'!B$5:G$151,2,0)</f>
        <v>#N/A</v>
      </c>
      <c r="D25" s="52"/>
      <c r="E25" s="63" t="n">
        <f aca="false">D25*'Itens de Contrato'!F25</f>
        <v>0</v>
      </c>
      <c r="F25" s="62" t="n">
        <f aca="false">'Medição 02'!F25-'Medição 02'!G25</f>
        <v>0</v>
      </c>
      <c r="G25" s="52"/>
      <c r="H25" s="64" t="e">
        <f aca="false">G25/D25</f>
        <v>#DIV/0!</v>
      </c>
      <c r="I25" s="63" t="n">
        <f aca="false">G25*'Itens de Contrato'!F25</f>
        <v>0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</row>
    <row r="26" customFormat="false" ht="12.8" hidden="false" customHeight="false" outlineLevel="0" collapsed="false">
      <c r="A26" s="37" t="n">
        <f aca="false">'Itens de Contrato'!A26</f>
        <v>0</v>
      </c>
      <c r="B26" s="37" t="n">
        <f aca="false">'Itens de Contrato'!B26</f>
        <v>0</v>
      </c>
      <c r="C26" s="37" t="e">
        <f aca="false">VLOOKUP(B26,'Itens de Contrato'!B$5:G$151,2,0)</f>
        <v>#N/A</v>
      </c>
      <c r="D26" s="52"/>
      <c r="E26" s="63" t="n">
        <f aca="false">D26*'Itens de Contrato'!F26</f>
        <v>0</v>
      </c>
      <c r="F26" s="62" t="n">
        <f aca="false">'Medição 02'!F26-'Medição 02'!G26</f>
        <v>0</v>
      </c>
      <c r="G26" s="52"/>
      <c r="H26" s="64" t="e">
        <f aca="false">G26/D26</f>
        <v>#DIV/0!</v>
      </c>
      <c r="I26" s="63" t="n">
        <f aca="false">G26*'Itens de Contrato'!F26</f>
        <v>0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</row>
    <row r="27" customFormat="false" ht="12.8" hidden="false" customHeight="false" outlineLevel="0" collapsed="false">
      <c r="A27" s="37" t="n">
        <f aca="false">'Itens de Contrato'!A27</f>
        <v>0</v>
      </c>
      <c r="B27" s="37" t="n">
        <f aca="false">'Itens de Contrato'!B27</f>
        <v>0</v>
      </c>
      <c r="C27" s="37" t="e">
        <f aca="false">VLOOKUP(B27,'Itens de Contrato'!B$5:G$151,2,0)</f>
        <v>#N/A</v>
      </c>
      <c r="D27" s="52"/>
      <c r="E27" s="63" t="n">
        <f aca="false">D27*'Itens de Contrato'!F27</f>
        <v>0</v>
      </c>
      <c r="F27" s="62" t="n">
        <f aca="false">'Medição 02'!F27-'Medição 02'!G27</f>
        <v>0</v>
      </c>
      <c r="G27" s="52"/>
      <c r="H27" s="64" t="e">
        <f aca="false">G27/D27</f>
        <v>#DIV/0!</v>
      </c>
      <c r="I27" s="63" t="n">
        <f aca="false">G27*'Itens de Contrato'!F27</f>
        <v>0</v>
      </c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</row>
    <row r="28" customFormat="false" ht="12.8" hidden="false" customHeight="false" outlineLevel="0" collapsed="false">
      <c r="A28" s="37" t="n">
        <f aca="false">'Itens de Contrato'!A28</f>
        <v>0</v>
      </c>
      <c r="B28" s="37" t="n">
        <f aca="false">'Itens de Contrato'!B28</f>
        <v>0</v>
      </c>
      <c r="C28" s="37" t="e">
        <f aca="false">VLOOKUP(B28,'Itens de Contrato'!B$5:G$151,2,0)</f>
        <v>#N/A</v>
      </c>
      <c r="D28" s="52"/>
      <c r="E28" s="63" t="n">
        <f aca="false">D28*'Itens de Contrato'!F28</f>
        <v>0</v>
      </c>
      <c r="F28" s="62" t="n">
        <f aca="false">'Medição 02'!F28-'Medição 02'!G28</f>
        <v>0</v>
      </c>
      <c r="G28" s="52"/>
      <c r="H28" s="64" t="e">
        <f aca="false">G28/D28</f>
        <v>#DIV/0!</v>
      </c>
      <c r="I28" s="63" t="n">
        <f aca="false">G28*'Itens de Contrato'!F28</f>
        <v>0</v>
      </c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customFormat="false" ht="12.8" hidden="false" customHeight="false" outlineLevel="0" collapsed="false">
      <c r="A29" s="37" t="n">
        <f aca="false">'Itens de Contrato'!A29</f>
        <v>0</v>
      </c>
      <c r="B29" s="37" t="n">
        <f aca="false">'Itens de Contrato'!B29</f>
        <v>0</v>
      </c>
      <c r="C29" s="37" t="e">
        <f aca="false">VLOOKUP(B29,'Itens de Contrato'!B$5:G$151,2,0)</f>
        <v>#N/A</v>
      </c>
      <c r="D29" s="52"/>
      <c r="E29" s="63" t="n">
        <f aca="false">D29*'Itens de Contrato'!F29</f>
        <v>0</v>
      </c>
      <c r="F29" s="62" t="n">
        <f aca="false">'Medição 02'!F29-'Medição 02'!G29</f>
        <v>0</v>
      </c>
      <c r="G29" s="52"/>
      <c r="H29" s="64" t="e">
        <f aca="false">G29/D29</f>
        <v>#DIV/0!</v>
      </c>
      <c r="I29" s="63" t="n">
        <f aca="false">G29*'Itens de Contrato'!F29</f>
        <v>0</v>
      </c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</row>
    <row r="30" customFormat="false" ht="12.8" hidden="false" customHeight="false" outlineLevel="0" collapsed="false">
      <c r="A30" s="37" t="n">
        <f aca="false">'Itens de Contrato'!A30</f>
        <v>0</v>
      </c>
      <c r="B30" s="37" t="n">
        <f aca="false">'Itens de Contrato'!B30</f>
        <v>0</v>
      </c>
      <c r="C30" s="37" t="e">
        <f aca="false">VLOOKUP(B30,'Itens de Contrato'!B$5:G$151,2,0)</f>
        <v>#N/A</v>
      </c>
      <c r="D30" s="52"/>
      <c r="E30" s="63" t="n">
        <f aca="false">D30*'Itens de Contrato'!F30</f>
        <v>0</v>
      </c>
      <c r="F30" s="62" t="n">
        <f aca="false">'Medição 02'!F30-'Medição 02'!G30</f>
        <v>0</v>
      </c>
      <c r="G30" s="52"/>
      <c r="H30" s="64" t="e">
        <f aca="false">G30/D30</f>
        <v>#DIV/0!</v>
      </c>
      <c r="I30" s="63" t="n">
        <f aca="false">G30*'Itens de Contrato'!F30</f>
        <v>0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</row>
    <row r="31" customFormat="false" ht="12.8" hidden="false" customHeight="false" outlineLevel="0" collapsed="false">
      <c r="A31" s="37" t="n">
        <f aca="false">'Itens de Contrato'!A31</f>
        <v>0</v>
      </c>
      <c r="B31" s="37" t="n">
        <f aca="false">'Itens de Contrato'!B31</f>
        <v>0</v>
      </c>
      <c r="C31" s="37" t="e">
        <f aca="false">VLOOKUP(B31,'Itens de Contrato'!B$5:G$151,2,0)</f>
        <v>#N/A</v>
      </c>
      <c r="D31" s="52"/>
      <c r="E31" s="63" t="n">
        <f aca="false">D31*'Itens de Contrato'!F31</f>
        <v>0</v>
      </c>
      <c r="F31" s="62" t="n">
        <f aca="false">'Medição 02'!F31-'Medição 02'!G31</f>
        <v>0</v>
      </c>
      <c r="G31" s="52"/>
      <c r="H31" s="64" t="e">
        <f aca="false">G31/D31</f>
        <v>#DIV/0!</v>
      </c>
      <c r="I31" s="63" t="n">
        <f aca="false">G31*'Itens de Contrato'!F31</f>
        <v>0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customFormat="false" ht="12.8" hidden="false" customHeight="false" outlineLevel="0" collapsed="false">
      <c r="A32" s="37" t="n">
        <f aca="false">'Itens de Contrato'!A32</f>
        <v>0</v>
      </c>
      <c r="B32" s="37" t="n">
        <f aca="false">'Itens de Contrato'!B32</f>
        <v>0</v>
      </c>
      <c r="C32" s="37" t="e">
        <f aca="false">VLOOKUP(B32,'Itens de Contrato'!B$5:G$151,2,0)</f>
        <v>#N/A</v>
      </c>
      <c r="D32" s="52"/>
      <c r="E32" s="63" t="n">
        <f aca="false">D32*'Itens de Contrato'!F32</f>
        <v>0</v>
      </c>
      <c r="F32" s="62" t="n">
        <f aca="false">'Medição 02'!F32-'Medição 02'!G32</f>
        <v>0</v>
      </c>
      <c r="G32" s="52"/>
      <c r="H32" s="64" t="e">
        <f aca="false">G32/D32</f>
        <v>#DIV/0!</v>
      </c>
      <c r="I32" s="63" t="n">
        <f aca="false">G32*'Itens de Contrato'!F32</f>
        <v>0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customFormat="false" ht="12.8" hidden="false" customHeight="false" outlineLevel="0" collapsed="false">
      <c r="A33" s="37" t="n">
        <f aca="false">'Itens de Contrato'!A33</f>
        <v>0</v>
      </c>
      <c r="B33" s="37" t="n">
        <f aca="false">'Itens de Contrato'!B33</f>
        <v>0</v>
      </c>
      <c r="C33" s="37" t="e">
        <f aca="false">VLOOKUP(B33,'Itens de Contrato'!B$5:G$151,2,0)</f>
        <v>#N/A</v>
      </c>
      <c r="D33" s="52"/>
      <c r="E33" s="63" t="n">
        <f aca="false">D33*'Itens de Contrato'!F33</f>
        <v>0</v>
      </c>
      <c r="F33" s="62" t="n">
        <f aca="false">'Medição 02'!F33-'Medição 02'!G33</f>
        <v>0</v>
      </c>
      <c r="G33" s="52"/>
      <c r="H33" s="64" t="e">
        <f aca="false">G33/D33</f>
        <v>#DIV/0!</v>
      </c>
      <c r="I33" s="63" t="n">
        <f aca="false">G33*'Itens de Contrato'!F33</f>
        <v>0</v>
      </c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customFormat="false" ht="12.8" hidden="false" customHeight="false" outlineLevel="0" collapsed="false">
      <c r="A34" s="37" t="n">
        <f aca="false">'Itens de Contrato'!A34</f>
        <v>0</v>
      </c>
      <c r="B34" s="37" t="n">
        <f aca="false">'Itens de Contrato'!B34</f>
        <v>0</v>
      </c>
      <c r="C34" s="37" t="e">
        <f aca="false">VLOOKUP(B34,'Itens de Contrato'!B$5:G$151,2,0)</f>
        <v>#N/A</v>
      </c>
      <c r="D34" s="52"/>
      <c r="E34" s="63" t="n">
        <f aca="false">D34*'Itens de Contrato'!F34</f>
        <v>0</v>
      </c>
      <c r="F34" s="62" t="n">
        <f aca="false">'Medição 02'!F34-'Medição 02'!G34</f>
        <v>0</v>
      </c>
      <c r="G34" s="52"/>
      <c r="H34" s="64" t="e">
        <f aca="false">G34/D34</f>
        <v>#DIV/0!</v>
      </c>
      <c r="I34" s="63" t="n">
        <f aca="false">G34*'Itens de Contrato'!F34</f>
        <v>0</v>
      </c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</row>
    <row r="35" customFormat="false" ht="12.8" hidden="false" customHeight="false" outlineLevel="0" collapsed="false">
      <c r="A35" s="37" t="n">
        <f aca="false">'Itens de Contrato'!A35</f>
        <v>0</v>
      </c>
      <c r="B35" s="37" t="n">
        <f aca="false">'Itens de Contrato'!B35</f>
        <v>0</v>
      </c>
      <c r="C35" s="37" t="e">
        <f aca="false">VLOOKUP(B35,'Itens de Contrato'!B$5:G$151,2,0)</f>
        <v>#N/A</v>
      </c>
      <c r="D35" s="52"/>
      <c r="E35" s="63" t="n">
        <f aca="false">D35*'Itens de Contrato'!F35</f>
        <v>0</v>
      </c>
      <c r="F35" s="62" t="n">
        <f aca="false">'Medição 02'!F35-'Medição 02'!G35</f>
        <v>0</v>
      </c>
      <c r="G35" s="52"/>
      <c r="H35" s="64" t="e">
        <f aca="false">G35/D35</f>
        <v>#DIV/0!</v>
      </c>
      <c r="I35" s="63" t="n">
        <f aca="false">G35*'Itens de Contrato'!F35</f>
        <v>0</v>
      </c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</row>
    <row r="36" customFormat="false" ht="12.8" hidden="false" customHeight="false" outlineLevel="0" collapsed="false">
      <c r="A36" s="37" t="n">
        <f aca="false">'Itens de Contrato'!A36</f>
        <v>0</v>
      </c>
      <c r="B36" s="37" t="n">
        <f aca="false">'Itens de Contrato'!B36</f>
        <v>0</v>
      </c>
      <c r="C36" s="37" t="e">
        <f aca="false">VLOOKUP(B36,'Itens de Contrato'!B$5:G$151,2,0)</f>
        <v>#N/A</v>
      </c>
      <c r="D36" s="52"/>
      <c r="E36" s="63" t="n">
        <f aca="false">D36*'Itens de Contrato'!F36</f>
        <v>0</v>
      </c>
      <c r="F36" s="62" t="n">
        <f aca="false">'Medição 02'!F36-'Medição 02'!G36</f>
        <v>0</v>
      </c>
      <c r="G36" s="52"/>
      <c r="H36" s="64" t="e">
        <f aca="false">G36/D36</f>
        <v>#DIV/0!</v>
      </c>
      <c r="I36" s="63" t="n">
        <f aca="false">G36*'Itens de Contrato'!F36</f>
        <v>0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customFormat="false" ht="12.8" hidden="false" customHeight="false" outlineLevel="0" collapsed="false">
      <c r="A37" s="37" t="n">
        <f aca="false">'Itens de Contrato'!A37</f>
        <v>0</v>
      </c>
      <c r="B37" s="37" t="n">
        <f aca="false">'Itens de Contrato'!B37</f>
        <v>0</v>
      </c>
      <c r="C37" s="37" t="e">
        <f aca="false">VLOOKUP(B37,'Itens de Contrato'!B$5:G$151,2,0)</f>
        <v>#N/A</v>
      </c>
      <c r="D37" s="52"/>
      <c r="E37" s="63" t="n">
        <f aca="false">D37*'Itens de Contrato'!F37</f>
        <v>0</v>
      </c>
      <c r="F37" s="62" t="n">
        <f aca="false">'Medição 02'!F37-'Medição 02'!G37</f>
        <v>0</v>
      </c>
      <c r="G37" s="52"/>
      <c r="H37" s="64" t="e">
        <f aca="false">G37/D37</f>
        <v>#DIV/0!</v>
      </c>
      <c r="I37" s="63" t="n">
        <f aca="false">G37*'Itens de Contrato'!F37</f>
        <v>0</v>
      </c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customFormat="false" ht="12.8" hidden="false" customHeight="false" outlineLevel="0" collapsed="false">
      <c r="A38" s="37" t="n">
        <f aca="false">'Itens de Contrato'!A38</f>
        <v>0</v>
      </c>
      <c r="B38" s="37" t="n">
        <f aca="false">'Itens de Contrato'!B38</f>
        <v>0</v>
      </c>
      <c r="C38" s="37" t="e">
        <f aca="false">VLOOKUP(B38,'Itens de Contrato'!B$5:G$151,2,0)</f>
        <v>#N/A</v>
      </c>
      <c r="D38" s="52"/>
      <c r="E38" s="63" t="n">
        <f aca="false">D38*'Itens de Contrato'!F38</f>
        <v>0</v>
      </c>
      <c r="F38" s="62" t="n">
        <f aca="false">'Medição 02'!F38-'Medição 02'!G38</f>
        <v>0</v>
      </c>
      <c r="G38" s="52"/>
      <c r="H38" s="64" t="e">
        <f aca="false">G38/D38</f>
        <v>#DIV/0!</v>
      </c>
      <c r="I38" s="63" t="n">
        <f aca="false">G38*'Itens de Contrato'!F38</f>
        <v>0</v>
      </c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customFormat="false" ht="12.8" hidden="false" customHeight="false" outlineLevel="0" collapsed="false">
      <c r="A39" s="37" t="n">
        <f aca="false">'Itens de Contrato'!A39</f>
        <v>0</v>
      </c>
      <c r="B39" s="37" t="n">
        <f aca="false">'Itens de Contrato'!B39</f>
        <v>0</v>
      </c>
      <c r="C39" s="37" t="e">
        <f aca="false">VLOOKUP(B39,'Itens de Contrato'!B$5:G$151,2,0)</f>
        <v>#N/A</v>
      </c>
      <c r="D39" s="52"/>
      <c r="E39" s="63" t="n">
        <f aca="false">D39*'Itens de Contrato'!F39</f>
        <v>0</v>
      </c>
      <c r="F39" s="62" t="n">
        <f aca="false">'Medição 02'!F39-'Medição 02'!G39</f>
        <v>0</v>
      </c>
      <c r="G39" s="52"/>
      <c r="H39" s="64" t="e">
        <f aca="false">G39/D39</f>
        <v>#DIV/0!</v>
      </c>
      <c r="I39" s="63" t="n">
        <f aca="false">G39*'Itens de Contrato'!F39</f>
        <v>0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customFormat="false" ht="12.8" hidden="false" customHeight="false" outlineLevel="0" collapsed="false">
      <c r="A40" s="37" t="n">
        <f aca="false">'Itens de Contrato'!A40</f>
        <v>0</v>
      </c>
      <c r="B40" s="37" t="n">
        <f aca="false">'Itens de Contrato'!B40</f>
        <v>0</v>
      </c>
      <c r="C40" s="37" t="e">
        <f aca="false">VLOOKUP(B40,'Itens de Contrato'!B$5:G$151,2,0)</f>
        <v>#N/A</v>
      </c>
      <c r="D40" s="52"/>
      <c r="E40" s="63" t="n">
        <f aca="false">D40*'Itens de Contrato'!F40</f>
        <v>0</v>
      </c>
      <c r="F40" s="62" t="n">
        <f aca="false">'Medição 02'!F40-'Medição 02'!G40</f>
        <v>0</v>
      </c>
      <c r="G40" s="52"/>
      <c r="H40" s="64" t="e">
        <f aca="false">G40/D40</f>
        <v>#DIV/0!</v>
      </c>
      <c r="I40" s="63" t="n">
        <f aca="false">G40*'Itens de Contrato'!F40</f>
        <v>0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customFormat="false" ht="12.8" hidden="false" customHeight="false" outlineLevel="0" collapsed="false">
      <c r="A41" s="37" t="n">
        <f aca="false">'Itens de Contrato'!A41</f>
        <v>0</v>
      </c>
      <c r="B41" s="37" t="n">
        <f aca="false">'Itens de Contrato'!B41</f>
        <v>0</v>
      </c>
      <c r="C41" s="37" t="e">
        <f aca="false">VLOOKUP(B41,'Itens de Contrato'!B$5:G$151,2,0)</f>
        <v>#N/A</v>
      </c>
      <c r="D41" s="52"/>
      <c r="E41" s="63" t="n">
        <f aca="false">D41*'Itens de Contrato'!F41</f>
        <v>0</v>
      </c>
      <c r="F41" s="62" t="n">
        <f aca="false">'Medição 02'!F41-'Medição 02'!G41</f>
        <v>0</v>
      </c>
      <c r="G41" s="52"/>
      <c r="H41" s="64" t="e">
        <f aca="false">G41/D41</f>
        <v>#DIV/0!</v>
      </c>
      <c r="I41" s="63" t="n">
        <f aca="false">G41*'Itens de Contrato'!F41</f>
        <v>0</v>
      </c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customFormat="false" ht="12.8" hidden="false" customHeight="false" outlineLevel="0" collapsed="false">
      <c r="A42" s="37" t="n">
        <f aca="false">'Itens de Contrato'!A42</f>
        <v>0</v>
      </c>
      <c r="B42" s="37" t="n">
        <f aca="false">'Itens de Contrato'!B42</f>
        <v>0</v>
      </c>
      <c r="C42" s="37" t="e">
        <f aca="false">VLOOKUP(B42,'Itens de Contrato'!B$5:G$151,2,0)</f>
        <v>#N/A</v>
      </c>
      <c r="D42" s="52"/>
      <c r="E42" s="63" t="n">
        <f aca="false">D42*'Itens de Contrato'!F42</f>
        <v>0</v>
      </c>
      <c r="F42" s="62" t="n">
        <f aca="false">'Medição 02'!F42-'Medição 02'!G42</f>
        <v>0</v>
      </c>
      <c r="G42" s="52"/>
      <c r="H42" s="64" t="e">
        <f aca="false">G42/D42</f>
        <v>#DIV/0!</v>
      </c>
      <c r="I42" s="63" t="n">
        <f aca="false">G42*'Itens de Contrato'!F42</f>
        <v>0</v>
      </c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customFormat="false" ht="12.8" hidden="false" customHeight="false" outlineLevel="0" collapsed="false">
      <c r="A43" s="37" t="n">
        <f aca="false">'Itens de Contrato'!A43</f>
        <v>0</v>
      </c>
      <c r="B43" s="37" t="n">
        <f aca="false">'Itens de Contrato'!B43</f>
        <v>0</v>
      </c>
      <c r="C43" s="37" t="e">
        <f aca="false">VLOOKUP(B43,'Itens de Contrato'!B$5:G$151,2,0)</f>
        <v>#N/A</v>
      </c>
      <c r="D43" s="52"/>
      <c r="E43" s="63" t="n">
        <f aca="false">D43*'Itens de Contrato'!F43</f>
        <v>0</v>
      </c>
      <c r="F43" s="62" t="n">
        <f aca="false">'Medição 02'!F43-'Medição 02'!G43</f>
        <v>0</v>
      </c>
      <c r="G43" s="52"/>
      <c r="H43" s="64" t="e">
        <f aca="false">G43/D43</f>
        <v>#DIV/0!</v>
      </c>
      <c r="I43" s="63" t="n">
        <f aca="false">G43*'Itens de Contrato'!F43</f>
        <v>0</v>
      </c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customFormat="false" ht="12.8" hidden="false" customHeight="false" outlineLevel="0" collapsed="false">
      <c r="A44" s="37" t="n">
        <f aca="false">'Itens de Contrato'!A44</f>
        <v>0</v>
      </c>
      <c r="B44" s="37" t="n">
        <f aca="false">'Itens de Contrato'!B44</f>
        <v>0</v>
      </c>
      <c r="C44" s="37" t="e">
        <f aca="false">VLOOKUP(B44,'Itens de Contrato'!B$5:G$151,2,0)</f>
        <v>#N/A</v>
      </c>
      <c r="D44" s="52"/>
      <c r="E44" s="63" t="n">
        <f aca="false">D44*'Itens de Contrato'!F44</f>
        <v>0</v>
      </c>
      <c r="F44" s="62" t="n">
        <f aca="false">'Medição 02'!F44-'Medição 02'!G44</f>
        <v>0</v>
      </c>
      <c r="G44" s="52"/>
      <c r="H44" s="64" t="e">
        <f aca="false">G44/D44</f>
        <v>#DIV/0!</v>
      </c>
      <c r="I44" s="63" t="n">
        <f aca="false">G44*'Itens de Contrato'!F44</f>
        <v>0</v>
      </c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customFormat="false" ht="12.8" hidden="false" customHeight="false" outlineLevel="0" collapsed="false">
      <c r="A45" s="37" t="n">
        <f aca="false">'Itens de Contrato'!A45</f>
        <v>0</v>
      </c>
      <c r="B45" s="37" t="n">
        <f aca="false">'Itens de Contrato'!B45</f>
        <v>0</v>
      </c>
      <c r="C45" s="37" t="e">
        <f aca="false">VLOOKUP(B45,'Itens de Contrato'!B$5:G$151,2,0)</f>
        <v>#N/A</v>
      </c>
      <c r="D45" s="52"/>
      <c r="E45" s="63" t="n">
        <f aca="false">D45*'Itens de Contrato'!F45</f>
        <v>0</v>
      </c>
      <c r="F45" s="62" t="n">
        <f aca="false">'Medição 02'!F45-'Medição 02'!G45</f>
        <v>0</v>
      </c>
      <c r="G45" s="52"/>
      <c r="H45" s="64" t="e">
        <f aca="false">G45/D45</f>
        <v>#DIV/0!</v>
      </c>
      <c r="I45" s="63" t="n">
        <f aca="false">G45*'Itens de Contrato'!F45</f>
        <v>0</v>
      </c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customFormat="false" ht="12.8" hidden="false" customHeight="false" outlineLevel="0" collapsed="false">
      <c r="A46" s="37" t="n">
        <f aca="false">'Itens de Contrato'!A46</f>
        <v>0</v>
      </c>
      <c r="B46" s="37" t="n">
        <f aca="false">'Itens de Contrato'!B46</f>
        <v>0</v>
      </c>
      <c r="C46" s="37" t="e">
        <f aca="false">VLOOKUP(B46,'Itens de Contrato'!B$5:G$151,2,0)</f>
        <v>#N/A</v>
      </c>
      <c r="D46" s="52"/>
      <c r="E46" s="63" t="n">
        <f aca="false">D46*'Itens de Contrato'!F46</f>
        <v>0</v>
      </c>
      <c r="F46" s="62" t="n">
        <f aca="false">'Medição 02'!F46-'Medição 02'!G46</f>
        <v>0</v>
      </c>
      <c r="G46" s="52"/>
      <c r="H46" s="64" t="e">
        <f aca="false">G46/D46</f>
        <v>#DIV/0!</v>
      </c>
      <c r="I46" s="63" t="n">
        <f aca="false">G46*'Itens de Contrato'!F46</f>
        <v>0</v>
      </c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customFormat="false" ht="12.8" hidden="false" customHeight="false" outlineLevel="0" collapsed="false">
      <c r="A47" s="37" t="n">
        <f aca="false">'Itens de Contrato'!A47</f>
        <v>0</v>
      </c>
      <c r="B47" s="37" t="n">
        <f aca="false">'Itens de Contrato'!B47</f>
        <v>0</v>
      </c>
      <c r="C47" s="37" t="e">
        <f aca="false">VLOOKUP(B47,'Itens de Contrato'!B$5:G$151,2,0)</f>
        <v>#N/A</v>
      </c>
      <c r="D47" s="52"/>
      <c r="E47" s="63" t="n">
        <f aca="false">D47*'Itens de Contrato'!F47</f>
        <v>0</v>
      </c>
      <c r="F47" s="62" t="n">
        <f aca="false">'Medição 02'!F47-'Medição 02'!G47</f>
        <v>0</v>
      </c>
      <c r="G47" s="52"/>
      <c r="H47" s="64" t="e">
        <f aca="false">G47/D47</f>
        <v>#DIV/0!</v>
      </c>
      <c r="I47" s="63" t="n">
        <f aca="false">G47*'Itens de Contrato'!F47</f>
        <v>0</v>
      </c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customFormat="false" ht="12.8" hidden="false" customHeight="false" outlineLevel="0" collapsed="false">
      <c r="A48" s="37" t="n">
        <f aca="false">'Itens de Contrato'!A48</f>
        <v>0</v>
      </c>
      <c r="B48" s="37" t="n">
        <f aca="false">'Itens de Contrato'!B48</f>
        <v>0</v>
      </c>
      <c r="C48" s="37" t="e">
        <f aca="false">VLOOKUP(B48,'Itens de Contrato'!B$5:G$151,2,0)</f>
        <v>#N/A</v>
      </c>
      <c r="D48" s="52"/>
      <c r="E48" s="63" t="n">
        <f aca="false">D48*'Itens de Contrato'!F48</f>
        <v>0</v>
      </c>
      <c r="F48" s="62" t="n">
        <f aca="false">'Medição 02'!F48-'Medição 02'!G48</f>
        <v>0</v>
      </c>
      <c r="G48" s="52"/>
      <c r="H48" s="64" t="e">
        <f aca="false">G48/D48</f>
        <v>#DIV/0!</v>
      </c>
      <c r="I48" s="63" t="n">
        <f aca="false">G48*'Itens de Contrato'!F48</f>
        <v>0</v>
      </c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customFormat="false" ht="12.8" hidden="false" customHeight="false" outlineLevel="0" collapsed="false">
      <c r="A49" s="37" t="n">
        <f aca="false">'Itens de Contrato'!A49</f>
        <v>0</v>
      </c>
      <c r="B49" s="37" t="n">
        <f aca="false">'Itens de Contrato'!B49</f>
        <v>0</v>
      </c>
      <c r="C49" s="37" t="e">
        <f aca="false">VLOOKUP(B49,'Itens de Contrato'!B$5:G$151,2,0)</f>
        <v>#N/A</v>
      </c>
      <c r="D49" s="52"/>
      <c r="E49" s="63" t="n">
        <f aca="false">D49*'Itens de Contrato'!F49</f>
        <v>0</v>
      </c>
      <c r="F49" s="62" t="n">
        <f aca="false">'Medição 02'!F49-'Medição 02'!G49</f>
        <v>0</v>
      </c>
      <c r="G49" s="52"/>
      <c r="H49" s="64" t="e">
        <f aca="false">G49/D49</f>
        <v>#DIV/0!</v>
      </c>
      <c r="I49" s="63" t="n">
        <f aca="false">G49*'Itens de Contrato'!F49</f>
        <v>0</v>
      </c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customFormat="false" ht="12.8" hidden="false" customHeight="false" outlineLevel="0" collapsed="false">
      <c r="A50" s="37" t="n">
        <f aca="false">'Itens de Contrato'!A50</f>
        <v>0</v>
      </c>
      <c r="B50" s="37" t="n">
        <f aca="false">'Itens de Contrato'!B50</f>
        <v>0</v>
      </c>
      <c r="C50" s="37" t="e">
        <f aca="false">VLOOKUP(B50,'Itens de Contrato'!B$5:G$151,2,0)</f>
        <v>#N/A</v>
      </c>
      <c r="D50" s="52"/>
      <c r="E50" s="63" t="n">
        <f aca="false">D50*'Itens de Contrato'!F50</f>
        <v>0</v>
      </c>
      <c r="F50" s="62" t="n">
        <f aca="false">'Medição 02'!F50-'Medição 02'!G50</f>
        <v>0</v>
      </c>
      <c r="G50" s="52"/>
      <c r="H50" s="64" t="e">
        <f aca="false">G50/D50</f>
        <v>#DIV/0!</v>
      </c>
      <c r="I50" s="63" t="n">
        <f aca="false">G50*'Itens de Contrato'!F50</f>
        <v>0</v>
      </c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customFormat="false" ht="12.8" hidden="false" customHeight="false" outlineLevel="0" collapsed="false">
      <c r="A51" s="37" t="n">
        <f aca="false">'Itens de Contrato'!A51</f>
        <v>0</v>
      </c>
      <c r="B51" s="37" t="n">
        <f aca="false">'Itens de Contrato'!B51</f>
        <v>0</v>
      </c>
      <c r="C51" s="37" t="e">
        <f aca="false">VLOOKUP(B51,'Itens de Contrato'!B$5:G$151,2,0)</f>
        <v>#N/A</v>
      </c>
      <c r="D51" s="52"/>
      <c r="E51" s="63" t="n">
        <f aca="false">D51*'Itens de Contrato'!F51</f>
        <v>0</v>
      </c>
      <c r="F51" s="62" t="n">
        <f aca="false">'Medição 02'!F51-'Medição 02'!G51</f>
        <v>0</v>
      </c>
      <c r="G51" s="52"/>
      <c r="H51" s="64" t="e">
        <f aca="false">G51/D51</f>
        <v>#DIV/0!</v>
      </c>
      <c r="I51" s="63" t="n">
        <f aca="false">G51*'Itens de Contrato'!F51</f>
        <v>0</v>
      </c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customFormat="false" ht="12.8" hidden="false" customHeight="false" outlineLevel="0" collapsed="false">
      <c r="A52" s="37" t="n">
        <f aca="false">'Itens de Contrato'!A52</f>
        <v>0</v>
      </c>
      <c r="B52" s="37" t="n">
        <f aca="false">'Itens de Contrato'!B52</f>
        <v>0</v>
      </c>
      <c r="C52" s="37" t="e">
        <f aca="false">VLOOKUP(B52,'Itens de Contrato'!B$5:G$151,2,0)</f>
        <v>#N/A</v>
      </c>
      <c r="D52" s="52"/>
      <c r="E52" s="63" t="n">
        <f aca="false">D52*'Itens de Contrato'!F52</f>
        <v>0</v>
      </c>
      <c r="F52" s="62" t="n">
        <f aca="false">'Medição 02'!F52-'Medição 02'!G52</f>
        <v>0</v>
      </c>
      <c r="G52" s="52"/>
      <c r="H52" s="64" t="e">
        <f aca="false">G52/D52</f>
        <v>#DIV/0!</v>
      </c>
      <c r="I52" s="63" t="n">
        <f aca="false">G52*'Itens de Contrato'!F52</f>
        <v>0</v>
      </c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customFormat="false" ht="12.8" hidden="false" customHeight="false" outlineLevel="0" collapsed="false">
      <c r="A53" s="37" t="n">
        <f aca="false">'Itens de Contrato'!A53</f>
        <v>0</v>
      </c>
      <c r="B53" s="37" t="n">
        <f aca="false">'Itens de Contrato'!B53</f>
        <v>0</v>
      </c>
      <c r="C53" s="37" t="e">
        <f aca="false">VLOOKUP(B53,'Itens de Contrato'!B$5:G$151,2,0)</f>
        <v>#N/A</v>
      </c>
      <c r="D53" s="52"/>
      <c r="E53" s="63" t="n">
        <f aca="false">D53*'Itens de Contrato'!F53</f>
        <v>0</v>
      </c>
      <c r="F53" s="62" t="n">
        <f aca="false">'Medição 02'!F53-'Medição 02'!G53</f>
        <v>0</v>
      </c>
      <c r="G53" s="52"/>
      <c r="H53" s="64" t="e">
        <f aca="false">G53/D53</f>
        <v>#DIV/0!</v>
      </c>
      <c r="I53" s="63" t="n">
        <f aca="false">G53*'Itens de Contrato'!F53</f>
        <v>0</v>
      </c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customFormat="false" ht="12.8" hidden="false" customHeight="false" outlineLevel="0" collapsed="false">
      <c r="A54" s="37" t="n">
        <f aca="false">'Itens de Contrato'!A54</f>
        <v>0</v>
      </c>
      <c r="B54" s="37" t="n">
        <f aca="false">'Itens de Contrato'!B54</f>
        <v>0</v>
      </c>
      <c r="C54" s="37" t="e">
        <f aca="false">VLOOKUP(B54,'Itens de Contrato'!B$5:G$151,2,0)</f>
        <v>#N/A</v>
      </c>
      <c r="D54" s="52"/>
      <c r="E54" s="63" t="n">
        <f aca="false">D54*'Itens de Contrato'!F54</f>
        <v>0</v>
      </c>
      <c r="F54" s="62" t="n">
        <f aca="false">'Medição 02'!F54-'Medição 02'!G54</f>
        <v>0</v>
      </c>
      <c r="G54" s="52"/>
      <c r="H54" s="64" t="e">
        <f aca="false">G54/D54</f>
        <v>#DIV/0!</v>
      </c>
      <c r="I54" s="63" t="n">
        <f aca="false">G54*'Itens de Contrato'!F54</f>
        <v>0</v>
      </c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customFormat="false" ht="12.8" hidden="false" customHeight="false" outlineLevel="0" collapsed="false">
      <c r="A55" s="37" t="n">
        <f aca="false">'Itens de Contrato'!A55</f>
        <v>0</v>
      </c>
      <c r="B55" s="37" t="n">
        <f aca="false">'Itens de Contrato'!B55</f>
        <v>0</v>
      </c>
      <c r="C55" s="37" t="e">
        <f aca="false">VLOOKUP(B55,'Itens de Contrato'!B$5:G$151,2,0)</f>
        <v>#N/A</v>
      </c>
      <c r="D55" s="52"/>
      <c r="E55" s="63" t="n">
        <f aca="false">D55*'Itens de Contrato'!F55</f>
        <v>0</v>
      </c>
      <c r="F55" s="62" t="n">
        <f aca="false">'Medição 02'!F55-'Medição 02'!G55</f>
        <v>0</v>
      </c>
      <c r="G55" s="52"/>
      <c r="H55" s="64" t="e">
        <f aca="false">G55/D55</f>
        <v>#DIV/0!</v>
      </c>
      <c r="I55" s="63" t="n">
        <f aca="false">G55*'Itens de Contrato'!F55</f>
        <v>0</v>
      </c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customFormat="false" ht="12.8" hidden="false" customHeight="false" outlineLevel="0" collapsed="false">
      <c r="A56" s="37" t="n">
        <f aca="false">'Itens de Contrato'!A56</f>
        <v>0</v>
      </c>
      <c r="B56" s="37" t="n">
        <f aca="false">'Itens de Contrato'!B56</f>
        <v>0</v>
      </c>
      <c r="C56" s="37" t="e">
        <f aca="false">VLOOKUP(B56,'Itens de Contrato'!B$5:G$151,2,0)</f>
        <v>#N/A</v>
      </c>
      <c r="D56" s="52"/>
      <c r="E56" s="63" t="n">
        <f aca="false">D56*'Itens de Contrato'!F56</f>
        <v>0</v>
      </c>
      <c r="F56" s="62" t="n">
        <f aca="false">'Medição 02'!F56-'Medição 02'!G56</f>
        <v>0</v>
      </c>
      <c r="G56" s="52"/>
      <c r="H56" s="64" t="e">
        <f aca="false">G56/D56</f>
        <v>#DIV/0!</v>
      </c>
      <c r="I56" s="63" t="n">
        <f aca="false">G56*'Itens de Contrato'!F56</f>
        <v>0</v>
      </c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customFormat="false" ht="12.8" hidden="false" customHeight="false" outlineLevel="0" collapsed="false">
      <c r="A57" s="37" t="n">
        <f aca="false">'Itens de Contrato'!A57</f>
        <v>0</v>
      </c>
      <c r="B57" s="37" t="n">
        <f aca="false">'Itens de Contrato'!B57</f>
        <v>0</v>
      </c>
      <c r="C57" s="37" t="e">
        <f aca="false">VLOOKUP(B57,'Itens de Contrato'!B$5:G$151,2,0)</f>
        <v>#N/A</v>
      </c>
      <c r="D57" s="52"/>
      <c r="E57" s="63" t="n">
        <f aca="false">D57*'Itens de Contrato'!F57</f>
        <v>0</v>
      </c>
      <c r="F57" s="62" t="n">
        <f aca="false">'Medição 02'!F57-'Medição 02'!G57</f>
        <v>0</v>
      </c>
      <c r="G57" s="52"/>
      <c r="H57" s="64" t="e">
        <f aca="false">G57/D57</f>
        <v>#DIV/0!</v>
      </c>
      <c r="I57" s="63" t="n">
        <f aca="false">G57*'Itens de Contrato'!F57</f>
        <v>0</v>
      </c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customFormat="false" ht="12.8" hidden="false" customHeight="false" outlineLevel="0" collapsed="false">
      <c r="A58" s="37" t="n">
        <f aca="false">'Itens de Contrato'!A58</f>
        <v>0</v>
      </c>
      <c r="B58" s="37" t="n">
        <f aca="false">'Itens de Contrato'!B58</f>
        <v>0</v>
      </c>
      <c r="C58" s="37" t="e">
        <f aca="false">VLOOKUP(B58,'Itens de Contrato'!B$5:G$151,2,0)</f>
        <v>#N/A</v>
      </c>
      <c r="D58" s="52"/>
      <c r="E58" s="63" t="n">
        <f aca="false">D58*'Itens de Contrato'!F58</f>
        <v>0</v>
      </c>
      <c r="F58" s="62" t="n">
        <f aca="false">'Medição 02'!F58-'Medição 02'!G58</f>
        <v>0</v>
      </c>
      <c r="G58" s="52"/>
      <c r="H58" s="64" t="e">
        <f aca="false">G58/D58</f>
        <v>#DIV/0!</v>
      </c>
      <c r="I58" s="63" t="n">
        <f aca="false">G58*'Itens de Contrato'!F58</f>
        <v>0</v>
      </c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customFormat="false" ht="12.8" hidden="false" customHeight="false" outlineLevel="0" collapsed="false">
      <c r="A59" s="37" t="n">
        <f aca="false">'Itens de Contrato'!A59</f>
        <v>0</v>
      </c>
      <c r="B59" s="37" t="n">
        <f aca="false">'Itens de Contrato'!B59</f>
        <v>0</v>
      </c>
      <c r="C59" s="37" t="e">
        <f aca="false">VLOOKUP(B59,'Itens de Contrato'!B$5:G$151,2,0)</f>
        <v>#N/A</v>
      </c>
      <c r="D59" s="52"/>
      <c r="E59" s="63" t="n">
        <f aca="false">D59*'Itens de Contrato'!F59</f>
        <v>0</v>
      </c>
      <c r="F59" s="62" t="n">
        <f aca="false">'Medição 02'!F59-'Medição 02'!G59</f>
        <v>0</v>
      </c>
      <c r="G59" s="52"/>
      <c r="H59" s="64" t="e">
        <f aca="false">G59/D59</f>
        <v>#DIV/0!</v>
      </c>
      <c r="I59" s="63" t="n">
        <f aca="false">G59*'Itens de Contrato'!F59</f>
        <v>0</v>
      </c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</row>
    <row r="60" customFormat="false" ht="12.8" hidden="false" customHeight="false" outlineLevel="0" collapsed="false">
      <c r="A60" s="37" t="n">
        <f aca="false">'Itens de Contrato'!A60</f>
        <v>0</v>
      </c>
      <c r="B60" s="37" t="n">
        <f aca="false">'Itens de Contrato'!B60</f>
        <v>0</v>
      </c>
      <c r="C60" s="37" t="e">
        <f aca="false">VLOOKUP(B60,'Itens de Contrato'!B$5:G$151,2,0)</f>
        <v>#N/A</v>
      </c>
      <c r="D60" s="52"/>
      <c r="E60" s="63" t="n">
        <f aca="false">D60*'Itens de Contrato'!F60</f>
        <v>0</v>
      </c>
      <c r="F60" s="62" t="n">
        <f aca="false">'Medição 02'!F60-'Medição 02'!G60</f>
        <v>0</v>
      </c>
      <c r="G60" s="52"/>
      <c r="H60" s="64" t="e">
        <f aca="false">G60/D60</f>
        <v>#DIV/0!</v>
      </c>
      <c r="I60" s="63" t="n">
        <f aca="false">G60*'Itens de Contrato'!F60</f>
        <v>0</v>
      </c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customFormat="false" ht="12.8" hidden="false" customHeight="false" outlineLevel="0" collapsed="false">
      <c r="A61" s="37" t="n">
        <f aca="false">'Itens de Contrato'!A61</f>
        <v>0</v>
      </c>
      <c r="B61" s="37" t="n">
        <f aca="false">'Itens de Contrato'!B61</f>
        <v>0</v>
      </c>
      <c r="C61" s="37" t="e">
        <f aca="false">VLOOKUP(B61,'Itens de Contrato'!B$5:G$151,2,0)</f>
        <v>#N/A</v>
      </c>
      <c r="D61" s="52"/>
      <c r="E61" s="63" t="n">
        <f aca="false">D61*'Itens de Contrato'!F61</f>
        <v>0</v>
      </c>
      <c r="F61" s="62" t="n">
        <f aca="false">'Medição 02'!F61-'Medição 02'!G61</f>
        <v>0</v>
      </c>
      <c r="G61" s="52"/>
      <c r="H61" s="64" t="e">
        <f aca="false">G61/D61</f>
        <v>#DIV/0!</v>
      </c>
      <c r="I61" s="63" t="n">
        <f aca="false">G61*'Itens de Contrato'!F61</f>
        <v>0</v>
      </c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customFormat="false" ht="12.8" hidden="false" customHeight="false" outlineLevel="0" collapsed="false">
      <c r="A62" s="37" t="n">
        <f aca="false">'Itens de Contrato'!A62</f>
        <v>0</v>
      </c>
      <c r="B62" s="37" t="n">
        <f aca="false">'Itens de Contrato'!B62</f>
        <v>0</v>
      </c>
      <c r="C62" s="37" t="e">
        <f aca="false">VLOOKUP(B62,'Itens de Contrato'!B$5:G$151,2,0)</f>
        <v>#N/A</v>
      </c>
      <c r="D62" s="52"/>
      <c r="E62" s="63" t="n">
        <f aca="false">D62*'Itens de Contrato'!F62</f>
        <v>0</v>
      </c>
      <c r="F62" s="62" t="n">
        <f aca="false">'Medição 02'!F62-'Medição 02'!G62</f>
        <v>0</v>
      </c>
      <c r="G62" s="52"/>
      <c r="H62" s="64" t="e">
        <f aca="false">G62/D62</f>
        <v>#DIV/0!</v>
      </c>
      <c r="I62" s="63" t="n">
        <f aca="false">G62*'Itens de Contrato'!F62</f>
        <v>0</v>
      </c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customFormat="false" ht="12.8" hidden="false" customHeight="false" outlineLevel="0" collapsed="false">
      <c r="A63" s="37" t="n">
        <f aca="false">'Itens de Contrato'!A63</f>
        <v>0</v>
      </c>
      <c r="B63" s="37" t="n">
        <f aca="false">'Itens de Contrato'!B63</f>
        <v>0</v>
      </c>
      <c r="C63" s="37" t="e">
        <f aca="false">VLOOKUP(B63,'Itens de Contrato'!B$5:G$151,2,0)</f>
        <v>#N/A</v>
      </c>
      <c r="D63" s="52"/>
      <c r="E63" s="63" t="n">
        <f aca="false">D63*'Itens de Contrato'!F63</f>
        <v>0</v>
      </c>
      <c r="F63" s="62" t="n">
        <f aca="false">'Medição 02'!F63-'Medição 02'!G63</f>
        <v>0</v>
      </c>
      <c r="G63" s="52"/>
      <c r="H63" s="64" t="e">
        <f aca="false">G63/D63</f>
        <v>#DIV/0!</v>
      </c>
      <c r="I63" s="63" t="n">
        <f aca="false">G63*'Itens de Contrato'!F63</f>
        <v>0</v>
      </c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customFormat="false" ht="12.8" hidden="false" customHeight="false" outlineLevel="0" collapsed="false">
      <c r="A64" s="37" t="n">
        <f aca="false">'Itens de Contrato'!A64</f>
        <v>0</v>
      </c>
      <c r="B64" s="37" t="n">
        <f aca="false">'Itens de Contrato'!B64</f>
        <v>0</v>
      </c>
      <c r="C64" s="37" t="e">
        <f aca="false">VLOOKUP(B64,'Itens de Contrato'!B$5:G$151,2,0)</f>
        <v>#N/A</v>
      </c>
      <c r="D64" s="52"/>
      <c r="E64" s="63" t="n">
        <f aca="false">D64*'Itens de Contrato'!F64</f>
        <v>0</v>
      </c>
      <c r="F64" s="62" t="n">
        <f aca="false">'Medição 02'!F64-'Medição 02'!G64</f>
        <v>0</v>
      </c>
      <c r="G64" s="52"/>
      <c r="H64" s="64" t="e">
        <f aca="false">G64/D64</f>
        <v>#DIV/0!</v>
      </c>
      <c r="I64" s="63" t="n">
        <f aca="false">G64*'Itens de Contrato'!F64</f>
        <v>0</v>
      </c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customFormat="false" ht="12.8" hidden="false" customHeight="false" outlineLevel="0" collapsed="false">
      <c r="A65" s="37" t="n">
        <f aca="false">'Itens de Contrato'!A65</f>
        <v>0</v>
      </c>
      <c r="B65" s="37" t="n">
        <f aca="false">'Itens de Contrato'!B65</f>
        <v>0</v>
      </c>
      <c r="C65" s="37" t="e">
        <f aca="false">VLOOKUP(B65,'Itens de Contrato'!B$5:G$151,2,0)</f>
        <v>#N/A</v>
      </c>
      <c r="D65" s="52"/>
      <c r="E65" s="63" t="n">
        <f aca="false">D65*'Itens de Contrato'!F65</f>
        <v>0</v>
      </c>
      <c r="F65" s="62" t="n">
        <f aca="false">'Medição 02'!F65-'Medição 02'!G65</f>
        <v>0</v>
      </c>
      <c r="G65" s="52"/>
      <c r="H65" s="64" t="e">
        <f aca="false">G65/D65</f>
        <v>#DIV/0!</v>
      </c>
      <c r="I65" s="63" t="n">
        <f aca="false">G65*'Itens de Contrato'!F65</f>
        <v>0</v>
      </c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customFormat="false" ht="12.8" hidden="false" customHeight="false" outlineLevel="0" collapsed="false">
      <c r="A66" s="37" t="n">
        <f aca="false">'Itens de Contrato'!A66</f>
        <v>0</v>
      </c>
      <c r="B66" s="37" t="n">
        <f aca="false">'Itens de Contrato'!B66</f>
        <v>0</v>
      </c>
      <c r="C66" s="37" t="e">
        <f aca="false">VLOOKUP(B66,'Itens de Contrato'!B$5:G$151,2,0)</f>
        <v>#N/A</v>
      </c>
      <c r="D66" s="52"/>
      <c r="E66" s="63" t="n">
        <f aca="false">D66*'Itens de Contrato'!F66</f>
        <v>0</v>
      </c>
      <c r="F66" s="62" t="n">
        <f aca="false">'Medição 02'!F66-'Medição 02'!G66</f>
        <v>0</v>
      </c>
      <c r="G66" s="52"/>
      <c r="H66" s="64" t="e">
        <f aca="false">G66/D66</f>
        <v>#DIV/0!</v>
      </c>
      <c r="I66" s="63" t="n">
        <f aca="false">G66*'Itens de Contrato'!F66</f>
        <v>0</v>
      </c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customFormat="false" ht="12.8" hidden="false" customHeight="false" outlineLevel="0" collapsed="false">
      <c r="A67" s="37" t="n">
        <f aca="false">'Itens de Contrato'!A67</f>
        <v>0</v>
      </c>
      <c r="B67" s="37" t="n">
        <f aca="false">'Itens de Contrato'!B67</f>
        <v>0</v>
      </c>
      <c r="C67" s="37" t="e">
        <f aca="false">VLOOKUP(B67,'Itens de Contrato'!B$5:G$151,2,0)</f>
        <v>#N/A</v>
      </c>
      <c r="D67" s="52"/>
      <c r="E67" s="63" t="n">
        <f aca="false">D67*'Itens de Contrato'!F67</f>
        <v>0</v>
      </c>
      <c r="F67" s="62" t="n">
        <f aca="false">'Medição 02'!F67-'Medição 02'!G67</f>
        <v>0</v>
      </c>
      <c r="G67" s="52"/>
      <c r="H67" s="64" t="e">
        <f aca="false">G67/D67</f>
        <v>#DIV/0!</v>
      </c>
      <c r="I67" s="63" t="n">
        <f aca="false">G67*'Itens de Contrato'!F67</f>
        <v>0</v>
      </c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customFormat="false" ht="12.8" hidden="false" customHeight="false" outlineLevel="0" collapsed="false">
      <c r="A68" s="37" t="n">
        <f aca="false">'Itens de Contrato'!A68</f>
        <v>0</v>
      </c>
      <c r="B68" s="37" t="n">
        <f aca="false">'Itens de Contrato'!B68</f>
        <v>0</v>
      </c>
      <c r="C68" s="37" t="e">
        <f aca="false">VLOOKUP(B68,'Itens de Contrato'!B$5:G$151,2,0)</f>
        <v>#N/A</v>
      </c>
      <c r="D68" s="52"/>
      <c r="E68" s="63" t="n">
        <f aca="false">D68*'Itens de Contrato'!F68</f>
        <v>0</v>
      </c>
      <c r="F68" s="62" t="n">
        <f aca="false">'Medição 02'!F68-'Medição 02'!G68</f>
        <v>0</v>
      </c>
      <c r="G68" s="52"/>
      <c r="H68" s="64" t="e">
        <f aca="false">G68/D68</f>
        <v>#DIV/0!</v>
      </c>
      <c r="I68" s="63" t="n">
        <f aca="false">G68*'Itens de Contrato'!F68</f>
        <v>0</v>
      </c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</row>
    <row r="69" customFormat="false" ht="12.8" hidden="false" customHeight="false" outlineLevel="0" collapsed="false">
      <c r="A69" s="37" t="n">
        <f aca="false">'Itens de Contrato'!A69</f>
        <v>0</v>
      </c>
      <c r="B69" s="37" t="n">
        <f aca="false">'Itens de Contrato'!B69</f>
        <v>0</v>
      </c>
      <c r="C69" s="37" t="e">
        <f aca="false">VLOOKUP(B69,'Itens de Contrato'!B$5:G$151,2,0)</f>
        <v>#N/A</v>
      </c>
      <c r="D69" s="52"/>
      <c r="E69" s="63" t="n">
        <f aca="false">D69*'Itens de Contrato'!F69</f>
        <v>0</v>
      </c>
      <c r="F69" s="62" t="n">
        <f aca="false">'Medição 02'!F69-'Medição 02'!G69</f>
        <v>0</v>
      </c>
      <c r="G69" s="52"/>
      <c r="H69" s="64" t="e">
        <f aca="false">G69/D69</f>
        <v>#DIV/0!</v>
      </c>
      <c r="I69" s="63" t="n">
        <f aca="false">G69*'Itens de Contrato'!F69</f>
        <v>0</v>
      </c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</row>
    <row r="70" customFormat="false" ht="12.8" hidden="false" customHeight="false" outlineLevel="0" collapsed="false">
      <c r="A70" s="37" t="n">
        <f aca="false">'Itens de Contrato'!A70</f>
        <v>0</v>
      </c>
      <c r="B70" s="37" t="n">
        <f aca="false">'Itens de Contrato'!B70</f>
        <v>0</v>
      </c>
      <c r="C70" s="37" t="e">
        <f aca="false">VLOOKUP(B70,'Itens de Contrato'!B$5:G$151,2,0)</f>
        <v>#N/A</v>
      </c>
      <c r="D70" s="52"/>
      <c r="E70" s="63" t="n">
        <f aca="false">D70*'Itens de Contrato'!F70</f>
        <v>0</v>
      </c>
      <c r="F70" s="62" t="n">
        <f aca="false">'Medição 02'!F70-'Medição 02'!G70</f>
        <v>0</v>
      </c>
      <c r="G70" s="52"/>
      <c r="H70" s="64" t="e">
        <f aca="false">G70/D70</f>
        <v>#DIV/0!</v>
      </c>
      <c r="I70" s="63" t="n">
        <f aca="false">G70*'Itens de Contrato'!F70</f>
        <v>0</v>
      </c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</row>
    <row r="71" customFormat="false" ht="12.8" hidden="false" customHeight="false" outlineLevel="0" collapsed="false">
      <c r="A71" s="37" t="n">
        <f aca="false">'Itens de Contrato'!A71</f>
        <v>0</v>
      </c>
      <c r="B71" s="37" t="n">
        <f aca="false">'Itens de Contrato'!B71</f>
        <v>0</v>
      </c>
      <c r="C71" s="37" t="e">
        <f aca="false">VLOOKUP(B71,'Itens de Contrato'!B$5:G$151,2,0)</f>
        <v>#N/A</v>
      </c>
      <c r="D71" s="52"/>
      <c r="E71" s="63" t="n">
        <f aca="false">D71*'Itens de Contrato'!F71</f>
        <v>0</v>
      </c>
      <c r="F71" s="62" t="n">
        <f aca="false">'Medição 02'!F71-'Medição 02'!G71</f>
        <v>0</v>
      </c>
      <c r="G71" s="52"/>
      <c r="H71" s="64" t="e">
        <f aca="false">G71/D71</f>
        <v>#DIV/0!</v>
      </c>
      <c r="I71" s="63" t="n">
        <f aca="false">G71*'Itens de Contrato'!F71</f>
        <v>0</v>
      </c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</row>
    <row r="72" customFormat="false" ht="12.8" hidden="false" customHeight="false" outlineLevel="0" collapsed="false">
      <c r="A72" s="37" t="n">
        <f aca="false">'Itens de Contrato'!A72</f>
        <v>0</v>
      </c>
      <c r="B72" s="37" t="n">
        <f aca="false">'Itens de Contrato'!B72</f>
        <v>0</v>
      </c>
      <c r="C72" s="37" t="e">
        <f aca="false">VLOOKUP(B72,'Itens de Contrato'!B$5:G$151,2,0)</f>
        <v>#N/A</v>
      </c>
      <c r="D72" s="52"/>
      <c r="E72" s="63" t="n">
        <f aca="false">D72*'Itens de Contrato'!F72</f>
        <v>0</v>
      </c>
      <c r="F72" s="62" t="n">
        <f aca="false">'Medição 02'!F72-'Medição 02'!G72</f>
        <v>0</v>
      </c>
      <c r="G72" s="52"/>
      <c r="H72" s="64" t="e">
        <f aca="false">G72/D72</f>
        <v>#DIV/0!</v>
      </c>
      <c r="I72" s="63" t="n">
        <f aca="false">G72*'Itens de Contrato'!F72</f>
        <v>0</v>
      </c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</row>
    <row r="73" customFormat="false" ht="12.8" hidden="false" customHeight="false" outlineLevel="0" collapsed="false">
      <c r="A73" s="37" t="n">
        <f aca="false">'Itens de Contrato'!A73</f>
        <v>0</v>
      </c>
      <c r="B73" s="37" t="n">
        <f aca="false">'Itens de Contrato'!B73</f>
        <v>0</v>
      </c>
      <c r="C73" s="37" t="e">
        <f aca="false">VLOOKUP(B73,'Itens de Contrato'!B$5:G$151,2,0)</f>
        <v>#N/A</v>
      </c>
      <c r="D73" s="52"/>
      <c r="E73" s="63" t="n">
        <f aca="false">D73*'Itens de Contrato'!F73</f>
        <v>0</v>
      </c>
      <c r="F73" s="62" t="n">
        <f aca="false">'Medição 02'!F73-'Medição 02'!G73</f>
        <v>0</v>
      </c>
      <c r="G73" s="52"/>
      <c r="H73" s="64" t="e">
        <f aca="false">G73/D73</f>
        <v>#DIV/0!</v>
      </c>
      <c r="I73" s="63" t="n">
        <f aca="false">G73*'Itens de Contrato'!F73</f>
        <v>0</v>
      </c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</row>
    <row r="74" customFormat="false" ht="12.8" hidden="false" customHeight="false" outlineLevel="0" collapsed="false">
      <c r="A74" s="37" t="n">
        <f aca="false">'Itens de Contrato'!A74</f>
        <v>0</v>
      </c>
      <c r="B74" s="37" t="n">
        <f aca="false">'Itens de Contrato'!B74</f>
        <v>0</v>
      </c>
      <c r="C74" s="37" t="e">
        <f aca="false">VLOOKUP(B74,'Itens de Contrato'!B$5:G$151,2,0)</f>
        <v>#N/A</v>
      </c>
      <c r="D74" s="52"/>
      <c r="E74" s="63" t="n">
        <f aca="false">D74*'Itens de Contrato'!F74</f>
        <v>0</v>
      </c>
      <c r="F74" s="62" t="n">
        <f aca="false">'Medição 02'!F74-'Medição 02'!G74</f>
        <v>0</v>
      </c>
      <c r="G74" s="52"/>
      <c r="H74" s="64" t="e">
        <f aca="false">G74/D74</f>
        <v>#DIV/0!</v>
      </c>
      <c r="I74" s="63" t="n">
        <f aca="false">G74*'Itens de Contrato'!F74</f>
        <v>0</v>
      </c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</row>
    <row r="75" customFormat="false" ht="12.8" hidden="false" customHeight="false" outlineLevel="0" collapsed="false">
      <c r="A75" s="37" t="n">
        <f aca="false">'Itens de Contrato'!A75</f>
        <v>0</v>
      </c>
      <c r="B75" s="37" t="n">
        <f aca="false">'Itens de Contrato'!B75</f>
        <v>0</v>
      </c>
      <c r="C75" s="37" t="e">
        <f aca="false">VLOOKUP(B75,'Itens de Contrato'!B$5:G$151,2,0)</f>
        <v>#N/A</v>
      </c>
      <c r="D75" s="52"/>
      <c r="E75" s="63" t="n">
        <f aca="false">D75*'Itens de Contrato'!F75</f>
        <v>0</v>
      </c>
      <c r="F75" s="62" t="n">
        <f aca="false">'Medição 02'!F75-'Medição 02'!G75</f>
        <v>0</v>
      </c>
      <c r="G75" s="52"/>
      <c r="H75" s="64" t="e">
        <f aca="false">G75/D75</f>
        <v>#DIV/0!</v>
      </c>
      <c r="I75" s="63" t="n">
        <f aca="false">G75*'Itens de Contrato'!F75</f>
        <v>0</v>
      </c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</row>
    <row r="76" customFormat="false" ht="12.8" hidden="false" customHeight="false" outlineLevel="0" collapsed="false">
      <c r="A76" s="37" t="n">
        <f aca="false">'Itens de Contrato'!A76</f>
        <v>0</v>
      </c>
      <c r="B76" s="37" t="n">
        <f aca="false">'Itens de Contrato'!B76</f>
        <v>0</v>
      </c>
      <c r="C76" s="37" t="e">
        <f aca="false">VLOOKUP(B76,'Itens de Contrato'!B$5:G$151,2,0)</f>
        <v>#N/A</v>
      </c>
      <c r="D76" s="52"/>
      <c r="E76" s="63" t="n">
        <f aca="false">D76*'Itens de Contrato'!F76</f>
        <v>0</v>
      </c>
      <c r="F76" s="62" t="n">
        <f aca="false">'Medição 02'!F76-'Medição 02'!G76</f>
        <v>0</v>
      </c>
      <c r="G76" s="52"/>
      <c r="H76" s="64" t="e">
        <f aca="false">G76/D76</f>
        <v>#DIV/0!</v>
      </c>
      <c r="I76" s="63" t="n">
        <f aca="false">G76*'Itens de Contrato'!F76</f>
        <v>0</v>
      </c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</row>
    <row r="77" customFormat="false" ht="12.8" hidden="false" customHeight="false" outlineLevel="0" collapsed="false">
      <c r="A77" s="37" t="n">
        <f aca="false">'Itens de Contrato'!A77</f>
        <v>0</v>
      </c>
      <c r="B77" s="37" t="n">
        <f aca="false">'Itens de Contrato'!B77</f>
        <v>0</v>
      </c>
      <c r="C77" s="37" t="e">
        <f aca="false">VLOOKUP(B77,'Itens de Contrato'!B$5:G$151,2,0)</f>
        <v>#N/A</v>
      </c>
      <c r="D77" s="52"/>
      <c r="E77" s="63" t="n">
        <f aca="false">D77*'Itens de Contrato'!F77</f>
        <v>0</v>
      </c>
      <c r="F77" s="62" t="n">
        <f aca="false">'Medição 02'!F77-'Medição 02'!G77</f>
        <v>0</v>
      </c>
      <c r="G77" s="52"/>
      <c r="H77" s="64" t="e">
        <f aca="false">G77/D77</f>
        <v>#DIV/0!</v>
      </c>
      <c r="I77" s="63" t="n">
        <f aca="false">G77*'Itens de Contrato'!F77</f>
        <v>0</v>
      </c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</row>
    <row r="78" customFormat="false" ht="12.8" hidden="false" customHeight="false" outlineLevel="0" collapsed="false">
      <c r="A78" s="37" t="n">
        <f aca="false">'Itens de Contrato'!A78</f>
        <v>0</v>
      </c>
      <c r="B78" s="37" t="n">
        <f aca="false">'Itens de Contrato'!B78</f>
        <v>0</v>
      </c>
      <c r="C78" s="37" t="e">
        <f aca="false">VLOOKUP(B78,'Itens de Contrato'!B$5:G$151,2,0)</f>
        <v>#N/A</v>
      </c>
      <c r="D78" s="52"/>
      <c r="E78" s="63" t="n">
        <f aca="false">D78*'Itens de Contrato'!F78</f>
        <v>0</v>
      </c>
      <c r="F78" s="62" t="n">
        <f aca="false">'Medição 02'!F78-'Medição 02'!G78</f>
        <v>0</v>
      </c>
      <c r="G78" s="52"/>
      <c r="H78" s="64" t="e">
        <f aca="false">G78/D78</f>
        <v>#DIV/0!</v>
      </c>
      <c r="I78" s="63" t="n">
        <f aca="false">G78*'Itens de Contrato'!F78</f>
        <v>0</v>
      </c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</row>
    <row r="79" customFormat="false" ht="12.8" hidden="false" customHeight="false" outlineLevel="0" collapsed="false">
      <c r="A79" s="37" t="n">
        <f aca="false">'Itens de Contrato'!A79</f>
        <v>0</v>
      </c>
      <c r="B79" s="37" t="n">
        <f aca="false">'Itens de Contrato'!B79</f>
        <v>0</v>
      </c>
      <c r="C79" s="37" t="e">
        <f aca="false">VLOOKUP(B79,'Itens de Contrato'!B$5:G$151,2,0)</f>
        <v>#N/A</v>
      </c>
      <c r="D79" s="52"/>
      <c r="E79" s="63" t="n">
        <f aca="false">D79*'Itens de Contrato'!F79</f>
        <v>0</v>
      </c>
      <c r="F79" s="62" t="n">
        <f aca="false">'Medição 02'!F79-'Medição 02'!G79</f>
        <v>0</v>
      </c>
      <c r="G79" s="52"/>
      <c r="H79" s="64" t="e">
        <f aca="false">G79/D79</f>
        <v>#DIV/0!</v>
      </c>
      <c r="I79" s="63" t="n">
        <f aca="false">G79*'Itens de Contrato'!F79</f>
        <v>0</v>
      </c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</row>
    <row r="80" customFormat="false" ht="12.8" hidden="false" customHeight="false" outlineLevel="0" collapsed="false">
      <c r="A80" s="37" t="n">
        <f aca="false">'Itens de Contrato'!A80</f>
        <v>0</v>
      </c>
      <c r="B80" s="37" t="n">
        <f aca="false">'Itens de Contrato'!B80</f>
        <v>0</v>
      </c>
      <c r="C80" s="37" t="e">
        <f aca="false">VLOOKUP(B80,'Itens de Contrato'!B$5:G$151,2,0)</f>
        <v>#N/A</v>
      </c>
      <c r="D80" s="52"/>
      <c r="E80" s="63" t="n">
        <f aca="false">D80*'Itens de Contrato'!F80</f>
        <v>0</v>
      </c>
      <c r="F80" s="62" t="n">
        <f aca="false">'Medição 02'!F80-'Medição 02'!G80</f>
        <v>0</v>
      </c>
      <c r="G80" s="52"/>
      <c r="H80" s="64" t="e">
        <f aca="false">G80/D80</f>
        <v>#DIV/0!</v>
      </c>
      <c r="I80" s="63" t="n">
        <f aca="false">G80*'Itens de Contrato'!F80</f>
        <v>0</v>
      </c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</row>
    <row r="81" customFormat="false" ht="12.8" hidden="false" customHeight="false" outlineLevel="0" collapsed="false">
      <c r="A81" s="37" t="n">
        <f aca="false">'Itens de Contrato'!A81</f>
        <v>0</v>
      </c>
      <c r="B81" s="37" t="n">
        <f aca="false">'Itens de Contrato'!B81</f>
        <v>0</v>
      </c>
      <c r="C81" s="37" t="e">
        <f aca="false">VLOOKUP(B81,'Itens de Contrato'!B$5:G$151,2,0)</f>
        <v>#N/A</v>
      </c>
      <c r="D81" s="52"/>
      <c r="E81" s="63" t="n">
        <f aca="false">D81*'Itens de Contrato'!F81</f>
        <v>0</v>
      </c>
      <c r="F81" s="62" t="n">
        <f aca="false">'Medição 02'!F81-'Medição 02'!G81</f>
        <v>0</v>
      </c>
      <c r="G81" s="52"/>
      <c r="H81" s="64" t="e">
        <f aca="false">G81/D81</f>
        <v>#DIV/0!</v>
      </c>
      <c r="I81" s="63" t="n">
        <f aca="false">G81*'Itens de Contrato'!F81</f>
        <v>0</v>
      </c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</row>
    <row r="82" customFormat="false" ht="12.8" hidden="false" customHeight="false" outlineLevel="0" collapsed="false">
      <c r="A82" s="37" t="n">
        <f aca="false">'Itens de Contrato'!A82</f>
        <v>0</v>
      </c>
      <c r="B82" s="37" t="n">
        <f aca="false">'Itens de Contrato'!B82</f>
        <v>0</v>
      </c>
      <c r="C82" s="37" t="e">
        <f aca="false">VLOOKUP(B82,'Itens de Contrato'!B$5:G$151,2,0)</f>
        <v>#N/A</v>
      </c>
      <c r="D82" s="52"/>
      <c r="E82" s="63" t="n">
        <f aca="false">D82*'Itens de Contrato'!F82</f>
        <v>0</v>
      </c>
      <c r="F82" s="62" t="n">
        <f aca="false">'Medição 02'!F82-'Medição 02'!G82</f>
        <v>0</v>
      </c>
      <c r="G82" s="52"/>
      <c r="H82" s="64" t="e">
        <f aca="false">G82/D82</f>
        <v>#DIV/0!</v>
      </c>
      <c r="I82" s="63" t="n">
        <f aca="false">G82*'Itens de Contrato'!F82</f>
        <v>0</v>
      </c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</row>
    <row r="83" customFormat="false" ht="12.8" hidden="false" customHeight="false" outlineLevel="0" collapsed="false">
      <c r="A83" s="37" t="n">
        <f aca="false">'Itens de Contrato'!A83</f>
        <v>0</v>
      </c>
      <c r="B83" s="37" t="n">
        <f aca="false">'Itens de Contrato'!B83</f>
        <v>0</v>
      </c>
      <c r="C83" s="37" t="e">
        <f aca="false">VLOOKUP(B83,'Itens de Contrato'!B$5:G$151,2,0)</f>
        <v>#N/A</v>
      </c>
      <c r="D83" s="52"/>
      <c r="E83" s="63" t="n">
        <f aca="false">D83*'Itens de Contrato'!F83</f>
        <v>0</v>
      </c>
      <c r="F83" s="62" t="n">
        <f aca="false">'Medição 02'!F83-'Medição 02'!G83</f>
        <v>0</v>
      </c>
      <c r="G83" s="52"/>
      <c r="H83" s="64" t="e">
        <f aca="false">G83/D83</f>
        <v>#DIV/0!</v>
      </c>
      <c r="I83" s="63" t="n">
        <f aca="false">G83*'Itens de Contrato'!F83</f>
        <v>0</v>
      </c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</row>
    <row r="84" customFormat="false" ht="12.8" hidden="false" customHeight="false" outlineLevel="0" collapsed="false">
      <c r="A84" s="37" t="n">
        <f aca="false">'Itens de Contrato'!A84</f>
        <v>0</v>
      </c>
      <c r="B84" s="37" t="n">
        <f aca="false">'Itens de Contrato'!B84</f>
        <v>0</v>
      </c>
      <c r="C84" s="37" t="e">
        <f aca="false">VLOOKUP(B84,'Itens de Contrato'!B$5:G$151,2,0)</f>
        <v>#N/A</v>
      </c>
      <c r="D84" s="52"/>
      <c r="E84" s="63" t="n">
        <f aca="false">D84*'Itens de Contrato'!F84</f>
        <v>0</v>
      </c>
      <c r="F84" s="62" t="n">
        <f aca="false">'Medição 02'!F84-'Medição 02'!G84</f>
        <v>0</v>
      </c>
      <c r="G84" s="52"/>
      <c r="H84" s="64" t="e">
        <f aca="false">G84/D84</f>
        <v>#DIV/0!</v>
      </c>
      <c r="I84" s="63" t="n">
        <f aca="false">G84*'Itens de Contrato'!F84</f>
        <v>0</v>
      </c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</row>
    <row r="85" customFormat="false" ht="12.8" hidden="false" customHeight="false" outlineLevel="0" collapsed="false">
      <c r="A85" s="37" t="n">
        <f aca="false">'Itens de Contrato'!A85</f>
        <v>0</v>
      </c>
      <c r="B85" s="37" t="n">
        <f aca="false">'Itens de Contrato'!B85</f>
        <v>0</v>
      </c>
      <c r="C85" s="37" t="e">
        <f aca="false">VLOOKUP(B85,'Itens de Contrato'!B$5:G$151,2,0)</f>
        <v>#N/A</v>
      </c>
      <c r="D85" s="52"/>
      <c r="E85" s="63" t="n">
        <f aca="false">D85*'Itens de Contrato'!F85</f>
        <v>0</v>
      </c>
      <c r="F85" s="62" t="n">
        <f aca="false">'Medição 02'!F85-'Medição 02'!G85</f>
        <v>0</v>
      </c>
      <c r="G85" s="52"/>
      <c r="H85" s="64" t="e">
        <f aca="false">G85/D85</f>
        <v>#DIV/0!</v>
      </c>
      <c r="I85" s="63" t="n">
        <f aca="false">G85*'Itens de Contrato'!F85</f>
        <v>0</v>
      </c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</row>
    <row r="86" customFormat="false" ht="12.8" hidden="false" customHeight="false" outlineLevel="0" collapsed="false">
      <c r="A86" s="37" t="n">
        <f aca="false">'Itens de Contrato'!A86</f>
        <v>0</v>
      </c>
      <c r="B86" s="37" t="n">
        <f aca="false">'Itens de Contrato'!B86</f>
        <v>0</v>
      </c>
      <c r="C86" s="37" t="e">
        <f aca="false">VLOOKUP(B86,'Itens de Contrato'!B$5:G$151,2,0)</f>
        <v>#N/A</v>
      </c>
      <c r="D86" s="52"/>
      <c r="E86" s="63" t="n">
        <f aca="false">D86*'Itens de Contrato'!F86</f>
        <v>0</v>
      </c>
      <c r="F86" s="62" t="n">
        <f aca="false">'Medição 02'!F86-'Medição 02'!G86</f>
        <v>0</v>
      </c>
      <c r="G86" s="52"/>
      <c r="H86" s="64" t="e">
        <f aca="false">G86/D86</f>
        <v>#DIV/0!</v>
      </c>
      <c r="I86" s="63" t="n">
        <f aca="false">G86*'Itens de Contrato'!F86</f>
        <v>0</v>
      </c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</row>
    <row r="87" customFormat="false" ht="12.8" hidden="false" customHeight="false" outlineLevel="0" collapsed="false">
      <c r="A87" s="37" t="n">
        <f aca="false">'Itens de Contrato'!A87</f>
        <v>0</v>
      </c>
      <c r="B87" s="37" t="n">
        <f aca="false">'Itens de Contrato'!B87</f>
        <v>0</v>
      </c>
      <c r="C87" s="37" t="e">
        <f aca="false">VLOOKUP(B87,'Itens de Contrato'!B$5:G$151,2,0)</f>
        <v>#N/A</v>
      </c>
      <c r="D87" s="52"/>
      <c r="E87" s="63" t="n">
        <f aca="false">D87*'Itens de Contrato'!F87</f>
        <v>0</v>
      </c>
      <c r="F87" s="62" t="n">
        <f aca="false">'Medição 02'!F87-'Medição 02'!G87</f>
        <v>0</v>
      </c>
      <c r="G87" s="52"/>
      <c r="H87" s="64" t="e">
        <f aca="false">G87/D87</f>
        <v>#DIV/0!</v>
      </c>
      <c r="I87" s="63" t="n">
        <f aca="false">G87*'Itens de Contrato'!F87</f>
        <v>0</v>
      </c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</row>
    <row r="88" customFormat="false" ht="12.8" hidden="false" customHeight="false" outlineLevel="0" collapsed="false">
      <c r="A88" s="37" t="n">
        <f aca="false">'Itens de Contrato'!A88</f>
        <v>0</v>
      </c>
      <c r="B88" s="37" t="n">
        <f aca="false">'Itens de Contrato'!B88</f>
        <v>0</v>
      </c>
      <c r="C88" s="37" t="e">
        <f aca="false">VLOOKUP(B88,'Itens de Contrato'!B$5:G$151,2,0)</f>
        <v>#N/A</v>
      </c>
      <c r="D88" s="52"/>
      <c r="E88" s="63" t="n">
        <f aca="false">D88*'Itens de Contrato'!F88</f>
        <v>0</v>
      </c>
      <c r="F88" s="62" t="n">
        <f aca="false">'Medição 02'!F88-'Medição 02'!G88</f>
        <v>0</v>
      </c>
      <c r="G88" s="52"/>
      <c r="H88" s="64" t="e">
        <f aca="false">G88/D88</f>
        <v>#DIV/0!</v>
      </c>
      <c r="I88" s="63" t="n">
        <f aca="false">G88*'Itens de Contrato'!F88</f>
        <v>0</v>
      </c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</row>
    <row r="89" customFormat="false" ht="12.8" hidden="false" customHeight="false" outlineLevel="0" collapsed="false">
      <c r="A89" s="37" t="n">
        <f aca="false">'Itens de Contrato'!A89</f>
        <v>0</v>
      </c>
      <c r="B89" s="37" t="n">
        <f aca="false">'Itens de Contrato'!B89</f>
        <v>0</v>
      </c>
      <c r="C89" s="37" t="e">
        <f aca="false">VLOOKUP(B89,'Itens de Contrato'!B$5:G$151,2,0)</f>
        <v>#N/A</v>
      </c>
      <c r="D89" s="52"/>
      <c r="E89" s="63" t="n">
        <f aca="false">D89*'Itens de Contrato'!F89</f>
        <v>0</v>
      </c>
      <c r="F89" s="62" t="n">
        <f aca="false">'Medição 02'!F89-'Medição 02'!G89</f>
        <v>0</v>
      </c>
      <c r="G89" s="52"/>
      <c r="H89" s="64" t="e">
        <f aca="false">G89/D89</f>
        <v>#DIV/0!</v>
      </c>
      <c r="I89" s="63" t="n">
        <f aca="false">G89*'Itens de Contrato'!F89</f>
        <v>0</v>
      </c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</row>
    <row r="90" customFormat="false" ht="12.8" hidden="false" customHeight="false" outlineLevel="0" collapsed="false">
      <c r="A90" s="37" t="n">
        <f aca="false">'Itens de Contrato'!A90</f>
        <v>0</v>
      </c>
      <c r="B90" s="37" t="n">
        <f aca="false">'Itens de Contrato'!B90</f>
        <v>0</v>
      </c>
      <c r="C90" s="37" t="e">
        <f aca="false">VLOOKUP(B90,'Itens de Contrato'!B$5:G$151,2,0)</f>
        <v>#N/A</v>
      </c>
      <c r="D90" s="52"/>
      <c r="E90" s="63" t="n">
        <f aca="false">D90*'Itens de Contrato'!F90</f>
        <v>0</v>
      </c>
      <c r="F90" s="62" t="n">
        <f aca="false">'Medição 02'!F90-'Medição 02'!G90</f>
        <v>0</v>
      </c>
      <c r="G90" s="52"/>
      <c r="H90" s="64" t="e">
        <f aca="false">G90/D90</f>
        <v>#DIV/0!</v>
      </c>
      <c r="I90" s="63" t="n">
        <f aca="false">G90*'Itens de Contrato'!F90</f>
        <v>0</v>
      </c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</row>
    <row r="91" customFormat="false" ht="12.8" hidden="false" customHeight="false" outlineLevel="0" collapsed="false">
      <c r="A91" s="37" t="n">
        <f aca="false">'Itens de Contrato'!A91</f>
        <v>0</v>
      </c>
      <c r="B91" s="37" t="n">
        <f aca="false">'Itens de Contrato'!B91</f>
        <v>0</v>
      </c>
      <c r="C91" s="37" t="e">
        <f aca="false">VLOOKUP(B91,'Itens de Contrato'!B$5:G$151,2,0)</f>
        <v>#N/A</v>
      </c>
      <c r="D91" s="52"/>
      <c r="E91" s="63" t="n">
        <f aca="false">D91*'Itens de Contrato'!F91</f>
        <v>0</v>
      </c>
      <c r="F91" s="62" t="n">
        <f aca="false">'Medição 02'!F91-'Medição 02'!G91</f>
        <v>0</v>
      </c>
      <c r="G91" s="52"/>
      <c r="H91" s="64" t="e">
        <f aca="false">G91/D91</f>
        <v>#DIV/0!</v>
      </c>
      <c r="I91" s="63" t="n">
        <f aca="false">G91*'Itens de Contrato'!F91</f>
        <v>0</v>
      </c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customFormat="false" ht="12.8" hidden="false" customHeight="false" outlineLevel="0" collapsed="false">
      <c r="A92" s="37" t="n">
        <f aca="false">'Itens de Contrato'!A92</f>
        <v>0</v>
      </c>
      <c r="B92" s="37" t="n">
        <f aca="false">'Itens de Contrato'!B92</f>
        <v>0</v>
      </c>
      <c r="C92" s="37" t="e">
        <f aca="false">VLOOKUP(B92,'Itens de Contrato'!B$5:G$151,2,0)</f>
        <v>#N/A</v>
      </c>
      <c r="D92" s="52"/>
      <c r="E92" s="63" t="n">
        <f aca="false">D92*'Itens de Contrato'!F92</f>
        <v>0</v>
      </c>
      <c r="F92" s="62" t="n">
        <f aca="false">'Medição 02'!F92-'Medição 02'!G92</f>
        <v>0</v>
      </c>
      <c r="G92" s="52"/>
      <c r="H92" s="64" t="e">
        <f aca="false">G92/D92</f>
        <v>#DIV/0!</v>
      </c>
      <c r="I92" s="63" t="n">
        <f aca="false">G92*'Itens de Contrato'!F92</f>
        <v>0</v>
      </c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</row>
    <row r="93" customFormat="false" ht="12.8" hidden="false" customHeight="false" outlineLevel="0" collapsed="false">
      <c r="A93" s="37" t="n">
        <f aca="false">'Itens de Contrato'!A93</f>
        <v>0</v>
      </c>
      <c r="B93" s="37" t="n">
        <f aca="false">'Itens de Contrato'!B93</f>
        <v>0</v>
      </c>
      <c r="C93" s="37" t="e">
        <f aca="false">VLOOKUP(B93,'Itens de Contrato'!B$5:G$151,2,0)</f>
        <v>#N/A</v>
      </c>
      <c r="D93" s="52"/>
      <c r="E93" s="63" t="n">
        <f aca="false">D93*'Itens de Contrato'!F93</f>
        <v>0</v>
      </c>
      <c r="F93" s="62" t="n">
        <f aca="false">'Medição 02'!F93-'Medição 02'!G93</f>
        <v>0</v>
      </c>
      <c r="G93" s="52"/>
      <c r="H93" s="64" t="e">
        <f aca="false">G93/D93</f>
        <v>#DIV/0!</v>
      </c>
      <c r="I93" s="63" t="n">
        <f aca="false">G93*'Itens de Contrato'!F93</f>
        <v>0</v>
      </c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</row>
    <row r="94" customFormat="false" ht="12.8" hidden="false" customHeight="false" outlineLevel="0" collapsed="false">
      <c r="A94" s="37" t="n">
        <f aca="false">'Itens de Contrato'!A94</f>
        <v>0</v>
      </c>
      <c r="B94" s="37" t="n">
        <f aca="false">'Itens de Contrato'!B94</f>
        <v>0</v>
      </c>
      <c r="C94" s="37" t="e">
        <f aca="false">VLOOKUP(B94,'Itens de Contrato'!B$5:G$151,2,0)</f>
        <v>#N/A</v>
      </c>
      <c r="D94" s="52"/>
      <c r="E94" s="63" t="n">
        <f aca="false">D94*'Itens de Contrato'!F94</f>
        <v>0</v>
      </c>
      <c r="F94" s="62" t="n">
        <f aca="false">'Medição 02'!F94-'Medição 02'!G94</f>
        <v>0</v>
      </c>
      <c r="G94" s="52"/>
      <c r="H94" s="64" t="e">
        <f aca="false">G94/D94</f>
        <v>#DIV/0!</v>
      </c>
      <c r="I94" s="63" t="n">
        <f aca="false">G94*'Itens de Contrato'!F94</f>
        <v>0</v>
      </c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</row>
    <row r="95" customFormat="false" ht="12.8" hidden="false" customHeight="false" outlineLevel="0" collapsed="false">
      <c r="A95" s="37" t="n">
        <f aca="false">'Itens de Contrato'!A95</f>
        <v>0</v>
      </c>
      <c r="B95" s="37" t="n">
        <f aca="false">'Itens de Contrato'!B95</f>
        <v>0</v>
      </c>
      <c r="C95" s="37" t="e">
        <f aca="false">VLOOKUP(B95,'Itens de Contrato'!B$5:G$151,2,0)</f>
        <v>#N/A</v>
      </c>
      <c r="D95" s="52"/>
      <c r="E95" s="63" t="n">
        <f aca="false">D95*'Itens de Contrato'!F95</f>
        <v>0</v>
      </c>
      <c r="F95" s="62" t="n">
        <f aca="false">'Medição 02'!F95-'Medição 02'!G95</f>
        <v>0</v>
      </c>
      <c r="G95" s="52"/>
      <c r="H95" s="64" t="e">
        <f aca="false">G95/D95</f>
        <v>#DIV/0!</v>
      </c>
      <c r="I95" s="63" t="n">
        <f aca="false">G95*'Itens de Contrato'!F95</f>
        <v>0</v>
      </c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</row>
    <row r="96" customFormat="false" ht="12.8" hidden="false" customHeight="false" outlineLevel="0" collapsed="false">
      <c r="A96" s="37" t="n">
        <f aca="false">'Itens de Contrato'!A96</f>
        <v>0</v>
      </c>
      <c r="B96" s="37" t="n">
        <f aca="false">'Itens de Contrato'!B96</f>
        <v>0</v>
      </c>
      <c r="C96" s="37" t="e">
        <f aca="false">VLOOKUP(B96,'Itens de Contrato'!B$5:G$151,2,0)</f>
        <v>#N/A</v>
      </c>
      <c r="D96" s="52"/>
      <c r="E96" s="63" t="n">
        <f aca="false">D96*'Itens de Contrato'!F96</f>
        <v>0</v>
      </c>
      <c r="F96" s="62" t="n">
        <f aca="false">'Medição 02'!F96-'Medição 02'!G96</f>
        <v>0</v>
      </c>
      <c r="G96" s="52"/>
      <c r="H96" s="64" t="e">
        <f aca="false">G96/D96</f>
        <v>#DIV/0!</v>
      </c>
      <c r="I96" s="63" t="n">
        <f aca="false">G96*'Itens de Contrato'!F96</f>
        <v>0</v>
      </c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</row>
    <row r="97" customFormat="false" ht="12.8" hidden="false" customHeight="false" outlineLevel="0" collapsed="false">
      <c r="A97" s="37" t="n">
        <f aca="false">'Itens de Contrato'!A97</f>
        <v>0</v>
      </c>
      <c r="B97" s="37" t="n">
        <f aca="false">'Itens de Contrato'!B97</f>
        <v>0</v>
      </c>
      <c r="C97" s="37" t="e">
        <f aca="false">VLOOKUP(B97,'Itens de Contrato'!B$5:G$151,2,0)</f>
        <v>#N/A</v>
      </c>
      <c r="D97" s="52"/>
      <c r="E97" s="63" t="n">
        <f aca="false">D97*'Itens de Contrato'!F97</f>
        <v>0</v>
      </c>
      <c r="F97" s="62" t="n">
        <f aca="false">'Medição 02'!F97-'Medição 02'!G97</f>
        <v>0</v>
      </c>
      <c r="G97" s="52"/>
      <c r="H97" s="64" t="e">
        <f aca="false">G97/D97</f>
        <v>#DIV/0!</v>
      </c>
      <c r="I97" s="63" t="n">
        <f aca="false">G97*'Itens de Contrato'!F97</f>
        <v>0</v>
      </c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</row>
    <row r="98" customFormat="false" ht="12.8" hidden="false" customHeight="false" outlineLevel="0" collapsed="false">
      <c r="A98" s="37" t="n">
        <f aca="false">'Itens de Contrato'!A98</f>
        <v>0</v>
      </c>
      <c r="B98" s="37" t="n">
        <f aca="false">'Itens de Contrato'!B98</f>
        <v>0</v>
      </c>
      <c r="C98" s="37" t="e">
        <f aca="false">VLOOKUP(B98,'Itens de Contrato'!B$5:G$151,2,0)</f>
        <v>#N/A</v>
      </c>
      <c r="D98" s="52"/>
      <c r="E98" s="63" t="n">
        <f aca="false">D98*'Itens de Contrato'!F98</f>
        <v>0</v>
      </c>
      <c r="F98" s="62" t="n">
        <f aca="false">'Medição 02'!F98-'Medição 02'!G98</f>
        <v>0</v>
      </c>
      <c r="G98" s="52"/>
      <c r="H98" s="64" t="e">
        <f aca="false">G98/D98</f>
        <v>#DIV/0!</v>
      </c>
      <c r="I98" s="63" t="n">
        <f aca="false">G98*'Itens de Contrato'!F98</f>
        <v>0</v>
      </c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</row>
    <row r="99" customFormat="false" ht="12.8" hidden="false" customHeight="false" outlineLevel="0" collapsed="false">
      <c r="A99" s="37" t="n">
        <f aca="false">'Itens de Contrato'!A99</f>
        <v>0</v>
      </c>
      <c r="B99" s="37" t="n">
        <f aca="false">'Itens de Contrato'!B99</f>
        <v>0</v>
      </c>
      <c r="C99" s="37" t="e">
        <f aca="false">VLOOKUP(B99,'Itens de Contrato'!B$5:G$151,2,0)</f>
        <v>#N/A</v>
      </c>
      <c r="D99" s="52"/>
      <c r="E99" s="63" t="n">
        <f aca="false">D99*'Itens de Contrato'!F99</f>
        <v>0</v>
      </c>
      <c r="F99" s="62" t="n">
        <f aca="false">'Medição 02'!F99-'Medição 02'!G99</f>
        <v>0</v>
      </c>
      <c r="G99" s="52"/>
      <c r="H99" s="64" t="e">
        <f aca="false">G99/D99</f>
        <v>#DIV/0!</v>
      </c>
      <c r="I99" s="63" t="n">
        <f aca="false">G99*'Itens de Contrato'!F99</f>
        <v>0</v>
      </c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</row>
    <row r="100" customFormat="false" ht="12.8" hidden="false" customHeight="false" outlineLevel="0" collapsed="false">
      <c r="A100" s="37" t="n">
        <f aca="false">'Itens de Contrato'!A100</f>
        <v>0</v>
      </c>
      <c r="B100" s="37" t="n">
        <f aca="false">'Itens de Contrato'!B100</f>
        <v>0</v>
      </c>
      <c r="C100" s="37" t="e">
        <f aca="false">VLOOKUP(B100,'Itens de Contrato'!B$5:G$151,2,0)</f>
        <v>#N/A</v>
      </c>
      <c r="D100" s="52"/>
      <c r="E100" s="63" t="n">
        <f aca="false">D100*'Itens de Contrato'!F100</f>
        <v>0</v>
      </c>
      <c r="F100" s="62" t="n">
        <f aca="false">'Medição 02'!F100-'Medição 02'!G100</f>
        <v>0</v>
      </c>
      <c r="G100" s="52"/>
      <c r="H100" s="64" t="e">
        <f aca="false">G100/D100</f>
        <v>#DIV/0!</v>
      </c>
      <c r="I100" s="63" t="n">
        <f aca="false">G100*'Itens de Contrato'!F100</f>
        <v>0</v>
      </c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customFormat="false" ht="12.8" hidden="false" customHeight="false" outlineLevel="0" collapsed="false">
      <c r="A101" s="37" t="n">
        <f aca="false">'Itens de Contrato'!A101</f>
        <v>0</v>
      </c>
      <c r="B101" s="37" t="n">
        <f aca="false">'Itens de Contrato'!B101</f>
        <v>0</v>
      </c>
      <c r="C101" s="37" t="e">
        <f aca="false">VLOOKUP(B101,'Itens de Contrato'!B$5:G$151,2,0)</f>
        <v>#N/A</v>
      </c>
      <c r="D101" s="52"/>
      <c r="E101" s="63" t="n">
        <f aca="false">D101*'Itens de Contrato'!F101</f>
        <v>0</v>
      </c>
      <c r="F101" s="62" t="n">
        <f aca="false">'Medição 02'!F101-'Medição 02'!G101</f>
        <v>0</v>
      </c>
      <c r="G101" s="52"/>
      <c r="H101" s="64" t="e">
        <f aca="false">G101/D101</f>
        <v>#DIV/0!</v>
      </c>
      <c r="I101" s="63" t="n">
        <f aca="false">G101*'Itens de Contrato'!F101</f>
        <v>0</v>
      </c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customFormat="false" ht="12.8" hidden="false" customHeight="false" outlineLevel="0" collapsed="false">
      <c r="A102" s="37" t="n">
        <f aca="false">'Itens de Contrato'!A102</f>
        <v>0</v>
      </c>
      <c r="B102" s="37" t="n">
        <f aca="false">'Itens de Contrato'!B102</f>
        <v>0</v>
      </c>
      <c r="C102" s="37" t="e">
        <f aca="false">VLOOKUP(B102,'Itens de Contrato'!B$5:G$151,2,0)</f>
        <v>#N/A</v>
      </c>
      <c r="D102" s="52"/>
      <c r="E102" s="63" t="n">
        <f aca="false">D102*'Itens de Contrato'!F102</f>
        <v>0</v>
      </c>
      <c r="F102" s="62" t="n">
        <f aca="false">'Medição 02'!F102-'Medição 02'!G102</f>
        <v>0</v>
      </c>
      <c r="G102" s="52"/>
      <c r="H102" s="64" t="e">
        <f aca="false">G102/D102</f>
        <v>#DIV/0!</v>
      </c>
      <c r="I102" s="63" t="n">
        <f aca="false">G102*'Itens de Contrato'!F102</f>
        <v>0</v>
      </c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</row>
    <row r="103" customFormat="false" ht="12.8" hidden="false" customHeight="false" outlineLevel="0" collapsed="false">
      <c r="A103" s="37" t="n">
        <f aca="false">'Itens de Contrato'!A103</f>
        <v>0</v>
      </c>
      <c r="B103" s="37" t="n">
        <f aca="false">'Itens de Contrato'!B103</f>
        <v>0</v>
      </c>
      <c r="C103" s="37" t="e">
        <f aca="false">VLOOKUP(B103,'Itens de Contrato'!B$5:G$151,2,0)</f>
        <v>#N/A</v>
      </c>
      <c r="D103" s="52"/>
      <c r="E103" s="63" t="n">
        <f aca="false">D103*'Itens de Contrato'!F103</f>
        <v>0</v>
      </c>
      <c r="F103" s="62" t="n">
        <f aca="false">'Medição 02'!F103-'Medição 02'!G103</f>
        <v>0</v>
      </c>
      <c r="G103" s="52"/>
      <c r="H103" s="64" t="e">
        <f aca="false">G103/D103</f>
        <v>#DIV/0!</v>
      </c>
      <c r="I103" s="63" t="n">
        <f aca="false">G103*'Itens de Contrato'!F103</f>
        <v>0</v>
      </c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</row>
    <row r="104" customFormat="false" ht="12.8" hidden="false" customHeight="false" outlineLevel="0" collapsed="false">
      <c r="A104" s="37" t="n">
        <f aca="false">'Itens de Contrato'!A104</f>
        <v>0</v>
      </c>
      <c r="B104" s="37" t="n">
        <f aca="false">'Itens de Contrato'!B104</f>
        <v>0</v>
      </c>
      <c r="C104" s="37" t="e">
        <f aca="false">VLOOKUP(B104,'Itens de Contrato'!B$5:G$151,2,0)</f>
        <v>#N/A</v>
      </c>
      <c r="D104" s="52"/>
      <c r="E104" s="63" t="n">
        <f aca="false">D104*'Itens de Contrato'!F104</f>
        <v>0</v>
      </c>
      <c r="F104" s="62" t="n">
        <f aca="false">'Medição 02'!F104-'Medição 02'!G104</f>
        <v>0</v>
      </c>
      <c r="G104" s="52"/>
      <c r="H104" s="64" t="e">
        <f aca="false">G104/D104</f>
        <v>#DIV/0!</v>
      </c>
      <c r="I104" s="63" t="n">
        <f aca="false">G104*'Itens de Contrato'!F104</f>
        <v>0</v>
      </c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</row>
    <row r="105" customFormat="false" ht="12.8" hidden="false" customHeight="false" outlineLevel="0" collapsed="false">
      <c r="A105" s="37" t="n">
        <f aca="false">'Itens de Contrato'!A105</f>
        <v>0</v>
      </c>
      <c r="B105" s="37" t="n">
        <f aca="false">'Itens de Contrato'!B105</f>
        <v>0</v>
      </c>
      <c r="C105" s="37" t="e">
        <f aca="false">VLOOKUP(B105,'Itens de Contrato'!B$5:G$151,2,0)</f>
        <v>#N/A</v>
      </c>
      <c r="D105" s="52"/>
      <c r="E105" s="63" t="n">
        <f aca="false">D105*'Itens de Contrato'!F105</f>
        <v>0</v>
      </c>
      <c r="F105" s="62" t="n">
        <f aca="false">'Medição 02'!F105-'Medição 02'!G105</f>
        <v>0</v>
      </c>
      <c r="G105" s="52"/>
      <c r="H105" s="64" t="e">
        <f aca="false">G105/D105</f>
        <v>#DIV/0!</v>
      </c>
      <c r="I105" s="63" t="n">
        <f aca="false">G105*'Itens de Contrato'!F105</f>
        <v>0</v>
      </c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</row>
    <row r="106" customFormat="false" ht="12.8" hidden="false" customHeight="false" outlineLevel="0" collapsed="false">
      <c r="A106" s="37" t="n">
        <f aca="false">'Itens de Contrato'!A106</f>
        <v>0</v>
      </c>
      <c r="B106" s="37" t="n">
        <f aca="false">'Itens de Contrato'!B106</f>
        <v>0</v>
      </c>
      <c r="C106" s="37" t="e">
        <f aca="false">VLOOKUP(B106,'Itens de Contrato'!B$5:G$151,2,0)</f>
        <v>#N/A</v>
      </c>
      <c r="D106" s="52"/>
      <c r="E106" s="63" t="n">
        <f aca="false">D106*'Itens de Contrato'!F106</f>
        <v>0</v>
      </c>
      <c r="F106" s="62" t="n">
        <f aca="false">'Medição 02'!F106-'Medição 02'!G106</f>
        <v>0</v>
      </c>
      <c r="G106" s="52"/>
      <c r="H106" s="64" t="e">
        <f aca="false">G106/D106</f>
        <v>#DIV/0!</v>
      </c>
      <c r="I106" s="63" t="n">
        <f aca="false">G106*'Itens de Contrato'!F106</f>
        <v>0</v>
      </c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</row>
    <row r="107" customFormat="false" ht="12.8" hidden="false" customHeight="false" outlineLevel="0" collapsed="false">
      <c r="A107" s="37" t="n">
        <f aca="false">'Itens de Contrato'!A107</f>
        <v>0</v>
      </c>
      <c r="B107" s="37" t="n">
        <f aca="false">'Itens de Contrato'!B107</f>
        <v>0</v>
      </c>
      <c r="C107" s="37" t="e">
        <f aca="false">VLOOKUP(B107,'Itens de Contrato'!B$5:G$151,2,0)</f>
        <v>#N/A</v>
      </c>
      <c r="D107" s="52"/>
      <c r="E107" s="63" t="n">
        <f aca="false">D107*'Itens de Contrato'!F107</f>
        <v>0</v>
      </c>
      <c r="F107" s="62" t="n">
        <f aca="false">'Medição 02'!F107-'Medição 02'!G107</f>
        <v>0</v>
      </c>
      <c r="G107" s="52"/>
      <c r="H107" s="64" t="e">
        <f aca="false">G107/D107</f>
        <v>#DIV/0!</v>
      </c>
      <c r="I107" s="63" t="n">
        <f aca="false">G107*'Itens de Contrato'!F107</f>
        <v>0</v>
      </c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</row>
    <row r="108" customFormat="false" ht="12.8" hidden="false" customHeight="false" outlineLevel="0" collapsed="false">
      <c r="A108" s="37" t="n">
        <f aca="false">'Itens de Contrato'!A108</f>
        <v>0</v>
      </c>
      <c r="B108" s="37" t="n">
        <f aca="false">'Itens de Contrato'!B108</f>
        <v>0</v>
      </c>
      <c r="C108" s="37" t="e">
        <f aca="false">VLOOKUP(B108,'Itens de Contrato'!B$5:G$151,2,0)</f>
        <v>#N/A</v>
      </c>
      <c r="D108" s="52"/>
      <c r="E108" s="63" t="n">
        <f aca="false">D108*'Itens de Contrato'!F108</f>
        <v>0</v>
      </c>
      <c r="F108" s="62" t="n">
        <f aca="false">'Medição 02'!F108-'Medição 02'!G108</f>
        <v>0</v>
      </c>
      <c r="G108" s="52"/>
      <c r="H108" s="64" t="e">
        <f aca="false">G108/D108</f>
        <v>#DIV/0!</v>
      </c>
      <c r="I108" s="63" t="n">
        <f aca="false">G108*'Itens de Contrato'!F108</f>
        <v>0</v>
      </c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</row>
    <row r="109" customFormat="false" ht="12.8" hidden="false" customHeight="false" outlineLevel="0" collapsed="false">
      <c r="A109" s="37" t="n">
        <f aca="false">'Itens de Contrato'!A109</f>
        <v>0</v>
      </c>
      <c r="B109" s="37" t="n">
        <f aca="false">'Itens de Contrato'!B109</f>
        <v>0</v>
      </c>
      <c r="C109" s="37" t="e">
        <f aca="false">VLOOKUP(B109,'Itens de Contrato'!B$5:G$151,2,0)</f>
        <v>#N/A</v>
      </c>
      <c r="D109" s="52"/>
      <c r="E109" s="63" t="n">
        <f aca="false">D109*'Itens de Contrato'!F109</f>
        <v>0</v>
      </c>
      <c r="F109" s="62" t="n">
        <f aca="false">'Medição 02'!F109-'Medição 02'!G109</f>
        <v>0</v>
      </c>
      <c r="G109" s="52"/>
      <c r="H109" s="64" t="e">
        <f aca="false">G109/D109</f>
        <v>#DIV/0!</v>
      </c>
      <c r="I109" s="63" t="n">
        <f aca="false">G109*'Itens de Contrato'!F109</f>
        <v>0</v>
      </c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</row>
    <row r="110" customFormat="false" ht="12.8" hidden="false" customHeight="false" outlineLevel="0" collapsed="false">
      <c r="A110" s="37" t="n">
        <f aca="false">'Itens de Contrato'!A110</f>
        <v>0</v>
      </c>
      <c r="B110" s="37" t="n">
        <f aca="false">'Itens de Contrato'!B110</f>
        <v>0</v>
      </c>
      <c r="C110" s="37" t="e">
        <f aca="false">VLOOKUP(B110,'Itens de Contrato'!B$5:G$151,2,0)</f>
        <v>#N/A</v>
      </c>
      <c r="D110" s="52"/>
      <c r="E110" s="63" t="n">
        <f aca="false">D110*'Itens de Contrato'!F110</f>
        <v>0</v>
      </c>
      <c r="F110" s="62" t="n">
        <f aca="false">'Medição 02'!F110-'Medição 02'!G110</f>
        <v>0</v>
      </c>
      <c r="G110" s="52"/>
      <c r="H110" s="64" t="e">
        <f aca="false">G110/D110</f>
        <v>#DIV/0!</v>
      </c>
      <c r="I110" s="63" t="n">
        <f aca="false">G110*'Itens de Contrato'!F110</f>
        <v>0</v>
      </c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</row>
    <row r="111" customFormat="false" ht="12.8" hidden="false" customHeight="false" outlineLevel="0" collapsed="false">
      <c r="A111" s="37" t="n">
        <f aca="false">'Itens de Contrato'!A111</f>
        <v>0</v>
      </c>
      <c r="B111" s="37" t="n">
        <f aca="false">'Itens de Contrato'!B111</f>
        <v>0</v>
      </c>
      <c r="C111" s="37" t="e">
        <f aca="false">VLOOKUP(B111,'Itens de Contrato'!B$5:G$151,2,0)</f>
        <v>#N/A</v>
      </c>
      <c r="D111" s="52"/>
      <c r="E111" s="63" t="n">
        <f aca="false">D111*'Itens de Contrato'!F111</f>
        <v>0</v>
      </c>
      <c r="F111" s="62" t="n">
        <f aca="false">'Medição 02'!F111-'Medição 02'!G111</f>
        <v>0</v>
      </c>
      <c r="G111" s="52"/>
      <c r="H111" s="64" t="e">
        <f aca="false">G111/D111</f>
        <v>#DIV/0!</v>
      </c>
      <c r="I111" s="63" t="n">
        <f aca="false">G111*'Itens de Contrato'!F111</f>
        <v>0</v>
      </c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</row>
    <row r="112" customFormat="false" ht="12.8" hidden="false" customHeight="false" outlineLevel="0" collapsed="false">
      <c r="A112" s="37" t="n">
        <f aca="false">'Itens de Contrato'!A112</f>
        <v>0</v>
      </c>
      <c r="B112" s="37" t="n">
        <f aca="false">'Itens de Contrato'!B112</f>
        <v>0</v>
      </c>
      <c r="C112" s="37" t="e">
        <f aca="false">VLOOKUP(B112,'Itens de Contrato'!B$5:G$151,2,0)</f>
        <v>#N/A</v>
      </c>
      <c r="D112" s="52"/>
      <c r="E112" s="63" t="n">
        <f aca="false">D112*'Itens de Contrato'!F112</f>
        <v>0</v>
      </c>
      <c r="F112" s="62" t="n">
        <f aca="false">'Medição 02'!F112-'Medição 02'!G112</f>
        <v>0</v>
      </c>
      <c r="G112" s="52"/>
      <c r="H112" s="64" t="e">
        <f aca="false">G112/D112</f>
        <v>#DIV/0!</v>
      </c>
      <c r="I112" s="63" t="n">
        <f aca="false">G112*'Itens de Contrato'!F112</f>
        <v>0</v>
      </c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</row>
    <row r="113" customFormat="false" ht="12.8" hidden="false" customHeight="false" outlineLevel="0" collapsed="false">
      <c r="A113" s="37" t="n">
        <f aca="false">'Itens de Contrato'!A113</f>
        <v>0</v>
      </c>
      <c r="B113" s="37" t="n">
        <f aca="false">'Itens de Contrato'!B113</f>
        <v>0</v>
      </c>
      <c r="C113" s="37" t="e">
        <f aca="false">VLOOKUP(B113,'Itens de Contrato'!B$5:G$151,2,0)</f>
        <v>#N/A</v>
      </c>
      <c r="D113" s="52"/>
      <c r="E113" s="63" t="n">
        <f aca="false">D113*'Itens de Contrato'!F113</f>
        <v>0</v>
      </c>
      <c r="F113" s="62" t="n">
        <f aca="false">'Medição 02'!F113-'Medição 02'!G113</f>
        <v>0</v>
      </c>
      <c r="G113" s="52"/>
      <c r="H113" s="64" t="e">
        <f aca="false">G113/D113</f>
        <v>#DIV/0!</v>
      </c>
      <c r="I113" s="63" t="n">
        <f aca="false">G113*'Itens de Contrato'!F113</f>
        <v>0</v>
      </c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</row>
    <row r="114" customFormat="false" ht="12.8" hidden="false" customHeight="false" outlineLevel="0" collapsed="false">
      <c r="A114" s="37" t="n">
        <f aca="false">'Itens de Contrato'!A114</f>
        <v>0</v>
      </c>
      <c r="B114" s="37" t="n">
        <f aca="false">'Itens de Contrato'!B114</f>
        <v>0</v>
      </c>
      <c r="C114" s="37" t="e">
        <f aca="false">VLOOKUP(B114,'Itens de Contrato'!B$5:G$151,2,0)</f>
        <v>#N/A</v>
      </c>
      <c r="D114" s="52"/>
      <c r="E114" s="63" t="n">
        <f aca="false">D114*'Itens de Contrato'!F114</f>
        <v>0</v>
      </c>
      <c r="F114" s="62" t="n">
        <f aca="false">'Medição 02'!F114-'Medição 02'!G114</f>
        <v>0</v>
      </c>
      <c r="G114" s="52"/>
      <c r="H114" s="64" t="e">
        <f aca="false">G114/D114</f>
        <v>#DIV/0!</v>
      </c>
      <c r="I114" s="63" t="n">
        <f aca="false">G114*'Itens de Contrato'!F114</f>
        <v>0</v>
      </c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</row>
    <row r="115" customFormat="false" ht="12.8" hidden="false" customHeight="false" outlineLevel="0" collapsed="false">
      <c r="A115" s="37" t="n">
        <f aca="false">'Itens de Contrato'!A115</f>
        <v>0</v>
      </c>
      <c r="B115" s="37" t="n">
        <f aca="false">'Itens de Contrato'!B115</f>
        <v>0</v>
      </c>
      <c r="C115" s="37" t="e">
        <f aca="false">VLOOKUP(B115,'Itens de Contrato'!B$5:G$151,2,0)</f>
        <v>#N/A</v>
      </c>
      <c r="D115" s="52"/>
      <c r="E115" s="63" t="n">
        <f aca="false">D115*'Itens de Contrato'!F115</f>
        <v>0</v>
      </c>
      <c r="F115" s="62" t="n">
        <f aca="false">'Medição 02'!F115-'Medição 02'!G115</f>
        <v>0</v>
      </c>
      <c r="G115" s="52"/>
      <c r="H115" s="64" t="e">
        <f aca="false">G115/D115</f>
        <v>#DIV/0!</v>
      </c>
      <c r="I115" s="63" t="n">
        <f aca="false">G115*'Itens de Contrato'!F115</f>
        <v>0</v>
      </c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</row>
    <row r="116" customFormat="false" ht="12.8" hidden="false" customHeight="false" outlineLevel="0" collapsed="false">
      <c r="A116" s="37" t="n">
        <f aca="false">'Itens de Contrato'!A116</f>
        <v>0</v>
      </c>
      <c r="B116" s="37" t="n">
        <f aca="false">'Itens de Contrato'!B116</f>
        <v>0</v>
      </c>
      <c r="C116" s="37" t="e">
        <f aca="false">VLOOKUP(B116,'Itens de Contrato'!B$5:G$151,2,0)</f>
        <v>#N/A</v>
      </c>
      <c r="D116" s="52"/>
      <c r="E116" s="63" t="n">
        <f aca="false">D116*'Itens de Contrato'!F116</f>
        <v>0</v>
      </c>
      <c r="F116" s="62" t="n">
        <f aca="false">'Medição 02'!F116-'Medição 02'!G116</f>
        <v>0</v>
      </c>
      <c r="G116" s="52"/>
      <c r="H116" s="64" t="e">
        <f aca="false">G116/D116</f>
        <v>#DIV/0!</v>
      </c>
      <c r="I116" s="63" t="n">
        <f aca="false">G116*'Itens de Contrato'!F116</f>
        <v>0</v>
      </c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</row>
    <row r="117" customFormat="false" ht="12.8" hidden="false" customHeight="false" outlineLevel="0" collapsed="false">
      <c r="A117" s="37" t="n">
        <f aca="false">'Itens de Contrato'!A117</f>
        <v>0</v>
      </c>
      <c r="B117" s="37" t="n">
        <f aca="false">'Itens de Contrato'!B117</f>
        <v>0</v>
      </c>
      <c r="C117" s="37" t="e">
        <f aca="false">VLOOKUP(B117,'Itens de Contrato'!B$5:G$151,2,0)</f>
        <v>#N/A</v>
      </c>
      <c r="D117" s="52"/>
      <c r="E117" s="63" t="n">
        <f aca="false">D117*'Itens de Contrato'!F117</f>
        <v>0</v>
      </c>
      <c r="F117" s="62" t="n">
        <f aca="false">'Medição 02'!F117-'Medição 02'!G117</f>
        <v>0</v>
      </c>
      <c r="G117" s="52"/>
      <c r="H117" s="64" t="e">
        <f aca="false">G117/D117</f>
        <v>#DIV/0!</v>
      </c>
      <c r="I117" s="63" t="n">
        <f aca="false">G117*'Itens de Contrato'!F117</f>
        <v>0</v>
      </c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</row>
    <row r="118" customFormat="false" ht="12.8" hidden="false" customHeight="false" outlineLevel="0" collapsed="false">
      <c r="A118" s="37" t="n">
        <f aca="false">'Itens de Contrato'!A118</f>
        <v>0</v>
      </c>
      <c r="B118" s="37" t="n">
        <f aca="false">'Itens de Contrato'!B118</f>
        <v>0</v>
      </c>
      <c r="C118" s="37" t="e">
        <f aca="false">VLOOKUP(B118,'Itens de Contrato'!B$5:G$151,2,0)</f>
        <v>#N/A</v>
      </c>
      <c r="D118" s="52"/>
      <c r="E118" s="63" t="n">
        <f aca="false">D118*'Itens de Contrato'!F118</f>
        <v>0</v>
      </c>
      <c r="F118" s="62" t="n">
        <f aca="false">'Medição 02'!F118-'Medição 02'!G118</f>
        <v>0</v>
      </c>
      <c r="G118" s="52"/>
      <c r="H118" s="64" t="e">
        <f aca="false">G118/D118</f>
        <v>#DIV/0!</v>
      </c>
      <c r="I118" s="63" t="n">
        <f aca="false">G118*'Itens de Contrato'!F118</f>
        <v>0</v>
      </c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</row>
    <row r="119" customFormat="false" ht="12.8" hidden="false" customHeight="false" outlineLevel="0" collapsed="false">
      <c r="A119" s="37" t="n">
        <f aca="false">'Itens de Contrato'!A119</f>
        <v>0</v>
      </c>
      <c r="B119" s="37" t="n">
        <f aca="false">'Itens de Contrato'!B119</f>
        <v>0</v>
      </c>
      <c r="C119" s="37" t="e">
        <f aca="false">VLOOKUP(B119,'Itens de Contrato'!B$5:G$151,2,0)</f>
        <v>#N/A</v>
      </c>
      <c r="D119" s="52"/>
      <c r="E119" s="63" t="n">
        <f aca="false">D119*'Itens de Contrato'!F119</f>
        <v>0</v>
      </c>
      <c r="F119" s="62" t="n">
        <f aca="false">'Medição 02'!F119-'Medição 02'!G119</f>
        <v>0</v>
      </c>
      <c r="G119" s="52"/>
      <c r="H119" s="64" t="e">
        <f aca="false">G119/D119</f>
        <v>#DIV/0!</v>
      </c>
      <c r="I119" s="63" t="n">
        <f aca="false">G119*'Itens de Contrato'!F119</f>
        <v>0</v>
      </c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</row>
    <row r="120" customFormat="false" ht="12.8" hidden="false" customHeight="false" outlineLevel="0" collapsed="false">
      <c r="A120" s="37" t="n">
        <f aca="false">'Itens de Contrato'!A120</f>
        <v>0</v>
      </c>
      <c r="B120" s="37" t="n">
        <f aca="false">'Itens de Contrato'!B120</f>
        <v>0</v>
      </c>
      <c r="C120" s="37" t="e">
        <f aca="false">VLOOKUP(B120,'Itens de Contrato'!B$5:G$151,2,0)</f>
        <v>#N/A</v>
      </c>
      <c r="D120" s="52"/>
      <c r="E120" s="63" t="n">
        <f aca="false">D120*'Itens de Contrato'!F120</f>
        <v>0</v>
      </c>
      <c r="F120" s="62" t="n">
        <f aca="false">'Medição 02'!F120-'Medição 02'!G120</f>
        <v>0</v>
      </c>
      <c r="G120" s="52"/>
      <c r="H120" s="64" t="e">
        <f aca="false">G120/D120</f>
        <v>#DIV/0!</v>
      </c>
      <c r="I120" s="63" t="n">
        <f aca="false">G120*'Itens de Contrato'!F120</f>
        <v>0</v>
      </c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</row>
    <row r="121" customFormat="false" ht="12.8" hidden="false" customHeight="false" outlineLevel="0" collapsed="false">
      <c r="A121" s="37" t="n">
        <f aca="false">'Itens de Contrato'!A121</f>
        <v>0</v>
      </c>
      <c r="B121" s="37" t="n">
        <f aca="false">'Itens de Contrato'!B121</f>
        <v>0</v>
      </c>
      <c r="C121" s="37" t="e">
        <f aca="false">VLOOKUP(B121,'Itens de Contrato'!B$5:G$151,2,0)</f>
        <v>#N/A</v>
      </c>
      <c r="D121" s="52"/>
      <c r="E121" s="63" t="n">
        <f aca="false">D121*'Itens de Contrato'!F121</f>
        <v>0</v>
      </c>
      <c r="F121" s="62" t="n">
        <f aca="false">'Medição 02'!F121-'Medição 02'!G121</f>
        <v>0</v>
      </c>
      <c r="G121" s="52"/>
      <c r="H121" s="64" t="e">
        <f aca="false">G121/D121</f>
        <v>#DIV/0!</v>
      </c>
      <c r="I121" s="63" t="n">
        <f aca="false">G121*'Itens de Contrato'!F121</f>
        <v>0</v>
      </c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</row>
    <row r="122" customFormat="false" ht="12.8" hidden="false" customHeight="false" outlineLevel="0" collapsed="false">
      <c r="A122" s="37" t="n">
        <f aca="false">'Itens de Contrato'!A122</f>
        <v>0</v>
      </c>
      <c r="B122" s="37" t="n">
        <f aca="false">'Itens de Contrato'!B122</f>
        <v>0</v>
      </c>
      <c r="C122" s="37" t="e">
        <f aca="false">VLOOKUP(B122,'Itens de Contrato'!B$5:G$151,2,0)</f>
        <v>#N/A</v>
      </c>
      <c r="D122" s="52"/>
      <c r="E122" s="63" t="n">
        <f aca="false">D122*'Itens de Contrato'!F122</f>
        <v>0</v>
      </c>
      <c r="F122" s="62" t="n">
        <f aca="false">'Medição 02'!F122-'Medição 02'!G122</f>
        <v>0</v>
      </c>
      <c r="G122" s="52"/>
      <c r="H122" s="64" t="e">
        <f aca="false">G122/D122</f>
        <v>#DIV/0!</v>
      </c>
      <c r="I122" s="63" t="n">
        <f aca="false">G122*'Itens de Contrato'!F122</f>
        <v>0</v>
      </c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</row>
    <row r="123" customFormat="false" ht="12.8" hidden="false" customHeight="false" outlineLevel="0" collapsed="false">
      <c r="A123" s="37" t="n">
        <f aca="false">'Itens de Contrato'!A123</f>
        <v>0</v>
      </c>
      <c r="B123" s="37" t="n">
        <f aca="false">'Itens de Contrato'!B123</f>
        <v>0</v>
      </c>
      <c r="C123" s="37" t="e">
        <f aca="false">VLOOKUP(B123,'Itens de Contrato'!B$5:G$151,2,0)</f>
        <v>#N/A</v>
      </c>
      <c r="D123" s="52"/>
      <c r="E123" s="63" t="n">
        <f aca="false">D123*'Itens de Contrato'!F123</f>
        <v>0</v>
      </c>
      <c r="F123" s="62" t="n">
        <f aca="false">'Medição 02'!F123-'Medição 02'!G123</f>
        <v>0</v>
      </c>
      <c r="G123" s="52"/>
      <c r="H123" s="64" t="e">
        <f aca="false">G123/D123</f>
        <v>#DIV/0!</v>
      </c>
      <c r="I123" s="63" t="n">
        <f aca="false">G123*'Itens de Contrato'!F123</f>
        <v>0</v>
      </c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</row>
    <row r="124" customFormat="false" ht="12.8" hidden="false" customHeight="false" outlineLevel="0" collapsed="false">
      <c r="A124" s="37" t="n">
        <f aca="false">'Itens de Contrato'!A124</f>
        <v>0</v>
      </c>
      <c r="B124" s="37" t="n">
        <f aca="false">'Itens de Contrato'!B124</f>
        <v>0</v>
      </c>
      <c r="C124" s="37" t="e">
        <f aca="false">VLOOKUP(B124,'Itens de Contrato'!B$5:G$151,2,0)</f>
        <v>#N/A</v>
      </c>
      <c r="D124" s="52"/>
      <c r="E124" s="63" t="n">
        <f aca="false">D124*'Itens de Contrato'!F124</f>
        <v>0</v>
      </c>
      <c r="F124" s="62" t="n">
        <f aca="false">'Medição 02'!F124-'Medição 02'!G124</f>
        <v>0</v>
      </c>
      <c r="G124" s="52"/>
      <c r="H124" s="64" t="e">
        <f aca="false">G124/D124</f>
        <v>#DIV/0!</v>
      </c>
      <c r="I124" s="63" t="n">
        <f aca="false">G124*'Itens de Contrato'!F124</f>
        <v>0</v>
      </c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</row>
    <row r="125" customFormat="false" ht="12.8" hidden="false" customHeight="false" outlineLevel="0" collapsed="false">
      <c r="A125" s="37" t="n">
        <f aca="false">'Itens de Contrato'!A125</f>
        <v>0</v>
      </c>
      <c r="B125" s="37" t="n">
        <f aca="false">'Itens de Contrato'!B125</f>
        <v>0</v>
      </c>
      <c r="C125" s="37" t="e">
        <f aca="false">VLOOKUP(B125,'Itens de Contrato'!B$5:G$151,2,0)</f>
        <v>#N/A</v>
      </c>
      <c r="D125" s="52"/>
      <c r="E125" s="63" t="n">
        <f aca="false">D125*'Itens de Contrato'!F125</f>
        <v>0</v>
      </c>
      <c r="F125" s="62" t="n">
        <f aca="false">'Medição 02'!F125-'Medição 02'!G125</f>
        <v>0</v>
      </c>
      <c r="G125" s="52"/>
      <c r="H125" s="64" t="e">
        <f aca="false">G125/D125</f>
        <v>#DIV/0!</v>
      </c>
      <c r="I125" s="63" t="n">
        <f aca="false">G125*'Itens de Contrato'!F125</f>
        <v>0</v>
      </c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</row>
    <row r="126" customFormat="false" ht="12.8" hidden="false" customHeight="false" outlineLevel="0" collapsed="false">
      <c r="A126" s="37" t="n">
        <f aca="false">'Itens de Contrato'!A126</f>
        <v>0</v>
      </c>
      <c r="B126" s="37" t="n">
        <f aca="false">'Itens de Contrato'!B126</f>
        <v>0</v>
      </c>
      <c r="C126" s="37" t="e">
        <f aca="false">VLOOKUP(B126,'Itens de Contrato'!B$5:G$151,2,0)</f>
        <v>#N/A</v>
      </c>
      <c r="D126" s="52"/>
      <c r="E126" s="63" t="n">
        <f aca="false">D126*'Itens de Contrato'!F126</f>
        <v>0</v>
      </c>
      <c r="F126" s="62" t="n">
        <f aca="false">'Medição 02'!F126-'Medição 02'!G126</f>
        <v>0</v>
      </c>
      <c r="G126" s="52"/>
      <c r="H126" s="64" t="e">
        <f aca="false">G126/D126</f>
        <v>#DIV/0!</v>
      </c>
      <c r="I126" s="63" t="n">
        <f aca="false">G126*'Itens de Contrato'!F126</f>
        <v>0</v>
      </c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</row>
    <row r="127" customFormat="false" ht="12.8" hidden="false" customHeight="false" outlineLevel="0" collapsed="false">
      <c r="A127" s="37" t="n">
        <f aca="false">'Itens de Contrato'!A127</f>
        <v>0</v>
      </c>
      <c r="B127" s="37" t="n">
        <f aca="false">'Itens de Contrato'!B127</f>
        <v>0</v>
      </c>
      <c r="C127" s="37" t="e">
        <f aca="false">VLOOKUP(B127,'Itens de Contrato'!B$5:G$151,2,0)</f>
        <v>#N/A</v>
      </c>
      <c r="D127" s="52"/>
      <c r="E127" s="63" t="n">
        <f aca="false">D127*'Itens de Contrato'!F127</f>
        <v>0</v>
      </c>
      <c r="F127" s="62" t="n">
        <f aca="false">'Medição 02'!F127-'Medição 02'!G127</f>
        <v>0</v>
      </c>
      <c r="G127" s="52"/>
      <c r="H127" s="64" t="e">
        <f aca="false">G127/D127</f>
        <v>#DIV/0!</v>
      </c>
      <c r="I127" s="63" t="n">
        <f aca="false">G127*'Itens de Contrato'!F127</f>
        <v>0</v>
      </c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</row>
    <row r="128" customFormat="false" ht="12.8" hidden="false" customHeight="false" outlineLevel="0" collapsed="false">
      <c r="A128" s="37" t="n">
        <f aca="false">'Itens de Contrato'!A128</f>
        <v>0</v>
      </c>
      <c r="B128" s="37" t="n">
        <f aca="false">'Itens de Contrato'!B128</f>
        <v>0</v>
      </c>
      <c r="C128" s="37" t="e">
        <f aca="false">VLOOKUP(B128,'Itens de Contrato'!B$5:G$151,2,0)</f>
        <v>#N/A</v>
      </c>
      <c r="D128" s="52"/>
      <c r="E128" s="63" t="n">
        <f aca="false">D128*'Itens de Contrato'!F128</f>
        <v>0</v>
      </c>
      <c r="F128" s="62" t="n">
        <f aca="false">'Medição 02'!F128-'Medição 02'!G128</f>
        <v>0</v>
      </c>
      <c r="G128" s="52"/>
      <c r="H128" s="64" t="e">
        <f aca="false">G128/D128</f>
        <v>#DIV/0!</v>
      </c>
      <c r="I128" s="63" t="n">
        <f aca="false">G128*'Itens de Contrato'!F128</f>
        <v>0</v>
      </c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</row>
    <row r="129" customFormat="false" ht="12.8" hidden="false" customHeight="false" outlineLevel="0" collapsed="false">
      <c r="A129" s="37" t="n">
        <f aca="false">'Itens de Contrato'!A129</f>
        <v>0</v>
      </c>
      <c r="B129" s="37" t="n">
        <f aca="false">'Itens de Contrato'!B129</f>
        <v>0</v>
      </c>
      <c r="C129" s="37" t="e">
        <f aca="false">VLOOKUP(B129,'Itens de Contrato'!B$5:G$151,2,0)</f>
        <v>#N/A</v>
      </c>
      <c r="D129" s="52"/>
      <c r="E129" s="63" t="n">
        <f aca="false">D129*'Itens de Contrato'!F129</f>
        <v>0</v>
      </c>
      <c r="F129" s="62" t="n">
        <f aca="false">'Medição 02'!F129-'Medição 02'!G129</f>
        <v>0</v>
      </c>
      <c r="G129" s="52"/>
      <c r="H129" s="64" t="e">
        <f aca="false">G129/D129</f>
        <v>#DIV/0!</v>
      </c>
      <c r="I129" s="63" t="n">
        <f aca="false">G129*'Itens de Contrato'!F129</f>
        <v>0</v>
      </c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</row>
    <row r="130" customFormat="false" ht="12.8" hidden="false" customHeight="false" outlineLevel="0" collapsed="false">
      <c r="A130" s="37" t="n">
        <f aca="false">'Itens de Contrato'!A130</f>
        <v>0</v>
      </c>
      <c r="B130" s="37" t="n">
        <f aca="false">'Itens de Contrato'!B130</f>
        <v>0</v>
      </c>
      <c r="C130" s="37" t="e">
        <f aca="false">VLOOKUP(B130,'Itens de Contrato'!B$5:G$151,2,0)</f>
        <v>#N/A</v>
      </c>
      <c r="D130" s="52"/>
      <c r="E130" s="63" t="n">
        <f aca="false">D130*'Itens de Contrato'!F130</f>
        <v>0</v>
      </c>
      <c r="F130" s="62" t="n">
        <f aca="false">'Medição 02'!F130-'Medição 02'!G130</f>
        <v>0</v>
      </c>
      <c r="G130" s="52"/>
      <c r="H130" s="64" t="e">
        <f aca="false">G130/D130</f>
        <v>#DIV/0!</v>
      </c>
      <c r="I130" s="63" t="n">
        <f aca="false">G130*'Itens de Contrato'!F130</f>
        <v>0</v>
      </c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</row>
    <row r="131" customFormat="false" ht="12.8" hidden="false" customHeight="false" outlineLevel="0" collapsed="false">
      <c r="A131" s="37" t="n">
        <f aca="false">'Itens de Contrato'!A131</f>
        <v>0</v>
      </c>
      <c r="B131" s="37" t="n">
        <f aca="false">'Itens de Contrato'!B131</f>
        <v>0</v>
      </c>
      <c r="C131" s="37" t="e">
        <f aca="false">VLOOKUP(B131,'Itens de Contrato'!B$5:G$151,2,0)</f>
        <v>#N/A</v>
      </c>
      <c r="D131" s="52"/>
      <c r="E131" s="63" t="n">
        <f aca="false">D131*'Itens de Contrato'!F131</f>
        <v>0</v>
      </c>
      <c r="F131" s="62" t="n">
        <f aca="false">'Medição 02'!F131-'Medição 02'!G131</f>
        <v>0</v>
      </c>
      <c r="G131" s="52"/>
      <c r="H131" s="64" t="e">
        <f aca="false">G131/D131</f>
        <v>#DIV/0!</v>
      </c>
      <c r="I131" s="63" t="n">
        <f aca="false">G131*'Itens de Contrato'!F131</f>
        <v>0</v>
      </c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</row>
    <row r="132" customFormat="false" ht="12.8" hidden="false" customHeight="false" outlineLevel="0" collapsed="false">
      <c r="A132" s="37" t="n">
        <f aca="false">'Itens de Contrato'!A132</f>
        <v>0</v>
      </c>
      <c r="B132" s="37" t="n">
        <f aca="false">'Itens de Contrato'!B132</f>
        <v>0</v>
      </c>
      <c r="C132" s="37" t="e">
        <f aca="false">VLOOKUP(B132,'Itens de Contrato'!B$5:G$151,2,0)</f>
        <v>#N/A</v>
      </c>
      <c r="D132" s="52"/>
      <c r="E132" s="63" t="n">
        <f aca="false">D132*'Itens de Contrato'!F132</f>
        <v>0</v>
      </c>
      <c r="F132" s="62" t="n">
        <f aca="false">'Medição 02'!F132-'Medição 02'!G132</f>
        <v>0</v>
      </c>
      <c r="G132" s="52"/>
      <c r="H132" s="64" t="e">
        <f aca="false">G132/D132</f>
        <v>#DIV/0!</v>
      </c>
      <c r="I132" s="63" t="n">
        <f aca="false">G132*'Itens de Contrato'!F132</f>
        <v>0</v>
      </c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</row>
    <row r="133" customFormat="false" ht="12.8" hidden="false" customHeight="false" outlineLevel="0" collapsed="false">
      <c r="A133" s="37" t="n">
        <f aca="false">'Itens de Contrato'!A133</f>
        <v>0</v>
      </c>
      <c r="B133" s="37" t="n">
        <f aca="false">'Itens de Contrato'!B133</f>
        <v>0</v>
      </c>
      <c r="C133" s="37" t="e">
        <f aca="false">VLOOKUP(B133,'Itens de Contrato'!B$5:G$151,2,0)</f>
        <v>#N/A</v>
      </c>
      <c r="D133" s="52"/>
      <c r="E133" s="63" t="n">
        <f aca="false">D133*'Itens de Contrato'!F133</f>
        <v>0</v>
      </c>
      <c r="F133" s="62" t="n">
        <f aca="false">'Medição 02'!F133-'Medição 02'!G133</f>
        <v>0</v>
      </c>
      <c r="G133" s="52"/>
      <c r="H133" s="64" t="e">
        <f aca="false">G133/D133</f>
        <v>#DIV/0!</v>
      </c>
      <c r="I133" s="63" t="n">
        <f aca="false">G133*'Itens de Contrato'!F133</f>
        <v>0</v>
      </c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</row>
    <row r="134" customFormat="false" ht="12.8" hidden="false" customHeight="false" outlineLevel="0" collapsed="false">
      <c r="A134" s="37" t="n">
        <f aca="false">'Itens de Contrato'!A134</f>
        <v>0</v>
      </c>
      <c r="B134" s="37" t="n">
        <f aca="false">'Itens de Contrato'!B134</f>
        <v>0</v>
      </c>
      <c r="C134" s="37" t="e">
        <f aca="false">VLOOKUP(B134,'Itens de Contrato'!B$5:G$151,2,0)</f>
        <v>#N/A</v>
      </c>
      <c r="D134" s="52"/>
      <c r="E134" s="63" t="n">
        <f aca="false">D134*'Itens de Contrato'!F134</f>
        <v>0</v>
      </c>
      <c r="F134" s="62" t="n">
        <f aca="false">'Medição 02'!F134-'Medição 02'!G134</f>
        <v>0</v>
      </c>
      <c r="G134" s="52"/>
      <c r="H134" s="64" t="e">
        <f aca="false">G134/D134</f>
        <v>#DIV/0!</v>
      </c>
      <c r="I134" s="63" t="n">
        <f aca="false">G134*'Itens de Contrato'!F134</f>
        <v>0</v>
      </c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</row>
    <row r="135" customFormat="false" ht="12.8" hidden="false" customHeight="false" outlineLevel="0" collapsed="false">
      <c r="A135" s="37" t="n">
        <f aca="false">'Itens de Contrato'!A135</f>
        <v>0</v>
      </c>
      <c r="B135" s="37" t="n">
        <f aca="false">'Itens de Contrato'!B135</f>
        <v>0</v>
      </c>
      <c r="C135" s="37" t="e">
        <f aca="false">VLOOKUP(B135,'Itens de Contrato'!B$5:G$151,2,0)</f>
        <v>#N/A</v>
      </c>
      <c r="D135" s="52"/>
      <c r="E135" s="63" t="n">
        <f aca="false">D135*'Itens de Contrato'!F135</f>
        <v>0</v>
      </c>
      <c r="F135" s="62" t="n">
        <f aca="false">'Medição 02'!F135-'Medição 02'!G135</f>
        <v>0</v>
      </c>
      <c r="G135" s="52"/>
      <c r="H135" s="64" t="e">
        <f aca="false">G135/D135</f>
        <v>#DIV/0!</v>
      </c>
      <c r="I135" s="63" t="n">
        <f aca="false">G135*'Itens de Contrato'!F135</f>
        <v>0</v>
      </c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</row>
    <row r="136" customFormat="false" ht="12.8" hidden="false" customHeight="false" outlineLevel="0" collapsed="false">
      <c r="A136" s="37" t="n">
        <f aca="false">'Itens de Contrato'!A136</f>
        <v>0</v>
      </c>
      <c r="B136" s="37" t="n">
        <f aca="false">'Itens de Contrato'!B136</f>
        <v>0</v>
      </c>
      <c r="C136" s="37" t="e">
        <f aca="false">VLOOKUP(B136,'Itens de Contrato'!B$5:G$151,2,0)</f>
        <v>#N/A</v>
      </c>
      <c r="D136" s="52"/>
      <c r="E136" s="63" t="n">
        <f aca="false">D136*'Itens de Contrato'!F136</f>
        <v>0</v>
      </c>
      <c r="F136" s="62" t="n">
        <f aca="false">'Medição 02'!F136-'Medição 02'!G136</f>
        <v>0</v>
      </c>
      <c r="G136" s="52"/>
      <c r="H136" s="64" t="e">
        <f aca="false">G136/D136</f>
        <v>#DIV/0!</v>
      </c>
      <c r="I136" s="63" t="n">
        <f aca="false">G136*'Itens de Contrato'!F136</f>
        <v>0</v>
      </c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</row>
    <row r="137" customFormat="false" ht="12.8" hidden="false" customHeight="false" outlineLevel="0" collapsed="false">
      <c r="A137" s="37" t="n">
        <f aca="false">'Itens de Contrato'!A137</f>
        <v>0</v>
      </c>
      <c r="B137" s="37" t="n">
        <f aca="false">'Itens de Contrato'!B137</f>
        <v>0</v>
      </c>
      <c r="C137" s="37" t="e">
        <f aca="false">VLOOKUP(B137,'Itens de Contrato'!B$5:G$151,2,0)</f>
        <v>#N/A</v>
      </c>
      <c r="D137" s="52"/>
      <c r="E137" s="63" t="n">
        <f aca="false">D137*'Itens de Contrato'!F137</f>
        <v>0</v>
      </c>
      <c r="F137" s="62" t="n">
        <f aca="false">'Medição 02'!F137-'Medição 02'!G137</f>
        <v>0</v>
      </c>
      <c r="G137" s="52"/>
      <c r="H137" s="64" t="e">
        <f aca="false">G137/D137</f>
        <v>#DIV/0!</v>
      </c>
      <c r="I137" s="63" t="n">
        <f aca="false">G137*'Itens de Contrato'!F137</f>
        <v>0</v>
      </c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</row>
    <row r="138" customFormat="false" ht="12.8" hidden="false" customHeight="false" outlineLevel="0" collapsed="false">
      <c r="A138" s="37" t="n">
        <f aca="false">'Itens de Contrato'!A138</f>
        <v>0</v>
      </c>
      <c r="B138" s="37" t="n">
        <f aca="false">'Itens de Contrato'!B138</f>
        <v>0</v>
      </c>
      <c r="C138" s="37" t="e">
        <f aca="false">VLOOKUP(B138,'Itens de Contrato'!B$5:G$151,2,0)</f>
        <v>#N/A</v>
      </c>
      <c r="D138" s="52"/>
      <c r="E138" s="63" t="n">
        <f aca="false">D138*'Itens de Contrato'!F138</f>
        <v>0</v>
      </c>
      <c r="F138" s="62" t="n">
        <f aca="false">'Medição 02'!F138-'Medição 02'!G138</f>
        <v>0</v>
      </c>
      <c r="G138" s="52"/>
      <c r="H138" s="64" t="e">
        <f aca="false">G138/D138</f>
        <v>#DIV/0!</v>
      </c>
      <c r="I138" s="63" t="n">
        <f aca="false">G138*'Itens de Contrato'!F138</f>
        <v>0</v>
      </c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</row>
    <row r="139" customFormat="false" ht="12.8" hidden="false" customHeight="false" outlineLevel="0" collapsed="false">
      <c r="A139" s="37" t="n">
        <f aca="false">'Itens de Contrato'!A139</f>
        <v>0</v>
      </c>
      <c r="B139" s="37" t="n">
        <f aca="false">'Itens de Contrato'!B139</f>
        <v>0</v>
      </c>
      <c r="C139" s="37" t="e">
        <f aca="false">VLOOKUP(B139,'Itens de Contrato'!B$5:G$151,2,0)</f>
        <v>#N/A</v>
      </c>
      <c r="D139" s="52"/>
      <c r="E139" s="63" t="n">
        <f aca="false">D139*'Itens de Contrato'!F139</f>
        <v>0</v>
      </c>
      <c r="F139" s="62" t="n">
        <f aca="false">'Medição 02'!F139-'Medição 02'!G139</f>
        <v>0</v>
      </c>
      <c r="G139" s="52"/>
      <c r="H139" s="64" t="e">
        <f aca="false">G139/D139</f>
        <v>#DIV/0!</v>
      </c>
      <c r="I139" s="63" t="n">
        <f aca="false">G139*'Itens de Contrato'!F139</f>
        <v>0</v>
      </c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</row>
    <row r="140" customFormat="false" ht="12.8" hidden="false" customHeight="false" outlineLevel="0" collapsed="false">
      <c r="A140" s="37" t="n">
        <f aca="false">'Itens de Contrato'!A140</f>
        <v>0</v>
      </c>
      <c r="B140" s="37" t="n">
        <f aca="false">'Itens de Contrato'!B140</f>
        <v>0</v>
      </c>
      <c r="C140" s="37" t="e">
        <f aca="false">VLOOKUP(B140,'Itens de Contrato'!B$5:G$151,2,0)</f>
        <v>#N/A</v>
      </c>
      <c r="D140" s="52"/>
      <c r="E140" s="63" t="n">
        <f aca="false">D140*'Itens de Contrato'!F140</f>
        <v>0</v>
      </c>
      <c r="F140" s="62" t="n">
        <f aca="false">'Medição 02'!F140-'Medição 02'!G140</f>
        <v>0</v>
      </c>
      <c r="G140" s="52"/>
      <c r="H140" s="64" t="e">
        <f aca="false">G140/D140</f>
        <v>#DIV/0!</v>
      </c>
      <c r="I140" s="63" t="n">
        <f aca="false">G140*'Itens de Contrato'!F140</f>
        <v>0</v>
      </c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</row>
    <row r="141" customFormat="false" ht="12.8" hidden="false" customHeight="false" outlineLevel="0" collapsed="false">
      <c r="A141" s="37" t="n">
        <f aca="false">'Itens de Contrato'!A141</f>
        <v>0</v>
      </c>
      <c r="B141" s="37" t="n">
        <f aca="false">'Itens de Contrato'!B141</f>
        <v>0</v>
      </c>
      <c r="C141" s="37" t="e">
        <f aca="false">VLOOKUP(B141,'Itens de Contrato'!B$5:G$151,2,0)</f>
        <v>#N/A</v>
      </c>
      <c r="D141" s="52"/>
      <c r="E141" s="63" t="n">
        <f aca="false">D141*'Itens de Contrato'!F141</f>
        <v>0</v>
      </c>
      <c r="F141" s="62" t="n">
        <f aca="false">'Medição 02'!F141-'Medição 02'!G141</f>
        <v>0</v>
      </c>
      <c r="G141" s="52"/>
      <c r="H141" s="64" t="e">
        <f aca="false">G141/D141</f>
        <v>#DIV/0!</v>
      </c>
      <c r="I141" s="63" t="n">
        <f aca="false">G141*'Itens de Contrato'!F141</f>
        <v>0</v>
      </c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</row>
    <row r="142" customFormat="false" ht="12.8" hidden="false" customHeight="false" outlineLevel="0" collapsed="false">
      <c r="A142" s="37" t="n">
        <f aca="false">'Itens de Contrato'!A142</f>
        <v>0</v>
      </c>
      <c r="B142" s="37" t="n">
        <f aca="false">'Itens de Contrato'!B142</f>
        <v>0</v>
      </c>
      <c r="C142" s="37" t="e">
        <f aca="false">VLOOKUP(B142,'Itens de Contrato'!B$5:G$151,2,0)</f>
        <v>#N/A</v>
      </c>
      <c r="D142" s="52"/>
      <c r="E142" s="63" t="n">
        <f aca="false">D142*'Itens de Contrato'!F142</f>
        <v>0</v>
      </c>
      <c r="F142" s="62" t="n">
        <f aca="false">'Medição 02'!F142-'Medição 02'!G142</f>
        <v>0</v>
      </c>
      <c r="G142" s="52"/>
      <c r="H142" s="64" t="e">
        <f aca="false">G142/D142</f>
        <v>#DIV/0!</v>
      </c>
      <c r="I142" s="63" t="n">
        <f aca="false">G142*'Itens de Contrato'!F142</f>
        <v>0</v>
      </c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</row>
    <row r="143" customFormat="false" ht="12.8" hidden="false" customHeight="false" outlineLevel="0" collapsed="false">
      <c r="A143" s="37" t="n">
        <f aca="false">'Itens de Contrato'!A143</f>
        <v>0</v>
      </c>
      <c r="B143" s="37" t="n">
        <f aca="false">'Itens de Contrato'!B143</f>
        <v>0</v>
      </c>
      <c r="C143" s="37" t="e">
        <f aca="false">VLOOKUP(B143,'Itens de Contrato'!B$5:G$151,2,0)</f>
        <v>#N/A</v>
      </c>
      <c r="D143" s="52"/>
      <c r="E143" s="63" t="n">
        <f aca="false">D143*'Itens de Contrato'!F143</f>
        <v>0</v>
      </c>
      <c r="F143" s="62" t="n">
        <f aca="false">'Medição 02'!F143-'Medição 02'!G143</f>
        <v>0</v>
      </c>
      <c r="G143" s="52"/>
      <c r="H143" s="64" t="e">
        <f aca="false">G143/D143</f>
        <v>#DIV/0!</v>
      </c>
      <c r="I143" s="63" t="n">
        <f aca="false">G143*'Itens de Contrato'!F143</f>
        <v>0</v>
      </c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</row>
    <row r="144" customFormat="false" ht="12.8" hidden="false" customHeight="false" outlineLevel="0" collapsed="false">
      <c r="A144" s="37" t="n">
        <f aca="false">'Itens de Contrato'!A144</f>
        <v>0</v>
      </c>
      <c r="B144" s="37" t="n">
        <f aca="false">'Itens de Contrato'!B144</f>
        <v>0</v>
      </c>
      <c r="C144" s="37" t="e">
        <f aca="false">VLOOKUP(B144,'Itens de Contrato'!B$5:G$151,2,0)</f>
        <v>#N/A</v>
      </c>
      <c r="D144" s="52"/>
      <c r="E144" s="63" t="n">
        <f aca="false">D144*'Itens de Contrato'!F144</f>
        <v>0</v>
      </c>
      <c r="F144" s="62" t="n">
        <f aca="false">'Medição 02'!F144-'Medição 02'!G144</f>
        <v>0</v>
      </c>
      <c r="G144" s="52"/>
      <c r="H144" s="64" t="e">
        <f aca="false">G144/D144</f>
        <v>#DIV/0!</v>
      </c>
      <c r="I144" s="63" t="n">
        <f aca="false">G144*'Itens de Contrato'!F144</f>
        <v>0</v>
      </c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</row>
    <row r="145" customFormat="false" ht="12.8" hidden="false" customHeight="false" outlineLevel="0" collapsed="false">
      <c r="A145" s="37" t="n">
        <f aca="false">'Itens de Contrato'!A145</f>
        <v>0</v>
      </c>
      <c r="B145" s="37" t="n">
        <f aca="false">'Itens de Contrato'!B145</f>
        <v>0</v>
      </c>
      <c r="C145" s="37" t="e">
        <f aca="false">VLOOKUP(B145,'Itens de Contrato'!B$5:G$151,2,0)</f>
        <v>#N/A</v>
      </c>
      <c r="D145" s="52"/>
      <c r="E145" s="63" t="n">
        <f aca="false">D145*'Itens de Contrato'!F145</f>
        <v>0</v>
      </c>
      <c r="F145" s="62" t="n">
        <f aca="false">'Medição 02'!F145-'Medição 02'!G145</f>
        <v>0</v>
      </c>
      <c r="G145" s="52"/>
      <c r="H145" s="64" t="e">
        <f aca="false">G145/D145</f>
        <v>#DIV/0!</v>
      </c>
      <c r="I145" s="63" t="n">
        <f aca="false">G145*'Itens de Contrato'!F145</f>
        <v>0</v>
      </c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</row>
    <row r="146" customFormat="false" ht="12.8" hidden="false" customHeight="false" outlineLevel="0" collapsed="false">
      <c r="A146" s="37" t="n">
        <f aca="false">'Itens de Contrato'!A146</f>
        <v>0</v>
      </c>
      <c r="B146" s="37" t="n">
        <f aca="false">'Itens de Contrato'!B146</f>
        <v>0</v>
      </c>
      <c r="C146" s="37" t="e">
        <f aca="false">VLOOKUP(B146,'Itens de Contrato'!B$5:G$151,2,0)</f>
        <v>#N/A</v>
      </c>
      <c r="D146" s="52"/>
      <c r="E146" s="63" t="n">
        <f aca="false">D146*'Itens de Contrato'!F146</f>
        <v>0</v>
      </c>
      <c r="F146" s="62" t="n">
        <f aca="false">'Medição 02'!F146-'Medição 02'!G146</f>
        <v>0</v>
      </c>
      <c r="G146" s="52"/>
      <c r="H146" s="64" t="e">
        <f aca="false">G146/D146</f>
        <v>#DIV/0!</v>
      </c>
      <c r="I146" s="63" t="n">
        <f aca="false">G146*'Itens de Contrato'!F146</f>
        <v>0</v>
      </c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</row>
    <row r="147" customFormat="false" ht="12.8" hidden="false" customHeight="false" outlineLevel="0" collapsed="false">
      <c r="A147" s="37" t="n">
        <f aca="false">'Itens de Contrato'!A147</f>
        <v>0</v>
      </c>
      <c r="B147" s="37" t="n">
        <f aca="false">'Itens de Contrato'!B147</f>
        <v>0</v>
      </c>
      <c r="C147" s="37" t="e">
        <f aca="false">VLOOKUP(B147,'Itens de Contrato'!B$5:G$151,2,0)</f>
        <v>#N/A</v>
      </c>
      <c r="D147" s="52"/>
      <c r="E147" s="63" t="n">
        <f aca="false">D147*'Itens de Contrato'!F147</f>
        <v>0</v>
      </c>
      <c r="F147" s="62" t="n">
        <f aca="false">'Medição 02'!F147-'Medição 02'!G147</f>
        <v>0</v>
      </c>
      <c r="G147" s="52"/>
      <c r="H147" s="64" t="e">
        <f aca="false">G147/D147</f>
        <v>#DIV/0!</v>
      </c>
      <c r="I147" s="63" t="n">
        <f aca="false">G147*'Itens de Contrato'!F147</f>
        <v>0</v>
      </c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</row>
    <row r="148" customFormat="false" ht="12.8" hidden="false" customHeight="false" outlineLevel="0" collapsed="false">
      <c r="A148" s="37" t="n">
        <f aca="false">'Itens de Contrato'!A148</f>
        <v>0</v>
      </c>
      <c r="B148" s="37" t="n">
        <f aca="false">'Itens de Contrato'!B148</f>
        <v>0</v>
      </c>
      <c r="C148" s="37" t="e">
        <f aca="false">VLOOKUP(B148,'Itens de Contrato'!B$5:G$151,2,0)</f>
        <v>#N/A</v>
      </c>
      <c r="D148" s="52"/>
      <c r="E148" s="63" t="n">
        <f aca="false">D148*'Itens de Contrato'!F148</f>
        <v>0</v>
      </c>
      <c r="F148" s="62" t="n">
        <f aca="false">'Medição 02'!F148-'Medição 02'!G148</f>
        <v>0</v>
      </c>
      <c r="G148" s="52"/>
      <c r="H148" s="64" t="e">
        <f aca="false">G148/D148</f>
        <v>#DIV/0!</v>
      </c>
      <c r="I148" s="63" t="n">
        <f aca="false">G148*'Itens de Contrato'!F148</f>
        <v>0</v>
      </c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</row>
    <row r="149" customFormat="false" ht="12.8" hidden="false" customHeight="false" outlineLevel="0" collapsed="false">
      <c r="A149" s="37" t="n">
        <f aca="false">'Itens de Contrato'!A149</f>
        <v>0</v>
      </c>
      <c r="B149" s="37" t="n">
        <f aca="false">'Itens de Contrato'!B149</f>
        <v>0</v>
      </c>
      <c r="C149" s="37" t="e">
        <f aca="false">VLOOKUP(B149,'Itens de Contrato'!B$5:G$151,2,0)</f>
        <v>#N/A</v>
      </c>
      <c r="D149" s="52"/>
      <c r="E149" s="63" t="n">
        <f aca="false">D149*'Itens de Contrato'!F149</f>
        <v>0</v>
      </c>
      <c r="F149" s="62" t="n">
        <f aca="false">'Medição 02'!F149-'Medição 02'!G149</f>
        <v>0</v>
      </c>
      <c r="G149" s="52"/>
      <c r="H149" s="64" t="e">
        <f aca="false">G149/D149</f>
        <v>#DIV/0!</v>
      </c>
      <c r="I149" s="63" t="n">
        <f aca="false">G149*'Itens de Contrato'!F149</f>
        <v>0</v>
      </c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</row>
    <row r="150" customFormat="false" ht="12.8" hidden="false" customHeight="false" outlineLevel="0" collapsed="false">
      <c r="A150" s="37" t="n">
        <f aca="false">'Itens de Contrato'!A150</f>
        <v>0</v>
      </c>
      <c r="B150" s="37" t="n">
        <f aca="false">'Itens de Contrato'!B150</f>
        <v>0</v>
      </c>
      <c r="C150" s="37" t="e">
        <f aca="false">VLOOKUP(B150,'Itens de Contrato'!B$5:G$151,2,0)</f>
        <v>#N/A</v>
      </c>
      <c r="D150" s="52"/>
      <c r="E150" s="63" t="n">
        <f aca="false">D150*'Itens de Contrato'!F150</f>
        <v>0</v>
      </c>
      <c r="F150" s="62" t="n">
        <f aca="false">'Medição 02'!F150-'Medição 02'!G150</f>
        <v>0</v>
      </c>
      <c r="G150" s="52"/>
      <c r="H150" s="64" t="e">
        <f aca="false">G150/D150</f>
        <v>#DIV/0!</v>
      </c>
      <c r="I150" s="63" t="n">
        <f aca="false">G150*'Itens de Contrato'!F150</f>
        <v>0</v>
      </c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</row>
    <row r="151" customFormat="false" ht="12.8" hidden="false" customHeight="false" outlineLevel="0" collapsed="false">
      <c r="A151" s="37" t="n">
        <f aca="false">'Itens de Contrato'!A151</f>
        <v>0</v>
      </c>
      <c r="B151" s="37" t="n">
        <f aca="false">'Itens de Contrato'!B151</f>
        <v>0</v>
      </c>
      <c r="C151" s="37" t="e">
        <f aca="false">VLOOKUP(B151,'Itens de Contrato'!B$5:G$151,2,0)</f>
        <v>#N/A</v>
      </c>
      <c r="D151" s="52"/>
      <c r="E151" s="63" t="n">
        <f aca="false">D151*'Itens de Contrato'!F151</f>
        <v>0</v>
      </c>
      <c r="F151" s="62" t="n">
        <f aca="false">'Medição 02'!F151-'Medição 02'!G151</f>
        <v>0</v>
      </c>
      <c r="G151" s="52"/>
      <c r="H151" s="64" t="e">
        <f aca="false">G151/D151</f>
        <v>#DIV/0!</v>
      </c>
      <c r="I151" s="63" t="n">
        <f aca="false">G151*'Itens de Contrato'!F151</f>
        <v>0</v>
      </c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</row>
    <row r="152" customFormat="false" ht="12.75" hidden="false" customHeight="false" outlineLevel="0" collapsed="false"/>
    <row r="153" customFormat="false" ht="12.75" hidden="false" customHeight="false" outlineLevel="0" collapsed="false"/>
    <row r="154" customFormat="false" ht="12.75" hidden="false" customHeight="false" outlineLevel="0" collapsed="false"/>
    <row r="155" customFormat="false" ht="12.75" hidden="false" customHeight="false" outlineLevel="0" collapsed="false"/>
    <row r="156" customFormat="false" ht="12.75" hidden="false" customHeight="false" outlineLevel="0" collapsed="false"/>
    <row r="157" customFormat="false" ht="12.75" hidden="false" customHeight="false" outlineLevel="0" collapsed="false"/>
    <row r="158" customFormat="false" ht="12.75" hidden="false" customHeight="false" outlineLevel="0" collapsed="false"/>
    <row r="159" customFormat="false" ht="12.75" hidden="false" customHeight="false" outlineLevel="0" collapsed="false"/>
    <row r="160" customFormat="false" ht="12.75" hidden="false" customHeight="false" outlineLevel="0" collapsed="false"/>
    <row r="161" customFormat="false" ht="12.75" hidden="false" customHeight="false" outlineLevel="0" collapsed="false"/>
    <row r="162" customFormat="false" ht="12.75" hidden="false" customHeight="false" outlineLevel="0" collapsed="false"/>
    <row r="163" customFormat="false" ht="12.75" hidden="false" customHeight="false" outlineLevel="0" collapsed="false"/>
    <row r="164" customFormat="false" ht="12.75" hidden="false" customHeight="false" outlineLevel="0" collapsed="false"/>
    <row r="165" customFormat="false" ht="12.75" hidden="false" customHeight="false" outlineLevel="0" collapsed="false"/>
    <row r="166" customFormat="false" ht="12.75" hidden="false" customHeight="false" outlineLevel="0" collapsed="false"/>
    <row r="167" customFormat="false" ht="12.75" hidden="false" customHeight="false" outlineLevel="0" collapsed="false"/>
    <row r="168" customFormat="false" ht="12.75" hidden="false" customHeight="false" outlineLevel="0" collapsed="false"/>
    <row r="169" customFormat="false" ht="12.75" hidden="false" customHeight="false" outlineLevel="0" collapsed="false"/>
    <row r="170" customFormat="false" ht="12.75" hidden="false" customHeight="false" outlineLevel="0" collapsed="false"/>
    <row r="171" customFormat="false" ht="12.75" hidden="false" customHeight="false" outlineLevel="0" collapsed="false"/>
    <row r="172" customFormat="false" ht="12.75" hidden="false" customHeight="false" outlineLevel="0" collapsed="false"/>
    <row r="173" customFormat="false" ht="12.75" hidden="false" customHeight="false" outlineLevel="0" collapsed="false"/>
    <row r="174" customFormat="false" ht="12.75" hidden="false" customHeight="false" outlineLevel="0" collapsed="false"/>
    <row r="175" customFormat="false" ht="12.75" hidden="false" customHeight="false" outlineLevel="0" collapsed="false"/>
    <row r="176" customFormat="false" ht="12.75" hidden="false" customHeight="false" outlineLevel="0" collapsed="false"/>
    <row r="177" customFormat="false" ht="12.75" hidden="false" customHeight="false" outlineLevel="0" collapsed="false"/>
    <row r="178" customFormat="false" ht="12.75" hidden="false" customHeight="false" outlineLevel="0" collapsed="false"/>
    <row r="179" customFormat="false" ht="12.75" hidden="false" customHeight="false" outlineLevel="0" collapsed="false"/>
    <row r="180" customFormat="false" ht="12.75" hidden="false" customHeight="false" outlineLevel="0" collapsed="false"/>
    <row r="181" customFormat="false" ht="12.75" hidden="false" customHeight="false" outlineLevel="0" collapsed="false"/>
    <row r="182" customFormat="false" ht="12.75" hidden="false" customHeight="false" outlineLevel="0" collapsed="false"/>
    <row r="183" customFormat="false" ht="12.75" hidden="false" customHeight="false" outlineLevel="0" collapsed="false"/>
    <row r="184" customFormat="false" ht="12.75" hidden="false" customHeight="false" outlineLevel="0" collapsed="false"/>
    <row r="185" customFormat="false" ht="12.75" hidden="false" customHeight="false" outlineLevel="0" collapsed="false"/>
    <row r="186" customFormat="false" ht="12.75" hidden="false" customHeight="false" outlineLevel="0" collapsed="false"/>
    <row r="187" customFormat="false" ht="12.75" hidden="false" customHeight="false" outlineLevel="0" collapsed="false"/>
    <row r="188" customFormat="false" ht="12.75" hidden="false" customHeight="false" outlineLevel="0" collapsed="false"/>
    <row r="189" customFormat="false" ht="12.75" hidden="false" customHeight="false" outlineLevel="0" collapsed="false"/>
    <row r="190" customFormat="false" ht="12.75" hidden="false" customHeight="false" outlineLevel="0" collapsed="false"/>
    <row r="191" customFormat="false" ht="12.75" hidden="false" customHeight="false" outlineLevel="0" collapsed="false"/>
    <row r="192" customFormat="false" ht="12.75" hidden="false" customHeight="false" outlineLevel="0" collapsed="false"/>
    <row r="193" customFormat="false" ht="12.75" hidden="false" customHeight="false" outlineLevel="0" collapsed="false"/>
    <row r="194" customFormat="false" ht="12.75" hidden="false" customHeight="false" outlineLevel="0" collapsed="false"/>
    <row r="195" customFormat="false" ht="12.75" hidden="false" customHeight="false" outlineLevel="0" collapsed="false"/>
    <row r="196" customFormat="false" ht="12.75" hidden="false" customHeight="false" outlineLevel="0" collapsed="false"/>
    <row r="197" customFormat="false" ht="12.75" hidden="false" customHeight="false" outlineLevel="0" collapsed="false"/>
    <row r="198" customFormat="false" ht="12.75" hidden="false" customHeight="false" outlineLevel="0" collapsed="false"/>
    <row r="199" customFormat="false" ht="12.75" hidden="false" customHeight="false" outlineLevel="0" collapsed="false"/>
    <row r="200" customFormat="false" ht="12.75" hidden="false" customHeight="false" outlineLevel="0" collapsed="false"/>
    <row r="201" customFormat="false" ht="12.75" hidden="false" customHeight="false" outlineLevel="0" collapsed="false"/>
    <row r="202" customFormat="false" ht="12.75" hidden="false" customHeight="false" outlineLevel="0" collapsed="false"/>
    <row r="203" customFormat="false" ht="12.75" hidden="false" customHeight="false" outlineLevel="0" collapsed="false"/>
    <row r="204" customFormat="false" ht="12.75" hidden="false" customHeight="false" outlineLevel="0" collapsed="false"/>
    <row r="205" customFormat="false" ht="12.75" hidden="false" customHeight="false" outlineLevel="0" collapsed="false"/>
    <row r="206" customFormat="false" ht="12.75" hidden="false" customHeight="false" outlineLevel="0" collapsed="false"/>
    <row r="207" customFormat="false" ht="12.75" hidden="false" customHeight="false" outlineLevel="0" collapsed="false"/>
    <row r="208" customFormat="false" ht="12.75" hidden="false" customHeight="false" outlineLevel="0" collapsed="false"/>
    <row r="209" customFormat="false" ht="12.75" hidden="false" customHeight="false" outlineLevel="0" collapsed="false"/>
    <row r="210" customFormat="false" ht="12.75" hidden="false" customHeight="false" outlineLevel="0" collapsed="false"/>
    <row r="211" customFormat="false" ht="12.75" hidden="false" customHeight="false" outlineLevel="0" collapsed="false"/>
    <row r="212" customFormat="false" ht="12.75" hidden="false" customHeight="false" outlineLevel="0" collapsed="false"/>
    <row r="213" customFormat="false" ht="12.75" hidden="false" customHeight="false" outlineLevel="0" collapsed="false"/>
    <row r="214" customFormat="false" ht="12.75" hidden="false" customHeight="false" outlineLevel="0" collapsed="false"/>
    <row r="215" customFormat="false" ht="12.75" hidden="false" customHeight="false" outlineLevel="0" collapsed="false"/>
    <row r="216" customFormat="false" ht="12.75" hidden="false" customHeight="false" outlineLevel="0" collapsed="false"/>
    <row r="217" customFormat="false" ht="12.75" hidden="false" customHeight="false" outlineLevel="0" collapsed="false"/>
    <row r="218" customFormat="false" ht="12.75" hidden="false" customHeight="false" outlineLevel="0" collapsed="false"/>
    <row r="219" customFormat="false" ht="12.75" hidden="false" customHeight="false" outlineLevel="0" collapsed="false"/>
    <row r="220" customFormat="false" ht="12.75" hidden="false" customHeight="false" outlineLevel="0" collapsed="false"/>
    <row r="221" customFormat="false" ht="12.75" hidden="false" customHeight="false" outlineLevel="0" collapsed="false"/>
    <row r="222" customFormat="false" ht="12.75" hidden="false" customHeight="false" outlineLevel="0" collapsed="false"/>
    <row r="223" customFormat="false" ht="12.75" hidden="false" customHeight="false" outlineLevel="0" collapsed="false"/>
    <row r="224" customFormat="false" ht="12.75" hidden="false" customHeight="false" outlineLevel="0" collapsed="false"/>
    <row r="225" customFormat="false" ht="12.75" hidden="false" customHeight="false" outlineLevel="0" collapsed="false"/>
    <row r="226" customFormat="false" ht="12.75" hidden="false" customHeight="false" outlineLevel="0" collapsed="false"/>
    <row r="227" customFormat="false" ht="12.75" hidden="false" customHeight="false" outlineLevel="0" collapsed="false"/>
    <row r="228" customFormat="false" ht="12.75" hidden="false" customHeight="false" outlineLevel="0" collapsed="false"/>
    <row r="229" customFormat="false" ht="12.75" hidden="false" customHeight="false" outlineLevel="0" collapsed="false"/>
    <row r="230" customFormat="false" ht="12.75" hidden="false" customHeight="false" outlineLevel="0" collapsed="false"/>
    <row r="231" customFormat="false" ht="12.75" hidden="false" customHeight="false" outlineLevel="0" collapsed="false"/>
    <row r="232" customFormat="false" ht="12.75" hidden="false" customHeight="false" outlineLevel="0" collapsed="false"/>
    <row r="233" customFormat="false" ht="12.75" hidden="false" customHeight="false" outlineLevel="0" collapsed="false"/>
    <row r="234" customFormat="false" ht="12.75" hidden="false" customHeight="false" outlineLevel="0" collapsed="false"/>
    <row r="235" customFormat="false" ht="12.75" hidden="false" customHeight="false" outlineLevel="0" collapsed="false"/>
    <row r="236" customFormat="false" ht="12.75" hidden="false" customHeight="false" outlineLevel="0" collapsed="false"/>
    <row r="237" customFormat="false" ht="12.75" hidden="false" customHeight="false" outlineLevel="0" collapsed="false"/>
    <row r="238" customFormat="false" ht="12.75" hidden="false" customHeight="false" outlineLevel="0" collapsed="false"/>
    <row r="239" customFormat="false" ht="12.75" hidden="false" customHeight="false" outlineLevel="0" collapsed="false"/>
    <row r="240" customFormat="false" ht="12.75" hidden="false" customHeight="false" outlineLevel="0" collapsed="false"/>
    <row r="241" customFormat="false" ht="12.75" hidden="false" customHeight="false" outlineLevel="0" collapsed="false"/>
    <row r="242" customFormat="false" ht="12.75" hidden="false" customHeight="false" outlineLevel="0" collapsed="false"/>
    <row r="243" customFormat="false" ht="12.75" hidden="false" customHeight="false" outlineLevel="0" collapsed="false"/>
    <row r="244" customFormat="false" ht="12.75" hidden="false" customHeight="false" outlineLevel="0" collapsed="false"/>
    <row r="245" customFormat="false" ht="12.75" hidden="false" customHeight="false" outlineLevel="0" collapsed="false"/>
    <row r="246" customFormat="false" ht="12.75" hidden="false" customHeight="false" outlineLevel="0" collapsed="false"/>
    <row r="247" customFormat="false" ht="12.75" hidden="false" customHeight="false" outlineLevel="0" collapsed="false"/>
    <row r="248" customFormat="false" ht="12.75" hidden="false" customHeight="false" outlineLevel="0" collapsed="false"/>
    <row r="249" customFormat="false" ht="12.75" hidden="false" customHeight="false" outlineLevel="0" collapsed="false"/>
    <row r="250" customFormat="false" ht="12.75" hidden="false" customHeight="false" outlineLevel="0" collapsed="false"/>
    <row r="251" customFormat="false" ht="12.75" hidden="false" customHeight="false" outlineLevel="0" collapsed="false"/>
    <row r="252" customFormat="false" ht="12.75" hidden="false" customHeight="false" outlineLevel="0" collapsed="false"/>
    <row r="253" customFormat="false" ht="12.75" hidden="false" customHeight="false" outlineLevel="0" collapsed="false"/>
    <row r="254" customFormat="false" ht="12.75" hidden="false" customHeight="false" outlineLevel="0" collapsed="false"/>
    <row r="255" customFormat="false" ht="12.75" hidden="false" customHeight="false" outlineLevel="0" collapsed="false"/>
    <row r="256" customFormat="false" ht="12.75" hidden="false" customHeight="false" outlineLevel="0" collapsed="false"/>
    <row r="257" customFormat="false" ht="12.75" hidden="false" customHeight="false" outlineLevel="0" collapsed="false"/>
    <row r="258" customFormat="false" ht="12.75" hidden="false" customHeight="false" outlineLevel="0" collapsed="false"/>
    <row r="259" customFormat="false" ht="12.75" hidden="false" customHeight="false" outlineLevel="0" collapsed="false"/>
    <row r="260" customFormat="false" ht="12.75" hidden="false" customHeight="false" outlineLevel="0" collapsed="false"/>
    <row r="261" customFormat="false" ht="12.75" hidden="false" customHeight="false" outlineLevel="0" collapsed="false"/>
    <row r="262" customFormat="false" ht="12.75" hidden="false" customHeight="false" outlineLevel="0" collapsed="false"/>
    <row r="263" customFormat="false" ht="12.75" hidden="false" customHeight="false" outlineLevel="0" collapsed="false"/>
    <row r="264" customFormat="false" ht="12.75" hidden="false" customHeight="false" outlineLevel="0" collapsed="false"/>
    <row r="265" customFormat="false" ht="12.75" hidden="false" customHeight="false" outlineLevel="0" collapsed="false"/>
    <row r="266" customFormat="false" ht="12.75" hidden="false" customHeight="false" outlineLevel="0" collapsed="false"/>
    <row r="267" customFormat="false" ht="12.75" hidden="false" customHeight="false" outlineLevel="0" collapsed="false"/>
    <row r="268" customFormat="false" ht="12.75" hidden="false" customHeight="false" outlineLevel="0" collapsed="false"/>
    <row r="269" customFormat="false" ht="12.75" hidden="false" customHeight="false" outlineLevel="0" collapsed="false"/>
    <row r="270" customFormat="false" ht="12.75" hidden="false" customHeight="false" outlineLevel="0" collapsed="false"/>
    <row r="271" customFormat="false" ht="12.75" hidden="false" customHeight="false" outlineLevel="0" collapsed="false"/>
    <row r="272" customFormat="false" ht="12.75" hidden="false" customHeight="false" outlineLevel="0" collapsed="false"/>
    <row r="273" customFormat="false" ht="12.75" hidden="false" customHeight="fals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12.75" hidden="false" customHeight="false" outlineLevel="0" collapsed="false"/>
    <row r="283" customFormat="false" ht="12.75" hidden="false" customHeight="false" outlineLevel="0" collapsed="false"/>
    <row r="284" customFormat="false" ht="12.75" hidden="false" customHeight="fals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12.75" hidden="false" customHeight="false" outlineLevel="0" collapsed="false"/>
    <row r="291" customFormat="false" ht="12.75" hidden="false" customHeight="false" outlineLevel="0" collapsed="false"/>
    <row r="292" customFormat="false" ht="12.75" hidden="false" customHeight="false" outlineLevel="0" collapsed="false"/>
    <row r="293" customFormat="false" ht="12.75" hidden="false" customHeight="false" outlineLevel="0" collapsed="false"/>
    <row r="294" customFormat="false" ht="12.75" hidden="false" customHeight="false" outlineLevel="0" collapsed="false"/>
    <row r="295" customFormat="false" ht="12.75" hidden="false" customHeight="fals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12.75" hidden="false" customHeight="false" outlineLevel="0" collapsed="false"/>
    <row r="299" customFormat="false" ht="12.75" hidden="false" customHeight="false" outlineLevel="0" collapsed="false"/>
    <row r="300" customFormat="false" ht="12.75" hidden="false" customHeight="fals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12.75" hidden="false" customHeight="false" outlineLevel="0" collapsed="false"/>
    <row r="308" customFormat="false" ht="12.75" hidden="false" customHeight="false" outlineLevel="0" collapsed="false"/>
    <row r="309" customFormat="false" ht="12.75" hidden="false" customHeight="false" outlineLevel="0" collapsed="false"/>
    <row r="310" customFormat="false" ht="12.75" hidden="false" customHeight="false" outlineLevel="0" collapsed="false"/>
    <row r="311" customFormat="false" ht="12.75" hidden="false" customHeight="false" outlineLevel="0" collapsed="false"/>
    <row r="312" customFormat="false" ht="12.75" hidden="false" customHeight="false" outlineLevel="0" collapsed="false"/>
    <row r="313" customFormat="false" ht="12.75" hidden="false" customHeight="false" outlineLevel="0" collapsed="false"/>
    <row r="314" customFormat="false" ht="12.75" hidden="false" customHeight="fals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12.75" hidden="false" customHeight="fals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  <row r="344" customFormat="false" ht="12.75" hidden="false" customHeight="false" outlineLevel="0" collapsed="false"/>
    <row r="345" customFormat="false" ht="12.75" hidden="false" customHeight="false" outlineLevel="0" collapsed="false"/>
    <row r="346" customFormat="false" ht="12.75" hidden="false" customHeight="false" outlineLevel="0" collapsed="false"/>
    <row r="347" customFormat="false" ht="12.75" hidden="false" customHeight="false" outlineLevel="0" collapsed="false"/>
    <row r="348" customFormat="false" ht="12.75" hidden="false" customHeight="false" outlineLevel="0" collapsed="false"/>
    <row r="349" customFormat="false" ht="12.75" hidden="false" customHeight="false" outlineLevel="0" collapsed="false"/>
    <row r="350" customFormat="false" ht="12.75" hidden="false" customHeight="false" outlineLevel="0" collapsed="false"/>
    <row r="351" customFormat="false" ht="12.75" hidden="false" customHeight="false" outlineLevel="0" collapsed="false"/>
    <row r="352" customFormat="false" ht="12.75" hidden="false" customHeight="false" outlineLevel="0" collapsed="false"/>
    <row r="353" customFormat="false" ht="12.75" hidden="false" customHeight="false" outlineLevel="0" collapsed="false"/>
    <row r="354" customFormat="false" ht="12.75" hidden="false" customHeight="false" outlineLevel="0" collapsed="false"/>
    <row r="355" customFormat="false" ht="12.75" hidden="false" customHeight="false" outlineLevel="0" collapsed="false"/>
    <row r="356" customFormat="false" ht="12.75" hidden="false" customHeight="false" outlineLevel="0" collapsed="false"/>
    <row r="357" customFormat="false" ht="12.75" hidden="false" customHeight="false" outlineLevel="0" collapsed="false"/>
    <row r="358" customFormat="false" ht="12.75" hidden="false" customHeight="false" outlineLevel="0" collapsed="false"/>
    <row r="359" customFormat="false" ht="12.75" hidden="false" customHeight="false" outlineLevel="0" collapsed="false"/>
    <row r="360" customFormat="false" ht="12.75" hidden="false" customHeight="false" outlineLevel="0" collapsed="false"/>
    <row r="361" customFormat="false" ht="12.75" hidden="false" customHeight="false" outlineLevel="0" collapsed="false"/>
    <row r="362" customFormat="false" ht="12.75" hidden="false" customHeight="false" outlineLevel="0" collapsed="false"/>
    <row r="363" customFormat="false" ht="12.75" hidden="false" customHeight="false" outlineLevel="0" collapsed="false"/>
    <row r="364" customFormat="false" ht="12.75" hidden="false" customHeight="false" outlineLevel="0" collapsed="false"/>
    <row r="365" customFormat="false" ht="12.75" hidden="false" customHeight="false" outlineLevel="0" collapsed="false"/>
    <row r="366" customFormat="false" ht="12.75" hidden="false" customHeight="false" outlineLevel="0" collapsed="false"/>
    <row r="367" customFormat="false" ht="12.75" hidden="false" customHeight="false" outlineLevel="0" collapsed="false"/>
    <row r="368" customFormat="false" ht="12.75" hidden="false" customHeight="false" outlineLevel="0" collapsed="false"/>
    <row r="369" customFormat="false" ht="12.75" hidden="false" customHeight="false" outlineLevel="0" collapsed="false"/>
    <row r="370" customFormat="false" ht="12.75" hidden="false" customHeight="false" outlineLevel="0" collapsed="false"/>
    <row r="371" customFormat="false" ht="12.75" hidden="false" customHeight="false" outlineLevel="0" collapsed="false"/>
    <row r="372" customFormat="false" ht="12.75" hidden="false" customHeight="false" outlineLevel="0" collapsed="false"/>
    <row r="373" customFormat="false" ht="12.75" hidden="false" customHeight="false" outlineLevel="0" collapsed="false"/>
    <row r="374" customFormat="false" ht="12.75" hidden="false" customHeight="false" outlineLevel="0" collapsed="false"/>
    <row r="375" customFormat="false" ht="12.75" hidden="false" customHeight="false" outlineLevel="0" collapsed="false"/>
    <row r="376" customFormat="false" ht="12.75" hidden="false" customHeight="false" outlineLevel="0" collapsed="false"/>
    <row r="377" customFormat="false" ht="12.75" hidden="false" customHeight="false" outlineLevel="0" collapsed="false"/>
    <row r="378" customFormat="false" ht="12.75" hidden="false" customHeight="false" outlineLevel="0" collapsed="false"/>
    <row r="379" customFormat="false" ht="12.75" hidden="false" customHeight="false" outlineLevel="0" collapsed="false"/>
    <row r="380" customFormat="false" ht="12.75" hidden="false" customHeight="false" outlineLevel="0" collapsed="false"/>
    <row r="381" customFormat="false" ht="12.75" hidden="false" customHeight="false" outlineLevel="0" collapsed="false"/>
    <row r="382" customFormat="false" ht="12.75" hidden="false" customHeight="false" outlineLevel="0" collapsed="false"/>
    <row r="383" customFormat="false" ht="12.75" hidden="false" customHeight="false" outlineLevel="0" collapsed="false"/>
    <row r="384" customFormat="false" ht="12.75" hidden="false" customHeight="false" outlineLevel="0" collapsed="false"/>
    <row r="385" customFormat="false" ht="12.75" hidden="false" customHeight="false" outlineLevel="0" collapsed="false"/>
    <row r="386" customFormat="false" ht="12.75" hidden="false" customHeight="false" outlineLevel="0" collapsed="false"/>
    <row r="387" customFormat="false" ht="12.75" hidden="false" customHeight="false" outlineLevel="0" collapsed="false"/>
    <row r="388" customFormat="false" ht="12.75" hidden="false" customHeight="false" outlineLevel="0" collapsed="false"/>
    <row r="389" customFormat="false" ht="12.75" hidden="false" customHeight="false" outlineLevel="0" collapsed="false"/>
    <row r="390" customFormat="false" ht="12.75" hidden="false" customHeight="false" outlineLevel="0" collapsed="false"/>
    <row r="391" customFormat="false" ht="12.75" hidden="false" customHeight="false" outlineLevel="0" collapsed="false"/>
    <row r="392" customFormat="false" ht="12.75" hidden="false" customHeight="false" outlineLevel="0" collapsed="false"/>
    <row r="393" customFormat="false" ht="12.75" hidden="false" customHeight="false" outlineLevel="0" collapsed="false"/>
    <row r="394" customFormat="false" ht="12.75" hidden="false" customHeight="false" outlineLevel="0" collapsed="false"/>
    <row r="395" customFormat="false" ht="12.75" hidden="false" customHeight="false" outlineLevel="0" collapsed="false"/>
    <row r="396" customFormat="false" ht="12.75" hidden="false" customHeight="false" outlineLevel="0" collapsed="false"/>
    <row r="397" customFormat="false" ht="12.75" hidden="false" customHeight="false" outlineLevel="0" collapsed="false"/>
    <row r="398" customFormat="false" ht="12.75" hidden="false" customHeight="false" outlineLevel="0" collapsed="false"/>
    <row r="399" customFormat="false" ht="12.75" hidden="false" customHeight="false" outlineLevel="0" collapsed="false"/>
    <row r="400" customFormat="false" ht="12.75" hidden="false" customHeight="false" outlineLevel="0" collapsed="false"/>
    <row r="401" customFormat="false" ht="12.75" hidden="false" customHeight="false" outlineLevel="0" collapsed="false"/>
    <row r="402" customFormat="false" ht="12.75" hidden="false" customHeight="false" outlineLevel="0" collapsed="false"/>
    <row r="403" customFormat="false" ht="12.75" hidden="false" customHeight="false" outlineLevel="0" collapsed="false"/>
    <row r="404" customFormat="false" ht="12.75" hidden="false" customHeight="false" outlineLevel="0" collapsed="false"/>
    <row r="405" customFormat="false" ht="12.75" hidden="false" customHeight="false" outlineLevel="0" collapsed="false"/>
    <row r="406" customFormat="false" ht="12.75" hidden="false" customHeight="false" outlineLevel="0" collapsed="false"/>
    <row r="407" customFormat="false" ht="12.75" hidden="false" customHeight="false" outlineLevel="0" collapsed="false"/>
    <row r="408" customFormat="false" ht="12.75" hidden="false" customHeight="false" outlineLevel="0" collapsed="false"/>
    <row r="409" customFormat="false" ht="12.75" hidden="false" customHeight="false" outlineLevel="0" collapsed="false"/>
    <row r="410" customFormat="false" ht="12.75" hidden="false" customHeight="false" outlineLevel="0" collapsed="false"/>
    <row r="411" customFormat="false" ht="12.75" hidden="false" customHeight="false" outlineLevel="0" collapsed="false"/>
    <row r="412" customFormat="false" ht="12.75" hidden="false" customHeight="false" outlineLevel="0" collapsed="false"/>
    <row r="413" customFormat="false" ht="12.75" hidden="false" customHeight="false" outlineLevel="0" collapsed="false"/>
    <row r="414" customFormat="false" ht="12.75" hidden="false" customHeight="false" outlineLevel="0" collapsed="false"/>
    <row r="415" customFormat="false" ht="12.75" hidden="false" customHeight="false" outlineLevel="0" collapsed="false"/>
    <row r="416" customFormat="false" ht="12.75" hidden="false" customHeight="false" outlineLevel="0" collapsed="false"/>
    <row r="417" customFormat="false" ht="12.75" hidden="false" customHeight="false" outlineLevel="0" collapsed="false"/>
    <row r="418" customFormat="false" ht="12.75" hidden="false" customHeight="false" outlineLevel="0" collapsed="false"/>
    <row r="419" customFormat="false" ht="12.75" hidden="false" customHeight="false" outlineLevel="0" collapsed="false"/>
    <row r="420" customFormat="false" ht="12.75" hidden="false" customHeight="false" outlineLevel="0" collapsed="false"/>
    <row r="421" customFormat="false" ht="12.75" hidden="false" customHeight="false" outlineLevel="0" collapsed="false"/>
    <row r="422" customFormat="false" ht="12.75" hidden="false" customHeight="false" outlineLevel="0" collapsed="false"/>
    <row r="423" customFormat="false" ht="12.75" hidden="false" customHeight="false" outlineLevel="0" collapsed="false"/>
    <row r="424" customFormat="false" ht="12.75" hidden="false" customHeight="false" outlineLevel="0" collapsed="false"/>
    <row r="425" customFormat="false" ht="12.75" hidden="false" customHeight="false" outlineLevel="0" collapsed="false"/>
    <row r="426" customFormat="false" ht="12.75" hidden="false" customHeight="false" outlineLevel="0" collapsed="false"/>
    <row r="427" customFormat="false" ht="12.75" hidden="false" customHeight="false" outlineLevel="0" collapsed="false"/>
    <row r="428" customFormat="false" ht="12.75" hidden="false" customHeight="false" outlineLevel="0" collapsed="false"/>
    <row r="429" customFormat="false" ht="12.75" hidden="false" customHeight="false" outlineLevel="0" collapsed="false"/>
    <row r="430" customFormat="false" ht="12.75" hidden="false" customHeight="false" outlineLevel="0" collapsed="false"/>
    <row r="431" customFormat="false" ht="12.75" hidden="false" customHeight="false" outlineLevel="0" collapsed="false"/>
    <row r="432" customFormat="false" ht="12.75" hidden="false" customHeight="false" outlineLevel="0" collapsed="false"/>
    <row r="433" customFormat="false" ht="12.75" hidden="false" customHeight="false" outlineLevel="0" collapsed="false"/>
    <row r="434" customFormat="false" ht="12.75" hidden="false" customHeight="false" outlineLevel="0" collapsed="false"/>
    <row r="435" customFormat="false" ht="12.75" hidden="false" customHeight="false" outlineLevel="0" collapsed="false"/>
    <row r="436" customFormat="false" ht="12.75" hidden="false" customHeight="false" outlineLevel="0" collapsed="false"/>
    <row r="437" customFormat="false" ht="12.75" hidden="false" customHeight="false" outlineLevel="0" collapsed="false"/>
    <row r="438" customFormat="false" ht="12.75" hidden="false" customHeight="false" outlineLevel="0" collapsed="false"/>
    <row r="439" customFormat="false" ht="12.75" hidden="false" customHeight="false" outlineLevel="0" collapsed="false"/>
    <row r="440" customFormat="false" ht="12.75" hidden="false" customHeight="false" outlineLevel="0" collapsed="false"/>
    <row r="441" customFormat="false" ht="12.75" hidden="false" customHeight="false" outlineLevel="0" collapsed="false"/>
    <row r="442" customFormat="false" ht="12.75" hidden="false" customHeight="false" outlineLevel="0" collapsed="false"/>
    <row r="443" customFormat="false" ht="12.75" hidden="false" customHeight="false" outlineLevel="0" collapsed="false"/>
    <row r="444" customFormat="false" ht="12.75" hidden="false" customHeight="false" outlineLevel="0" collapsed="false"/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/>
    <row r="455" customFormat="false" ht="12.75" hidden="false" customHeight="false" outlineLevel="0" collapsed="false"/>
    <row r="456" customFormat="false" ht="12.75" hidden="false" customHeight="false" outlineLevel="0" collapsed="false"/>
    <row r="457" customFormat="false" ht="12.75" hidden="false" customHeight="false" outlineLevel="0" collapsed="false"/>
    <row r="458" customFormat="false" ht="12.75" hidden="false" customHeight="false" outlineLevel="0" collapsed="false"/>
    <row r="459" customFormat="false" ht="12.75" hidden="false" customHeight="false" outlineLevel="0" collapsed="false"/>
    <row r="460" customFormat="false" ht="12.75" hidden="false" customHeight="false" outlineLevel="0" collapsed="false"/>
    <row r="461" customFormat="false" ht="12.75" hidden="false" customHeight="false" outlineLevel="0" collapsed="false"/>
    <row r="462" customFormat="false" ht="12.75" hidden="false" customHeight="false" outlineLevel="0" collapsed="false"/>
    <row r="463" customFormat="false" ht="12.75" hidden="false" customHeight="false" outlineLevel="0" collapsed="false"/>
    <row r="464" customFormat="false" ht="12.75" hidden="false" customHeight="false" outlineLevel="0" collapsed="false"/>
    <row r="465" customFormat="false" ht="12.75" hidden="false" customHeight="false" outlineLevel="0" collapsed="false"/>
    <row r="466" customFormat="false" ht="12.75" hidden="false" customHeight="false" outlineLevel="0" collapsed="false"/>
    <row r="467" customFormat="false" ht="12.75" hidden="false" customHeight="false" outlineLevel="0" collapsed="false"/>
    <row r="468" customFormat="false" ht="12.75" hidden="false" customHeight="false" outlineLevel="0" collapsed="false"/>
    <row r="469" customFormat="false" ht="12.75" hidden="false" customHeight="false" outlineLevel="0" collapsed="false"/>
    <row r="470" customFormat="false" ht="12.75" hidden="false" customHeight="false" outlineLevel="0" collapsed="false"/>
    <row r="471" customFormat="false" ht="12.75" hidden="false" customHeight="false" outlineLevel="0" collapsed="false"/>
    <row r="472" customFormat="false" ht="12.75" hidden="false" customHeight="false" outlineLevel="0" collapsed="false"/>
    <row r="473" customFormat="false" ht="12.75" hidden="false" customHeight="false" outlineLevel="0" collapsed="false"/>
    <row r="474" customFormat="false" ht="12.75" hidden="false" customHeight="false" outlineLevel="0" collapsed="false"/>
    <row r="475" customFormat="false" ht="12.75" hidden="false" customHeight="false" outlineLevel="0" collapsed="false"/>
    <row r="476" customFormat="false" ht="12.75" hidden="false" customHeight="false" outlineLevel="0" collapsed="false"/>
    <row r="477" customFormat="false" ht="12.75" hidden="false" customHeight="false" outlineLevel="0" collapsed="false"/>
    <row r="478" customFormat="false" ht="12.75" hidden="false" customHeight="false" outlineLevel="0" collapsed="false"/>
    <row r="479" customFormat="false" ht="12.75" hidden="false" customHeight="false" outlineLevel="0" collapsed="false"/>
    <row r="480" customFormat="false" ht="12.75" hidden="false" customHeight="false" outlineLevel="0" collapsed="false"/>
    <row r="481" customFormat="false" ht="12.75" hidden="false" customHeight="false" outlineLevel="0" collapsed="false"/>
    <row r="482" customFormat="false" ht="12.75" hidden="false" customHeight="false" outlineLevel="0" collapsed="false"/>
    <row r="483" customFormat="false" ht="12.75" hidden="false" customHeight="false" outlineLevel="0" collapsed="false"/>
    <row r="484" customFormat="false" ht="12.75" hidden="false" customHeight="false" outlineLevel="0" collapsed="false"/>
    <row r="485" customFormat="false" ht="12.75" hidden="false" customHeight="false" outlineLevel="0" collapsed="false"/>
    <row r="486" customFormat="false" ht="12.75" hidden="false" customHeight="false" outlineLevel="0" collapsed="false"/>
    <row r="487" customFormat="false" ht="12.75" hidden="false" customHeight="false" outlineLevel="0" collapsed="false"/>
    <row r="488" customFormat="false" ht="12.75" hidden="false" customHeight="false" outlineLevel="0" collapsed="false"/>
    <row r="489" customFormat="false" ht="12.75" hidden="false" customHeight="false" outlineLevel="0" collapsed="false"/>
    <row r="490" customFormat="false" ht="12.75" hidden="false" customHeight="false" outlineLevel="0" collapsed="false"/>
    <row r="491" customFormat="false" ht="12.75" hidden="false" customHeight="false" outlineLevel="0" collapsed="false"/>
    <row r="492" customFormat="false" ht="12.75" hidden="false" customHeight="false" outlineLevel="0" collapsed="false"/>
    <row r="493" customFormat="false" ht="12.75" hidden="false" customHeight="false" outlineLevel="0" collapsed="false"/>
    <row r="494" customFormat="false" ht="12.75" hidden="false" customHeight="false" outlineLevel="0" collapsed="false"/>
    <row r="495" customFormat="false" ht="12.75" hidden="false" customHeight="false" outlineLevel="0" collapsed="false"/>
    <row r="496" customFormat="false" ht="12.75" hidden="false" customHeight="false" outlineLevel="0" collapsed="false"/>
    <row r="497" customFormat="false" ht="12.75" hidden="false" customHeight="false" outlineLevel="0" collapsed="false"/>
    <row r="498" customFormat="false" ht="12.75" hidden="false" customHeight="false" outlineLevel="0" collapsed="false"/>
    <row r="499" customFormat="false" ht="12.75" hidden="false" customHeight="false" outlineLevel="0" collapsed="false"/>
    <row r="500" customFormat="false" ht="12.75" hidden="false" customHeight="false" outlineLevel="0" collapsed="false"/>
    <row r="501" customFormat="false" ht="12.75" hidden="false" customHeight="false" outlineLevel="0" collapsed="false"/>
    <row r="502" customFormat="false" ht="12.75" hidden="false" customHeight="false" outlineLevel="0" collapsed="false"/>
    <row r="503" customFormat="false" ht="12.75" hidden="false" customHeight="false" outlineLevel="0" collapsed="false"/>
    <row r="504" customFormat="false" ht="12.75" hidden="false" customHeight="false" outlineLevel="0" collapsed="false"/>
    <row r="505" customFormat="false" ht="12.75" hidden="false" customHeight="false" outlineLevel="0" collapsed="false"/>
    <row r="506" customFormat="false" ht="12.75" hidden="false" customHeight="false" outlineLevel="0" collapsed="false"/>
    <row r="507" customFormat="false" ht="12.75" hidden="false" customHeight="false" outlineLevel="0" collapsed="false"/>
    <row r="508" customFormat="false" ht="12.75" hidden="false" customHeight="false" outlineLevel="0" collapsed="false"/>
    <row r="509" customFormat="false" ht="12.75" hidden="false" customHeight="false" outlineLevel="0" collapsed="false"/>
    <row r="510" customFormat="false" ht="12.75" hidden="false" customHeight="false" outlineLevel="0" collapsed="false"/>
    <row r="511" customFormat="false" ht="12.75" hidden="false" customHeight="false" outlineLevel="0" collapsed="false"/>
    <row r="512" customFormat="false" ht="12.75" hidden="false" customHeight="false" outlineLevel="0" collapsed="false"/>
    <row r="513" customFormat="false" ht="12.75" hidden="false" customHeight="false" outlineLevel="0" collapsed="false"/>
    <row r="514" customFormat="false" ht="12.75" hidden="false" customHeight="false" outlineLevel="0" collapsed="false"/>
    <row r="515" customFormat="false" ht="12.75" hidden="false" customHeight="false" outlineLevel="0" collapsed="false"/>
    <row r="516" customFormat="false" ht="12.75" hidden="false" customHeight="false" outlineLevel="0" collapsed="false"/>
    <row r="517" customFormat="false" ht="12.75" hidden="false" customHeight="false" outlineLevel="0" collapsed="false"/>
    <row r="518" customFormat="false" ht="12.75" hidden="false" customHeight="false" outlineLevel="0" collapsed="false"/>
    <row r="519" customFormat="false" ht="12.75" hidden="false" customHeight="false" outlineLevel="0" collapsed="false"/>
    <row r="520" customFormat="false" ht="12.75" hidden="false" customHeight="false" outlineLevel="0" collapsed="false"/>
    <row r="521" customFormat="false" ht="12.75" hidden="false" customHeight="false" outlineLevel="0" collapsed="false"/>
    <row r="522" customFormat="false" ht="12.75" hidden="false" customHeight="false" outlineLevel="0" collapsed="false"/>
    <row r="523" customFormat="false" ht="12.75" hidden="false" customHeight="false" outlineLevel="0" collapsed="false"/>
    <row r="524" customFormat="false" ht="12.75" hidden="false" customHeight="false" outlineLevel="0" collapsed="false"/>
    <row r="525" customFormat="false" ht="12.75" hidden="false" customHeight="false" outlineLevel="0" collapsed="false"/>
    <row r="526" customFormat="false" ht="12.75" hidden="false" customHeight="false" outlineLevel="0" collapsed="false"/>
    <row r="527" customFormat="false" ht="12.75" hidden="false" customHeight="false" outlineLevel="0" collapsed="false"/>
    <row r="528" customFormat="false" ht="12.75" hidden="false" customHeight="false" outlineLevel="0" collapsed="false"/>
    <row r="529" customFormat="false" ht="12.75" hidden="false" customHeight="false" outlineLevel="0" collapsed="false"/>
    <row r="530" customFormat="false" ht="12.75" hidden="false" customHeight="false" outlineLevel="0" collapsed="false"/>
    <row r="531" customFormat="false" ht="12.75" hidden="false" customHeight="false" outlineLevel="0" collapsed="false"/>
    <row r="532" customFormat="false" ht="12.75" hidden="false" customHeight="false" outlineLevel="0" collapsed="false"/>
    <row r="533" customFormat="false" ht="12.75" hidden="false" customHeight="false" outlineLevel="0" collapsed="false"/>
    <row r="534" customFormat="false" ht="12.75" hidden="false" customHeight="false" outlineLevel="0" collapsed="false"/>
    <row r="535" customFormat="false" ht="12.75" hidden="false" customHeight="false" outlineLevel="0" collapsed="false"/>
    <row r="536" customFormat="false" ht="12.75" hidden="false" customHeight="false" outlineLevel="0" collapsed="false"/>
    <row r="537" customFormat="false" ht="12.75" hidden="false" customHeight="false" outlineLevel="0" collapsed="false"/>
    <row r="538" customFormat="false" ht="12.75" hidden="false" customHeight="false" outlineLevel="0" collapsed="false"/>
    <row r="539" customFormat="false" ht="12.75" hidden="false" customHeight="false" outlineLevel="0" collapsed="false"/>
    <row r="540" customFormat="false" ht="12.75" hidden="false" customHeight="false" outlineLevel="0" collapsed="false"/>
    <row r="541" customFormat="false" ht="12.75" hidden="false" customHeight="false" outlineLevel="0" collapsed="false"/>
    <row r="542" customFormat="false" ht="12.75" hidden="false" customHeight="false" outlineLevel="0" collapsed="false"/>
    <row r="543" customFormat="false" ht="12.75" hidden="false" customHeight="false" outlineLevel="0" collapsed="false"/>
    <row r="544" customFormat="false" ht="12.75" hidden="false" customHeight="false" outlineLevel="0" collapsed="false"/>
    <row r="545" customFormat="false" ht="12.75" hidden="false" customHeight="false" outlineLevel="0" collapsed="false"/>
    <row r="546" customFormat="false" ht="12.75" hidden="false" customHeight="false" outlineLevel="0" collapsed="false"/>
    <row r="547" customFormat="false" ht="12.75" hidden="false" customHeight="false" outlineLevel="0" collapsed="false"/>
    <row r="548" customFormat="false" ht="12.75" hidden="false" customHeight="false" outlineLevel="0" collapsed="false"/>
    <row r="549" customFormat="false" ht="12.75" hidden="false" customHeight="false" outlineLevel="0" collapsed="false"/>
    <row r="550" customFormat="false" ht="12.75" hidden="false" customHeight="false" outlineLevel="0" collapsed="false"/>
    <row r="551" customFormat="false" ht="12.75" hidden="false" customHeight="false" outlineLevel="0" collapsed="false"/>
    <row r="552" customFormat="false" ht="12.75" hidden="false" customHeight="false" outlineLevel="0" collapsed="false"/>
    <row r="553" customFormat="false" ht="12.75" hidden="false" customHeight="false" outlineLevel="0" collapsed="false"/>
    <row r="554" customFormat="false" ht="12.75" hidden="false" customHeight="false" outlineLevel="0" collapsed="false"/>
    <row r="555" customFormat="false" ht="12.75" hidden="false" customHeight="false" outlineLevel="0" collapsed="false"/>
    <row r="556" customFormat="false" ht="12.75" hidden="false" customHeight="false" outlineLevel="0" collapsed="false"/>
    <row r="557" customFormat="false" ht="12.75" hidden="false" customHeight="false" outlineLevel="0" collapsed="false"/>
    <row r="558" customFormat="false" ht="12.75" hidden="false" customHeight="false" outlineLevel="0" collapsed="false"/>
    <row r="559" customFormat="false" ht="12.75" hidden="false" customHeight="false" outlineLevel="0" collapsed="false"/>
    <row r="560" customFormat="false" ht="12.75" hidden="false" customHeight="false" outlineLevel="0" collapsed="false"/>
    <row r="561" customFormat="false" ht="12.75" hidden="false" customHeight="false" outlineLevel="0" collapsed="false"/>
    <row r="562" customFormat="false" ht="12.75" hidden="false" customHeight="false" outlineLevel="0" collapsed="false"/>
    <row r="563" customFormat="false" ht="12.75" hidden="false" customHeight="false" outlineLevel="0" collapsed="false"/>
    <row r="564" customFormat="false" ht="12.75" hidden="false" customHeight="false" outlineLevel="0" collapsed="false"/>
    <row r="565" customFormat="false" ht="12.75" hidden="false" customHeight="false" outlineLevel="0" collapsed="false"/>
    <row r="566" customFormat="false" ht="12.75" hidden="false" customHeight="false" outlineLevel="0" collapsed="false"/>
    <row r="567" customFormat="false" ht="12.75" hidden="false" customHeight="false" outlineLevel="0" collapsed="false"/>
    <row r="568" customFormat="false" ht="12.75" hidden="false" customHeight="false" outlineLevel="0" collapsed="false"/>
    <row r="569" customFormat="false" ht="12.75" hidden="false" customHeight="false" outlineLevel="0" collapsed="false"/>
    <row r="570" customFormat="false" ht="12.75" hidden="false" customHeight="false" outlineLevel="0" collapsed="false"/>
    <row r="571" customFormat="false" ht="12.75" hidden="false" customHeight="false" outlineLevel="0" collapsed="false"/>
    <row r="572" customFormat="false" ht="12.75" hidden="false" customHeight="false" outlineLevel="0" collapsed="false"/>
    <row r="573" customFormat="false" ht="12.75" hidden="false" customHeight="false" outlineLevel="0" collapsed="false"/>
    <row r="574" customFormat="false" ht="12.75" hidden="false" customHeight="false" outlineLevel="0" collapsed="false"/>
    <row r="575" customFormat="false" ht="12.75" hidden="false" customHeight="false" outlineLevel="0" collapsed="false"/>
    <row r="576" customFormat="false" ht="12.75" hidden="false" customHeight="false" outlineLevel="0" collapsed="false"/>
    <row r="577" customFormat="false" ht="12.75" hidden="false" customHeight="false" outlineLevel="0" collapsed="false"/>
    <row r="578" customFormat="false" ht="12.75" hidden="false" customHeight="false" outlineLevel="0" collapsed="false"/>
    <row r="579" customFormat="false" ht="12.75" hidden="false" customHeight="false" outlineLevel="0" collapsed="false"/>
    <row r="580" customFormat="false" ht="12.75" hidden="false" customHeight="false" outlineLevel="0" collapsed="false"/>
    <row r="581" customFormat="false" ht="12.75" hidden="false" customHeight="false" outlineLevel="0" collapsed="false"/>
    <row r="582" customFormat="false" ht="12.75" hidden="false" customHeight="false" outlineLevel="0" collapsed="false"/>
    <row r="583" customFormat="false" ht="12.75" hidden="false" customHeight="false" outlineLevel="0" collapsed="false"/>
    <row r="584" customFormat="false" ht="12.75" hidden="false" customHeight="false" outlineLevel="0" collapsed="false"/>
    <row r="585" customFormat="false" ht="12.75" hidden="false" customHeight="false" outlineLevel="0" collapsed="false"/>
    <row r="586" customFormat="false" ht="12.75" hidden="false" customHeight="false" outlineLevel="0" collapsed="false"/>
    <row r="587" customFormat="false" ht="12.75" hidden="false" customHeight="false" outlineLevel="0" collapsed="false"/>
    <row r="588" customFormat="false" ht="12.75" hidden="false" customHeight="false" outlineLevel="0" collapsed="false"/>
    <row r="589" customFormat="false" ht="12.75" hidden="false" customHeight="false" outlineLevel="0" collapsed="false"/>
    <row r="590" customFormat="false" ht="12.75" hidden="false" customHeight="false" outlineLevel="0" collapsed="false"/>
    <row r="591" customFormat="false" ht="12.75" hidden="false" customHeight="false" outlineLevel="0" collapsed="false"/>
    <row r="592" customFormat="false" ht="12.75" hidden="false" customHeight="false" outlineLevel="0" collapsed="false"/>
    <row r="593" customFormat="false" ht="12.75" hidden="false" customHeight="false" outlineLevel="0" collapsed="false"/>
    <row r="594" customFormat="false" ht="12.75" hidden="false" customHeight="false" outlineLevel="0" collapsed="false"/>
    <row r="595" customFormat="false" ht="12.75" hidden="false" customHeight="false" outlineLevel="0" collapsed="false"/>
    <row r="596" customFormat="false" ht="12.75" hidden="false" customHeight="false" outlineLevel="0" collapsed="false"/>
    <row r="597" customFormat="false" ht="12.75" hidden="false" customHeight="false" outlineLevel="0" collapsed="false"/>
    <row r="598" customFormat="false" ht="12.75" hidden="false" customHeight="false" outlineLevel="0" collapsed="false"/>
    <row r="599" customFormat="false" ht="12.75" hidden="false" customHeight="false" outlineLevel="0" collapsed="false"/>
    <row r="600" customFormat="false" ht="12.75" hidden="false" customHeight="false" outlineLevel="0" collapsed="false"/>
    <row r="601" customFormat="false" ht="12.75" hidden="false" customHeight="false" outlineLevel="0" collapsed="false"/>
    <row r="602" customFormat="false" ht="12.75" hidden="false" customHeight="false" outlineLevel="0" collapsed="false"/>
    <row r="603" customFormat="false" ht="12.75" hidden="false" customHeight="false" outlineLevel="0" collapsed="false"/>
    <row r="604" customFormat="false" ht="12.75" hidden="false" customHeight="false" outlineLevel="0" collapsed="false"/>
    <row r="605" customFormat="false" ht="12.75" hidden="false" customHeight="false" outlineLevel="0" collapsed="false"/>
    <row r="606" customFormat="false" ht="12.75" hidden="false" customHeight="false" outlineLevel="0" collapsed="false"/>
    <row r="607" customFormat="false" ht="12.75" hidden="false" customHeight="false" outlineLevel="0" collapsed="false"/>
    <row r="608" customFormat="false" ht="12.75" hidden="false" customHeight="false" outlineLevel="0" collapsed="false"/>
    <row r="609" customFormat="false" ht="12.75" hidden="false" customHeight="false" outlineLevel="0" collapsed="false"/>
    <row r="610" customFormat="false" ht="12.75" hidden="false" customHeight="false" outlineLevel="0" collapsed="false"/>
    <row r="611" customFormat="false" ht="12.75" hidden="false" customHeight="false" outlineLevel="0" collapsed="false"/>
    <row r="612" customFormat="false" ht="12.75" hidden="false" customHeight="false" outlineLevel="0" collapsed="false"/>
    <row r="613" customFormat="false" ht="12.75" hidden="false" customHeight="false" outlineLevel="0" collapsed="false"/>
    <row r="614" customFormat="false" ht="12.75" hidden="false" customHeight="false" outlineLevel="0" collapsed="false"/>
    <row r="615" customFormat="false" ht="12.75" hidden="false" customHeight="false" outlineLevel="0" collapsed="false"/>
    <row r="616" customFormat="false" ht="12.75" hidden="false" customHeight="false" outlineLevel="0" collapsed="false"/>
    <row r="617" customFormat="false" ht="12.75" hidden="false" customHeight="false" outlineLevel="0" collapsed="false"/>
    <row r="618" customFormat="false" ht="12.75" hidden="false" customHeight="false" outlineLevel="0" collapsed="false"/>
    <row r="619" customFormat="false" ht="12.75" hidden="false" customHeight="false" outlineLevel="0" collapsed="false"/>
    <row r="620" customFormat="false" ht="12.75" hidden="false" customHeight="false" outlineLevel="0" collapsed="false"/>
    <row r="621" customFormat="false" ht="12.75" hidden="false" customHeight="false" outlineLevel="0" collapsed="false"/>
    <row r="622" customFormat="false" ht="12.75" hidden="false" customHeight="false" outlineLevel="0" collapsed="false"/>
    <row r="623" customFormat="false" ht="12.75" hidden="false" customHeight="false" outlineLevel="0" collapsed="false"/>
    <row r="624" customFormat="false" ht="12.75" hidden="false" customHeight="false" outlineLevel="0" collapsed="false"/>
    <row r="625" customFormat="false" ht="12.75" hidden="false" customHeight="false" outlineLevel="0" collapsed="false"/>
    <row r="626" customFormat="false" ht="12.75" hidden="false" customHeight="false" outlineLevel="0" collapsed="false"/>
    <row r="627" customFormat="false" ht="12.75" hidden="false" customHeight="false" outlineLevel="0" collapsed="false"/>
    <row r="628" customFormat="false" ht="12.75" hidden="false" customHeight="false" outlineLevel="0" collapsed="false"/>
    <row r="629" customFormat="false" ht="12.75" hidden="false" customHeight="false" outlineLevel="0" collapsed="false"/>
    <row r="630" customFormat="false" ht="12.75" hidden="false" customHeight="false" outlineLevel="0" collapsed="false"/>
    <row r="631" customFormat="false" ht="12.75" hidden="false" customHeight="false" outlineLevel="0" collapsed="false"/>
    <row r="632" customFormat="false" ht="12.75" hidden="false" customHeight="false" outlineLevel="0" collapsed="false"/>
    <row r="633" customFormat="false" ht="12.75" hidden="false" customHeight="false" outlineLevel="0" collapsed="false"/>
    <row r="634" customFormat="false" ht="12.75" hidden="false" customHeight="false" outlineLevel="0" collapsed="false"/>
    <row r="635" customFormat="false" ht="12.75" hidden="false" customHeight="false" outlineLevel="0" collapsed="false"/>
    <row r="636" customFormat="false" ht="12.75" hidden="false" customHeight="false" outlineLevel="0" collapsed="false"/>
    <row r="637" customFormat="false" ht="12.75" hidden="false" customHeight="false" outlineLevel="0" collapsed="false"/>
    <row r="638" customFormat="false" ht="12.75" hidden="false" customHeight="false" outlineLevel="0" collapsed="false"/>
    <row r="639" customFormat="false" ht="12.75" hidden="false" customHeight="false" outlineLevel="0" collapsed="false"/>
    <row r="640" customFormat="false" ht="12.75" hidden="false" customHeight="false" outlineLevel="0" collapsed="false"/>
    <row r="641" customFormat="false" ht="12.75" hidden="false" customHeight="false" outlineLevel="0" collapsed="false"/>
    <row r="642" customFormat="false" ht="12.75" hidden="false" customHeight="false" outlineLevel="0" collapsed="false"/>
    <row r="643" customFormat="false" ht="12.75" hidden="false" customHeight="false" outlineLevel="0" collapsed="false"/>
    <row r="644" customFormat="false" ht="12.75" hidden="false" customHeight="false" outlineLevel="0" collapsed="false"/>
    <row r="645" customFormat="false" ht="12.75" hidden="false" customHeight="false" outlineLevel="0" collapsed="false"/>
    <row r="646" customFormat="false" ht="12.75" hidden="false" customHeight="false" outlineLevel="0" collapsed="false"/>
    <row r="647" customFormat="false" ht="12.75" hidden="false" customHeight="false" outlineLevel="0" collapsed="false"/>
    <row r="648" customFormat="false" ht="12.75" hidden="false" customHeight="false" outlineLevel="0" collapsed="false"/>
    <row r="649" customFormat="false" ht="12.75" hidden="false" customHeight="false" outlineLevel="0" collapsed="false"/>
    <row r="650" customFormat="false" ht="12.75" hidden="false" customHeight="false" outlineLevel="0" collapsed="false"/>
    <row r="651" customFormat="false" ht="12.75" hidden="false" customHeight="false" outlineLevel="0" collapsed="false"/>
    <row r="652" customFormat="false" ht="12.75" hidden="false" customHeight="false" outlineLevel="0" collapsed="false"/>
    <row r="653" customFormat="false" ht="12.75" hidden="false" customHeight="false" outlineLevel="0" collapsed="false"/>
    <row r="654" customFormat="false" ht="12.75" hidden="false" customHeight="false" outlineLevel="0" collapsed="false"/>
    <row r="655" customFormat="false" ht="12.75" hidden="false" customHeight="false" outlineLevel="0" collapsed="false"/>
    <row r="656" customFormat="false" ht="12.75" hidden="false" customHeight="false" outlineLevel="0" collapsed="false"/>
    <row r="657" customFormat="false" ht="12.75" hidden="false" customHeight="false" outlineLevel="0" collapsed="false"/>
    <row r="658" customFormat="false" ht="12.75" hidden="false" customHeight="false" outlineLevel="0" collapsed="false"/>
    <row r="659" customFormat="false" ht="12.75" hidden="false" customHeight="false" outlineLevel="0" collapsed="false"/>
    <row r="660" customFormat="false" ht="12.75" hidden="false" customHeight="false" outlineLevel="0" collapsed="false"/>
    <row r="661" customFormat="false" ht="12.75" hidden="false" customHeight="false" outlineLevel="0" collapsed="false"/>
    <row r="662" customFormat="false" ht="12.75" hidden="false" customHeight="false" outlineLevel="0" collapsed="false"/>
    <row r="663" customFormat="false" ht="12.75" hidden="false" customHeight="false" outlineLevel="0" collapsed="false"/>
    <row r="664" customFormat="false" ht="12.75" hidden="false" customHeight="false" outlineLevel="0" collapsed="false"/>
    <row r="665" customFormat="false" ht="12.75" hidden="false" customHeight="false" outlineLevel="0" collapsed="false"/>
    <row r="666" customFormat="false" ht="12.75" hidden="false" customHeight="false" outlineLevel="0" collapsed="false"/>
    <row r="667" customFormat="false" ht="12.75" hidden="false" customHeight="false" outlineLevel="0" collapsed="false"/>
    <row r="668" customFormat="false" ht="12.75" hidden="false" customHeight="false" outlineLevel="0" collapsed="false"/>
    <row r="669" customFormat="false" ht="12.75" hidden="false" customHeight="false" outlineLevel="0" collapsed="false"/>
    <row r="670" customFormat="false" ht="12.75" hidden="false" customHeight="false" outlineLevel="0" collapsed="false"/>
    <row r="671" customFormat="false" ht="12.75" hidden="false" customHeight="false" outlineLevel="0" collapsed="false"/>
    <row r="672" customFormat="false" ht="12.75" hidden="false" customHeight="false" outlineLevel="0" collapsed="false"/>
    <row r="673" customFormat="false" ht="12.75" hidden="false" customHeight="false" outlineLevel="0" collapsed="false"/>
    <row r="674" customFormat="false" ht="12.75" hidden="false" customHeight="false" outlineLevel="0" collapsed="false"/>
    <row r="675" customFormat="false" ht="12.75" hidden="false" customHeight="false" outlineLevel="0" collapsed="false"/>
    <row r="676" customFormat="false" ht="12.75" hidden="false" customHeight="false" outlineLevel="0" collapsed="false"/>
    <row r="677" customFormat="false" ht="12.75" hidden="false" customHeight="false" outlineLevel="0" collapsed="false"/>
    <row r="678" customFormat="false" ht="12.75" hidden="false" customHeight="false" outlineLevel="0" collapsed="false"/>
    <row r="679" customFormat="false" ht="12.75" hidden="false" customHeight="false" outlineLevel="0" collapsed="false"/>
    <row r="680" customFormat="false" ht="12.75" hidden="false" customHeight="false" outlineLevel="0" collapsed="false"/>
    <row r="681" customFormat="false" ht="12.75" hidden="false" customHeight="false" outlineLevel="0" collapsed="false"/>
    <row r="682" customFormat="false" ht="12.75" hidden="false" customHeight="false" outlineLevel="0" collapsed="false"/>
    <row r="683" customFormat="false" ht="12.75" hidden="false" customHeight="false" outlineLevel="0" collapsed="false"/>
    <row r="684" customFormat="false" ht="12.75" hidden="false" customHeight="false" outlineLevel="0" collapsed="false"/>
    <row r="685" customFormat="false" ht="12.75" hidden="false" customHeight="false" outlineLevel="0" collapsed="false"/>
    <row r="686" customFormat="false" ht="12.75" hidden="false" customHeight="false" outlineLevel="0" collapsed="false"/>
    <row r="687" customFormat="false" ht="12.75" hidden="false" customHeight="false" outlineLevel="0" collapsed="false"/>
    <row r="688" customFormat="false" ht="12.75" hidden="false" customHeight="false" outlineLevel="0" collapsed="false"/>
    <row r="689" customFormat="false" ht="12.75" hidden="false" customHeight="false" outlineLevel="0" collapsed="false"/>
    <row r="690" customFormat="false" ht="12.75" hidden="false" customHeight="false" outlineLevel="0" collapsed="false"/>
    <row r="691" customFormat="false" ht="12.75" hidden="false" customHeight="false" outlineLevel="0" collapsed="false"/>
    <row r="692" customFormat="false" ht="12.75" hidden="false" customHeight="false" outlineLevel="0" collapsed="false"/>
    <row r="693" customFormat="false" ht="12.75" hidden="false" customHeight="false" outlineLevel="0" collapsed="false"/>
    <row r="694" customFormat="false" ht="12.75" hidden="false" customHeight="false" outlineLevel="0" collapsed="false"/>
    <row r="695" customFormat="false" ht="12.75" hidden="false" customHeight="false" outlineLevel="0" collapsed="false"/>
    <row r="696" customFormat="false" ht="12.75" hidden="false" customHeight="false" outlineLevel="0" collapsed="false"/>
    <row r="697" customFormat="false" ht="12.75" hidden="false" customHeight="false" outlineLevel="0" collapsed="false"/>
    <row r="698" customFormat="false" ht="12.75" hidden="false" customHeight="false" outlineLevel="0" collapsed="false"/>
    <row r="699" customFormat="false" ht="12.75" hidden="false" customHeight="false" outlineLevel="0" collapsed="false"/>
    <row r="700" customFormat="false" ht="12.75" hidden="false" customHeight="false" outlineLevel="0" collapsed="false"/>
    <row r="701" customFormat="false" ht="12.75" hidden="false" customHeight="false" outlineLevel="0" collapsed="false"/>
    <row r="702" customFormat="false" ht="12.75" hidden="false" customHeight="false" outlineLevel="0" collapsed="false"/>
    <row r="703" customFormat="false" ht="12.75" hidden="false" customHeight="false" outlineLevel="0" collapsed="false"/>
    <row r="704" customFormat="false" ht="12.75" hidden="false" customHeight="false" outlineLevel="0" collapsed="false"/>
    <row r="705" customFormat="false" ht="12.75" hidden="false" customHeight="false" outlineLevel="0" collapsed="false"/>
    <row r="706" customFormat="false" ht="12.75" hidden="false" customHeight="false" outlineLevel="0" collapsed="false"/>
    <row r="707" customFormat="false" ht="12.75" hidden="false" customHeight="false" outlineLevel="0" collapsed="false"/>
    <row r="708" customFormat="false" ht="12.75" hidden="false" customHeight="false" outlineLevel="0" collapsed="false"/>
    <row r="709" customFormat="false" ht="12.75" hidden="false" customHeight="false" outlineLevel="0" collapsed="false"/>
    <row r="710" customFormat="false" ht="12.75" hidden="false" customHeight="false" outlineLevel="0" collapsed="false"/>
    <row r="711" customFormat="false" ht="12.75" hidden="false" customHeight="false" outlineLevel="0" collapsed="false"/>
    <row r="712" customFormat="false" ht="12.75" hidden="false" customHeight="false" outlineLevel="0" collapsed="false"/>
    <row r="713" customFormat="false" ht="12.75" hidden="false" customHeight="false" outlineLevel="0" collapsed="false"/>
    <row r="714" customFormat="false" ht="12.75" hidden="false" customHeight="false" outlineLevel="0" collapsed="false"/>
    <row r="715" customFormat="false" ht="12.75" hidden="false" customHeight="false" outlineLevel="0" collapsed="false"/>
    <row r="716" customFormat="false" ht="12.75" hidden="false" customHeight="false" outlineLevel="0" collapsed="false"/>
    <row r="717" customFormat="false" ht="12.75" hidden="false" customHeight="false" outlineLevel="0" collapsed="false"/>
    <row r="718" customFormat="false" ht="12.75" hidden="false" customHeight="false" outlineLevel="0" collapsed="false"/>
    <row r="719" customFormat="false" ht="12.75" hidden="false" customHeight="false" outlineLevel="0" collapsed="false"/>
    <row r="720" customFormat="false" ht="12.75" hidden="false" customHeight="false" outlineLevel="0" collapsed="false"/>
    <row r="721" customFormat="false" ht="12.75" hidden="false" customHeight="false" outlineLevel="0" collapsed="false"/>
    <row r="722" customFormat="false" ht="12.75" hidden="false" customHeight="false" outlineLevel="0" collapsed="false"/>
    <row r="723" customFormat="false" ht="12.75" hidden="false" customHeight="false" outlineLevel="0" collapsed="false"/>
    <row r="724" customFormat="false" ht="12.75" hidden="false" customHeight="false" outlineLevel="0" collapsed="false"/>
    <row r="725" customFormat="false" ht="12.75" hidden="false" customHeight="false" outlineLevel="0" collapsed="false"/>
    <row r="726" customFormat="false" ht="12.75" hidden="false" customHeight="false" outlineLevel="0" collapsed="false"/>
    <row r="727" customFormat="false" ht="12.75" hidden="false" customHeight="false" outlineLevel="0" collapsed="false"/>
    <row r="728" customFormat="false" ht="12.75" hidden="false" customHeight="false" outlineLevel="0" collapsed="false"/>
    <row r="729" customFormat="false" ht="12.75" hidden="false" customHeight="false" outlineLevel="0" collapsed="false"/>
    <row r="730" customFormat="false" ht="12.75" hidden="false" customHeight="false" outlineLevel="0" collapsed="false"/>
    <row r="731" customFormat="false" ht="12.75" hidden="false" customHeight="false" outlineLevel="0" collapsed="false"/>
    <row r="732" customFormat="false" ht="12.75" hidden="false" customHeight="false" outlineLevel="0" collapsed="false"/>
    <row r="733" customFormat="false" ht="12.75" hidden="false" customHeight="false" outlineLevel="0" collapsed="false"/>
    <row r="734" customFormat="false" ht="12.75" hidden="false" customHeight="false" outlineLevel="0" collapsed="false"/>
    <row r="735" customFormat="false" ht="12.75" hidden="false" customHeight="false" outlineLevel="0" collapsed="false"/>
    <row r="736" customFormat="false" ht="12.75" hidden="false" customHeight="false" outlineLevel="0" collapsed="false"/>
    <row r="737" customFormat="false" ht="12.75" hidden="false" customHeight="false" outlineLevel="0" collapsed="false"/>
    <row r="738" customFormat="false" ht="12.75" hidden="false" customHeight="false" outlineLevel="0" collapsed="false"/>
    <row r="739" customFormat="false" ht="12.75" hidden="false" customHeight="false" outlineLevel="0" collapsed="false"/>
    <row r="740" customFormat="false" ht="12.75" hidden="false" customHeight="false" outlineLevel="0" collapsed="false"/>
    <row r="741" customFormat="false" ht="12.75" hidden="false" customHeight="false" outlineLevel="0" collapsed="false"/>
    <row r="742" customFormat="false" ht="12.75" hidden="false" customHeight="false" outlineLevel="0" collapsed="false"/>
    <row r="743" customFormat="false" ht="12.75" hidden="false" customHeight="false" outlineLevel="0" collapsed="false"/>
    <row r="744" customFormat="false" ht="12.75" hidden="false" customHeight="false" outlineLevel="0" collapsed="false"/>
    <row r="745" customFormat="false" ht="12.75" hidden="false" customHeight="false" outlineLevel="0" collapsed="false"/>
    <row r="746" customFormat="false" ht="12.75" hidden="false" customHeight="false" outlineLevel="0" collapsed="false"/>
    <row r="747" customFormat="false" ht="12.75" hidden="false" customHeight="false" outlineLevel="0" collapsed="false"/>
    <row r="748" customFormat="false" ht="12.75" hidden="false" customHeight="false" outlineLevel="0" collapsed="false"/>
    <row r="749" customFormat="false" ht="12.75" hidden="false" customHeight="false" outlineLevel="0" collapsed="false"/>
    <row r="750" customFormat="false" ht="12.75" hidden="false" customHeight="false" outlineLevel="0" collapsed="false"/>
    <row r="751" customFormat="false" ht="12.75" hidden="false" customHeight="false" outlineLevel="0" collapsed="false"/>
    <row r="752" customFormat="false" ht="12.75" hidden="false" customHeight="false" outlineLevel="0" collapsed="false"/>
    <row r="753" customFormat="false" ht="12.75" hidden="false" customHeight="false" outlineLevel="0" collapsed="false"/>
    <row r="754" customFormat="false" ht="12.75" hidden="false" customHeight="false" outlineLevel="0" collapsed="false"/>
    <row r="755" customFormat="false" ht="12.75" hidden="false" customHeight="false" outlineLevel="0" collapsed="false"/>
    <row r="756" customFormat="false" ht="12.75" hidden="false" customHeight="false" outlineLevel="0" collapsed="false"/>
    <row r="757" customFormat="false" ht="12.75" hidden="false" customHeight="false" outlineLevel="0" collapsed="false"/>
    <row r="758" customFormat="false" ht="12.75" hidden="false" customHeight="false" outlineLevel="0" collapsed="false"/>
    <row r="759" customFormat="false" ht="12.75" hidden="false" customHeight="false" outlineLevel="0" collapsed="false"/>
    <row r="760" customFormat="false" ht="12.75" hidden="false" customHeight="false" outlineLevel="0" collapsed="false"/>
    <row r="761" customFormat="false" ht="12.75" hidden="false" customHeight="false" outlineLevel="0" collapsed="false"/>
    <row r="762" customFormat="false" ht="12.75" hidden="false" customHeight="false" outlineLevel="0" collapsed="false"/>
    <row r="763" customFormat="false" ht="12.75" hidden="false" customHeight="false" outlineLevel="0" collapsed="false"/>
    <row r="764" customFormat="false" ht="12.75" hidden="false" customHeight="false" outlineLevel="0" collapsed="false"/>
    <row r="765" customFormat="false" ht="12.75" hidden="false" customHeight="false" outlineLevel="0" collapsed="false"/>
    <row r="766" customFormat="false" ht="12.75" hidden="false" customHeight="false" outlineLevel="0" collapsed="false"/>
    <row r="767" customFormat="false" ht="12.75" hidden="false" customHeight="false" outlineLevel="0" collapsed="false"/>
    <row r="768" customFormat="false" ht="12.75" hidden="false" customHeight="false" outlineLevel="0" collapsed="false"/>
    <row r="769" customFormat="false" ht="12.75" hidden="false" customHeight="false" outlineLevel="0" collapsed="false"/>
    <row r="770" customFormat="false" ht="12.75" hidden="false" customHeight="false" outlineLevel="0" collapsed="false"/>
    <row r="771" customFormat="false" ht="12.75" hidden="false" customHeight="false" outlineLevel="0" collapsed="false"/>
    <row r="772" customFormat="false" ht="12.75" hidden="false" customHeight="false" outlineLevel="0" collapsed="false"/>
    <row r="773" customFormat="false" ht="12.75" hidden="false" customHeight="false" outlineLevel="0" collapsed="false"/>
    <row r="774" customFormat="false" ht="12.75" hidden="false" customHeight="false" outlineLevel="0" collapsed="false"/>
    <row r="775" customFormat="false" ht="12.75" hidden="false" customHeight="false" outlineLevel="0" collapsed="false"/>
    <row r="776" customFormat="false" ht="12.75" hidden="false" customHeight="false" outlineLevel="0" collapsed="false"/>
    <row r="777" customFormat="false" ht="12.75" hidden="false" customHeight="false" outlineLevel="0" collapsed="false"/>
    <row r="778" customFormat="false" ht="12.75" hidden="false" customHeight="false" outlineLevel="0" collapsed="false"/>
    <row r="779" customFormat="false" ht="12.75" hidden="false" customHeight="false" outlineLevel="0" collapsed="false"/>
    <row r="780" customFormat="false" ht="12.75" hidden="false" customHeight="false" outlineLevel="0" collapsed="false"/>
    <row r="781" customFormat="false" ht="12.75" hidden="false" customHeight="false" outlineLevel="0" collapsed="false"/>
    <row r="782" customFormat="false" ht="12.75" hidden="false" customHeight="false" outlineLevel="0" collapsed="false"/>
    <row r="783" customFormat="false" ht="12.75" hidden="false" customHeight="false" outlineLevel="0" collapsed="false"/>
    <row r="784" customFormat="false" ht="12.75" hidden="false" customHeight="false" outlineLevel="0" collapsed="false"/>
    <row r="785" customFormat="false" ht="12.75" hidden="false" customHeight="false" outlineLevel="0" collapsed="false"/>
    <row r="786" customFormat="false" ht="12.75" hidden="false" customHeight="false" outlineLevel="0" collapsed="false"/>
    <row r="787" customFormat="false" ht="12.75" hidden="false" customHeight="false" outlineLevel="0" collapsed="false"/>
    <row r="788" customFormat="false" ht="12.75" hidden="false" customHeight="false" outlineLevel="0" collapsed="false"/>
    <row r="789" customFormat="false" ht="12.75" hidden="false" customHeight="false" outlineLevel="0" collapsed="false"/>
    <row r="790" customFormat="false" ht="12.75" hidden="false" customHeight="false" outlineLevel="0" collapsed="false"/>
    <row r="791" customFormat="false" ht="12.75" hidden="false" customHeight="false" outlineLevel="0" collapsed="false"/>
    <row r="792" customFormat="false" ht="12.75" hidden="false" customHeight="false" outlineLevel="0" collapsed="false"/>
    <row r="793" customFormat="false" ht="12.75" hidden="false" customHeight="false" outlineLevel="0" collapsed="false"/>
    <row r="794" customFormat="false" ht="12.75" hidden="false" customHeight="false" outlineLevel="0" collapsed="false"/>
    <row r="795" customFormat="false" ht="12.75" hidden="false" customHeight="false" outlineLevel="0" collapsed="false"/>
    <row r="796" customFormat="false" ht="12.75" hidden="false" customHeight="false" outlineLevel="0" collapsed="false"/>
    <row r="797" customFormat="false" ht="12.75" hidden="false" customHeight="false" outlineLevel="0" collapsed="false"/>
    <row r="798" customFormat="false" ht="12.75" hidden="false" customHeight="false" outlineLevel="0" collapsed="false"/>
    <row r="799" customFormat="false" ht="12.75" hidden="false" customHeight="false" outlineLevel="0" collapsed="false"/>
    <row r="800" customFormat="false" ht="12.75" hidden="false" customHeight="false" outlineLevel="0" collapsed="false"/>
    <row r="801" customFormat="false" ht="12.75" hidden="false" customHeight="false" outlineLevel="0" collapsed="false"/>
    <row r="802" customFormat="false" ht="12.75" hidden="false" customHeight="false" outlineLevel="0" collapsed="false"/>
    <row r="803" customFormat="false" ht="12.75" hidden="false" customHeight="false" outlineLevel="0" collapsed="false"/>
    <row r="804" customFormat="false" ht="12.75" hidden="false" customHeight="false" outlineLevel="0" collapsed="false"/>
    <row r="805" customFormat="false" ht="12.75" hidden="false" customHeight="false" outlineLevel="0" collapsed="false"/>
    <row r="806" customFormat="false" ht="12.75" hidden="false" customHeight="false" outlineLevel="0" collapsed="false"/>
    <row r="807" customFormat="false" ht="12.75" hidden="false" customHeight="false" outlineLevel="0" collapsed="false"/>
    <row r="808" customFormat="false" ht="12.75" hidden="false" customHeight="false" outlineLevel="0" collapsed="false"/>
    <row r="809" customFormat="false" ht="12.75" hidden="false" customHeight="false" outlineLevel="0" collapsed="false"/>
    <row r="810" customFormat="false" ht="12.75" hidden="false" customHeight="false" outlineLevel="0" collapsed="false"/>
    <row r="811" customFormat="false" ht="12.75" hidden="false" customHeight="false" outlineLevel="0" collapsed="false"/>
    <row r="812" customFormat="false" ht="12.75" hidden="false" customHeight="false" outlineLevel="0" collapsed="false"/>
    <row r="813" customFormat="false" ht="12.75" hidden="false" customHeight="false" outlineLevel="0" collapsed="false"/>
    <row r="814" customFormat="false" ht="12.75" hidden="false" customHeight="false" outlineLevel="0" collapsed="false"/>
    <row r="815" customFormat="false" ht="12.75" hidden="false" customHeight="false" outlineLevel="0" collapsed="false"/>
    <row r="816" customFormat="false" ht="12.75" hidden="false" customHeight="false" outlineLevel="0" collapsed="false"/>
    <row r="817" customFormat="false" ht="12.75" hidden="false" customHeight="false" outlineLevel="0" collapsed="false"/>
    <row r="818" customFormat="false" ht="12.75" hidden="false" customHeight="false" outlineLevel="0" collapsed="false"/>
    <row r="819" customFormat="false" ht="12.75" hidden="false" customHeight="false" outlineLevel="0" collapsed="false"/>
    <row r="820" customFormat="false" ht="12.75" hidden="false" customHeight="false" outlineLevel="0" collapsed="false"/>
    <row r="821" customFormat="false" ht="12.75" hidden="false" customHeight="false" outlineLevel="0" collapsed="false"/>
    <row r="822" customFormat="false" ht="12.75" hidden="false" customHeight="false" outlineLevel="0" collapsed="false"/>
    <row r="823" customFormat="false" ht="12.75" hidden="false" customHeight="false" outlineLevel="0" collapsed="false"/>
    <row r="824" customFormat="false" ht="12.75" hidden="false" customHeight="false" outlineLevel="0" collapsed="false"/>
    <row r="825" customFormat="false" ht="12.75" hidden="false" customHeight="false" outlineLevel="0" collapsed="false"/>
    <row r="826" customFormat="false" ht="12.75" hidden="false" customHeight="false" outlineLevel="0" collapsed="false"/>
    <row r="827" customFormat="false" ht="12.75" hidden="false" customHeight="false" outlineLevel="0" collapsed="false"/>
    <row r="828" customFormat="false" ht="12.75" hidden="false" customHeight="false" outlineLevel="0" collapsed="false"/>
    <row r="829" customFormat="false" ht="12.75" hidden="false" customHeight="false" outlineLevel="0" collapsed="false"/>
    <row r="830" customFormat="false" ht="12.75" hidden="false" customHeight="false" outlineLevel="0" collapsed="false"/>
    <row r="831" customFormat="false" ht="12.75" hidden="false" customHeight="false" outlineLevel="0" collapsed="false"/>
    <row r="832" customFormat="false" ht="12.75" hidden="false" customHeight="false" outlineLevel="0" collapsed="false"/>
    <row r="833" customFormat="false" ht="12.75" hidden="false" customHeight="false" outlineLevel="0" collapsed="false"/>
    <row r="834" customFormat="false" ht="12.75" hidden="false" customHeight="false" outlineLevel="0" collapsed="false"/>
    <row r="835" customFormat="false" ht="12.75" hidden="false" customHeight="false" outlineLevel="0" collapsed="false"/>
    <row r="836" customFormat="false" ht="12.75" hidden="false" customHeight="false" outlineLevel="0" collapsed="false"/>
    <row r="837" customFormat="false" ht="12.75" hidden="false" customHeight="false" outlineLevel="0" collapsed="false"/>
    <row r="838" customFormat="false" ht="12.75" hidden="false" customHeight="false" outlineLevel="0" collapsed="false"/>
    <row r="839" customFormat="false" ht="12.75" hidden="false" customHeight="false" outlineLevel="0" collapsed="false"/>
    <row r="840" customFormat="false" ht="12.75" hidden="false" customHeight="false" outlineLevel="0" collapsed="false"/>
    <row r="841" customFormat="false" ht="12.75" hidden="false" customHeight="false" outlineLevel="0" collapsed="false"/>
    <row r="842" customFormat="false" ht="12.75" hidden="false" customHeight="false" outlineLevel="0" collapsed="false"/>
    <row r="843" customFormat="false" ht="12.75" hidden="false" customHeight="false" outlineLevel="0" collapsed="false"/>
    <row r="844" customFormat="false" ht="12.75" hidden="false" customHeight="false" outlineLevel="0" collapsed="false"/>
    <row r="845" customFormat="false" ht="12.75" hidden="false" customHeight="false" outlineLevel="0" collapsed="false"/>
    <row r="846" customFormat="false" ht="12.75" hidden="false" customHeight="false" outlineLevel="0" collapsed="false"/>
    <row r="847" customFormat="false" ht="12.75" hidden="false" customHeight="false" outlineLevel="0" collapsed="false"/>
    <row r="848" customFormat="false" ht="12.75" hidden="false" customHeight="false" outlineLevel="0" collapsed="false"/>
    <row r="849" customFormat="false" ht="12.75" hidden="false" customHeight="false" outlineLevel="0" collapsed="false"/>
    <row r="850" customFormat="false" ht="12.75" hidden="false" customHeight="false" outlineLevel="0" collapsed="false"/>
    <row r="851" customFormat="false" ht="12.75" hidden="false" customHeight="false" outlineLevel="0" collapsed="false"/>
    <row r="852" customFormat="false" ht="12.75" hidden="false" customHeight="false" outlineLevel="0" collapsed="false"/>
    <row r="853" customFormat="false" ht="12.75" hidden="false" customHeight="false" outlineLevel="0" collapsed="false"/>
    <row r="854" customFormat="false" ht="12.75" hidden="false" customHeight="false" outlineLevel="0" collapsed="false"/>
    <row r="855" customFormat="false" ht="12.75" hidden="false" customHeight="false" outlineLevel="0" collapsed="false"/>
    <row r="856" customFormat="false" ht="12.75" hidden="false" customHeight="false" outlineLevel="0" collapsed="false"/>
    <row r="857" customFormat="false" ht="12.75" hidden="false" customHeight="false" outlineLevel="0" collapsed="false"/>
    <row r="858" customFormat="false" ht="12.75" hidden="false" customHeight="false" outlineLevel="0" collapsed="false"/>
    <row r="859" customFormat="false" ht="12.75" hidden="false" customHeight="false" outlineLevel="0" collapsed="false"/>
    <row r="860" customFormat="false" ht="12.75" hidden="false" customHeight="false" outlineLevel="0" collapsed="false"/>
    <row r="861" customFormat="false" ht="12.75" hidden="false" customHeight="false" outlineLevel="0" collapsed="false"/>
    <row r="862" customFormat="false" ht="12.75" hidden="false" customHeight="false" outlineLevel="0" collapsed="false"/>
    <row r="863" customFormat="false" ht="12.75" hidden="false" customHeight="false" outlineLevel="0" collapsed="false"/>
    <row r="864" customFormat="false" ht="12.75" hidden="false" customHeight="false" outlineLevel="0" collapsed="false"/>
    <row r="865" customFormat="false" ht="12.75" hidden="false" customHeight="false" outlineLevel="0" collapsed="false"/>
    <row r="866" customFormat="false" ht="12.75" hidden="false" customHeight="false" outlineLevel="0" collapsed="false"/>
    <row r="867" customFormat="false" ht="12.75" hidden="false" customHeight="false" outlineLevel="0" collapsed="false"/>
    <row r="868" customFormat="false" ht="12.75" hidden="false" customHeight="false" outlineLevel="0" collapsed="false"/>
    <row r="869" customFormat="false" ht="12.75" hidden="false" customHeight="false" outlineLevel="0" collapsed="false"/>
    <row r="870" customFormat="false" ht="12.75" hidden="false" customHeight="false" outlineLevel="0" collapsed="false"/>
    <row r="871" customFormat="false" ht="12.75" hidden="false" customHeight="false" outlineLevel="0" collapsed="false"/>
    <row r="872" customFormat="false" ht="12.75" hidden="false" customHeight="false" outlineLevel="0" collapsed="false"/>
    <row r="873" customFormat="false" ht="12.75" hidden="false" customHeight="false" outlineLevel="0" collapsed="false"/>
    <row r="874" customFormat="false" ht="12.75" hidden="false" customHeight="false" outlineLevel="0" collapsed="false"/>
    <row r="875" customFormat="false" ht="12.75" hidden="false" customHeight="false" outlineLevel="0" collapsed="false"/>
    <row r="876" customFormat="false" ht="12.75" hidden="false" customHeight="false" outlineLevel="0" collapsed="false"/>
    <row r="877" customFormat="false" ht="12.75" hidden="false" customHeight="false" outlineLevel="0" collapsed="false"/>
    <row r="878" customFormat="false" ht="12.75" hidden="false" customHeight="false" outlineLevel="0" collapsed="false"/>
    <row r="879" customFormat="false" ht="12.75" hidden="false" customHeight="false" outlineLevel="0" collapsed="false"/>
    <row r="880" customFormat="false" ht="12.75" hidden="false" customHeight="false" outlineLevel="0" collapsed="false"/>
    <row r="881" customFormat="false" ht="12.75" hidden="false" customHeight="false" outlineLevel="0" collapsed="false"/>
    <row r="882" customFormat="false" ht="12.75" hidden="false" customHeight="false" outlineLevel="0" collapsed="false"/>
    <row r="883" customFormat="false" ht="12.75" hidden="false" customHeight="false" outlineLevel="0" collapsed="false"/>
    <row r="884" customFormat="false" ht="12.75" hidden="false" customHeight="false" outlineLevel="0" collapsed="false"/>
    <row r="885" customFormat="false" ht="12.75" hidden="false" customHeight="false" outlineLevel="0" collapsed="false"/>
    <row r="886" customFormat="false" ht="12.75" hidden="false" customHeight="false" outlineLevel="0" collapsed="false"/>
    <row r="887" customFormat="false" ht="12.75" hidden="false" customHeight="false" outlineLevel="0" collapsed="false"/>
    <row r="888" customFormat="false" ht="12.75" hidden="false" customHeight="false" outlineLevel="0" collapsed="false"/>
    <row r="889" customFormat="false" ht="12.75" hidden="false" customHeight="false" outlineLevel="0" collapsed="false"/>
    <row r="890" customFormat="false" ht="12.75" hidden="false" customHeight="false" outlineLevel="0" collapsed="false"/>
    <row r="891" customFormat="false" ht="12.75" hidden="false" customHeight="false" outlineLevel="0" collapsed="false"/>
    <row r="892" customFormat="false" ht="12.75" hidden="false" customHeight="false" outlineLevel="0" collapsed="false"/>
    <row r="893" customFormat="false" ht="12.75" hidden="false" customHeight="false" outlineLevel="0" collapsed="false"/>
    <row r="894" customFormat="false" ht="12.75" hidden="false" customHeight="false" outlineLevel="0" collapsed="false"/>
    <row r="895" customFormat="false" ht="12.75" hidden="false" customHeight="false" outlineLevel="0" collapsed="false"/>
    <row r="896" customFormat="false" ht="12.75" hidden="false" customHeight="false" outlineLevel="0" collapsed="false"/>
    <row r="897" customFormat="false" ht="12.75" hidden="false" customHeight="false" outlineLevel="0" collapsed="false"/>
    <row r="898" customFormat="false" ht="12.75" hidden="false" customHeight="false" outlineLevel="0" collapsed="false"/>
    <row r="899" customFormat="false" ht="12.75" hidden="false" customHeight="false" outlineLevel="0" collapsed="false"/>
    <row r="900" customFormat="false" ht="12.75" hidden="false" customHeight="false" outlineLevel="0" collapsed="false"/>
    <row r="901" customFormat="false" ht="12.75" hidden="false" customHeight="false" outlineLevel="0" collapsed="false"/>
    <row r="902" customFormat="false" ht="12.75" hidden="false" customHeight="false" outlineLevel="0" collapsed="false"/>
    <row r="903" customFormat="false" ht="12.75" hidden="false" customHeight="false" outlineLevel="0" collapsed="false"/>
    <row r="904" customFormat="false" ht="12.75" hidden="false" customHeight="false" outlineLevel="0" collapsed="false"/>
    <row r="905" customFormat="false" ht="12.75" hidden="false" customHeight="false" outlineLevel="0" collapsed="false"/>
    <row r="906" customFormat="false" ht="12.75" hidden="false" customHeight="false" outlineLevel="0" collapsed="false"/>
    <row r="907" customFormat="false" ht="12.75" hidden="false" customHeight="false" outlineLevel="0" collapsed="false"/>
    <row r="908" customFormat="false" ht="12.75" hidden="false" customHeight="false" outlineLevel="0" collapsed="false"/>
    <row r="909" customFormat="false" ht="12.75" hidden="false" customHeight="false" outlineLevel="0" collapsed="false"/>
    <row r="910" customFormat="false" ht="12.75" hidden="false" customHeight="false" outlineLevel="0" collapsed="false"/>
    <row r="911" customFormat="false" ht="12.75" hidden="false" customHeight="false" outlineLevel="0" collapsed="false"/>
    <row r="912" customFormat="false" ht="12.75" hidden="false" customHeight="false" outlineLevel="0" collapsed="false"/>
    <row r="913" customFormat="false" ht="12.75" hidden="false" customHeight="false" outlineLevel="0" collapsed="false"/>
    <row r="914" customFormat="false" ht="12.75" hidden="false" customHeight="false" outlineLevel="0" collapsed="false"/>
    <row r="915" customFormat="false" ht="12.75" hidden="false" customHeight="false" outlineLevel="0" collapsed="false"/>
    <row r="916" customFormat="false" ht="12.75" hidden="false" customHeight="false" outlineLevel="0" collapsed="false"/>
    <row r="917" customFormat="false" ht="12.75" hidden="false" customHeight="false" outlineLevel="0" collapsed="false"/>
    <row r="918" customFormat="false" ht="12.75" hidden="false" customHeight="false" outlineLevel="0" collapsed="false"/>
    <row r="919" customFormat="false" ht="12.75" hidden="false" customHeight="false" outlineLevel="0" collapsed="false"/>
    <row r="920" customFormat="false" ht="12.75" hidden="false" customHeight="false" outlineLevel="0" collapsed="false"/>
    <row r="921" customFormat="false" ht="12.75" hidden="false" customHeight="false" outlineLevel="0" collapsed="false"/>
    <row r="922" customFormat="false" ht="12.75" hidden="false" customHeight="false" outlineLevel="0" collapsed="false"/>
    <row r="923" customFormat="false" ht="12.75" hidden="false" customHeight="false" outlineLevel="0" collapsed="false"/>
    <row r="924" customFormat="false" ht="12.75" hidden="false" customHeight="false" outlineLevel="0" collapsed="false"/>
    <row r="925" customFormat="false" ht="12.75" hidden="false" customHeight="false" outlineLevel="0" collapsed="false"/>
    <row r="926" customFormat="false" ht="12.75" hidden="false" customHeight="false" outlineLevel="0" collapsed="false"/>
    <row r="927" customFormat="false" ht="12.75" hidden="false" customHeight="false" outlineLevel="0" collapsed="false"/>
    <row r="928" customFormat="false" ht="12.75" hidden="false" customHeight="false" outlineLevel="0" collapsed="false"/>
    <row r="929" customFormat="false" ht="12.75" hidden="false" customHeight="false" outlineLevel="0" collapsed="false"/>
    <row r="930" customFormat="false" ht="12.75" hidden="false" customHeight="false" outlineLevel="0" collapsed="false"/>
    <row r="931" customFormat="false" ht="12.75" hidden="false" customHeight="false" outlineLevel="0" collapsed="false"/>
    <row r="932" customFormat="false" ht="12.75" hidden="false" customHeight="false" outlineLevel="0" collapsed="false"/>
    <row r="933" customFormat="false" ht="12.75" hidden="false" customHeight="false" outlineLevel="0" collapsed="false"/>
    <row r="934" customFormat="false" ht="12.75" hidden="false" customHeight="false" outlineLevel="0" collapsed="false"/>
    <row r="935" customFormat="false" ht="12.75" hidden="false" customHeight="false" outlineLevel="0" collapsed="false"/>
    <row r="936" customFormat="false" ht="12.75" hidden="false" customHeight="false" outlineLevel="0" collapsed="false"/>
    <row r="937" customFormat="false" ht="12.75" hidden="false" customHeight="false" outlineLevel="0" collapsed="false"/>
    <row r="938" customFormat="false" ht="12.75" hidden="false" customHeight="false" outlineLevel="0" collapsed="false"/>
    <row r="939" customFormat="false" ht="12.75" hidden="false" customHeight="false" outlineLevel="0" collapsed="false"/>
    <row r="940" customFormat="false" ht="12.75" hidden="false" customHeight="false" outlineLevel="0" collapsed="false"/>
    <row r="941" customFormat="false" ht="12.75" hidden="false" customHeight="false" outlineLevel="0" collapsed="false"/>
    <row r="942" customFormat="false" ht="12.75" hidden="false" customHeight="false" outlineLevel="0" collapsed="false"/>
    <row r="943" customFormat="false" ht="12.75" hidden="false" customHeight="false" outlineLevel="0" collapsed="false"/>
    <row r="944" customFormat="false" ht="12.75" hidden="false" customHeight="false" outlineLevel="0" collapsed="false"/>
    <row r="945" customFormat="false" ht="12.75" hidden="false" customHeight="false" outlineLevel="0" collapsed="false"/>
    <row r="946" customFormat="false" ht="12.75" hidden="false" customHeight="false" outlineLevel="0" collapsed="false"/>
    <row r="947" customFormat="false" ht="12.75" hidden="false" customHeight="false" outlineLevel="0" collapsed="false"/>
    <row r="948" customFormat="false" ht="12.75" hidden="false" customHeight="false" outlineLevel="0" collapsed="false"/>
    <row r="949" customFormat="false" ht="12.75" hidden="false" customHeight="false" outlineLevel="0" collapsed="false"/>
    <row r="950" customFormat="false" ht="12.75" hidden="false" customHeight="false" outlineLevel="0" collapsed="false"/>
    <row r="951" customFormat="false" ht="12.75" hidden="false" customHeight="false" outlineLevel="0" collapsed="false"/>
    <row r="952" customFormat="false" ht="12.75" hidden="false" customHeight="false" outlineLevel="0" collapsed="false"/>
    <row r="953" customFormat="false" ht="12.75" hidden="false" customHeight="false" outlineLevel="0" collapsed="false"/>
    <row r="954" customFormat="false" ht="12.75" hidden="false" customHeight="false" outlineLevel="0" collapsed="false"/>
    <row r="955" customFormat="false" ht="12.75" hidden="false" customHeight="false" outlineLevel="0" collapsed="false"/>
    <row r="956" customFormat="false" ht="12.75" hidden="false" customHeight="false" outlineLevel="0" collapsed="false"/>
    <row r="957" customFormat="false" ht="12.75" hidden="false" customHeight="false" outlineLevel="0" collapsed="false"/>
    <row r="958" customFormat="false" ht="12.75" hidden="false" customHeight="false" outlineLevel="0" collapsed="false"/>
    <row r="959" customFormat="false" ht="12.75" hidden="false" customHeight="false" outlineLevel="0" collapsed="false"/>
    <row r="960" customFormat="false" ht="12.75" hidden="false" customHeight="false" outlineLevel="0" collapsed="false"/>
    <row r="961" customFormat="false" ht="12.75" hidden="false" customHeight="false" outlineLevel="0" collapsed="false"/>
    <row r="962" customFormat="false" ht="12.75" hidden="false" customHeight="false" outlineLevel="0" collapsed="false"/>
    <row r="963" customFormat="false" ht="12.75" hidden="false" customHeight="false" outlineLevel="0" collapsed="false"/>
    <row r="964" customFormat="false" ht="12.75" hidden="false" customHeight="false" outlineLevel="0" collapsed="false"/>
    <row r="965" customFormat="false" ht="12.75" hidden="false" customHeight="false" outlineLevel="0" collapsed="false"/>
    <row r="966" customFormat="false" ht="12.75" hidden="false" customHeight="false" outlineLevel="0" collapsed="false"/>
    <row r="967" customFormat="false" ht="12.75" hidden="false" customHeight="false" outlineLevel="0" collapsed="false"/>
    <row r="968" customFormat="false" ht="12.75" hidden="false" customHeight="false" outlineLevel="0" collapsed="false"/>
    <row r="969" customFormat="false" ht="12.75" hidden="false" customHeight="false" outlineLevel="0" collapsed="false"/>
    <row r="970" customFormat="false" ht="12.75" hidden="false" customHeight="false" outlineLevel="0" collapsed="false"/>
    <row r="971" customFormat="false" ht="12.75" hidden="false" customHeight="false" outlineLevel="0" collapsed="false"/>
    <row r="972" customFormat="false" ht="12.75" hidden="false" customHeight="false" outlineLevel="0" collapsed="false"/>
    <row r="973" customFormat="false" ht="12.75" hidden="false" customHeight="false" outlineLevel="0" collapsed="false"/>
    <row r="974" customFormat="false" ht="12.75" hidden="false" customHeight="false" outlineLevel="0" collapsed="false"/>
    <row r="975" customFormat="false" ht="12.75" hidden="false" customHeight="false" outlineLevel="0" collapsed="false"/>
    <row r="976" customFormat="false" ht="12.75" hidden="false" customHeight="false" outlineLevel="0" collapsed="false"/>
    <row r="977" customFormat="false" ht="12.75" hidden="false" customHeight="false" outlineLevel="0" collapsed="false"/>
    <row r="978" customFormat="false" ht="12.75" hidden="false" customHeight="false" outlineLevel="0" collapsed="false"/>
    <row r="979" customFormat="false" ht="12.75" hidden="false" customHeight="false" outlineLevel="0" collapsed="false"/>
    <row r="980" customFormat="false" ht="12.75" hidden="false" customHeight="false" outlineLevel="0" collapsed="false"/>
    <row r="981" customFormat="false" ht="12.75" hidden="false" customHeight="false" outlineLevel="0" collapsed="false"/>
    <row r="982" customFormat="false" ht="12.75" hidden="false" customHeight="false" outlineLevel="0" collapsed="false"/>
    <row r="983" customFormat="false" ht="12.75" hidden="false" customHeight="false" outlineLevel="0" collapsed="false"/>
    <row r="984" customFormat="false" ht="12.75" hidden="false" customHeight="false" outlineLevel="0" collapsed="false"/>
    <row r="985" customFormat="false" ht="12.75" hidden="false" customHeight="false" outlineLevel="0" collapsed="false"/>
    <row r="986" customFormat="false" ht="12.75" hidden="false" customHeight="false" outlineLevel="0" collapsed="false"/>
    <row r="987" customFormat="false" ht="12.75" hidden="false" customHeight="false" outlineLevel="0" collapsed="false"/>
    <row r="988" customFormat="false" ht="12.75" hidden="false" customHeight="false" outlineLevel="0" collapsed="false"/>
    <row r="989" customFormat="false" ht="12.75" hidden="false" customHeight="false" outlineLevel="0" collapsed="false"/>
    <row r="990" customFormat="false" ht="12.75" hidden="false" customHeight="false" outlineLevel="0" collapsed="false"/>
    <row r="991" customFormat="false" ht="12.75" hidden="false" customHeight="false" outlineLevel="0" collapsed="false"/>
    <row r="992" customFormat="false" ht="12.75" hidden="false" customHeight="false" outlineLevel="0" collapsed="false"/>
    <row r="993" customFormat="false" ht="12.75" hidden="false" customHeight="false" outlineLevel="0" collapsed="false"/>
    <row r="994" customFormat="false" ht="12.75" hidden="false" customHeight="false" outlineLevel="0" collapsed="false"/>
    <row r="995" customFormat="false" ht="12.75" hidden="false" customHeight="false" outlineLevel="0" collapsed="false"/>
    <row r="996" customFormat="false" ht="12.75" hidden="false" customHeight="false" outlineLevel="0" collapsed="false"/>
    <row r="997" customFormat="false" ht="12.75" hidden="false" customHeight="false" outlineLevel="0" collapsed="false"/>
    <row r="998" customFormat="false" ht="12.75" hidden="false" customHeight="false" outlineLevel="0" collapsed="false"/>
    <row r="999" customFormat="false" ht="12.75" hidden="false" customHeight="false" outlineLevel="0" collapsed="false"/>
    <row r="1000" customFormat="false" ht="12.75" hidden="false" customHeight="false" outlineLevel="0" collapsed="false"/>
    <row r="1001" customFormat="false" ht="12.75" hidden="false" customHeight="false" outlineLevel="0" collapsed="false"/>
  </sheetData>
  <mergeCells count="2">
    <mergeCell ref="H1:I1"/>
    <mergeCell ref="K5:M6"/>
  </mergeCells>
  <conditionalFormatting sqref="H6:H1001">
    <cfRule type="cellIs" priority="2" operator="between" aboveAverage="0" equalAverage="0" bottom="0" percent="0" rank="0" text="" dxfId="0">
      <formula>0</formula>
      <formula>0.5</formula>
    </cfRule>
  </conditionalFormatting>
  <conditionalFormatting sqref="H6:H1001">
    <cfRule type="cellIs" priority="3" operator="between" aboveAverage="0" equalAverage="0" bottom="0" percent="0" rank="0" text="" dxfId="1">
      <formula>0.51</formula>
      <formula>0.99</formula>
    </cfRule>
  </conditionalFormatting>
  <conditionalFormatting sqref="H6:H1001">
    <cfRule type="cellIs" priority="4" operator="greaterThanOrEqual" aboveAverage="0" equalAverage="0" bottom="0" percent="0" rank="0" text="" dxfId="2">
      <formula>1</formula>
    </cfRule>
  </conditionalFormatting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1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RowHeight="15.75" zeroHeight="false" outlineLevelRow="0" outlineLevelCol="0"/>
  <cols>
    <col collapsed="false" customWidth="true" hidden="false" outlineLevel="0" max="2" min="1" style="0" width="14.43"/>
    <col collapsed="false" customWidth="true" hidden="false" outlineLevel="0" max="3" min="3" style="0" width="22.43"/>
    <col collapsed="false" customWidth="true" hidden="false" outlineLevel="0" max="1025" min="4" style="0" width="14.43"/>
  </cols>
  <sheetData>
    <row r="1" s="26" customFormat="true" ht="48" hidden="false" customHeight="true" outlineLevel="0" collapsed="false">
      <c r="A1" s="23"/>
      <c r="B1" s="23"/>
      <c r="C1" s="23"/>
      <c r="D1" s="23"/>
      <c r="E1" s="24" t="s">
        <v>20</v>
      </c>
      <c r="F1" s="24" t="n">
        <f aca="false">'Cadastro Institucional'!D$6</f>
        <v>0</v>
      </c>
      <c r="G1" s="25" t="n">
        <f aca="false">'Cadastro Institucional'!D$7</f>
        <v>0</v>
      </c>
      <c r="H1" s="41"/>
      <c r="I1" s="41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customFormat="false" ht="12.75" hidden="false" customHeight="false" outlineLevel="0" collapsed="false">
      <c r="A2" s="27" t="s">
        <v>14</v>
      </c>
      <c r="B2" s="27" t="s">
        <v>13</v>
      </c>
      <c r="C2" s="27" t="s">
        <v>15</v>
      </c>
      <c r="D2" s="27" t="s">
        <v>16</v>
      </c>
      <c r="E2" s="27" t="s">
        <v>17</v>
      </c>
      <c r="F2" s="27" t="s">
        <v>18</v>
      </c>
      <c r="G2" s="27" t="s">
        <v>19</v>
      </c>
      <c r="H2" s="69" t="s">
        <v>35</v>
      </c>
      <c r="I2" s="69" t="s">
        <v>36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customFormat="false" ht="12.75" hidden="false" customHeight="false" outlineLevel="0" collapsed="false">
      <c r="A3" s="30" t="n">
        <f aca="false">'Cadastro Institucional'!D$10</f>
        <v>0</v>
      </c>
      <c r="B3" s="31" t="n">
        <f aca="false">'Cadastro Institucional'!D$9</f>
        <v>0</v>
      </c>
      <c r="C3" s="31" t="n">
        <f aca="false">'Cadastro Institucional'!D$11</f>
        <v>0</v>
      </c>
      <c r="D3" s="32" t="n">
        <f aca="false">'Cadastro Institucional'!D$12</f>
        <v>0</v>
      </c>
      <c r="E3" s="31" t="n">
        <f aca="false">'Cadastro Institucional'!D$13</f>
        <v>0</v>
      </c>
      <c r="F3" s="31" t="n">
        <f aca="false">'Cadastro Institucional'!D$14</f>
        <v>0</v>
      </c>
      <c r="G3" s="33" t="n">
        <f aca="false">'Cadastro Institucional'!D$15</f>
        <v>0</v>
      </c>
      <c r="H3" s="70"/>
      <c r="I3" s="70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customFormat="false" ht="12.75" hidden="false" customHeight="false" outlineLevel="0" collapsed="false">
      <c r="A4" s="29"/>
      <c r="B4" s="29"/>
      <c r="C4" s="29"/>
      <c r="D4" s="29"/>
      <c r="E4" s="29"/>
      <c r="F4" s="29"/>
      <c r="G4" s="29"/>
      <c r="H4" s="29"/>
      <c r="I4" s="29"/>
      <c r="J4" s="29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 customFormat="false" ht="25.5" hidden="false" customHeight="true" outlineLevel="0" collapsed="false">
      <c r="A5" s="56" t="s">
        <v>21</v>
      </c>
      <c r="B5" s="56" t="s">
        <v>23</v>
      </c>
      <c r="C5" s="56" t="s">
        <v>22</v>
      </c>
      <c r="D5" s="56" t="s">
        <v>28</v>
      </c>
      <c r="E5" s="56" t="s">
        <v>29</v>
      </c>
      <c r="F5" s="56" t="s">
        <v>30</v>
      </c>
      <c r="G5" s="56" t="s">
        <v>31</v>
      </c>
      <c r="H5" s="56" t="s">
        <v>32</v>
      </c>
      <c r="I5" s="56" t="s">
        <v>33</v>
      </c>
      <c r="J5" s="58"/>
      <c r="K5" s="20" t="s">
        <v>8</v>
      </c>
      <c r="L5" s="20"/>
      <c r="M5" s="20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</row>
    <row r="6" customFormat="false" ht="12.75" hidden="false" customHeight="true" outlineLevel="0" collapsed="false">
      <c r="A6" s="37" t="n">
        <f aca="false">'Itens de Contrato'!A6</f>
        <v>0</v>
      </c>
      <c r="B6" s="37" t="n">
        <f aca="false">'Itens de Contrato'!B6</f>
        <v>0</v>
      </c>
      <c r="C6" s="37" t="e">
        <f aca="false">VLOOKUP(B6,'Itens de Contrato'!B$5:G$151,2,0)</f>
        <v>#N/A</v>
      </c>
      <c r="D6" s="52"/>
      <c r="E6" s="63" t="n">
        <f aca="false">D6*'Itens de Contrato'!F6</f>
        <v>0</v>
      </c>
      <c r="F6" s="62" t="n">
        <f aca="false">'Medição 03'!F6-'Medição 03'!G6</f>
        <v>0</v>
      </c>
      <c r="G6" s="52"/>
      <c r="H6" s="64" t="e">
        <f aca="false">G6/D6</f>
        <v>#DIV/0!</v>
      </c>
      <c r="I6" s="63" t="n">
        <f aca="false">G6*'Itens de Contrato'!F6</f>
        <v>0</v>
      </c>
      <c r="J6" s="37"/>
      <c r="K6" s="20"/>
      <c r="L6" s="20"/>
      <c r="M6" s="20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customFormat="false" ht="12.8" hidden="false" customHeight="false" outlineLevel="0" collapsed="false">
      <c r="A7" s="37" t="n">
        <f aca="false">'Itens de Contrato'!A7</f>
        <v>0</v>
      </c>
      <c r="B7" s="37" t="n">
        <f aca="false">'Itens de Contrato'!B7</f>
        <v>0</v>
      </c>
      <c r="C7" s="37" t="e">
        <f aca="false">VLOOKUP(B7,'Itens de Contrato'!B$5:G$151,2,0)</f>
        <v>#N/A</v>
      </c>
      <c r="D7" s="52"/>
      <c r="E7" s="63" t="n">
        <f aca="false">D7*'Itens de Contrato'!F7</f>
        <v>0</v>
      </c>
      <c r="F7" s="62" t="n">
        <f aca="false">'Medição 02'!F7-'Medição 02'!G7</f>
        <v>0</v>
      </c>
      <c r="G7" s="52"/>
      <c r="H7" s="64" t="e">
        <f aca="false">G7/D7</f>
        <v>#DIV/0!</v>
      </c>
      <c r="I7" s="63" t="n">
        <f aca="false">G7*'Itens de Contrato'!F7</f>
        <v>0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customFormat="false" ht="12.8" hidden="false" customHeight="false" outlineLevel="0" collapsed="false">
      <c r="A8" s="37" t="n">
        <f aca="false">'Itens de Contrato'!A8</f>
        <v>0</v>
      </c>
      <c r="B8" s="37" t="n">
        <f aca="false">'Itens de Contrato'!B8</f>
        <v>0</v>
      </c>
      <c r="C8" s="37" t="e">
        <f aca="false">VLOOKUP(B8,'Itens de Contrato'!B$5:G$151,2,0)</f>
        <v>#N/A</v>
      </c>
      <c r="D8" s="52"/>
      <c r="E8" s="63" t="n">
        <f aca="false">D8*'Itens de Contrato'!F8</f>
        <v>0</v>
      </c>
      <c r="F8" s="62" t="n">
        <f aca="false">'Medição 02'!F8-'Medição 02'!G8</f>
        <v>0</v>
      </c>
      <c r="G8" s="52"/>
      <c r="H8" s="64" t="e">
        <f aca="false">G8/D8</f>
        <v>#DIV/0!</v>
      </c>
      <c r="I8" s="63" t="n">
        <f aca="false">G8*'Itens de Contrato'!F8</f>
        <v>0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customFormat="false" ht="12.8" hidden="false" customHeight="false" outlineLevel="0" collapsed="false">
      <c r="A9" s="37" t="n">
        <f aca="false">'Itens de Contrato'!A9</f>
        <v>0</v>
      </c>
      <c r="B9" s="37" t="n">
        <f aca="false">'Itens de Contrato'!B9</f>
        <v>0</v>
      </c>
      <c r="C9" s="37" t="e">
        <f aca="false">VLOOKUP(B9,'Itens de Contrato'!B$5:G$151,2,0)</f>
        <v>#N/A</v>
      </c>
      <c r="D9" s="52"/>
      <c r="E9" s="63" t="n">
        <f aca="false">D9*'Itens de Contrato'!F9</f>
        <v>0</v>
      </c>
      <c r="F9" s="62" t="n">
        <f aca="false">'Medição 02'!F9-'Medição 02'!G9</f>
        <v>0</v>
      </c>
      <c r="G9" s="52"/>
      <c r="H9" s="64" t="e">
        <f aca="false">G9/D9</f>
        <v>#DIV/0!</v>
      </c>
      <c r="I9" s="63" t="n">
        <f aca="false">G9*'Itens de Contrato'!F9</f>
        <v>0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 customFormat="false" ht="12.8" hidden="false" customHeight="false" outlineLevel="0" collapsed="false">
      <c r="A10" s="37" t="n">
        <f aca="false">'Itens de Contrato'!A10</f>
        <v>0</v>
      </c>
      <c r="B10" s="37" t="n">
        <f aca="false">'Itens de Contrato'!B10</f>
        <v>0</v>
      </c>
      <c r="C10" s="37" t="e">
        <f aca="false">VLOOKUP(B10,'Itens de Contrato'!B$5:G$151,2,0)</f>
        <v>#N/A</v>
      </c>
      <c r="D10" s="52"/>
      <c r="E10" s="63" t="n">
        <f aca="false">D10*'Itens de Contrato'!F10</f>
        <v>0</v>
      </c>
      <c r="F10" s="62" t="n">
        <f aca="false">'Medição 02'!F10-'Medição 02'!G10</f>
        <v>0</v>
      </c>
      <c r="G10" s="52"/>
      <c r="H10" s="64" t="e">
        <f aca="false">G10/D10</f>
        <v>#DIV/0!</v>
      </c>
      <c r="I10" s="63" t="n">
        <f aca="false">G10*'Itens de Contrato'!F10</f>
        <v>0</v>
      </c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 customFormat="false" ht="12.8" hidden="false" customHeight="false" outlineLevel="0" collapsed="false">
      <c r="A11" s="37" t="n">
        <f aca="false">'Itens de Contrato'!A11</f>
        <v>0</v>
      </c>
      <c r="B11" s="37" t="n">
        <f aca="false">'Itens de Contrato'!B11</f>
        <v>0</v>
      </c>
      <c r="C11" s="37" t="e">
        <f aca="false">VLOOKUP(B11,'Itens de Contrato'!B$5:G$151,2,0)</f>
        <v>#N/A</v>
      </c>
      <c r="D11" s="52"/>
      <c r="E11" s="63" t="n">
        <f aca="false">D11*'Itens de Contrato'!F11</f>
        <v>0</v>
      </c>
      <c r="F11" s="62" t="n">
        <f aca="false">'Medição 02'!F11-'Medição 02'!G11</f>
        <v>0</v>
      </c>
      <c r="G11" s="52"/>
      <c r="H11" s="64" t="e">
        <f aca="false">G11/D11</f>
        <v>#DIV/0!</v>
      </c>
      <c r="I11" s="63" t="n">
        <f aca="false">G11*'Itens de Contrato'!F11</f>
        <v>0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 customFormat="false" ht="12.8" hidden="false" customHeight="false" outlineLevel="0" collapsed="false">
      <c r="A12" s="37" t="n">
        <f aca="false">'Itens de Contrato'!A12</f>
        <v>0</v>
      </c>
      <c r="B12" s="37" t="n">
        <f aca="false">'Itens de Contrato'!B12</f>
        <v>0</v>
      </c>
      <c r="C12" s="37" t="e">
        <f aca="false">VLOOKUP(B12,'Itens de Contrato'!B$5:G$151,2,0)</f>
        <v>#N/A</v>
      </c>
      <c r="D12" s="52"/>
      <c r="E12" s="63" t="n">
        <f aca="false">D12*'Itens de Contrato'!F12</f>
        <v>0</v>
      </c>
      <c r="F12" s="62" t="n">
        <f aca="false">'Medição 02'!F12-'Medição 02'!G12</f>
        <v>0</v>
      </c>
      <c r="G12" s="52"/>
      <c r="H12" s="64" t="e">
        <f aca="false">G12/D12</f>
        <v>#DIV/0!</v>
      </c>
      <c r="I12" s="63" t="n">
        <f aca="false">G12*'Itens de Contrato'!F12</f>
        <v>0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 customFormat="false" ht="12.8" hidden="false" customHeight="false" outlineLevel="0" collapsed="false">
      <c r="A13" s="37" t="n">
        <f aca="false">'Itens de Contrato'!A13</f>
        <v>0</v>
      </c>
      <c r="B13" s="37" t="n">
        <f aca="false">'Itens de Contrato'!B13</f>
        <v>0</v>
      </c>
      <c r="C13" s="37" t="e">
        <f aca="false">VLOOKUP(B13,'Itens de Contrato'!B$5:G$151,2,0)</f>
        <v>#N/A</v>
      </c>
      <c r="D13" s="52"/>
      <c r="E13" s="63" t="n">
        <f aca="false">D13*'Itens de Contrato'!F13</f>
        <v>0</v>
      </c>
      <c r="F13" s="62" t="n">
        <f aca="false">'Medição 02'!F13-'Medição 02'!G13</f>
        <v>0</v>
      </c>
      <c r="G13" s="52"/>
      <c r="H13" s="64" t="e">
        <f aca="false">G13/D13</f>
        <v>#DIV/0!</v>
      </c>
      <c r="I13" s="63" t="n">
        <f aca="false">G13*'Itens de Contrato'!F13</f>
        <v>0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customFormat="false" ht="12.8" hidden="false" customHeight="false" outlineLevel="0" collapsed="false">
      <c r="A14" s="37" t="n">
        <f aca="false">'Itens de Contrato'!A14</f>
        <v>0</v>
      </c>
      <c r="B14" s="37" t="n">
        <f aca="false">'Itens de Contrato'!B14</f>
        <v>0</v>
      </c>
      <c r="C14" s="37" t="e">
        <f aca="false">VLOOKUP(B14,'Itens de Contrato'!B$5:G$151,2,0)</f>
        <v>#N/A</v>
      </c>
      <c r="D14" s="52"/>
      <c r="E14" s="63" t="n">
        <f aca="false">D14*'Itens de Contrato'!F14</f>
        <v>0</v>
      </c>
      <c r="F14" s="62" t="n">
        <f aca="false">'Medição 02'!F14-'Medição 02'!G14</f>
        <v>0</v>
      </c>
      <c r="G14" s="52"/>
      <c r="H14" s="64" t="e">
        <f aca="false">G14/D14</f>
        <v>#DIV/0!</v>
      </c>
      <c r="I14" s="63" t="n">
        <f aca="false">G14*'Itens de Contrato'!F14</f>
        <v>0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 customFormat="false" ht="12.8" hidden="false" customHeight="false" outlineLevel="0" collapsed="false">
      <c r="A15" s="37" t="n">
        <f aca="false">'Itens de Contrato'!A15</f>
        <v>0</v>
      </c>
      <c r="B15" s="37" t="n">
        <f aca="false">'Itens de Contrato'!B15</f>
        <v>0</v>
      </c>
      <c r="C15" s="37" t="e">
        <f aca="false">VLOOKUP(B15,'Itens de Contrato'!B$5:G$151,2,0)</f>
        <v>#N/A</v>
      </c>
      <c r="D15" s="52"/>
      <c r="E15" s="63" t="n">
        <f aca="false">D15*'Itens de Contrato'!F15</f>
        <v>0</v>
      </c>
      <c r="F15" s="62" t="n">
        <f aca="false">'Medição 02'!F15-'Medição 02'!G15</f>
        <v>0</v>
      </c>
      <c r="G15" s="52"/>
      <c r="H15" s="64" t="e">
        <f aca="false">G15/D15</f>
        <v>#DIV/0!</v>
      </c>
      <c r="I15" s="63" t="n">
        <f aca="false">G15*'Itens de Contrato'!F15</f>
        <v>0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customFormat="false" ht="12.8" hidden="false" customHeight="false" outlineLevel="0" collapsed="false">
      <c r="A16" s="37" t="n">
        <f aca="false">'Itens de Contrato'!A16</f>
        <v>0</v>
      </c>
      <c r="B16" s="37" t="n">
        <f aca="false">'Itens de Contrato'!B16</f>
        <v>0</v>
      </c>
      <c r="C16" s="37" t="e">
        <f aca="false">VLOOKUP(B16,'Itens de Contrato'!B$5:G$151,2,0)</f>
        <v>#N/A</v>
      </c>
      <c r="D16" s="52"/>
      <c r="E16" s="63" t="n">
        <f aca="false">D16*'Itens de Contrato'!F16</f>
        <v>0</v>
      </c>
      <c r="F16" s="62" t="n">
        <f aca="false">'Medição 02'!F16-'Medição 02'!G16</f>
        <v>0</v>
      </c>
      <c r="G16" s="52"/>
      <c r="H16" s="64" t="e">
        <f aca="false">G16/D16</f>
        <v>#DIV/0!</v>
      </c>
      <c r="I16" s="63" t="n">
        <f aca="false">G16*'Itens de Contrato'!F16</f>
        <v>0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7" customFormat="false" ht="12.8" hidden="false" customHeight="false" outlineLevel="0" collapsed="false">
      <c r="A17" s="37" t="n">
        <f aca="false">'Itens de Contrato'!A17</f>
        <v>0</v>
      </c>
      <c r="B17" s="37" t="n">
        <f aca="false">'Itens de Contrato'!B17</f>
        <v>0</v>
      </c>
      <c r="C17" s="37" t="e">
        <f aca="false">VLOOKUP(B17,'Itens de Contrato'!B$5:G$151,2,0)</f>
        <v>#N/A</v>
      </c>
      <c r="D17" s="52"/>
      <c r="E17" s="63" t="n">
        <f aca="false">D17*'Itens de Contrato'!F17</f>
        <v>0</v>
      </c>
      <c r="F17" s="62" t="n">
        <f aca="false">'Medição 02'!F17-'Medição 02'!G17</f>
        <v>0</v>
      </c>
      <c r="G17" s="52"/>
      <c r="H17" s="64" t="e">
        <f aca="false">G17/D17</f>
        <v>#DIV/0!</v>
      </c>
      <c r="I17" s="63" t="n">
        <f aca="false">G17*'Itens de Contrato'!F17</f>
        <v>0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</row>
    <row r="18" customFormat="false" ht="12.8" hidden="false" customHeight="false" outlineLevel="0" collapsed="false">
      <c r="A18" s="37" t="n">
        <f aca="false">'Itens de Contrato'!A18</f>
        <v>0</v>
      </c>
      <c r="B18" s="37" t="n">
        <f aca="false">'Itens de Contrato'!B18</f>
        <v>0</v>
      </c>
      <c r="C18" s="37" t="e">
        <f aca="false">VLOOKUP(B18,'Itens de Contrato'!B$5:G$151,2,0)</f>
        <v>#N/A</v>
      </c>
      <c r="D18" s="52"/>
      <c r="E18" s="63" t="n">
        <f aca="false">D18*'Itens de Contrato'!F18</f>
        <v>0</v>
      </c>
      <c r="F18" s="62" t="n">
        <f aca="false">'Medição 02'!F18-'Medição 02'!G18</f>
        <v>0</v>
      </c>
      <c r="G18" s="52"/>
      <c r="H18" s="64" t="e">
        <f aca="false">G18/D18</f>
        <v>#DIV/0!</v>
      </c>
      <c r="I18" s="63" t="n">
        <f aca="false">G18*'Itens de Contrato'!F18</f>
        <v>0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</row>
    <row r="19" customFormat="false" ht="12.8" hidden="false" customHeight="false" outlineLevel="0" collapsed="false">
      <c r="A19" s="37" t="n">
        <f aca="false">'Itens de Contrato'!A19</f>
        <v>0</v>
      </c>
      <c r="B19" s="37" t="n">
        <f aca="false">'Itens de Contrato'!B19</f>
        <v>0</v>
      </c>
      <c r="C19" s="37" t="e">
        <f aca="false">VLOOKUP(B19,'Itens de Contrato'!B$5:G$151,2,0)</f>
        <v>#N/A</v>
      </c>
      <c r="D19" s="52"/>
      <c r="E19" s="63" t="n">
        <f aca="false">D19*'Itens de Contrato'!F19</f>
        <v>0</v>
      </c>
      <c r="F19" s="62" t="n">
        <f aca="false">'Medição 02'!F19-'Medição 02'!G19</f>
        <v>0</v>
      </c>
      <c r="G19" s="52"/>
      <c r="H19" s="64" t="e">
        <f aca="false">G19/D19</f>
        <v>#DIV/0!</v>
      </c>
      <c r="I19" s="63" t="n">
        <f aca="false">G19*'Itens de Contrato'!F19</f>
        <v>0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</row>
    <row r="20" customFormat="false" ht="12.8" hidden="false" customHeight="false" outlineLevel="0" collapsed="false">
      <c r="A20" s="37" t="n">
        <f aca="false">'Itens de Contrato'!A20</f>
        <v>0</v>
      </c>
      <c r="B20" s="37" t="n">
        <f aca="false">'Itens de Contrato'!B20</f>
        <v>0</v>
      </c>
      <c r="C20" s="37" t="e">
        <f aca="false">VLOOKUP(B20,'Itens de Contrato'!B$5:G$151,2,0)</f>
        <v>#N/A</v>
      </c>
      <c r="D20" s="52"/>
      <c r="E20" s="63" t="n">
        <f aca="false">D20*'Itens de Contrato'!F20</f>
        <v>0</v>
      </c>
      <c r="F20" s="62" t="n">
        <f aca="false">'Medição 02'!F20-'Medição 02'!G20</f>
        <v>0</v>
      </c>
      <c r="G20" s="52"/>
      <c r="H20" s="64" t="e">
        <f aca="false">G20/D20</f>
        <v>#DIV/0!</v>
      </c>
      <c r="I20" s="63" t="n">
        <f aca="false">G20*'Itens de Contrato'!F20</f>
        <v>0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</row>
    <row r="21" customFormat="false" ht="12.8" hidden="false" customHeight="false" outlineLevel="0" collapsed="false">
      <c r="A21" s="37" t="n">
        <f aca="false">'Itens de Contrato'!A21</f>
        <v>0</v>
      </c>
      <c r="B21" s="37" t="n">
        <f aca="false">'Itens de Contrato'!B21</f>
        <v>0</v>
      </c>
      <c r="C21" s="37" t="e">
        <f aca="false">VLOOKUP(B21,'Itens de Contrato'!B$5:G$151,2,0)</f>
        <v>#N/A</v>
      </c>
      <c r="D21" s="52"/>
      <c r="E21" s="63" t="n">
        <f aca="false">D21*'Itens de Contrato'!F21</f>
        <v>0</v>
      </c>
      <c r="F21" s="62" t="n">
        <f aca="false">'Medição 02'!F21-'Medição 02'!G21</f>
        <v>0</v>
      </c>
      <c r="G21" s="52"/>
      <c r="H21" s="64" t="e">
        <f aca="false">G21/D21</f>
        <v>#DIV/0!</v>
      </c>
      <c r="I21" s="63" t="n">
        <f aca="false">G21*'Itens de Contrato'!F21</f>
        <v>0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customFormat="false" ht="12.8" hidden="false" customHeight="false" outlineLevel="0" collapsed="false">
      <c r="A22" s="37" t="n">
        <f aca="false">'Itens de Contrato'!A22</f>
        <v>0</v>
      </c>
      <c r="B22" s="37" t="n">
        <f aca="false">'Itens de Contrato'!B22</f>
        <v>0</v>
      </c>
      <c r="C22" s="37" t="e">
        <f aca="false">VLOOKUP(B22,'Itens de Contrato'!B$5:G$151,2,0)</f>
        <v>#N/A</v>
      </c>
      <c r="D22" s="52"/>
      <c r="E22" s="63" t="n">
        <f aca="false">D22*'Itens de Contrato'!F22</f>
        <v>0</v>
      </c>
      <c r="F22" s="62" t="n">
        <f aca="false">'Medição 02'!F22-'Medição 02'!G22</f>
        <v>0</v>
      </c>
      <c r="G22" s="52"/>
      <c r="H22" s="64" t="e">
        <f aca="false">G22/D22</f>
        <v>#DIV/0!</v>
      </c>
      <c r="I22" s="63" t="n">
        <f aca="false">G22*'Itens de Contrato'!F22</f>
        <v>0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  <row r="23" customFormat="false" ht="12.8" hidden="false" customHeight="false" outlineLevel="0" collapsed="false">
      <c r="A23" s="37" t="n">
        <f aca="false">'Itens de Contrato'!A23</f>
        <v>0</v>
      </c>
      <c r="B23" s="37" t="n">
        <f aca="false">'Itens de Contrato'!B23</f>
        <v>0</v>
      </c>
      <c r="C23" s="37" t="e">
        <f aca="false">VLOOKUP(B23,'Itens de Contrato'!B$5:G$151,2,0)</f>
        <v>#N/A</v>
      </c>
      <c r="D23" s="52"/>
      <c r="E23" s="63" t="n">
        <f aca="false">D23*'Itens de Contrato'!F23</f>
        <v>0</v>
      </c>
      <c r="F23" s="62" t="n">
        <f aca="false">'Medição 02'!F23-'Medição 02'!G23</f>
        <v>0</v>
      </c>
      <c r="G23" s="52"/>
      <c r="H23" s="64" t="e">
        <f aca="false">G23/D23</f>
        <v>#DIV/0!</v>
      </c>
      <c r="I23" s="63" t="n">
        <f aca="false">G23*'Itens de Contrato'!F23</f>
        <v>0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</row>
    <row r="24" customFormat="false" ht="12.8" hidden="false" customHeight="false" outlineLevel="0" collapsed="false">
      <c r="A24" s="37" t="n">
        <f aca="false">'Itens de Contrato'!A24</f>
        <v>0</v>
      </c>
      <c r="B24" s="37" t="n">
        <f aca="false">'Itens de Contrato'!B24</f>
        <v>0</v>
      </c>
      <c r="C24" s="37" t="e">
        <f aca="false">VLOOKUP(B24,'Itens de Contrato'!B$5:G$151,2,0)</f>
        <v>#N/A</v>
      </c>
      <c r="D24" s="52"/>
      <c r="E24" s="63" t="n">
        <f aca="false">D24*'Itens de Contrato'!F24</f>
        <v>0</v>
      </c>
      <c r="F24" s="62" t="n">
        <f aca="false">'Medição 02'!F24-'Medição 02'!G24</f>
        <v>0</v>
      </c>
      <c r="G24" s="52"/>
      <c r="H24" s="64" t="e">
        <f aca="false">G24/D24</f>
        <v>#DIV/0!</v>
      </c>
      <c r="I24" s="63" t="n">
        <f aca="false">G24*'Itens de Contrato'!F24</f>
        <v>0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</row>
    <row r="25" customFormat="false" ht="12.8" hidden="false" customHeight="false" outlineLevel="0" collapsed="false">
      <c r="A25" s="37" t="n">
        <f aca="false">'Itens de Contrato'!A25</f>
        <v>0</v>
      </c>
      <c r="B25" s="37" t="n">
        <f aca="false">'Itens de Contrato'!B25</f>
        <v>0</v>
      </c>
      <c r="C25" s="37" t="e">
        <f aca="false">VLOOKUP(B25,'Itens de Contrato'!B$5:G$151,2,0)</f>
        <v>#N/A</v>
      </c>
      <c r="D25" s="52"/>
      <c r="E25" s="63" t="n">
        <f aca="false">D25*'Itens de Contrato'!F25</f>
        <v>0</v>
      </c>
      <c r="F25" s="62" t="n">
        <f aca="false">'Medição 02'!F25-'Medição 02'!G25</f>
        <v>0</v>
      </c>
      <c r="G25" s="52"/>
      <c r="H25" s="64" t="e">
        <f aca="false">G25/D25</f>
        <v>#DIV/0!</v>
      </c>
      <c r="I25" s="63" t="n">
        <f aca="false">G25*'Itens de Contrato'!F25</f>
        <v>0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</row>
    <row r="26" customFormat="false" ht="12.8" hidden="false" customHeight="false" outlineLevel="0" collapsed="false">
      <c r="A26" s="37" t="n">
        <f aca="false">'Itens de Contrato'!A26</f>
        <v>0</v>
      </c>
      <c r="B26" s="37" t="n">
        <f aca="false">'Itens de Contrato'!B26</f>
        <v>0</v>
      </c>
      <c r="C26" s="37" t="e">
        <f aca="false">VLOOKUP(B26,'Itens de Contrato'!B$5:G$151,2,0)</f>
        <v>#N/A</v>
      </c>
      <c r="D26" s="52"/>
      <c r="E26" s="63" t="n">
        <f aca="false">D26*'Itens de Contrato'!F26</f>
        <v>0</v>
      </c>
      <c r="F26" s="62" t="n">
        <f aca="false">'Medição 02'!F26-'Medição 02'!G26</f>
        <v>0</v>
      </c>
      <c r="G26" s="52"/>
      <c r="H26" s="64" t="e">
        <f aca="false">G26/D26</f>
        <v>#DIV/0!</v>
      </c>
      <c r="I26" s="63" t="n">
        <f aca="false">G26*'Itens de Contrato'!F26</f>
        <v>0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</row>
    <row r="27" customFormat="false" ht="12.8" hidden="false" customHeight="false" outlineLevel="0" collapsed="false">
      <c r="A27" s="37" t="n">
        <f aca="false">'Itens de Contrato'!A27</f>
        <v>0</v>
      </c>
      <c r="B27" s="37" t="n">
        <f aca="false">'Itens de Contrato'!B27</f>
        <v>0</v>
      </c>
      <c r="C27" s="37" t="e">
        <f aca="false">VLOOKUP(B27,'Itens de Contrato'!B$5:G$151,2,0)</f>
        <v>#N/A</v>
      </c>
      <c r="D27" s="52"/>
      <c r="E27" s="63" t="n">
        <f aca="false">D27*'Itens de Contrato'!F27</f>
        <v>0</v>
      </c>
      <c r="F27" s="62" t="n">
        <f aca="false">'Medição 02'!F27-'Medição 02'!G27</f>
        <v>0</v>
      </c>
      <c r="G27" s="52"/>
      <c r="H27" s="64" t="e">
        <f aca="false">G27/D27</f>
        <v>#DIV/0!</v>
      </c>
      <c r="I27" s="63" t="n">
        <f aca="false">G27*'Itens de Contrato'!F27</f>
        <v>0</v>
      </c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</row>
    <row r="28" customFormat="false" ht="12.8" hidden="false" customHeight="false" outlineLevel="0" collapsed="false">
      <c r="A28" s="37" t="n">
        <f aca="false">'Itens de Contrato'!A28</f>
        <v>0</v>
      </c>
      <c r="B28" s="37" t="n">
        <f aca="false">'Itens de Contrato'!B28</f>
        <v>0</v>
      </c>
      <c r="C28" s="37" t="e">
        <f aca="false">VLOOKUP(B28,'Itens de Contrato'!B$5:G$151,2,0)</f>
        <v>#N/A</v>
      </c>
      <c r="D28" s="52"/>
      <c r="E28" s="63" t="n">
        <f aca="false">D28*'Itens de Contrato'!F28</f>
        <v>0</v>
      </c>
      <c r="F28" s="62" t="n">
        <f aca="false">'Medição 02'!F28-'Medição 02'!G28</f>
        <v>0</v>
      </c>
      <c r="G28" s="52"/>
      <c r="H28" s="64" t="e">
        <f aca="false">G28/D28</f>
        <v>#DIV/0!</v>
      </c>
      <c r="I28" s="63" t="n">
        <f aca="false">G28*'Itens de Contrato'!F28</f>
        <v>0</v>
      </c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customFormat="false" ht="12.8" hidden="false" customHeight="false" outlineLevel="0" collapsed="false">
      <c r="A29" s="37" t="n">
        <f aca="false">'Itens de Contrato'!A29</f>
        <v>0</v>
      </c>
      <c r="B29" s="37" t="n">
        <f aca="false">'Itens de Contrato'!B29</f>
        <v>0</v>
      </c>
      <c r="C29" s="37" t="e">
        <f aca="false">VLOOKUP(B29,'Itens de Contrato'!B$5:G$151,2,0)</f>
        <v>#N/A</v>
      </c>
      <c r="D29" s="52"/>
      <c r="E29" s="63" t="n">
        <f aca="false">D29*'Itens de Contrato'!F29</f>
        <v>0</v>
      </c>
      <c r="F29" s="62" t="n">
        <f aca="false">'Medição 02'!F29-'Medição 02'!G29</f>
        <v>0</v>
      </c>
      <c r="G29" s="52"/>
      <c r="H29" s="64" t="e">
        <f aca="false">G29/D29</f>
        <v>#DIV/0!</v>
      </c>
      <c r="I29" s="63" t="n">
        <f aca="false">G29*'Itens de Contrato'!F29</f>
        <v>0</v>
      </c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</row>
    <row r="30" customFormat="false" ht="12.8" hidden="false" customHeight="false" outlineLevel="0" collapsed="false">
      <c r="A30" s="37" t="n">
        <f aca="false">'Itens de Contrato'!A30</f>
        <v>0</v>
      </c>
      <c r="B30" s="37" t="n">
        <f aca="false">'Itens de Contrato'!B30</f>
        <v>0</v>
      </c>
      <c r="C30" s="37" t="e">
        <f aca="false">VLOOKUP(B30,'Itens de Contrato'!B$5:G$151,2,0)</f>
        <v>#N/A</v>
      </c>
      <c r="D30" s="52"/>
      <c r="E30" s="63" t="n">
        <f aca="false">D30*'Itens de Contrato'!F30</f>
        <v>0</v>
      </c>
      <c r="F30" s="62" t="n">
        <f aca="false">'Medição 02'!F30-'Medição 02'!G30</f>
        <v>0</v>
      </c>
      <c r="G30" s="52"/>
      <c r="H30" s="64" t="e">
        <f aca="false">G30/D30</f>
        <v>#DIV/0!</v>
      </c>
      <c r="I30" s="63" t="n">
        <f aca="false">G30*'Itens de Contrato'!F30</f>
        <v>0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</row>
    <row r="31" customFormat="false" ht="12.8" hidden="false" customHeight="false" outlineLevel="0" collapsed="false">
      <c r="A31" s="37" t="n">
        <f aca="false">'Itens de Contrato'!A31</f>
        <v>0</v>
      </c>
      <c r="B31" s="37" t="n">
        <f aca="false">'Itens de Contrato'!B31</f>
        <v>0</v>
      </c>
      <c r="C31" s="37" t="e">
        <f aca="false">VLOOKUP(B31,'Itens de Contrato'!B$5:G$151,2,0)</f>
        <v>#N/A</v>
      </c>
      <c r="D31" s="52"/>
      <c r="E31" s="63" t="n">
        <f aca="false">D31*'Itens de Contrato'!F31</f>
        <v>0</v>
      </c>
      <c r="F31" s="62" t="n">
        <f aca="false">'Medição 02'!F31-'Medição 02'!G31</f>
        <v>0</v>
      </c>
      <c r="G31" s="52"/>
      <c r="H31" s="64" t="e">
        <f aca="false">G31/D31</f>
        <v>#DIV/0!</v>
      </c>
      <c r="I31" s="63" t="n">
        <f aca="false">G31*'Itens de Contrato'!F31</f>
        <v>0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customFormat="false" ht="12.8" hidden="false" customHeight="false" outlineLevel="0" collapsed="false">
      <c r="A32" s="37" t="n">
        <f aca="false">'Itens de Contrato'!A32</f>
        <v>0</v>
      </c>
      <c r="B32" s="37" t="n">
        <f aca="false">'Itens de Contrato'!B32</f>
        <v>0</v>
      </c>
      <c r="C32" s="37" t="e">
        <f aca="false">VLOOKUP(B32,'Itens de Contrato'!B$5:G$151,2,0)</f>
        <v>#N/A</v>
      </c>
      <c r="D32" s="52"/>
      <c r="E32" s="63" t="n">
        <f aca="false">D32*'Itens de Contrato'!F32</f>
        <v>0</v>
      </c>
      <c r="F32" s="62" t="n">
        <f aca="false">'Medição 02'!F32-'Medição 02'!G32</f>
        <v>0</v>
      </c>
      <c r="G32" s="52"/>
      <c r="H32" s="64" t="e">
        <f aca="false">G32/D32</f>
        <v>#DIV/0!</v>
      </c>
      <c r="I32" s="63" t="n">
        <f aca="false">G32*'Itens de Contrato'!F32</f>
        <v>0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customFormat="false" ht="12.8" hidden="false" customHeight="false" outlineLevel="0" collapsed="false">
      <c r="A33" s="37" t="n">
        <f aca="false">'Itens de Contrato'!A33</f>
        <v>0</v>
      </c>
      <c r="B33" s="37" t="n">
        <f aca="false">'Itens de Contrato'!B33</f>
        <v>0</v>
      </c>
      <c r="C33" s="37" t="e">
        <f aca="false">VLOOKUP(B33,'Itens de Contrato'!B$5:G$151,2,0)</f>
        <v>#N/A</v>
      </c>
      <c r="D33" s="52"/>
      <c r="E33" s="63" t="n">
        <f aca="false">D33*'Itens de Contrato'!F33</f>
        <v>0</v>
      </c>
      <c r="F33" s="62" t="n">
        <f aca="false">'Medição 02'!F33-'Medição 02'!G33</f>
        <v>0</v>
      </c>
      <c r="G33" s="52"/>
      <c r="H33" s="64" t="e">
        <f aca="false">G33/D33</f>
        <v>#DIV/0!</v>
      </c>
      <c r="I33" s="63" t="n">
        <f aca="false">G33*'Itens de Contrato'!F33</f>
        <v>0</v>
      </c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customFormat="false" ht="12.8" hidden="false" customHeight="false" outlineLevel="0" collapsed="false">
      <c r="A34" s="37" t="n">
        <f aca="false">'Itens de Contrato'!A34</f>
        <v>0</v>
      </c>
      <c r="B34" s="37" t="n">
        <f aca="false">'Itens de Contrato'!B34</f>
        <v>0</v>
      </c>
      <c r="C34" s="37" t="e">
        <f aca="false">VLOOKUP(B34,'Itens de Contrato'!B$5:G$151,2,0)</f>
        <v>#N/A</v>
      </c>
      <c r="D34" s="52"/>
      <c r="E34" s="63" t="n">
        <f aca="false">D34*'Itens de Contrato'!F34</f>
        <v>0</v>
      </c>
      <c r="F34" s="62" t="n">
        <f aca="false">'Medição 02'!F34-'Medição 02'!G34</f>
        <v>0</v>
      </c>
      <c r="G34" s="52"/>
      <c r="H34" s="64" t="e">
        <f aca="false">G34/D34</f>
        <v>#DIV/0!</v>
      </c>
      <c r="I34" s="63" t="n">
        <f aca="false">G34*'Itens de Contrato'!F34</f>
        <v>0</v>
      </c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</row>
    <row r="35" customFormat="false" ht="12.8" hidden="false" customHeight="false" outlineLevel="0" collapsed="false">
      <c r="A35" s="37" t="n">
        <f aca="false">'Itens de Contrato'!A35</f>
        <v>0</v>
      </c>
      <c r="B35" s="37" t="n">
        <f aca="false">'Itens de Contrato'!B35</f>
        <v>0</v>
      </c>
      <c r="C35" s="37" t="e">
        <f aca="false">VLOOKUP(B35,'Itens de Contrato'!B$5:G$151,2,0)</f>
        <v>#N/A</v>
      </c>
      <c r="D35" s="52"/>
      <c r="E35" s="63" t="n">
        <f aca="false">D35*'Itens de Contrato'!F35</f>
        <v>0</v>
      </c>
      <c r="F35" s="62" t="n">
        <f aca="false">'Medição 02'!F35-'Medição 02'!G35</f>
        <v>0</v>
      </c>
      <c r="G35" s="52"/>
      <c r="H35" s="64" t="e">
        <f aca="false">G35/D35</f>
        <v>#DIV/0!</v>
      </c>
      <c r="I35" s="63" t="n">
        <f aca="false">G35*'Itens de Contrato'!F35</f>
        <v>0</v>
      </c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</row>
    <row r="36" customFormat="false" ht="12.8" hidden="false" customHeight="false" outlineLevel="0" collapsed="false">
      <c r="A36" s="37" t="n">
        <f aca="false">'Itens de Contrato'!A36</f>
        <v>0</v>
      </c>
      <c r="B36" s="37" t="n">
        <f aca="false">'Itens de Contrato'!B36</f>
        <v>0</v>
      </c>
      <c r="C36" s="37" t="e">
        <f aca="false">VLOOKUP(B36,'Itens de Contrato'!B$5:G$151,2,0)</f>
        <v>#N/A</v>
      </c>
      <c r="D36" s="52"/>
      <c r="E36" s="63" t="n">
        <f aca="false">D36*'Itens de Contrato'!F36</f>
        <v>0</v>
      </c>
      <c r="F36" s="62" t="n">
        <f aca="false">'Medição 02'!F36-'Medição 02'!G36</f>
        <v>0</v>
      </c>
      <c r="G36" s="52"/>
      <c r="H36" s="64" t="e">
        <f aca="false">G36/D36</f>
        <v>#DIV/0!</v>
      </c>
      <c r="I36" s="63" t="n">
        <f aca="false">G36*'Itens de Contrato'!F36</f>
        <v>0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customFormat="false" ht="12.8" hidden="false" customHeight="false" outlineLevel="0" collapsed="false">
      <c r="A37" s="37" t="n">
        <f aca="false">'Itens de Contrato'!A37</f>
        <v>0</v>
      </c>
      <c r="B37" s="37" t="n">
        <f aca="false">'Itens de Contrato'!B37</f>
        <v>0</v>
      </c>
      <c r="C37" s="37" t="e">
        <f aca="false">VLOOKUP(B37,'Itens de Contrato'!B$5:G$151,2,0)</f>
        <v>#N/A</v>
      </c>
      <c r="D37" s="52"/>
      <c r="E37" s="63" t="n">
        <f aca="false">D37*'Itens de Contrato'!F37</f>
        <v>0</v>
      </c>
      <c r="F37" s="62" t="n">
        <f aca="false">'Medição 02'!F37-'Medição 02'!G37</f>
        <v>0</v>
      </c>
      <c r="G37" s="52"/>
      <c r="H37" s="64" t="e">
        <f aca="false">G37/D37</f>
        <v>#DIV/0!</v>
      </c>
      <c r="I37" s="63" t="n">
        <f aca="false">G37*'Itens de Contrato'!F37</f>
        <v>0</v>
      </c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customFormat="false" ht="12.8" hidden="false" customHeight="false" outlineLevel="0" collapsed="false">
      <c r="A38" s="37" t="n">
        <f aca="false">'Itens de Contrato'!A38</f>
        <v>0</v>
      </c>
      <c r="B38" s="37" t="n">
        <f aca="false">'Itens de Contrato'!B38</f>
        <v>0</v>
      </c>
      <c r="C38" s="37" t="e">
        <f aca="false">VLOOKUP(B38,'Itens de Contrato'!B$5:G$151,2,0)</f>
        <v>#N/A</v>
      </c>
      <c r="D38" s="52"/>
      <c r="E38" s="63" t="n">
        <f aca="false">D38*'Itens de Contrato'!F38</f>
        <v>0</v>
      </c>
      <c r="F38" s="62" t="n">
        <f aca="false">'Medição 02'!F38-'Medição 02'!G38</f>
        <v>0</v>
      </c>
      <c r="G38" s="52"/>
      <c r="H38" s="64" t="e">
        <f aca="false">G38/D38</f>
        <v>#DIV/0!</v>
      </c>
      <c r="I38" s="63" t="n">
        <f aca="false">G38*'Itens de Contrato'!F38</f>
        <v>0</v>
      </c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customFormat="false" ht="12.8" hidden="false" customHeight="false" outlineLevel="0" collapsed="false">
      <c r="A39" s="37" t="n">
        <f aca="false">'Itens de Contrato'!A39</f>
        <v>0</v>
      </c>
      <c r="B39" s="37" t="n">
        <f aca="false">'Itens de Contrato'!B39</f>
        <v>0</v>
      </c>
      <c r="C39" s="37" t="e">
        <f aca="false">VLOOKUP(B39,'Itens de Contrato'!B$5:G$151,2,0)</f>
        <v>#N/A</v>
      </c>
      <c r="D39" s="52"/>
      <c r="E39" s="63" t="n">
        <f aca="false">D39*'Itens de Contrato'!F39</f>
        <v>0</v>
      </c>
      <c r="F39" s="62" t="n">
        <f aca="false">'Medição 02'!F39-'Medição 02'!G39</f>
        <v>0</v>
      </c>
      <c r="G39" s="52"/>
      <c r="H39" s="64" t="e">
        <f aca="false">G39/D39</f>
        <v>#DIV/0!</v>
      </c>
      <c r="I39" s="63" t="n">
        <f aca="false">G39*'Itens de Contrato'!F39</f>
        <v>0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customFormat="false" ht="12.8" hidden="false" customHeight="false" outlineLevel="0" collapsed="false">
      <c r="A40" s="37" t="n">
        <f aca="false">'Itens de Contrato'!A40</f>
        <v>0</v>
      </c>
      <c r="B40" s="37" t="n">
        <f aca="false">'Itens de Contrato'!B40</f>
        <v>0</v>
      </c>
      <c r="C40" s="37" t="e">
        <f aca="false">VLOOKUP(B40,'Itens de Contrato'!B$5:G$151,2,0)</f>
        <v>#N/A</v>
      </c>
      <c r="D40" s="52"/>
      <c r="E40" s="63" t="n">
        <f aca="false">D40*'Itens de Contrato'!F40</f>
        <v>0</v>
      </c>
      <c r="F40" s="62" t="n">
        <f aca="false">'Medição 02'!F40-'Medição 02'!G40</f>
        <v>0</v>
      </c>
      <c r="G40" s="52"/>
      <c r="H40" s="64" t="e">
        <f aca="false">G40/D40</f>
        <v>#DIV/0!</v>
      </c>
      <c r="I40" s="63" t="n">
        <f aca="false">G40*'Itens de Contrato'!F40</f>
        <v>0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customFormat="false" ht="12.8" hidden="false" customHeight="false" outlineLevel="0" collapsed="false">
      <c r="A41" s="37" t="n">
        <f aca="false">'Itens de Contrato'!A41</f>
        <v>0</v>
      </c>
      <c r="B41" s="37" t="n">
        <f aca="false">'Itens de Contrato'!B41</f>
        <v>0</v>
      </c>
      <c r="C41" s="37" t="e">
        <f aca="false">VLOOKUP(B41,'Itens de Contrato'!B$5:G$151,2,0)</f>
        <v>#N/A</v>
      </c>
      <c r="D41" s="52"/>
      <c r="E41" s="63" t="n">
        <f aca="false">D41*'Itens de Contrato'!F41</f>
        <v>0</v>
      </c>
      <c r="F41" s="62" t="n">
        <f aca="false">'Medição 02'!F41-'Medição 02'!G41</f>
        <v>0</v>
      </c>
      <c r="G41" s="52"/>
      <c r="H41" s="64" t="e">
        <f aca="false">G41/D41</f>
        <v>#DIV/0!</v>
      </c>
      <c r="I41" s="63" t="n">
        <f aca="false">G41*'Itens de Contrato'!F41</f>
        <v>0</v>
      </c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customFormat="false" ht="12.8" hidden="false" customHeight="false" outlineLevel="0" collapsed="false">
      <c r="A42" s="37" t="n">
        <f aca="false">'Itens de Contrato'!A42</f>
        <v>0</v>
      </c>
      <c r="B42" s="37" t="n">
        <f aca="false">'Itens de Contrato'!B42</f>
        <v>0</v>
      </c>
      <c r="C42" s="37" t="e">
        <f aca="false">VLOOKUP(B42,'Itens de Contrato'!B$5:G$151,2,0)</f>
        <v>#N/A</v>
      </c>
      <c r="D42" s="52"/>
      <c r="E42" s="63" t="n">
        <f aca="false">D42*'Itens de Contrato'!F42</f>
        <v>0</v>
      </c>
      <c r="F42" s="62" t="n">
        <f aca="false">'Medição 02'!F42-'Medição 02'!G42</f>
        <v>0</v>
      </c>
      <c r="G42" s="52"/>
      <c r="H42" s="64" t="e">
        <f aca="false">G42/D42</f>
        <v>#DIV/0!</v>
      </c>
      <c r="I42" s="63" t="n">
        <f aca="false">G42*'Itens de Contrato'!F42</f>
        <v>0</v>
      </c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customFormat="false" ht="12.8" hidden="false" customHeight="false" outlineLevel="0" collapsed="false">
      <c r="A43" s="37" t="n">
        <f aca="false">'Itens de Contrato'!A43</f>
        <v>0</v>
      </c>
      <c r="B43" s="37" t="n">
        <f aca="false">'Itens de Contrato'!B43</f>
        <v>0</v>
      </c>
      <c r="C43" s="37" t="e">
        <f aca="false">VLOOKUP(B43,'Itens de Contrato'!B$5:G$151,2,0)</f>
        <v>#N/A</v>
      </c>
      <c r="D43" s="52"/>
      <c r="E43" s="63" t="n">
        <f aca="false">D43*'Itens de Contrato'!F43</f>
        <v>0</v>
      </c>
      <c r="F43" s="62" t="n">
        <f aca="false">'Medição 02'!F43-'Medição 02'!G43</f>
        <v>0</v>
      </c>
      <c r="G43" s="52"/>
      <c r="H43" s="64" t="e">
        <f aca="false">G43/D43</f>
        <v>#DIV/0!</v>
      </c>
      <c r="I43" s="63" t="n">
        <f aca="false">G43*'Itens de Contrato'!F43</f>
        <v>0</v>
      </c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customFormat="false" ht="12.8" hidden="false" customHeight="false" outlineLevel="0" collapsed="false">
      <c r="A44" s="37" t="n">
        <f aca="false">'Itens de Contrato'!A44</f>
        <v>0</v>
      </c>
      <c r="B44" s="37" t="n">
        <f aca="false">'Itens de Contrato'!B44</f>
        <v>0</v>
      </c>
      <c r="C44" s="37" t="e">
        <f aca="false">VLOOKUP(B44,'Itens de Contrato'!B$5:G$151,2,0)</f>
        <v>#N/A</v>
      </c>
      <c r="D44" s="52"/>
      <c r="E44" s="63" t="n">
        <f aca="false">D44*'Itens de Contrato'!F44</f>
        <v>0</v>
      </c>
      <c r="F44" s="62" t="n">
        <f aca="false">'Medição 02'!F44-'Medição 02'!G44</f>
        <v>0</v>
      </c>
      <c r="G44" s="52"/>
      <c r="H44" s="64" t="e">
        <f aca="false">G44/D44</f>
        <v>#DIV/0!</v>
      </c>
      <c r="I44" s="63" t="n">
        <f aca="false">G44*'Itens de Contrato'!F44</f>
        <v>0</v>
      </c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customFormat="false" ht="12.8" hidden="false" customHeight="false" outlineLevel="0" collapsed="false">
      <c r="A45" s="37" t="n">
        <f aca="false">'Itens de Contrato'!A45</f>
        <v>0</v>
      </c>
      <c r="B45" s="37" t="n">
        <f aca="false">'Itens de Contrato'!B45</f>
        <v>0</v>
      </c>
      <c r="C45" s="37" t="e">
        <f aca="false">VLOOKUP(B45,'Itens de Contrato'!B$5:G$151,2,0)</f>
        <v>#N/A</v>
      </c>
      <c r="D45" s="52"/>
      <c r="E45" s="63" t="n">
        <f aca="false">D45*'Itens de Contrato'!F45</f>
        <v>0</v>
      </c>
      <c r="F45" s="62" t="n">
        <f aca="false">'Medição 02'!F45-'Medição 02'!G45</f>
        <v>0</v>
      </c>
      <c r="G45" s="52"/>
      <c r="H45" s="64" t="e">
        <f aca="false">G45/D45</f>
        <v>#DIV/0!</v>
      </c>
      <c r="I45" s="63" t="n">
        <f aca="false">G45*'Itens de Contrato'!F45</f>
        <v>0</v>
      </c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customFormat="false" ht="12.8" hidden="false" customHeight="false" outlineLevel="0" collapsed="false">
      <c r="A46" s="37" t="n">
        <f aca="false">'Itens de Contrato'!A46</f>
        <v>0</v>
      </c>
      <c r="B46" s="37" t="n">
        <f aca="false">'Itens de Contrato'!B46</f>
        <v>0</v>
      </c>
      <c r="C46" s="37" t="e">
        <f aca="false">VLOOKUP(B46,'Itens de Contrato'!B$5:G$151,2,0)</f>
        <v>#N/A</v>
      </c>
      <c r="D46" s="52"/>
      <c r="E46" s="63" t="n">
        <f aca="false">D46*'Itens de Contrato'!F46</f>
        <v>0</v>
      </c>
      <c r="F46" s="62" t="n">
        <f aca="false">'Medição 02'!F46-'Medição 02'!G46</f>
        <v>0</v>
      </c>
      <c r="G46" s="52"/>
      <c r="H46" s="64" t="e">
        <f aca="false">G46/D46</f>
        <v>#DIV/0!</v>
      </c>
      <c r="I46" s="63" t="n">
        <f aca="false">G46*'Itens de Contrato'!F46</f>
        <v>0</v>
      </c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customFormat="false" ht="12.8" hidden="false" customHeight="false" outlineLevel="0" collapsed="false">
      <c r="A47" s="37" t="n">
        <f aca="false">'Itens de Contrato'!A47</f>
        <v>0</v>
      </c>
      <c r="B47" s="37" t="n">
        <f aca="false">'Itens de Contrato'!B47</f>
        <v>0</v>
      </c>
      <c r="C47" s="37" t="e">
        <f aca="false">VLOOKUP(B47,'Itens de Contrato'!B$5:G$151,2,0)</f>
        <v>#N/A</v>
      </c>
      <c r="D47" s="52"/>
      <c r="E47" s="63" t="n">
        <f aca="false">D47*'Itens de Contrato'!F47</f>
        <v>0</v>
      </c>
      <c r="F47" s="62" t="n">
        <f aca="false">'Medição 02'!F47-'Medição 02'!G47</f>
        <v>0</v>
      </c>
      <c r="G47" s="52"/>
      <c r="H47" s="64" t="e">
        <f aca="false">G47/D47</f>
        <v>#DIV/0!</v>
      </c>
      <c r="I47" s="63" t="n">
        <f aca="false">G47*'Itens de Contrato'!F47</f>
        <v>0</v>
      </c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customFormat="false" ht="12.8" hidden="false" customHeight="false" outlineLevel="0" collapsed="false">
      <c r="A48" s="37" t="n">
        <f aca="false">'Itens de Contrato'!A48</f>
        <v>0</v>
      </c>
      <c r="B48" s="37" t="n">
        <f aca="false">'Itens de Contrato'!B48</f>
        <v>0</v>
      </c>
      <c r="C48" s="37" t="e">
        <f aca="false">VLOOKUP(B48,'Itens de Contrato'!B$5:G$151,2,0)</f>
        <v>#N/A</v>
      </c>
      <c r="D48" s="52"/>
      <c r="E48" s="63" t="n">
        <f aca="false">D48*'Itens de Contrato'!F48</f>
        <v>0</v>
      </c>
      <c r="F48" s="62" t="n">
        <f aca="false">'Medição 02'!F48-'Medição 02'!G48</f>
        <v>0</v>
      </c>
      <c r="G48" s="52"/>
      <c r="H48" s="64" t="e">
        <f aca="false">G48/D48</f>
        <v>#DIV/0!</v>
      </c>
      <c r="I48" s="63" t="n">
        <f aca="false">G48*'Itens de Contrato'!F48</f>
        <v>0</v>
      </c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customFormat="false" ht="12.8" hidden="false" customHeight="false" outlineLevel="0" collapsed="false">
      <c r="A49" s="37" t="n">
        <f aca="false">'Itens de Contrato'!A49</f>
        <v>0</v>
      </c>
      <c r="B49" s="37" t="n">
        <f aca="false">'Itens de Contrato'!B49</f>
        <v>0</v>
      </c>
      <c r="C49" s="37" t="e">
        <f aca="false">VLOOKUP(B49,'Itens de Contrato'!B$5:G$151,2,0)</f>
        <v>#N/A</v>
      </c>
      <c r="D49" s="52"/>
      <c r="E49" s="63" t="n">
        <f aca="false">D49*'Itens de Contrato'!F49</f>
        <v>0</v>
      </c>
      <c r="F49" s="62" t="n">
        <f aca="false">'Medição 02'!F49-'Medição 02'!G49</f>
        <v>0</v>
      </c>
      <c r="G49" s="52"/>
      <c r="H49" s="64" t="e">
        <f aca="false">G49/D49</f>
        <v>#DIV/0!</v>
      </c>
      <c r="I49" s="63" t="n">
        <f aca="false">G49*'Itens de Contrato'!F49</f>
        <v>0</v>
      </c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customFormat="false" ht="12.8" hidden="false" customHeight="false" outlineLevel="0" collapsed="false">
      <c r="A50" s="37" t="n">
        <f aca="false">'Itens de Contrato'!A50</f>
        <v>0</v>
      </c>
      <c r="B50" s="37" t="n">
        <f aca="false">'Itens de Contrato'!B50</f>
        <v>0</v>
      </c>
      <c r="C50" s="37" t="e">
        <f aca="false">VLOOKUP(B50,'Itens de Contrato'!B$5:G$151,2,0)</f>
        <v>#N/A</v>
      </c>
      <c r="D50" s="52"/>
      <c r="E50" s="63" t="n">
        <f aca="false">D50*'Itens de Contrato'!F50</f>
        <v>0</v>
      </c>
      <c r="F50" s="62" t="n">
        <f aca="false">'Medição 02'!F50-'Medição 02'!G50</f>
        <v>0</v>
      </c>
      <c r="G50" s="52"/>
      <c r="H50" s="64" t="e">
        <f aca="false">G50/D50</f>
        <v>#DIV/0!</v>
      </c>
      <c r="I50" s="63" t="n">
        <f aca="false">G50*'Itens de Contrato'!F50</f>
        <v>0</v>
      </c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customFormat="false" ht="12.8" hidden="false" customHeight="false" outlineLevel="0" collapsed="false">
      <c r="A51" s="37" t="n">
        <f aca="false">'Itens de Contrato'!A51</f>
        <v>0</v>
      </c>
      <c r="B51" s="37" t="n">
        <f aca="false">'Itens de Contrato'!B51</f>
        <v>0</v>
      </c>
      <c r="C51" s="37" t="e">
        <f aca="false">VLOOKUP(B51,'Itens de Contrato'!B$5:G$151,2,0)</f>
        <v>#N/A</v>
      </c>
      <c r="D51" s="52"/>
      <c r="E51" s="63" t="n">
        <f aca="false">D51*'Itens de Contrato'!F51</f>
        <v>0</v>
      </c>
      <c r="F51" s="62" t="n">
        <f aca="false">'Medição 02'!F51-'Medição 02'!G51</f>
        <v>0</v>
      </c>
      <c r="G51" s="52"/>
      <c r="H51" s="64" t="e">
        <f aca="false">G51/D51</f>
        <v>#DIV/0!</v>
      </c>
      <c r="I51" s="63" t="n">
        <f aca="false">G51*'Itens de Contrato'!F51</f>
        <v>0</v>
      </c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customFormat="false" ht="12.8" hidden="false" customHeight="false" outlineLevel="0" collapsed="false">
      <c r="A52" s="37" t="n">
        <f aca="false">'Itens de Contrato'!A52</f>
        <v>0</v>
      </c>
      <c r="B52" s="37" t="n">
        <f aca="false">'Itens de Contrato'!B52</f>
        <v>0</v>
      </c>
      <c r="C52" s="37" t="e">
        <f aca="false">VLOOKUP(B52,'Itens de Contrato'!B$5:G$151,2,0)</f>
        <v>#N/A</v>
      </c>
      <c r="D52" s="52"/>
      <c r="E52" s="63" t="n">
        <f aca="false">D52*'Itens de Contrato'!F52</f>
        <v>0</v>
      </c>
      <c r="F52" s="62" t="n">
        <f aca="false">'Medição 02'!F52-'Medição 02'!G52</f>
        <v>0</v>
      </c>
      <c r="G52" s="52"/>
      <c r="H52" s="64" t="e">
        <f aca="false">G52/D52</f>
        <v>#DIV/0!</v>
      </c>
      <c r="I52" s="63" t="n">
        <f aca="false">G52*'Itens de Contrato'!F52</f>
        <v>0</v>
      </c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customFormat="false" ht="12.8" hidden="false" customHeight="false" outlineLevel="0" collapsed="false">
      <c r="A53" s="37" t="n">
        <f aca="false">'Itens de Contrato'!A53</f>
        <v>0</v>
      </c>
      <c r="B53" s="37" t="n">
        <f aca="false">'Itens de Contrato'!B53</f>
        <v>0</v>
      </c>
      <c r="C53" s="37" t="e">
        <f aca="false">VLOOKUP(B53,'Itens de Contrato'!B$5:G$151,2,0)</f>
        <v>#N/A</v>
      </c>
      <c r="D53" s="52"/>
      <c r="E53" s="63" t="n">
        <f aca="false">D53*'Itens de Contrato'!F53</f>
        <v>0</v>
      </c>
      <c r="F53" s="62" t="n">
        <f aca="false">'Medição 02'!F53-'Medição 02'!G53</f>
        <v>0</v>
      </c>
      <c r="G53" s="52"/>
      <c r="H53" s="64" t="e">
        <f aca="false">G53/D53</f>
        <v>#DIV/0!</v>
      </c>
      <c r="I53" s="63" t="n">
        <f aca="false">G53*'Itens de Contrato'!F53</f>
        <v>0</v>
      </c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customFormat="false" ht="12.8" hidden="false" customHeight="false" outlineLevel="0" collapsed="false">
      <c r="A54" s="37" t="n">
        <f aca="false">'Itens de Contrato'!A54</f>
        <v>0</v>
      </c>
      <c r="B54" s="37" t="n">
        <f aca="false">'Itens de Contrato'!B54</f>
        <v>0</v>
      </c>
      <c r="C54" s="37" t="e">
        <f aca="false">VLOOKUP(B54,'Itens de Contrato'!B$5:G$151,2,0)</f>
        <v>#N/A</v>
      </c>
      <c r="D54" s="52"/>
      <c r="E54" s="63" t="n">
        <f aca="false">D54*'Itens de Contrato'!F54</f>
        <v>0</v>
      </c>
      <c r="F54" s="62" t="n">
        <f aca="false">'Medição 02'!F54-'Medição 02'!G54</f>
        <v>0</v>
      </c>
      <c r="G54" s="52"/>
      <c r="H54" s="64" t="e">
        <f aca="false">G54/D54</f>
        <v>#DIV/0!</v>
      </c>
      <c r="I54" s="63" t="n">
        <f aca="false">G54*'Itens de Contrato'!F54</f>
        <v>0</v>
      </c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customFormat="false" ht="12.8" hidden="false" customHeight="false" outlineLevel="0" collapsed="false">
      <c r="A55" s="37" t="n">
        <f aca="false">'Itens de Contrato'!A55</f>
        <v>0</v>
      </c>
      <c r="B55" s="37" t="n">
        <f aca="false">'Itens de Contrato'!B55</f>
        <v>0</v>
      </c>
      <c r="C55" s="37" t="e">
        <f aca="false">VLOOKUP(B55,'Itens de Contrato'!B$5:G$151,2,0)</f>
        <v>#N/A</v>
      </c>
      <c r="D55" s="52"/>
      <c r="E55" s="63" t="n">
        <f aca="false">D55*'Itens de Contrato'!F55</f>
        <v>0</v>
      </c>
      <c r="F55" s="62" t="n">
        <f aca="false">'Medição 02'!F55-'Medição 02'!G55</f>
        <v>0</v>
      </c>
      <c r="G55" s="52"/>
      <c r="H55" s="64" t="e">
        <f aca="false">G55/D55</f>
        <v>#DIV/0!</v>
      </c>
      <c r="I55" s="63" t="n">
        <f aca="false">G55*'Itens de Contrato'!F55</f>
        <v>0</v>
      </c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customFormat="false" ht="12.8" hidden="false" customHeight="false" outlineLevel="0" collapsed="false">
      <c r="A56" s="37" t="n">
        <f aca="false">'Itens de Contrato'!A56</f>
        <v>0</v>
      </c>
      <c r="B56" s="37" t="n">
        <f aca="false">'Itens de Contrato'!B56</f>
        <v>0</v>
      </c>
      <c r="C56" s="37" t="e">
        <f aca="false">VLOOKUP(B56,'Itens de Contrato'!B$5:G$151,2,0)</f>
        <v>#N/A</v>
      </c>
      <c r="D56" s="52"/>
      <c r="E56" s="63" t="n">
        <f aca="false">D56*'Itens de Contrato'!F56</f>
        <v>0</v>
      </c>
      <c r="F56" s="62" t="n">
        <f aca="false">'Medição 02'!F56-'Medição 02'!G56</f>
        <v>0</v>
      </c>
      <c r="G56" s="52"/>
      <c r="H56" s="64" t="e">
        <f aca="false">G56/D56</f>
        <v>#DIV/0!</v>
      </c>
      <c r="I56" s="63" t="n">
        <f aca="false">G56*'Itens de Contrato'!F56</f>
        <v>0</v>
      </c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customFormat="false" ht="12.8" hidden="false" customHeight="false" outlineLevel="0" collapsed="false">
      <c r="A57" s="37" t="n">
        <f aca="false">'Itens de Contrato'!A57</f>
        <v>0</v>
      </c>
      <c r="B57" s="37" t="n">
        <f aca="false">'Itens de Contrato'!B57</f>
        <v>0</v>
      </c>
      <c r="C57" s="37" t="e">
        <f aca="false">VLOOKUP(B57,'Itens de Contrato'!B$5:G$151,2,0)</f>
        <v>#N/A</v>
      </c>
      <c r="D57" s="52"/>
      <c r="E57" s="63" t="n">
        <f aca="false">D57*'Itens de Contrato'!F57</f>
        <v>0</v>
      </c>
      <c r="F57" s="62" t="n">
        <f aca="false">'Medição 02'!F57-'Medição 02'!G57</f>
        <v>0</v>
      </c>
      <c r="G57" s="52"/>
      <c r="H57" s="64" t="e">
        <f aca="false">G57/D57</f>
        <v>#DIV/0!</v>
      </c>
      <c r="I57" s="63" t="n">
        <f aca="false">G57*'Itens de Contrato'!F57</f>
        <v>0</v>
      </c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customFormat="false" ht="12.8" hidden="false" customHeight="false" outlineLevel="0" collapsed="false">
      <c r="A58" s="37" t="n">
        <f aca="false">'Itens de Contrato'!A58</f>
        <v>0</v>
      </c>
      <c r="B58" s="37" t="n">
        <f aca="false">'Itens de Contrato'!B58</f>
        <v>0</v>
      </c>
      <c r="C58" s="37" t="e">
        <f aca="false">VLOOKUP(B58,'Itens de Contrato'!B$5:G$151,2,0)</f>
        <v>#N/A</v>
      </c>
      <c r="D58" s="52"/>
      <c r="E58" s="63" t="n">
        <f aca="false">D58*'Itens de Contrato'!F58</f>
        <v>0</v>
      </c>
      <c r="F58" s="62" t="n">
        <f aca="false">'Medição 02'!F58-'Medição 02'!G58</f>
        <v>0</v>
      </c>
      <c r="G58" s="52"/>
      <c r="H58" s="64" t="e">
        <f aca="false">G58/D58</f>
        <v>#DIV/0!</v>
      </c>
      <c r="I58" s="63" t="n">
        <f aca="false">G58*'Itens de Contrato'!F58</f>
        <v>0</v>
      </c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customFormat="false" ht="12.8" hidden="false" customHeight="false" outlineLevel="0" collapsed="false">
      <c r="A59" s="37" t="n">
        <f aca="false">'Itens de Contrato'!A59</f>
        <v>0</v>
      </c>
      <c r="B59" s="37" t="n">
        <f aca="false">'Itens de Contrato'!B59</f>
        <v>0</v>
      </c>
      <c r="C59" s="37" t="e">
        <f aca="false">VLOOKUP(B59,'Itens de Contrato'!B$5:G$151,2,0)</f>
        <v>#N/A</v>
      </c>
      <c r="D59" s="52"/>
      <c r="E59" s="63" t="n">
        <f aca="false">D59*'Itens de Contrato'!F59</f>
        <v>0</v>
      </c>
      <c r="F59" s="62" t="n">
        <f aca="false">'Medição 02'!F59-'Medição 02'!G59</f>
        <v>0</v>
      </c>
      <c r="G59" s="52"/>
      <c r="H59" s="64" t="e">
        <f aca="false">G59/D59</f>
        <v>#DIV/0!</v>
      </c>
      <c r="I59" s="63" t="n">
        <f aca="false">G59*'Itens de Contrato'!F59</f>
        <v>0</v>
      </c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</row>
    <row r="60" customFormat="false" ht="12.8" hidden="false" customHeight="false" outlineLevel="0" collapsed="false">
      <c r="A60" s="37" t="n">
        <f aca="false">'Itens de Contrato'!A60</f>
        <v>0</v>
      </c>
      <c r="B60" s="37" t="n">
        <f aca="false">'Itens de Contrato'!B60</f>
        <v>0</v>
      </c>
      <c r="C60" s="37" t="e">
        <f aca="false">VLOOKUP(B60,'Itens de Contrato'!B$5:G$151,2,0)</f>
        <v>#N/A</v>
      </c>
      <c r="D60" s="52"/>
      <c r="E60" s="63" t="n">
        <f aca="false">D60*'Itens de Contrato'!F60</f>
        <v>0</v>
      </c>
      <c r="F60" s="62" t="n">
        <f aca="false">'Medição 02'!F60-'Medição 02'!G60</f>
        <v>0</v>
      </c>
      <c r="G60" s="52"/>
      <c r="H60" s="64" t="e">
        <f aca="false">G60/D60</f>
        <v>#DIV/0!</v>
      </c>
      <c r="I60" s="63" t="n">
        <f aca="false">G60*'Itens de Contrato'!F60</f>
        <v>0</v>
      </c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customFormat="false" ht="12.8" hidden="false" customHeight="false" outlineLevel="0" collapsed="false">
      <c r="A61" s="37" t="n">
        <f aca="false">'Itens de Contrato'!A61</f>
        <v>0</v>
      </c>
      <c r="B61" s="37" t="n">
        <f aca="false">'Itens de Contrato'!B61</f>
        <v>0</v>
      </c>
      <c r="C61" s="37" t="e">
        <f aca="false">VLOOKUP(B61,'Itens de Contrato'!B$5:G$151,2,0)</f>
        <v>#N/A</v>
      </c>
      <c r="D61" s="52"/>
      <c r="E61" s="63" t="n">
        <f aca="false">D61*'Itens de Contrato'!F61</f>
        <v>0</v>
      </c>
      <c r="F61" s="62" t="n">
        <f aca="false">'Medição 02'!F61-'Medição 02'!G61</f>
        <v>0</v>
      </c>
      <c r="G61" s="52"/>
      <c r="H61" s="64" t="e">
        <f aca="false">G61/D61</f>
        <v>#DIV/0!</v>
      </c>
      <c r="I61" s="63" t="n">
        <f aca="false">G61*'Itens de Contrato'!F61</f>
        <v>0</v>
      </c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customFormat="false" ht="12.8" hidden="false" customHeight="false" outlineLevel="0" collapsed="false">
      <c r="A62" s="37" t="n">
        <f aca="false">'Itens de Contrato'!A62</f>
        <v>0</v>
      </c>
      <c r="B62" s="37" t="n">
        <f aca="false">'Itens de Contrato'!B62</f>
        <v>0</v>
      </c>
      <c r="C62" s="37" t="e">
        <f aca="false">VLOOKUP(B62,'Itens de Contrato'!B$5:G$151,2,0)</f>
        <v>#N/A</v>
      </c>
      <c r="D62" s="52"/>
      <c r="E62" s="63" t="n">
        <f aca="false">D62*'Itens de Contrato'!F62</f>
        <v>0</v>
      </c>
      <c r="F62" s="62" t="n">
        <f aca="false">'Medição 02'!F62-'Medição 02'!G62</f>
        <v>0</v>
      </c>
      <c r="G62" s="52"/>
      <c r="H62" s="64" t="e">
        <f aca="false">G62/D62</f>
        <v>#DIV/0!</v>
      </c>
      <c r="I62" s="63" t="n">
        <f aca="false">G62*'Itens de Contrato'!F62</f>
        <v>0</v>
      </c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customFormat="false" ht="12.8" hidden="false" customHeight="false" outlineLevel="0" collapsed="false">
      <c r="A63" s="37" t="n">
        <f aca="false">'Itens de Contrato'!A63</f>
        <v>0</v>
      </c>
      <c r="B63" s="37" t="n">
        <f aca="false">'Itens de Contrato'!B63</f>
        <v>0</v>
      </c>
      <c r="C63" s="37" t="e">
        <f aca="false">VLOOKUP(B63,'Itens de Contrato'!B$5:G$151,2,0)</f>
        <v>#N/A</v>
      </c>
      <c r="D63" s="52"/>
      <c r="E63" s="63" t="n">
        <f aca="false">D63*'Itens de Contrato'!F63</f>
        <v>0</v>
      </c>
      <c r="F63" s="62" t="n">
        <f aca="false">'Medição 02'!F63-'Medição 02'!G63</f>
        <v>0</v>
      </c>
      <c r="G63" s="52"/>
      <c r="H63" s="64" t="e">
        <f aca="false">G63/D63</f>
        <v>#DIV/0!</v>
      </c>
      <c r="I63" s="63" t="n">
        <f aca="false">G63*'Itens de Contrato'!F63</f>
        <v>0</v>
      </c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customFormat="false" ht="12.8" hidden="false" customHeight="false" outlineLevel="0" collapsed="false">
      <c r="A64" s="37" t="n">
        <f aca="false">'Itens de Contrato'!A64</f>
        <v>0</v>
      </c>
      <c r="B64" s="37" t="n">
        <f aca="false">'Itens de Contrato'!B64</f>
        <v>0</v>
      </c>
      <c r="C64" s="37" t="e">
        <f aca="false">VLOOKUP(B64,'Itens de Contrato'!B$5:G$151,2,0)</f>
        <v>#N/A</v>
      </c>
      <c r="D64" s="52"/>
      <c r="E64" s="63" t="n">
        <f aca="false">D64*'Itens de Contrato'!F64</f>
        <v>0</v>
      </c>
      <c r="F64" s="62" t="n">
        <f aca="false">'Medição 02'!F64-'Medição 02'!G64</f>
        <v>0</v>
      </c>
      <c r="G64" s="52"/>
      <c r="H64" s="64" t="e">
        <f aca="false">G64/D64</f>
        <v>#DIV/0!</v>
      </c>
      <c r="I64" s="63" t="n">
        <f aca="false">G64*'Itens de Contrato'!F64</f>
        <v>0</v>
      </c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customFormat="false" ht="12.8" hidden="false" customHeight="false" outlineLevel="0" collapsed="false">
      <c r="A65" s="37" t="n">
        <f aca="false">'Itens de Contrato'!A65</f>
        <v>0</v>
      </c>
      <c r="B65" s="37" t="n">
        <f aca="false">'Itens de Contrato'!B65</f>
        <v>0</v>
      </c>
      <c r="C65" s="37" t="e">
        <f aca="false">VLOOKUP(B65,'Itens de Contrato'!B$5:G$151,2,0)</f>
        <v>#N/A</v>
      </c>
      <c r="D65" s="52"/>
      <c r="E65" s="63" t="n">
        <f aca="false">D65*'Itens de Contrato'!F65</f>
        <v>0</v>
      </c>
      <c r="F65" s="62" t="n">
        <f aca="false">'Medição 02'!F65-'Medição 02'!G65</f>
        <v>0</v>
      </c>
      <c r="G65" s="52"/>
      <c r="H65" s="64" t="e">
        <f aca="false">G65/D65</f>
        <v>#DIV/0!</v>
      </c>
      <c r="I65" s="63" t="n">
        <f aca="false">G65*'Itens de Contrato'!F65</f>
        <v>0</v>
      </c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customFormat="false" ht="12.8" hidden="false" customHeight="false" outlineLevel="0" collapsed="false">
      <c r="A66" s="37" t="n">
        <f aca="false">'Itens de Contrato'!A66</f>
        <v>0</v>
      </c>
      <c r="B66" s="37" t="n">
        <f aca="false">'Itens de Contrato'!B66</f>
        <v>0</v>
      </c>
      <c r="C66" s="37" t="e">
        <f aca="false">VLOOKUP(B66,'Itens de Contrato'!B$5:G$151,2,0)</f>
        <v>#N/A</v>
      </c>
      <c r="D66" s="52"/>
      <c r="E66" s="63" t="n">
        <f aca="false">D66*'Itens de Contrato'!F66</f>
        <v>0</v>
      </c>
      <c r="F66" s="62" t="n">
        <f aca="false">'Medição 02'!F66-'Medição 02'!G66</f>
        <v>0</v>
      </c>
      <c r="G66" s="52"/>
      <c r="H66" s="64" t="e">
        <f aca="false">G66/D66</f>
        <v>#DIV/0!</v>
      </c>
      <c r="I66" s="63" t="n">
        <f aca="false">G66*'Itens de Contrato'!F66</f>
        <v>0</v>
      </c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customFormat="false" ht="12.8" hidden="false" customHeight="false" outlineLevel="0" collapsed="false">
      <c r="A67" s="37" t="n">
        <f aca="false">'Itens de Contrato'!A67</f>
        <v>0</v>
      </c>
      <c r="B67" s="37" t="n">
        <f aca="false">'Itens de Contrato'!B67</f>
        <v>0</v>
      </c>
      <c r="C67" s="37" t="e">
        <f aca="false">VLOOKUP(B67,'Itens de Contrato'!B$5:G$151,2,0)</f>
        <v>#N/A</v>
      </c>
      <c r="D67" s="52"/>
      <c r="E67" s="63" t="n">
        <f aca="false">D67*'Itens de Contrato'!F67</f>
        <v>0</v>
      </c>
      <c r="F67" s="62" t="n">
        <f aca="false">'Medição 02'!F67-'Medição 02'!G67</f>
        <v>0</v>
      </c>
      <c r="G67" s="52"/>
      <c r="H67" s="64" t="e">
        <f aca="false">G67/D67</f>
        <v>#DIV/0!</v>
      </c>
      <c r="I67" s="63" t="n">
        <f aca="false">G67*'Itens de Contrato'!F67</f>
        <v>0</v>
      </c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customFormat="false" ht="12.8" hidden="false" customHeight="false" outlineLevel="0" collapsed="false">
      <c r="A68" s="37" t="n">
        <f aca="false">'Itens de Contrato'!A68</f>
        <v>0</v>
      </c>
      <c r="B68" s="37" t="n">
        <f aca="false">'Itens de Contrato'!B68</f>
        <v>0</v>
      </c>
      <c r="C68" s="37" t="e">
        <f aca="false">VLOOKUP(B68,'Itens de Contrato'!B$5:G$151,2,0)</f>
        <v>#N/A</v>
      </c>
      <c r="D68" s="52"/>
      <c r="E68" s="63" t="n">
        <f aca="false">D68*'Itens de Contrato'!F68</f>
        <v>0</v>
      </c>
      <c r="F68" s="62" t="n">
        <f aca="false">'Medição 02'!F68-'Medição 02'!G68</f>
        <v>0</v>
      </c>
      <c r="G68" s="52"/>
      <c r="H68" s="64" t="e">
        <f aca="false">G68/D68</f>
        <v>#DIV/0!</v>
      </c>
      <c r="I68" s="63" t="n">
        <f aca="false">G68*'Itens de Contrato'!F68</f>
        <v>0</v>
      </c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</row>
    <row r="69" customFormat="false" ht="12.8" hidden="false" customHeight="false" outlineLevel="0" collapsed="false">
      <c r="A69" s="37" t="n">
        <f aca="false">'Itens de Contrato'!A69</f>
        <v>0</v>
      </c>
      <c r="B69" s="37" t="n">
        <f aca="false">'Itens de Contrato'!B69</f>
        <v>0</v>
      </c>
      <c r="C69" s="37" t="e">
        <f aca="false">VLOOKUP(B69,'Itens de Contrato'!B$5:G$151,2,0)</f>
        <v>#N/A</v>
      </c>
      <c r="D69" s="52"/>
      <c r="E69" s="63" t="n">
        <f aca="false">D69*'Itens de Contrato'!F69</f>
        <v>0</v>
      </c>
      <c r="F69" s="62" t="n">
        <f aca="false">'Medição 02'!F69-'Medição 02'!G69</f>
        <v>0</v>
      </c>
      <c r="G69" s="52"/>
      <c r="H69" s="64" t="e">
        <f aca="false">G69/D69</f>
        <v>#DIV/0!</v>
      </c>
      <c r="I69" s="63" t="n">
        <f aca="false">G69*'Itens de Contrato'!F69</f>
        <v>0</v>
      </c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</row>
    <row r="70" customFormat="false" ht="12.8" hidden="false" customHeight="false" outlineLevel="0" collapsed="false">
      <c r="A70" s="37" t="n">
        <f aca="false">'Itens de Contrato'!A70</f>
        <v>0</v>
      </c>
      <c r="B70" s="37" t="n">
        <f aca="false">'Itens de Contrato'!B70</f>
        <v>0</v>
      </c>
      <c r="C70" s="37" t="e">
        <f aca="false">VLOOKUP(B70,'Itens de Contrato'!B$5:G$151,2,0)</f>
        <v>#N/A</v>
      </c>
      <c r="D70" s="52"/>
      <c r="E70" s="63" t="n">
        <f aca="false">D70*'Itens de Contrato'!F70</f>
        <v>0</v>
      </c>
      <c r="F70" s="62" t="n">
        <f aca="false">'Medição 02'!F70-'Medição 02'!G70</f>
        <v>0</v>
      </c>
      <c r="G70" s="52"/>
      <c r="H70" s="64" t="e">
        <f aca="false">G70/D70</f>
        <v>#DIV/0!</v>
      </c>
      <c r="I70" s="63" t="n">
        <f aca="false">G70*'Itens de Contrato'!F70</f>
        <v>0</v>
      </c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</row>
    <row r="71" customFormat="false" ht="12.8" hidden="false" customHeight="false" outlineLevel="0" collapsed="false">
      <c r="A71" s="37" t="n">
        <f aca="false">'Itens de Contrato'!A71</f>
        <v>0</v>
      </c>
      <c r="B71" s="37" t="n">
        <f aca="false">'Itens de Contrato'!B71</f>
        <v>0</v>
      </c>
      <c r="C71" s="37" t="e">
        <f aca="false">VLOOKUP(B71,'Itens de Contrato'!B$5:G$151,2,0)</f>
        <v>#N/A</v>
      </c>
      <c r="D71" s="52"/>
      <c r="E71" s="63" t="n">
        <f aca="false">D71*'Itens de Contrato'!F71</f>
        <v>0</v>
      </c>
      <c r="F71" s="62" t="n">
        <f aca="false">'Medição 02'!F71-'Medição 02'!G71</f>
        <v>0</v>
      </c>
      <c r="G71" s="52"/>
      <c r="H71" s="64" t="e">
        <f aca="false">G71/D71</f>
        <v>#DIV/0!</v>
      </c>
      <c r="I71" s="63" t="n">
        <f aca="false">G71*'Itens de Contrato'!F71</f>
        <v>0</v>
      </c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</row>
    <row r="72" customFormat="false" ht="12.8" hidden="false" customHeight="false" outlineLevel="0" collapsed="false">
      <c r="A72" s="37" t="n">
        <f aca="false">'Itens de Contrato'!A72</f>
        <v>0</v>
      </c>
      <c r="B72" s="37" t="n">
        <f aca="false">'Itens de Contrato'!B72</f>
        <v>0</v>
      </c>
      <c r="C72" s="37" t="e">
        <f aca="false">VLOOKUP(B72,'Itens de Contrato'!B$5:G$151,2,0)</f>
        <v>#N/A</v>
      </c>
      <c r="D72" s="52"/>
      <c r="E72" s="63" t="n">
        <f aca="false">D72*'Itens de Contrato'!F72</f>
        <v>0</v>
      </c>
      <c r="F72" s="62" t="n">
        <f aca="false">'Medição 02'!F72-'Medição 02'!G72</f>
        <v>0</v>
      </c>
      <c r="G72" s="52"/>
      <c r="H72" s="64" t="e">
        <f aca="false">G72/D72</f>
        <v>#DIV/0!</v>
      </c>
      <c r="I72" s="63" t="n">
        <f aca="false">G72*'Itens de Contrato'!F72</f>
        <v>0</v>
      </c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</row>
    <row r="73" customFormat="false" ht="12.8" hidden="false" customHeight="false" outlineLevel="0" collapsed="false">
      <c r="A73" s="37" t="n">
        <f aca="false">'Itens de Contrato'!A73</f>
        <v>0</v>
      </c>
      <c r="B73" s="37" t="n">
        <f aca="false">'Itens de Contrato'!B73</f>
        <v>0</v>
      </c>
      <c r="C73" s="37" t="e">
        <f aca="false">VLOOKUP(B73,'Itens de Contrato'!B$5:G$151,2,0)</f>
        <v>#N/A</v>
      </c>
      <c r="D73" s="52"/>
      <c r="E73" s="63" t="n">
        <f aca="false">D73*'Itens de Contrato'!F73</f>
        <v>0</v>
      </c>
      <c r="F73" s="62" t="n">
        <f aca="false">'Medição 02'!F73-'Medição 02'!G73</f>
        <v>0</v>
      </c>
      <c r="G73" s="52"/>
      <c r="H73" s="64" t="e">
        <f aca="false">G73/D73</f>
        <v>#DIV/0!</v>
      </c>
      <c r="I73" s="63" t="n">
        <f aca="false">G73*'Itens de Contrato'!F73</f>
        <v>0</v>
      </c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</row>
    <row r="74" customFormat="false" ht="12.8" hidden="false" customHeight="false" outlineLevel="0" collapsed="false">
      <c r="A74" s="37" t="n">
        <f aca="false">'Itens de Contrato'!A74</f>
        <v>0</v>
      </c>
      <c r="B74" s="37" t="n">
        <f aca="false">'Itens de Contrato'!B74</f>
        <v>0</v>
      </c>
      <c r="C74" s="37" t="e">
        <f aca="false">VLOOKUP(B74,'Itens de Contrato'!B$5:G$151,2,0)</f>
        <v>#N/A</v>
      </c>
      <c r="D74" s="52"/>
      <c r="E74" s="63" t="n">
        <f aca="false">D74*'Itens de Contrato'!F74</f>
        <v>0</v>
      </c>
      <c r="F74" s="62" t="n">
        <f aca="false">'Medição 02'!F74-'Medição 02'!G74</f>
        <v>0</v>
      </c>
      <c r="G74" s="52"/>
      <c r="H74" s="64" t="e">
        <f aca="false">G74/D74</f>
        <v>#DIV/0!</v>
      </c>
      <c r="I74" s="63" t="n">
        <f aca="false">G74*'Itens de Contrato'!F74</f>
        <v>0</v>
      </c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</row>
    <row r="75" customFormat="false" ht="12.8" hidden="false" customHeight="false" outlineLevel="0" collapsed="false">
      <c r="A75" s="37" t="n">
        <f aca="false">'Itens de Contrato'!A75</f>
        <v>0</v>
      </c>
      <c r="B75" s="37" t="n">
        <f aca="false">'Itens de Contrato'!B75</f>
        <v>0</v>
      </c>
      <c r="C75" s="37" t="e">
        <f aca="false">VLOOKUP(B75,'Itens de Contrato'!B$5:G$151,2,0)</f>
        <v>#N/A</v>
      </c>
      <c r="D75" s="52"/>
      <c r="E75" s="63" t="n">
        <f aca="false">D75*'Itens de Contrato'!F75</f>
        <v>0</v>
      </c>
      <c r="F75" s="62" t="n">
        <f aca="false">'Medição 02'!F75-'Medição 02'!G75</f>
        <v>0</v>
      </c>
      <c r="G75" s="52"/>
      <c r="H75" s="64" t="e">
        <f aca="false">G75/D75</f>
        <v>#DIV/0!</v>
      </c>
      <c r="I75" s="63" t="n">
        <f aca="false">G75*'Itens de Contrato'!F75</f>
        <v>0</v>
      </c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</row>
    <row r="76" customFormat="false" ht="12.8" hidden="false" customHeight="false" outlineLevel="0" collapsed="false">
      <c r="A76" s="37" t="n">
        <f aca="false">'Itens de Contrato'!A76</f>
        <v>0</v>
      </c>
      <c r="B76" s="37" t="n">
        <f aca="false">'Itens de Contrato'!B76</f>
        <v>0</v>
      </c>
      <c r="C76" s="37" t="e">
        <f aca="false">VLOOKUP(B76,'Itens de Contrato'!B$5:G$151,2,0)</f>
        <v>#N/A</v>
      </c>
      <c r="D76" s="52"/>
      <c r="E76" s="63" t="n">
        <f aca="false">D76*'Itens de Contrato'!F76</f>
        <v>0</v>
      </c>
      <c r="F76" s="62" t="n">
        <f aca="false">'Medição 02'!F76-'Medição 02'!G76</f>
        <v>0</v>
      </c>
      <c r="G76" s="52"/>
      <c r="H76" s="64" t="e">
        <f aca="false">G76/D76</f>
        <v>#DIV/0!</v>
      </c>
      <c r="I76" s="63" t="n">
        <f aca="false">G76*'Itens de Contrato'!F76</f>
        <v>0</v>
      </c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</row>
    <row r="77" customFormat="false" ht="12.8" hidden="false" customHeight="false" outlineLevel="0" collapsed="false">
      <c r="A77" s="37" t="n">
        <f aca="false">'Itens de Contrato'!A77</f>
        <v>0</v>
      </c>
      <c r="B77" s="37" t="n">
        <f aca="false">'Itens de Contrato'!B77</f>
        <v>0</v>
      </c>
      <c r="C77" s="37" t="e">
        <f aca="false">VLOOKUP(B77,'Itens de Contrato'!B$5:G$151,2,0)</f>
        <v>#N/A</v>
      </c>
      <c r="D77" s="52"/>
      <c r="E77" s="63" t="n">
        <f aca="false">D77*'Itens de Contrato'!F77</f>
        <v>0</v>
      </c>
      <c r="F77" s="62" t="n">
        <f aca="false">'Medição 02'!F77-'Medição 02'!G77</f>
        <v>0</v>
      </c>
      <c r="G77" s="52"/>
      <c r="H77" s="64" t="e">
        <f aca="false">G77/D77</f>
        <v>#DIV/0!</v>
      </c>
      <c r="I77" s="63" t="n">
        <f aca="false">G77*'Itens de Contrato'!F77</f>
        <v>0</v>
      </c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</row>
    <row r="78" customFormat="false" ht="12.8" hidden="false" customHeight="false" outlineLevel="0" collapsed="false">
      <c r="A78" s="37" t="n">
        <f aca="false">'Itens de Contrato'!A78</f>
        <v>0</v>
      </c>
      <c r="B78" s="37" t="n">
        <f aca="false">'Itens de Contrato'!B78</f>
        <v>0</v>
      </c>
      <c r="C78" s="37" t="e">
        <f aca="false">VLOOKUP(B78,'Itens de Contrato'!B$5:G$151,2,0)</f>
        <v>#N/A</v>
      </c>
      <c r="D78" s="52"/>
      <c r="E78" s="63" t="n">
        <f aca="false">D78*'Itens de Contrato'!F78</f>
        <v>0</v>
      </c>
      <c r="F78" s="62" t="n">
        <f aca="false">'Medição 02'!F78-'Medição 02'!G78</f>
        <v>0</v>
      </c>
      <c r="G78" s="52"/>
      <c r="H78" s="64" t="e">
        <f aca="false">G78/D78</f>
        <v>#DIV/0!</v>
      </c>
      <c r="I78" s="63" t="n">
        <f aca="false">G78*'Itens de Contrato'!F78</f>
        <v>0</v>
      </c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</row>
    <row r="79" customFormat="false" ht="12.8" hidden="false" customHeight="false" outlineLevel="0" collapsed="false">
      <c r="A79" s="37" t="n">
        <f aca="false">'Itens de Contrato'!A79</f>
        <v>0</v>
      </c>
      <c r="B79" s="37" t="n">
        <f aca="false">'Itens de Contrato'!B79</f>
        <v>0</v>
      </c>
      <c r="C79" s="37" t="e">
        <f aca="false">VLOOKUP(B79,'Itens de Contrato'!B$5:G$151,2,0)</f>
        <v>#N/A</v>
      </c>
      <c r="D79" s="52"/>
      <c r="E79" s="63" t="n">
        <f aca="false">D79*'Itens de Contrato'!F79</f>
        <v>0</v>
      </c>
      <c r="F79" s="62" t="n">
        <f aca="false">'Medição 02'!F79-'Medição 02'!G79</f>
        <v>0</v>
      </c>
      <c r="G79" s="52"/>
      <c r="H79" s="64" t="e">
        <f aca="false">G79/D79</f>
        <v>#DIV/0!</v>
      </c>
      <c r="I79" s="63" t="n">
        <f aca="false">G79*'Itens de Contrato'!F79</f>
        <v>0</v>
      </c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</row>
    <row r="80" customFormat="false" ht="12.8" hidden="false" customHeight="false" outlineLevel="0" collapsed="false">
      <c r="A80" s="37" t="n">
        <f aca="false">'Itens de Contrato'!A80</f>
        <v>0</v>
      </c>
      <c r="B80" s="37" t="n">
        <f aca="false">'Itens de Contrato'!B80</f>
        <v>0</v>
      </c>
      <c r="C80" s="37" t="e">
        <f aca="false">VLOOKUP(B80,'Itens de Contrato'!B$5:G$151,2,0)</f>
        <v>#N/A</v>
      </c>
      <c r="D80" s="52"/>
      <c r="E80" s="63" t="n">
        <f aca="false">D80*'Itens de Contrato'!F80</f>
        <v>0</v>
      </c>
      <c r="F80" s="62" t="n">
        <f aca="false">'Medição 02'!F80-'Medição 02'!G80</f>
        <v>0</v>
      </c>
      <c r="G80" s="52"/>
      <c r="H80" s="64" t="e">
        <f aca="false">G80/D80</f>
        <v>#DIV/0!</v>
      </c>
      <c r="I80" s="63" t="n">
        <f aca="false">G80*'Itens de Contrato'!F80</f>
        <v>0</v>
      </c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</row>
    <row r="81" customFormat="false" ht="12.8" hidden="false" customHeight="false" outlineLevel="0" collapsed="false">
      <c r="A81" s="37" t="n">
        <f aca="false">'Itens de Contrato'!A81</f>
        <v>0</v>
      </c>
      <c r="B81" s="37" t="n">
        <f aca="false">'Itens de Contrato'!B81</f>
        <v>0</v>
      </c>
      <c r="C81" s="37" t="e">
        <f aca="false">VLOOKUP(B81,'Itens de Contrato'!B$5:G$151,2,0)</f>
        <v>#N/A</v>
      </c>
      <c r="D81" s="52"/>
      <c r="E81" s="63" t="n">
        <f aca="false">D81*'Itens de Contrato'!F81</f>
        <v>0</v>
      </c>
      <c r="F81" s="62" t="n">
        <f aca="false">'Medição 02'!F81-'Medição 02'!G81</f>
        <v>0</v>
      </c>
      <c r="G81" s="52"/>
      <c r="H81" s="64" t="e">
        <f aca="false">G81/D81</f>
        <v>#DIV/0!</v>
      </c>
      <c r="I81" s="63" t="n">
        <f aca="false">G81*'Itens de Contrato'!F81</f>
        <v>0</v>
      </c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</row>
    <row r="82" customFormat="false" ht="12.8" hidden="false" customHeight="false" outlineLevel="0" collapsed="false">
      <c r="A82" s="37" t="n">
        <f aca="false">'Itens de Contrato'!A82</f>
        <v>0</v>
      </c>
      <c r="B82" s="37" t="n">
        <f aca="false">'Itens de Contrato'!B82</f>
        <v>0</v>
      </c>
      <c r="C82" s="37" t="e">
        <f aca="false">VLOOKUP(B82,'Itens de Contrato'!B$5:G$151,2,0)</f>
        <v>#N/A</v>
      </c>
      <c r="D82" s="52"/>
      <c r="E82" s="63" t="n">
        <f aca="false">D82*'Itens de Contrato'!F82</f>
        <v>0</v>
      </c>
      <c r="F82" s="62" t="n">
        <f aca="false">'Medição 02'!F82-'Medição 02'!G82</f>
        <v>0</v>
      </c>
      <c r="G82" s="52"/>
      <c r="H82" s="64" t="e">
        <f aca="false">G82/D82</f>
        <v>#DIV/0!</v>
      </c>
      <c r="I82" s="63" t="n">
        <f aca="false">G82*'Itens de Contrato'!F82</f>
        <v>0</v>
      </c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</row>
    <row r="83" customFormat="false" ht="12.8" hidden="false" customHeight="false" outlineLevel="0" collapsed="false">
      <c r="A83" s="37" t="n">
        <f aca="false">'Itens de Contrato'!A83</f>
        <v>0</v>
      </c>
      <c r="B83" s="37" t="n">
        <f aca="false">'Itens de Contrato'!B83</f>
        <v>0</v>
      </c>
      <c r="C83" s="37" t="e">
        <f aca="false">VLOOKUP(B83,'Itens de Contrato'!B$5:G$151,2,0)</f>
        <v>#N/A</v>
      </c>
      <c r="D83" s="52"/>
      <c r="E83" s="63" t="n">
        <f aca="false">D83*'Itens de Contrato'!F83</f>
        <v>0</v>
      </c>
      <c r="F83" s="62" t="n">
        <f aca="false">'Medição 02'!F83-'Medição 02'!G83</f>
        <v>0</v>
      </c>
      <c r="G83" s="52"/>
      <c r="H83" s="64" t="e">
        <f aca="false">G83/D83</f>
        <v>#DIV/0!</v>
      </c>
      <c r="I83" s="63" t="n">
        <f aca="false">G83*'Itens de Contrato'!F83</f>
        <v>0</v>
      </c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</row>
    <row r="84" customFormat="false" ht="12.8" hidden="false" customHeight="false" outlineLevel="0" collapsed="false">
      <c r="A84" s="37" t="n">
        <f aca="false">'Itens de Contrato'!A84</f>
        <v>0</v>
      </c>
      <c r="B84" s="37" t="n">
        <f aca="false">'Itens de Contrato'!B84</f>
        <v>0</v>
      </c>
      <c r="C84" s="37" t="e">
        <f aca="false">VLOOKUP(B84,'Itens de Contrato'!B$5:G$151,2,0)</f>
        <v>#N/A</v>
      </c>
      <c r="D84" s="52"/>
      <c r="E84" s="63" t="n">
        <f aca="false">D84*'Itens de Contrato'!F84</f>
        <v>0</v>
      </c>
      <c r="F84" s="62" t="n">
        <f aca="false">'Medição 02'!F84-'Medição 02'!G84</f>
        <v>0</v>
      </c>
      <c r="G84" s="52"/>
      <c r="H84" s="64" t="e">
        <f aca="false">G84/D84</f>
        <v>#DIV/0!</v>
      </c>
      <c r="I84" s="63" t="n">
        <f aca="false">G84*'Itens de Contrato'!F84</f>
        <v>0</v>
      </c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</row>
    <row r="85" customFormat="false" ht="12.8" hidden="false" customHeight="false" outlineLevel="0" collapsed="false">
      <c r="A85" s="37" t="n">
        <f aca="false">'Itens de Contrato'!A85</f>
        <v>0</v>
      </c>
      <c r="B85" s="37" t="n">
        <f aca="false">'Itens de Contrato'!B85</f>
        <v>0</v>
      </c>
      <c r="C85" s="37" t="e">
        <f aca="false">VLOOKUP(B85,'Itens de Contrato'!B$5:G$151,2,0)</f>
        <v>#N/A</v>
      </c>
      <c r="D85" s="52"/>
      <c r="E85" s="63" t="n">
        <f aca="false">D85*'Itens de Contrato'!F85</f>
        <v>0</v>
      </c>
      <c r="F85" s="62" t="n">
        <f aca="false">'Medição 02'!F85-'Medição 02'!G85</f>
        <v>0</v>
      </c>
      <c r="G85" s="52"/>
      <c r="H85" s="64" t="e">
        <f aca="false">G85/D85</f>
        <v>#DIV/0!</v>
      </c>
      <c r="I85" s="63" t="n">
        <f aca="false">G85*'Itens de Contrato'!F85</f>
        <v>0</v>
      </c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</row>
    <row r="86" customFormat="false" ht="12.8" hidden="false" customHeight="false" outlineLevel="0" collapsed="false">
      <c r="A86" s="37" t="n">
        <f aca="false">'Itens de Contrato'!A86</f>
        <v>0</v>
      </c>
      <c r="B86" s="37" t="n">
        <f aca="false">'Itens de Contrato'!B86</f>
        <v>0</v>
      </c>
      <c r="C86" s="37" t="e">
        <f aca="false">VLOOKUP(B86,'Itens de Contrato'!B$5:G$151,2,0)</f>
        <v>#N/A</v>
      </c>
      <c r="D86" s="52"/>
      <c r="E86" s="63" t="n">
        <f aca="false">D86*'Itens de Contrato'!F86</f>
        <v>0</v>
      </c>
      <c r="F86" s="62" t="n">
        <f aca="false">'Medição 02'!F86-'Medição 02'!G86</f>
        <v>0</v>
      </c>
      <c r="G86" s="52"/>
      <c r="H86" s="64" t="e">
        <f aca="false">G86/D86</f>
        <v>#DIV/0!</v>
      </c>
      <c r="I86" s="63" t="n">
        <f aca="false">G86*'Itens de Contrato'!F86</f>
        <v>0</v>
      </c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</row>
    <row r="87" customFormat="false" ht="12.8" hidden="false" customHeight="false" outlineLevel="0" collapsed="false">
      <c r="A87" s="37" t="n">
        <f aca="false">'Itens de Contrato'!A87</f>
        <v>0</v>
      </c>
      <c r="B87" s="37" t="n">
        <f aca="false">'Itens de Contrato'!B87</f>
        <v>0</v>
      </c>
      <c r="C87" s="37" t="e">
        <f aca="false">VLOOKUP(B87,'Itens de Contrato'!B$5:G$151,2,0)</f>
        <v>#N/A</v>
      </c>
      <c r="D87" s="52"/>
      <c r="E87" s="63" t="n">
        <f aca="false">D87*'Itens de Contrato'!F87</f>
        <v>0</v>
      </c>
      <c r="F87" s="62" t="n">
        <f aca="false">'Medição 02'!F87-'Medição 02'!G87</f>
        <v>0</v>
      </c>
      <c r="G87" s="52"/>
      <c r="H87" s="64" t="e">
        <f aca="false">G87/D87</f>
        <v>#DIV/0!</v>
      </c>
      <c r="I87" s="63" t="n">
        <f aca="false">G87*'Itens de Contrato'!F87</f>
        <v>0</v>
      </c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</row>
    <row r="88" customFormat="false" ht="12.8" hidden="false" customHeight="false" outlineLevel="0" collapsed="false">
      <c r="A88" s="37" t="n">
        <f aca="false">'Itens de Contrato'!A88</f>
        <v>0</v>
      </c>
      <c r="B88" s="37" t="n">
        <f aca="false">'Itens de Contrato'!B88</f>
        <v>0</v>
      </c>
      <c r="C88" s="37" t="e">
        <f aca="false">VLOOKUP(B88,'Itens de Contrato'!B$5:G$151,2,0)</f>
        <v>#N/A</v>
      </c>
      <c r="D88" s="52"/>
      <c r="E88" s="63" t="n">
        <f aca="false">D88*'Itens de Contrato'!F88</f>
        <v>0</v>
      </c>
      <c r="F88" s="62" t="n">
        <f aca="false">'Medição 02'!F88-'Medição 02'!G88</f>
        <v>0</v>
      </c>
      <c r="G88" s="52"/>
      <c r="H88" s="64" t="e">
        <f aca="false">G88/D88</f>
        <v>#DIV/0!</v>
      </c>
      <c r="I88" s="63" t="n">
        <f aca="false">G88*'Itens de Contrato'!F88</f>
        <v>0</v>
      </c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</row>
    <row r="89" customFormat="false" ht="12.8" hidden="false" customHeight="false" outlineLevel="0" collapsed="false">
      <c r="A89" s="37" t="n">
        <f aca="false">'Itens de Contrato'!A89</f>
        <v>0</v>
      </c>
      <c r="B89" s="37" t="n">
        <f aca="false">'Itens de Contrato'!B89</f>
        <v>0</v>
      </c>
      <c r="C89" s="37" t="e">
        <f aca="false">VLOOKUP(B89,'Itens de Contrato'!B$5:G$151,2,0)</f>
        <v>#N/A</v>
      </c>
      <c r="D89" s="52"/>
      <c r="E89" s="63" t="n">
        <f aca="false">D89*'Itens de Contrato'!F89</f>
        <v>0</v>
      </c>
      <c r="F89" s="62" t="n">
        <f aca="false">'Medição 02'!F89-'Medição 02'!G89</f>
        <v>0</v>
      </c>
      <c r="G89" s="52"/>
      <c r="H89" s="64" t="e">
        <f aca="false">G89/D89</f>
        <v>#DIV/0!</v>
      </c>
      <c r="I89" s="63" t="n">
        <f aca="false">G89*'Itens de Contrato'!F89</f>
        <v>0</v>
      </c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</row>
    <row r="90" customFormat="false" ht="12.8" hidden="false" customHeight="false" outlineLevel="0" collapsed="false">
      <c r="A90" s="37" t="n">
        <f aca="false">'Itens de Contrato'!A90</f>
        <v>0</v>
      </c>
      <c r="B90" s="37" t="n">
        <f aca="false">'Itens de Contrato'!B90</f>
        <v>0</v>
      </c>
      <c r="C90" s="37" t="e">
        <f aca="false">VLOOKUP(B90,'Itens de Contrato'!B$5:G$151,2,0)</f>
        <v>#N/A</v>
      </c>
      <c r="D90" s="52"/>
      <c r="E90" s="63" t="n">
        <f aca="false">D90*'Itens de Contrato'!F90</f>
        <v>0</v>
      </c>
      <c r="F90" s="62" t="n">
        <f aca="false">'Medição 02'!F90-'Medição 02'!G90</f>
        <v>0</v>
      </c>
      <c r="G90" s="52"/>
      <c r="H90" s="64" t="e">
        <f aca="false">G90/D90</f>
        <v>#DIV/0!</v>
      </c>
      <c r="I90" s="63" t="n">
        <f aca="false">G90*'Itens de Contrato'!F90</f>
        <v>0</v>
      </c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</row>
    <row r="91" customFormat="false" ht="12.8" hidden="false" customHeight="false" outlineLevel="0" collapsed="false">
      <c r="A91" s="37" t="n">
        <f aca="false">'Itens de Contrato'!A91</f>
        <v>0</v>
      </c>
      <c r="B91" s="37" t="n">
        <f aca="false">'Itens de Contrato'!B91</f>
        <v>0</v>
      </c>
      <c r="C91" s="37" t="e">
        <f aca="false">VLOOKUP(B91,'Itens de Contrato'!B$5:G$151,2,0)</f>
        <v>#N/A</v>
      </c>
      <c r="D91" s="52"/>
      <c r="E91" s="63" t="n">
        <f aca="false">D91*'Itens de Contrato'!F91</f>
        <v>0</v>
      </c>
      <c r="F91" s="62" t="n">
        <f aca="false">'Medição 02'!F91-'Medição 02'!G91</f>
        <v>0</v>
      </c>
      <c r="G91" s="52"/>
      <c r="H91" s="64" t="e">
        <f aca="false">G91/D91</f>
        <v>#DIV/0!</v>
      </c>
      <c r="I91" s="63" t="n">
        <f aca="false">G91*'Itens de Contrato'!F91</f>
        <v>0</v>
      </c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customFormat="false" ht="12.8" hidden="false" customHeight="false" outlineLevel="0" collapsed="false">
      <c r="A92" s="37" t="n">
        <f aca="false">'Itens de Contrato'!A92</f>
        <v>0</v>
      </c>
      <c r="B92" s="37" t="n">
        <f aca="false">'Itens de Contrato'!B92</f>
        <v>0</v>
      </c>
      <c r="C92" s="37" t="e">
        <f aca="false">VLOOKUP(B92,'Itens de Contrato'!B$5:G$151,2,0)</f>
        <v>#N/A</v>
      </c>
      <c r="D92" s="52"/>
      <c r="E92" s="63" t="n">
        <f aca="false">D92*'Itens de Contrato'!F92</f>
        <v>0</v>
      </c>
      <c r="F92" s="62" t="n">
        <f aca="false">'Medição 02'!F92-'Medição 02'!G92</f>
        <v>0</v>
      </c>
      <c r="G92" s="52"/>
      <c r="H92" s="64" t="e">
        <f aca="false">G92/D92</f>
        <v>#DIV/0!</v>
      </c>
      <c r="I92" s="63" t="n">
        <f aca="false">G92*'Itens de Contrato'!F92</f>
        <v>0</v>
      </c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</row>
    <row r="93" customFormat="false" ht="12.8" hidden="false" customHeight="false" outlineLevel="0" collapsed="false">
      <c r="A93" s="37" t="n">
        <f aca="false">'Itens de Contrato'!A93</f>
        <v>0</v>
      </c>
      <c r="B93" s="37" t="n">
        <f aca="false">'Itens de Contrato'!B93</f>
        <v>0</v>
      </c>
      <c r="C93" s="37" t="e">
        <f aca="false">VLOOKUP(B93,'Itens de Contrato'!B$5:G$151,2,0)</f>
        <v>#N/A</v>
      </c>
      <c r="D93" s="52"/>
      <c r="E93" s="63" t="n">
        <f aca="false">D93*'Itens de Contrato'!F93</f>
        <v>0</v>
      </c>
      <c r="F93" s="62" t="n">
        <f aca="false">'Medição 02'!F93-'Medição 02'!G93</f>
        <v>0</v>
      </c>
      <c r="G93" s="52"/>
      <c r="H93" s="64" t="e">
        <f aca="false">G93/D93</f>
        <v>#DIV/0!</v>
      </c>
      <c r="I93" s="63" t="n">
        <f aca="false">G93*'Itens de Contrato'!F93</f>
        <v>0</v>
      </c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</row>
    <row r="94" customFormat="false" ht="12.8" hidden="false" customHeight="false" outlineLevel="0" collapsed="false">
      <c r="A94" s="37" t="n">
        <f aca="false">'Itens de Contrato'!A94</f>
        <v>0</v>
      </c>
      <c r="B94" s="37" t="n">
        <f aca="false">'Itens de Contrato'!B94</f>
        <v>0</v>
      </c>
      <c r="C94" s="37" t="e">
        <f aca="false">VLOOKUP(B94,'Itens de Contrato'!B$5:G$151,2,0)</f>
        <v>#N/A</v>
      </c>
      <c r="D94" s="52"/>
      <c r="E94" s="63" t="n">
        <f aca="false">D94*'Itens de Contrato'!F94</f>
        <v>0</v>
      </c>
      <c r="F94" s="62" t="n">
        <f aca="false">'Medição 02'!F94-'Medição 02'!G94</f>
        <v>0</v>
      </c>
      <c r="G94" s="52"/>
      <c r="H94" s="64" t="e">
        <f aca="false">G94/D94</f>
        <v>#DIV/0!</v>
      </c>
      <c r="I94" s="63" t="n">
        <f aca="false">G94*'Itens de Contrato'!F94</f>
        <v>0</v>
      </c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</row>
    <row r="95" customFormat="false" ht="12.8" hidden="false" customHeight="false" outlineLevel="0" collapsed="false">
      <c r="A95" s="37" t="n">
        <f aca="false">'Itens de Contrato'!A95</f>
        <v>0</v>
      </c>
      <c r="B95" s="37" t="n">
        <f aca="false">'Itens de Contrato'!B95</f>
        <v>0</v>
      </c>
      <c r="C95" s="37" t="e">
        <f aca="false">VLOOKUP(B95,'Itens de Contrato'!B$5:G$151,2,0)</f>
        <v>#N/A</v>
      </c>
      <c r="D95" s="52"/>
      <c r="E95" s="63" t="n">
        <f aca="false">D95*'Itens de Contrato'!F95</f>
        <v>0</v>
      </c>
      <c r="F95" s="62" t="n">
        <f aca="false">'Medição 02'!F95-'Medição 02'!G95</f>
        <v>0</v>
      </c>
      <c r="G95" s="52"/>
      <c r="H95" s="64" t="e">
        <f aca="false">G95/D95</f>
        <v>#DIV/0!</v>
      </c>
      <c r="I95" s="63" t="n">
        <f aca="false">G95*'Itens de Contrato'!F95</f>
        <v>0</v>
      </c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</row>
    <row r="96" customFormat="false" ht="12.8" hidden="false" customHeight="false" outlineLevel="0" collapsed="false">
      <c r="A96" s="37" t="n">
        <f aca="false">'Itens de Contrato'!A96</f>
        <v>0</v>
      </c>
      <c r="B96" s="37" t="n">
        <f aca="false">'Itens de Contrato'!B96</f>
        <v>0</v>
      </c>
      <c r="C96" s="37" t="e">
        <f aca="false">VLOOKUP(B96,'Itens de Contrato'!B$5:G$151,2,0)</f>
        <v>#N/A</v>
      </c>
      <c r="D96" s="52"/>
      <c r="E96" s="63" t="n">
        <f aca="false">D96*'Itens de Contrato'!F96</f>
        <v>0</v>
      </c>
      <c r="F96" s="62" t="n">
        <f aca="false">'Medição 02'!F96-'Medição 02'!G96</f>
        <v>0</v>
      </c>
      <c r="G96" s="52"/>
      <c r="H96" s="64" t="e">
        <f aca="false">G96/D96</f>
        <v>#DIV/0!</v>
      </c>
      <c r="I96" s="63" t="n">
        <f aca="false">G96*'Itens de Contrato'!F96</f>
        <v>0</v>
      </c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</row>
    <row r="97" customFormat="false" ht="12.8" hidden="false" customHeight="false" outlineLevel="0" collapsed="false">
      <c r="A97" s="37" t="n">
        <f aca="false">'Itens de Contrato'!A97</f>
        <v>0</v>
      </c>
      <c r="B97" s="37" t="n">
        <f aca="false">'Itens de Contrato'!B97</f>
        <v>0</v>
      </c>
      <c r="C97" s="37" t="e">
        <f aca="false">VLOOKUP(B97,'Itens de Contrato'!B$5:G$151,2,0)</f>
        <v>#N/A</v>
      </c>
      <c r="D97" s="52"/>
      <c r="E97" s="63" t="n">
        <f aca="false">D97*'Itens de Contrato'!F97</f>
        <v>0</v>
      </c>
      <c r="F97" s="62" t="n">
        <f aca="false">'Medição 02'!F97-'Medição 02'!G97</f>
        <v>0</v>
      </c>
      <c r="G97" s="52"/>
      <c r="H97" s="64" t="e">
        <f aca="false">G97/D97</f>
        <v>#DIV/0!</v>
      </c>
      <c r="I97" s="63" t="n">
        <f aca="false">G97*'Itens de Contrato'!F97</f>
        <v>0</v>
      </c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</row>
    <row r="98" customFormat="false" ht="12.8" hidden="false" customHeight="false" outlineLevel="0" collapsed="false">
      <c r="A98" s="37" t="n">
        <f aca="false">'Itens de Contrato'!A98</f>
        <v>0</v>
      </c>
      <c r="B98" s="37" t="n">
        <f aca="false">'Itens de Contrato'!B98</f>
        <v>0</v>
      </c>
      <c r="C98" s="37" t="e">
        <f aca="false">VLOOKUP(B98,'Itens de Contrato'!B$5:G$151,2,0)</f>
        <v>#N/A</v>
      </c>
      <c r="D98" s="52"/>
      <c r="E98" s="63" t="n">
        <f aca="false">D98*'Itens de Contrato'!F98</f>
        <v>0</v>
      </c>
      <c r="F98" s="62" t="n">
        <f aca="false">'Medição 02'!F98-'Medição 02'!G98</f>
        <v>0</v>
      </c>
      <c r="G98" s="52"/>
      <c r="H98" s="64" t="e">
        <f aca="false">G98/D98</f>
        <v>#DIV/0!</v>
      </c>
      <c r="I98" s="63" t="n">
        <f aca="false">G98*'Itens de Contrato'!F98</f>
        <v>0</v>
      </c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</row>
    <row r="99" customFormat="false" ht="12.8" hidden="false" customHeight="false" outlineLevel="0" collapsed="false">
      <c r="A99" s="37" t="n">
        <f aca="false">'Itens de Contrato'!A99</f>
        <v>0</v>
      </c>
      <c r="B99" s="37" t="n">
        <f aca="false">'Itens de Contrato'!B99</f>
        <v>0</v>
      </c>
      <c r="C99" s="37" t="e">
        <f aca="false">VLOOKUP(B99,'Itens de Contrato'!B$5:G$151,2,0)</f>
        <v>#N/A</v>
      </c>
      <c r="D99" s="52"/>
      <c r="E99" s="63" t="n">
        <f aca="false">D99*'Itens de Contrato'!F99</f>
        <v>0</v>
      </c>
      <c r="F99" s="62" t="n">
        <f aca="false">'Medição 02'!F99-'Medição 02'!G99</f>
        <v>0</v>
      </c>
      <c r="G99" s="52"/>
      <c r="H99" s="64" t="e">
        <f aca="false">G99/D99</f>
        <v>#DIV/0!</v>
      </c>
      <c r="I99" s="63" t="n">
        <f aca="false">G99*'Itens de Contrato'!F99</f>
        <v>0</v>
      </c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</row>
    <row r="100" customFormat="false" ht="12.8" hidden="false" customHeight="false" outlineLevel="0" collapsed="false">
      <c r="A100" s="37" t="n">
        <f aca="false">'Itens de Contrato'!A100</f>
        <v>0</v>
      </c>
      <c r="B100" s="37" t="n">
        <f aca="false">'Itens de Contrato'!B100</f>
        <v>0</v>
      </c>
      <c r="C100" s="37" t="e">
        <f aca="false">VLOOKUP(B100,'Itens de Contrato'!B$5:G$151,2,0)</f>
        <v>#N/A</v>
      </c>
      <c r="D100" s="52"/>
      <c r="E100" s="63" t="n">
        <f aca="false">D100*'Itens de Contrato'!F100</f>
        <v>0</v>
      </c>
      <c r="F100" s="62" t="n">
        <f aca="false">'Medição 02'!F100-'Medição 02'!G100</f>
        <v>0</v>
      </c>
      <c r="G100" s="52"/>
      <c r="H100" s="64" t="e">
        <f aca="false">G100/D100</f>
        <v>#DIV/0!</v>
      </c>
      <c r="I100" s="63" t="n">
        <f aca="false">G100*'Itens de Contrato'!F100</f>
        <v>0</v>
      </c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customFormat="false" ht="12.8" hidden="false" customHeight="false" outlineLevel="0" collapsed="false">
      <c r="A101" s="37" t="n">
        <f aca="false">'Itens de Contrato'!A101</f>
        <v>0</v>
      </c>
      <c r="B101" s="37" t="n">
        <f aca="false">'Itens de Contrato'!B101</f>
        <v>0</v>
      </c>
      <c r="C101" s="37" t="e">
        <f aca="false">VLOOKUP(B101,'Itens de Contrato'!B$5:G$151,2,0)</f>
        <v>#N/A</v>
      </c>
      <c r="D101" s="52"/>
      <c r="E101" s="63" t="n">
        <f aca="false">D101*'Itens de Contrato'!F101</f>
        <v>0</v>
      </c>
      <c r="F101" s="62" t="n">
        <f aca="false">'Medição 02'!F101-'Medição 02'!G101</f>
        <v>0</v>
      </c>
      <c r="G101" s="52"/>
      <c r="H101" s="64" t="e">
        <f aca="false">G101/D101</f>
        <v>#DIV/0!</v>
      </c>
      <c r="I101" s="63" t="n">
        <f aca="false">G101*'Itens de Contrato'!F101</f>
        <v>0</v>
      </c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customFormat="false" ht="12.8" hidden="false" customHeight="false" outlineLevel="0" collapsed="false">
      <c r="A102" s="37" t="n">
        <f aca="false">'Itens de Contrato'!A102</f>
        <v>0</v>
      </c>
      <c r="B102" s="37" t="n">
        <f aca="false">'Itens de Contrato'!B102</f>
        <v>0</v>
      </c>
      <c r="C102" s="37" t="e">
        <f aca="false">VLOOKUP(B102,'Itens de Contrato'!B$5:G$151,2,0)</f>
        <v>#N/A</v>
      </c>
      <c r="D102" s="52"/>
      <c r="E102" s="63" t="n">
        <f aca="false">D102*'Itens de Contrato'!F102</f>
        <v>0</v>
      </c>
      <c r="F102" s="62" t="n">
        <f aca="false">'Medição 02'!F102-'Medição 02'!G102</f>
        <v>0</v>
      </c>
      <c r="G102" s="52"/>
      <c r="H102" s="64" t="e">
        <f aca="false">G102/D102</f>
        <v>#DIV/0!</v>
      </c>
      <c r="I102" s="63" t="n">
        <f aca="false">G102*'Itens de Contrato'!F102</f>
        <v>0</v>
      </c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</row>
    <row r="103" customFormat="false" ht="12.8" hidden="false" customHeight="false" outlineLevel="0" collapsed="false">
      <c r="A103" s="37" t="n">
        <f aca="false">'Itens de Contrato'!A103</f>
        <v>0</v>
      </c>
      <c r="B103" s="37" t="n">
        <f aca="false">'Itens de Contrato'!B103</f>
        <v>0</v>
      </c>
      <c r="C103" s="37" t="e">
        <f aca="false">VLOOKUP(B103,'Itens de Contrato'!B$5:G$151,2,0)</f>
        <v>#N/A</v>
      </c>
      <c r="D103" s="52"/>
      <c r="E103" s="63" t="n">
        <f aca="false">D103*'Itens de Contrato'!F103</f>
        <v>0</v>
      </c>
      <c r="F103" s="62" t="n">
        <f aca="false">'Medição 02'!F103-'Medição 02'!G103</f>
        <v>0</v>
      </c>
      <c r="G103" s="52"/>
      <c r="H103" s="64" t="e">
        <f aca="false">G103/D103</f>
        <v>#DIV/0!</v>
      </c>
      <c r="I103" s="63" t="n">
        <f aca="false">G103*'Itens de Contrato'!F103</f>
        <v>0</v>
      </c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</row>
    <row r="104" customFormat="false" ht="12.8" hidden="false" customHeight="false" outlineLevel="0" collapsed="false">
      <c r="A104" s="37" t="n">
        <f aca="false">'Itens de Contrato'!A104</f>
        <v>0</v>
      </c>
      <c r="B104" s="37" t="n">
        <f aca="false">'Itens de Contrato'!B104</f>
        <v>0</v>
      </c>
      <c r="C104" s="37" t="e">
        <f aca="false">VLOOKUP(B104,'Itens de Contrato'!B$5:G$151,2,0)</f>
        <v>#N/A</v>
      </c>
      <c r="D104" s="52"/>
      <c r="E104" s="63" t="n">
        <f aca="false">D104*'Itens de Contrato'!F104</f>
        <v>0</v>
      </c>
      <c r="F104" s="62" t="n">
        <f aca="false">'Medição 02'!F104-'Medição 02'!G104</f>
        <v>0</v>
      </c>
      <c r="G104" s="52"/>
      <c r="H104" s="64" t="e">
        <f aca="false">G104/D104</f>
        <v>#DIV/0!</v>
      </c>
      <c r="I104" s="63" t="n">
        <f aca="false">G104*'Itens de Contrato'!F104</f>
        <v>0</v>
      </c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</row>
    <row r="105" customFormat="false" ht="12.8" hidden="false" customHeight="false" outlineLevel="0" collapsed="false">
      <c r="A105" s="37" t="n">
        <f aca="false">'Itens de Contrato'!A105</f>
        <v>0</v>
      </c>
      <c r="B105" s="37" t="n">
        <f aca="false">'Itens de Contrato'!B105</f>
        <v>0</v>
      </c>
      <c r="C105" s="37" t="e">
        <f aca="false">VLOOKUP(B105,'Itens de Contrato'!B$5:G$151,2,0)</f>
        <v>#N/A</v>
      </c>
      <c r="D105" s="52"/>
      <c r="E105" s="63" t="n">
        <f aca="false">D105*'Itens de Contrato'!F105</f>
        <v>0</v>
      </c>
      <c r="F105" s="62" t="n">
        <f aca="false">'Medição 02'!F105-'Medição 02'!G105</f>
        <v>0</v>
      </c>
      <c r="G105" s="52"/>
      <c r="H105" s="64" t="e">
        <f aca="false">G105/D105</f>
        <v>#DIV/0!</v>
      </c>
      <c r="I105" s="63" t="n">
        <f aca="false">G105*'Itens de Contrato'!F105</f>
        <v>0</v>
      </c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</row>
    <row r="106" customFormat="false" ht="12.8" hidden="false" customHeight="false" outlineLevel="0" collapsed="false">
      <c r="A106" s="37" t="n">
        <f aca="false">'Itens de Contrato'!A106</f>
        <v>0</v>
      </c>
      <c r="B106" s="37" t="n">
        <f aca="false">'Itens de Contrato'!B106</f>
        <v>0</v>
      </c>
      <c r="C106" s="37" t="e">
        <f aca="false">VLOOKUP(B106,'Itens de Contrato'!B$5:G$151,2,0)</f>
        <v>#N/A</v>
      </c>
      <c r="D106" s="52"/>
      <c r="E106" s="63" t="n">
        <f aca="false">D106*'Itens de Contrato'!F106</f>
        <v>0</v>
      </c>
      <c r="F106" s="62" t="n">
        <f aca="false">'Medição 02'!F106-'Medição 02'!G106</f>
        <v>0</v>
      </c>
      <c r="G106" s="52"/>
      <c r="H106" s="64" t="e">
        <f aca="false">G106/D106</f>
        <v>#DIV/0!</v>
      </c>
      <c r="I106" s="63" t="n">
        <f aca="false">G106*'Itens de Contrato'!F106</f>
        <v>0</v>
      </c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</row>
    <row r="107" customFormat="false" ht="12.8" hidden="false" customHeight="false" outlineLevel="0" collapsed="false">
      <c r="A107" s="37" t="n">
        <f aca="false">'Itens de Contrato'!A107</f>
        <v>0</v>
      </c>
      <c r="B107" s="37" t="n">
        <f aca="false">'Itens de Contrato'!B107</f>
        <v>0</v>
      </c>
      <c r="C107" s="37" t="e">
        <f aca="false">VLOOKUP(B107,'Itens de Contrato'!B$5:G$151,2,0)</f>
        <v>#N/A</v>
      </c>
      <c r="D107" s="52"/>
      <c r="E107" s="63" t="n">
        <f aca="false">D107*'Itens de Contrato'!F107</f>
        <v>0</v>
      </c>
      <c r="F107" s="62" t="n">
        <f aca="false">'Medição 02'!F107-'Medição 02'!G107</f>
        <v>0</v>
      </c>
      <c r="G107" s="52"/>
      <c r="H107" s="64" t="e">
        <f aca="false">G107/D107</f>
        <v>#DIV/0!</v>
      </c>
      <c r="I107" s="63" t="n">
        <f aca="false">G107*'Itens de Contrato'!F107</f>
        <v>0</v>
      </c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</row>
    <row r="108" customFormat="false" ht="12.8" hidden="false" customHeight="false" outlineLevel="0" collapsed="false">
      <c r="A108" s="37" t="n">
        <f aca="false">'Itens de Contrato'!A108</f>
        <v>0</v>
      </c>
      <c r="B108" s="37" t="n">
        <f aca="false">'Itens de Contrato'!B108</f>
        <v>0</v>
      </c>
      <c r="C108" s="37" t="e">
        <f aca="false">VLOOKUP(B108,'Itens de Contrato'!B$5:G$151,2,0)</f>
        <v>#N/A</v>
      </c>
      <c r="D108" s="52"/>
      <c r="E108" s="63" t="n">
        <f aca="false">D108*'Itens de Contrato'!F108</f>
        <v>0</v>
      </c>
      <c r="F108" s="62" t="n">
        <f aca="false">'Medição 02'!F108-'Medição 02'!G108</f>
        <v>0</v>
      </c>
      <c r="G108" s="52"/>
      <c r="H108" s="64" t="e">
        <f aca="false">G108/D108</f>
        <v>#DIV/0!</v>
      </c>
      <c r="I108" s="63" t="n">
        <f aca="false">G108*'Itens de Contrato'!F108</f>
        <v>0</v>
      </c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</row>
    <row r="109" customFormat="false" ht="12.8" hidden="false" customHeight="false" outlineLevel="0" collapsed="false">
      <c r="A109" s="37" t="n">
        <f aca="false">'Itens de Contrato'!A109</f>
        <v>0</v>
      </c>
      <c r="B109" s="37" t="n">
        <f aca="false">'Itens de Contrato'!B109</f>
        <v>0</v>
      </c>
      <c r="C109" s="37" t="e">
        <f aca="false">VLOOKUP(B109,'Itens de Contrato'!B$5:G$151,2,0)</f>
        <v>#N/A</v>
      </c>
      <c r="D109" s="52"/>
      <c r="E109" s="63" t="n">
        <f aca="false">D109*'Itens de Contrato'!F109</f>
        <v>0</v>
      </c>
      <c r="F109" s="62" t="n">
        <f aca="false">'Medição 02'!F109-'Medição 02'!G109</f>
        <v>0</v>
      </c>
      <c r="G109" s="52"/>
      <c r="H109" s="64" t="e">
        <f aca="false">G109/D109</f>
        <v>#DIV/0!</v>
      </c>
      <c r="I109" s="63" t="n">
        <f aca="false">G109*'Itens de Contrato'!F109</f>
        <v>0</v>
      </c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</row>
    <row r="110" customFormat="false" ht="12.8" hidden="false" customHeight="false" outlineLevel="0" collapsed="false">
      <c r="A110" s="37" t="n">
        <f aca="false">'Itens de Contrato'!A110</f>
        <v>0</v>
      </c>
      <c r="B110" s="37" t="n">
        <f aca="false">'Itens de Contrato'!B110</f>
        <v>0</v>
      </c>
      <c r="C110" s="37" t="e">
        <f aca="false">VLOOKUP(B110,'Itens de Contrato'!B$5:G$151,2,0)</f>
        <v>#N/A</v>
      </c>
      <c r="D110" s="52"/>
      <c r="E110" s="63" t="n">
        <f aca="false">D110*'Itens de Contrato'!F110</f>
        <v>0</v>
      </c>
      <c r="F110" s="62" t="n">
        <f aca="false">'Medição 02'!F110-'Medição 02'!G110</f>
        <v>0</v>
      </c>
      <c r="G110" s="52"/>
      <c r="H110" s="64" t="e">
        <f aca="false">G110/D110</f>
        <v>#DIV/0!</v>
      </c>
      <c r="I110" s="63" t="n">
        <f aca="false">G110*'Itens de Contrato'!F110</f>
        <v>0</v>
      </c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</row>
    <row r="111" customFormat="false" ht="12.8" hidden="false" customHeight="false" outlineLevel="0" collapsed="false">
      <c r="A111" s="37" t="n">
        <f aca="false">'Itens de Contrato'!A111</f>
        <v>0</v>
      </c>
      <c r="B111" s="37" t="n">
        <f aca="false">'Itens de Contrato'!B111</f>
        <v>0</v>
      </c>
      <c r="C111" s="37" t="e">
        <f aca="false">VLOOKUP(B111,'Itens de Contrato'!B$5:G$151,2,0)</f>
        <v>#N/A</v>
      </c>
      <c r="D111" s="52"/>
      <c r="E111" s="63" t="n">
        <f aca="false">D111*'Itens de Contrato'!F111</f>
        <v>0</v>
      </c>
      <c r="F111" s="62" t="n">
        <f aca="false">'Medição 02'!F111-'Medição 02'!G111</f>
        <v>0</v>
      </c>
      <c r="G111" s="52"/>
      <c r="H111" s="64" t="e">
        <f aca="false">G111/D111</f>
        <v>#DIV/0!</v>
      </c>
      <c r="I111" s="63" t="n">
        <f aca="false">G111*'Itens de Contrato'!F111</f>
        <v>0</v>
      </c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</row>
    <row r="112" customFormat="false" ht="12.8" hidden="false" customHeight="false" outlineLevel="0" collapsed="false">
      <c r="A112" s="37" t="n">
        <f aca="false">'Itens de Contrato'!A112</f>
        <v>0</v>
      </c>
      <c r="B112" s="37" t="n">
        <f aca="false">'Itens de Contrato'!B112</f>
        <v>0</v>
      </c>
      <c r="C112" s="37" t="e">
        <f aca="false">VLOOKUP(B112,'Itens de Contrato'!B$5:G$151,2,0)</f>
        <v>#N/A</v>
      </c>
      <c r="D112" s="52"/>
      <c r="E112" s="63" t="n">
        <f aca="false">D112*'Itens de Contrato'!F112</f>
        <v>0</v>
      </c>
      <c r="F112" s="62" t="n">
        <f aca="false">'Medição 02'!F112-'Medição 02'!G112</f>
        <v>0</v>
      </c>
      <c r="G112" s="52"/>
      <c r="H112" s="64" t="e">
        <f aca="false">G112/D112</f>
        <v>#DIV/0!</v>
      </c>
      <c r="I112" s="63" t="n">
        <f aca="false">G112*'Itens de Contrato'!F112</f>
        <v>0</v>
      </c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</row>
    <row r="113" customFormat="false" ht="12.8" hidden="false" customHeight="false" outlineLevel="0" collapsed="false">
      <c r="A113" s="37" t="n">
        <f aca="false">'Itens de Contrato'!A113</f>
        <v>0</v>
      </c>
      <c r="B113" s="37" t="n">
        <f aca="false">'Itens de Contrato'!B113</f>
        <v>0</v>
      </c>
      <c r="C113" s="37" t="e">
        <f aca="false">VLOOKUP(B113,'Itens de Contrato'!B$5:G$151,2,0)</f>
        <v>#N/A</v>
      </c>
      <c r="D113" s="52"/>
      <c r="E113" s="63" t="n">
        <f aca="false">D113*'Itens de Contrato'!F113</f>
        <v>0</v>
      </c>
      <c r="F113" s="62" t="n">
        <f aca="false">'Medição 02'!F113-'Medição 02'!G113</f>
        <v>0</v>
      </c>
      <c r="G113" s="52"/>
      <c r="H113" s="64" t="e">
        <f aca="false">G113/D113</f>
        <v>#DIV/0!</v>
      </c>
      <c r="I113" s="63" t="n">
        <f aca="false">G113*'Itens de Contrato'!F113</f>
        <v>0</v>
      </c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</row>
    <row r="114" customFormat="false" ht="12.8" hidden="false" customHeight="false" outlineLevel="0" collapsed="false">
      <c r="A114" s="37" t="n">
        <f aca="false">'Itens de Contrato'!A114</f>
        <v>0</v>
      </c>
      <c r="B114" s="37" t="n">
        <f aca="false">'Itens de Contrato'!B114</f>
        <v>0</v>
      </c>
      <c r="C114" s="37" t="e">
        <f aca="false">VLOOKUP(B114,'Itens de Contrato'!B$5:G$151,2,0)</f>
        <v>#N/A</v>
      </c>
      <c r="D114" s="52"/>
      <c r="E114" s="63" t="n">
        <f aca="false">D114*'Itens de Contrato'!F114</f>
        <v>0</v>
      </c>
      <c r="F114" s="62" t="n">
        <f aca="false">'Medição 02'!F114-'Medição 02'!G114</f>
        <v>0</v>
      </c>
      <c r="G114" s="52"/>
      <c r="H114" s="64" t="e">
        <f aca="false">G114/D114</f>
        <v>#DIV/0!</v>
      </c>
      <c r="I114" s="63" t="n">
        <f aca="false">G114*'Itens de Contrato'!F114</f>
        <v>0</v>
      </c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</row>
    <row r="115" customFormat="false" ht="12.8" hidden="false" customHeight="false" outlineLevel="0" collapsed="false">
      <c r="A115" s="37" t="n">
        <f aca="false">'Itens de Contrato'!A115</f>
        <v>0</v>
      </c>
      <c r="B115" s="37" t="n">
        <f aca="false">'Itens de Contrato'!B115</f>
        <v>0</v>
      </c>
      <c r="C115" s="37" t="e">
        <f aca="false">VLOOKUP(B115,'Itens de Contrato'!B$5:G$151,2,0)</f>
        <v>#N/A</v>
      </c>
      <c r="D115" s="52"/>
      <c r="E115" s="63" t="n">
        <f aca="false">D115*'Itens de Contrato'!F115</f>
        <v>0</v>
      </c>
      <c r="F115" s="62" t="n">
        <f aca="false">'Medição 02'!F115-'Medição 02'!G115</f>
        <v>0</v>
      </c>
      <c r="G115" s="52"/>
      <c r="H115" s="64" t="e">
        <f aca="false">G115/D115</f>
        <v>#DIV/0!</v>
      </c>
      <c r="I115" s="63" t="n">
        <f aca="false">G115*'Itens de Contrato'!F115</f>
        <v>0</v>
      </c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</row>
    <row r="116" customFormat="false" ht="12.8" hidden="false" customHeight="false" outlineLevel="0" collapsed="false">
      <c r="A116" s="37" t="n">
        <f aca="false">'Itens de Contrato'!A116</f>
        <v>0</v>
      </c>
      <c r="B116" s="37" t="n">
        <f aca="false">'Itens de Contrato'!B116</f>
        <v>0</v>
      </c>
      <c r="C116" s="37" t="e">
        <f aca="false">VLOOKUP(B116,'Itens de Contrato'!B$5:G$151,2,0)</f>
        <v>#N/A</v>
      </c>
      <c r="D116" s="52"/>
      <c r="E116" s="63" t="n">
        <f aca="false">D116*'Itens de Contrato'!F116</f>
        <v>0</v>
      </c>
      <c r="F116" s="62" t="n">
        <f aca="false">'Medição 02'!F116-'Medição 02'!G116</f>
        <v>0</v>
      </c>
      <c r="G116" s="52"/>
      <c r="H116" s="64" t="e">
        <f aca="false">G116/D116</f>
        <v>#DIV/0!</v>
      </c>
      <c r="I116" s="63" t="n">
        <f aca="false">G116*'Itens de Contrato'!F116</f>
        <v>0</v>
      </c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</row>
    <row r="117" customFormat="false" ht="12.8" hidden="false" customHeight="false" outlineLevel="0" collapsed="false">
      <c r="A117" s="37" t="n">
        <f aca="false">'Itens de Contrato'!A117</f>
        <v>0</v>
      </c>
      <c r="B117" s="37" t="n">
        <f aca="false">'Itens de Contrato'!B117</f>
        <v>0</v>
      </c>
      <c r="C117" s="37" t="e">
        <f aca="false">VLOOKUP(B117,'Itens de Contrato'!B$5:G$151,2,0)</f>
        <v>#N/A</v>
      </c>
      <c r="D117" s="52"/>
      <c r="E117" s="63" t="n">
        <f aca="false">D117*'Itens de Contrato'!F117</f>
        <v>0</v>
      </c>
      <c r="F117" s="62" t="n">
        <f aca="false">'Medição 02'!F117-'Medição 02'!G117</f>
        <v>0</v>
      </c>
      <c r="G117" s="52"/>
      <c r="H117" s="64" t="e">
        <f aca="false">G117/D117</f>
        <v>#DIV/0!</v>
      </c>
      <c r="I117" s="63" t="n">
        <f aca="false">G117*'Itens de Contrato'!F117</f>
        <v>0</v>
      </c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</row>
    <row r="118" customFormat="false" ht="12.8" hidden="false" customHeight="false" outlineLevel="0" collapsed="false">
      <c r="A118" s="37" t="n">
        <f aca="false">'Itens de Contrato'!A118</f>
        <v>0</v>
      </c>
      <c r="B118" s="37" t="n">
        <f aca="false">'Itens de Contrato'!B118</f>
        <v>0</v>
      </c>
      <c r="C118" s="37" t="e">
        <f aca="false">VLOOKUP(B118,'Itens de Contrato'!B$5:G$151,2,0)</f>
        <v>#N/A</v>
      </c>
      <c r="D118" s="52"/>
      <c r="E118" s="63" t="n">
        <f aca="false">D118*'Itens de Contrato'!F118</f>
        <v>0</v>
      </c>
      <c r="F118" s="62" t="n">
        <f aca="false">'Medição 02'!F118-'Medição 02'!G118</f>
        <v>0</v>
      </c>
      <c r="G118" s="52"/>
      <c r="H118" s="64" t="e">
        <f aca="false">G118/D118</f>
        <v>#DIV/0!</v>
      </c>
      <c r="I118" s="63" t="n">
        <f aca="false">G118*'Itens de Contrato'!F118</f>
        <v>0</v>
      </c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</row>
    <row r="119" customFormat="false" ht="12.8" hidden="false" customHeight="false" outlineLevel="0" collapsed="false">
      <c r="A119" s="37" t="n">
        <f aca="false">'Itens de Contrato'!A119</f>
        <v>0</v>
      </c>
      <c r="B119" s="37" t="n">
        <f aca="false">'Itens de Contrato'!B119</f>
        <v>0</v>
      </c>
      <c r="C119" s="37" t="e">
        <f aca="false">VLOOKUP(B119,'Itens de Contrato'!B$5:G$151,2,0)</f>
        <v>#N/A</v>
      </c>
      <c r="D119" s="52"/>
      <c r="E119" s="63" t="n">
        <f aca="false">D119*'Itens de Contrato'!F119</f>
        <v>0</v>
      </c>
      <c r="F119" s="62" t="n">
        <f aca="false">'Medição 02'!F119-'Medição 02'!G119</f>
        <v>0</v>
      </c>
      <c r="G119" s="52"/>
      <c r="H119" s="64" t="e">
        <f aca="false">G119/D119</f>
        <v>#DIV/0!</v>
      </c>
      <c r="I119" s="63" t="n">
        <f aca="false">G119*'Itens de Contrato'!F119</f>
        <v>0</v>
      </c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</row>
    <row r="120" customFormat="false" ht="12.8" hidden="false" customHeight="false" outlineLevel="0" collapsed="false">
      <c r="A120" s="37" t="n">
        <f aca="false">'Itens de Contrato'!A120</f>
        <v>0</v>
      </c>
      <c r="B120" s="37" t="n">
        <f aca="false">'Itens de Contrato'!B120</f>
        <v>0</v>
      </c>
      <c r="C120" s="37" t="e">
        <f aca="false">VLOOKUP(B120,'Itens de Contrato'!B$5:G$151,2,0)</f>
        <v>#N/A</v>
      </c>
      <c r="D120" s="52"/>
      <c r="E120" s="63" t="n">
        <f aca="false">D120*'Itens de Contrato'!F120</f>
        <v>0</v>
      </c>
      <c r="F120" s="62" t="n">
        <f aca="false">'Medição 02'!F120-'Medição 02'!G120</f>
        <v>0</v>
      </c>
      <c r="G120" s="52"/>
      <c r="H120" s="64" t="e">
        <f aca="false">G120/D120</f>
        <v>#DIV/0!</v>
      </c>
      <c r="I120" s="63" t="n">
        <f aca="false">G120*'Itens de Contrato'!F120</f>
        <v>0</v>
      </c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</row>
    <row r="121" customFormat="false" ht="12.8" hidden="false" customHeight="false" outlineLevel="0" collapsed="false">
      <c r="A121" s="37" t="n">
        <f aca="false">'Itens de Contrato'!A121</f>
        <v>0</v>
      </c>
      <c r="B121" s="37" t="n">
        <f aca="false">'Itens de Contrato'!B121</f>
        <v>0</v>
      </c>
      <c r="C121" s="37" t="e">
        <f aca="false">VLOOKUP(B121,'Itens de Contrato'!B$5:G$151,2,0)</f>
        <v>#N/A</v>
      </c>
      <c r="D121" s="52"/>
      <c r="E121" s="63" t="n">
        <f aca="false">D121*'Itens de Contrato'!F121</f>
        <v>0</v>
      </c>
      <c r="F121" s="62" t="n">
        <f aca="false">'Medição 02'!F121-'Medição 02'!G121</f>
        <v>0</v>
      </c>
      <c r="G121" s="52"/>
      <c r="H121" s="64" t="e">
        <f aca="false">G121/D121</f>
        <v>#DIV/0!</v>
      </c>
      <c r="I121" s="63" t="n">
        <f aca="false">G121*'Itens de Contrato'!F121</f>
        <v>0</v>
      </c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</row>
    <row r="122" customFormat="false" ht="12.8" hidden="false" customHeight="false" outlineLevel="0" collapsed="false">
      <c r="A122" s="37" t="n">
        <f aca="false">'Itens de Contrato'!A122</f>
        <v>0</v>
      </c>
      <c r="B122" s="37" t="n">
        <f aca="false">'Itens de Contrato'!B122</f>
        <v>0</v>
      </c>
      <c r="C122" s="37" t="e">
        <f aca="false">VLOOKUP(B122,'Itens de Contrato'!B$5:G$151,2,0)</f>
        <v>#N/A</v>
      </c>
      <c r="D122" s="52"/>
      <c r="E122" s="63" t="n">
        <f aca="false">D122*'Itens de Contrato'!F122</f>
        <v>0</v>
      </c>
      <c r="F122" s="62" t="n">
        <f aca="false">'Medição 02'!F122-'Medição 02'!G122</f>
        <v>0</v>
      </c>
      <c r="G122" s="52"/>
      <c r="H122" s="64" t="e">
        <f aca="false">G122/D122</f>
        <v>#DIV/0!</v>
      </c>
      <c r="I122" s="63" t="n">
        <f aca="false">G122*'Itens de Contrato'!F122</f>
        <v>0</v>
      </c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</row>
    <row r="123" customFormat="false" ht="12.8" hidden="false" customHeight="false" outlineLevel="0" collapsed="false">
      <c r="A123" s="37" t="n">
        <f aca="false">'Itens de Contrato'!A123</f>
        <v>0</v>
      </c>
      <c r="B123" s="37" t="n">
        <f aca="false">'Itens de Contrato'!B123</f>
        <v>0</v>
      </c>
      <c r="C123" s="37" t="e">
        <f aca="false">VLOOKUP(B123,'Itens de Contrato'!B$5:G$151,2,0)</f>
        <v>#N/A</v>
      </c>
      <c r="D123" s="52"/>
      <c r="E123" s="63" t="n">
        <f aca="false">D123*'Itens de Contrato'!F123</f>
        <v>0</v>
      </c>
      <c r="F123" s="62" t="n">
        <f aca="false">'Medição 02'!F123-'Medição 02'!G123</f>
        <v>0</v>
      </c>
      <c r="G123" s="52"/>
      <c r="H123" s="64" t="e">
        <f aca="false">G123/D123</f>
        <v>#DIV/0!</v>
      </c>
      <c r="I123" s="63" t="n">
        <f aca="false">G123*'Itens de Contrato'!F123</f>
        <v>0</v>
      </c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</row>
    <row r="124" customFormat="false" ht="12.8" hidden="false" customHeight="false" outlineLevel="0" collapsed="false">
      <c r="A124" s="37" t="n">
        <f aca="false">'Itens de Contrato'!A124</f>
        <v>0</v>
      </c>
      <c r="B124" s="37" t="n">
        <f aca="false">'Itens de Contrato'!B124</f>
        <v>0</v>
      </c>
      <c r="C124" s="37" t="e">
        <f aca="false">VLOOKUP(B124,'Itens de Contrato'!B$5:G$151,2,0)</f>
        <v>#N/A</v>
      </c>
      <c r="D124" s="52"/>
      <c r="E124" s="63" t="n">
        <f aca="false">D124*'Itens de Contrato'!F124</f>
        <v>0</v>
      </c>
      <c r="F124" s="62" t="n">
        <f aca="false">'Medição 02'!F124-'Medição 02'!G124</f>
        <v>0</v>
      </c>
      <c r="G124" s="52"/>
      <c r="H124" s="64" t="e">
        <f aca="false">G124/D124</f>
        <v>#DIV/0!</v>
      </c>
      <c r="I124" s="63" t="n">
        <f aca="false">G124*'Itens de Contrato'!F124</f>
        <v>0</v>
      </c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</row>
    <row r="125" customFormat="false" ht="12.8" hidden="false" customHeight="false" outlineLevel="0" collapsed="false">
      <c r="A125" s="37" t="n">
        <f aca="false">'Itens de Contrato'!A125</f>
        <v>0</v>
      </c>
      <c r="B125" s="37" t="n">
        <f aca="false">'Itens de Contrato'!B125</f>
        <v>0</v>
      </c>
      <c r="C125" s="37" t="e">
        <f aca="false">VLOOKUP(B125,'Itens de Contrato'!B$5:G$151,2,0)</f>
        <v>#N/A</v>
      </c>
      <c r="D125" s="52"/>
      <c r="E125" s="63" t="n">
        <f aca="false">D125*'Itens de Contrato'!F125</f>
        <v>0</v>
      </c>
      <c r="F125" s="62" t="n">
        <f aca="false">'Medição 02'!F125-'Medição 02'!G125</f>
        <v>0</v>
      </c>
      <c r="G125" s="52"/>
      <c r="H125" s="64" t="e">
        <f aca="false">G125/D125</f>
        <v>#DIV/0!</v>
      </c>
      <c r="I125" s="63" t="n">
        <f aca="false">G125*'Itens de Contrato'!F125</f>
        <v>0</v>
      </c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</row>
    <row r="126" customFormat="false" ht="12.8" hidden="false" customHeight="false" outlineLevel="0" collapsed="false">
      <c r="A126" s="37" t="n">
        <f aca="false">'Itens de Contrato'!A126</f>
        <v>0</v>
      </c>
      <c r="B126" s="37" t="n">
        <f aca="false">'Itens de Contrato'!B126</f>
        <v>0</v>
      </c>
      <c r="C126" s="37" t="e">
        <f aca="false">VLOOKUP(B126,'Itens de Contrato'!B$5:G$151,2,0)</f>
        <v>#N/A</v>
      </c>
      <c r="D126" s="52"/>
      <c r="E126" s="63" t="n">
        <f aca="false">D126*'Itens de Contrato'!F126</f>
        <v>0</v>
      </c>
      <c r="F126" s="62" t="n">
        <f aca="false">'Medição 02'!F126-'Medição 02'!G126</f>
        <v>0</v>
      </c>
      <c r="G126" s="52"/>
      <c r="H126" s="64" t="e">
        <f aca="false">G126/D126</f>
        <v>#DIV/0!</v>
      </c>
      <c r="I126" s="63" t="n">
        <f aca="false">G126*'Itens de Contrato'!F126</f>
        <v>0</v>
      </c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</row>
    <row r="127" customFormat="false" ht="12.8" hidden="false" customHeight="false" outlineLevel="0" collapsed="false">
      <c r="A127" s="37" t="n">
        <f aca="false">'Itens de Contrato'!A127</f>
        <v>0</v>
      </c>
      <c r="B127" s="37" t="n">
        <f aca="false">'Itens de Contrato'!B127</f>
        <v>0</v>
      </c>
      <c r="C127" s="37" t="e">
        <f aca="false">VLOOKUP(B127,'Itens de Contrato'!B$5:G$151,2,0)</f>
        <v>#N/A</v>
      </c>
      <c r="D127" s="52"/>
      <c r="E127" s="63" t="n">
        <f aca="false">D127*'Itens de Contrato'!F127</f>
        <v>0</v>
      </c>
      <c r="F127" s="62" t="n">
        <f aca="false">'Medição 02'!F127-'Medição 02'!G127</f>
        <v>0</v>
      </c>
      <c r="G127" s="52"/>
      <c r="H127" s="64" t="e">
        <f aca="false">G127/D127</f>
        <v>#DIV/0!</v>
      </c>
      <c r="I127" s="63" t="n">
        <f aca="false">G127*'Itens de Contrato'!F127</f>
        <v>0</v>
      </c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</row>
    <row r="128" customFormat="false" ht="12.8" hidden="false" customHeight="false" outlineLevel="0" collapsed="false">
      <c r="A128" s="37" t="n">
        <f aca="false">'Itens de Contrato'!A128</f>
        <v>0</v>
      </c>
      <c r="B128" s="37" t="n">
        <f aca="false">'Itens de Contrato'!B128</f>
        <v>0</v>
      </c>
      <c r="C128" s="37" t="e">
        <f aca="false">VLOOKUP(B128,'Itens de Contrato'!B$5:G$151,2,0)</f>
        <v>#N/A</v>
      </c>
      <c r="D128" s="52"/>
      <c r="E128" s="63" t="n">
        <f aca="false">D128*'Itens de Contrato'!F128</f>
        <v>0</v>
      </c>
      <c r="F128" s="62" t="n">
        <f aca="false">'Medição 02'!F128-'Medição 02'!G128</f>
        <v>0</v>
      </c>
      <c r="G128" s="52"/>
      <c r="H128" s="64" t="e">
        <f aca="false">G128/D128</f>
        <v>#DIV/0!</v>
      </c>
      <c r="I128" s="63" t="n">
        <f aca="false">G128*'Itens de Contrato'!F128</f>
        <v>0</v>
      </c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</row>
    <row r="129" customFormat="false" ht="12.8" hidden="false" customHeight="false" outlineLevel="0" collapsed="false">
      <c r="A129" s="37" t="n">
        <f aca="false">'Itens de Contrato'!A129</f>
        <v>0</v>
      </c>
      <c r="B129" s="37" t="n">
        <f aca="false">'Itens de Contrato'!B129</f>
        <v>0</v>
      </c>
      <c r="C129" s="37" t="e">
        <f aca="false">VLOOKUP(B129,'Itens de Contrato'!B$5:G$151,2,0)</f>
        <v>#N/A</v>
      </c>
      <c r="D129" s="52"/>
      <c r="E129" s="63" t="n">
        <f aca="false">D129*'Itens de Contrato'!F129</f>
        <v>0</v>
      </c>
      <c r="F129" s="62" t="n">
        <f aca="false">'Medição 02'!F129-'Medição 02'!G129</f>
        <v>0</v>
      </c>
      <c r="G129" s="52"/>
      <c r="H129" s="64" t="e">
        <f aca="false">G129/D129</f>
        <v>#DIV/0!</v>
      </c>
      <c r="I129" s="63" t="n">
        <f aca="false">G129*'Itens de Contrato'!F129</f>
        <v>0</v>
      </c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</row>
    <row r="130" customFormat="false" ht="12.8" hidden="false" customHeight="false" outlineLevel="0" collapsed="false">
      <c r="A130" s="37" t="n">
        <f aca="false">'Itens de Contrato'!A130</f>
        <v>0</v>
      </c>
      <c r="B130" s="37" t="n">
        <f aca="false">'Itens de Contrato'!B130</f>
        <v>0</v>
      </c>
      <c r="C130" s="37" t="e">
        <f aca="false">VLOOKUP(B130,'Itens de Contrato'!B$5:G$151,2,0)</f>
        <v>#N/A</v>
      </c>
      <c r="D130" s="52"/>
      <c r="E130" s="63" t="n">
        <f aca="false">D130*'Itens de Contrato'!F130</f>
        <v>0</v>
      </c>
      <c r="F130" s="62" t="n">
        <f aca="false">'Medição 02'!F130-'Medição 02'!G130</f>
        <v>0</v>
      </c>
      <c r="G130" s="52"/>
      <c r="H130" s="64" t="e">
        <f aca="false">G130/D130</f>
        <v>#DIV/0!</v>
      </c>
      <c r="I130" s="63" t="n">
        <f aca="false">G130*'Itens de Contrato'!F130</f>
        <v>0</v>
      </c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</row>
    <row r="131" customFormat="false" ht="12.8" hidden="false" customHeight="false" outlineLevel="0" collapsed="false">
      <c r="A131" s="37" t="n">
        <f aca="false">'Itens de Contrato'!A131</f>
        <v>0</v>
      </c>
      <c r="B131" s="37" t="n">
        <f aca="false">'Itens de Contrato'!B131</f>
        <v>0</v>
      </c>
      <c r="C131" s="37" t="e">
        <f aca="false">VLOOKUP(B131,'Itens de Contrato'!B$5:G$151,2,0)</f>
        <v>#N/A</v>
      </c>
      <c r="D131" s="52"/>
      <c r="E131" s="63" t="n">
        <f aca="false">D131*'Itens de Contrato'!F131</f>
        <v>0</v>
      </c>
      <c r="F131" s="62" t="n">
        <f aca="false">'Medição 02'!F131-'Medição 02'!G131</f>
        <v>0</v>
      </c>
      <c r="G131" s="52"/>
      <c r="H131" s="64" t="e">
        <f aca="false">G131/D131</f>
        <v>#DIV/0!</v>
      </c>
      <c r="I131" s="63" t="n">
        <f aca="false">G131*'Itens de Contrato'!F131</f>
        <v>0</v>
      </c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</row>
    <row r="132" customFormat="false" ht="12.8" hidden="false" customHeight="false" outlineLevel="0" collapsed="false">
      <c r="A132" s="37" t="n">
        <f aca="false">'Itens de Contrato'!A132</f>
        <v>0</v>
      </c>
      <c r="B132" s="37" t="n">
        <f aca="false">'Itens de Contrato'!B132</f>
        <v>0</v>
      </c>
      <c r="C132" s="37" t="e">
        <f aca="false">VLOOKUP(B132,'Itens de Contrato'!B$5:G$151,2,0)</f>
        <v>#N/A</v>
      </c>
      <c r="D132" s="52"/>
      <c r="E132" s="63" t="n">
        <f aca="false">D132*'Itens de Contrato'!F132</f>
        <v>0</v>
      </c>
      <c r="F132" s="62" t="n">
        <f aca="false">'Medição 02'!F132-'Medição 02'!G132</f>
        <v>0</v>
      </c>
      <c r="G132" s="52"/>
      <c r="H132" s="64" t="e">
        <f aca="false">G132/D132</f>
        <v>#DIV/0!</v>
      </c>
      <c r="I132" s="63" t="n">
        <f aca="false">G132*'Itens de Contrato'!F132</f>
        <v>0</v>
      </c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</row>
    <row r="133" customFormat="false" ht="12.8" hidden="false" customHeight="false" outlineLevel="0" collapsed="false">
      <c r="A133" s="37" t="n">
        <f aca="false">'Itens de Contrato'!A133</f>
        <v>0</v>
      </c>
      <c r="B133" s="37" t="n">
        <f aca="false">'Itens de Contrato'!B133</f>
        <v>0</v>
      </c>
      <c r="C133" s="37" t="e">
        <f aca="false">VLOOKUP(B133,'Itens de Contrato'!B$5:G$151,2,0)</f>
        <v>#N/A</v>
      </c>
      <c r="D133" s="52"/>
      <c r="E133" s="63" t="n">
        <f aca="false">D133*'Itens de Contrato'!F133</f>
        <v>0</v>
      </c>
      <c r="F133" s="62" t="n">
        <f aca="false">'Medição 02'!F133-'Medição 02'!G133</f>
        <v>0</v>
      </c>
      <c r="G133" s="52"/>
      <c r="H133" s="64" t="e">
        <f aca="false">G133/D133</f>
        <v>#DIV/0!</v>
      </c>
      <c r="I133" s="63" t="n">
        <f aca="false">G133*'Itens de Contrato'!F133</f>
        <v>0</v>
      </c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</row>
    <row r="134" customFormat="false" ht="12.8" hidden="false" customHeight="false" outlineLevel="0" collapsed="false">
      <c r="A134" s="37" t="n">
        <f aca="false">'Itens de Contrato'!A134</f>
        <v>0</v>
      </c>
      <c r="B134" s="37" t="n">
        <f aca="false">'Itens de Contrato'!B134</f>
        <v>0</v>
      </c>
      <c r="C134" s="37" t="e">
        <f aca="false">VLOOKUP(B134,'Itens de Contrato'!B$5:G$151,2,0)</f>
        <v>#N/A</v>
      </c>
      <c r="D134" s="52"/>
      <c r="E134" s="63" t="n">
        <f aca="false">D134*'Itens de Contrato'!F134</f>
        <v>0</v>
      </c>
      <c r="F134" s="62" t="n">
        <f aca="false">'Medição 02'!F134-'Medição 02'!G134</f>
        <v>0</v>
      </c>
      <c r="G134" s="52"/>
      <c r="H134" s="64" t="e">
        <f aca="false">G134/D134</f>
        <v>#DIV/0!</v>
      </c>
      <c r="I134" s="63" t="n">
        <f aca="false">G134*'Itens de Contrato'!F134</f>
        <v>0</v>
      </c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</row>
    <row r="135" customFormat="false" ht="12.8" hidden="false" customHeight="false" outlineLevel="0" collapsed="false">
      <c r="A135" s="37" t="n">
        <f aca="false">'Itens de Contrato'!A135</f>
        <v>0</v>
      </c>
      <c r="B135" s="37" t="n">
        <f aca="false">'Itens de Contrato'!B135</f>
        <v>0</v>
      </c>
      <c r="C135" s="37" t="e">
        <f aca="false">VLOOKUP(B135,'Itens de Contrato'!B$5:G$151,2,0)</f>
        <v>#N/A</v>
      </c>
      <c r="D135" s="52"/>
      <c r="E135" s="63" t="n">
        <f aca="false">D135*'Itens de Contrato'!F135</f>
        <v>0</v>
      </c>
      <c r="F135" s="62" t="n">
        <f aca="false">'Medição 02'!F135-'Medição 02'!G135</f>
        <v>0</v>
      </c>
      <c r="G135" s="52"/>
      <c r="H135" s="64" t="e">
        <f aca="false">G135/D135</f>
        <v>#DIV/0!</v>
      </c>
      <c r="I135" s="63" t="n">
        <f aca="false">G135*'Itens de Contrato'!F135</f>
        <v>0</v>
      </c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</row>
    <row r="136" customFormat="false" ht="12.8" hidden="false" customHeight="false" outlineLevel="0" collapsed="false">
      <c r="A136" s="37" t="n">
        <f aca="false">'Itens de Contrato'!A136</f>
        <v>0</v>
      </c>
      <c r="B136" s="37" t="n">
        <f aca="false">'Itens de Contrato'!B136</f>
        <v>0</v>
      </c>
      <c r="C136" s="37" t="e">
        <f aca="false">VLOOKUP(B136,'Itens de Contrato'!B$5:G$151,2,0)</f>
        <v>#N/A</v>
      </c>
      <c r="D136" s="52"/>
      <c r="E136" s="63" t="n">
        <f aca="false">D136*'Itens de Contrato'!F136</f>
        <v>0</v>
      </c>
      <c r="F136" s="62" t="n">
        <f aca="false">'Medição 02'!F136-'Medição 02'!G136</f>
        <v>0</v>
      </c>
      <c r="G136" s="52"/>
      <c r="H136" s="64" t="e">
        <f aca="false">G136/D136</f>
        <v>#DIV/0!</v>
      </c>
      <c r="I136" s="63" t="n">
        <f aca="false">G136*'Itens de Contrato'!F136</f>
        <v>0</v>
      </c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</row>
    <row r="137" customFormat="false" ht="12.8" hidden="false" customHeight="false" outlineLevel="0" collapsed="false">
      <c r="A137" s="37" t="n">
        <f aca="false">'Itens de Contrato'!A137</f>
        <v>0</v>
      </c>
      <c r="B137" s="37" t="n">
        <f aca="false">'Itens de Contrato'!B137</f>
        <v>0</v>
      </c>
      <c r="C137" s="37" t="e">
        <f aca="false">VLOOKUP(B137,'Itens de Contrato'!B$5:G$151,2,0)</f>
        <v>#N/A</v>
      </c>
      <c r="D137" s="52"/>
      <c r="E137" s="63" t="n">
        <f aca="false">D137*'Itens de Contrato'!F137</f>
        <v>0</v>
      </c>
      <c r="F137" s="62" t="n">
        <f aca="false">'Medição 02'!F137-'Medição 02'!G137</f>
        <v>0</v>
      </c>
      <c r="G137" s="52"/>
      <c r="H137" s="64" t="e">
        <f aca="false">G137/D137</f>
        <v>#DIV/0!</v>
      </c>
      <c r="I137" s="63" t="n">
        <f aca="false">G137*'Itens de Contrato'!F137</f>
        <v>0</v>
      </c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</row>
    <row r="138" customFormat="false" ht="12.8" hidden="false" customHeight="false" outlineLevel="0" collapsed="false">
      <c r="A138" s="37" t="n">
        <f aca="false">'Itens de Contrato'!A138</f>
        <v>0</v>
      </c>
      <c r="B138" s="37" t="n">
        <f aca="false">'Itens de Contrato'!B138</f>
        <v>0</v>
      </c>
      <c r="C138" s="37" t="e">
        <f aca="false">VLOOKUP(B138,'Itens de Contrato'!B$5:G$151,2,0)</f>
        <v>#N/A</v>
      </c>
      <c r="D138" s="52"/>
      <c r="E138" s="63" t="n">
        <f aca="false">D138*'Itens de Contrato'!F138</f>
        <v>0</v>
      </c>
      <c r="F138" s="62" t="n">
        <f aca="false">'Medição 02'!F138-'Medição 02'!G138</f>
        <v>0</v>
      </c>
      <c r="G138" s="52"/>
      <c r="H138" s="64" t="e">
        <f aca="false">G138/D138</f>
        <v>#DIV/0!</v>
      </c>
      <c r="I138" s="63" t="n">
        <f aca="false">G138*'Itens de Contrato'!F138</f>
        <v>0</v>
      </c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</row>
    <row r="139" customFormat="false" ht="12.8" hidden="false" customHeight="false" outlineLevel="0" collapsed="false">
      <c r="A139" s="37" t="n">
        <f aca="false">'Itens de Contrato'!A139</f>
        <v>0</v>
      </c>
      <c r="B139" s="37" t="n">
        <f aca="false">'Itens de Contrato'!B139</f>
        <v>0</v>
      </c>
      <c r="C139" s="37" t="e">
        <f aca="false">VLOOKUP(B139,'Itens de Contrato'!B$5:G$151,2,0)</f>
        <v>#N/A</v>
      </c>
      <c r="D139" s="52"/>
      <c r="E139" s="63" t="n">
        <f aca="false">D139*'Itens de Contrato'!F139</f>
        <v>0</v>
      </c>
      <c r="F139" s="62" t="n">
        <f aca="false">'Medição 02'!F139-'Medição 02'!G139</f>
        <v>0</v>
      </c>
      <c r="G139" s="52"/>
      <c r="H139" s="64" t="e">
        <f aca="false">G139/D139</f>
        <v>#DIV/0!</v>
      </c>
      <c r="I139" s="63" t="n">
        <f aca="false">G139*'Itens de Contrato'!F139</f>
        <v>0</v>
      </c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</row>
    <row r="140" customFormat="false" ht="12.8" hidden="false" customHeight="false" outlineLevel="0" collapsed="false">
      <c r="A140" s="37" t="n">
        <f aca="false">'Itens de Contrato'!A140</f>
        <v>0</v>
      </c>
      <c r="B140" s="37" t="n">
        <f aca="false">'Itens de Contrato'!B140</f>
        <v>0</v>
      </c>
      <c r="C140" s="37" t="e">
        <f aca="false">VLOOKUP(B140,'Itens de Contrato'!B$5:G$151,2,0)</f>
        <v>#N/A</v>
      </c>
      <c r="D140" s="52"/>
      <c r="E140" s="63" t="n">
        <f aca="false">D140*'Itens de Contrato'!F140</f>
        <v>0</v>
      </c>
      <c r="F140" s="62" t="n">
        <f aca="false">'Medição 02'!F140-'Medição 02'!G140</f>
        <v>0</v>
      </c>
      <c r="G140" s="52"/>
      <c r="H140" s="64" t="e">
        <f aca="false">G140/D140</f>
        <v>#DIV/0!</v>
      </c>
      <c r="I140" s="63" t="n">
        <f aca="false">G140*'Itens de Contrato'!F140</f>
        <v>0</v>
      </c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</row>
    <row r="141" customFormat="false" ht="12.8" hidden="false" customHeight="false" outlineLevel="0" collapsed="false">
      <c r="A141" s="37" t="n">
        <f aca="false">'Itens de Contrato'!A141</f>
        <v>0</v>
      </c>
      <c r="B141" s="37" t="n">
        <f aca="false">'Itens de Contrato'!B141</f>
        <v>0</v>
      </c>
      <c r="C141" s="37" t="e">
        <f aca="false">VLOOKUP(B141,'Itens de Contrato'!B$5:G$151,2,0)</f>
        <v>#N/A</v>
      </c>
      <c r="D141" s="52"/>
      <c r="E141" s="63" t="n">
        <f aca="false">D141*'Itens de Contrato'!F141</f>
        <v>0</v>
      </c>
      <c r="F141" s="62" t="n">
        <f aca="false">'Medição 02'!F141-'Medição 02'!G141</f>
        <v>0</v>
      </c>
      <c r="G141" s="52"/>
      <c r="H141" s="64" t="e">
        <f aca="false">G141/D141</f>
        <v>#DIV/0!</v>
      </c>
      <c r="I141" s="63" t="n">
        <f aca="false">G141*'Itens de Contrato'!F141</f>
        <v>0</v>
      </c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</row>
    <row r="142" customFormat="false" ht="12.8" hidden="false" customHeight="false" outlineLevel="0" collapsed="false">
      <c r="A142" s="37" t="n">
        <f aca="false">'Itens de Contrato'!A142</f>
        <v>0</v>
      </c>
      <c r="B142" s="37" t="n">
        <f aca="false">'Itens de Contrato'!B142</f>
        <v>0</v>
      </c>
      <c r="C142" s="37" t="e">
        <f aca="false">VLOOKUP(B142,'Itens de Contrato'!B$5:G$151,2,0)</f>
        <v>#N/A</v>
      </c>
      <c r="D142" s="52"/>
      <c r="E142" s="63" t="n">
        <f aca="false">D142*'Itens de Contrato'!F142</f>
        <v>0</v>
      </c>
      <c r="F142" s="62" t="n">
        <f aca="false">'Medição 02'!F142-'Medição 02'!G142</f>
        <v>0</v>
      </c>
      <c r="G142" s="52"/>
      <c r="H142" s="64" t="e">
        <f aca="false">G142/D142</f>
        <v>#DIV/0!</v>
      </c>
      <c r="I142" s="63" t="n">
        <f aca="false">G142*'Itens de Contrato'!F142</f>
        <v>0</v>
      </c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</row>
    <row r="143" customFormat="false" ht="12.8" hidden="false" customHeight="false" outlineLevel="0" collapsed="false">
      <c r="A143" s="37" t="n">
        <f aca="false">'Itens de Contrato'!A143</f>
        <v>0</v>
      </c>
      <c r="B143" s="37" t="n">
        <f aca="false">'Itens de Contrato'!B143</f>
        <v>0</v>
      </c>
      <c r="C143" s="37" t="e">
        <f aca="false">VLOOKUP(B143,'Itens de Contrato'!B$5:G$151,2,0)</f>
        <v>#N/A</v>
      </c>
      <c r="D143" s="52"/>
      <c r="E143" s="63" t="n">
        <f aca="false">D143*'Itens de Contrato'!F143</f>
        <v>0</v>
      </c>
      <c r="F143" s="62" t="n">
        <f aca="false">'Medição 02'!F143-'Medição 02'!G143</f>
        <v>0</v>
      </c>
      <c r="G143" s="52"/>
      <c r="H143" s="64" t="e">
        <f aca="false">G143/D143</f>
        <v>#DIV/0!</v>
      </c>
      <c r="I143" s="63" t="n">
        <f aca="false">G143*'Itens de Contrato'!F143</f>
        <v>0</v>
      </c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</row>
    <row r="144" customFormat="false" ht="12.8" hidden="false" customHeight="false" outlineLevel="0" collapsed="false">
      <c r="A144" s="37" t="n">
        <f aca="false">'Itens de Contrato'!A144</f>
        <v>0</v>
      </c>
      <c r="B144" s="37" t="n">
        <f aca="false">'Itens de Contrato'!B144</f>
        <v>0</v>
      </c>
      <c r="C144" s="37" t="e">
        <f aca="false">VLOOKUP(B144,'Itens de Contrato'!B$5:G$151,2,0)</f>
        <v>#N/A</v>
      </c>
      <c r="D144" s="52"/>
      <c r="E144" s="63" t="n">
        <f aca="false">D144*'Itens de Contrato'!F144</f>
        <v>0</v>
      </c>
      <c r="F144" s="62" t="n">
        <f aca="false">'Medição 02'!F144-'Medição 02'!G144</f>
        <v>0</v>
      </c>
      <c r="G144" s="52"/>
      <c r="H144" s="64" t="e">
        <f aca="false">G144/D144</f>
        <v>#DIV/0!</v>
      </c>
      <c r="I144" s="63" t="n">
        <f aca="false">G144*'Itens de Contrato'!F144</f>
        <v>0</v>
      </c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</row>
    <row r="145" customFormat="false" ht="12.8" hidden="false" customHeight="false" outlineLevel="0" collapsed="false">
      <c r="A145" s="37" t="n">
        <f aca="false">'Itens de Contrato'!A145</f>
        <v>0</v>
      </c>
      <c r="B145" s="37" t="n">
        <f aca="false">'Itens de Contrato'!B145</f>
        <v>0</v>
      </c>
      <c r="C145" s="37" t="e">
        <f aca="false">VLOOKUP(B145,'Itens de Contrato'!B$5:G$151,2,0)</f>
        <v>#N/A</v>
      </c>
      <c r="D145" s="52"/>
      <c r="E145" s="63" t="n">
        <f aca="false">D145*'Itens de Contrato'!F145</f>
        <v>0</v>
      </c>
      <c r="F145" s="62" t="n">
        <f aca="false">'Medição 02'!F145-'Medição 02'!G145</f>
        <v>0</v>
      </c>
      <c r="G145" s="52"/>
      <c r="H145" s="64" t="e">
        <f aca="false">G145/D145</f>
        <v>#DIV/0!</v>
      </c>
      <c r="I145" s="63" t="n">
        <f aca="false">G145*'Itens de Contrato'!F145</f>
        <v>0</v>
      </c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</row>
    <row r="146" customFormat="false" ht="12.8" hidden="false" customHeight="false" outlineLevel="0" collapsed="false">
      <c r="A146" s="37" t="n">
        <f aca="false">'Itens de Contrato'!A146</f>
        <v>0</v>
      </c>
      <c r="B146" s="37" t="n">
        <f aca="false">'Itens de Contrato'!B146</f>
        <v>0</v>
      </c>
      <c r="C146" s="37" t="e">
        <f aca="false">VLOOKUP(B146,'Itens de Contrato'!B$5:G$151,2,0)</f>
        <v>#N/A</v>
      </c>
      <c r="D146" s="52"/>
      <c r="E146" s="63" t="n">
        <f aca="false">D146*'Itens de Contrato'!F146</f>
        <v>0</v>
      </c>
      <c r="F146" s="62" t="n">
        <f aca="false">'Medição 02'!F146-'Medição 02'!G146</f>
        <v>0</v>
      </c>
      <c r="G146" s="52"/>
      <c r="H146" s="64" t="e">
        <f aca="false">G146/D146</f>
        <v>#DIV/0!</v>
      </c>
      <c r="I146" s="63" t="n">
        <f aca="false">G146*'Itens de Contrato'!F146</f>
        <v>0</v>
      </c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</row>
    <row r="147" customFormat="false" ht="12.8" hidden="false" customHeight="false" outlineLevel="0" collapsed="false">
      <c r="A147" s="37" t="n">
        <f aca="false">'Itens de Contrato'!A147</f>
        <v>0</v>
      </c>
      <c r="B147" s="37" t="n">
        <f aca="false">'Itens de Contrato'!B147</f>
        <v>0</v>
      </c>
      <c r="C147" s="37" t="e">
        <f aca="false">VLOOKUP(B147,'Itens de Contrato'!B$5:G$151,2,0)</f>
        <v>#N/A</v>
      </c>
      <c r="D147" s="52"/>
      <c r="E147" s="63" t="n">
        <f aca="false">D147*'Itens de Contrato'!F147</f>
        <v>0</v>
      </c>
      <c r="F147" s="62" t="n">
        <f aca="false">'Medição 02'!F147-'Medição 02'!G147</f>
        <v>0</v>
      </c>
      <c r="G147" s="52"/>
      <c r="H147" s="64" t="e">
        <f aca="false">G147/D147</f>
        <v>#DIV/0!</v>
      </c>
      <c r="I147" s="63" t="n">
        <f aca="false">G147*'Itens de Contrato'!F147</f>
        <v>0</v>
      </c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</row>
    <row r="148" customFormat="false" ht="12.8" hidden="false" customHeight="false" outlineLevel="0" collapsed="false">
      <c r="A148" s="37" t="n">
        <f aca="false">'Itens de Contrato'!A148</f>
        <v>0</v>
      </c>
      <c r="B148" s="37" t="n">
        <f aca="false">'Itens de Contrato'!B148</f>
        <v>0</v>
      </c>
      <c r="C148" s="37" t="e">
        <f aca="false">VLOOKUP(B148,'Itens de Contrato'!B$5:G$151,2,0)</f>
        <v>#N/A</v>
      </c>
      <c r="D148" s="52"/>
      <c r="E148" s="63" t="n">
        <f aca="false">D148*'Itens de Contrato'!F148</f>
        <v>0</v>
      </c>
      <c r="F148" s="62" t="n">
        <f aca="false">'Medição 02'!F148-'Medição 02'!G148</f>
        <v>0</v>
      </c>
      <c r="G148" s="52"/>
      <c r="H148" s="64" t="e">
        <f aca="false">G148/D148</f>
        <v>#DIV/0!</v>
      </c>
      <c r="I148" s="63" t="n">
        <f aca="false">G148*'Itens de Contrato'!F148</f>
        <v>0</v>
      </c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</row>
    <row r="149" customFormat="false" ht="12.8" hidden="false" customHeight="false" outlineLevel="0" collapsed="false">
      <c r="A149" s="37" t="n">
        <f aca="false">'Itens de Contrato'!A149</f>
        <v>0</v>
      </c>
      <c r="B149" s="37" t="n">
        <f aca="false">'Itens de Contrato'!B149</f>
        <v>0</v>
      </c>
      <c r="C149" s="37" t="e">
        <f aca="false">VLOOKUP(B149,'Itens de Contrato'!B$5:G$151,2,0)</f>
        <v>#N/A</v>
      </c>
      <c r="D149" s="52"/>
      <c r="E149" s="63" t="n">
        <f aca="false">D149*'Itens de Contrato'!F149</f>
        <v>0</v>
      </c>
      <c r="F149" s="62" t="n">
        <f aca="false">'Medição 02'!F149-'Medição 02'!G149</f>
        <v>0</v>
      </c>
      <c r="G149" s="52"/>
      <c r="H149" s="64" t="e">
        <f aca="false">G149/D149</f>
        <v>#DIV/0!</v>
      </c>
      <c r="I149" s="63" t="n">
        <f aca="false">G149*'Itens de Contrato'!F149</f>
        <v>0</v>
      </c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</row>
    <row r="150" customFormat="false" ht="12.8" hidden="false" customHeight="false" outlineLevel="0" collapsed="false">
      <c r="A150" s="37" t="n">
        <f aca="false">'Itens de Contrato'!A150</f>
        <v>0</v>
      </c>
      <c r="B150" s="37" t="n">
        <f aca="false">'Itens de Contrato'!B150</f>
        <v>0</v>
      </c>
      <c r="C150" s="37" t="e">
        <f aca="false">VLOOKUP(B150,'Itens de Contrato'!B$5:G$151,2,0)</f>
        <v>#N/A</v>
      </c>
      <c r="D150" s="52"/>
      <c r="E150" s="63" t="n">
        <f aca="false">D150*'Itens de Contrato'!F150</f>
        <v>0</v>
      </c>
      <c r="F150" s="62" t="n">
        <f aca="false">'Medição 02'!F150-'Medição 02'!G150</f>
        <v>0</v>
      </c>
      <c r="G150" s="52"/>
      <c r="H150" s="64" t="e">
        <f aca="false">G150/D150</f>
        <v>#DIV/0!</v>
      </c>
      <c r="I150" s="63" t="n">
        <f aca="false">G150*'Itens de Contrato'!F150</f>
        <v>0</v>
      </c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</row>
    <row r="151" customFormat="false" ht="12.8" hidden="false" customHeight="false" outlineLevel="0" collapsed="false">
      <c r="A151" s="37" t="n">
        <f aca="false">'Itens de Contrato'!A151</f>
        <v>0</v>
      </c>
      <c r="B151" s="37" t="n">
        <f aca="false">'Itens de Contrato'!B151</f>
        <v>0</v>
      </c>
      <c r="C151" s="37" t="e">
        <f aca="false">VLOOKUP(B151,'Itens de Contrato'!B$5:G$151,2,0)</f>
        <v>#N/A</v>
      </c>
      <c r="D151" s="52"/>
      <c r="E151" s="63" t="n">
        <f aca="false">D151*'Itens de Contrato'!F151</f>
        <v>0</v>
      </c>
      <c r="F151" s="62" t="n">
        <f aca="false">'Medição 02'!F151-'Medição 02'!G151</f>
        <v>0</v>
      </c>
      <c r="G151" s="52"/>
      <c r="H151" s="64" t="e">
        <f aca="false">G151/D151</f>
        <v>#DIV/0!</v>
      </c>
      <c r="I151" s="63" t="n">
        <f aca="false">G151*'Itens de Contrato'!F151</f>
        <v>0</v>
      </c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</row>
    <row r="152" customFormat="false" ht="12.75" hidden="false" customHeight="false" outlineLevel="0" collapsed="false"/>
    <row r="153" customFormat="false" ht="12.75" hidden="false" customHeight="false" outlineLevel="0" collapsed="false"/>
    <row r="154" customFormat="false" ht="12.75" hidden="false" customHeight="false" outlineLevel="0" collapsed="false"/>
    <row r="155" customFormat="false" ht="12.75" hidden="false" customHeight="false" outlineLevel="0" collapsed="false"/>
    <row r="156" customFormat="false" ht="12.75" hidden="false" customHeight="false" outlineLevel="0" collapsed="false"/>
    <row r="157" customFormat="false" ht="12.75" hidden="false" customHeight="false" outlineLevel="0" collapsed="false"/>
    <row r="158" customFormat="false" ht="12.75" hidden="false" customHeight="false" outlineLevel="0" collapsed="false"/>
    <row r="159" customFormat="false" ht="12.75" hidden="false" customHeight="false" outlineLevel="0" collapsed="false"/>
    <row r="160" customFormat="false" ht="12.75" hidden="false" customHeight="false" outlineLevel="0" collapsed="false"/>
    <row r="161" customFormat="false" ht="12.75" hidden="false" customHeight="false" outlineLevel="0" collapsed="false"/>
    <row r="162" customFormat="false" ht="12.75" hidden="false" customHeight="false" outlineLevel="0" collapsed="false"/>
    <row r="163" customFormat="false" ht="12.75" hidden="false" customHeight="false" outlineLevel="0" collapsed="false"/>
    <row r="164" customFormat="false" ht="12.75" hidden="false" customHeight="false" outlineLevel="0" collapsed="false"/>
    <row r="165" customFormat="false" ht="12.75" hidden="false" customHeight="false" outlineLevel="0" collapsed="false"/>
    <row r="166" customFormat="false" ht="12.75" hidden="false" customHeight="false" outlineLevel="0" collapsed="false"/>
    <row r="167" customFormat="false" ht="12.75" hidden="false" customHeight="false" outlineLevel="0" collapsed="false"/>
    <row r="168" customFormat="false" ht="12.75" hidden="false" customHeight="false" outlineLevel="0" collapsed="false"/>
    <row r="169" customFormat="false" ht="12.75" hidden="false" customHeight="false" outlineLevel="0" collapsed="false"/>
    <row r="170" customFormat="false" ht="12.75" hidden="false" customHeight="false" outlineLevel="0" collapsed="false"/>
    <row r="171" customFormat="false" ht="12.75" hidden="false" customHeight="false" outlineLevel="0" collapsed="false"/>
    <row r="172" customFormat="false" ht="12.75" hidden="false" customHeight="false" outlineLevel="0" collapsed="false"/>
    <row r="173" customFormat="false" ht="12.75" hidden="false" customHeight="false" outlineLevel="0" collapsed="false"/>
    <row r="174" customFormat="false" ht="12.75" hidden="false" customHeight="false" outlineLevel="0" collapsed="false"/>
    <row r="175" customFormat="false" ht="12.75" hidden="false" customHeight="false" outlineLevel="0" collapsed="false"/>
    <row r="176" customFormat="false" ht="12.75" hidden="false" customHeight="false" outlineLevel="0" collapsed="false"/>
    <row r="177" customFormat="false" ht="12.75" hidden="false" customHeight="false" outlineLevel="0" collapsed="false"/>
    <row r="178" customFormat="false" ht="12.75" hidden="false" customHeight="false" outlineLevel="0" collapsed="false"/>
    <row r="179" customFormat="false" ht="12.75" hidden="false" customHeight="false" outlineLevel="0" collapsed="false"/>
    <row r="180" customFormat="false" ht="12.75" hidden="false" customHeight="false" outlineLevel="0" collapsed="false"/>
    <row r="181" customFormat="false" ht="12.75" hidden="false" customHeight="false" outlineLevel="0" collapsed="false"/>
    <row r="182" customFormat="false" ht="12.75" hidden="false" customHeight="false" outlineLevel="0" collapsed="false"/>
    <row r="183" customFormat="false" ht="12.75" hidden="false" customHeight="false" outlineLevel="0" collapsed="false"/>
    <row r="184" customFormat="false" ht="12.75" hidden="false" customHeight="false" outlineLevel="0" collapsed="false"/>
    <row r="185" customFormat="false" ht="12.75" hidden="false" customHeight="false" outlineLevel="0" collapsed="false"/>
    <row r="186" customFormat="false" ht="12.75" hidden="false" customHeight="false" outlineLevel="0" collapsed="false"/>
    <row r="187" customFormat="false" ht="12.75" hidden="false" customHeight="false" outlineLevel="0" collapsed="false"/>
    <row r="188" customFormat="false" ht="12.75" hidden="false" customHeight="false" outlineLevel="0" collapsed="false"/>
    <row r="189" customFormat="false" ht="12.75" hidden="false" customHeight="false" outlineLevel="0" collapsed="false"/>
    <row r="190" customFormat="false" ht="12.75" hidden="false" customHeight="false" outlineLevel="0" collapsed="false"/>
    <row r="191" customFormat="false" ht="12.75" hidden="false" customHeight="false" outlineLevel="0" collapsed="false"/>
    <row r="192" customFormat="false" ht="12.75" hidden="false" customHeight="false" outlineLevel="0" collapsed="false"/>
    <row r="193" customFormat="false" ht="12.75" hidden="false" customHeight="false" outlineLevel="0" collapsed="false"/>
    <row r="194" customFormat="false" ht="12.75" hidden="false" customHeight="false" outlineLevel="0" collapsed="false"/>
    <row r="195" customFormat="false" ht="12.75" hidden="false" customHeight="false" outlineLevel="0" collapsed="false"/>
    <row r="196" customFormat="false" ht="12.75" hidden="false" customHeight="false" outlineLevel="0" collapsed="false"/>
    <row r="197" customFormat="false" ht="12.75" hidden="false" customHeight="false" outlineLevel="0" collapsed="false"/>
    <row r="198" customFormat="false" ht="12.75" hidden="false" customHeight="false" outlineLevel="0" collapsed="false"/>
    <row r="199" customFormat="false" ht="12.75" hidden="false" customHeight="false" outlineLevel="0" collapsed="false"/>
    <row r="200" customFormat="false" ht="12.75" hidden="false" customHeight="false" outlineLevel="0" collapsed="false"/>
    <row r="201" customFormat="false" ht="12.75" hidden="false" customHeight="false" outlineLevel="0" collapsed="false"/>
    <row r="202" customFormat="false" ht="12.75" hidden="false" customHeight="false" outlineLevel="0" collapsed="false"/>
    <row r="203" customFormat="false" ht="12.75" hidden="false" customHeight="false" outlineLevel="0" collapsed="false"/>
    <row r="204" customFormat="false" ht="12.75" hidden="false" customHeight="false" outlineLevel="0" collapsed="false"/>
    <row r="205" customFormat="false" ht="12.75" hidden="false" customHeight="false" outlineLevel="0" collapsed="false"/>
    <row r="206" customFormat="false" ht="12.75" hidden="false" customHeight="false" outlineLevel="0" collapsed="false"/>
    <row r="207" customFormat="false" ht="12.75" hidden="false" customHeight="false" outlineLevel="0" collapsed="false"/>
    <row r="208" customFormat="false" ht="12.75" hidden="false" customHeight="false" outlineLevel="0" collapsed="false"/>
    <row r="209" customFormat="false" ht="12.75" hidden="false" customHeight="false" outlineLevel="0" collapsed="false"/>
    <row r="210" customFormat="false" ht="12.75" hidden="false" customHeight="false" outlineLevel="0" collapsed="false"/>
    <row r="211" customFormat="false" ht="12.75" hidden="false" customHeight="false" outlineLevel="0" collapsed="false"/>
    <row r="212" customFormat="false" ht="12.75" hidden="false" customHeight="false" outlineLevel="0" collapsed="false"/>
    <row r="213" customFormat="false" ht="12.75" hidden="false" customHeight="false" outlineLevel="0" collapsed="false"/>
    <row r="214" customFormat="false" ht="12.75" hidden="false" customHeight="false" outlineLevel="0" collapsed="false"/>
    <row r="215" customFormat="false" ht="12.75" hidden="false" customHeight="false" outlineLevel="0" collapsed="false"/>
    <row r="216" customFormat="false" ht="12.75" hidden="false" customHeight="false" outlineLevel="0" collapsed="false"/>
    <row r="217" customFormat="false" ht="12.75" hidden="false" customHeight="false" outlineLevel="0" collapsed="false"/>
    <row r="218" customFormat="false" ht="12.75" hidden="false" customHeight="false" outlineLevel="0" collapsed="false"/>
    <row r="219" customFormat="false" ht="12.75" hidden="false" customHeight="false" outlineLevel="0" collapsed="false"/>
    <row r="220" customFormat="false" ht="12.75" hidden="false" customHeight="false" outlineLevel="0" collapsed="false"/>
    <row r="221" customFormat="false" ht="12.75" hidden="false" customHeight="false" outlineLevel="0" collapsed="false"/>
    <row r="222" customFormat="false" ht="12.75" hidden="false" customHeight="false" outlineLevel="0" collapsed="false"/>
    <row r="223" customFormat="false" ht="12.75" hidden="false" customHeight="false" outlineLevel="0" collapsed="false"/>
    <row r="224" customFormat="false" ht="12.75" hidden="false" customHeight="false" outlineLevel="0" collapsed="false"/>
    <row r="225" customFormat="false" ht="12.75" hidden="false" customHeight="false" outlineLevel="0" collapsed="false"/>
    <row r="226" customFormat="false" ht="12.75" hidden="false" customHeight="false" outlineLevel="0" collapsed="false"/>
    <row r="227" customFormat="false" ht="12.75" hidden="false" customHeight="false" outlineLevel="0" collapsed="false"/>
    <row r="228" customFormat="false" ht="12.75" hidden="false" customHeight="false" outlineLevel="0" collapsed="false"/>
    <row r="229" customFormat="false" ht="12.75" hidden="false" customHeight="false" outlineLevel="0" collapsed="false"/>
    <row r="230" customFormat="false" ht="12.75" hidden="false" customHeight="false" outlineLevel="0" collapsed="false"/>
    <row r="231" customFormat="false" ht="12.75" hidden="false" customHeight="false" outlineLevel="0" collapsed="false"/>
    <row r="232" customFormat="false" ht="12.75" hidden="false" customHeight="false" outlineLevel="0" collapsed="false"/>
    <row r="233" customFormat="false" ht="12.75" hidden="false" customHeight="false" outlineLevel="0" collapsed="false"/>
    <row r="234" customFormat="false" ht="12.75" hidden="false" customHeight="false" outlineLevel="0" collapsed="false"/>
    <row r="235" customFormat="false" ht="12.75" hidden="false" customHeight="false" outlineLevel="0" collapsed="false"/>
    <row r="236" customFormat="false" ht="12.75" hidden="false" customHeight="false" outlineLevel="0" collapsed="false"/>
    <row r="237" customFormat="false" ht="12.75" hidden="false" customHeight="false" outlineLevel="0" collapsed="false"/>
    <row r="238" customFormat="false" ht="12.75" hidden="false" customHeight="false" outlineLevel="0" collapsed="false"/>
    <row r="239" customFormat="false" ht="12.75" hidden="false" customHeight="false" outlineLevel="0" collapsed="false"/>
    <row r="240" customFormat="false" ht="12.75" hidden="false" customHeight="false" outlineLevel="0" collapsed="false"/>
    <row r="241" customFormat="false" ht="12.75" hidden="false" customHeight="false" outlineLevel="0" collapsed="false"/>
    <row r="242" customFormat="false" ht="12.75" hidden="false" customHeight="false" outlineLevel="0" collapsed="false"/>
    <row r="243" customFormat="false" ht="12.75" hidden="false" customHeight="false" outlineLevel="0" collapsed="false"/>
    <row r="244" customFormat="false" ht="12.75" hidden="false" customHeight="false" outlineLevel="0" collapsed="false"/>
    <row r="245" customFormat="false" ht="12.75" hidden="false" customHeight="false" outlineLevel="0" collapsed="false"/>
    <row r="246" customFormat="false" ht="12.75" hidden="false" customHeight="false" outlineLevel="0" collapsed="false"/>
    <row r="247" customFormat="false" ht="12.75" hidden="false" customHeight="false" outlineLevel="0" collapsed="false"/>
    <row r="248" customFormat="false" ht="12.75" hidden="false" customHeight="false" outlineLevel="0" collapsed="false"/>
    <row r="249" customFormat="false" ht="12.75" hidden="false" customHeight="false" outlineLevel="0" collapsed="false"/>
    <row r="250" customFormat="false" ht="12.75" hidden="false" customHeight="false" outlineLevel="0" collapsed="false"/>
    <row r="251" customFormat="false" ht="12.75" hidden="false" customHeight="false" outlineLevel="0" collapsed="false"/>
    <row r="252" customFormat="false" ht="12.75" hidden="false" customHeight="false" outlineLevel="0" collapsed="false"/>
    <row r="253" customFormat="false" ht="12.75" hidden="false" customHeight="false" outlineLevel="0" collapsed="false"/>
    <row r="254" customFormat="false" ht="12.75" hidden="false" customHeight="false" outlineLevel="0" collapsed="false"/>
    <row r="255" customFormat="false" ht="12.75" hidden="false" customHeight="false" outlineLevel="0" collapsed="false"/>
    <row r="256" customFormat="false" ht="12.75" hidden="false" customHeight="false" outlineLevel="0" collapsed="false"/>
    <row r="257" customFormat="false" ht="12.75" hidden="false" customHeight="false" outlineLevel="0" collapsed="false"/>
    <row r="258" customFormat="false" ht="12.75" hidden="false" customHeight="false" outlineLevel="0" collapsed="false"/>
    <row r="259" customFormat="false" ht="12.75" hidden="false" customHeight="false" outlineLevel="0" collapsed="false"/>
    <row r="260" customFormat="false" ht="12.75" hidden="false" customHeight="false" outlineLevel="0" collapsed="false"/>
    <row r="261" customFormat="false" ht="12.75" hidden="false" customHeight="false" outlineLevel="0" collapsed="false"/>
    <row r="262" customFormat="false" ht="12.75" hidden="false" customHeight="false" outlineLevel="0" collapsed="false"/>
    <row r="263" customFormat="false" ht="12.75" hidden="false" customHeight="false" outlineLevel="0" collapsed="false"/>
    <row r="264" customFormat="false" ht="12.75" hidden="false" customHeight="false" outlineLevel="0" collapsed="false"/>
    <row r="265" customFormat="false" ht="12.75" hidden="false" customHeight="false" outlineLevel="0" collapsed="false"/>
    <row r="266" customFormat="false" ht="12.75" hidden="false" customHeight="false" outlineLevel="0" collapsed="false"/>
    <row r="267" customFormat="false" ht="12.75" hidden="false" customHeight="false" outlineLevel="0" collapsed="false"/>
    <row r="268" customFormat="false" ht="12.75" hidden="false" customHeight="false" outlineLevel="0" collapsed="false"/>
    <row r="269" customFormat="false" ht="12.75" hidden="false" customHeight="false" outlineLevel="0" collapsed="false"/>
    <row r="270" customFormat="false" ht="12.75" hidden="false" customHeight="false" outlineLevel="0" collapsed="false"/>
    <row r="271" customFormat="false" ht="12.75" hidden="false" customHeight="false" outlineLevel="0" collapsed="false"/>
    <row r="272" customFormat="false" ht="12.75" hidden="false" customHeight="false" outlineLevel="0" collapsed="false"/>
    <row r="273" customFormat="false" ht="12.75" hidden="false" customHeight="fals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12.75" hidden="false" customHeight="false" outlineLevel="0" collapsed="false"/>
    <row r="283" customFormat="false" ht="12.75" hidden="false" customHeight="false" outlineLevel="0" collapsed="false"/>
    <row r="284" customFormat="false" ht="12.75" hidden="false" customHeight="fals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12.75" hidden="false" customHeight="false" outlineLevel="0" collapsed="false"/>
    <row r="291" customFormat="false" ht="12.75" hidden="false" customHeight="false" outlineLevel="0" collapsed="false"/>
    <row r="292" customFormat="false" ht="12.75" hidden="false" customHeight="false" outlineLevel="0" collapsed="false"/>
    <row r="293" customFormat="false" ht="12.75" hidden="false" customHeight="false" outlineLevel="0" collapsed="false"/>
    <row r="294" customFormat="false" ht="12.75" hidden="false" customHeight="false" outlineLevel="0" collapsed="false"/>
    <row r="295" customFormat="false" ht="12.75" hidden="false" customHeight="fals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12.75" hidden="false" customHeight="false" outlineLevel="0" collapsed="false"/>
    <row r="299" customFormat="false" ht="12.75" hidden="false" customHeight="false" outlineLevel="0" collapsed="false"/>
    <row r="300" customFormat="false" ht="12.75" hidden="false" customHeight="fals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12.75" hidden="false" customHeight="false" outlineLevel="0" collapsed="false"/>
    <row r="308" customFormat="false" ht="12.75" hidden="false" customHeight="false" outlineLevel="0" collapsed="false"/>
    <row r="309" customFormat="false" ht="12.75" hidden="false" customHeight="false" outlineLevel="0" collapsed="false"/>
    <row r="310" customFormat="false" ht="12.75" hidden="false" customHeight="false" outlineLevel="0" collapsed="false"/>
    <row r="311" customFormat="false" ht="12.75" hidden="false" customHeight="false" outlineLevel="0" collapsed="false"/>
    <row r="312" customFormat="false" ht="12.75" hidden="false" customHeight="false" outlineLevel="0" collapsed="false"/>
    <row r="313" customFormat="false" ht="12.75" hidden="false" customHeight="false" outlineLevel="0" collapsed="false"/>
    <row r="314" customFormat="false" ht="12.75" hidden="false" customHeight="fals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12.75" hidden="false" customHeight="fals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  <row r="344" customFormat="false" ht="12.75" hidden="false" customHeight="false" outlineLevel="0" collapsed="false"/>
    <row r="345" customFormat="false" ht="12.75" hidden="false" customHeight="false" outlineLevel="0" collapsed="false"/>
    <row r="346" customFormat="false" ht="12.75" hidden="false" customHeight="false" outlineLevel="0" collapsed="false"/>
    <row r="347" customFormat="false" ht="12.75" hidden="false" customHeight="false" outlineLevel="0" collapsed="false"/>
    <row r="348" customFormat="false" ht="12.75" hidden="false" customHeight="false" outlineLevel="0" collapsed="false"/>
    <row r="349" customFormat="false" ht="12.75" hidden="false" customHeight="false" outlineLevel="0" collapsed="false"/>
    <row r="350" customFormat="false" ht="12.75" hidden="false" customHeight="false" outlineLevel="0" collapsed="false"/>
    <row r="351" customFormat="false" ht="12.75" hidden="false" customHeight="false" outlineLevel="0" collapsed="false"/>
    <row r="352" customFormat="false" ht="12.75" hidden="false" customHeight="false" outlineLevel="0" collapsed="false"/>
    <row r="353" customFormat="false" ht="12.75" hidden="false" customHeight="false" outlineLevel="0" collapsed="false"/>
    <row r="354" customFormat="false" ht="12.75" hidden="false" customHeight="false" outlineLevel="0" collapsed="false"/>
    <row r="355" customFormat="false" ht="12.75" hidden="false" customHeight="false" outlineLevel="0" collapsed="false"/>
    <row r="356" customFormat="false" ht="12.75" hidden="false" customHeight="false" outlineLevel="0" collapsed="false"/>
    <row r="357" customFormat="false" ht="12.75" hidden="false" customHeight="false" outlineLevel="0" collapsed="false"/>
    <row r="358" customFormat="false" ht="12.75" hidden="false" customHeight="false" outlineLevel="0" collapsed="false"/>
    <row r="359" customFormat="false" ht="12.75" hidden="false" customHeight="false" outlineLevel="0" collapsed="false"/>
    <row r="360" customFormat="false" ht="12.75" hidden="false" customHeight="false" outlineLevel="0" collapsed="false"/>
    <row r="361" customFormat="false" ht="12.75" hidden="false" customHeight="false" outlineLevel="0" collapsed="false"/>
    <row r="362" customFormat="false" ht="12.75" hidden="false" customHeight="false" outlineLevel="0" collapsed="false"/>
    <row r="363" customFormat="false" ht="12.75" hidden="false" customHeight="false" outlineLevel="0" collapsed="false"/>
    <row r="364" customFormat="false" ht="12.75" hidden="false" customHeight="false" outlineLevel="0" collapsed="false"/>
    <row r="365" customFormat="false" ht="12.75" hidden="false" customHeight="false" outlineLevel="0" collapsed="false"/>
    <row r="366" customFormat="false" ht="12.75" hidden="false" customHeight="false" outlineLevel="0" collapsed="false"/>
    <row r="367" customFormat="false" ht="12.75" hidden="false" customHeight="false" outlineLevel="0" collapsed="false"/>
    <row r="368" customFormat="false" ht="12.75" hidden="false" customHeight="false" outlineLevel="0" collapsed="false"/>
    <row r="369" customFormat="false" ht="12.75" hidden="false" customHeight="false" outlineLevel="0" collapsed="false"/>
    <row r="370" customFormat="false" ht="12.75" hidden="false" customHeight="false" outlineLevel="0" collapsed="false"/>
    <row r="371" customFormat="false" ht="12.75" hidden="false" customHeight="false" outlineLevel="0" collapsed="false"/>
    <row r="372" customFormat="false" ht="12.75" hidden="false" customHeight="false" outlineLevel="0" collapsed="false"/>
    <row r="373" customFormat="false" ht="12.75" hidden="false" customHeight="false" outlineLevel="0" collapsed="false"/>
    <row r="374" customFormat="false" ht="12.75" hidden="false" customHeight="false" outlineLevel="0" collapsed="false"/>
    <row r="375" customFormat="false" ht="12.75" hidden="false" customHeight="false" outlineLevel="0" collapsed="false"/>
    <row r="376" customFormat="false" ht="12.75" hidden="false" customHeight="false" outlineLevel="0" collapsed="false"/>
    <row r="377" customFormat="false" ht="12.75" hidden="false" customHeight="false" outlineLevel="0" collapsed="false"/>
    <row r="378" customFormat="false" ht="12.75" hidden="false" customHeight="false" outlineLevel="0" collapsed="false"/>
    <row r="379" customFormat="false" ht="12.75" hidden="false" customHeight="false" outlineLevel="0" collapsed="false"/>
    <row r="380" customFormat="false" ht="12.75" hidden="false" customHeight="false" outlineLevel="0" collapsed="false"/>
    <row r="381" customFormat="false" ht="12.75" hidden="false" customHeight="false" outlineLevel="0" collapsed="false"/>
    <row r="382" customFormat="false" ht="12.75" hidden="false" customHeight="false" outlineLevel="0" collapsed="false"/>
    <row r="383" customFormat="false" ht="12.75" hidden="false" customHeight="false" outlineLevel="0" collapsed="false"/>
    <row r="384" customFormat="false" ht="12.75" hidden="false" customHeight="false" outlineLevel="0" collapsed="false"/>
    <row r="385" customFormat="false" ht="12.75" hidden="false" customHeight="false" outlineLevel="0" collapsed="false"/>
    <row r="386" customFormat="false" ht="12.75" hidden="false" customHeight="false" outlineLevel="0" collapsed="false"/>
    <row r="387" customFormat="false" ht="12.75" hidden="false" customHeight="false" outlineLevel="0" collapsed="false"/>
    <row r="388" customFormat="false" ht="12.75" hidden="false" customHeight="false" outlineLevel="0" collapsed="false"/>
    <row r="389" customFormat="false" ht="12.75" hidden="false" customHeight="false" outlineLevel="0" collapsed="false"/>
    <row r="390" customFormat="false" ht="12.75" hidden="false" customHeight="false" outlineLevel="0" collapsed="false"/>
    <row r="391" customFormat="false" ht="12.75" hidden="false" customHeight="false" outlineLevel="0" collapsed="false"/>
    <row r="392" customFormat="false" ht="12.75" hidden="false" customHeight="false" outlineLevel="0" collapsed="false"/>
    <row r="393" customFormat="false" ht="12.75" hidden="false" customHeight="false" outlineLevel="0" collapsed="false"/>
    <row r="394" customFormat="false" ht="12.75" hidden="false" customHeight="false" outlineLevel="0" collapsed="false"/>
    <row r="395" customFormat="false" ht="12.75" hidden="false" customHeight="false" outlineLevel="0" collapsed="false"/>
    <row r="396" customFormat="false" ht="12.75" hidden="false" customHeight="false" outlineLevel="0" collapsed="false"/>
    <row r="397" customFormat="false" ht="12.75" hidden="false" customHeight="false" outlineLevel="0" collapsed="false"/>
    <row r="398" customFormat="false" ht="12.75" hidden="false" customHeight="false" outlineLevel="0" collapsed="false"/>
    <row r="399" customFormat="false" ht="12.75" hidden="false" customHeight="false" outlineLevel="0" collapsed="false"/>
    <row r="400" customFormat="false" ht="12.75" hidden="false" customHeight="false" outlineLevel="0" collapsed="false"/>
    <row r="401" customFormat="false" ht="12.75" hidden="false" customHeight="false" outlineLevel="0" collapsed="false"/>
    <row r="402" customFormat="false" ht="12.75" hidden="false" customHeight="false" outlineLevel="0" collapsed="false"/>
    <row r="403" customFormat="false" ht="12.75" hidden="false" customHeight="false" outlineLevel="0" collapsed="false"/>
    <row r="404" customFormat="false" ht="12.75" hidden="false" customHeight="false" outlineLevel="0" collapsed="false"/>
    <row r="405" customFormat="false" ht="12.75" hidden="false" customHeight="false" outlineLevel="0" collapsed="false"/>
    <row r="406" customFormat="false" ht="12.75" hidden="false" customHeight="false" outlineLevel="0" collapsed="false"/>
    <row r="407" customFormat="false" ht="12.75" hidden="false" customHeight="false" outlineLevel="0" collapsed="false"/>
    <row r="408" customFormat="false" ht="12.75" hidden="false" customHeight="false" outlineLevel="0" collapsed="false"/>
    <row r="409" customFormat="false" ht="12.75" hidden="false" customHeight="false" outlineLevel="0" collapsed="false"/>
    <row r="410" customFormat="false" ht="12.75" hidden="false" customHeight="false" outlineLevel="0" collapsed="false"/>
    <row r="411" customFormat="false" ht="12.75" hidden="false" customHeight="false" outlineLevel="0" collapsed="false"/>
    <row r="412" customFormat="false" ht="12.75" hidden="false" customHeight="false" outlineLevel="0" collapsed="false"/>
    <row r="413" customFormat="false" ht="12.75" hidden="false" customHeight="false" outlineLevel="0" collapsed="false"/>
    <row r="414" customFormat="false" ht="12.75" hidden="false" customHeight="false" outlineLevel="0" collapsed="false"/>
    <row r="415" customFormat="false" ht="12.75" hidden="false" customHeight="false" outlineLevel="0" collapsed="false"/>
    <row r="416" customFormat="false" ht="12.75" hidden="false" customHeight="false" outlineLevel="0" collapsed="false"/>
    <row r="417" customFormat="false" ht="12.75" hidden="false" customHeight="false" outlineLevel="0" collapsed="false"/>
    <row r="418" customFormat="false" ht="12.75" hidden="false" customHeight="false" outlineLevel="0" collapsed="false"/>
    <row r="419" customFormat="false" ht="12.75" hidden="false" customHeight="false" outlineLevel="0" collapsed="false"/>
    <row r="420" customFormat="false" ht="12.75" hidden="false" customHeight="false" outlineLevel="0" collapsed="false"/>
    <row r="421" customFormat="false" ht="12.75" hidden="false" customHeight="false" outlineLevel="0" collapsed="false"/>
    <row r="422" customFormat="false" ht="12.75" hidden="false" customHeight="false" outlineLevel="0" collapsed="false"/>
    <row r="423" customFormat="false" ht="12.75" hidden="false" customHeight="false" outlineLevel="0" collapsed="false"/>
    <row r="424" customFormat="false" ht="12.75" hidden="false" customHeight="false" outlineLevel="0" collapsed="false"/>
    <row r="425" customFormat="false" ht="12.75" hidden="false" customHeight="false" outlineLevel="0" collapsed="false"/>
    <row r="426" customFormat="false" ht="12.75" hidden="false" customHeight="false" outlineLevel="0" collapsed="false"/>
    <row r="427" customFormat="false" ht="12.75" hidden="false" customHeight="false" outlineLevel="0" collapsed="false"/>
    <row r="428" customFormat="false" ht="12.75" hidden="false" customHeight="false" outlineLevel="0" collapsed="false"/>
    <row r="429" customFormat="false" ht="12.75" hidden="false" customHeight="false" outlineLevel="0" collapsed="false"/>
    <row r="430" customFormat="false" ht="12.75" hidden="false" customHeight="false" outlineLevel="0" collapsed="false"/>
    <row r="431" customFormat="false" ht="12.75" hidden="false" customHeight="false" outlineLevel="0" collapsed="false"/>
    <row r="432" customFormat="false" ht="12.75" hidden="false" customHeight="false" outlineLevel="0" collapsed="false"/>
    <row r="433" customFormat="false" ht="12.75" hidden="false" customHeight="false" outlineLevel="0" collapsed="false"/>
    <row r="434" customFormat="false" ht="12.75" hidden="false" customHeight="false" outlineLevel="0" collapsed="false"/>
    <row r="435" customFormat="false" ht="12.75" hidden="false" customHeight="false" outlineLevel="0" collapsed="false"/>
    <row r="436" customFormat="false" ht="12.75" hidden="false" customHeight="false" outlineLevel="0" collapsed="false"/>
    <row r="437" customFormat="false" ht="12.75" hidden="false" customHeight="false" outlineLevel="0" collapsed="false"/>
    <row r="438" customFormat="false" ht="12.75" hidden="false" customHeight="false" outlineLevel="0" collapsed="false"/>
    <row r="439" customFormat="false" ht="12.75" hidden="false" customHeight="false" outlineLevel="0" collapsed="false"/>
    <row r="440" customFormat="false" ht="12.75" hidden="false" customHeight="false" outlineLevel="0" collapsed="false"/>
    <row r="441" customFormat="false" ht="12.75" hidden="false" customHeight="false" outlineLevel="0" collapsed="false"/>
    <row r="442" customFormat="false" ht="12.75" hidden="false" customHeight="false" outlineLevel="0" collapsed="false"/>
    <row r="443" customFormat="false" ht="12.75" hidden="false" customHeight="false" outlineLevel="0" collapsed="false"/>
    <row r="444" customFormat="false" ht="12.75" hidden="false" customHeight="false" outlineLevel="0" collapsed="false"/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/>
    <row r="455" customFormat="false" ht="12.75" hidden="false" customHeight="false" outlineLevel="0" collapsed="false"/>
    <row r="456" customFormat="false" ht="12.75" hidden="false" customHeight="false" outlineLevel="0" collapsed="false"/>
    <row r="457" customFormat="false" ht="12.75" hidden="false" customHeight="false" outlineLevel="0" collapsed="false"/>
    <row r="458" customFormat="false" ht="12.75" hidden="false" customHeight="false" outlineLevel="0" collapsed="false"/>
    <row r="459" customFormat="false" ht="12.75" hidden="false" customHeight="false" outlineLevel="0" collapsed="false"/>
    <row r="460" customFormat="false" ht="12.75" hidden="false" customHeight="false" outlineLevel="0" collapsed="false"/>
    <row r="461" customFormat="false" ht="12.75" hidden="false" customHeight="false" outlineLevel="0" collapsed="false"/>
    <row r="462" customFormat="false" ht="12.75" hidden="false" customHeight="false" outlineLevel="0" collapsed="false"/>
    <row r="463" customFormat="false" ht="12.75" hidden="false" customHeight="false" outlineLevel="0" collapsed="false"/>
    <row r="464" customFormat="false" ht="12.75" hidden="false" customHeight="false" outlineLevel="0" collapsed="false"/>
    <row r="465" customFormat="false" ht="12.75" hidden="false" customHeight="false" outlineLevel="0" collapsed="false"/>
    <row r="466" customFormat="false" ht="12.75" hidden="false" customHeight="false" outlineLevel="0" collapsed="false"/>
    <row r="467" customFormat="false" ht="12.75" hidden="false" customHeight="false" outlineLevel="0" collapsed="false"/>
    <row r="468" customFormat="false" ht="12.75" hidden="false" customHeight="false" outlineLevel="0" collapsed="false"/>
    <row r="469" customFormat="false" ht="12.75" hidden="false" customHeight="false" outlineLevel="0" collapsed="false"/>
    <row r="470" customFormat="false" ht="12.75" hidden="false" customHeight="false" outlineLevel="0" collapsed="false"/>
    <row r="471" customFormat="false" ht="12.75" hidden="false" customHeight="false" outlineLevel="0" collapsed="false"/>
    <row r="472" customFormat="false" ht="12.75" hidden="false" customHeight="false" outlineLevel="0" collapsed="false"/>
    <row r="473" customFormat="false" ht="12.75" hidden="false" customHeight="false" outlineLevel="0" collapsed="false"/>
    <row r="474" customFormat="false" ht="12.75" hidden="false" customHeight="false" outlineLevel="0" collapsed="false"/>
    <row r="475" customFormat="false" ht="12.75" hidden="false" customHeight="false" outlineLevel="0" collapsed="false"/>
    <row r="476" customFormat="false" ht="12.75" hidden="false" customHeight="false" outlineLevel="0" collapsed="false"/>
    <row r="477" customFormat="false" ht="12.75" hidden="false" customHeight="false" outlineLevel="0" collapsed="false"/>
    <row r="478" customFormat="false" ht="12.75" hidden="false" customHeight="false" outlineLevel="0" collapsed="false"/>
    <row r="479" customFormat="false" ht="12.75" hidden="false" customHeight="false" outlineLevel="0" collapsed="false"/>
    <row r="480" customFormat="false" ht="12.75" hidden="false" customHeight="false" outlineLevel="0" collapsed="false"/>
    <row r="481" customFormat="false" ht="12.75" hidden="false" customHeight="false" outlineLevel="0" collapsed="false"/>
    <row r="482" customFormat="false" ht="12.75" hidden="false" customHeight="false" outlineLevel="0" collapsed="false"/>
    <row r="483" customFormat="false" ht="12.75" hidden="false" customHeight="false" outlineLevel="0" collapsed="false"/>
    <row r="484" customFormat="false" ht="12.75" hidden="false" customHeight="false" outlineLevel="0" collapsed="false"/>
    <row r="485" customFormat="false" ht="12.75" hidden="false" customHeight="false" outlineLevel="0" collapsed="false"/>
    <row r="486" customFormat="false" ht="12.75" hidden="false" customHeight="false" outlineLevel="0" collapsed="false"/>
    <row r="487" customFormat="false" ht="12.75" hidden="false" customHeight="false" outlineLevel="0" collapsed="false"/>
    <row r="488" customFormat="false" ht="12.75" hidden="false" customHeight="false" outlineLevel="0" collapsed="false"/>
    <row r="489" customFormat="false" ht="12.75" hidden="false" customHeight="false" outlineLevel="0" collapsed="false"/>
    <row r="490" customFormat="false" ht="12.75" hidden="false" customHeight="false" outlineLevel="0" collapsed="false"/>
    <row r="491" customFormat="false" ht="12.75" hidden="false" customHeight="false" outlineLevel="0" collapsed="false"/>
    <row r="492" customFormat="false" ht="12.75" hidden="false" customHeight="false" outlineLevel="0" collapsed="false"/>
    <row r="493" customFormat="false" ht="12.75" hidden="false" customHeight="false" outlineLevel="0" collapsed="false"/>
    <row r="494" customFormat="false" ht="12.75" hidden="false" customHeight="false" outlineLevel="0" collapsed="false"/>
    <row r="495" customFormat="false" ht="12.75" hidden="false" customHeight="false" outlineLevel="0" collapsed="false"/>
    <row r="496" customFormat="false" ht="12.75" hidden="false" customHeight="false" outlineLevel="0" collapsed="false"/>
    <row r="497" customFormat="false" ht="12.75" hidden="false" customHeight="false" outlineLevel="0" collapsed="false"/>
    <row r="498" customFormat="false" ht="12.75" hidden="false" customHeight="false" outlineLevel="0" collapsed="false"/>
    <row r="499" customFormat="false" ht="12.75" hidden="false" customHeight="false" outlineLevel="0" collapsed="false"/>
    <row r="500" customFormat="false" ht="12.75" hidden="false" customHeight="false" outlineLevel="0" collapsed="false"/>
    <row r="501" customFormat="false" ht="12.75" hidden="false" customHeight="false" outlineLevel="0" collapsed="false"/>
    <row r="502" customFormat="false" ht="12.75" hidden="false" customHeight="false" outlineLevel="0" collapsed="false"/>
    <row r="503" customFormat="false" ht="12.75" hidden="false" customHeight="false" outlineLevel="0" collapsed="false"/>
    <row r="504" customFormat="false" ht="12.75" hidden="false" customHeight="false" outlineLevel="0" collapsed="false"/>
    <row r="505" customFormat="false" ht="12.75" hidden="false" customHeight="false" outlineLevel="0" collapsed="false"/>
    <row r="506" customFormat="false" ht="12.75" hidden="false" customHeight="false" outlineLevel="0" collapsed="false"/>
    <row r="507" customFormat="false" ht="12.75" hidden="false" customHeight="false" outlineLevel="0" collapsed="false"/>
    <row r="508" customFormat="false" ht="12.75" hidden="false" customHeight="false" outlineLevel="0" collapsed="false"/>
    <row r="509" customFormat="false" ht="12.75" hidden="false" customHeight="false" outlineLevel="0" collapsed="false"/>
    <row r="510" customFormat="false" ht="12.75" hidden="false" customHeight="false" outlineLevel="0" collapsed="false"/>
    <row r="511" customFormat="false" ht="12.75" hidden="false" customHeight="false" outlineLevel="0" collapsed="false"/>
    <row r="512" customFormat="false" ht="12.75" hidden="false" customHeight="false" outlineLevel="0" collapsed="false"/>
    <row r="513" customFormat="false" ht="12.75" hidden="false" customHeight="false" outlineLevel="0" collapsed="false"/>
    <row r="514" customFormat="false" ht="12.75" hidden="false" customHeight="false" outlineLevel="0" collapsed="false"/>
    <row r="515" customFormat="false" ht="12.75" hidden="false" customHeight="false" outlineLevel="0" collapsed="false"/>
    <row r="516" customFormat="false" ht="12.75" hidden="false" customHeight="false" outlineLevel="0" collapsed="false"/>
    <row r="517" customFormat="false" ht="12.75" hidden="false" customHeight="false" outlineLevel="0" collapsed="false"/>
    <row r="518" customFormat="false" ht="12.75" hidden="false" customHeight="false" outlineLevel="0" collapsed="false"/>
    <row r="519" customFormat="false" ht="12.75" hidden="false" customHeight="false" outlineLevel="0" collapsed="false"/>
    <row r="520" customFormat="false" ht="12.75" hidden="false" customHeight="false" outlineLevel="0" collapsed="false"/>
    <row r="521" customFormat="false" ht="12.75" hidden="false" customHeight="false" outlineLevel="0" collapsed="false"/>
    <row r="522" customFormat="false" ht="12.75" hidden="false" customHeight="false" outlineLevel="0" collapsed="false"/>
    <row r="523" customFormat="false" ht="12.75" hidden="false" customHeight="false" outlineLevel="0" collapsed="false"/>
    <row r="524" customFormat="false" ht="12.75" hidden="false" customHeight="false" outlineLevel="0" collapsed="false"/>
    <row r="525" customFormat="false" ht="12.75" hidden="false" customHeight="false" outlineLevel="0" collapsed="false"/>
    <row r="526" customFormat="false" ht="12.75" hidden="false" customHeight="false" outlineLevel="0" collapsed="false"/>
    <row r="527" customFormat="false" ht="12.75" hidden="false" customHeight="false" outlineLevel="0" collapsed="false"/>
    <row r="528" customFormat="false" ht="12.75" hidden="false" customHeight="false" outlineLevel="0" collapsed="false"/>
    <row r="529" customFormat="false" ht="12.75" hidden="false" customHeight="false" outlineLevel="0" collapsed="false"/>
    <row r="530" customFormat="false" ht="12.75" hidden="false" customHeight="false" outlineLevel="0" collapsed="false"/>
    <row r="531" customFormat="false" ht="12.75" hidden="false" customHeight="false" outlineLevel="0" collapsed="false"/>
    <row r="532" customFormat="false" ht="12.75" hidden="false" customHeight="false" outlineLevel="0" collapsed="false"/>
    <row r="533" customFormat="false" ht="12.75" hidden="false" customHeight="false" outlineLevel="0" collapsed="false"/>
    <row r="534" customFormat="false" ht="12.75" hidden="false" customHeight="false" outlineLevel="0" collapsed="false"/>
    <row r="535" customFormat="false" ht="12.75" hidden="false" customHeight="false" outlineLevel="0" collapsed="false"/>
    <row r="536" customFormat="false" ht="12.75" hidden="false" customHeight="false" outlineLevel="0" collapsed="false"/>
    <row r="537" customFormat="false" ht="12.75" hidden="false" customHeight="false" outlineLevel="0" collapsed="false"/>
    <row r="538" customFormat="false" ht="12.75" hidden="false" customHeight="false" outlineLevel="0" collapsed="false"/>
    <row r="539" customFormat="false" ht="12.75" hidden="false" customHeight="false" outlineLevel="0" collapsed="false"/>
    <row r="540" customFormat="false" ht="12.75" hidden="false" customHeight="false" outlineLevel="0" collapsed="false"/>
    <row r="541" customFormat="false" ht="12.75" hidden="false" customHeight="false" outlineLevel="0" collapsed="false"/>
    <row r="542" customFormat="false" ht="12.75" hidden="false" customHeight="false" outlineLevel="0" collapsed="false"/>
    <row r="543" customFormat="false" ht="12.75" hidden="false" customHeight="false" outlineLevel="0" collapsed="false"/>
    <row r="544" customFormat="false" ht="12.75" hidden="false" customHeight="false" outlineLevel="0" collapsed="false"/>
    <row r="545" customFormat="false" ht="12.75" hidden="false" customHeight="false" outlineLevel="0" collapsed="false"/>
    <row r="546" customFormat="false" ht="12.75" hidden="false" customHeight="false" outlineLevel="0" collapsed="false"/>
    <row r="547" customFormat="false" ht="12.75" hidden="false" customHeight="false" outlineLevel="0" collapsed="false"/>
    <row r="548" customFormat="false" ht="12.75" hidden="false" customHeight="false" outlineLevel="0" collapsed="false"/>
    <row r="549" customFormat="false" ht="12.75" hidden="false" customHeight="false" outlineLevel="0" collapsed="false"/>
    <row r="550" customFormat="false" ht="12.75" hidden="false" customHeight="false" outlineLevel="0" collapsed="false"/>
    <row r="551" customFormat="false" ht="12.75" hidden="false" customHeight="false" outlineLevel="0" collapsed="false"/>
    <row r="552" customFormat="false" ht="12.75" hidden="false" customHeight="false" outlineLevel="0" collapsed="false"/>
    <row r="553" customFormat="false" ht="12.75" hidden="false" customHeight="false" outlineLevel="0" collapsed="false"/>
    <row r="554" customFormat="false" ht="12.75" hidden="false" customHeight="false" outlineLevel="0" collapsed="false"/>
    <row r="555" customFormat="false" ht="12.75" hidden="false" customHeight="false" outlineLevel="0" collapsed="false"/>
    <row r="556" customFormat="false" ht="12.75" hidden="false" customHeight="false" outlineLevel="0" collapsed="false"/>
    <row r="557" customFormat="false" ht="12.75" hidden="false" customHeight="false" outlineLevel="0" collapsed="false"/>
    <row r="558" customFormat="false" ht="12.75" hidden="false" customHeight="false" outlineLevel="0" collapsed="false"/>
    <row r="559" customFormat="false" ht="12.75" hidden="false" customHeight="false" outlineLevel="0" collapsed="false"/>
    <row r="560" customFormat="false" ht="12.75" hidden="false" customHeight="false" outlineLevel="0" collapsed="false"/>
    <row r="561" customFormat="false" ht="12.75" hidden="false" customHeight="false" outlineLevel="0" collapsed="false"/>
    <row r="562" customFormat="false" ht="12.75" hidden="false" customHeight="false" outlineLevel="0" collapsed="false"/>
    <row r="563" customFormat="false" ht="12.75" hidden="false" customHeight="false" outlineLevel="0" collapsed="false"/>
    <row r="564" customFormat="false" ht="12.75" hidden="false" customHeight="false" outlineLevel="0" collapsed="false"/>
    <row r="565" customFormat="false" ht="12.75" hidden="false" customHeight="false" outlineLevel="0" collapsed="false"/>
    <row r="566" customFormat="false" ht="12.75" hidden="false" customHeight="false" outlineLevel="0" collapsed="false"/>
    <row r="567" customFormat="false" ht="12.75" hidden="false" customHeight="false" outlineLevel="0" collapsed="false"/>
    <row r="568" customFormat="false" ht="12.75" hidden="false" customHeight="false" outlineLevel="0" collapsed="false"/>
    <row r="569" customFormat="false" ht="12.75" hidden="false" customHeight="false" outlineLevel="0" collapsed="false"/>
    <row r="570" customFormat="false" ht="12.75" hidden="false" customHeight="false" outlineLevel="0" collapsed="false"/>
    <row r="571" customFormat="false" ht="12.75" hidden="false" customHeight="false" outlineLevel="0" collapsed="false"/>
    <row r="572" customFormat="false" ht="12.75" hidden="false" customHeight="false" outlineLevel="0" collapsed="false"/>
    <row r="573" customFormat="false" ht="12.75" hidden="false" customHeight="false" outlineLevel="0" collapsed="false"/>
    <row r="574" customFormat="false" ht="12.75" hidden="false" customHeight="false" outlineLevel="0" collapsed="false"/>
    <row r="575" customFormat="false" ht="12.75" hidden="false" customHeight="false" outlineLevel="0" collapsed="false"/>
    <row r="576" customFormat="false" ht="12.75" hidden="false" customHeight="false" outlineLevel="0" collapsed="false"/>
    <row r="577" customFormat="false" ht="12.75" hidden="false" customHeight="false" outlineLevel="0" collapsed="false"/>
    <row r="578" customFormat="false" ht="12.75" hidden="false" customHeight="false" outlineLevel="0" collapsed="false"/>
    <row r="579" customFormat="false" ht="12.75" hidden="false" customHeight="false" outlineLevel="0" collapsed="false"/>
    <row r="580" customFormat="false" ht="12.75" hidden="false" customHeight="false" outlineLevel="0" collapsed="false"/>
    <row r="581" customFormat="false" ht="12.75" hidden="false" customHeight="false" outlineLevel="0" collapsed="false"/>
    <row r="582" customFormat="false" ht="12.75" hidden="false" customHeight="false" outlineLevel="0" collapsed="false"/>
    <row r="583" customFormat="false" ht="12.75" hidden="false" customHeight="false" outlineLevel="0" collapsed="false"/>
    <row r="584" customFormat="false" ht="12.75" hidden="false" customHeight="false" outlineLevel="0" collapsed="false"/>
    <row r="585" customFormat="false" ht="12.75" hidden="false" customHeight="false" outlineLevel="0" collapsed="false"/>
    <row r="586" customFormat="false" ht="12.75" hidden="false" customHeight="false" outlineLevel="0" collapsed="false"/>
    <row r="587" customFormat="false" ht="12.75" hidden="false" customHeight="false" outlineLevel="0" collapsed="false"/>
    <row r="588" customFormat="false" ht="12.75" hidden="false" customHeight="false" outlineLevel="0" collapsed="false"/>
    <row r="589" customFormat="false" ht="12.75" hidden="false" customHeight="false" outlineLevel="0" collapsed="false"/>
    <row r="590" customFormat="false" ht="12.75" hidden="false" customHeight="false" outlineLevel="0" collapsed="false"/>
    <row r="591" customFormat="false" ht="12.75" hidden="false" customHeight="false" outlineLevel="0" collapsed="false"/>
    <row r="592" customFormat="false" ht="12.75" hidden="false" customHeight="false" outlineLevel="0" collapsed="false"/>
    <row r="593" customFormat="false" ht="12.75" hidden="false" customHeight="false" outlineLevel="0" collapsed="false"/>
    <row r="594" customFormat="false" ht="12.75" hidden="false" customHeight="false" outlineLevel="0" collapsed="false"/>
    <row r="595" customFormat="false" ht="12.75" hidden="false" customHeight="false" outlineLevel="0" collapsed="false"/>
    <row r="596" customFormat="false" ht="12.75" hidden="false" customHeight="false" outlineLevel="0" collapsed="false"/>
    <row r="597" customFormat="false" ht="12.75" hidden="false" customHeight="false" outlineLevel="0" collapsed="false"/>
    <row r="598" customFormat="false" ht="12.75" hidden="false" customHeight="false" outlineLevel="0" collapsed="false"/>
    <row r="599" customFormat="false" ht="12.75" hidden="false" customHeight="false" outlineLevel="0" collapsed="false"/>
    <row r="600" customFormat="false" ht="12.75" hidden="false" customHeight="false" outlineLevel="0" collapsed="false"/>
    <row r="601" customFormat="false" ht="12.75" hidden="false" customHeight="false" outlineLevel="0" collapsed="false"/>
    <row r="602" customFormat="false" ht="12.75" hidden="false" customHeight="false" outlineLevel="0" collapsed="false"/>
    <row r="603" customFormat="false" ht="12.75" hidden="false" customHeight="false" outlineLevel="0" collapsed="false"/>
    <row r="604" customFormat="false" ht="12.75" hidden="false" customHeight="false" outlineLevel="0" collapsed="false"/>
    <row r="605" customFormat="false" ht="12.75" hidden="false" customHeight="false" outlineLevel="0" collapsed="false"/>
    <row r="606" customFormat="false" ht="12.75" hidden="false" customHeight="false" outlineLevel="0" collapsed="false"/>
    <row r="607" customFormat="false" ht="12.75" hidden="false" customHeight="false" outlineLevel="0" collapsed="false"/>
    <row r="608" customFormat="false" ht="12.75" hidden="false" customHeight="false" outlineLevel="0" collapsed="false"/>
    <row r="609" customFormat="false" ht="12.75" hidden="false" customHeight="false" outlineLevel="0" collapsed="false"/>
    <row r="610" customFormat="false" ht="12.75" hidden="false" customHeight="false" outlineLevel="0" collapsed="false"/>
    <row r="611" customFormat="false" ht="12.75" hidden="false" customHeight="false" outlineLevel="0" collapsed="false"/>
    <row r="612" customFormat="false" ht="12.75" hidden="false" customHeight="false" outlineLevel="0" collapsed="false"/>
    <row r="613" customFormat="false" ht="12.75" hidden="false" customHeight="false" outlineLevel="0" collapsed="false"/>
    <row r="614" customFormat="false" ht="12.75" hidden="false" customHeight="false" outlineLevel="0" collapsed="false"/>
    <row r="615" customFormat="false" ht="12.75" hidden="false" customHeight="false" outlineLevel="0" collapsed="false"/>
    <row r="616" customFormat="false" ht="12.75" hidden="false" customHeight="false" outlineLevel="0" collapsed="false"/>
    <row r="617" customFormat="false" ht="12.75" hidden="false" customHeight="false" outlineLevel="0" collapsed="false"/>
    <row r="618" customFormat="false" ht="12.75" hidden="false" customHeight="false" outlineLevel="0" collapsed="false"/>
    <row r="619" customFormat="false" ht="12.75" hidden="false" customHeight="false" outlineLevel="0" collapsed="false"/>
    <row r="620" customFormat="false" ht="12.75" hidden="false" customHeight="false" outlineLevel="0" collapsed="false"/>
    <row r="621" customFormat="false" ht="12.75" hidden="false" customHeight="false" outlineLevel="0" collapsed="false"/>
    <row r="622" customFormat="false" ht="12.75" hidden="false" customHeight="false" outlineLevel="0" collapsed="false"/>
    <row r="623" customFormat="false" ht="12.75" hidden="false" customHeight="false" outlineLevel="0" collapsed="false"/>
    <row r="624" customFormat="false" ht="12.75" hidden="false" customHeight="false" outlineLevel="0" collapsed="false"/>
    <row r="625" customFormat="false" ht="12.75" hidden="false" customHeight="false" outlineLevel="0" collapsed="false"/>
    <row r="626" customFormat="false" ht="12.75" hidden="false" customHeight="false" outlineLevel="0" collapsed="false"/>
    <row r="627" customFormat="false" ht="12.75" hidden="false" customHeight="false" outlineLevel="0" collapsed="false"/>
    <row r="628" customFormat="false" ht="12.75" hidden="false" customHeight="false" outlineLevel="0" collapsed="false"/>
    <row r="629" customFormat="false" ht="12.75" hidden="false" customHeight="false" outlineLevel="0" collapsed="false"/>
    <row r="630" customFormat="false" ht="12.75" hidden="false" customHeight="false" outlineLevel="0" collapsed="false"/>
    <row r="631" customFormat="false" ht="12.75" hidden="false" customHeight="false" outlineLevel="0" collapsed="false"/>
    <row r="632" customFormat="false" ht="12.75" hidden="false" customHeight="false" outlineLevel="0" collapsed="false"/>
    <row r="633" customFormat="false" ht="12.75" hidden="false" customHeight="false" outlineLevel="0" collapsed="false"/>
    <row r="634" customFormat="false" ht="12.75" hidden="false" customHeight="false" outlineLevel="0" collapsed="false"/>
    <row r="635" customFormat="false" ht="12.75" hidden="false" customHeight="false" outlineLevel="0" collapsed="false"/>
    <row r="636" customFormat="false" ht="12.75" hidden="false" customHeight="false" outlineLevel="0" collapsed="false"/>
    <row r="637" customFormat="false" ht="12.75" hidden="false" customHeight="false" outlineLevel="0" collapsed="false"/>
    <row r="638" customFormat="false" ht="12.75" hidden="false" customHeight="false" outlineLevel="0" collapsed="false"/>
    <row r="639" customFormat="false" ht="12.75" hidden="false" customHeight="false" outlineLevel="0" collapsed="false"/>
    <row r="640" customFormat="false" ht="12.75" hidden="false" customHeight="false" outlineLevel="0" collapsed="false"/>
    <row r="641" customFormat="false" ht="12.75" hidden="false" customHeight="false" outlineLevel="0" collapsed="false"/>
    <row r="642" customFormat="false" ht="12.75" hidden="false" customHeight="false" outlineLevel="0" collapsed="false"/>
    <row r="643" customFormat="false" ht="12.75" hidden="false" customHeight="false" outlineLevel="0" collapsed="false"/>
    <row r="644" customFormat="false" ht="12.75" hidden="false" customHeight="false" outlineLevel="0" collapsed="false"/>
    <row r="645" customFormat="false" ht="12.75" hidden="false" customHeight="false" outlineLevel="0" collapsed="false"/>
    <row r="646" customFormat="false" ht="12.75" hidden="false" customHeight="false" outlineLevel="0" collapsed="false"/>
    <row r="647" customFormat="false" ht="12.75" hidden="false" customHeight="false" outlineLevel="0" collapsed="false"/>
    <row r="648" customFormat="false" ht="12.75" hidden="false" customHeight="false" outlineLevel="0" collapsed="false"/>
    <row r="649" customFormat="false" ht="12.75" hidden="false" customHeight="false" outlineLevel="0" collapsed="false"/>
    <row r="650" customFormat="false" ht="12.75" hidden="false" customHeight="false" outlineLevel="0" collapsed="false"/>
    <row r="651" customFormat="false" ht="12.75" hidden="false" customHeight="false" outlineLevel="0" collapsed="false"/>
    <row r="652" customFormat="false" ht="12.75" hidden="false" customHeight="false" outlineLevel="0" collapsed="false"/>
    <row r="653" customFormat="false" ht="12.75" hidden="false" customHeight="false" outlineLevel="0" collapsed="false"/>
    <row r="654" customFormat="false" ht="12.75" hidden="false" customHeight="false" outlineLevel="0" collapsed="false"/>
    <row r="655" customFormat="false" ht="12.75" hidden="false" customHeight="false" outlineLevel="0" collapsed="false"/>
    <row r="656" customFormat="false" ht="12.75" hidden="false" customHeight="false" outlineLevel="0" collapsed="false"/>
    <row r="657" customFormat="false" ht="12.75" hidden="false" customHeight="false" outlineLevel="0" collapsed="false"/>
    <row r="658" customFormat="false" ht="12.75" hidden="false" customHeight="false" outlineLevel="0" collapsed="false"/>
    <row r="659" customFormat="false" ht="12.75" hidden="false" customHeight="false" outlineLevel="0" collapsed="false"/>
    <row r="660" customFormat="false" ht="12.75" hidden="false" customHeight="false" outlineLevel="0" collapsed="false"/>
    <row r="661" customFormat="false" ht="12.75" hidden="false" customHeight="false" outlineLevel="0" collapsed="false"/>
    <row r="662" customFormat="false" ht="12.75" hidden="false" customHeight="false" outlineLevel="0" collapsed="false"/>
    <row r="663" customFormat="false" ht="12.75" hidden="false" customHeight="false" outlineLevel="0" collapsed="false"/>
    <row r="664" customFormat="false" ht="12.75" hidden="false" customHeight="false" outlineLevel="0" collapsed="false"/>
    <row r="665" customFormat="false" ht="12.75" hidden="false" customHeight="false" outlineLevel="0" collapsed="false"/>
    <row r="666" customFormat="false" ht="12.75" hidden="false" customHeight="false" outlineLevel="0" collapsed="false"/>
    <row r="667" customFormat="false" ht="12.75" hidden="false" customHeight="false" outlineLevel="0" collapsed="false"/>
    <row r="668" customFormat="false" ht="12.75" hidden="false" customHeight="false" outlineLevel="0" collapsed="false"/>
    <row r="669" customFormat="false" ht="12.75" hidden="false" customHeight="false" outlineLevel="0" collapsed="false"/>
    <row r="670" customFormat="false" ht="12.75" hidden="false" customHeight="false" outlineLevel="0" collapsed="false"/>
    <row r="671" customFormat="false" ht="12.75" hidden="false" customHeight="false" outlineLevel="0" collapsed="false"/>
    <row r="672" customFormat="false" ht="12.75" hidden="false" customHeight="false" outlineLevel="0" collapsed="false"/>
    <row r="673" customFormat="false" ht="12.75" hidden="false" customHeight="false" outlineLevel="0" collapsed="false"/>
    <row r="674" customFormat="false" ht="12.75" hidden="false" customHeight="false" outlineLevel="0" collapsed="false"/>
    <row r="675" customFormat="false" ht="12.75" hidden="false" customHeight="false" outlineLevel="0" collapsed="false"/>
    <row r="676" customFormat="false" ht="12.75" hidden="false" customHeight="false" outlineLevel="0" collapsed="false"/>
    <row r="677" customFormat="false" ht="12.75" hidden="false" customHeight="false" outlineLevel="0" collapsed="false"/>
    <row r="678" customFormat="false" ht="12.75" hidden="false" customHeight="false" outlineLevel="0" collapsed="false"/>
    <row r="679" customFormat="false" ht="12.75" hidden="false" customHeight="false" outlineLevel="0" collapsed="false"/>
    <row r="680" customFormat="false" ht="12.75" hidden="false" customHeight="false" outlineLevel="0" collapsed="false"/>
    <row r="681" customFormat="false" ht="12.75" hidden="false" customHeight="false" outlineLevel="0" collapsed="false"/>
    <row r="682" customFormat="false" ht="12.75" hidden="false" customHeight="false" outlineLevel="0" collapsed="false"/>
    <row r="683" customFormat="false" ht="12.75" hidden="false" customHeight="false" outlineLevel="0" collapsed="false"/>
    <row r="684" customFormat="false" ht="12.75" hidden="false" customHeight="false" outlineLevel="0" collapsed="false"/>
    <row r="685" customFormat="false" ht="12.75" hidden="false" customHeight="false" outlineLevel="0" collapsed="false"/>
    <row r="686" customFormat="false" ht="12.75" hidden="false" customHeight="false" outlineLevel="0" collapsed="false"/>
    <row r="687" customFormat="false" ht="12.75" hidden="false" customHeight="false" outlineLevel="0" collapsed="false"/>
    <row r="688" customFormat="false" ht="12.75" hidden="false" customHeight="false" outlineLevel="0" collapsed="false"/>
    <row r="689" customFormat="false" ht="12.75" hidden="false" customHeight="false" outlineLevel="0" collapsed="false"/>
    <row r="690" customFormat="false" ht="12.75" hidden="false" customHeight="false" outlineLevel="0" collapsed="false"/>
    <row r="691" customFormat="false" ht="12.75" hidden="false" customHeight="false" outlineLevel="0" collapsed="false"/>
    <row r="692" customFormat="false" ht="12.75" hidden="false" customHeight="false" outlineLevel="0" collapsed="false"/>
    <row r="693" customFormat="false" ht="12.75" hidden="false" customHeight="false" outlineLevel="0" collapsed="false"/>
    <row r="694" customFormat="false" ht="12.75" hidden="false" customHeight="false" outlineLevel="0" collapsed="false"/>
    <row r="695" customFormat="false" ht="12.75" hidden="false" customHeight="false" outlineLevel="0" collapsed="false"/>
    <row r="696" customFormat="false" ht="12.75" hidden="false" customHeight="false" outlineLevel="0" collapsed="false"/>
    <row r="697" customFormat="false" ht="12.75" hidden="false" customHeight="false" outlineLevel="0" collapsed="false"/>
    <row r="698" customFormat="false" ht="12.75" hidden="false" customHeight="false" outlineLevel="0" collapsed="false"/>
    <row r="699" customFormat="false" ht="12.75" hidden="false" customHeight="false" outlineLevel="0" collapsed="false"/>
    <row r="700" customFormat="false" ht="12.75" hidden="false" customHeight="false" outlineLevel="0" collapsed="false"/>
    <row r="701" customFormat="false" ht="12.75" hidden="false" customHeight="false" outlineLevel="0" collapsed="false"/>
    <row r="702" customFormat="false" ht="12.75" hidden="false" customHeight="false" outlineLevel="0" collapsed="false"/>
    <row r="703" customFormat="false" ht="12.75" hidden="false" customHeight="false" outlineLevel="0" collapsed="false"/>
    <row r="704" customFormat="false" ht="12.75" hidden="false" customHeight="false" outlineLevel="0" collapsed="false"/>
    <row r="705" customFormat="false" ht="12.75" hidden="false" customHeight="false" outlineLevel="0" collapsed="false"/>
    <row r="706" customFormat="false" ht="12.75" hidden="false" customHeight="false" outlineLevel="0" collapsed="false"/>
    <row r="707" customFormat="false" ht="12.75" hidden="false" customHeight="false" outlineLevel="0" collapsed="false"/>
    <row r="708" customFormat="false" ht="12.75" hidden="false" customHeight="false" outlineLevel="0" collapsed="false"/>
    <row r="709" customFormat="false" ht="12.75" hidden="false" customHeight="false" outlineLevel="0" collapsed="false"/>
    <row r="710" customFormat="false" ht="12.75" hidden="false" customHeight="false" outlineLevel="0" collapsed="false"/>
    <row r="711" customFormat="false" ht="12.75" hidden="false" customHeight="false" outlineLevel="0" collapsed="false"/>
    <row r="712" customFormat="false" ht="12.75" hidden="false" customHeight="false" outlineLevel="0" collapsed="false"/>
    <row r="713" customFormat="false" ht="12.75" hidden="false" customHeight="false" outlineLevel="0" collapsed="false"/>
    <row r="714" customFormat="false" ht="12.75" hidden="false" customHeight="false" outlineLevel="0" collapsed="false"/>
    <row r="715" customFormat="false" ht="12.75" hidden="false" customHeight="false" outlineLevel="0" collapsed="false"/>
    <row r="716" customFormat="false" ht="12.75" hidden="false" customHeight="false" outlineLevel="0" collapsed="false"/>
    <row r="717" customFormat="false" ht="12.75" hidden="false" customHeight="false" outlineLevel="0" collapsed="false"/>
    <row r="718" customFormat="false" ht="12.75" hidden="false" customHeight="false" outlineLevel="0" collapsed="false"/>
    <row r="719" customFormat="false" ht="12.75" hidden="false" customHeight="false" outlineLevel="0" collapsed="false"/>
    <row r="720" customFormat="false" ht="12.75" hidden="false" customHeight="false" outlineLevel="0" collapsed="false"/>
    <row r="721" customFormat="false" ht="12.75" hidden="false" customHeight="false" outlineLevel="0" collapsed="false"/>
    <row r="722" customFormat="false" ht="12.75" hidden="false" customHeight="false" outlineLevel="0" collapsed="false"/>
    <row r="723" customFormat="false" ht="12.75" hidden="false" customHeight="false" outlineLevel="0" collapsed="false"/>
    <row r="724" customFormat="false" ht="12.75" hidden="false" customHeight="false" outlineLevel="0" collapsed="false"/>
    <row r="725" customFormat="false" ht="12.75" hidden="false" customHeight="false" outlineLevel="0" collapsed="false"/>
    <row r="726" customFormat="false" ht="12.75" hidden="false" customHeight="false" outlineLevel="0" collapsed="false"/>
    <row r="727" customFormat="false" ht="12.75" hidden="false" customHeight="false" outlineLevel="0" collapsed="false"/>
    <row r="728" customFormat="false" ht="12.75" hidden="false" customHeight="false" outlineLevel="0" collapsed="false"/>
    <row r="729" customFormat="false" ht="12.75" hidden="false" customHeight="false" outlineLevel="0" collapsed="false"/>
    <row r="730" customFormat="false" ht="12.75" hidden="false" customHeight="false" outlineLevel="0" collapsed="false"/>
    <row r="731" customFormat="false" ht="12.75" hidden="false" customHeight="false" outlineLevel="0" collapsed="false"/>
    <row r="732" customFormat="false" ht="12.75" hidden="false" customHeight="false" outlineLevel="0" collapsed="false"/>
    <row r="733" customFormat="false" ht="12.75" hidden="false" customHeight="false" outlineLevel="0" collapsed="false"/>
    <row r="734" customFormat="false" ht="12.75" hidden="false" customHeight="false" outlineLevel="0" collapsed="false"/>
    <row r="735" customFormat="false" ht="12.75" hidden="false" customHeight="false" outlineLevel="0" collapsed="false"/>
    <row r="736" customFormat="false" ht="12.75" hidden="false" customHeight="false" outlineLevel="0" collapsed="false"/>
    <row r="737" customFormat="false" ht="12.75" hidden="false" customHeight="false" outlineLevel="0" collapsed="false"/>
    <row r="738" customFormat="false" ht="12.75" hidden="false" customHeight="false" outlineLevel="0" collapsed="false"/>
    <row r="739" customFormat="false" ht="12.75" hidden="false" customHeight="false" outlineLevel="0" collapsed="false"/>
    <row r="740" customFormat="false" ht="12.75" hidden="false" customHeight="false" outlineLevel="0" collapsed="false"/>
    <row r="741" customFormat="false" ht="12.75" hidden="false" customHeight="false" outlineLevel="0" collapsed="false"/>
    <row r="742" customFormat="false" ht="12.75" hidden="false" customHeight="false" outlineLevel="0" collapsed="false"/>
    <row r="743" customFormat="false" ht="12.75" hidden="false" customHeight="false" outlineLevel="0" collapsed="false"/>
    <row r="744" customFormat="false" ht="12.75" hidden="false" customHeight="false" outlineLevel="0" collapsed="false"/>
    <row r="745" customFormat="false" ht="12.75" hidden="false" customHeight="false" outlineLevel="0" collapsed="false"/>
    <row r="746" customFormat="false" ht="12.75" hidden="false" customHeight="false" outlineLevel="0" collapsed="false"/>
    <row r="747" customFormat="false" ht="12.75" hidden="false" customHeight="false" outlineLevel="0" collapsed="false"/>
    <row r="748" customFormat="false" ht="12.75" hidden="false" customHeight="false" outlineLevel="0" collapsed="false"/>
    <row r="749" customFormat="false" ht="12.75" hidden="false" customHeight="false" outlineLevel="0" collapsed="false"/>
    <row r="750" customFormat="false" ht="12.75" hidden="false" customHeight="false" outlineLevel="0" collapsed="false"/>
    <row r="751" customFormat="false" ht="12.75" hidden="false" customHeight="false" outlineLevel="0" collapsed="false"/>
    <row r="752" customFormat="false" ht="12.75" hidden="false" customHeight="false" outlineLevel="0" collapsed="false"/>
    <row r="753" customFormat="false" ht="12.75" hidden="false" customHeight="false" outlineLevel="0" collapsed="false"/>
    <row r="754" customFormat="false" ht="12.75" hidden="false" customHeight="false" outlineLevel="0" collapsed="false"/>
    <row r="755" customFormat="false" ht="12.75" hidden="false" customHeight="false" outlineLevel="0" collapsed="false"/>
    <row r="756" customFormat="false" ht="12.75" hidden="false" customHeight="false" outlineLevel="0" collapsed="false"/>
    <row r="757" customFormat="false" ht="12.75" hidden="false" customHeight="false" outlineLevel="0" collapsed="false"/>
    <row r="758" customFormat="false" ht="12.75" hidden="false" customHeight="false" outlineLevel="0" collapsed="false"/>
    <row r="759" customFormat="false" ht="12.75" hidden="false" customHeight="false" outlineLevel="0" collapsed="false"/>
    <row r="760" customFormat="false" ht="12.75" hidden="false" customHeight="false" outlineLevel="0" collapsed="false"/>
    <row r="761" customFormat="false" ht="12.75" hidden="false" customHeight="false" outlineLevel="0" collapsed="false"/>
    <row r="762" customFormat="false" ht="12.75" hidden="false" customHeight="false" outlineLevel="0" collapsed="false"/>
    <row r="763" customFormat="false" ht="12.75" hidden="false" customHeight="false" outlineLevel="0" collapsed="false"/>
    <row r="764" customFormat="false" ht="12.75" hidden="false" customHeight="false" outlineLevel="0" collapsed="false"/>
    <row r="765" customFormat="false" ht="12.75" hidden="false" customHeight="false" outlineLevel="0" collapsed="false"/>
    <row r="766" customFormat="false" ht="12.75" hidden="false" customHeight="false" outlineLevel="0" collapsed="false"/>
    <row r="767" customFormat="false" ht="12.75" hidden="false" customHeight="false" outlineLevel="0" collapsed="false"/>
    <row r="768" customFormat="false" ht="12.75" hidden="false" customHeight="false" outlineLevel="0" collapsed="false"/>
    <row r="769" customFormat="false" ht="12.75" hidden="false" customHeight="false" outlineLevel="0" collapsed="false"/>
    <row r="770" customFormat="false" ht="12.75" hidden="false" customHeight="false" outlineLevel="0" collapsed="false"/>
    <row r="771" customFormat="false" ht="12.75" hidden="false" customHeight="false" outlineLevel="0" collapsed="false"/>
    <row r="772" customFormat="false" ht="12.75" hidden="false" customHeight="false" outlineLevel="0" collapsed="false"/>
    <row r="773" customFormat="false" ht="12.75" hidden="false" customHeight="false" outlineLevel="0" collapsed="false"/>
    <row r="774" customFormat="false" ht="12.75" hidden="false" customHeight="false" outlineLevel="0" collapsed="false"/>
    <row r="775" customFormat="false" ht="12.75" hidden="false" customHeight="false" outlineLevel="0" collapsed="false"/>
    <row r="776" customFormat="false" ht="12.75" hidden="false" customHeight="false" outlineLevel="0" collapsed="false"/>
    <row r="777" customFormat="false" ht="12.75" hidden="false" customHeight="false" outlineLevel="0" collapsed="false"/>
    <row r="778" customFormat="false" ht="12.75" hidden="false" customHeight="false" outlineLevel="0" collapsed="false"/>
    <row r="779" customFormat="false" ht="12.75" hidden="false" customHeight="false" outlineLevel="0" collapsed="false"/>
    <row r="780" customFormat="false" ht="12.75" hidden="false" customHeight="false" outlineLevel="0" collapsed="false"/>
    <row r="781" customFormat="false" ht="12.75" hidden="false" customHeight="false" outlineLevel="0" collapsed="false"/>
    <row r="782" customFormat="false" ht="12.75" hidden="false" customHeight="false" outlineLevel="0" collapsed="false"/>
    <row r="783" customFormat="false" ht="12.75" hidden="false" customHeight="false" outlineLevel="0" collapsed="false"/>
    <row r="784" customFormat="false" ht="12.75" hidden="false" customHeight="false" outlineLevel="0" collapsed="false"/>
    <row r="785" customFormat="false" ht="12.75" hidden="false" customHeight="false" outlineLevel="0" collapsed="false"/>
    <row r="786" customFormat="false" ht="12.75" hidden="false" customHeight="false" outlineLevel="0" collapsed="false"/>
    <row r="787" customFormat="false" ht="12.75" hidden="false" customHeight="false" outlineLevel="0" collapsed="false"/>
    <row r="788" customFormat="false" ht="12.75" hidden="false" customHeight="false" outlineLevel="0" collapsed="false"/>
    <row r="789" customFormat="false" ht="12.75" hidden="false" customHeight="false" outlineLevel="0" collapsed="false"/>
    <row r="790" customFormat="false" ht="12.75" hidden="false" customHeight="false" outlineLevel="0" collapsed="false"/>
    <row r="791" customFormat="false" ht="12.75" hidden="false" customHeight="false" outlineLevel="0" collapsed="false"/>
    <row r="792" customFormat="false" ht="12.75" hidden="false" customHeight="false" outlineLevel="0" collapsed="false"/>
    <row r="793" customFormat="false" ht="12.75" hidden="false" customHeight="false" outlineLevel="0" collapsed="false"/>
    <row r="794" customFormat="false" ht="12.75" hidden="false" customHeight="false" outlineLevel="0" collapsed="false"/>
    <row r="795" customFormat="false" ht="12.75" hidden="false" customHeight="false" outlineLevel="0" collapsed="false"/>
    <row r="796" customFormat="false" ht="12.75" hidden="false" customHeight="false" outlineLevel="0" collapsed="false"/>
    <row r="797" customFormat="false" ht="12.75" hidden="false" customHeight="false" outlineLevel="0" collapsed="false"/>
    <row r="798" customFormat="false" ht="12.75" hidden="false" customHeight="false" outlineLevel="0" collapsed="false"/>
    <row r="799" customFormat="false" ht="12.75" hidden="false" customHeight="false" outlineLevel="0" collapsed="false"/>
    <row r="800" customFormat="false" ht="12.75" hidden="false" customHeight="false" outlineLevel="0" collapsed="false"/>
    <row r="801" customFormat="false" ht="12.75" hidden="false" customHeight="false" outlineLevel="0" collapsed="false"/>
    <row r="802" customFormat="false" ht="12.75" hidden="false" customHeight="false" outlineLevel="0" collapsed="false"/>
    <row r="803" customFormat="false" ht="12.75" hidden="false" customHeight="false" outlineLevel="0" collapsed="false"/>
    <row r="804" customFormat="false" ht="12.75" hidden="false" customHeight="false" outlineLevel="0" collapsed="false"/>
    <row r="805" customFormat="false" ht="12.75" hidden="false" customHeight="false" outlineLevel="0" collapsed="false"/>
    <row r="806" customFormat="false" ht="12.75" hidden="false" customHeight="false" outlineLevel="0" collapsed="false"/>
    <row r="807" customFormat="false" ht="12.75" hidden="false" customHeight="false" outlineLevel="0" collapsed="false"/>
    <row r="808" customFormat="false" ht="12.75" hidden="false" customHeight="false" outlineLevel="0" collapsed="false"/>
    <row r="809" customFormat="false" ht="12.75" hidden="false" customHeight="false" outlineLevel="0" collapsed="false"/>
    <row r="810" customFormat="false" ht="12.75" hidden="false" customHeight="false" outlineLevel="0" collapsed="false"/>
    <row r="811" customFormat="false" ht="12.75" hidden="false" customHeight="false" outlineLevel="0" collapsed="false"/>
    <row r="812" customFormat="false" ht="12.75" hidden="false" customHeight="false" outlineLevel="0" collapsed="false"/>
    <row r="813" customFormat="false" ht="12.75" hidden="false" customHeight="false" outlineLevel="0" collapsed="false"/>
    <row r="814" customFormat="false" ht="12.75" hidden="false" customHeight="false" outlineLevel="0" collapsed="false"/>
    <row r="815" customFormat="false" ht="12.75" hidden="false" customHeight="false" outlineLevel="0" collapsed="false"/>
    <row r="816" customFormat="false" ht="12.75" hidden="false" customHeight="false" outlineLevel="0" collapsed="false"/>
    <row r="817" customFormat="false" ht="12.75" hidden="false" customHeight="false" outlineLevel="0" collapsed="false"/>
    <row r="818" customFormat="false" ht="12.75" hidden="false" customHeight="false" outlineLevel="0" collapsed="false"/>
    <row r="819" customFormat="false" ht="12.75" hidden="false" customHeight="false" outlineLevel="0" collapsed="false"/>
    <row r="820" customFormat="false" ht="12.75" hidden="false" customHeight="false" outlineLevel="0" collapsed="false"/>
    <row r="821" customFormat="false" ht="12.75" hidden="false" customHeight="false" outlineLevel="0" collapsed="false"/>
    <row r="822" customFormat="false" ht="12.75" hidden="false" customHeight="false" outlineLevel="0" collapsed="false"/>
    <row r="823" customFormat="false" ht="12.75" hidden="false" customHeight="false" outlineLevel="0" collapsed="false"/>
    <row r="824" customFormat="false" ht="12.75" hidden="false" customHeight="false" outlineLevel="0" collapsed="false"/>
    <row r="825" customFormat="false" ht="12.75" hidden="false" customHeight="false" outlineLevel="0" collapsed="false"/>
    <row r="826" customFormat="false" ht="12.75" hidden="false" customHeight="false" outlineLevel="0" collapsed="false"/>
    <row r="827" customFormat="false" ht="12.75" hidden="false" customHeight="false" outlineLevel="0" collapsed="false"/>
    <row r="828" customFormat="false" ht="12.75" hidden="false" customHeight="false" outlineLevel="0" collapsed="false"/>
    <row r="829" customFormat="false" ht="12.75" hidden="false" customHeight="false" outlineLevel="0" collapsed="false"/>
    <row r="830" customFormat="false" ht="12.75" hidden="false" customHeight="false" outlineLevel="0" collapsed="false"/>
    <row r="831" customFormat="false" ht="12.75" hidden="false" customHeight="false" outlineLevel="0" collapsed="false"/>
    <row r="832" customFormat="false" ht="12.75" hidden="false" customHeight="false" outlineLevel="0" collapsed="false"/>
    <row r="833" customFormat="false" ht="12.75" hidden="false" customHeight="false" outlineLevel="0" collapsed="false"/>
    <row r="834" customFormat="false" ht="12.75" hidden="false" customHeight="false" outlineLevel="0" collapsed="false"/>
    <row r="835" customFormat="false" ht="12.75" hidden="false" customHeight="false" outlineLevel="0" collapsed="false"/>
    <row r="836" customFormat="false" ht="12.75" hidden="false" customHeight="false" outlineLevel="0" collapsed="false"/>
    <row r="837" customFormat="false" ht="12.75" hidden="false" customHeight="false" outlineLevel="0" collapsed="false"/>
    <row r="838" customFormat="false" ht="12.75" hidden="false" customHeight="false" outlineLevel="0" collapsed="false"/>
    <row r="839" customFormat="false" ht="12.75" hidden="false" customHeight="false" outlineLevel="0" collapsed="false"/>
    <row r="840" customFormat="false" ht="12.75" hidden="false" customHeight="false" outlineLevel="0" collapsed="false"/>
    <row r="841" customFormat="false" ht="12.75" hidden="false" customHeight="false" outlineLevel="0" collapsed="false"/>
    <row r="842" customFormat="false" ht="12.75" hidden="false" customHeight="false" outlineLevel="0" collapsed="false"/>
    <row r="843" customFormat="false" ht="12.75" hidden="false" customHeight="false" outlineLevel="0" collapsed="false"/>
    <row r="844" customFormat="false" ht="12.75" hidden="false" customHeight="false" outlineLevel="0" collapsed="false"/>
    <row r="845" customFormat="false" ht="12.75" hidden="false" customHeight="false" outlineLevel="0" collapsed="false"/>
    <row r="846" customFormat="false" ht="12.75" hidden="false" customHeight="false" outlineLevel="0" collapsed="false"/>
    <row r="847" customFormat="false" ht="12.75" hidden="false" customHeight="false" outlineLevel="0" collapsed="false"/>
    <row r="848" customFormat="false" ht="12.75" hidden="false" customHeight="false" outlineLevel="0" collapsed="false"/>
    <row r="849" customFormat="false" ht="12.75" hidden="false" customHeight="false" outlineLevel="0" collapsed="false"/>
    <row r="850" customFormat="false" ht="12.75" hidden="false" customHeight="false" outlineLevel="0" collapsed="false"/>
    <row r="851" customFormat="false" ht="12.75" hidden="false" customHeight="false" outlineLevel="0" collapsed="false"/>
    <row r="852" customFormat="false" ht="12.75" hidden="false" customHeight="false" outlineLevel="0" collapsed="false"/>
    <row r="853" customFormat="false" ht="12.75" hidden="false" customHeight="false" outlineLevel="0" collapsed="false"/>
    <row r="854" customFormat="false" ht="12.75" hidden="false" customHeight="false" outlineLevel="0" collapsed="false"/>
    <row r="855" customFormat="false" ht="12.75" hidden="false" customHeight="false" outlineLevel="0" collapsed="false"/>
    <row r="856" customFormat="false" ht="12.75" hidden="false" customHeight="false" outlineLevel="0" collapsed="false"/>
    <row r="857" customFormat="false" ht="12.75" hidden="false" customHeight="false" outlineLevel="0" collapsed="false"/>
    <row r="858" customFormat="false" ht="12.75" hidden="false" customHeight="false" outlineLevel="0" collapsed="false"/>
    <row r="859" customFormat="false" ht="12.75" hidden="false" customHeight="false" outlineLevel="0" collapsed="false"/>
    <row r="860" customFormat="false" ht="12.75" hidden="false" customHeight="false" outlineLevel="0" collapsed="false"/>
    <row r="861" customFormat="false" ht="12.75" hidden="false" customHeight="false" outlineLevel="0" collapsed="false"/>
    <row r="862" customFormat="false" ht="12.75" hidden="false" customHeight="false" outlineLevel="0" collapsed="false"/>
    <row r="863" customFormat="false" ht="12.75" hidden="false" customHeight="false" outlineLevel="0" collapsed="false"/>
    <row r="864" customFormat="false" ht="12.75" hidden="false" customHeight="false" outlineLevel="0" collapsed="false"/>
    <row r="865" customFormat="false" ht="12.75" hidden="false" customHeight="false" outlineLevel="0" collapsed="false"/>
    <row r="866" customFormat="false" ht="12.75" hidden="false" customHeight="false" outlineLevel="0" collapsed="false"/>
    <row r="867" customFormat="false" ht="12.75" hidden="false" customHeight="false" outlineLevel="0" collapsed="false"/>
    <row r="868" customFormat="false" ht="12.75" hidden="false" customHeight="false" outlineLevel="0" collapsed="false"/>
    <row r="869" customFormat="false" ht="12.75" hidden="false" customHeight="false" outlineLevel="0" collapsed="false"/>
    <row r="870" customFormat="false" ht="12.75" hidden="false" customHeight="false" outlineLevel="0" collapsed="false"/>
    <row r="871" customFormat="false" ht="12.75" hidden="false" customHeight="false" outlineLevel="0" collapsed="false"/>
    <row r="872" customFormat="false" ht="12.75" hidden="false" customHeight="false" outlineLevel="0" collapsed="false"/>
    <row r="873" customFormat="false" ht="12.75" hidden="false" customHeight="false" outlineLevel="0" collapsed="false"/>
    <row r="874" customFormat="false" ht="12.75" hidden="false" customHeight="false" outlineLevel="0" collapsed="false"/>
    <row r="875" customFormat="false" ht="12.75" hidden="false" customHeight="false" outlineLevel="0" collapsed="false"/>
    <row r="876" customFormat="false" ht="12.75" hidden="false" customHeight="false" outlineLevel="0" collapsed="false"/>
    <row r="877" customFormat="false" ht="12.75" hidden="false" customHeight="false" outlineLevel="0" collapsed="false"/>
    <row r="878" customFormat="false" ht="12.75" hidden="false" customHeight="false" outlineLevel="0" collapsed="false"/>
    <row r="879" customFormat="false" ht="12.75" hidden="false" customHeight="false" outlineLevel="0" collapsed="false"/>
    <row r="880" customFormat="false" ht="12.75" hidden="false" customHeight="false" outlineLevel="0" collapsed="false"/>
    <row r="881" customFormat="false" ht="12.75" hidden="false" customHeight="false" outlineLevel="0" collapsed="false"/>
    <row r="882" customFormat="false" ht="12.75" hidden="false" customHeight="false" outlineLevel="0" collapsed="false"/>
    <row r="883" customFormat="false" ht="12.75" hidden="false" customHeight="false" outlineLevel="0" collapsed="false"/>
    <row r="884" customFormat="false" ht="12.75" hidden="false" customHeight="false" outlineLevel="0" collapsed="false"/>
    <row r="885" customFormat="false" ht="12.75" hidden="false" customHeight="false" outlineLevel="0" collapsed="false"/>
    <row r="886" customFormat="false" ht="12.75" hidden="false" customHeight="false" outlineLevel="0" collapsed="false"/>
    <row r="887" customFormat="false" ht="12.75" hidden="false" customHeight="false" outlineLevel="0" collapsed="false"/>
    <row r="888" customFormat="false" ht="12.75" hidden="false" customHeight="false" outlineLevel="0" collapsed="false"/>
    <row r="889" customFormat="false" ht="12.75" hidden="false" customHeight="false" outlineLevel="0" collapsed="false"/>
    <row r="890" customFormat="false" ht="12.75" hidden="false" customHeight="false" outlineLevel="0" collapsed="false"/>
    <row r="891" customFormat="false" ht="12.75" hidden="false" customHeight="false" outlineLevel="0" collapsed="false"/>
    <row r="892" customFormat="false" ht="12.75" hidden="false" customHeight="false" outlineLevel="0" collapsed="false"/>
    <row r="893" customFormat="false" ht="12.75" hidden="false" customHeight="false" outlineLevel="0" collapsed="false"/>
    <row r="894" customFormat="false" ht="12.75" hidden="false" customHeight="false" outlineLevel="0" collapsed="false"/>
    <row r="895" customFormat="false" ht="12.75" hidden="false" customHeight="false" outlineLevel="0" collapsed="false"/>
    <row r="896" customFormat="false" ht="12.75" hidden="false" customHeight="false" outlineLevel="0" collapsed="false"/>
    <row r="897" customFormat="false" ht="12.75" hidden="false" customHeight="false" outlineLevel="0" collapsed="false"/>
    <row r="898" customFormat="false" ht="12.75" hidden="false" customHeight="false" outlineLevel="0" collapsed="false"/>
    <row r="899" customFormat="false" ht="12.75" hidden="false" customHeight="false" outlineLevel="0" collapsed="false"/>
    <row r="900" customFormat="false" ht="12.75" hidden="false" customHeight="false" outlineLevel="0" collapsed="false"/>
    <row r="901" customFormat="false" ht="12.75" hidden="false" customHeight="false" outlineLevel="0" collapsed="false"/>
    <row r="902" customFormat="false" ht="12.75" hidden="false" customHeight="false" outlineLevel="0" collapsed="false"/>
    <row r="903" customFormat="false" ht="12.75" hidden="false" customHeight="false" outlineLevel="0" collapsed="false"/>
    <row r="904" customFormat="false" ht="12.75" hidden="false" customHeight="false" outlineLevel="0" collapsed="false"/>
    <row r="905" customFormat="false" ht="12.75" hidden="false" customHeight="false" outlineLevel="0" collapsed="false"/>
    <row r="906" customFormat="false" ht="12.75" hidden="false" customHeight="false" outlineLevel="0" collapsed="false"/>
    <row r="907" customFormat="false" ht="12.75" hidden="false" customHeight="false" outlineLevel="0" collapsed="false"/>
    <row r="908" customFormat="false" ht="12.75" hidden="false" customHeight="false" outlineLevel="0" collapsed="false"/>
    <row r="909" customFormat="false" ht="12.75" hidden="false" customHeight="false" outlineLevel="0" collapsed="false"/>
    <row r="910" customFormat="false" ht="12.75" hidden="false" customHeight="false" outlineLevel="0" collapsed="false"/>
    <row r="911" customFormat="false" ht="12.75" hidden="false" customHeight="false" outlineLevel="0" collapsed="false"/>
    <row r="912" customFormat="false" ht="12.75" hidden="false" customHeight="false" outlineLevel="0" collapsed="false"/>
    <row r="913" customFormat="false" ht="12.75" hidden="false" customHeight="false" outlineLevel="0" collapsed="false"/>
    <row r="914" customFormat="false" ht="12.75" hidden="false" customHeight="false" outlineLevel="0" collapsed="false"/>
    <row r="915" customFormat="false" ht="12.75" hidden="false" customHeight="false" outlineLevel="0" collapsed="false"/>
    <row r="916" customFormat="false" ht="12.75" hidden="false" customHeight="false" outlineLevel="0" collapsed="false"/>
    <row r="917" customFormat="false" ht="12.75" hidden="false" customHeight="false" outlineLevel="0" collapsed="false"/>
    <row r="918" customFormat="false" ht="12.75" hidden="false" customHeight="false" outlineLevel="0" collapsed="false"/>
    <row r="919" customFormat="false" ht="12.75" hidden="false" customHeight="false" outlineLevel="0" collapsed="false"/>
    <row r="920" customFormat="false" ht="12.75" hidden="false" customHeight="false" outlineLevel="0" collapsed="false"/>
    <row r="921" customFormat="false" ht="12.75" hidden="false" customHeight="false" outlineLevel="0" collapsed="false"/>
    <row r="922" customFormat="false" ht="12.75" hidden="false" customHeight="false" outlineLevel="0" collapsed="false"/>
    <row r="923" customFormat="false" ht="12.75" hidden="false" customHeight="false" outlineLevel="0" collapsed="false"/>
    <row r="924" customFormat="false" ht="12.75" hidden="false" customHeight="false" outlineLevel="0" collapsed="false"/>
    <row r="925" customFormat="false" ht="12.75" hidden="false" customHeight="false" outlineLevel="0" collapsed="false"/>
    <row r="926" customFormat="false" ht="12.75" hidden="false" customHeight="false" outlineLevel="0" collapsed="false"/>
    <row r="927" customFormat="false" ht="12.75" hidden="false" customHeight="false" outlineLevel="0" collapsed="false"/>
    <row r="928" customFormat="false" ht="12.75" hidden="false" customHeight="false" outlineLevel="0" collapsed="false"/>
    <row r="929" customFormat="false" ht="12.75" hidden="false" customHeight="false" outlineLevel="0" collapsed="false"/>
    <row r="930" customFormat="false" ht="12.75" hidden="false" customHeight="false" outlineLevel="0" collapsed="false"/>
    <row r="931" customFormat="false" ht="12.75" hidden="false" customHeight="false" outlineLevel="0" collapsed="false"/>
    <row r="932" customFormat="false" ht="12.75" hidden="false" customHeight="false" outlineLevel="0" collapsed="false"/>
    <row r="933" customFormat="false" ht="12.75" hidden="false" customHeight="false" outlineLevel="0" collapsed="false"/>
    <row r="934" customFormat="false" ht="12.75" hidden="false" customHeight="false" outlineLevel="0" collapsed="false"/>
    <row r="935" customFormat="false" ht="12.75" hidden="false" customHeight="false" outlineLevel="0" collapsed="false"/>
    <row r="936" customFormat="false" ht="12.75" hidden="false" customHeight="false" outlineLevel="0" collapsed="false"/>
    <row r="937" customFormat="false" ht="12.75" hidden="false" customHeight="false" outlineLevel="0" collapsed="false"/>
    <row r="938" customFormat="false" ht="12.75" hidden="false" customHeight="false" outlineLevel="0" collapsed="false"/>
    <row r="939" customFormat="false" ht="12.75" hidden="false" customHeight="false" outlineLevel="0" collapsed="false"/>
    <row r="940" customFormat="false" ht="12.75" hidden="false" customHeight="false" outlineLevel="0" collapsed="false"/>
    <row r="941" customFormat="false" ht="12.75" hidden="false" customHeight="false" outlineLevel="0" collapsed="false"/>
    <row r="942" customFormat="false" ht="12.75" hidden="false" customHeight="false" outlineLevel="0" collapsed="false"/>
    <row r="943" customFormat="false" ht="12.75" hidden="false" customHeight="false" outlineLevel="0" collapsed="false"/>
    <row r="944" customFormat="false" ht="12.75" hidden="false" customHeight="false" outlineLevel="0" collapsed="false"/>
    <row r="945" customFormat="false" ht="12.75" hidden="false" customHeight="false" outlineLevel="0" collapsed="false"/>
    <row r="946" customFormat="false" ht="12.75" hidden="false" customHeight="false" outlineLevel="0" collapsed="false"/>
    <row r="947" customFormat="false" ht="12.75" hidden="false" customHeight="false" outlineLevel="0" collapsed="false"/>
    <row r="948" customFormat="false" ht="12.75" hidden="false" customHeight="false" outlineLevel="0" collapsed="false"/>
    <row r="949" customFormat="false" ht="12.75" hidden="false" customHeight="false" outlineLevel="0" collapsed="false"/>
    <row r="950" customFormat="false" ht="12.75" hidden="false" customHeight="false" outlineLevel="0" collapsed="false"/>
    <row r="951" customFormat="false" ht="12.75" hidden="false" customHeight="false" outlineLevel="0" collapsed="false"/>
    <row r="952" customFormat="false" ht="12.75" hidden="false" customHeight="false" outlineLevel="0" collapsed="false"/>
    <row r="953" customFormat="false" ht="12.75" hidden="false" customHeight="false" outlineLevel="0" collapsed="false"/>
    <row r="954" customFormat="false" ht="12.75" hidden="false" customHeight="false" outlineLevel="0" collapsed="false"/>
    <row r="955" customFormat="false" ht="12.75" hidden="false" customHeight="false" outlineLevel="0" collapsed="false"/>
    <row r="956" customFormat="false" ht="12.75" hidden="false" customHeight="false" outlineLevel="0" collapsed="false"/>
    <row r="957" customFormat="false" ht="12.75" hidden="false" customHeight="false" outlineLevel="0" collapsed="false"/>
    <row r="958" customFormat="false" ht="12.75" hidden="false" customHeight="false" outlineLevel="0" collapsed="false"/>
    <row r="959" customFormat="false" ht="12.75" hidden="false" customHeight="false" outlineLevel="0" collapsed="false"/>
    <row r="960" customFormat="false" ht="12.75" hidden="false" customHeight="false" outlineLevel="0" collapsed="false"/>
    <row r="961" customFormat="false" ht="12.75" hidden="false" customHeight="false" outlineLevel="0" collapsed="false"/>
    <row r="962" customFormat="false" ht="12.75" hidden="false" customHeight="false" outlineLevel="0" collapsed="false"/>
    <row r="963" customFormat="false" ht="12.75" hidden="false" customHeight="false" outlineLevel="0" collapsed="false"/>
    <row r="964" customFormat="false" ht="12.75" hidden="false" customHeight="false" outlineLevel="0" collapsed="false"/>
    <row r="965" customFormat="false" ht="12.75" hidden="false" customHeight="false" outlineLevel="0" collapsed="false"/>
    <row r="966" customFormat="false" ht="12.75" hidden="false" customHeight="false" outlineLevel="0" collapsed="false"/>
    <row r="967" customFormat="false" ht="12.75" hidden="false" customHeight="false" outlineLevel="0" collapsed="false"/>
    <row r="968" customFormat="false" ht="12.75" hidden="false" customHeight="false" outlineLevel="0" collapsed="false"/>
    <row r="969" customFormat="false" ht="12.75" hidden="false" customHeight="false" outlineLevel="0" collapsed="false"/>
    <row r="970" customFormat="false" ht="12.75" hidden="false" customHeight="false" outlineLevel="0" collapsed="false"/>
    <row r="971" customFormat="false" ht="12.75" hidden="false" customHeight="false" outlineLevel="0" collapsed="false"/>
    <row r="972" customFormat="false" ht="12.75" hidden="false" customHeight="false" outlineLevel="0" collapsed="false"/>
    <row r="973" customFormat="false" ht="12.75" hidden="false" customHeight="false" outlineLevel="0" collapsed="false"/>
    <row r="974" customFormat="false" ht="12.75" hidden="false" customHeight="false" outlineLevel="0" collapsed="false"/>
    <row r="975" customFormat="false" ht="12.75" hidden="false" customHeight="false" outlineLevel="0" collapsed="false"/>
    <row r="976" customFormat="false" ht="12.75" hidden="false" customHeight="false" outlineLevel="0" collapsed="false"/>
    <row r="977" customFormat="false" ht="12.75" hidden="false" customHeight="false" outlineLevel="0" collapsed="false"/>
    <row r="978" customFormat="false" ht="12.75" hidden="false" customHeight="false" outlineLevel="0" collapsed="false"/>
    <row r="979" customFormat="false" ht="12.75" hidden="false" customHeight="false" outlineLevel="0" collapsed="false"/>
    <row r="980" customFormat="false" ht="12.75" hidden="false" customHeight="false" outlineLevel="0" collapsed="false"/>
    <row r="981" customFormat="false" ht="12.75" hidden="false" customHeight="false" outlineLevel="0" collapsed="false"/>
    <row r="982" customFormat="false" ht="12.75" hidden="false" customHeight="false" outlineLevel="0" collapsed="false"/>
    <row r="983" customFormat="false" ht="12.75" hidden="false" customHeight="false" outlineLevel="0" collapsed="false"/>
    <row r="984" customFormat="false" ht="12.75" hidden="false" customHeight="false" outlineLevel="0" collapsed="false"/>
    <row r="985" customFormat="false" ht="12.75" hidden="false" customHeight="false" outlineLevel="0" collapsed="false"/>
    <row r="986" customFormat="false" ht="12.75" hidden="false" customHeight="false" outlineLevel="0" collapsed="false"/>
    <row r="987" customFormat="false" ht="12.75" hidden="false" customHeight="false" outlineLevel="0" collapsed="false"/>
    <row r="988" customFormat="false" ht="12.75" hidden="false" customHeight="false" outlineLevel="0" collapsed="false"/>
    <row r="989" customFormat="false" ht="12.75" hidden="false" customHeight="false" outlineLevel="0" collapsed="false"/>
    <row r="990" customFormat="false" ht="12.75" hidden="false" customHeight="false" outlineLevel="0" collapsed="false"/>
    <row r="991" customFormat="false" ht="12.75" hidden="false" customHeight="false" outlineLevel="0" collapsed="false"/>
    <row r="992" customFormat="false" ht="12.75" hidden="false" customHeight="false" outlineLevel="0" collapsed="false"/>
    <row r="993" customFormat="false" ht="12.75" hidden="false" customHeight="false" outlineLevel="0" collapsed="false"/>
    <row r="994" customFormat="false" ht="12.75" hidden="false" customHeight="false" outlineLevel="0" collapsed="false"/>
    <row r="995" customFormat="false" ht="12.75" hidden="false" customHeight="false" outlineLevel="0" collapsed="false"/>
    <row r="996" customFormat="false" ht="12.75" hidden="false" customHeight="false" outlineLevel="0" collapsed="false"/>
    <row r="997" customFormat="false" ht="12.75" hidden="false" customHeight="false" outlineLevel="0" collapsed="false"/>
    <row r="998" customFormat="false" ht="12.75" hidden="false" customHeight="false" outlineLevel="0" collapsed="false"/>
    <row r="999" customFormat="false" ht="12.75" hidden="false" customHeight="false" outlineLevel="0" collapsed="false"/>
    <row r="1000" customFormat="false" ht="12.75" hidden="false" customHeight="false" outlineLevel="0" collapsed="false"/>
    <row r="1001" customFormat="false" ht="12.75" hidden="false" customHeight="false" outlineLevel="0" collapsed="false"/>
  </sheetData>
  <mergeCells count="2">
    <mergeCell ref="H1:I1"/>
    <mergeCell ref="K5:M6"/>
  </mergeCells>
  <conditionalFormatting sqref="H6:H1001">
    <cfRule type="cellIs" priority="2" operator="between" aboveAverage="0" equalAverage="0" bottom="0" percent="0" rank="0" text="" dxfId="0">
      <formula>0</formula>
      <formula>0.5</formula>
    </cfRule>
  </conditionalFormatting>
  <conditionalFormatting sqref="H6:H1001">
    <cfRule type="cellIs" priority="3" operator="between" aboveAverage="0" equalAverage="0" bottom="0" percent="0" rank="0" text="" dxfId="1">
      <formula>0.51</formula>
      <formula>0.99</formula>
    </cfRule>
  </conditionalFormatting>
  <conditionalFormatting sqref="H6:H1001">
    <cfRule type="cellIs" priority="4" operator="greaterThanOrEqual" aboveAverage="0" equalAverage="0" bottom="0" percent="0" rank="0" text="" dxfId="2">
      <formula>1</formula>
    </cfRule>
  </conditionalFormatting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152"/>
  <sheetViews>
    <sheetView showFormulas="false" showGridLines="false" showRowColHeaders="true" showZeros="true" rightToLeft="false" tabSelected="false" showOutlineSymbols="true" defaultGridColor="true" view="normal" topLeftCell="A60" colorId="64" zoomScale="100" zoomScaleNormal="100" zoomScalePageLayoutView="100" workbookViewId="0">
      <selection pane="topLeft" activeCell="C70" activeCellId="0" sqref="C70"/>
    </sheetView>
  </sheetViews>
  <sheetFormatPr defaultRowHeight="15.75" zeroHeight="false" outlineLevelRow="0" outlineLevelCol="0"/>
  <cols>
    <col collapsed="false" customWidth="true" hidden="false" outlineLevel="0" max="2" min="1" style="0" width="14.43"/>
    <col collapsed="false" customWidth="true" hidden="false" outlineLevel="0" max="3" min="3" style="0" width="22.43"/>
    <col collapsed="false" customWidth="true" hidden="false" outlineLevel="0" max="1025" min="4" style="0" width="14.43"/>
  </cols>
  <sheetData>
    <row r="1" s="26" customFormat="true" ht="48" hidden="false" customHeight="true" outlineLevel="0" collapsed="false">
      <c r="A1" s="23"/>
      <c r="B1" s="23"/>
      <c r="C1" s="23"/>
      <c r="D1" s="23"/>
      <c r="E1" s="24" t="s">
        <v>20</v>
      </c>
      <c r="F1" s="24" t="n">
        <f aca="false">'Cadastro Institucional'!D$6</f>
        <v>0</v>
      </c>
      <c r="G1" s="25" t="n">
        <f aca="false">'Cadastro Institucional'!D$7</f>
        <v>0</v>
      </c>
      <c r="H1" s="41"/>
      <c r="I1" s="41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customFormat="false" ht="12.75" hidden="false" customHeight="false" outlineLevel="0" collapsed="false">
      <c r="A2" s="27" t="s">
        <v>14</v>
      </c>
      <c r="B2" s="27" t="s">
        <v>13</v>
      </c>
      <c r="C2" s="27" t="s">
        <v>15</v>
      </c>
      <c r="D2" s="27" t="s">
        <v>16</v>
      </c>
      <c r="E2" s="27" t="s">
        <v>17</v>
      </c>
      <c r="F2" s="27" t="s">
        <v>18</v>
      </c>
      <c r="G2" s="27" t="s">
        <v>19</v>
      </c>
      <c r="H2" s="69" t="s">
        <v>35</v>
      </c>
      <c r="I2" s="69" t="s">
        <v>36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customFormat="false" ht="12.75" hidden="false" customHeight="false" outlineLevel="0" collapsed="false">
      <c r="A3" s="30" t="n">
        <f aca="false">'Cadastro Institucional'!D$10</f>
        <v>0</v>
      </c>
      <c r="B3" s="31" t="n">
        <f aca="false">'Cadastro Institucional'!D$9</f>
        <v>0</v>
      </c>
      <c r="C3" s="31" t="n">
        <f aca="false">'Cadastro Institucional'!D$11</f>
        <v>0</v>
      </c>
      <c r="D3" s="32" t="n">
        <f aca="false">'Cadastro Institucional'!D$12</f>
        <v>0</v>
      </c>
      <c r="E3" s="31" t="n">
        <f aca="false">'Cadastro Institucional'!D$13</f>
        <v>0</v>
      </c>
      <c r="F3" s="31" t="n">
        <f aca="false">'Cadastro Institucional'!D$14</f>
        <v>0</v>
      </c>
      <c r="G3" s="33" t="n">
        <f aca="false">'Cadastro Institucional'!D$15</f>
        <v>0</v>
      </c>
      <c r="H3" s="70"/>
      <c r="I3" s="70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customFormat="false" ht="12.75" hidden="false" customHeight="false" outlineLevel="0" collapsed="false">
      <c r="A4" s="29"/>
      <c r="B4" s="29"/>
      <c r="C4" s="29"/>
      <c r="D4" s="29"/>
      <c r="E4" s="29"/>
      <c r="F4" s="29"/>
      <c r="G4" s="29"/>
      <c r="H4" s="29"/>
      <c r="I4" s="29"/>
      <c r="J4" s="29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 customFormat="false" ht="25.5" hidden="false" customHeight="true" outlineLevel="0" collapsed="false">
      <c r="A5" s="56" t="s">
        <v>21</v>
      </c>
      <c r="B5" s="56" t="s">
        <v>23</v>
      </c>
      <c r="C5" s="56" t="s">
        <v>22</v>
      </c>
      <c r="D5" s="56" t="s">
        <v>28</v>
      </c>
      <c r="E5" s="56" t="s">
        <v>29</v>
      </c>
      <c r="F5" s="56" t="s">
        <v>30</v>
      </c>
      <c r="G5" s="56" t="s">
        <v>31</v>
      </c>
      <c r="H5" s="56" t="s">
        <v>32</v>
      </c>
      <c r="I5" s="56" t="s">
        <v>33</v>
      </c>
      <c r="J5" s="58"/>
      <c r="K5" s="20" t="s">
        <v>8</v>
      </c>
      <c r="L5" s="20"/>
      <c r="M5" s="20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</row>
    <row r="6" customFormat="false" ht="12.75" hidden="false" customHeight="true" outlineLevel="0" collapsed="false">
      <c r="A6" s="37" t="n">
        <f aca="false">'Itens de Contrato'!A6</f>
        <v>0</v>
      </c>
      <c r="B6" s="37" t="n">
        <f aca="false">'Itens de Contrato'!B6</f>
        <v>0</v>
      </c>
      <c r="C6" s="37" t="e">
        <f aca="false">VLOOKUP(B6,'Itens de Contrato'!B$5:G$151,2,0)</f>
        <v>#N/A</v>
      </c>
      <c r="D6" s="52"/>
      <c r="E6" s="63" t="n">
        <f aca="false">D6*'Itens de Contrato'!F6</f>
        <v>0</v>
      </c>
      <c r="F6" s="62" t="n">
        <f aca="false">'Medição 04'!F6-'Medição 04'!G6</f>
        <v>0</v>
      </c>
      <c r="G6" s="52"/>
      <c r="H6" s="64" t="e">
        <f aca="false">G6/D6</f>
        <v>#DIV/0!</v>
      </c>
      <c r="I6" s="63" t="n">
        <f aca="false">G6*'Itens de Contrato'!F6</f>
        <v>0</v>
      </c>
      <c r="J6" s="37"/>
      <c r="K6" s="20"/>
      <c r="L6" s="20"/>
      <c r="M6" s="20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customFormat="false" ht="12.8" hidden="false" customHeight="false" outlineLevel="0" collapsed="false">
      <c r="A7" s="37" t="n">
        <f aca="false">'Itens de Contrato'!A7</f>
        <v>0</v>
      </c>
      <c r="B7" s="37" t="n">
        <f aca="false">'Itens de Contrato'!B7</f>
        <v>0</v>
      </c>
      <c r="C7" s="37" t="e">
        <f aca="false">VLOOKUP(B7,'Itens de Contrato'!B$5:G$151,2,0)</f>
        <v>#N/A</v>
      </c>
      <c r="D7" s="52"/>
      <c r="E7" s="63" t="n">
        <f aca="false">D7*'Itens de Contrato'!F7</f>
        <v>0</v>
      </c>
      <c r="F7" s="62" t="n">
        <f aca="false">'Medição 04'!F7-'Medição 04'!G7</f>
        <v>0</v>
      </c>
      <c r="G7" s="52"/>
      <c r="H7" s="64" t="e">
        <f aca="false">G7/D7</f>
        <v>#DIV/0!</v>
      </c>
      <c r="I7" s="63" t="n">
        <f aca="false">G7*'Itens de Contrato'!F7</f>
        <v>0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customFormat="false" ht="12.8" hidden="false" customHeight="false" outlineLevel="0" collapsed="false">
      <c r="A8" s="37" t="n">
        <f aca="false">'Itens de Contrato'!A8</f>
        <v>0</v>
      </c>
      <c r="B8" s="37" t="n">
        <f aca="false">'Itens de Contrato'!B8</f>
        <v>0</v>
      </c>
      <c r="C8" s="37" t="e">
        <f aca="false">VLOOKUP(B8,'Itens de Contrato'!B$5:G$151,2,0)</f>
        <v>#N/A</v>
      </c>
      <c r="D8" s="52"/>
      <c r="E8" s="63" t="n">
        <f aca="false">D8*'Itens de Contrato'!F8</f>
        <v>0</v>
      </c>
      <c r="F8" s="62" t="n">
        <f aca="false">'Medição 04'!F8-'Medição 04'!G8</f>
        <v>0</v>
      </c>
      <c r="G8" s="52"/>
      <c r="H8" s="64" t="e">
        <f aca="false">G8/D8</f>
        <v>#DIV/0!</v>
      </c>
      <c r="I8" s="63" t="n">
        <f aca="false">G8*'Itens de Contrato'!F8</f>
        <v>0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customFormat="false" ht="12.8" hidden="false" customHeight="false" outlineLevel="0" collapsed="false">
      <c r="A9" s="37" t="n">
        <f aca="false">'Itens de Contrato'!A9</f>
        <v>0</v>
      </c>
      <c r="B9" s="37" t="n">
        <f aca="false">'Itens de Contrato'!B9</f>
        <v>0</v>
      </c>
      <c r="C9" s="37" t="e">
        <f aca="false">VLOOKUP(B9,'Itens de Contrato'!B$5:G$151,2,0)</f>
        <v>#N/A</v>
      </c>
      <c r="D9" s="52"/>
      <c r="E9" s="63" t="n">
        <f aca="false">D9*'Itens de Contrato'!F9</f>
        <v>0</v>
      </c>
      <c r="F9" s="62" t="n">
        <f aca="false">'Medição 04'!F9-'Medição 04'!G9</f>
        <v>0</v>
      </c>
      <c r="G9" s="52"/>
      <c r="H9" s="64" t="e">
        <f aca="false">G9/D9</f>
        <v>#DIV/0!</v>
      </c>
      <c r="I9" s="63" t="n">
        <f aca="false">G9*'Itens de Contrato'!F9</f>
        <v>0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 customFormat="false" ht="12.8" hidden="false" customHeight="false" outlineLevel="0" collapsed="false">
      <c r="A10" s="37" t="n">
        <f aca="false">'Itens de Contrato'!A10</f>
        <v>0</v>
      </c>
      <c r="B10" s="37" t="n">
        <f aca="false">'Itens de Contrato'!B10</f>
        <v>0</v>
      </c>
      <c r="C10" s="37" t="e">
        <f aca="false">VLOOKUP(B10,'Itens de Contrato'!B$5:G$151,2,0)</f>
        <v>#N/A</v>
      </c>
      <c r="D10" s="52"/>
      <c r="E10" s="63" t="n">
        <f aca="false">D10*'Itens de Contrato'!F10</f>
        <v>0</v>
      </c>
      <c r="F10" s="62" t="n">
        <f aca="false">'Medição 04'!F10-'Medição 04'!G10</f>
        <v>0</v>
      </c>
      <c r="G10" s="52"/>
      <c r="H10" s="64" t="e">
        <f aca="false">G10/D10</f>
        <v>#DIV/0!</v>
      </c>
      <c r="I10" s="63" t="n">
        <f aca="false">G10*'Itens de Contrato'!F10</f>
        <v>0</v>
      </c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 customFormat="false" ht="12.8" hidden="false" customHeight="false" outlineLevel="0" collapsed="false">
      <c r="A11" s="37" t="n">
        <f aca="false">'Itens de Contrato'!A11</f>
        <v>0</v>
      </c>
      <c r="B11" s="37" t="n">
        <f aca="false">'Itens de Contrato'!B11</f>
        <v>0</v>
      </c>
      <c r="C11" s="37" t="e">
        <f aca="false">VLOOKUP(B11,'Itens de Contrato'!B$5:G$151,2,0)</f>
        <v>#N/A</v>
      </c>
      <c r="D11" s="52"/>
      <c r="E11" s="63" t="n">
        <f aca="false">D11*'Itens de Contrato'!F11</f>
        <v>0</v>
      </c>
      <c r="F11" s="62" t="n">
        <f aca="false">'Medição 04'!F11-'Medição 04'!G11</f>
        <v>0</v>
      </c>
      <c r="G11" s="52"/>
      <c r="H11" s="64" t="e">
        <f aca="false">G11/D11</f>
        <v>#DIV/0!</v>
      </c>
      <c r="I11" s="63" t="n">
        <f aca="false">G11*'Itens de Contrato'!F11</f>
        <v>0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 customFormat="false" ht="12.8" hidden="false" customHeight="false" outlineLevel="0" collapsed="false">
      <c r="A12" s="37" t="n">
        <f aca="false">'Itens de Contrato'!A12</f>
        <v>0</v>
      </c>
      <c r="B12" s="37" t="n">
        <f aca="false">'Itens de Contrato'!B12</f>
        <v>0</v>
      </c>
      <c r="C12" s="37" t="e">
        <f aca="false">VLOOKUP(B12,'Itens de Contrato'!B$5:G$151,2,0)</f>
        <v>#N/A</v>
      </c>
      <c r="D12" s="52"/>
      <c r="E12" s="63" t="n">
        <f aca="false">D12*'Itens de Contrato'!F12</f>
        <v>0</v>
      </c>
      <c r="F12" s="62" t="n">
        <f aca="false">'Medição 04'!F12-'Medição 04'!G12</f>
        <v>0</v>
      </c>
      <c r="G12" s="52"/>
      <c r="H12" s="64" t="e">
        <f aca="false">G12/D12</f>
        <v>#DIV/0!</v>
      </c>
      <c r="I12" s="63" t="n">
        <f aca="false">G12*'Itens de Contrato'!F12</f>
        <v>0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 customFormat="false" ht="12.8" hidden="false" customHeight="false" outlineLevel="0" collapsed="false">
      <c r="A13" s="37" t="n">
        <f aca="false">'Itens de Contrato'!A13</f>
        <v>0</v>
      </c>
      <c r="B13" s="37" t="n">
        <f aca="false">'Itens de Contrato'!B13</f>
        <v>0</v>
      </c>
      <c r="C13" s="37" t="e">
        <f aca="false">VLOOKUP(B13,'Itens de Contrato'!B$5:G$151,2,0)</f>
        <v>#N/A</v>
      </c>
      <c r="D13" s="52"/>
      <c r="E13" s="63" t="n">
        <f aca="false">D13*'Itens de Contrato'!F13</f>
        <v>0</v>
      </c>
      <c r="F13" s="62" t="n">
        <f aca="false">'Medição 04'!F13-'Medição 04'!G13</f>
        <v>0</v>
      </c>
      <c r="G13" s="52"/>
      <c r="H13" s="64" t="e">
        <f aca="false">G13/D13</f>
        <v>#DIV/0!</v>
      </c>
      <c r="I13" s="63" t="n">
        <f aca="false">G13*'Itens de Contrato'!F13</f>
        <v>0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customFormat="false" ht="12.8" hidden="false" customHeight="false" outlineLevel="0" collapsed="false">
      <c r="A14" s="37" t="n">
        <f aca="false">'Itens de Contrato'!A14</f>
        <v>0</v>
      </c>
      <c r="B14" s="37" t="n">
        <f aca="false">'Itens de Contrato'!B14</f>
        <v>0</v>
      </c>
      <c r="C14" s="37" t="e">
        <f aca="false">VLOOKUP(B14,'Itens de Contrato'!B$5:G$151,2,0)</f>
        <v>#N/A</v>
      </c>
      <c r="D14" s="52"/>
      <c r="E14" s="63" t="n">
        <f aca="false">D14*'Itens de Contrato'!F14</f>
        <v>0</v>
      </c>
      <c r="F14" s="62" t="n">
        <f aca="false">'Medição 04'!F14-'Medição 04'!G14</f>
        <v>0</v>
      </c>
      <c r="G14" s="52"/>
      <c r="H14" s="64" t="e">
        <f aca="false">G14/D14</f>
        <v>#DIV/0!</v>
      </c>
      <c r="I14" s="63" t="n">
        <f aca="false">G14*'Itens de Contrato'!F14</f>
        <v>0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 customFormat="false" ht="12.8" hidden="false" customHeight="false" outlineLevel="0" collapsed="false">
      <c r="A15" s="37" t="n">
        <f aca="false">'Itens de Contrato'!A15</f>
        <v>0</v>
      </c>
      <c r="B15" s="37" t="n">
        <f aca="false">'Itens de Contrato'!B15</f>
        <v>0</v>
      </c>
      <c r="C15" s="37" t="e">
        <f aca="false">VLOOKUP(B15,'Itens de Contrato'!B$5:G$151,2,0)</f>
        <v>#N/A</v>
      </c>
      <c r="D15" s="52"/>
      <c r="E15" s="63" t="n">
        <f aca="false">D15*'Itens de Contrato'!F15</f>
        <v>0</v>
      </c>
      <c r="F15" s="62" t="n">
        <f aca="false">'Medição 04'!F15-'Medição 04'!G15</f>
        <v>0</v>
      </c>
      <c r="G15" s="52"/>
      <c r="H15" s="64" t="e">
        <f aca="false">G15/D15</f>
        <v>#DIV/0!</v>
      </c>
      <c r="I15" s="63" t="n">
        <f aca="false">G15*'Itens de Contrato'!F15</f>
        <v>0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customFormat="false" ht="12.8" hidden="false" customHeight="false" outlineLevel="0" collapsed="false">
      <c r="A16" s="37" t="n">
        <f aca="false">'Itens de Contrato'!A16</f>
        <v>0</v>
      </c>
      <c r="B16" s="37" t="n">
        <f aca="false">'Itens de Contrato'!B16</f>
        <v>0</v>
      </c>
      <c r="C16" s="37" t="e">
        <f aca="false">VLOOKUP(B16,'Itens de Contrato'!B$5:G$151,2,0)</f>
        <v>#N/A</v>
      </c>
      <c r="D16" s="52"/>
      <c r="E16" s="63" t="n">
        <f aca="false">D16*'Itens de Contrato'!F16</f>
        <v>0</v>
      </c>
      <c r="F16" s="62" t="n">
        <f aca="false">'Medição 04'!F16-'Medição 04'!G16</f>
        <v>0</v>
      </c>
      <c r="G16" s="52"/>
      <c r="H16" s="64" t="e">
        <f aca="false">G16/D16</f>
        <v>#DIV/0!</v>
      </c>
      <c r="I16" s="63" t="n">
        <f aca="false">G16*'Itens de Contrato'!F16</f>
        <v>0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7" customFormat="false" ht="12.8" hidden="false" customHeight="false" outlineLevel="0" collapsed="false">
      <c r="A17" s="37" t="n">
        <f aca="false">'Itens de Contrato'!A17</f>
        <v>0</v>
      </c>
      <c r="B17" s="37" t="n">
        <f aca="false">'Itens de Contrato'!B17</f>
        <v>0</v>
      </c>
      <c r="C17" s="37" t="e">
        <f aca="false">VLOOKUP(B17,'Itens de Contrato'!B$5:G$151,2,0)</f>
        <v>#N/A</v>
      </c>
      <c r="D17" s="52"/>
      <c r="E17" s="63" t="n">
        <f aca="false">D17*'Itens de Contrato'!F17</f>
        <v>0</v>
      </c>
      <c r="F17" s="62" t="n">
        <f aca="false">'Medição 04'!F17-'Medição 04'!G17</f>
        <v>0</v>
      </c>
      <c r="G17" s="52"/>
      <c r="H17" s="64" t="e">
        <f aca="false">G17/D17</f>
        <v>#DIV/0!</v>
      </c>
      <c r="I17" s="63" t="n">
        <f aca="false">G17*'Itens de Contrato'!F17</f>
        <v>0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</row>
    <row r="18" customFormat="false" ht="12.8" hidden="false" customHeight="false" outlineLevel="0" collapsed="false">
      <c r="A18" s="37" t="n">
        <f aca="false">'Itens de Contrato'!A18</f>
        <v>0</v>
      </c>
      <c r="B18" s="37" t="n">
        <f aca="false">'Itens de Contrato'!B18</f>
        <v>0</v>
      </c>
      <c r="C18" s="37" t="e">
        <f aca="false">VLOOKUP(B18,'Itens de Contrato'!B$5:G$151,2,0)</f>
        <v>#N/A</v>
      </c>
      <c r="D18" s="52"/>
      <c r="E18" s="63" t="n">
        <f aca="false">D18*'Itens de Contrato'!F18</f>
        <v>0</v>
      </c>
      <c r="F18" s="62" t="n">
        <f aca="false">'Medição 04'!F18-'Medição 04'!G18</f>
        <v>0</v>
      </c>
      <c r="G18" s="52"/>
      <c r="H18" s="64" t="e">
        <f aca="false">G18/D18</f>
        <v>#DIV/0!</v>
      </c>
      <c r="I18" s="63" t="n">
        <f aca="false">G18*'Itens de Contrato'!F18</f>
        <v>0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</row>
    <row r="19" customFormat="false" ht="12.8" hidden="false" customHeight="false" outlineLevel="0" collapsed="false">
      <c r="A19" s="37" t="n">
        <f aca="false">'Itens de Contrato'!A19</f>
        <v>0</v>
      </c>
      <c r="B19" s="37" t="n">
        <f aca="false">'Itens de Contrato'!B19</f>
        <v>0</v>
      </c>
      <c r="C19" s="37" t="e">
        <f aca="false">VLOOKUP(B19,'Itens de Contrato'!B$5:G$151,2,0)</f>
        <v>#N/A</v>
      </c>
      <c r="D19" s="52"/>
      <c r="E19" s="63" t="n">
        <f aca="false">D19*'Itens de Contrato'!F19</f>
        <v>0</v>
      </c>
      <c r="F19" s="62" t="n">
        <f aca="false">'Medição 04'!F19-'Medição 04'!G19</f>
        <v>0</v>
      </c>
      <c r="G19" s="52"/>
      <c r="H19" s="64" t="e">
        <f aca="false">G19/D19</f>
        <v>#DIV/0!</v>
      </c>
      <c r="I19" s="63" t="n">
        <f aca="false">G19*'Itens de Contrato'!F19</f>
        <v>0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</row>
    <row r="20" customFormat="false" ht="12.8" hidden="false" customHeight="false" outlineLevel="0" collapsed="false">
      <c r="A20" s="37" t="n">
        <f aca="false">'Itens de Contrato'!A20</f>
        <v>0</v>
      </c>
      <c r="B20" s="37" t="n">
        <f aca="false">'Itens de Contrato'!B20</f>
        <v>0</v>
      </c>
      <c r="C20" s="37" t="e">
        <f aca="false">VLOOKUP(B20,'Itens de Contrato'!B$5:G$151,2,0)</f>
        <v>#N/A</v>
      </c>
      <c r="D20" s="52"/>
      <c r="E20" s="63" t="n">
        <f aca="false">D20*'Itens de Contrato'!F20</f>
        <v>0</v>
      </c>
      <c r="F20" s="62" t="n">
        <f aca="false">'Medição 04'!F20-'Medição 04'!G20</f>
        <v>0</v>
      </c>
      <c r="G20" s="52"/>
      <c r="H20" s="64" t="e">
        <f aca="false">G20/D20</f>
        <v>#DIV/0!</v>
      </c>
      <c r="I20" s="63" t="n">
        <f aca="false">G20*'Itens de Contrato'!F20</f>
        <v>0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</row>
    <row r="21" customFormat="false" ht="12.8" hidden="false" customHeight="false" outlineLevel="0" collapsed="false">
      <c r="A21" s="37" t="n">
        <f aca="false">'Itens de Contrato'!A21</f>
        <v>0</v>
      </c>
      <c r="B21" s="37" t="n">
        <f aca="false">'Itens de Contrato'!B21</f>
        <v>0</v>
      </c>
      <c r="C21" s="37" t="e">
        <f aca="false">VLOOKUP(B21,'Itens de Contrato'!B$5:G$151,2,0)</f>
        <v>#N/A</v>
      </c>
      <c r="D21" s="52"/>
      <c r="E21" s="63" t="n">
        <f aca="false">D21*'Itens de Contrato'!F21</f>
        <v>0</v>
      </c>
      <c r="F21" s="62" t="n">
        <f aca="false">'Medição 04'!F21-'Medição 04'!G21</f>
        <v>0</v>
      </c>
      <c r="G21" s="52"/>
      <c r="H21" s="64" t="e">
        <f aca="false">G21/D21</f>
        <v>#DIV/0!</v>
      </c>
      <c r="I21" s="63" t="n">
        <f aca="false">G21*'Itens de Contrato'!F21</f>
        <v>0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customFormat="false" ht="12.8" hidden="false" customHeight="false" outlineLevel="0" collapsed="false">
      <c r="A22" s="37" t="n">
        <f aca="false">'Itens de Contrato'!A22</f>
        <v>0</v>
      </c>
      <c r="B22" s="37" t="n">
        <f aca="false">'Itens de Contrato'!B22</f>
        <v>0</v>
      </c>
      <c r="C22" s="37" t="e">
        <f aca="false">VLOOKUP(B22,'Itens de Contrato'!B$5:G$151,2,0)</f>
        <v>#N/A</v>
      </c>
      <c r="D22" s="52"/>
      <c r="E22" s="63" t="n">
        <f aca="false">D22*'Itens de Contrato'!F22</f>
        <v>0</v>
      </c>
      <c r="F22" s="62" t="n">
        <f aca="false">'Medição 04'!F22-'Medição 04'!G22</f>
        <v>0</v>
      </c>
      <c r="G22" s="52"/>
      <c r="H22" s="64" t="e">
        <f aca="false">G22/D22</f>
        <v>#DIV/0!</v>
      </c>
      <c r="I22" s="63" t="n">
        <f aca="false">G22*'Itens de Contrato'!F22</f>
        <v>0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  <row r="23" customFormat="false" ht="12.8" hidden="false" customHeight="false" outlineLevel="0" collapsed="false">
      <c r="A23" s="37" t="n">
        <f aca="false">'Itens de Contrato'!A23</f>
        <v>0</v>
      </c>
      <c r="B23" s="37" t="n">
        <f aca="false">'Itens de Contrato'!B23</f>
        <v>0</v>
      </c>
      <c r="C23" s="37" t="e">
        <f aca="false">VLOOKUP(B23,'Itens de Contrato'!B$5:G$151,2,0)</f>
        <v>#N/A</v>
      </c>
      <c r="D23" s="52"/>
      <c r="E23" s="63" t="n">
        <f aca="false">D23*'Itens de Contrato'!F23</f>
        <v>0</v>
      </c>
      <c r="F23" s="62" t="n">
        <f aca="false">'Medição 04'!F23-'Medição 04'!G23</f>
        <v>0</v>
      </c>
      <c r="G23" s="52"/>
      <c r="H23" s="64" t="e">
        <f aca="false">G23/D23</f>
        <v>#DIV/0!</v>
      </c>
      <c r="I23" s="63" t="n">
        <f aca="false">G23*'Itens de Contrato'!F23</f>
        <v>0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</row>
    <row r="24" customFormat="false" ht="12.8" hidden="false" customHeight="false" outlineLevel="0" collapsed="false">
      <c r="A24" s="37" t="n">
        <f aca="false">'Itens de Contrato'!A24</f>
        <v>0</v>
      </c>
      <c r="B24" s="37" t="n">
        <f aca="false">'Itens de Contrato'!B24</f>
        <v>0</v>
      </c>
      <c r="C24" s="37" t="e">
        <f aca="false">VLOOKUP(B24,'Itens de Contrato'!B$5:G$151,2,0)</f>
        <v>#N/A</v>
      </c>
      <c r="D24" s="52"/>
      <c r="E24" s="63" t="n">
        <f aca="false">D24*'Itens de Contrato'!F24</f>
        <v>0</v>
      </c>
      <c r="F24" s="62" t="n">
        <f aca="false">'Medição 04'!F24-'Medição 04'!G24</f>
        <v>0</v>
      </c>
      <c r="G24" s="52"/>
      <c r="H24" s="64" t="e">
        <f aca="false">G24/D24</f>
        <v>#DIV/0!</v>
      </c>
      <c r="I24" s="63" t="n">
        <f aca="false">G24*'Itens de Contrato'!F24</f>
        <v>0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</row>
    <row r="25" customFormat="false" ht="12.8" hidden="false" customHeight="false" outlineLevel="0" collapsed="false">
      <c r="A25" s="37" t="n">
        <f aca="false">'Itens de Contrato'!A25</f>
        <v>0</v>
      </c>
      <c r="B25" s="37" t="n">
        <f aca="false">'Itens de Contrato'!B25</f>
        <v>0</v>
      </c>
      <c r="C25" s="37" t="e">
        <f aca="false">VLOOKUP(B25,'Itens de Contrato'!B$5:G$151,2,0)</f>
        <v>#N/A</v>
      </c>
      <c r="D25" s="52"/>
      <c r="E25" s="63" t="n">
        <f aca="false">D25*'Itens de Contrato'!F25</f>
        <v>0</v>
      </c>
      <c r="F25" s="62" t="n">
        <f aca="false">'Medição 04'!F25-'Medição 04'!G25</f>
        <v>0</v>
      </c>
      <c r="G25" s="52"/>
      <c r="H25" s="64" t="e">
        <f aca="false">G25/D25</f>
        <v>#DIV/0!</v>
      </c>
      <c r="I25" s="63" t="n">
        <f aca="false">G25*'Itens de Contrato'!F25</f>
        <v>0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</row>
    <row r="26" customFormat="false" ht="12.8" hidden="false" customHeight="false" outlineLevel="0" collapsed="false">
      <c r="A26" s="37" t="n">
        <f aca="false">'Itens de Contrato'!A26</f>
        <v>0</v>
      </c>
      <c r="B26" s="37" t="n">
        <f aca="false">'Itens de Contrato'!B26</f>
        <v>0</v>
      </c>
      <c r="C26" s="37" t="e">
        <f aca="false">VLOOKUP(B26,'Itens de Contrato'!B$5:G$151,2,0)</f>
        <v>#N/A</v>
      </c>
      <c r="D26" s="52"/>
      <c r="E26" s="63" t="n">
        <f aca="false">D26*'Itens de Contrato'!F26</f>
        <v>0</v>
      </c>
      <c r="F26" s="62" t="n">
        <f aca="false">'Medição 04'!F26-'Medição 04'!G26</f>
        <v>0</v>
      </c>
      <c r="G26" s="52"/>
      <c r="H26" s="64" t="e">
        <f aca="false">G26/D26</f>
        <v>#DIV/0!</v>
      </c>
      <c r="I26" s="63" t="n">
        <f aca="false">G26*'Itens de Contrato'!F26</f>
        <v>0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</row>
    <row r="27" customFormat="false" ht="12.8" hidden="false" customHeight="false" outlineLevel="0" collapsed="false">
      <c r="A27" s="37" t="n">
        <f aca="false">'Itens de Contrato'!A27</f>
        <v>0</v>
      </c>
      <c r="B27" s="37" t="n">
        <f aca="false">'Itens de Contrato'!B27</f>
        <v>0</v>
      </c>
      <c r="C27" s="37" t="e">
        <f aca="false">VLOOKUP(B27,'Itens de Contrato'!B$5:G$151,2,0)</f>
        <v>#N/A</v>
      </c>
      <c r="D27" s="52"/>
      <c r="E27" s="63" t="n">
        <f aca="false">D27*'Itens de Contrato'!F27</f>
        <v>0</v>
      </c>
      <c r="F27" s="62" t="n">
        <f aca="false">'Medição 04'!F27-'Medição 04'!G27</f>
        <v>0</v>
      </c>
      <c r="G27" s="52"/>
      <c r="H27" s="64" t="e">
        <f aca="false">G27/D27</f>
        <v>#DIV/0!</v>
      </c>
      <c r="I27" s="63" t="n">
        <f aca="false">G27*'Itens de Contrato'!F27</f>
        <v>0</v>
      </c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</row>
    <row r="28" customFormat="false" ht="12.8" hidden="false" customHeight="false" outlineLevel="0" collapsed="false">
      <c r="A28" s="37" t="n">
        <f aca="false">'Itens de Contrato'!A28</f>
        <v>0</v>
      </c>
      <c r="B28" s="37" t="n">
        <f aca="false">'Itens de Contrato'!B28</f>
        <v>0</v>
      </c>
      <c r="C28" s="37" t="e">
        <f aca="false">VLOOKUP(B28,'Itens de Contrato'!B$5:G$151,2,0)</f>
        <v>#N/A</v>
      </c>
      <c r="D28" s="52"/>
      <c r="E28" s="63" t="n">
        <f aca="false">D28*'Itens de Contrato'!F28</f>
        <v>0</v>
      </c>
      <c r="F28" s="62" t="n">
        <f aca="false">'Medição 04'!F28-'Medição 04'!G28</f>
        <v>0</v>
      </c>
      <c r="G28" s="52"/>
      <c r="H28" s="64" t="e">
        <f aca="false">G28/D28</f>
        <v>#DIV/0!</v>
      </c>
      <c r="I28" s="63" t="n">
        <f aca="false">G28*'Itens de Contrato'!F28</f>
        <v>0</v>
      </c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customFormat="false" ht="12.8" hidden="false" customHeight="false" outlineLevel="0" collapsed="false">
      <c r="A29" s="37" t="n">
        <f aca="false">'Itens de Contrato'!A29</f>
        <v>0</v>
      </c>
      <c r="B29" s="37" t="n">
        <f aca="false">'Itens de Contrato'!B29</f>
        <v>0</v>
      </c>
      <c r="C29" s="37" t="e">
        <f aca="false">VLOOKUP(B29,'Itens de Contrato'!B$5:G$151,2,0)</f>
        <v>#N/A</v>
      </c>
      <c r="D29" s="52"/>
      <c r="E29" s="63" t="n">
        <f aca="false">D29*'Itens de Contrato'!F29</f>
        <v>0</v>
      </c>
      <c r="F29" s="62" t="n">
        <f aca="false">'Medição 04'!F29-'Medição 04'!G29</f>
        <v>0</v>
      </c>
      <c r="G29" s="52"/>
      <c r="H29" s="64" t="e">
        <f aca="false">G29/D29</f>
        <v>#DIV/0!</v>
      </c>
      <c r="I29" s="63" t="n">
        <f aca="false">G29*'Itens de Contrato'!F29</f>
        <v>0</v>
      </c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</row>
    <row r="30" customFormat="false" ht="12.8" hidden="false" customHeight="false" outlineLevel="0" collapsed="false">
      <c r="A30" s="37" t="n">
        <f aca="false">'Itens de Contrato'!A30</f>
        <v>0</v>
      </c>
      <c r="B30" s="37" t="n">
        <f aca="false">'Itens de Contrato'!B30</f>
        <v>0</v>
      </c>
      <c r="C30" s="37" t="e">
        <f aca="false">VLOOKUP(B30,'Itens de Contrato'!B$5:G$151,2,0)</f>
        <v>#N/A</v>
      </c>
      <c r="D30" s="52"/>
      <c r="E30" s="63" t="n">
        <f aca="false">D30*'Itens de Contrato'!F30</f>
        <v>0</v>
      </c>
      <c r="F30" s="62" t="n">
        <f aca="false">'Medição 04'!F30-'Medição 04'!G30</f>
        <v>0</v>
      </c>
      <c r="G30" s="52"/>
      <c r="H30" s="64" t="e">
        <f aca="false">G30/D30</f>
        <v>#DIV/0!</v>
      </c>
      <c r="I30" s="63" t="n">
        <f aca="false">G30*'Itens de Contrato'!F30</f>
        <v>0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</row>
    <row r="31" customFormat="false" ht="12.8" hidden="false" customHeight="false" outlineLevel="0" collapsed="false">
      <c r="A31" s="37" t="n">
        <f aca="false">'Itens de Contrato'!A31</f>
        <v>0</v>
      </c>
      <c r="B31" s="37" t="n">
        <f aca="false">'Itens de Contrato'!B31</f>
        <v>0</v>
      </c>
      <c r="C31" s="37" t="e">
        <f aca="false">VLOOKUP(B31,'Itens de Contrato'!B$5:G$151,2,0)</f>
        <v>#N/A</v>
      </c>
      <c r="D31" s="52"/>
      <c r="E31" s="63" t="n">
        <f aca="false">D31*'Itens de Contrato'!F31</f>
        <v>0</v>
      </c>
      <c r="F31" s="62" t="n">
        <f aca="false">'Medição 04'!F31-'Medição 04'!G31</f>
        <v>0</v>
      </c>
      <c r="G31" s="52"/>
      <c r="H31" s="64" t="e">
        <f aca="false">G31/D31</f>
        <v>#DIV/0!</v>
      </c>
      <c r="I31" s="63" t="n">
        <f aca="false">G31*'Itens de Contrato'!F31</f>
        <v>0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customFormat="false" ht="12.8" hidden="false" customHeight="false" outlineLevel="0" collapsed="false">
      <c r="A32" s="37" t="n">
        <f aca="false">'Itens de Contrato'!A32</f>
        <v>0</v>
      </c>
      <c r="B32" s="37" t="n">
        <f aca="false">'Itens de Contrato'!B32</f>
        <v>0</v>
      </c>
      <c r="C32" s="37" t="e">
        <f aca="false">VLOOKUP(B32,'Itens de Contrato'!B$5:G$151,2,0)</f>
        <v>#N/A</v>
      </c>
      <c r="D32" s="52"/>
      <c r="E32" s="63" t="n">
        <f aca="false">D32*'Itens de Contrato'!F32</f>
        <v>0</v>
      </c>
      <c r="F32" s="62" t="n">
        <f aca="false">'Medição 04'!F32-'Medição 04'!G32</f>
        <v>0</v>
      </c>
      <c r="G32" s="52"/>
      <c r="H32" s="64" t="e">
        <f aca="false">G32/D32</f>
        <v>#DIV/0!</v>
      </c>
      <c r="I32" s="63" t="n">
        <f aca="false">G32*'Itens de Contrato'!F32</f>
        <v>0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customFormat="false" ht="12.8" hidden="false" customHeight="false" outlineLevel="0" collapsed="false">
      <c r="A33" s="37" t="n">
        <f aca="false">'Itens de Contrato'!A33</f>
        <v>0</v>
      </c>
      <c r="B33" s="37" t="n">
        <f aca="false">'Itens de Contrato'!B33</f>
        <v>0</v>
      </c>
      <c r="C33" s="37" t="e">
        <f aca="false">VLOOKUP(B33,'Itens de Contrato'!B$5:G$151,2,0)</f>
        <v>#N/A</v>
      </c>
      <c r="D33" s="52"/>
      <c r="E33" s="63" t="n">
        <f aca="false">D33*'Itens de Contrato'!F33</f>
        <v>0</v>
      </c>
      <c r="F33" s="62" t="n">
        <f aca="false">'Medição 04'!F33-'Medição 04'!G33</f>
        <v>0</v>
      </c>
      <c r="G33" s="52"/>
      <c r="H33" s="64" t="e">
        <f aca="false">G33/D33</f>
        <v>#DIV/0!</v>
      </c>
      <c r="I33" s="63" t="n">
        <f aca="false">G33*'Itens de Contrato'!F33</f>
        <v>0</v>
      </c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customFormat="false" ht="12.8" hidden="false" customHeight="false" outlineLevel="0" collapsed="false">
      <c r="A34" s="37" t="n">
        <f aca="false">'Itens de Contrato'!A34</f>
        <v>0</v>
      </c>
      <c r="B34" s="37" t="n">
        <f aca="false">'Itens de Contrato'!B34</f>
        <v>0</v>
      </c>
      <c r="C34" s="37" t="e">
        <f aca="false">VLOOKUP(B34,'Itens de Contrato'!B$5:G$151,2,0)</f>
        <v>#N/A</v>
      </c>
      <c r="D34" s="52"/>
      <c r="E34" s="63" t="n">
        <f aca="false">D34*'Itens de Contrato'!F34</f>
        <v>0</v>
      </c>
      <c r="F34" s="62" t="n">
        <f aca="false">'Medição 04'!F34-'Medição 04'!G34</f>
        <v>0</v>
      </c>
      <c r="G34" s="52"/>
      <c r="H34" s="64" t="e">
        <f aca="false">G34/D34</f>
        <v>#DIV/0!</v>
      </c>
      <c r="I34" s="63" t="n">
        <f aca="false">G34*'Itens de Contrato'!F34</f>
        <v>0</v>
      </c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</row>
    <row r="35" customFormat="false" ht="12.8" hidden="false" customHeight="false" outlineLevel="0" collapsed="false">
      <c r="A35" s="37" t="n">
        <f aca="false">'Itens de Contrato'!A35</f>
        <v>0</v>
      </c>
      <c r="B35" s="37" t="n">
        <f aca="false">'Itens de Contrato'!B35</f>
        <v>0</v>
      </c>
      <c r="C35" s="37" t="e">
        <f aca="false">VLOOKUP(B35,'Itens de Contrato'!B$5:G$151,2,0)</f>
        <v>#N/A</v>
      </c>
      <c r="D35" s="52"/>
      <c r="E35" s="63" t="n">
        <f aca="false">D35*'Itens de Contrato'!F35</f>
        <v>0</v>
      </c>
      <c r="F35" s="62" t="n">
        <f aca="false">'Medição 04'!F35-'Medição 04'!G35</f>
        <v>0</v>
      </c>
      <c r="G35" s="52"/>
      <c r="H35" s="64" t="e">
        <f aca="false">G35/D35</f>
        <v>#DIV/0!</v>
      </c>
      <c r="I35" s="63" t="n">
        <f aca="false">G35*'Itens de Contrato'!F35</f>
        <v>0</v>
      </c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</row>
    <row r="36" customFormat="false" ht="12.8" hidden="false" customHeight="false" outlineLevel="0" collapsed="false">
      <c r="A36" s="37" t="n">
        <f aca="false">'Itens de Contrato'!A36</f>
        <v>0</v>
      </c>
      <c r="B36" s="37" t="n">
        <f aca="false">'Itens de Contrato'!B36</f>
        <v>0</v>
      </c>
      <c r="C36" s="37" t="e">
        <f aca="false">VLOOKUP(B36,'Itens de Contrato'!B$5:G$151,2,0)</f>
        <v>#N/A</v>
      </c>
      <c r="D36" s="52"/>
      <c r="E36" s="63" t="n">
        <f aca="false">D36*'Itens de Contrato'!F36</f>
        <v>0</v>
      </c>
      <c r="F36" s="62" t="n">
        <f aca="false">'Medição 04'!F36-'Medição 04'!G36</f>
        <v>0</v>
      </c>
      <c r="G36" s="52"/>
      <c r="H36" s="64" t="e">
        <f aca="false">G36/D36</f>
        <v>#DIV/0!</v>
      </c>
      <c r="I36" s="63" t="n">
        <f aca="false">G36*'Itens de Contrato'!F36</f>
        <v>0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customFormat="false" ht="12.8" hidden="false" customHeight="false" outlineLevel="0" collapsed="false">
      <c r="A37" s="37" t="n">
        <f aca="false">'Itens de Contrato'!A37</f>
        <v>0</v>
      </c>
      <c r="B37" s="37" t="n">
        <f aca="false">'Itens de Contrato'!B37</f>
        <v>0</v>
      </c>
      <c r="C37" s="37" t="e">
        <f aca="false">VLOOKUP(B37,'Itens de Contrato'!B$5:G$151,2,0)</f>
        <v>#N/A</v>
      </c>
      <c r="D37" s="52"/>
      <c r="E37" s="63" t="n">
        <f aca="false">D37*'Itens de Contrato'!F37</f>
        <v>0</v>
      </c>
      <c r="F37" s="62" t="n">
        <f aca="false">'Medição 04'!F37-'Medição 04'!G37</f>
        <v>0</v>
      </c>
      <c r="G37" s="52"/>
      <c r="H37" s="64" t="e">
        <f aca="false">G37/D37</f>
        <v>#DIV/0!</v>
      </c>
      <c r="I37" s="63" t="n">
        <f aca="false">G37*'Itens de Contrato'!F37</f>
        <v>0</v>
      </c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customFormat="false" ht="12.8" hidden="false" customHeight="false" outlineLevel="0" collapsed="false">
      <c r="A38" s="37" t="n">
        <f aca="false">'Itens de Contrato'!A38</f>
        <v>0</v>
      </c>
      <c r="B38" s="37" t="n">
        <f aca="false">'Itens de Contrato'!B38</f>
        <v>0</v>
      </c>
      <c r="C38" s="37" t="e">
        <f aca="false">VLOOKUP(B38,'Itens de Contrato'!B$5:G$151,2,0)</f>
        <v>#N/A</v>
      </c>
      <c r="D38" s="52"/>
      <c r="E38" s="63" t="n">
        <f aca="false">D38*'Itens de Contrato'!F38</f>
        <v>0</v>
      </c>
      <c r="F38" s="62" t="n">
        <f aca="false">'Medição 04'!F38-'Medição 04'!G38</f>
        <v>0</v>
      </c>
      <c r="G38" s="52"/>
      <c r="H38" s="64" t="e">
        <f aca="false">G38/D38</f>
        <v>#DIV/0!</v>
      </c>
      <c r="I38" s="63" t="n">
        <f aca="false">G38*'Itens de Contrato'!F38</f>
        <v>0</v>
      </c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customFormat="false" ht="12.8" hidden="false" customHeight="false" outlineLevel="0" collapsed="false">
      <c r="A39" s="37" t="n">
        <f aca="false">'Itens de Contrato'!A39</f>
        <v>0</v>
      </c>
      <c r="B39" s="37" t="n">
        <f aca="false">'Itens de Contrato'!B39</f>
        <v>0</v>
      </c>
      <c r="C39" s="37" t="e">
        <f aca="false">VLOOKUP(B39,'Itens de Contrato'!B$5:G$151,2,0)</f>
        <v>#N/A</v>
      </c>
      <c r="D39" s="52"/>
      <c r="E39" s="63" t="n">
        <f aca="false">D39*'Itens de Contrato'!F39</f>
        <v>0</v>
      </c>
      <c r="F39" s="62" t="n">
        <f aca="false">'Medição 04'!F39-'Medição 04'!G39</f>
        <v>0</v>
      </c>
      <c r="G39" s="52"/>
      <c r="H39" s="64" t="e">
        <f aca="false">G39/D39</f>
        <v>#DIV/0!</v>
      </c>
      <c r="I39" s="63" t="n">
        <f aca="false">G39*'Itens de Contrato'!F39</f>
        <v>0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customFormat="false" ht="12.8" hidden="false" customHeight="false" outlineLevel="0" collapsed="false">
      <c r="A40" s="37" t="n">
        <f aca="false">'Itens de Contrato'!A40</f>
        <v>0</v>
      </c>
      <c r="B40" s="37" t="n">
        <f aca="false">'Itens de Contrato'!B40</f>
        <v>0</v>
      </c>
      <c r="C40" s="37" t="e">
        <f aca="false">VLOOKUP(B40,'Itens de Contrato'!B$5:G$151,2,0)</f>
        <v>#N/A</v>
      </c>
      <c r="D40" s="52"/>
      <c r="E40" s="63" t="n">
        <f aca="false">D40*'Itens de Contrato'!F40</f>
        <v>0</v>
      </c>
      <c r="F40" s="62" t="n">
        <f aca="false">'Medição 04'!F40-'Medição 04'!G40</f>
        <v>0</v>
      </c>
      <c r="G40" s="52"/>
      <c r="H40" s="64" t="e">
        <f aca="false">G40/D40</f>
        <v>#DIV/0!</v>
      </c>
      <c r="I40" s="63" t="n">
        <f aca="false">G40*'Itens de Contrato'!F40</f>
        <v>0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customFormat="false" ht="12.8" hidden="false" customHeight="false" outlineLevel="0" collapsed="false">
      <c r="A41" s="37" t="n">
        <f aca="false">'Itens de Contrato'!A41</f>
        <v>0</v>
      </c>
      <c r="B41" s="37" t="n">
        <f aca="false">'Itens de Contrato'!B41</f>
        <v>0</v>
      </c>
      <c r="C41" s="37" t="e">
        <f aca="false">VLOOKUP(B41,'Itens de Contrato'!B$5:G$151,2,0)</f>
        <v>#N/A</v>
      </c>
      <c r="D41" s="52"/>
      <c r="E41" s="63" t="n">
        <f aca="false">D41*'Itens de Contrato'!F41</f>
        <v>0</v>
      </c>
      <c r="F41" s="62" t="n">
        <f aca="false">'Medição 04'!F41-'Medição 04'!G41</f>
        <v>0</v>
      </c>
      <c r="G41" s="52"/>
      <c r="H41" s="64" t="e">
        <f aca="false">G41/D41</f>
        <v>#DIV/0!</v>
      </c>
      <c r="I41" s="63" t="n">
        <f aca="false">G41*'Itens de Contrato'!F41</f>
        <v>0</v>
      </c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customFormat="false" ht="12.8" hidden="false" customHeight="false" outlineLevel="0" collapsed="false">
      <c r="A42" s="37" t="n">
        <f aca="false">'Itens de Contrato'!A42</f>
        <v>0</v>
      </c>
      <c r="B42" s="37" t="n">
        <f aca="false">'Itens de Contrato'!B42</f>
        <v>0</v>
      </c>
      <c r="C42" s="37" t="e">
        <f aca="false">VLOOKUP(B42,'Itens de Contrato'!B$5:G$151,2,0)</f>
        <v>#N/A</v>
      </c>
      <c r="D42" s="52"/>
      <c r="E42" s="63" t="n">
        <f aca="false">D42*'Itens de Contrato'!F42</f>
        <v>0</v>
      </c>
      <c r="F42" s="62" t="n">
        <f aca="false">'Medição 04'!F42-'Medição 04'!G42</f>
        <v>0</v>
      </c>
      <c r="G42" s="52"/>
      <c r="H42" s="64" t="e">
        <f aca="false">G42/D42</f>
        <v>#DIV/0!</v>
      </c>
      <c r="I42" s="63" t="n">
        <f aca="false">G42*'Itens de Contrato'!F42</f>
        <v>0</v>
      </c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customFormat="false" ht="12.8" hidden="false" customHeight="false" outlineLevel="0" collapsed="false">
      <c r="A43" s="37" t="n">
        <f aca="false">'Itens de Contrato'!A43</f>
        <v>0</v>
      </c>
      <c r="B43" s="37" t="n">
        <f aca="false">'Itens de Contrato'!B43</f>
        <v>0</v>
      </c>
      <c r="C43" s="37" t="e">
        <f aca="false">VLOOKUP(B43,'Itens de Contrato'!B$5:G$151,2,0)</f>
        <v>#N/A</v>
      </c>
      <c r="D43" s="52"/>
      <c r="E43" s="63" t="n">
        <f aca="false">D43*'Itens de Contrato'!F43</f>
        <v>0</v>
      </c>
      <c r="F43" s="62" t="n">
        <f aca="false">'Medição 04'!F43-'Medição 04'!G43</f>
        <v>0</v>
      </c>
      <c r="G43" s="52"/>
      <c r="H43" s="64" t="e">
        <f aca="false">G43/D43</f>
        <v>#DIV/0!</v>
      </c>
      <c r="I43" s="63" t="n">
        <f aca="false">G43*'Itens de Contrato'!F43</f>
        <v>0</v>
      </c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customFormat="false" ht="12.8" hidden="false" customHeight="false" outlineLevel="0" collapsed="false">
      <c r="A44" s="37" t="n">
        <f aca="false">'Itens de Contrato'!A44</f>
        <v>0</v>
      </c>
      <c r="B44" s="37" t="n">
        <f aca="false">'Itens de Contrato'!B44</f>
        <v>0</v>
      </c>
      <c r="C44" s="37" t="e">
        <f aca="false">VLOOKUP(B44,'Itens de Contrato'!B$5:G$151,2,0)</f>
        <v>#N/A</v>
      </c>
      <c r="D44" s="52"/>
      <c r="E44" s="63" t="n">
        <f aca="false">D44*'Itens de Contrato'!F44</f>
        <v>0</v>
      </c>
      <c r="F44" s="62" t="n">
        <f aca="false">'Medição 04'!F44-'Medição 04'!G44</f>
        <v>0</v>
      </c>
      <c r="G44" s="52"/>
      <c r="H44" s="64" t="e">
        <f aca="false">G44/D44</f>
        <v>#DIV/0!</v>
      </c>
      <c r="I44" s="63" t="n">
        <f aca="false">G44*'Itens de Contrato'!F44</f>
        <v>0</v>
      </c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customFormat="false" ht="12.8" hidden="false" customHeight="false" outlineLevel="0" collapsed="false">
      <c r="A45" s="37" t="n">
        <f aca="false">'Itens de Contrato'!A45</f>
        <v>0</v>
      </c>
      <c r="B45" s="37" t="n">
        <f aca="false">'Itens de Contrato'!B45</f>
        <v>0</v>
      </c>
      <c r="C45" s="37" t="e">
        <f aca="false">VLOOKUP(B45,'Itens de Contrato'!B$5:G$151,2,0)</f>
        <v>#N/A</v>
      </c>
      <c r="D45" s="52"/>
      <c r="E45" s="63" t="n">
        <f aca="false">D45*'Itens de Contrato'!F45</f>
        <v>0</v>
      </c>
      <c r="F45" s="62" t="n">
        <f aca="false">'Medição 04'!F45-'Medição 04'!G45</f>
        <v>0</v>
      </c>
      <c r="G45" s="52"/>
      <c r="H45" s="64" t="e">
        <f aca="false">G45/D45</f>
        <v>#DIV/0!</v>
      </c>
      <c r="I45" s="63" t="n">
        <f aca="false">G45*'Itens de Contrato'!F45</f>
        <v>0</v>
      </c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customFormat="false" ht="12.8" hidden="false" customHeight="false" outlineLevel="0" collapsed="false">
      <c r="A46" s="37" t="n">
        <f aca="false">'Itens de Contrato'!A46</f>
        <v>0</v>
      </c>
      <c r="B46" s="37" t="n">
        <f aca="false">'Itens de Contrato'!B46</f>
        <v>0</v>
      </c>
      <c r="C46" s="37" t="e">
        <f aca="false">VLOOKUP(B46,'Itens de Contrato'!B$5:G$151,2,0)</f>
        <v>#N/A</v>
      </c>
      <c r="D46" s="52"/>
      <c r="E46" s="63" t="n">
        <f aca="false">D46*'Itens de Contrato'!F46</f>
        <v>0</v>
      </c>
      <c r="F46" s="62" t="n">
        <f aca="false">'Medição 04'!F46-'Medição 04'!G46</f>
        <v>0</v>
      </c>
      <c r="G46" s="52"/>
      <c r="H46" s="64" t="e">
        <f aca="false">G46/D46</f>
        <v>#DIV/0!</v>
      </c>
      <c r="I46" s="63" t="n">
        <f aca="false">G46*'Itens de Contrato'!F46</f>
        <v>0</v>
      </c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customFormat="false" ht="12.8" hidden="false" customHeight="false" outlineLevel="0" collapsed="false">
      <c r="A47" s="37" t="n">
        <f aca="false">'Itens de Contrato'!A47</f>
        <v>0</v>
      </c>
      <c r="B47" s="37" t="n">
        <f aca="false">'Itens de Contrato'!B47</f>
        <v>0</v>
      </c>
      <c r="C47" s="37" t="e">
        <f aca="false">VLOOKUP(B47,'Itens de Contrato'!B$5:G$151,2,0)</f>
        <v>#N/A</v>
      </c>
      <c r="D47" s="52"/>
      <c r="E47" s="63" t="n">
        <f aca="false">D47*'Itens de Contrato'!F47</f>
        <v>0</v>
      </c>
      <c r="F47" s="62" t="n">
        <f aca="false">'Medição 04'!F47-'Medição 04'!G47</f>
        <v>0</v>
      </c>
      <c r="G47" s="52"/>
      <c r="H47" s="64" t="e">
        <f aca="false">G47/D47</f>
        <v>#DIV/0!</v>
      </c>
      <c r="I47" s="63" t="n">
        <f aca="false">G47*'Itens de Contrato'!F47</f>
        <v>0</v>
      </c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customFormat="false" ht="12.8" hidden="false" customHeight="false" outlineLevel="0" collapsed="false">
      <c r="A48" s="37" t="n">
        <f aca="false">'Itens de Contrato'!A48</f>
        <v>0</v>
      </c>
      <c r="B48" s="37" t="n">
        <f aca="false">'Itens de Contrato'!B48</f>
        <v>0</v>
      </c>
      <c r="C48" s="37" t="e">
        <f aca="false">VLOOKUP(B48,'Itens de Contrato'!B$5:G$151,2,0)</f>
        <v>#N/A</v>
      </c>
      <c r="D48" s="52"/>
      <c r="E48" s="63" t="n">
        <f aca="false">D48*'Itens de Contrato'!F48</f>
        <v>0</v>
      </c>
      <c r="F48" s="62" t="n">
        <f aca="false">'Medição 04'!F48-'Medição 04'!G48</f>
        <v>0</v>
      </c>
      <c r="G48" s="52"/>
      <c r="H48" s="64" t="e">
        <f aca="false">G48/D48</f>
        <v>#DIV/0!</v>
      </c>
      <c r="I48" s="63" t="n">
        <f aca="false">G48*'Itens de Contrato'!F48</f>
        <v>0</v>
      </c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customFormat="false" ht="12.8" hidden="false" customHeight="false" outlineLevel="0" collapsed="false">
      <c r="A49" s="37" t="n">
        <f aca="false">'Itens de Contrato'!A49</f>
        <v>0</v>
      </c>
      <c r="B49" s="37" t="n">
        <f aca="false">'Itens de Contrato'!B49</f>
        <v>0</v>
      </c>
      <c r="C49" s="37" t="e">
        <f aca="false">VLOOKUP(B49,'Itens de Contrato'!B$5:G$151,2,0)</f>
        <v>#N/A</v>
      </c>
      <c r="D49" s="52"/>
      <c r="E49" s="63" t="n">
        <f aca="false">D49*'Itens de Contrato'!F49</f>
        <v>0</v>
      </c>
      <c r="F49" s="62" t="n">
        <f aca="false">'Medição 04'!F49-'Medição 04'!G49</f>
        <v>0</v>
      </c>
      <c r="G49" s="52"/>
      <c r="H49" s="64" t="e">
        <f aca="false">G49/D49</f>
        <v>#DIV/0!</v>
      </c>
      <c r="I49" s="63" t="n">
        <f aca="false">G49*'Itens de Contrato'!F49</f>
        <v>0</v>
      </c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customFormat="false" ht="12.8" hidden="false" customHeight="false" outlineLevel="0" collapsed="false">
      <c r="A50" s="37" t="n">
        <f aca="false">'Itens de Contrato'!A50</f>
        <v>0</v>
      </c>
      <c r="B50" s="37" t="n">
        <f aca="false">'Itens de Contrato'!B50</f>
        <v>0</v>
      </c>
      <c r="C50" s="37" t="e">
        <f aca="false">VLOOKUP(B50,'Itens de Contrato'!B$5:G$151,2,0)</f>
        <v>#N/A</v>
      </c>
      <c r="D50" s="52"/>
      <c r="E50" s="63" t="n">
        <f aca="false">D50*'Itens de Contrato'!F50</f>
        <v>0</v>
      </c>
      <c r="F50" s="62" t="n">
        <f aca="false">'Medição 04'!F50-'Medição 04'!G50</f>
        <v>0</v>
      </c>
      <c r="G50" s="52"/>
      <c r="H50" s="64" t="e">
        <f aca="false">G50/D50</f>
        <v>#DIV/0!</v>
      </c>
      <c r="I50" s="63" t="n">
        <f aca="false">G50*'Itens de Contrato'!F50</f>
        <v>0</v>
      </c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customFormat="false" ht="12.8" hidden="false" customHeight="false" outlineLevel="0" collapsed="false">
      <c r="A51" s="37" t="n">
        <f aca="false">'Itens de Contrato'!A51</f>
        <v>0</v>
      </c>
      <c r="B51" s="37" t="n">
        <f aca="false">'Itens de Contrato'!B51</f>
        <v>0</v>
      </c>
      <c r="C51" s="37" t="e">
        <f aca="false">VLOOKUP(B51,'Itens de Contrato'!B$5:G$151,2,0)</f>
        <v>#N/A</v>
      </c>
      <c r="D51" s="52"/>
      <c r="E51" s="63" t="n">
        <f aca="false">D51*'Itens de Contrato'!F51</f>
        <v>0</v>
      </c>
      <c r="F51" s="62" t="n">
        <f aca="false">'Medição 04'!F51-'Medição 04'!G51</f>
        <v>0</v>
      </c>
      <c r="G51" s="52"/>
      <c r="H51" s="64" t="e">
        <f aca="false">G51/D51</f>
        <v>#DIV/0!</v>
      </c>
      <c r="I51" s="63" t="n">
        <f aca="false">G51*'Itens de Contrato'!F51</f>
        <v>0</v>
      </c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customFormat="false" ht="12.8" hidden="false" customHeight="false" outlineLevel="0" collapsed="false">
      <c r="A52" s="37" t="n">
        <f aca="false">'Itens de Contrato'!A52</f>
        <v>0</v>
      </c>
      <c r="B52" s="37" t="n">
        <f aca="false">'Itens de Contrato'!B52</f>
        <v>0</v>
      </c>
      <c r="C52" s="37" t="e">
        <f aca="false">VLOOKUP(B52,'Itens de Contrato'!B$5:G$151,2,0)</f>
        <v>#N/A</v>
      </c>
      <c r="D52" s="52"/>
      <c r="E52" s="63" t="n">
        <f aca="false">D52*'Itens de Contrato'!F52</f>
        <v>0</v>
      </c>
      <c r="F52" s="62" t="n">
        <f aca="false">'Medição 04'!F52-'Medição 04'!G52</f>
        <v>0</v>
      </c>
      <c r="G52" s="52"/>
      <c r="H52" s="64" t="e">
        <f aca="false">G52/D52</f>
        <v>#DIV/0!</v>
      </c>
      <c r="I52" s="63" t="n">
        <f aca="false">G52*'Itens de Contrato'!F52</f>
        <v>0</v>
      </c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customFormat="false" ht="12.8" hidden="false" customHeight="false" outlineLevel="0" collapsed="false">
      <c r="A53" s="37" t="n">
        <f aca="false">'Itens de Contrato'!A53</f>
        <v>0</v>
      </c>
      <c r="B53" s="37" t="n">
        <f aca="false">'Itens de Contrato'!B53</f>
        <v>0</v>
      </c>
      <c r="C53" s="37" t="e">
        <f aca="false">VLOOKUP(B53,'Itens de Contrato'!B$5:G$151,2,0)</f>
        <v>#N/A</v>
      </c>
      <c r="D53" s="52"/>
      <c r="E53" s="63" t="n">
        <f aca="false">D53*'Itens de Contrato'!F53</f>
        <v>0</v>
      </c>
      <c r="F53" s="62" t="n">
        <f aca="false">'Medição 04'!F53-'Medição 04'!G53</f>
        <v>0</v>
      </c>
      <c r="G53" s="52"/>
      <c r="H53" s="64" t="e">
        <f aca="false">G53/D53</f>
        <v>#DIV/0!</v>
      </c>
      <c r="I53" s="63" t="n">
        <f aca="false">G53*'Itens de Contrato'!F53</f>
        <v>0</v>
      </c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customFormat="false" ht="12.8" hidden="false" customHeight="false" outlineLevel="0" collapsed="false">
      <c r="A54" s="37" t="n">
        <f aca="false">'Itens de Contrato'!A54</f>
        <v>0</v>
      </c>
      <c r="B54" s="37" t="n">
        <f aca="false">'Itens de Contrato'!B54</f>
        <v>0</v>
      </c>
      <c r="C54" s="37" t="e">
        <f aca="false">VLOOKUP(B54,'Itens de Contrato'!B$5:G$151,2,0)</f>
        <v>#N/A</v>
      </c>
      <c r="D54" s="52"/>
      <c r="E54" s="63" t="n">
        <f aca="false">D54*'Itens de Contrato'!F54</f>
        <v>0</v>
      </c>
      <c r="F54" s="62" t="n">
        <f aca="false">'Medição 04'!F54-'Medição 04'!G54</f>
        <v>0</v>
      </c>
      <c r="G54" s="52"/>
      <c r="H54" s="64" t="e">
        <f aca="false">G54/D54</f>
        <v>#DIV/0!</v>
      </c>
      <c r="I54" s="63" t="n">
        <f aca="false">G54*'Itens de Contrato'!F54</f>
        <v>0</v>
      </c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customFormat="false" ht="12.8" hidden="false" customHeight="false" outlineLevel="0" collapsed="false">
      <c r="A55" s="37" t="n">
        <f aca="false">'Itens de Contrato'!A55</f>
        <v>0</v>
      </c>
      <c r="B55" s="37" t="n">
        <f aca="false">'Itens de Contrato'!B55</f>
        <v>0</v>
      </c>
      <c r="C55" s="37" t="e">
        <f aca="false">VLOOKUP(B55,'Itens de Contrato'!B$5:G$151,2,0)</f>
        <v>#N/A</v>
      </c>
      <c r="D55" s="52"/>
      <c r="E55" s="63" t="n">
        <f aca="false">D55*'Itens de Contrato'!F55</f>
        <v>0</v>
      </c>
      <c r="F55" s="62" t="n">
        <f aca="false">'Medição 04'!F55-'Medição 04'!G55</f>
        <v>0</v>
      </c>
      <c r="G55" s="52"/>
      <c r="H55" s="64" t="e">
        <f aca="false">G55/D55</f>
        <v>#DIV/0!</v>
      </c>
      <c r="I55" s="63" t="n">
        <f aca="false">G55*'Itens de Contrato'!F55</f>
        <v>0</v>
      </c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customFormat="false" ht="12.8" hidden="false" customHeight="false" outlineLevel="0" collapsed="false">
      <c r="A56" s="37" t="n">
        <f aca="false">'Itens de Contrato'!A56</f>
        <v>0</v>
      </c>
      <c r="B56" s="37" t="n">
        <f aca="false">'Itens de Contrato'!B56</f>
        <v>0</v>
      </c>
      <c r="C56" s="37" t="e">
        <f aca="false">VLOOKUP(B56,'Itens de Contrato'!B$5:G$151,2,0)</f>
        <v>#N/A</v>
      </c>
      <c r="D56" s="52"/>
      <c r="E56" s="63" t="n">
        <f aca="false">D56*'Itens de Contrato'!F56</f>
        <v>0</v>
      </c>
      <c r="F56" s="62" t="n">
        <f aca="false">'Medição 04'!F56-'Medição 04'!G56</f>
        <v>0</v>
      </c>
      <c r="G56" s="52"/>
      <c r="H56" s="64" t="e">
        <f aca="false">G56/D56</f>
        <v>#DIV/0!</v>
      </c>
      <c r="I56" s="63" t="n">
        <f aca="false">G56*'Itens de Contrato'!F56</f>
        <v>0</v>
      </c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customFormat="false" ht="12.8" hidden="false" customHeight="false" outlineLevel="0" collapsed="false">
      <c r="A57" s="37" t="n">
        <f aca="false">'Itens de Contrato'!A57</f>
        <v>0</v>
      </c>
      <c r="B57" s="37" t="n">
        <f aca="false">'Itens de Contrato'!B57</f>
        <v>0</v>
      </c>
      <c r="C57" s="37" t="e">
        <f aca="false">VLOOKUP(B57,'Itens de Contrato'!B$5:G$151,2,0)</f>
        <v>#N/A</v>
      </c>
      <c r="D57" s="52"/>
      <c r="E57" s="63" t="n">
        <f aca="false">D57*'Itens de Contrato'!F57</f>
        <v>0</v>
      </c>
      <c r="F57" s="62" t="n">
        <f aca="false">'Medição 04'!F57-'Medição 04'!G57</f>
        <v>0</v>
      </c>
      <c r="G57" s="52"/>
      <c r="H57" s="64" t="e">
        <f aca="false">G57/D57</f>
        <v>#DIV/0!</v>
      </c>
      <c r="I57" s="63" t="n">
        <f aca="false">G57*'Itens de Contrato'!F57</f>
        <v>0</v>
      </c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customFormat="false" ht="12.8" hidden="false" customHeight="false" outlineLevel="0" collapsed="false">
      <c r="A58" s="37" t="n">
        <f aca="false">'Itens de Contrato'!A58</f>
        <v>0</v>
      </c>
      <c r="B58" s="37" t="n">
        <f aca="false">'Itens de Contrato'!B58</f>
        <v>0</v>
      </c>
      <c r="C58" s="37" t="e">
        <f aca="false">VLOOKUP(B58,'Itens de Contrato'!B$5:G$151,2,0)</f>
        <v>#N/A</v>
      </c>
      <c r="D58" s="52"/>
      <c r="E58" s="63" t="n">
        <f aca="false">D58*'Itens de Contrato'!F58</f>
        <v>0</v>
      </c>
      <c r="F58" s="62" t="n">
        <f aca="false">'Medição 04'!F58-'Medição 04'!G58</f>
        <v>0</v>
      </c>
      <c r="G58" s="52"/>
      <c r="H58" s="64" t="e">
        <f aca="false">G58/D58</f>
        <v>#DIV/0!</v>
      </c>
      <c r="I58" s="63" t="n">
        <f aca="false">G58*'Itens de Contrato'!F58</f>
        <v>0</v>
      </c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customFormat="false" ht="12.8" hidden="false" customHeight="false" outlineLevel="0" collapsed="false">
      <c r="A59" s="37" t="n">
        <f aca="false">'Itens de Contrato'!A59</f>
        <v>0</v>
      </c>
      <c r="B59" s="37" t="n">
        <f aca="false">'Itens de Contrato'!B59</f>
        <v>0</v>
      </c>
      <c r="C59" s="37" t="e">
        <f aca="false">VLOOKUP(B59,'Itens de Contrato'!B$5:G$151,2,0)</f>
        <v>#N/A</v>
      </c>
      <c r="D59" s="52"/>
      <c r="E59" s="63" t="n">
        <f aca="false">D59*'Itens de Contrato'!F59</f>
        <v>0</v>
      </c>
      <c r="F59" s="62" t="n">
        <f aca="false">'Medição 04'!F59-'Medição 04'!G59</f>
        <v>0</v>
      </c>
      <c r="G59" s="52"/>
      <c r="H59" s="64" t="e">
        <f aca="false">G59/D59</f>
        <v>#DIV/0!</v>
      </c>
      <c r="I59" s="63" t="n">
        <f aca="false">G59*'Itens de Contrato'!F59</f>
        <v>0</v>
      </c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</row>
    <row r="60" customFormat="false" ht="12.8" hidden="false" customHeight="false" outlineLevel="0" collapsed="false">
      <c r="A60" s="37" t="n">
        <f aca="false">'Itens de Contrato'!A60</f>
        <v>0</v>
      </c>
      <c r="B60" s="37" t="n">
        <f aca="false">'Itens de Contrato'!B60</f>
        <v>0</v>
      </c>
      <c r="C60" s="37" t="e">
        <f aca="false">VLOOKUP(B60,'Itens de Contrato'!B$5:G$151,2,0)</f>
        <v>#N/A</v>
      </c>
      <c r="D60" s="52"/>
      <c r="E60" s="63" t="n">
        <f aca="false">D60*'Itens de Contrato'!F60</f>
        <v>0</v>
      </c>
      <c r="F60" s="62" t="n">
        <f aca="false">'Medição 04'!F60-'Medição 04'!G60</f>
        <v>0</v>
      </c>
      <c r="G60" s="52"/>
      <c r="H60" s="64" t="e">
        <f aca="false">G60/D60</f>
        <v>#DIV/0!</v>
      </c>
      <c r="I60" s="63" t="n">
        <f aca="false">G60*'Itens de Contrato'!F60</f>
        <v>0</v>
      </c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customFormat="false" ht="12.8" hidden="false" customHeight="false" outlineLevel="0" collapsed="false">
      <c r="A61" s="37" t="n">
        <f aca="false">'Itens de Contrato'!A61</f>
        <v>0</v>
      </c>
      <c r="B61" s="37" t="n">
        <f aca="false">'Itens de Contrato'!B61</f>
        <v>0</v>
      </c>
      <c r="C61" s="37" t="e">
        <f aca="false">VLOOKUP(B61,'Itens de Contrato'!B$5:G$151,2,0)</f>
        <v>#N/A</v>
      </c>
      <c r="D61" s="52"/>
      <c r="E61" s="63" t="n">
        <f aca="false">D61*'Itens de Contrato'!F61</f>
        <v>0</v>
      </c>
      <c r="F61" s="62" t="n">
        <f aca="false">'Medição 04'!F61-'Medição 04'!G61</f>
        <v>0</v>
      </c>
      <c r="G61" s="52"/>
      <c r="H61" s="64" t="e">
        <f aca="false">G61/D61</f>
        <v>#DIV/0!</v>
      </c>
      <c r="I61" s="63" t="n">
        <f aca="false">G61*'Itens de Contrato'!F61</f>
        <v>0</v>
      </c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customFormat="false" ht="12.8" hidden="false" customHeight="false" outlineLevel="0" collapsed="false">
      <c r="A62" s="37" t="n">
        <f aca="false">'Itens de Contrato'!A62</f>
        <v>0</v>
      </c>
      <c r="B62" s="37" t="n">
        <f aca="false">'Itens de Contrato'!B62</f>
        <v>0</v>
      </c>
      <c r="C62" s="37" t="e">
        <f aca="false">VLOOKUP(B62,'Itens de Contrato'!B$5:G$151,2,0)</f>
        <v>#N/A</v>
      </c>
      <c r="D62" s="52"/>
      <c r="E62" s="63" t="n">
        <f aca="false">D62*'Itens de Contrato'!F62</f>
        <v>0</v>
      </c>
      <c r="F62" s="62" t="n">
        <f aca="false">'Medição 04'!F62-'Medição 04'!G62</f>
        <v>0</v>
      </c>
      <c r="G62" s="52"/>
      <c r="H62" s="64" t="e">
        <f aca="false">G62/D62</f>
        <v>#DIV/0!</v>
      </c>
      <c r="I62" s="63" t="n">
        <f aca="false">G62*'Itens de Contrato'!F62</f>
        <v>0</v>
      </c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customFormat="false" ht="12.8" hidden="false" customHeight="false" outlineLevel="0" collapsed="false">
      <c r="A63" s="37" t="n">
        <f aca="false">'Itens de Contrato'!A63</f>
        <v>0</v>
      </c>
      <c r="B63" s="37" t="n">
        <f aca="false">'Itens de Contrato'!B63</f>
        <v>0</v>
      </c>
      <c r="C63" s="37" t="e">
        <f aca="false">VLOOKUP(B63,'Itens de Contrato'!B$5:G$151,2,0)</f>
        <v>#N/A</v>
      </c>
      <c r="D63" s="52"/>
      <c r="E63" s="63" t="n">
        <f aca="false">D63*'Itens de Contrato'!F63</f>
        <v>0</v>
      </c>
      <c r="F63" s="62" t="n">
        <f aca="false">'Medição 04'!F63-'Medição 04'!G63</f>
        <v>0</v>
      </c>
      <c r="G63" s="52"/>
      <c r="H63" s="64" t="e">
        <f aca="false">G63/D63</f>
        <v>#DIV/0!</v>
      </c>
      <c r="I63" s="63" t="n">
        <f aca="false">G63*'Itens de Contrato'!F63</f>
        <v>0</v>
      </c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customFormat="false" ht="12.8" hidden="false" customHeight="false" outlineLevel="0" collapsed="false">
      <c r="A64" s="37" t="n">
        <f aca="false">'Itens de Contrato'!A64</f>
        <v>0</v>
      </c>
      <c r="B64" s="37" t="n">
        <f aca="false">'Itens de Contrato'!B64</f>
        <v>0</v>
      </c>
      <c r="C64" s="37" t="e">
        <f aca="false">VLOOKUP(B64,'Itens de Contrato'!B$5:G$151,2,0)</f>
        <v>#N/A</v>
      </c>
      <c r="D64" s="52"/>
      <c r="E64" s="63" t="n">
        <f aca="false">D64*'Itens de Contrato'!F64</f>
        <v>0</v>
      </c>
      <c r="F64" s="62" t="n">
        <f aca="false">'Medição 04'!F64-'Medição 04'!G64</f>
        <v>0</v>
      </c>
      <c r="G64" s="52"/>
      <c r="H64" s="64" t="e">
        <f aca="false">G64/D64</f>
        <v>#DIV/0!</v>
      </c>
      <c r="I64" s="63" t="n">
        <f aca="false">G64*'Itens de Contrato'!F64</f>
        <v>0</v>
      </c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customFormat="false" ht="12.8" hidden="false" customHeight="false" outlineLevel="0" collapsed="false">
      <c r="A65" s="37" t="n">
        <f aca="false">'Itens de Contrato'!A65</f>
        <v>0</v>
      </c>
      <c r="B65" s="37" t="n">
        <f aca="false">'Itens de Contrato'!B65</f>
        <v>0</v>
      </c>
      <c r="C65" s="37" t="e">
        <f aca="false">VLOOKUP(B65,'Itens de Contrato'!B$5:G$151,2,0)</f>
        <v>#N/A</v>
      </c>
      <c r="D65" s="52"/>
      <c r="E65" s="63" t="n">
        <f aca="false">D65*'Itens de Contrato'!F65</f>
        <v>0</v>
      </c>
      <c r="F65" s="62" t="n">
        <f aca="false">'Medição 04'!F65-'Medição 04'!G65</f>
        <v>0</v>
      </c>
      <c r="G65" s="52"/>
      <c r="H65" s="64" t="e">
        <f aca="false">G65/D65</f>
        <v>#DIV/0!</v>
      </c>
      <c r="I65" s="63" t="n">
        <f aca="false">G65*'Itens de Contrato'!F65</f>
        <v>0</v>
      </c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customFormat="false" ht="12.8" hidden="false" customHeight="false" outlineLevel="0" collapsed="false">
      <c r="A66" s="37" t="n">
        <f aca="false">'Itens de Contrato'!A66</f>
        <v>0</v>
      </c>
      <c r="B66" s="37" t="n">
        <f aca="false">'Itens de Contrato'!B66</f>
        <v>0</v>
      </c>
      <c r="C66" s="37" t="e">
        <f aca="false">VLOOKUP(B66,'Itens de Contrato'!B$5:G$151,2,0)</f>
        <v>#N/A</v>
      </c>
      <c r="D66" s="52"/>
      <c r="E66" s="63" t="n">
        <f aca="false">D66*'Itens de Contrato'!F66</f>
        <v>0</v>
      </c>
      <c r="F66" s="62" t="n">
        <f aca="false">'Medição 04'!F66-'Medição 04'!G66</f>
        <v>0</v>
      </c>
      <c r="G66" s="52"/>
      <c r="H66" s="64" t="e">
        <f aca="false">G66/D66</f>
        <v>#DIV/0!</v>
      </c>
      <c r="I66" s="63" t="n">
        <f aca="false">G66*'Itens de Contrato'!F66</f>
        <v>0</v>
      </c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customFormat="false" ht="12.8" hidden="false" customHeight="false" outlineLevel="0" collapsed="false">
      <c r="A67" s="37" t="n">
        <f aca="false">'Itens de Contrato'!A67</f>
        <v>0</v>
      </c>
      <c r="B67" s="37" t="n">
        <f aca="false">'Itens de Contrato'!B67</f>
        <v>0</v>
      </c>
      <c r="C67" s="37" t="e">
        <f aca="false">VLOOKUP(B67,'Itens de Contrato'!B$5:G$151,2,0)</f>
        <v>#N/A</v>
      </c>
      <c r="D67" s="52"/>
      <c r="E67" s="63" t="n">
        <f aca="false">D67*'Itens de Contrato'!F67</f>
        <v>0</v>
      </c>
      <c r="F67" s="62" t="n">
        <f aca="false">'Medição 04'!F67-'Medição 04'!G67</f>
        <v>0</v>
      </c>
      <c r="G67" s="52"/>
      <c r="H67" s="64" t="e">
        <f aca="false">G67/D67</f>
        <v>#DIV/0!</v>
      </c>
      <c r="I67" s="63" t="n">
        <f aca="false">G67*'Itens de Contrato'!F67</f>
        <v>0</v>
      </c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customFormat="false" ht="12.8" hidden="false" customHeight="false" outlineLevel="0" collapsed="false">
      <c r="A68" s="37" t="n">
        <f aca="false">'Itens de Contrato'!A68</f>
        <v>0</v>
      </c>
      <c r="B68" s="37" t="n">
        <f aca="false">'Itens de Contrato'!B68</f>
        <v>0</v>
      </c>
      <c r="C68" s="37" t="e">
        <f aca="false">VLOOKUP(B68,'Itens de Contrato'!B$5:G$151,2,0)</f>
        <v>#N/A</v>
      </c>
      <c r="D68" s="52"/>
      <c r="E68" s="63" t="n">
        <f aca="false">D68*'Itens de Contrato'!F68</f>
        <v>0</v>
      </c>
      <c r="F68" s="62" t="n">
        <f aca="false">'Medição 04'!F68-'Medição 04'!G68</f>
        <v>0</v>
      </c>
      <c r="G68" s="52"/>
      <c r="H68" s="64" t="e">
        <f aca="false">G68/D68</f>
        <v>#DIV/0!</v>
      </c>
      <c r="I68" s="63" t="n">
        <f aca="false">G68*'Itens de Contrato'!F68</f>
        <v>0</v>
      </c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</row>
    <row r="69" customFormat="false" ht="12.8" hidden="false" customHeight="false" outlineLevel="0" collapsed="false">
      <c r="A69" s="37" t="n">
        <f aca="false">'Itens de Contrato'!A69</f>
        <v>0</v>
      </c>
      <c r="B69" s="37" t="n">
        <f aca="false">'Itens de Contrato'!B69</f>
        <v>0</v>
      </c>
      <c r="C69" s="37" t="e">
        <f aca="false">VLOOKUP(B69,'Itens de Contrato'!B$5:G$151,2,0)</f>
        <v>#N/A</v>
      </c>
      <c r="D69" s="52"/>
      <c r="E69" s="63" t="n">
        <f aca="false">D69*'Itens de Contrato'!F69</f>
        <v>0</v>
      </c>
      <c r="F69" s="62" t="n">
        <f aca="false">'Medição 04'!F69-'Medição 04'!G69</f>
        <v>0</v>
      </c>
      <c r="G69" s="52"/>
      <c r="H69" s="64" t="e">
        <f aca="false">G69/D69</f>
        <v>#DIV/0!</v>
      </c>
      <c r="I69" s="63" t="n">
        <f aca="false">G69*'Itens de Contrato'!F69</f>
        <v>0</v>
      </c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</row>
    <row r="70" customFormat="false" ht="12.8" hidden="false" customHeight="false" outlineLevel="0" collapsed="false">
      <c r="A70" s="37" t="n">
        <f aca="false">'Itens de Contrato'!A70</f>
        <v>0</v>
      </c>
      <c r="B70" s="37" t="n">
        <f aca="false">'Itens de Contrato'!B70</f>
        <v>0</v>
      </c>
      <c r="C70" s="37" t="e">
        <f aca="false">VLOOKUP(B70,'Itens de Contrato'!B$5:G$151,2,0)</f>
        <v>#N/A</v>
      </c>
      <c r="D70" s="52"/>
      <c r="E70" s="63" t="n">
        <f aca="false">D70*'Itens de Contrato'!F70</f>
        <v>0</v>
      </c>
      <c r="F70" s="62" t="n">
        <f aca="false">'Medição 04'!F70-'Medição 04'!G70</f>
        <v>0</v>
      </c>
      <c r="G70" s="52"/>
      <c r="H70" s="64" t="e">
        <f aca="false">G70/D70</f>
        <v>#DIV/0!</v>
      </c>
      <c r="I70" s="63" t="n">
        <f aca="false">G70*'Itens de Contrato'!F70</f>
        <v>0</v>
      </c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</row>
    <row r="71" customFormat="false" ht="12.8" hidden="false" customHeight="false" outlineLevel="0" collapsed="false">
      <c r="A71" s="37" t="n">
        <f aca="false">'Itens de Contrato'!A71</f>
        <v>0</v>
      </c>
      <c r="B71" s="37" t="n">
        <f aca="false">'Itens de Contrato'!B71</f>
        <v>0</v>
      </c>
      <c r="C71" s="37" t="e">
        <f aca="false">VLOOKUP(B71,'Itens de Contrato'!B$5:G$151,2,0)</f>
        <v>#N/A</v>
      </c>
      <c r="D71" s="52"/>
      <c r="E71" s="63" t="n">
        <f aca="false">D71*'Itens de Contrato'!F71</f>
        <v>0</v>
      </c>
      <c r="F71" s="62" t="n">
        <f aca="false">'Medição 04'!F71-'Medição 04'!G71</f>
        <v>0</v>
      </c>
      <c r="G71" s="52"/>
      <c r="H71" s="64" t="e">
        <f aca="false">G71/D71</f>
        <v>#DIV/0!</v>
      </c>
      <c r="I71" s="63" t="n">
        <f aca="false">G71*'Itens de Contrato'!F71</f>
        <v>0</v>
      </c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</row>
    <row r="72" customFormat="false" ht="12.8" hidden="false" customHeight="false" outlineLevel="0" collapsed="false">
      <c r="A72" s="37" t="n">
        <f aca="false">'Itens de Contrato'!A72</f>
        <v>0</v>
      </c>
      <c r="B72" s="37" t="n">
        <f aca="false">'Itens de Contrato'!B72</f>
        <v>0</v>
      </c>
      <c r="C72" s="37" t="e">
        <f aca="false">VLOOKUP(B72,'Itens de Contrato'!B$5:G$151,2,0)</f>
        <v>#N/A</v>
      </c>
      <c r="D72" s="52"/>
      <c r="E72" s="63" t="n">
        <f aca="false">D72*'Itens de Contrato'!F72</f>
        <v>0</v>
      </c>
      <c r="F72" s="62" t="n">
        <f aca="false">'Medição 04'!F72-'Medição 04'!G72</f>
        <v>0</v>
      </c>
      <c r="G72" s="52"/>
      <c r="H72" s="64" t="e">
        <f aca="false">G72/D72</f>
        <v>#DIV/0!</v>
      </c>
      <c r="I72" s="63" t="n">
        <f aca="false">G72*'Itens de Contrato'!F72</f>
        <v>0</v>
      </c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</row>
    <row r="73" customFormat="false" ht="12.8" hidden="false" customHeight="false" outlineLevel="0" collapsed="false">
      <c r="A73" s="37" t="n">
        <f aca="false">'Itens de Contrato'!A73</f>
        <v>0</v>
      </c>
      <c r="B73" s="37" t="n">
        <f aca="false">'Itens de Contrato'!B73</f>
        <v>0</v>
      </c>
      <c r="C73" s="37" t="e">
        <f aca="false">VLOOKUP(B73,'Itens de Contrato'!B$5:G$151,2,0)</f>
        <v>#N/A</v>
      </c>
      <c r="D73" s="52"/>
      <c r="E73" s="63" t="n">
        <f aca="false">D73*'Itens de Contrato'!F73</f>
        <v>0</v>
      </c>
      <c r="F73" s="62" t="n">
        <f aca="false">'Medição 04'!F73-'Medição 04'!G73</f>
        <v>0</v>
      </c>
      <c r="G73" s="52"/>
      <c r="H73" s="64" t="e">
        <f aca="false">G73/D73</f>
        <v>#DIV/0!</v>
      </c>
      <c r="I73" s="63" t="n">
        <f aca="false">G73*'Itens de Contrato'!F73</f>
        <v>0</v>
      </c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</row>
    <row r="74" customFormat="false" ht="12.8" hidden="false" customHeight="false" outlineLevel="0" collapsed="false">
      <c r="A74" s="37" t="n">
        <f aca="false">'Itens de Contrato'!A74</f>
        <v>0</v>
      </c>
      <c r="B74" s="37" t="n">
        <f aca="false">'Itens de Contrato'!B74</f>
        <v>0</v>
      </c>
      <c r="C74" s="37" t="e">
        <f aca="false">VLOOKUP(B74,'Itens de Contrato'!B$5:G$151,2,0)</f>
        <v>#N/A</v>
      </c>
      <c r="D74" s="52"/>
      <c r="E74" s="63" t="n">
        <f aca="false">D74*'Itens de Contrato'!F74</f>
        <v>0</v>
      </c>
      <c r="F74" s="62" t="n">
        <f aca="false">'Medição 04'!F74-'Medição 04'!G74</f>
        <v>0</v>
      </c>
      <c r="G74" s="52"/>
      <c r="H74" s="64" t="e">
        <f aca="false">G74/D74</f>
        <v>#DIV/0!</v>
      </c>
      <c r="I74" s="63" t="n">
        <f aca="false">G74*'Itens de Contrato'!F74</f>
        <v>0</v>
      </c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</row>
    <row r="75" customFormat="false" ht="12.8" hidden="false" customHeight="false" outlineLevel="0" collapsed="false">
      <c r="A75" s="37" t="n">
        <f aca="false">'Itens de Contrato'!A75</f>
        <v>0</v>
      </c>
      <c r="B75" s="37" t="n">
        <f aca="false">'Itens de Contrato'!B75</f>
        <v>0</v>
      </c>
      <c r="C75" s="37" t="e">
        <f aca="false">VLOOKUP(B75,'Itens de Contrato'!B$5:G$151,2,0)</f>
        <v>#N/A</v>
      </c>
      <c r="D75" s="52"/>
      <c r="E75" s="63" t="n">
        <f aca="false">D75*'Itens de Contrato'!F75</f>
        <v>0</v>
      </c>
      <c r="F75" s="62" t="n">
        <f aca="false">'Medição 04'!F75-'Medição 04'!G75</f>
        <v>0</v>
      </c>
      <c r="G75" s="52"/>
      <c r="H75" s="64" t="e">
        <f aca="false">G75/D75</f>
        <v>#DIV/0!</v>
      </c>
      <c r="I75" s="63" t="n">
        <f aca="false">G75*'Itens de Contrato'!F75</f>
        <v>0</v>
      </c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</row>
    <row r="76" customFormat="false" ht="12.8" hidden="false" customHeight="false" outlineLevel="0" collapsed="false">
      <c r="A76" s="37" t="n">
        <f aca="false">'Itens de Contrato'!A76</f>
        <v>0</v>
      </c>
      <c r="B76" s="37" t="n">
        <f aca="false">'Itens de Contrato'!B76</f>
        <v>0</v>
      </c>
      <c r="C76" s="37" t="e">
        <f aca="false">VLOOKUP(B76,'Itens de Contrato'!B$5:G$151,2,0)</f>
        <v>#N/A</v>
      </c>
      <c r="D76" s="52"/>
      <c r="E76" s="63" t="n">
        <f aca="false">D76*'Itens de Contrato'!F76</f>
        <v>0</v>
      </c>
      <c r="F76" s="62" t="n">
        <f aca="false">'Medição 04'!F76-'Medição 04'!G76</f>
        <v>0</v>
      </c>
      <c r="G76" s="52"/>
      <c r="H76" s="64" t="e">
        <f aca="false">G76/D76</f>
        <v>#DIV/0!</v>
      </c>
      <c r="I76" s="63" t="n">
        <f aca="false">G76*'Itens de Contrato'!F76</f>
        <v>0</v>
      </c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</row>
    <row r="77" customFormat="false" ht="12.8" hidden="false" customHeight="false" outlineLevel="0" collapsed="false">
      <c r="A77" s="37" t="n">
        <f aca="false">'Itens de Contrato'!A77</f>
        <v>0</v>
      </c>
      <c r="B77" s="37" t="n">
        <f aca="false">'Itens de Contrato'!B77</f>
        <v>0</v>
      </c>
      <c r="C77" s="37" t="e">
        <f aca="false">VLOOKUP(B77,'Itens de Contrato'!B$5:G$151,2,0)</f>
        <v>#N/A</v>
      </c>
      <c r="D77" s="52"/>
      <c r="E77" s="63" t="n">
        <f aca="false">D77*'Itens de Contrato'!F77</f>
        <v>0</v>
      </c>
      <c r="F77" s="62" t="n">
        <f aca="false">'Medição 04'!F77-'Medição 04'!G77</f>
        <v>0</v>
      </c>
      <c r="G77" s="52"/>
      <c r="H77" s="64" t="e">
        <f aca="false">G77/D77</f>
        <v>#DIV/0!</v>
      </c>
      <c r="I77" s="63" t="n">
        <f aca="false">G77*'Itens de Contrato'!F77</f>
        <v>0</v>
      </c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</row>
    <row r="78" customFormat="false" ht="12.8" hidden="false" customHeight="false" outlineLevel="0" collapsed="false">
      <c r="A78" s="37" t="n">
        <f aca="false">'Itens de Contrato'!A78</f>
        <v>0</v>
      </c>
      <c r="B78" s="37" t="n">
        <f aca="false">'Itens de Contrato'!B78</f>
        <v>0</v>
      </c>
      <c r="C78" s="37" t="e">
        <f aca="false">VLOOKUP(B78,'Itens de Contrato'!B$5:G$151,2,0)</f>
        <v>#N/A</v>
      </c>
      <c r="D78" s="52"/>
      <c r="E78" s="63" t="n">
        <f aca="false">D78*'Itens de Contrato'!F78</f>
        <v>0</v>
      </c>
      <c r="F78" s="62" t="n">
        <f aca="false">'Medição 04'!F78-'Medição 04'!G78</f>
        <v>0</v>
      </c>
      <c r="G78" s="52"/>
      <c r="H78" s="64" t="e">
        <f aca="false">G78/D78</f>
        <v>#DIV/0!</v>
      </c>
      <c r="I78" s="63" t="n">
        <f aca="false">G78*'Itens de Contrato'!F78</f>
        <v>0</v>
      </c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</row>
    <row r="79" customFormat="false" ht="12.8" hidden="false" customHeight="false" outlineLevel="0" collapsed="false">
      <c r="A79" s="37" t="n">
        <f aca="false">'Itens de Contrato'!A79</f>
        <v>0</v>
      </c>
      <c r="B79" s="37" t="n">
        <f aca="false">'Itens de Contrato'!B79</f>
        <v>0</v>
      </c>
      <c r="C79" s="37" t="e">
        <f aca="false">VLOOKUP(B79,'Itens de Contrato'!B$5:G$151,2,0)</f>
        <v>#N/A</v>
      </c>
      <c r="D79" s="52"/>
      <c r="E79" s="63" t="n">
        <f aca="false">D79*'Itens de Contrato'!F79</f>
        <v>0</v>
      </c>
      <c r="F79" s="62" t="n">
        <f aca="false">'Medição 04'!F79-'Medição 04'!G79</f>
        <v>0</v>
      </c>
      <c r="G79" s="52"/>
      <c r="H79" s="64" t="e">
        <f aca="false">G79/D79</f>
        <v>#DIV/0!</v>
      </c>
      <c r="I79" s="63" t="n">
        <f aca="false">G79*'Itens de Contrato'!F79</f>
        <v>0</v>
      </c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</row>
    <row r="80" customFormat="false" ht="12.8" hidden="false" customHeight="false" outlineLevel="0" collapsed="false">
      <c r="A80" s="37" t="n">
        <f aca="false">'Itens de Contrato'!A80</f>
        <v>0</v>
      </c>
      <c r="B80" s="37" t="n">
        <f aca="false">'Itens de Contrato'!B80</f>
        <v>0</v>
      </c>
      <c r="C80" s="37" t="e">
        <f aca="false">VLOOKUP(B80,'Itens de Contrato'!B$5:G$151,2,0)</f>
        <v>#N/A</v>
      </c>
      <c r="D80" s="52"/>
      <c r="E80" s="63" t="n">
        <f aca="false">D80*'Itens de Contrato'!F80</f>
        <v>0</v>
      </c>
      <c r="F80" s="62" t="n">
        <f aca="false">'Medição 04'!F80-'Medição 04'!G80</f>
        <v>0</v>
      </c>
      <c r="G80" s="52"/>
      <c r="H80" s="64" t="e">
        <f aca="false">G80/D80</f>
        <v>#DIV/0!</v>
      </c>
      <c r="I80" s="63" t="n">
        <f aca="false">G80*'Itens de Contrato'!F80</f>
        <v>0</v>
      </c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</row>
    <row r="81" customFormat="false" ht="12.8" hidden="false" customHeight="false" outlineLevel="0" collapsed="false">
      <c r="A81" s="37" t="n">
        <f aca="false">'Itens de Contrato'!A81</f>
        <v>0</v>
      </c>
      <c r="B81" s="37" t="n">
        <f aca="false">'Itens de Contrato'!B81</f>
        <v>0</v>
      </c>
      <c r="C81" s="37" t="e">
        <f aca="false">VLOOKUP(B81,'Itens de Contrato'!B$5:G$151,2,0)</f>
        <v>#N/A</v>
      </c>
      <c r="D81" s="52"/>
      <c r="E81" s="63" t="n">
        <f aca="false">D81*'Itens de Contrato'!F81</f>
        <v>0</v>
      </c>
      <c r="F81" s="62" t="n">
        <f aca="false">'Medição 04'!F81-'Medição 04'!G81</f>
        <v>0</v>
      </c>
      <c r="G81" s="52"/>
      <c r="H81" s="64" t="e">
        <f aca="false">G81/D81</f>
        <v>#DIV/0!</v>
      </c>
      <c r="I81" s="63" t="n">
        <f aca="false">G81*'Itens de Contrato'!F81</f>
        <v>0</v>
      </c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</row>
    <row r="82" customFormat="false" ht="12.8" hidden="false" customHeight="false" outlineLevel="0" collapsed="false">
      <c r="A82" s="37" t="n">
        <f aca="false">'Itens de Contrato'!A82</f>
        <v>0</v>
      </c>
      <c r="B82" s="37" t="n">
        <f aca="false">'Itens de Contrato'!B82</f>
        <v>0</v>
      </c>
      <c r="C82" s="37" t="e">
        <f aca="false">VLOOKUP(B82,'Itens de Contrato'!B$5:G$151,2,0)</f>
        <v>#N/A</v>
      </c>
      <c r="D82" s="52"/>
      <c r="E82" s="63" t="n">
        <f aca="false">D82*'Itens de Contrato'!F82</f>
        <v>0</v>
      </c>
      <c r="F82" s="62" t="n">
        <f aca="false">'Medição 04'!F82-'Medição 04'!G82</f>
        <v>0</v>
      </c>
      <c r="G82" s="52"/>
      <c r="H82" s="64" t="e">
        <f aca="false">G82/D82</f>
        <v>#DIV/0!</v>
      </c>
      <c r="I82" s="63" t="n">
        <f aca="false">G82*'Itens de Contrato'!F82</f>
        <v>0</v>
      </c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</row>
    <row r="83" customFormat="false" ht="12.8" hidden="false" customHeight="false" outlineLevel="0" collapsed="false">
      <c r="A83" s="37" t="n">
        <f aca="false">'Itens de Contrato'!A83</f>
        <v>0</v>
      </c>
      <c r="B83" s="37" t="n">
        <f aca="false">'Itens de Contrato'!B83</f>
        <v>0</v>
      </c>
      <c r="C83" s="37" t="e">
        <f aca="false">VLOOKUP(B83,'Itens de Contrato'!B$5:G$151,2,0)</f>
        <v>#N/A</v>
      </c>
      <c r="D83" s="52"/>
      <c r="E83" s="63" t="n">
        <f aca="false">D83*'Itens de Contrato'!F83</f>
        <v>0</v>
      </c>
      <c r="F83" s="62" t="n">
        <f aca="false">'Medição 04'!F83-'Medição 04'!G83</f>
        <v>0</v>
      </c>
      <c r="G83" s="52"/>
      <c r="H83" s="64" t="e">
        <f aca="false">G83/D83</f>
        <v>#DIV/0!</v>
      </c>
      <c r="I83" s="63" t="n">
        <f aca="false">G83*'Itens de Contrato'!F83</f>
        <v>0</v>
      </c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</row>
    <row r="84" customFormat="false" ht="12.8" hidden="false" customHeight="false" outlineLevel="0" collapsed="false">
      <c r="A84" s="37" t="n">
        <f aca="false">'Itens de Contrato'!A84</f>
        <v>0</v>
      </c>
      <c r="B84" s="37" t="n">
        <f aca="false">'Itens de Contrato'!B84</f>
        <v>0</v>
      </c>
      <c r="C84" s="37" t="e">
        <f aca="false">VLOOKUP(B84,'Itens de Contrato'!B$5:G$151,2,0)</f>
        <v>#N/A</v>
      </c>
      <c r="D84" s="52"/>
      <c r="E84" s="63" t="n">
        <f aca="false">D84*'Itens de Contrato'!F84</f>
        <v>0</v>
      </c>
      <c r="F84" s="62" t="n">
        <f aca="false">'Medição 04'!F84-'Medição 04'!G84</f>
        <v>0</v>
      </c>
      <c r="G84" s="52"/>
      <c r="H84" s="64" t="e">
        <f aca="false">G84/D84</f>
        <v>#DIV/0!</v>
      </c>
      <c r="I84" s="63" t="n">
        <f aca="false">G84*'Itens de Contrato'!F84</f>
        <v>0</v>
      </c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</row>
    <row r="85" customFormat="false" ht="12.8" hidden="false" customHeight="false" outlineLevel="0" collapsed="false">
      <c r="A85" s="37" t="n">
        <f aca="false">'Itens de Contrato'!A85</f>
        <v>0</v>
      </c>
      <c r="B85" s="37" t="n">
        <f aca="false">'Itens de Contrato'!B85</f>
        <v>0</v>
      </c>
      <c r="C85" s="37" t="e">
        <f aca="false">VLOOKUP(B85,'Itens de Contrato'!B$5:G$151,2,0)</f>
        <v>#N/A</v>
      </c>
      <c r="D85" s="52"/>
      <c r="E85" s="63" t="n">
        <f aca="false">D85*'Itens de Contrato'!F85</f>
        <v>0</v>
      </c>
      <c r="F85" s="62" t="n">
        <f aca="false">'Medição 04'!F85-'Medição 04'!G85</f>
        <v>0</v>
      </c>
      <c r="G85" s="52"/>
      <c r="H85" s="64" t="e">
        <f aca="false">G85/D85</f>
        <v>#DIV/0!</v>
      </c>
      <c r="I85" s="63" t="n">
        <f aca="false">G85*'Itens de Contrato'!F85</f>
        <v>0</v>
      </c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</row>
    <row r="86" customFormat="false" ht="12.8" hidden="false" customHeight="false" outlineLevel="0" collapsed="false">
      <c r="A86" s="37" t="n">
        <f aca="false">'Itens de Contrato'!A86</f>
        <v>0</v>
      </c>
      <c r="B86" s="37" t="n">
        <f aca="false">'Itens de Contrato'!B86</f>
        <v>0</v>
      </c>
      <c r="C86" s="37" t="e">
        <f aca="false">VLOOKUP(B86,'Itens de Contrato'!B$5:G$151,2,0)</f>
        <v>#N/A</v>
      </c>
      <c r="D86" s="52"/>
      <c r="E86" s="63" t="n">
        <f aca="false">D86*'Itens de Contrato'!F86</f>
        <v>0</v>
      </c>
      <c r="F86" s="62" t="n">
        <f aca="false">'Medição 04'!F86-'Medição 04'!G86</f>
        <v>0</v>
      </c>
      <c r="G86" s="52"/>
      <c r="H86" s="64" t="e">
        <f aca="false">G86/D86</f>
        <v>#DIV/0!</v>
      </c>
      <c r="I86" s="63" t="n">
        <f aca="false">G86*'Itens de Contrato'!F86</f>
        <v>0</v>
      </c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</row>
    <row r="87" customFormat="false" ht="12.8" hidden="false" customHeight="false" outlineLevel="0" collapsed="false">
      <c r="A87" s="37" t="n">
        <f aca="false">'Itens de Contrato'!A87</f>
        <v>0</v>
      </c>
      <c r="B87" s="37" t="n">
        <f aca="false">'Itens de Contrato'!B87</f>
        <v>0</v>
      </c>
      <c r="C87" s="37" t="e">
        <f aca="false">VLOOKUP(B87,'Itens de Contrato'!B$5:G$151,2,0)</f>
        <v>#N/A</v>
      </c>
      <c r="D87" s="52"/>
      <c r="E87" s="63" t="n">
        <f aca="false">D87*'Itens de Contrato'!F87</f>
        <v>0</v>
      </c>
      <c r="F87" s="62" t="n">
        <f aca="false">'Medição 04'!F87-'Medição 04'!G87</f>
        <v>0</v>
      </c>
      <c r="G87" s="52"/>
      <c r="H87" s="64" t="e">
        <f aca="false">G87/D87</f>
        <v>#DIV/0!</v>
      </c>
      <c r="I87" s="63" t="n">
        <f aca="false">G87*'Itens de Contrato'!F87</f>
        <v>0</v>
      </c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</row>
    <row r="88" customFormat="false" ht="12.8" hidden="false" customHeight="false" outlineLevel="0" collapsed="false">
      <c r="A88" s="37" t="n">
        <f aca="false">'Itens de Contrato'!A88</f>
        <v>0</v>
      </c>
      <c r="B88" s="37" t="n">
        <f aca="false">'Itens de Contrato'!B88</f>
        <v>0</v>
      </c>
      <c r="C88" s="37" t="e">
        <f aca="false">VLOOKUP(B88,'Itens de Contrato'!B$5:G$151,2,0)</f>
        <v>#N/A</v>
      </c>
      <c r="D88" s="52"/>
      <c r="E88" s="63" t="n">
        <f aca="false">D88*'Itens de Contrato'!F88</f>
        <v>0</v>
      </c>
      <c r="F88" s="62" t="n">
        <f aca="false">'Medição 04'!F88-'Medição 04'!G88</f>
        <v>0</v>
      </c>
      <c r="G88" s="52"/>
      <c r="H88" s="64" t="e">
        <f aca="false">G88/D88</f>
        <v>#DIV/0!</v>
      </c>
      <c r="I88" s="63" t="n">
        <f aca="false">G88*'Itens de Contrato'!F88</f>
        <v>0</v>
      </c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</row>
    <row r="89" customFormat="false" ht="12.8" hidden="false" customHeight="false" outlineLevel="0" collapsed="false">
      <c r="A89" s="37" t="n">
        <f aca="false">'Itens de Contrato'!A89</f>
        <v>0</v>
      </c>
      <c r="B89" s="37" t="n">
        <f aca="false">'Itens de Contrato'!B89</f>
        <v>0</v>
      </c>
      <c r="C89" s="37" t="e">
        <f aca="false">VLOOKUP(B89,'Itens de Contrato'!B$5:G$151,2,0)</f>
        <v>#N/A</v>
      </c>
      <c r="D89" s="52"/>
      <c r="E89" s="63" t="n">
        <f aca="false">D89*'Itens de Contrato'!F89</f>
        <v>0</v>
      </c>
      <c r="F89" s="62" t="n">
        <f aca="false">'Medição 04'!F89-'Medição 04'!G89</f>
        <v>0</v>
      </c>
      <c r="G89" s="52"/>
      <c r="H89" s="64" t="e">
        <f aca="false">G89/D89</f>
        <v>#DIV/0!</v>
      </c>
      <c r="I89" s="63" t="n">
        <f aca="false">G89*'Itens de Contrato'!F89</f>
        <v>0</v>
      </c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</row>
    <row r="90" customFormat="false" ht="12.8" hidden="false" customHeight="false" outlineLevel="0" collapsed="false">
      <c r="A90" s="37" t="n">
        <f aca="false">'Itens de Contrato'!A90</f>
        <v>0</v>
      </c>
      <c r="B90" s="37" t="n">
        <f aca="false">'Itens de Contrato'!B90</f>
        <v>0</v>
      </c>
      <c r="C90" s="37" t="e">
        <f aca="false">VLOOKUP(B90,'Itens de Contrato'!B$5:G$151,2,0)</f>
        <v>#N/A</v>
      </c>
      <c r="D90" s="52"/>
      <c r="E90" s="63" t="n">
        <f aca="false">D90*'Itens de Contrato'!F90</f>
        <v>0</v>
      </c>
      <c r="F90" s="62" t="n">
        <f aca="false">'Medição 04'!F90-'Medição 04'!G90</f>
        <v>0</v>
      </c>
      <c r="G90" s="52"/>
      <c r="H90" s="64" t="e">
        <f aca="false">G90/D90</f>
        <v>#DIV/0!</v>
      </c>
      <c r="I90" s="63" t="n">
        <f aca="false">G90*'Itens de Contrato'!F90</f>
        <v>0</v>
      </c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</row>
    <row r="91" customFormat="false" ht="12.8" hidden="false" customHeight="false" outlineLevel="0" collapsed="false">
      <c r="A91" s="37" t="n">
        <f aca="false">'Itens de Contrato'!A91</f>
        <v>0</v>
      </c>
      <c r="B91" s="37" t="n">
        <f aca="false">'Itens de Contrato'!B91</f>
        <v>0</v>
      </c>
      <c r="C91" s="37" t="e">
        <f aca="false">VLOOKUP(B91,'Itens de Contrato'!B$5:G$151,2,0)</f>
        <v>#N/A</v>
      </c>
      <c r="D91" s="52"/>
      <c r="E91" s="63" t="n">
        <f aca="false">D91*'Itens de Contrato'!F91</f>
        <v>0</v>
      </c>
      <c r="F91" s="62" t="n">
        <f aca="false">'Medição 04'!F91-'Medição 04'!G91</f>
        <v>0</v>
      </c>
      <c r="G91" s="52"/>
      <c r="H91" s="64" t="e">
        <f aca="false">G91/D91</f>
        <v>#DIV/0!</v>
      </c>
      <c r="I91" s="63" t="n">
        <f aca="false">G91*'Itens de Contrato'!F91</f>
        <v>0</v>
      </c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customFormat="false" ht="12.8" hidden="false" customHeight="false" outlineLevel="0" collapsed="false">
      <c r="A92" s="37" t="n">
        <f aca="false">'Itens de Contrato'!A92</f>
        <v>0</v>
      </c>
      <c r="B92" s="37" t="n">
        <f aca="false">'Itens de Contrato'!B92</f>
        <v>0</v>
      </c>
      <c r="C92" s="37" t="e">
        <f aca="false">VLOOKUP(B92,'Itens de Contrato'!B$5:G$151,2,0)</f>
        <v>#N/A</v>
      </c>
      <c r="D92" s="52"/>
      <c r="E92" s="63" t="n">
        <f aca="false">D92*'Itens de Contrato'!F92</f>
        <v>0</v>
      </c>
      <c r="F92" s="62" t="n">
        <f aca="false">'Medição 04'!F92-'Medição 04'!G92</f>
        <v>0</v>
      </c>
      <c r="G92" s="52"/>
      <c r="H92" s="64" t="e">
        <f aca="false">G92/D92</f>
        <v>#DIV/0!</v>
      </c>
      <c r="I92" s="63" t="n">
        <f aca="false">G92*'Itens de Contrato'!F92</f>
        <v>0</v>
      </c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</row>
    <row r="93" customFormat="false" ht="12.8" hidden="false" customHeight="false" outlineLevel="0" collapsed="false">
      <c r="A93" s="37" t="n">
        <f aca="false">'Itens de Contrato'!A93</f>
        <v>0</v>
      </c>
      <c r="B93" s="37" t="n">
        <f aca="false">'Itens de Contrato'!B93</f>
        <v>0</v>
      </c>
      <c r="C93" s="37" t="e">
        <f aca="false">VLOOKUP(B93,'Itens de Contrato'!B$5:G$151,2,0)</f>
        <v>#N/A</v>
      </c>
      <c r="D93" s="52"/>
      <c r="E93" s="63" t="n">
        <f aca="false">D93*'Itens de Contrato'!F93</f>
        <v>0</v>
      </c>
      <c r="F93" s="62" t="n">
        <f aca="false">'Medição 04'!F93-'Medição 04'!G93</f>
        <v>0</v>
      </c>
      <c r="G93" s="52"/>
      <c r="H93" s="64" t="e">
        <f aca="false">G93/D93</f>
        <v>#DIV/0!</v>
      </c>
      <c r="I93" s="63" t="n">
        <f aca="false">G93*'Itens de Contrato'!F93</f>
        <v>0</v>
      </c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</row>
    <row r="94" customFormat="false" ht="12.8" hidden="false" customHeight="false" outlineLevel="0" collapsed="false">
      <c r="A94" s="37" t="n">
        <f aca="false">'Itens de Contrato'!A94</f>
        <v>0</v>
      </c>
      <c r="B94" s="37" t="n">
        <f aca="false">'Itens de Contrato'!B94</f>
        <v>0</v>
      </c>
      <c r="C94" s="37" t="e">
        <f aca="false">VLOOKUP(B94,'Itens de Contrato'!B$5:G$151,2,0)</f>
        <v>#N/A</v>
      </c>
      <c r="D94" s="52"/>
      <c r="E94" s="63" t="n">
        <f aca="false">D94*'Itens de Contrato'!F94</f>
        <v>0</v>
      </c>
      <c r="F94" s="62" t="n">
        <f aca="false">'Medição 04'!F94-'Medição 04'!G94</f>
        <v>0</v>
      </c>
      <c r="G94" s="52"/>
      <c r="H94" s="64" t="e">
        <f aca="false">G94/D94</f>
        <v>#DIV/0!</v>
      </c>
      <c r="I94" s="63" t="n">
        <f aca="false">G94*'Itens de Contrato'!F94</f>
        <v>0</v>
      </c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</row>
    <row r="95" customFormat="false" ht="12.8" hidden="false" customHeight="false" outlineLevel="0" collapsed="false">
      <c r="A95" s="37" t="n">
        <f aca="false">'Itens de Contrato'!A95</f>
        <v>0</v>
      </c>
      <c r="B95" s="37" t="n">
        <f aca="false">'Itens de Contrato'!B95</f>
        <v>0</v>
      </c>
      <c r="C95" s="37" t="e">
        <f aca="false">VLOOKUP(B95,'Itens de Contrato'!B$5:G$151,2,0)</f>
        <v>#N/A</v>
      </c>
      <c r="D95" s="52"/>
      <c r="E95" s="63" t="n">
        <f aca="false">D95*'Itens de Contrato'!F95</f>
        <v>0</v>
      </c>
      <c r="F95" s="62" t="n">
        <f aca="false">'Medição 04'!F95-'Medição 04'!G95</f>
        <v>0</v>
      </c>
      <c r="G95" s="52"/>
      <c r="H95" s="64" t="e">
        <f aca="false">G95/D95</f>
        <v>#DIV/0!</v>
      </c>
      <c r="I95" s="63" t="n">
        <f aca="false">G95*'Itens de Contrato'!F95</f>
        <v>0</v>
      </c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</row>
    <row r="96" customFormat="false" ht="12.8" hidden="false" customHeight="false" outlineLevel="0" collapsed="false">
      <c r="A96" s="37" t="n">
        <f aca="false">'Itens de Contrato'!A96</f>
        <v>0</v>
      </c>
      <c r="B96" s="37" t="n">
        <f aca="false">'Itens de Contrato'!B96</f>
        <v>0</v>
      </c>
      <c r="C96" s="37" t="e">
        <f aca="false">VLOOKUP(B96,'Itens de Contrato'!B$5:G$151,2,0)</f>
        <v>#N/A</v>
      </c>
      <c r="D96" s="52"/>
      <c r="E96" s="63" t="n">
        <f aca="false">D96*'Itens de Contrato'!F96</f>
        <v>0</v>
      </c>
      <c r="F96" s="62" t="n">
        <f aca="false">'Medição 04'!F96-'Medição 04'!G96</f>
        <v>0</v>
      </c>
      <c r="G96" s="52"/>
      <c r="H96" s="64" t="e">
        <f aca="false">G96/D96</f>
        <v>#DIV/0!</v>
      </c>
      <c r="I96" s="63" t="n">
        <f aca="false">G96*'Itens de Contrato'!F96</f>
        <v>0</v>
      </c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</row>
    <row r="97" customFormat="false" ht="12.8" hidden="false" customHeight="false" outlineLevel="0" collapsed="false">
      <c r="A97" s="37" t="n">
        <f aca="false">'Itens de Contrato'!A97</f>
        <v>0</v>
      </c>
      <c r="B97" s="37" t="n">
        <f aca="false">'Itens de Contrato'!B97</f>
        <v>0</v>
      </c>
      <c r="C97" s="37" t="e">
        <f aca="false">VLOOKUP(B97,'Itens de Contrato'!B$5:G$151,2,0)</f>
        <v>#N/A</v>
      </c>
      <c r="D97" s="52"/>
      <c r="E97" s="63" t="n">
        <f aca="false">D97*'Itens de Contrato'!F97</f>
        <v>0</v>
      </c>
      <c r="F97" s="62" t="n">
        <f aca="false">'Medição 04'!F97-'Medição 04'!G97</f>
        <v>0</v>
      </c>
      <c r="G97" s="52"/>
      <c r="H97" s="64" t="e">
        <f aca="false">G97/D97</f>
        <v>#DIV/0!</v>
      </c>
      <c r="I97" s="63" t="n">
        <f aca="false">G97*'Itens de Contrato'!F97</f>
        <v>0</v>
      </c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</row>
    <row r="98" customFormat="false" ht="12.8" hidden="false" customHeight="false" outlineLevel="0" collapsed="false">
      <c r="A98" s="37" t="n">
        <f aca="false">'Itens de Contrato'!A98</f>
        <v>0</v>
      </c>
      <c r="B98" s="37" t="n">
        <f aca="false">'Itens de Contrato'!B98</f>
        <v>0</v>
      </c>
      <c r="C98" s="37" t="e">
        <f aca="false">VLOOKUP(B98,'Itens de Contrato'!B$5:G$151,2,0)</f>
        <v>#N/A</v>
      </c>
      <c r="D98" s="52"/>
      <c r="E98" s="63" t="n">
        <f aca="false">D98*'Itens de Contrato'!F98</f>
        <v>0</v>
      </c>
      <c r="F98" s="62" t="n">
        <f aca="false">'Medição 04'!F98-'Medição 04'!G98</f>
        <v>0</v>
      </c>
      <c r="G98" s="52"/>
      <c r="H98" s="64" t="e">
        <f aca="false">G98/D98</f>
        <v>#DIV/0!</v>
      </c>
      <c r="I98" s="63" t="n">
        <f aca="false">G98*'Itens de Contrato'!F98</f>
        <v>0</v>
      </c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</row>
    <row r="99" customFormat="false" ht="12.8" hidden="false" customHeight="false" outlineLevel="0" collapsed="false">
      <c r="A99" s="37" t="n">
        <f aca="false">'Itens de Contrato'!A99</f>
        <v>0</v>
      </c>
      <c r="B99" s="37" t="n">
        <f aca="false">'Itens de Contrato'!B99</f>
        <v>0</v>
      </c>
      <c r="C99" s="37" t="e">
        <f aca="false">VLOOKUP(B99,'Itens de Contrato'!B$5:G$151,2,0)</f>
        <v>#N/A</v>
      </c>
      <c r="D99" s="52"/>
      <c r="E99" s="63" t="n">
        <f aca="false">D99*'Itens de Contrato'!F99</f>
        <v>0</v>
      </c>
      <c r="F99" s="62" t="n">
        <f aca="false">'Medição 04'!F99-'Medição 04'!G99</f>
        <v>0</v>
      </c>
      <c r="G99" s="52"/>
      <c r="H99" s="64" t="e">
        <f aca="false">G99/D99</f>
        <v>#DIV/0!</v>
      </c>
      <c r="I99" s="63" t="n">
        <f aca="false">G99*'Itens de Contrato'!F99</f>
        <v>0</v>
      </c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</row>
    <row r="100" customFormat="false" ht="12.8" hidden="false" customHeight="false" outlineLevel="0" collapsed="false">
      <c r="A100" s="37" t="n">
        <f aca="false">'Itens de Contrato'!A100</f>
        <v>0</v>
      </c>
      <c r="B100" s="37" t="n">
        <f aca="false">'Itens de Contrato'!B100</f>
        <v>0</v>
      </c>
      <c r="C100" s="37" t="e">
        <f aca="false">VLOOKUP(B100,'Itens de Contrato'!B$5:G$151,2,0)</f>
        <v>#N/A</v>
      </c>
      <c r="D100" s="52"/>
      <c r="E100" s="63" t="n">
        <f aca="false">D100*'Itens de Contrato'!F100</f>
        <v>0</v>
      </c>
      <c r="F100" s="62" t="n">
        <f aca="false">'Medição 04'!F100-'Medição 04'!G100</f>
        <v>0</v>
      </c>
      <c r="G100" s="52"/>
      <c r="H100" s="64" t="e">
        <f aca="false">G100/D100</f>
        <v>#DIV/0!</v>
      </c>
      <c r="I100" s="63" t="n">
        <f aca="false">G100*'Itens de Contrato'!F100</f>
        <v>0</v>
      </c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customFormat="false" ht="12.8" hidden="false" customHeight="false" outlineLevel="0" collapsed="false">
      <c r="A101" s="37" t="n">
        <f aca="false">'Itens de Contrato'!A101</f>
        <v>0</v>
      </c>
      <c r="B101" s="37" t="n">
        <f aca="false">'Itens de Contrato'!B101</f>
        <v>0</v>
      </c>
      <c r="C101" s="37" t="e">
        <f aca="false">VLOOKUP(B101,'Itens de Contrato'!B$5:G$151,2,0)</f>
        <v>#N/A</v>
      </c>
      <c r="D101" s="52"/>
      <c r="E101" s="63" t="n">
        <f aca="false">D101*'Itens de Contrato'!F101</f>
        <v>0</v>
      </c>
      <c r="F101" s="62" t="n">
        <f aca="false">'Medição 04'!F101-'Medição 04'!G101</f>
        <v>0</v>
      </c>
      <c r="G101" s="52"/>
      <c r="H101" s="64" t="e">
        <f aca="false">G101/D101</f>
        <v>#DIV/0!</v>
      </c>
      <c r="I101" s="63" t="n">
        <f aca="false">G101*'Itens de Contrato'!F101</f>
        <v>0</v>
      </c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customFormat="false" ht="12.8" hidden="false" customHeight="false" outlineLevel="0" collapsed="false">
      <c r="A102" s="37" t="n">
        <f aca="false">'Itens de Contrato'!A102</f>
        <v>0</v>
      </c>
      <c r="B102" s="37" t="n">
        <f aca="false">'Itens de Contrato'!B102</f>
        <v>0</v>
      </c>
      <c r="C102" s="37" t="e">
        <f aca="false">VLOOKUP(B102,'Itens de Contrato'!B$5:G$151,2,0)</f>
        <v>#N/A</v>
      </c>
      <c r="D102" s="52"/>
      <c r="E102" s="63" t="n">
        <f aca="false">D102*'Itens de Contrato'!F102</f>
        <v>0</v>
      </c>
      <c r="F102" s="62" t="n">
        <f aca="false">'Medição 04'!F102-'Medição 04'!G102</f>
        <v>0</v>
      </c>
      <c r="G102" s="52"/>
      <c r="H102" s="64" t="e">
        <f aca="false">G102/D102</f>
        <v>#DIV/0!</v>
      </c>
      <c r="I102" s="63" t="n">
        <f aca="false">G102*'Itens de Contrato'!F102</f>
        <v>0</v>
      </c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</row>
    <row r="103" customFormat="false" ht="12.8" hidden="false" customHeight="false" outlineLevel="0" collapsed="false">
      <c r="A103" s="37" t="n">
        <f aca="false">'Itens de Contrato'!A103</f>
        <v>0</v>
      </c>
      <c r="B103" s="37" t="n">
        <f aca="false">'Itens de Contrato'!B103</f>
        <v>0</v>
      </c>
      <c r="C103" s="37" t="e">
        <f aca="false">VLOOKUP(B103,'Itens de Contrato'!B$5:G$151,2,0)</f>
        <v>#N/A</v>
      </c>
      <c r="D103" s="52"/>
      <c r="E103" s="63" t="n">
        <f aca="false">D103*'Itens de Contrato'!F103</f>
        <v>0</v>
      </c>
      <c r="F103" s="62" t="n">
        <f aca="false">'Medição 04'!F103-'Medição 04'!G103</f>
        <v>0</v>
      </c>
      <c r="G103" s="52"/>
      <c r="H103" s="64" t="e">
        <f aca="false">G103/D103</f>
        <v>#DIV/0!</v>
      </c>
      <c r="I103" s="63" t="n">
        <f aca="false">G103*'Itens de Contrato'!F103</f>
        <v>0</v>
      </c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</row>
    <row r="104" customFormat="false" ht="12.8" hidden="false" customHeight="false" outlineLevel="0" collapsed="false">
      <c r="A104" s="37" t="n">
        <f aca="false">'Itens de Contrato'!A104</f>
        <v>0</v>
      </c>
      <c r="B104" s="37" t="n">
        <f aca="false">'Itens de Contrato'!B104</f>
        <v>0</v>
      </c>
      <c r="C104" s="37" t="e">
        <f aca="false">VLOOKUP(B104,'Itens de Contrato'!B$5:G$151,2,0)</f>
        <v>#N/A</v>
      </c>
      <c r="D104" s="52"/>
      <c r="E104" s="63" t="n">
        <f aca="false">D104*'Itens de Contrato'!F104</f>
        <v>0</v>
      </c>
      <c r="F104" s="62" t="n">
        <f aca="false">'Medição 04'!F104-'Medição 04'!G104</f>
        <v>0</v>
      </c>
      <c r="G104" s="52"/>
      <c r="H104" s="64" t="e">
        <f aca="false">G104/D104</f>
        <v>#DIV/0!</v>
      </c>
      <c r="I104" s="63" t="n">
        <f aca="false">G104*'Itens de Contrato'!F104</f>
        <v>0</v>
      </c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</row>
    <row r="105" customFormat="false" ht="12.8" hidden="false" customHeight="false" outlineLevel="0" collapsed="false">
      <c r="A105" s="37" t="n">
        <f aca="false">'Itens de Contrato'!A105</f>
        <v>0</v>
      </c>
      <c r="B105" s="37" t="n">
        <f aca="false">'Itens de Contrato'!B105</f>
        <v>0</v>
      </c>
      <c r="C105" s="37" t="e">
        <f aca="false">VLOOKUP(B105,'Itens de Contrato'!B$5:G$151,2,0)</f>
        <v>#N/A</v>
      </c>
      <c r="D105" s="52"/>
      <c r="E105" s="63" t="n">
        <f aca="false">D105*'Itens de Contrato'!F105</f>
        <v>0</v>
      </c>
      <c r="F105" s="62" t="n">
        <f aca="false">'Medição 04'!F105-'Medição 04'!G105</f>
        <v>0</v>
      </c>
      <c r="G105" s="52"/>
      <c r="H105" s="64" t="e">
        <f aca="false">G105/D105</f>
        <v>#DIV/0!</v>
      </c>
      <c r="I105" s="63" t="n">
        <f aca="false">G105*'Itens de Contrato'!F105</f>
        <v>0</v>
      </c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</row>
    <row r="106" customFormat="false" ht="12.8" hidden="false" customHeight="false" outlineLevel="0" collapsed="false">
      <c r="A106" s="37" t="n">
        <f aca="false">'Itens de Contrato'!A106</f>
        <v>0</v>
      </c>
      <c r="B106" s="37" t="n">
        <f aca="false">'Itens de Contrato'!B106</f>
        <v>0</v>
      </c>
      <c r="C106" s="37" t="e">
        <f aca="false">VLOOKUP(B106,'Itens de Contrato'!B$5:G$151,2,0)</f>
        <v>#N/A</v>
      </c>
      <c r="D106" s="52"/>
      <c r="E106" s="63" t="n">
        <f aca="false">D106*'Itens de Contrato'!F106</f>
        <v>0</v>
      </c>
      <c r="F106" s="62" t="n">
        <f aca="false">'Medição 04'!F106-'Medição 04'!G106</f>
        <v>0</v>
      </c>
      <c r="G106" s="52"/>
      <c r="H106" s="64" t="e">
        <f aca="false">G106/D106</f>
        <v>#DIV/0!</v>
      </c>
      <c r="I106" s="63" t="n">
        <f aca="false">G106*'Itens de Contrato'!F106</f>
        <v>0</v>
      </c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</row>
    <row r="107" customFormat="false" ht="12.8" hidden="false" customHeight="false" outlineLevel="0" collapsed="false">
      <c r="A107" s="37" t="n">
        <f aca="false">'Itens de Contrato'!A107</f>
        <v>0</v>
      </c>
      <c r="B107" s="37" t="n">
        <f aca="false">'Itens de Contrato'!B107</f>
        <v>0</v>
      </c>
      <c r="C107" s="37" t="e">
        <f aca="false">VLOOKUP(B107,'Itens de Contrato'!B$5:G$151,2,0)</f>
        <v>#N/A</v>
      </c>
      <c r="D107" s="52"/>
      <c r="E107" s="63" t="n">
        <f aca="false">D107*'Itens de Contrato'!F107</f>
        <v>0</v>
      </c>
      <c r="F107" s="62" t="n">
        <f aca="false">'Medição 04'!F107-'Medição 04'!G107</f>
        <v>0</v>
      </c>
      <c r="G107" s="52"/>
      <c r="H107" s="64" t="e">
        <f aca="false">G107/D107</f>
        <v>#DIV/0!</v>
      </c>
      <c r="I107" s="63" t="n">
        <f aca="false">G107*'Itens de Contrato'!F107</f>
        <v>0</v>
      </c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</row>
    <row r="108" customFormat="false" ht="12.8" hidden="false" customHeight="false" outlineLevel="0" collapsed="false">
      <c r="A108" s="37" t="n">
        <f aca="false">'Itens de Contrato'!A108</f>
        <v>0</v>
      </c>
      <c r="B108" s="37" t="n">
        <f aca="false">'Itens de Contrato'!B108</f>
        <v>0</v>
      </c>
      <c r="C108" s="37" t="e">
        <f aca="false">VLOOKUP(B108,'Itens de Contrato'!B$5:G$151,2,0)</f>
        <v>#N/A</v>
      </c>
      <c r="D108" s="52"/>
      <c r="E108" s="63" t="n">
        <f aca="false">D108*'Itens de Contrato'!F108</f>
        <v>0</v>
      </c>
      <c r="F108" s="62" t="n">
        <f aca="false">'Medição 04'!F108-'Medição 04'!G108</f>
        <v>0</v>
      </c>
      <c r="G108" s="52"/>
      <c r="H108" s="64" t="e">
        <f aca="false">G108/D108</f>
        <v>#DIV/0!</v>
      </c>
      <c r="I108" s="63" t="n">
        <f aca="false">G108*'Itens de Contrato'!F108</f>
        <v>0</v>
      </c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</row>
    <row r="109" customFormat="false" ht="12.8" hidden="false" customHeight="false" outlineLevel="0" collapsed="false">
      <c r="A109" s="37" t="n">
        <f aca="false">'Itens de Contrato'!A109</f>
        <v>0</v>
      </c>
      <c r="B109" s="37" t="n">
        <f aca="false">'Itens de Contrato'!B109</f>
        <v>0</v>
      </c>
      <c r="C109" s="37" t="e">
        <f aca="false">VLOOKUP(B109,'Itens de Contrato'!B$5:G$151,2,0)</f>
        <v>#N/A</v>
      </c>
      <c r="D109" s="52"/>
      <c r="E109" s="63" t="n">
        <f aca="false">D109*'Itens de Contrato'!F109</f>
        <v>0</v>
      </c>
      <c r="F109" s="62" t="n">
        <f aca="false">'Medição 04'!F109-'Medição 04'!G109</f>
        <v>0</v>
      </c>
      <c r="G109" s="52"/>
      <c r="H109" s="64" t="e">
        <f aca="false">G109/D109</f>
        <v>#DIV/0!</v>
      </c>
      <c r="I109" s="63" t="n">
        <f aca="false">G109*'Itens de Contrato'!F109</f>
        <v>0</v>
      </c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</row>
    <row r="110" customFormat="false" ht="12.8" hidden="false" customHeight="false" outlineLevel="0" collapsed="false">
      <c r="A110" s="37" t="n">
        <f aca="false">'Itens de Contrato'!A110</f>
        <v>0</v>
      </c>
      <c r="B110" s="37" t="n">
        <f aca="false">'Itens de Contrato'!B110</f>
        <v>0</v>
      </c>
      <c r="C110" s="37" t="e">
        <f aca="false">VLOOKUP(B110,'Itens de Contrato'!B$5:G$151,2,0)</f>
        <v>#N/A</v>
      </c>
      <c r="D110" s="52"/>
      <c r="E110" s="63" t="n">
        <f aca="false">D110*'Itens de Contrato'!F110</f>
        <v>0</v>
      </c>
      <c r="F110" s="62" t="n">
        <f aca="false">'Medição 04'!F110-'Medição 04'!G110</f>
        <v>0</v>
      </c>
      <c r="G110" s="52"/>
      <c r="H110" s="64" t="e">
        <f aca="false">G110/D110</f>
        <v>#DIV/0!</v>
      </c>
      <c r="I110" s="63" t="n">
        <f aca="false">G110*'Itens de Contrato'!F110</f>
        <v>0</v>
      </c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</row>
    <row r="111" customFormat="false" ht="12.8" hidden="false" customHeight="false" outlineLevel="0" collapsed="false">
      <c r="A111" s="37" t="n">
        <f aca="false">'Itens de Contrato'!A111</f>
        <v>0</v>
      </c>
      <c r="B111" s="37" t="n">
        <f aca="false">'Itens de Contrato'!B111</f>
        <v>0</v>
      </c>
      <c r="C111" s="37" t="e">
        <f aca="false">VLOOKUP(B111,'Itens de Contrato'!B$5:G$151,2,0)</f>
        <v>#N/A</v>
      </c>
      <c r="D111" s="52"/>
      <c r="E111" s="63" t="n">
        <f aca="false">D111*'Itens de Contrato'!F111</f>
        <v>0</v>
      </c>
      <c r="F111" s="62" t="n">
        <f aca="false">'Medição 04'!F111-'Medição 04'!G111</f>
        <v>0</v>
      </c>
      <c r="G111" s="52"/>
      <c r="H111" s="64" t="e">
        <f aca="false">G111/D111</f>
        <v>#DIV/0!</v>
      </c>
      <c r="I111" s="63" t="n">
        <f aca="false">G111*'Itens de Contrato'!F111</f>
        <v>0</v>
      </c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</row>
    <row r="112" customFormat="false" ht="12.8" hidden="false" customHeight="false" outlineLevel="0" collapsed="false">
      <c r="A112" s="37" t="n">
        <f aca="false">'Itens de Contrato'!A112</f>
        <v>0</v>
      </c>
      <c r="B112" s="37" t="n">
        <f aca="false">'Itens de Contrato'!B112</f>
        <v>0</v>
      </c>
      <c r="C112" s="37" t="e">
        <f aca="false">VLOOKUP(B112,'Itens de Contrato'!B$5:G$151,2,0)</f>
        <v>#N/A</v>
      </c>
      <c r="D112" s="52"/>
      <c r="E112" s="63" t="n">
        <f aca="false">D112*'Itens de Contrato'!F112</f>
        <v>0</v>
      </c>
      <c r="F112" s="62" t="n">
        <f aca="false">'Medição 04'!F112-'Medição 04'!G112</f>
        <v>0</v>
      </c>
      <c r="G112" s="52"/>
      <c r="H112" s="64" t="e">
        <f aca="false">G112/D112</f>
        <v>#DIV/0!</v>
      </c>
      <c r="I112" s="63" t="n">
        <f aca="false">G112*'Itens de Contrato'!F112</f>
        <v>0</v>
      </c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</row>
    <row r="113" customFormat="false" ht="12.8" hidden="false" customHeight="false" outlineLevel="0" collapsed="false">
      <c r="A113" s="37" t="n">
        <f aca="false">'Itens de Contrato'!A113</f>
        <v>0</v>
      </c>
      <c r="B113" s="37" t="n">
        <f aca="false">'Itens de Contrato'!B113</f>
        <v>0</v>
      </c>
      <c r="C113" s="37" t="e">
        <f aca="false">VLOOKUP(B113,'Itens de Contrato'!B$5:G$151,2,0)</f>
        <v>#N/A</v>
      </c>
      <c r="D113" s="52"/>
      <c r="E113" s="63" t="n">
        <f aca="false">D113*'Itens de Contrato'!F113</f>
        <v>0</v>
      </c>
      <c r="F113" s="62" t="n">
        <f aca="false">'Medição 04'!F113-'Medição 04'!G113</f>
        <v>0</v>
      </c>
      <c r="G113" s="52"/>
      <c r="H113" s="64" t="e">
        <f aca="false">G113/D113</f>
        <v>#DIV/0!</v>
      </c>
      <c r="I113" s="63" t="n">
        <f aca="false">G113*'Itens de Contrato'!F113</f>
        <v>0</v>
      </c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</row>
    <row r="114" customFormat="false" ht="12.8" hidden="false" customHeight="false" outlineLevel="0" collapsed="false">
      <c r="A114" s="37" t="n">
        <f aca="false">'Itens de Contrato'!A114</f>
        <v>0</v>
      </c>
      <c r="B114" s="37" t="n">
        <f aca="false">'Itens de Contrato'!B114</f>
        <v>0</v>
      </c>
      <c r="C114" s="37" t="e">
        <f aca="false">VLOOKUP(B114,'Itens de Contrato'!B$5:G$151,2,0)</f>
        <v>#N/A</v>
      </c>
      <c r="D114" s="52"/>
      <c r="E114" s="63" t="n">
        <f aca="false">D114*'Itens de Contrato'!F114</f>
        <v>0</v>
      </c>
      <c r="F114" s="62" t="n">
        <f aca="false">'Medição 04'!F114-'Medição 04'!G114</f>
        <v>0</v>
      </c>
      <c r="G114" s="52"/>
      <c r="H114" s="64" t="e">
        <f aca="false">G114/D114</f>
        <v>#DIV/0!</v>
      </c>
      <c r="I114" s="63" t="n">
        <f aca="false">G114*'Itens de Contrato'!F114</f>
        <v>0</v>
      </c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</row>
    <row r="115" customFormat="false" ht="12.8" hidden="false" customHeight="false" outlineLevel="0" collapsed="false">
      <c r="A115" s="37" t="n">
        <f aca="false">'Itens de Contrato'!A115</f>
        <v>0</v>
      </c>
      <c r="B115" s="37" t="n">
        <f aca="false">'Itens de Contrato'!B115</f>
        <v>0</v>
      </c>
      <c r="C115" s="37" t="e">
        <f aca="false">VLOOKUP(B115,'Itens de Contrato'!B$5:G$151,2,0)</f>
        <v>#N/A</v>
      </c>
      <c r="D115" s="52"/>
      <c r="E115" s="63" t="n">
        <f aca="false">D115*'Itens de Contrato'!F115</f>
        <v>0</v>
      </c>
      <c r="F115" s="62" t="n">
        <f aca="false">'Medição 04'!F115-'Medição 04'!G115</f>
        <v>0</v>
      </c>
      <c r="G115" s="52"/>
      <c r="H115" s="64" t="e">
        <f aca="false">G115/D115</f>
        <v>#DIV/0!</v>
      </c>
      <c r="I115" s="63" t="n">
        <f aca="false">G115*'Itens de Contrato'!F115</f>
        <v>0</v>
      </c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</row>
    <row r="116" customFormat="false" ht="12.8" hidden="false" customHeight="false" outlineLevel="0" collapsed="false">
      <c r="A116" s="37" t="n">
        <f aca="false">'Itens de Contrato'!A116</f>
        <v>0</v>
      </c>
      <c r="B116" s="37" t="n">
        <f aca="false">'Itens de Contrato'!B116</f>
        <v>0</v>
      </c>
      <c r="C116" s="37" t="e">
        <f aca="false">VLOOKUP(B116,'Itens de Contrato'!B$5:G$151,2,0)</f>
        <v>#N/A</v>
      </c>
      <c r="D116" s="52"/>
      <c r="E116" s="63" t="n">
        <f aca="false">D116*'Itens de Contrato'!F116</f>
        <v>0</v>
      </c>
      <c r="F116" s="62" t="n">
        <f aca="false">'Medição 04'!F116-'Medição 04'!G116</f>
        <v>0</v>
      </c>
      <c r="G116" s="52"/>
      <c r="H116" s="64" t="e">
        <f aca="false">G116/D116</f>
        <v>#DIV/0!</v>
      </c>
      <c r="I116" s="63" t="n">
        <f aca="false">G116*'Itens de Contrato'!F116</f>
        <v>0</v>
      </c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</row>
    <row r="117" customFormat="false" ht="12.8" hidden="false" customHeight="false" outlineLevel="0" collapsed="false">
      <c r="A117" s="37" t="n">
        <f aca="false">'Itens de Contrato'!A117</f>
        <v>0</v>
      </c>
      <c r="B117" s="37" t="n">
        <f aca="false">'Itens de Contrato'!B117</f>
        <v>0</v>
      </c>
      <c r="C117" s="37" t="e">
        <f aca="false">VLOOKUP(B117,'Itens de Contrato'!B$5:G$151,2,0)</f>
        <v>#N/A</v>
      </c>
      <c r="D117" s="52"/>
      <c r="E117" s="63" t="n">
        <f aca="false">D117*'Itens de Contrato'!F117</f>
        <v>0</v>
      </c>
      <c r="F117" s="62" t="n">
        <f aca="false">'Medição 04'!F117-'Medição 04'!G117</f>
        <v>0</v>
      </c>
      <c r="G117" s="52"/>
      <c r="H117" s="64" t="e">
        <f aca="false">G117/D117</f>
        <v>#DIV/0!</v>
      </c>
      <c r="I117" s="63" t="n">
        <f aca="false">G117*'Itens de Contrato'!F117</f>
        <v>0</v>
      </c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</row>
    <row r="118" customFormat="false" ht="12.8" hidden="false" customHeight="false" outlineLevel="0" collapsed="false">
      <c r="A118" s="37" t="n">
        <f aca="false">'Itens de Contrato'!A118</f>
        <v>0</v>
      </c>
      <c r="B118" s="37" t="n">
        <f aca="false">'Itens de Contrato'!B118</f>
        <v>0</v>
      </c>
      <c r="C118" s="37" t="e">
        <f aca="false">VLOOKUP(B118,'Itens de Contrato'!B$5:G$151,2,0)</f>
        <v>#N/A</v>
      </c>
      <c r="D118" s="52"/>
      <c r="E118" s="63" t="n">
        <f aca="false">D118*'Itens de Contrato'!F118</f>
        <v>0</v>
      </c>
      <c r="F118" s="62" t="n">
        <f aca="false">'Medição 04'!F118-'Medição 04'!G118</f>
        <v>0</v>
      </c>
      <c r="G118" s="52"/>
      <c r="H118" s="64" t="e">
        <f aca="false">G118/D118</f>
        <v>#DIV/0!</v>
      </c>
      <c r="I118" s="63" t="n">
        <f aca="false">G118*'Itens de Contrato'!F118</f>
        <v>0</v>
      </c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</row>
    <row r="119" customFormat="false" ht="12.8" hidden="false" customHeight="false" outlineLevel="0" collapsed="false">
      <c r="A119" s="37" t="n">
        <f aca="false">'Itens de Contrato'!A119</f>
        <v>0</v>
      </c>
      <c r="B119" s="37" t="n">
        <f aca="false">'Itens de Contrato'!B119</f>
        <v>0</v>
      </c>
      <c r="C119" s="37" t="e">
        <f aca="false">VLOOKUP(B119,'Itens de Contrato'!B$5:G$151,2,0)</f>
        <v>#N/A</v>
      </c>
      <c r="D119" s="52"/>
      <c r="E119" s="63" t="n">
        <f aca="false">D119*'Itens de Contrato'!F119</f>
        <v>0</v>
      </c>
      <c r="F119" s="62" t="n">
        <f aca="false">'Medição 04'!F119-'Medição 04'!G119</f>
        <v>0</v>
      </c>
      <c r="G119" s="52"/>
      <c r="H119" s="64" t="e">
        <f aca="false">G119/D119</f>
        <v>#DIV/0!</v>
      </c>
      <c r="I119" s="63" t="n">
        <f aca="false">G119*'Itens de Contrato'!F119</f>
        <v>0</v>
      </c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</row>
    <row r="120" customFormat="false" ht="12.8" hidden="false" customHeight="false" outlineLevel="0" collapsed="false">
      <c r="A120" s="37" t="n">
        <f aca="false">'Itens de Contrato'!A120</f>
        <v>0</v>
      </c>
      <c r="B120" s="37" t="n">
        <f aca="false">'Itens de Contrato'!B120</f>
        <v>0</v>
      </c>
      <c r="C120" s="37" t="e">
        <f aca="false">VLOOKUP(B120,'Itens de Contrato'!B$5:G$151,2,0)</f>
        <v>#N/A</v>
      </c>
      <c r="D120" s="52"/>
      <c r="E120" s="63" t="n">
        <f aca="false">D120*'Itens de Contrato'!F120</f>
        <v>0</v>
      </c>
      <c r="F120" s="62" t="n">
        <f aca="false">'Medição 04'!F120-'Medição 04'!G120</f>
        <v>0</v>
      </c>
      <c r="G120" s="52"/>
      <c r="H120" s="64" t="e">
        <f aca="false">G120/D120</f>
        <v>#DIV/0!</v>
      </c>
      <c r="I120" s="63" t="n">
        <f aca="false">G120*'Itens de Contrato'!F120</f>
        <v>0</v>
      </c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</row>
    <row r="121" customFormat="false" ht="12.8" hidden="false" customHeight="false" outlineLevel="0" collapsed="false">
      <c r="A121" s="37" t="n">
        <f aca="false">'Itens de Contrato'!A121</f>
        <v>0</v>
      </c>
      <c r="B121" s="37" t="n">
        <f aca="false">'Itens de Contrato'!B121</f>
        <v>0</v>
      </c>
      <c r="C121" s="37" t="e">
        <f aca="false">VLOOKUP(B121,'Itens de Contrato'!B$5:G$151,2,0)</f>
        <v>#N/A</v>
      </c>
      <c r="D121" s="52"/>
      <c r="E121" s="63" t="n">
        <f aca="false">D121*'Itens de Contrato'!F121</f>
        <v>0</v>
      </c>
      <c r="F121" s="62" t="n">
        <f aca="false">'Medição 04'!F121-'Medição 04'!G121</f>
        <v>0</v>
      </c>
      <c r="G121" s="52"/>
      <c r="H121" s="64" t="e">
        <f aca="false">G121/D121</f>
        <v>#DIV/0!</v>
      </c>
      <c r="I121" s="63" t="n">
        <f aca="false">G121*'Itens de Contrato'!F121</f>
        <v>0</v>
      </c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</row>
    <row r="122" customFormat="false" ht="12.8" hidden="false" customHeight="false" outlineLevel="0" collapsed="false">
      <c r="A122" s="37" t="n">
        <f aca="false">'Itens de Contrato'!A122</f>
        <v>0</v>
      </c>
      <c r="B122" s="37" t="n">
        <f aca="false">'Itens de Contrato'!B122</f>
        <v>0</v>
      </c>
      <c r="C122" s="37" t="e">
        <f aca="false">VLOOKUP(B122,'Itens de Contrato'!B$5:G$151,2,0)</f>
        <v>#N/A</v>
      </c>
      <c r="D122" s="52"/>
      <c r="E122" s="63" t="n">
        <f aca="false">D122*'Itens de Contrato'!F122</f>
        <v>0</v>
      </c>
      <c r="F122" s="62" t="n">
        <f aca="false">'Medição 04'!F122-'Medição 04'!G122</f>
        <v>0</v>
      </c>
      <c r="G122" s="52"/>
      <c r="H122" s="64" t="e">
        <f aca="false">G122/D122</f>
        <v>#DIV/0!</v>
      </c>
      <c r="I122" s="63" t="n">
        <f aca="false">G122*'Itens de Contrato'!F122</f>
        <v>0</v>
      </c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</row>
    <row r="123" customFormat="false" ht="12.8" hidden="false" customHeight="false" outlineLevel="0" collapsed="false">
      <c r="A123" s="37" t="n">
        <f aca="false">'Itens de Contrato'!A123</f>
        <v>0</v>
      </c>
      <c r="B123" s="37" t="n">
        <f aca="false">'Itens de Contrato'!B123</f>
        <v>0</v>
      </c>
      <c r="C123" s="37" t="e">
        <f aca="false">VLOOKUP(B123,'Itens de Contrato'!B$5:G$151,2,0)</f>
        <v>#N/A</v>
      </c>
      <c r="D123" s="52"/>
      <c r="E123" s="63" t="n">
        <f aca="false">D123*'Itens de Contrato'!F123</f>
        <v>0</v>
      </c>
      <c r="F123" s="62" t="n">
        <f aca="false">'Medição 04'!F123-'Medição 04'!G123</f>
        <v>0</v>
      </c>
      <c r="G123" s="52"/>
      <c r="H123" s="64" t="e">
        <f aca="false">G123/D123</f>
        <v>#DIV/0!</v>
      </c>
      <c r="I123" s="63" t="n">
        <f aca="false">G123*'Itens de Contrato'!F123</f>
        <v>0</v>
      </c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</row>
    <row r="124" customFormat="false" ht="12.8" hidden="false" customHeight="false" outlineLevel="0" collapsed="false">
      <c r="A124" s="37" t="n">
        <f aca="false">'Itens de Contrato'!A124</f>
        <v>0</v>
      </c>
      <c r="B124" s="37" t="n">
        <f aca="false">'Itens de Contrato'!B124</f>
        <v>0</v>
      </c>
      <c r="C124" s="37" t="e">
        <f aca="false">VLOOKUP(B124,'Itens de Contrato'!B$5:G$151,2,0)</f>
        <v>#N/A</v>
      </c>
      <c r="D124" s="52"/>
      <c r="E124" s="63" t="n">
        <f aca="false">D124*'Itens de Contrato'!F124</f>
        <v>0</v>
      </c>
      <c r="F124" s="62" t="n">
        <f aca="false">'Medição 04'!F124-'Medição 04'!G124</f>
        <v>0</v>
      </c>
      <c r="G124" s="52"/>
      <c r="H124" s="64" t="e">
        <f aca="false">G124/D124</f>
        <v>#DIV/0!</v>
      </c>
      <c r="I124" s="63" t="n">
        <f aca="false">G124*'Itens de Contrato'!F124</f>
        <v>0</v>
      </c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</row>
    <row r="125" customFormat="false" ht="12.8" hidden="false" customHeight="false" outlineLevel="0" collapsed="false">
      <c r="A125" s="37" t="n">
        <f aca="false">'Itens de Contrato'!A125</f>
        <v>0</v>
      </c>
      <c r="B125" s="37" t="n">
        <f aca="false">'Itens de Contrato'!B125</f>
        <v>0</v>
      </c>
      <c r="C125" s="37" t="e">
        <f aca="false">VLOOKUP(B125,'Itens de Contrato'!B$5:G$151,2,0)</f>
        <v>#N/A</v>
      </c>
      <c r="D125" s="52"/>
      <c r="E125" s="63" t="n">
        <f aca="false">D125*'Itens de Contrato'!F125</f>
        <v>0</v>
      </c>
      <c r="F125" s="62" t="n">
        <f aca="false">'Medição 04'!F125-'Medição 04'!G125</f>
        <v>0</v>
      </c>
      <c r="G125" s="52"/>
      <c r="H125" s="64" t="e">
        <f aca="false">G125/D125</f>
        <v>#DIV/0!</v>
      </c>
      <c r="I125" s="63" t="n">
        <f aca="false">G125*'Itens de Contrato'!F125</f>
        <v>0</v>
      </c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</row>
    <row r="126" customFormat="false" ht="12.8" hidden="false" customHeight="false" outlineLevel="0" collapsed="false">
      <c r="A126" s="37" t="n">
        <f aca="false">'Itens de Contrato'!A126</f>
        <v>0</v>
      </c>
      <c r="B126" s="37" t="n">
        <f aca="false">'Itens de Contrato'!B126</f>
        <v>0</v>
      </c>
      <c r="C126" s="37" t="e">
        <f aca="false">VLOOKUP(B126,'Itens de Contrato'!B$5:G$151,2,0)</f>
        <v>#N/A</v>
      </c>
      <c r="D126" s="52"/>
      <c r="E126" s="63" t="n">
        <f aca="false">D126*'Itens de Contrato'!F126</f>
        <v>0</v>
      </c>
      <c r="F126" s="62" t="n">
        <f aca="false">'Medição 04'!F126-'Medição 04'!G126</f>
        <v>0</v>
      </c>
      <c r="G126" s="52"/>
      <c r="H126" s="64" t="e">
        <f aca="false">G126/D126</f>
        <v>#DIV/0!</v>
      </c>
      <c r="I126" s="63" t="n">
        <f aca="false">G126*'Itens de Contrato'!F126</f>
        <v>0</v>
      </c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</row>
    <row r="127" customFormat="false" ht="12.8" hidden="false" customHeight="false" outlineLevel="0" collapsed="false">
      <c r="A127" s="37" t="n">
        <f aca="false">'Itens de Contrato'!A127</f>
        <v>0</v>
      </c>
      <c r="B127" s="37" t="n">
        <f aca="false">'Itens de Contrato'!B127</f>
        <v>0</v>
      </c>
      <c r="C127" s="37" t="e">
        <f aca="false">VLOOKUP(B127,'Itens de Contrato'!B$5:G$151,2,0)</f>
        <v>#N/A</v>
      </c>
      <c r="D127" s="52"/>
      <c r="E127" s="63" t="n">
        <f aca="false">D127*'Itens de Contrato'!F127</f>
        <v>0</v>
      </c>
      <c r="F127" s="62" t="n">
        <f aca="false">'Medição 04'!F127-'Medição 04'!G127</f>
        <v>0</v>
      </c>
      <c r="G127" s="52"/>
      <c r="H127" s="64" t="e">
        <f aca="false">G127/D127</f>
        <v>#DIV/0!</v>
      </c>
      <c r="I127" s="63" t="n">
        <f aca="false">G127*'Itens de Contrato'!F127</f>
        <v>0</v>
      </c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</row>
    <row r="128" customFormat="false" ht="12.8" hidden="false" customHeight="false" outlineLevel="0" collapsed="false">
      <c r="A128" s="37" t="n">
        <f aca="false">'Itens de Contrato'!A128</f>
        <v>0</v>
      </c>
      <c r="B128" s="37" t="n">
        <f aca="false">'Itens de Contrato'!B128</f>
        <v>0</v>
      </c>
      <c r="C128" s="37" t="e">
        <f aca="false">VLOOKUP(B128,'Itens de Contrato'!B$5:G$151,2,0)</f>
        <v>#N/A</v>
      </c>
      <c r="D128" s="52"/>
      <c r="E128" s="63" t="n">
        <f aca="false">D128*'Itens de Contrato'!F128</f>
        <v>0</v>
      </c>
      <c r="F128" s="62" t="n">
        <f aca="false">'Medição 04'!F128-'Medição 04'!G128</f>
        <v>0</v>
      </c>
      <c r="G128" s="52"/>
      <c r="H128" s="64" t="e">
        <f aca="false">G128/D128</f>
        <v>#DIV/0!</v>
      </c>
      <c r="I128" s="63" t="n">
        <f aca="false">G128*'Itens de Contrato'!F128</f>
        <v>0</v>
      </c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</row>
    <row r="129" customFormat="false" ht="12.8" hidden="false" customHeight="false" outlineLevel="0" collapsed="false">
      <c r="A129" s="37" t="n">
        <f aca="false">'Itens de Contrato'!A129</f>
        <v>0</v>
      </c>
      <c r="B129" s="37" t="n">
        <f aca="false">'Itens de Contrato'!B129</f>
        <v>0</v>
      </c>
      <c r="C129" s="37" t="e">
        <f aca="false">VLOOKUP(B129,'Itens de Contrato'!B$5:G$151,2,0)</f>
        <v>#N/A</v>
      </c>
      <c r="D129" s="52"/>
      <c r="E129" s="63" t="n">
        <f aca="false">D129*'Itens de Contrato'!F129</f>
        <v>0</v>
      </c>
      <c r="F129" s="62" t="n">
        <f aca="false">'Medição 04'!F129-'Medição 04'!G129</f>
        <v>0</v>
      </c>
      <c r="G129" s="52"/>
      <c r="H129" s="64" t="e">
        <f aca="false">G129/D129</f>
        <v>#DIV/0!</v>
      </c>
      <c r="I129" s="63" t="n">
        <f aca="false">G129*'Itens de Contrato'!F129</f>
        <v>0</v>
      </c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</row>
    <row r="130" customFormat="false" ht="12.8" hidden="false" customHeight="false" outlineLevel="0" collapsed="false">
      <c r="A130" s="37" t="n">
        <f aca="false">'Itens de Contrato'!A130</f>
        <v>0</v>
      </c>
      <c r="B130" s="37" t="n">
        <f aca="false">'Itens de Contrato'!B130</f>
        <v>0</v>
      </c>
      <c r="C130" s="37" t="e">
        <f aca="false">VLOOKUP(B130,'Itens de Contrato'!B$5:G$151,2,0)</f>
        <v>#N/A</v>
      </c>
      <c r="D130" s="52"/>
      <c r="E130" s="63" t="n">
        <f aca="false">D130*'Itens de Contrato'!F130</f>
        <v>0</v>
      </c>
      <c r="F130" s="62" t="n">
        <f aca="false">'Medição 04'!F130-'Medição 04'!G130</f>
        <v>0</v>
      </c>
      <c r="G130" s="52"/>
      <c r="H130" s="64" t="e">
        <f aca="false">G130/D130</f>
        <v>#DIV/0!</v>
      </c>
      <c r="I130" s="63" t="n">
        <f aca="false">G130*'Itens de Contrato'!F130</f>
        <v>0</v>
      </c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</row>
    <row r="131" customFormat="false" ht="12.8" hidden="false" customHeight="false" outlineLevel="0" collapsed="false">
      <c r="A131" s="37" t="n">
        <f aca="false">'Itens de Contrato'!A131</f>
        <v>0</v>
      </c>
      <c r="B131" s="37" t="n">
        <f aca="false">'Itens de Contrato'!B131</f>
        <v>0</v>
      </c>
      <c r="C131" s="37" t="e">
        <f aca="false">VLOOKUP(B131,'Itens de Contrato'!B$5:G$151,2,0)</f>
        <v>#N/A</v>
      </c>
      <c r="D131" s="52"/>
      <c r="E131" s="63" t="n">
        <f aca="false">D131*'Itens de Contrato'!F131</f>
        <v>0</v>
      </c>
      <c r="F131" s="62" t="n">
        <f aca="false">'Medição 04'!F131-'Medição 04'!G131</f>
        <v>0</v>
      </c>
      <c r="G131" s="52"/>
      <c r="H131" s="64" t="e">
        <f aca="false">G131/D131</f>
        <v>#DIV/0!</v>
      </c>
      <c r="I131" s="63" t="n">
        <f aca="false">G131*'Itens de Contrato'!F131</f>
        <v>0</v>
      </c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</row>
    <row r="132" customFormat="false" ht="12.8" hidden="false" customHeight="false" outlineLevel="0" collapsed="false">
      <c r="A132" s="37" t="n">
        <f aca="false">'Itens de Contrato'!A132</f>
        <v>0</v>
      </c>
      <c r="B132" s="37" t="n">
        <f aca="false">'Itens de Contrato'!B132</f>
        <v>0</v>
      </c>
      <c r="C132" s="37" t="e">
        <f aca="false">VLOOKUP(B132,'Itens de Contrato'!B$5:G$151,2,0)</f>
        <v>#N/A</v>
      </c>
      <c r="D132" s="52"/>
      <c r="E132" s="63" t="n">
        <f aca="false">D132*'Itens de Contrato'!F132</f>
        <v>0</v>
      </c>
      <c r="F132" s="62" t="n">
        <f aca="false">'Medição 04'!F132-'Medição 04'!G132</f>
        <v>0</v>
      </c>
      <c r="G132" s="52"/>
      <c r="H132" s="64" t="e">
        <f aca="false">G132/D132</f>
        <v>#DIV/0!</v>
      </c>
      <c r="I132" s="63" t="n">
        <f aca="false">G132*'Itens de Contrato'!F132</f>
        <v>0</v>
      </c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</row>
    <row r="133" customFormat="false" ht="12.8" hidden="false" customHeight="false" outlineLevel="0" collapsed="false">
      <c r="A133" s="37" t="n">
        <f aca="false">'Itens de Contrato'!A133</f>
        <v>0</v>
      </c>
      <c r="B133" s="37" t="n">
        <f aca="false">'Itens de Contrato'!B133</f>
        <v>0</v>
      </c>
      <c r="C133" s="37" t="e">
        <f aca="false">VLOOKUP(B133,'Itens de Contrato'!B$5:G$151,2,0)</f>
        <v>#N/A</v>
      </c>
      <c r="D133" s="52"/>
      <c r="E133" s="63" t="n">
        <f aca="false">D133*'Itens de Contrato'!F133</f>
        <v>0</v>
      </c>
      <c r="F133" s="62" t="n">
        <f aca="false">'Medição 04'!F133-'Medição 04'!G133</f>
        <v>0</v>
      </c>
      <c r="G133" s="52"/>
      <c r="H133" s="64" t="e">
        <f aca="false">G133/D133</f>
        <v>#DIV/0!</v>
      </c>
      <c r="I133" s="63" t="n">
        <f aca="false">G133*'Itens de Contrato'!F133</f>
        <v>0</v>
      </c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</row>
    <row r="134" customFormat="false" ht="12.8" hidden="false" customHeight="false" outlineLevel="0" collapsed="false">
      <c r="A134" s="37" t="n">
        <f aca="false">'Itens de Contrato'!A134</f>
        <v>0</v>
      </c>
      <c r="B134" s="37" t="n">
        <f aca="false">'Itens de Contrato'!B134</f>
        <v>0</v>
      </c>
      <c r="C134" s="37" t="e">
        <f aca="false">VLOOKUP(B134,'Itens de Contrato'!B$5:G$151,2,0)</f>
        <v>#N/A</v>
      </c>
      <c r="D134" s="52"/>
      <c r="E134" s="63" t="n">
        <f aca="false">D134*'Itens de Contrato'!F134</f>
        <v>0</v>
      </c>
      <c r="F134" s="62" t="n">
        <f aca="false">'Medição 04'!F134-'Medição 04'!G134</f>
        <v>0</v>
      </c>
      <c r="G134" s="52"/>
      <c r="H134" s="64" t="e">
        <f aca="false">G134/D134</f>
        <v>#DIV/0!</v>
      </c>
      <c r="I134" s="63" t="n">
        <f aca="false">G134*'Itens de Contrato'!F134</f>
        <v>0</v>
      </c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</row>
    <row r="135" customFormat="false" ht="12.8" hidden="false" customHeight="false" outlineLevel="0" collapsed="false">
      <c r="A135" s="37" t="n">
        <f aca="false">'Itens de Contrato'!A135</f>
        <v>0</v>
      </c>
      <c r="B135" s="37" t="n">
        <f aca="false">'Itens de Contrato'!B135</f>
        <v>0</v>
      </c>
      <c r="C135" s="37" t="e">
        <f aca="false">VLOOKUP(B135,'Itens de Contrato'!B$5:G$151,2,0)</f>
        <v>#N/A</v>
      </c>
      <c r="D135" s="52"/>
      <c r="E135" s="63" t="n">
        <f aca="false">D135*'Itens de Contrato'!F135</f>
        <v>0</v>
      </c>
      <c r="F135" s="62" t="n">
        <f aca="false">'Medição 04'!F135-'Medição 04'!G135</f>
        <v>0</v>
      </c>
      <c r="G135" s="52"/>
      <c r="H135" s="64" t="e">
        <f aca="false">G135/D135</f>
        <v>#DIV/0!</v>
      </c>
      <c r="I135" s="63" t="n">
        <f aca="false">G135*'Itens de Contrato'!F135</f>
        <v>0</v>
      </c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</row>
    <row r="136" customFormat="false" ht="12.8" hidden="false" customHeight="false" outlineLevel="0" collapsed="false">
      <c r="A136" s="37" t="n">
        <f aca="false">'Itens de Contrato'!A136</f>
        <v>0</v>
      </c>
      <c r="B136" s="37" t="n">
        <f aca="false">'Itens de Contrato'!B136</f>
        <v>0</v>
      </c>
      <c r="C136" s="37" t="e">
        <f aca="false">VLOOKUP(B136,'Itens de Contrato'!B$5:G$151,2,0)</f>
        <v>#N/A</v>
      </c>
      <c r="D136" s="52"/>
      <c r="E136" s="63" t="n">
        <f aca="false">D136*'Itens de Contrato'!F136</f>
        <v>0</v>
      </c>
      <c r="F136" s="62" t="n">
        <f aca="false">'Medição 04'!F136-'Medição 04'!G136</f>
        <v>0</v>
      </c>
      <c r="G136" s="52"/>
      <c r="H136" s="64" t="e">
        <f aca="false">G136/D136</f>
        <v>#DIV/0!</v>
      </c>
      <c r="I136" s="63" t="n">
        <f aca="false">G136*'Itens de Contrato'!F136</f>
        <v>0</v>
      </c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</row>
    <row r="137" customFormat="false" ht="12.8" hidden="false" customHeight="false" outlineLevel="0" collapsed="false">
      <c r="A137" s="37" t="n">
        <f aca="false">'Itens de Contrato'!A137</f>
        <v>0</v>
      </c>
      <c r="B137" s="37" t="n">
        <f aca="false">'Itens de Contrato'!B137</f>
        <v>0</v>
      </c>
      <c r="C137" s="37" t="e">
        <f aca="false">VLOOKUP(B137,'Itens de Contrato'!B$5:G$151,2,0)</f>
        <v>#N/A</v>
      </c>
      <c r="D137" s="52"/>
      <c r="E137" s="63" t="n">
        <f aca="false">D137*'Itens de Contrato'!F137</f>
        <v>0</v>
      </c>
      <c r="F137" s="62" t="n">
        <f aca="false">'Medição 04'!F137-'Medição 04'!G137</f>
        <v>0</v>
      </c>
      <c r="G137" s="52"/>
      <c r="H137" s="64" t="e">
        <f aca="false">G137/D137</f>
        <v>#DIV/0!</v>
      </c>
      <c r="I137" s="63" t="n">
        <f aca="false">G137*'Itens de Contrato'!F137</f>
        <v>0</v>
      </c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</row>
    <row r="138" customFormat="false" ht="12.8" hidden="false" customHeight="false" outlineLevel="0" collapsed="false">
      <c r="A138" s="37" t="n">
        <f aca="false">'Itens de Contrato'!A138</f>
        <v>0</v>
      </c>
      <c r="B138" s="37" t="n">
        <f aca="false">'Itens de Contrato'!B138</f>
        <v>0</v>
      </c>
      <c r="C138" s="37" t="e">
        <f aca="false">VLOOKUP(B138,'Itens de Contrato'!B$5:G$151,2,0)</f>
        <v>#N/A</v>
      </c>
      <c r="D138" s="52"/>
      <c r="E138" s="63" t="n">
        <f aca="false">D138*'Itens de Contrato'!F138</f>
        <v>0</v>
      </c>
      <c r="F138" s="62" t="n">
        <f aca="false">'Medição 04'!F138-'Medição 04'!G138</f>
        <v>0</v>
      </c>
      <c r="G138" s="52"/>
      <c r="H138" s="64" t="e">
        <f aca="false">G138/D138</f>
        <v>#DIV/0!</v>
      </c>
      <c r="I138" s="63" t="n">
        <f aca="false">G138*'Itens de Contrato'!F138</f>
        <v>0</v>
      </c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</row>
    <row r="139" customFormat="false" ht="12.8" hidden="false" customHeight="false" outlineLevel="0" collapsed="false">
      <c r="A139" s="37" t="n">
        <f aca="false">'Itens de Contrato'!A139</f>
        <v>0</v>
      </c>
      <c r="B139" s="37" t="n">
        <f aca="false">'Itens de Contrato'!B139</f>
        <v>0</v>
      </c>
      <c r="C139" s="37" t="e">
        <f aca="false">VLOOKUP(B139,'Itens de Contrato'!B$5:G$151,2,0)</f>
        <v>#N/A</v>
      </c>
      <c r="D139" s="52"/>
      <c r="E139" s="63" t="n">
        <f aca="false">D139*'Itens de Contrato'!F139</f>
        <v>0</v>
      </c>
      <c r="F139" s="62" t="n">
        <f aca="false">'Medição 04'!F139-'Medição 04'!G139</f>
        <v>0</v>
      </c>
      <c r="G139" s="52"/>
      <c r="H139" s="64" t="e">
        <f aca="false">G139/D139</f>
        <v>#DIV/0!</v>
      </c>
      <c r="I139" s="63" t="n">
        <f aca="false">G139*'Itens de Contrato'!F139</f>
        <v>0</v>
      </c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</row>
    <row r="140" customFormat="false" ht="12.8" hidden="false" customHeight="false" outlineLevel="0" collapsed="false">
      <c r="A140" s="37" t="n">
        <f aca="false">'Itens de Contrato'!A140</f>
        <v>0</v>
      </c>
      <c r="B140" s="37" t="n">
        <f aca="false">'Itens de Contrato'!B140</f>
        <v>0</v>
      </c>
      <c r="C140" s="37" t="e">
        <f aca="false">VLOOKUP(B140,'Itens de Contrato'!B$5:G$151,2,0)</f>
        <v>#N/A</v>
      </c>
      <c r="D140" s="52"/>
      <c r="E140" s="63" t="n">
        <f aca="false">D140*'Itens de Contrato'!F140</f>
        <v>0</v>
      </c>
      <c r="F140" s="62" t="n">
        <f aca="false">'Medição 04'!F140-'Medição 04'!G140</f>
        <v>0</v>
      </c>
      <c r="G140" s="52"/>
      <c r="H140" s="64" t="e">
        <f aca="false">G140/D140</f>
        <v>#DIV/0!</v>
      </c>
      <c r="I140" s="63" t="n">
        <f aca="false">G140*'Itens de Contrato'!F140</f>
        <v>0</v>
      </c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</row>
    <row r="141" customFormat="false" ht="12.8" hidden="false" customHeight="false" outlineLevel="0" collapsed="false">
      <c r="A141" s="37" t="n">
        <f aca="false">'Itens de Contrato'!A141</f>
        <v>0</v>
      </c>
      <c r="B141" s="37" t="n">
        <f aca="false">'Itens de Contrato'!B141</f>
        <v>0</v>
      </c>
      <c r="C141" s="37" t="e">
        <f aca="false">VLOOKUP(B141,'Itens de Contrato'!B$5:G$151,2,0)</f>
        <v>#N/A</v>
      </c>
      <c r="D141" s="52"/>
      <c r="E141" s="63" t="n">
        <f aca="false">D141*'Itens de Contrato'!F141</f>
        <v>0</v>
      </c>
      <c r="F141" s="62" t="n">
        <f aca="false">'Medição 04'!F141-'Medição 04'!G141</f>
        <v>0</v>
      </c>
      <c r="G141" s="52"/>
      <c r="H141" s="64" t="e">
        <f aca="false">G141/D141</f>
        <v>#DIV/0!</v>
      </c>
      <c r="I141" s="63" t="n">
        <f aca="false">G141*'Itens de Contrato'!F141</f>
        <v>0</v>
      </c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</row>
    <row r="142" customFormat="false" ht="12.8" hidden="false" customHeight="false" outlineLevel="0" collapsed="false">
      <c r="A142" s="37" t="n">
        <f aca="false">'Itens de Contrato'!A142</f>
        <v>0</v>
      </c>
      <c r="B142" s="37" t="n">
        <f aca="false">'Itens de Contrato'!B142</f>
        <v>0</v>
      </c>
      <c r="C142" s="37" t="e">
        <f aca="false">VLOOKUP(B142,'Itens de Contrato'!B$5:G$151,2,0)</f>
        <v>#N/A</v>
      </c>
      <c r="D142" s="52"/>
      <c r="E142" s="63" t="n">
        <f aca="false">D142*'Itens de Contrato'!F142</f>
        <v>0</v>
      </c>
      <c r="F142" s="62" t="n">
        <f aca="false">'Medição 04'!F142-'Medição 04'!G142</f>
        <v>0</v>
      </c>
      <c r="G142" s="52"/>
      <c r="H142" s="64" t="e">
        <f aca="false">G142/D142</f>
        <v>#DIV/0!</v>
      </c>
      <c r="I142" s="63" t="n">
        <f aca="false">G142*'Itens de Contrato'!F142</f>
        <v>0</v>
      </c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</row>
    <row r="143" customFormat="false" ht="12.8" hidden="false" customHeight="false" outlineLevel="0" collapsed="false">
      <c r="A143" s="37" t="n">
        <f aca="false">'Itens de Contrato'!A143</f>
        <v>0</v>
      </c>
      <c r="B143" s="37" t="n">
        <f aca="false">'Itens de Contrato'!B143</f>
        <v>0</v>
      </c>
      <c r="C143" s="37" t="e">
        <f aca="false">VLOOKUP(B143,'Itens de Contrato'!B$5:G$151,2,0)</f>
        <v>#N/A</v>
      </c>
      <c r="D143" s="52"/>
      <c r="E143" s="63" t="n">
        <f aca="false">D143*'Itens de Contrato'!F143</f>
        <v>0</v>
      </c>
      <c r="F143" s="62" t="n">
        <f aca="false">'Medição 04'!F143-'Medição 04'!G143</f>
        <v>0</v>
      </c>
      <c r="G143" s="52"/>
      <c r="H143" s="64" t="e">
        <f aca="false">G143/D143</f>
        <v>#DIV/0!</v>
      </c>
      <c r="I143" s="63" t="n">
        <f aca="false">G143*'Itens de Contrato'!F143</f>
        <v>0</v>
      </c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</row>
    <row r="144" customFormat="false" ht="12.8" hidden="false" customHeight="false" outlineLevel="0" collapsed="false">
      <c r="A144" s="37" t="n">
        <f aca="false">'Itens de Contrato'!A144</f>
        <v>0</v>
      </c>
      <c r="B144" s="37" t="n">
        <f aca="false">'Itens de Contrato'!B144</f>
        <v>0</v>
      </c>
      <c r="C144" s="37" t="e">
        <f aca="false">VLOOKUP(B144,'Itens de Contrato'!B$5:G$151,2,0)</f>
        <v>#N/A</v>
      </c>
      <c r="D144" s="52"/>
      <c r="E144" s="63" t="n">
        <f aca="false">D144*'Itens de Contrato'!F144</f>
        <v>0</v>
      </c>
      <c r="F144" s="62" t="n">
        <f aca="false">'Medição 04'!F144-'Medição 04'!G144</f>
        <v>0</v>
      </c>
      <c r="G144" s="52"/>
      <c r="H144" s="64" t="e">
        <f aca="false">G144/D144</f>
        <v>#DIV/0!</v>
      </c>
      <c r="I144" s="63" t="n">
        <f aca="false">G144*'Itens de Contrato'!F144</f>
        <v>0</v>
      </c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</row>
    <row r="145" customFormat="false" ht="12.8" hidden="false" customHeight="false" outlineLevel="0" collapsed="false">
      <c r="A145" s="37" t="n">
        <f aca="false">'Itens de Contrato'!A145</f>
        <v>0</v>
      </c>
      <c r="B145" s="37" t="n">
        <f aca="false">'Itens de Contrato'!B145</f>
        <v>0</v>
      </c>
      <c r="C145" s="37" t="e">
        <f aca="false">VLOOKUP(B145,'Itens de Contrato'!B$5:G$151,2,0)</f>
        <v>#N/A</v>
      </c>
      <c r="D145" s="52"/>
      <c r="E145" s="63" t="n">
        <f aca="false">D145*'Itens de Contrato'!F145</f>
        <v>0</v>
      </c>
      <c r="F145" s="62" t="n">
        <f aca="false">'Medição 04'!F145-'Medição 04'!G145</f>
        <v>0</v>
      </c>
      <c r="G145" s="52"/>
      <c r="H145" s="64" t="e">
        <f aca="false">G145/D145</f>
        <v>#DIV/0!</v>
      </c>
      <c r="I145" s="63" t="n">
        <f aca="false">G145*'Itens de Contrato'!F145</f>
        <v>0</v>
      </c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</row>
    <row r="146" customFormat="false" ht="12.8" hidden="false" customHeight="false" outlineLevel="0" collapsed="false">
      <c r="A146" s="37" t="n">
        <f aca="false">'Itens de Contrato'!A146</f>
        <v>0</v>
      </c>
      <c r="B146" s="37" t="n">
        <f aca="false">'Itens de Contrato'!B146</f>
        <v>0</v>
      </c>
      <c r="C146" s="37" t="e">
        <f aca="false">VLOOKUP(B146,'Itens de Contrato'!B$5:G$151,2,0)</f>
        <v>#N/A</v>
      </c>
      <c r="D146" s="52"/>
      <c r="E146" s="63" t="n">
        <f aca="false">D146*'Itens de Contrato'!F146</f>
        <v>0</v>
      </c>
      <c r="F146" s="62" t="n">
        <f aca="false">'Medição 04'!F146-'Medição 04'!G146</f>
        <v>0</v>
      </c>
      <c r="G146" s="52"/>
      <c r="H146" s="64" t="e">
        <f aca="false">G146/D146</f>
        <v>#DIV/0!</v>
      </c>
      <c r="I146" s="63" t="n">
        <f aca="false">G146*'Itens de Contrato'!F146</f>
        <v>0</v>
      </c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</row>
    <row r="147" customFormat="false" ht="12.8" hidden="false" customHeight="false" outlineLevel="0" collapsed="false">
      <c r="A147" s="37" t="n">
        <f aca="false">'Itens de Contrato'!A147</f>
        <v>0</v>
      </c>
      <c r="B147" s="37" t="n">
        <f aca="false">'Itens de Contrato'!B147</f>
        <v>0</v>
      </c>
      <c r="C147" s="37" t="e">
        <f aca="false">VLOOKUP(B147,'Itens de Contrato'!B$5:G$151,2,0)</f>
        <v>#N/A</v>
      </c>
      <c r="D147" s="52"/>
      <c r="E147" s="63" t="n">
        <f aca="false">D147*'Itens de Contrato'!F147</f>
        <v>0</v>
      </c>
      <c r="F147" s="62" t="n">
        <f aca="false">'Medição 04'!F147-'Medição 04'!G147</f>
        <v>0</v>
      </c>
      <c r="G147" s="52"/>
      <c r="H147" s="64" t="e">
        <f aca="false">G147/D147</f>
        <v>#DIV/0!</v>
      </c>
      <c r="I147" s="63" t="n">
        <f aca="false">G147*'Itens de Contrato'!F147</f>
        <v>0</v>
      </c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</row>
    <row r="148" customFormat="false" ht="12.8" hidden="false" customHeight="false" outlineLevel="0" collapsed="false">
      <c r="A148" s="37" t="n">
        <f aca="false">'Itens de Contrato'!A148</f>
        <v>0</v>
      </c>
      <c r="B148" s="37" t="n">
        <f aca="false">'Itens de Contrato'!B148</f>
        <v>0</v>
      </c>
      <c r="C148" s="37" t="e">
        <f aca="false">VLOOKUP(B148,'Itens de Contrato'!B$5:G$151,2,0)</f>
        <v>#N/A</v>
      </c>
      <c r="D148" s="52"/>
      <c r="E148" s="63" t="n">
        <f aca="false">D148*'Itens de Contrato'!F148</f>
        <v>0</v>
      </c>
      <c r="F148" s="62" t="n">
        <f aca="false">'Medição 04'!F148-'Medição 04'!G148</f>
        <v>0</v>
      </c>
      <c r="G148" s="52"/>
      <c r="H148" s="64" t="e">
        <f aca="false">G148/D148</f>
        <v>#DIV/0!</v>
      </c>
      <c r="I148" s="63" t="n">
        <f aca="false">G148*'Itens de Contrato'!F148</f>
        <v>0</v>
      </c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</row>
    <row r="149" customFormat="false" ht="12.8" hidden="false" customHeight="false" outlineLevel="0" collapsed="false">
      <c r="A149" s="37" t="n">
        <f aca="false">'Itens de Contrato'!A149</f>
        <v>0</v>
      </c>
      <c r="B149" s="37" t="n">
        <f aca="false">'Itens de Contrato'!B149</f>
        <v>0</v>
      </c>
      <c r="C149" s="37" t="e">
        <f aca="false">VLOOKUP(B149,'Itens de Contrato'!B$5:G$151,2,0)</f>
        <v>#N/A</v>
      </c>
      <c r="D149" s="52"/>
      <c r="E149" s="63" t="n">
        <f aca="false">D149*'Itens de Contrato'!F149</f>
        <v>0</v>
      </c>
      <c r="F149" s="62" t="n">
        <f aca="false">'Medição 04'!F149-'Medição 04'!G149</f>
        <v>0</v>
      </c>
      <c r="G149" s="52"/>
      <c r="H149" s="64" t="e">
        <f aca="false">G149/D149</f>
        <v>#DIV/0!</v>
      </c>
      <c r="I149" s="63" t="n">
        <f aca="false">G149*'Itens de Contrato'!F149</f>
        <v>0</v>
      </c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</row>
    <row r="150" customFormat="false" ht="12.8" hidden="false" customHeight="false" outlineLevel="0" collapsed="false">
      <c r="A150" s="37" t="n">
        <f aca="false">'Itens de Contrato'!A150</f>
        <v>0</v>
      </c>
      <c r="B150" s="37" t="n">
        <f aca="false">'Itens de Contrato'!B150</f>
        <v>0</v>
      </c>
      <c r="C150" s="37" t="e">
        <f aca="false">VLOOKUP(B150,'Itens de Contrato'!B$5:G$151,2,0)</f>
        <v>#N/A</v>
      </c>
      <c r="D150" s="52"/>
      <c r="E150" s="63" t="n">
        <f aca="false">D150*'Itens de Contrato'!F150</f>
        <v>0</v>
      </c>
      <c r="F150" s="62" t="n">
        <f aca="false">'Medição 04'!F150-'Medição 04'!G150</f>
        <v>0</v>
      </c>
      <c r="G150" s="52"/>
      <c r="H150" s="64" t="e">
        <f aca="false">G150/D150</f>
        <v>#DIV/0!</v>
      </c>
      <c r="I150" s="63" t="n">
        <f aca="false">G150*'Itens de Contrato'!F150</f>
        <v>0</v>
      </c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</row>
    <row r="151" customFormat="false" ht="12.8" hidden="false" customHeight="false" outlineLevel="0" collapsed="false">
      <c r="A151" s="37" t="n">
        <f aca="false">'Itens de Contrato'!A151</f>
        <v>0</v>
      </c>
      <c r="B151" s="37" t="n">
        <f aca="false">'Itens de Contrato'!B151</f>
        <v>0</v>
      </c>
      <c r="C151" s="37" t="e">
        <f aca="false">VLOOKUP(B151,'Itens de Contrato'!B$5:G$151,2,0)</f>
        <v>#N/A</v>
      </c>
      <c r="D151" s="52"/>
      <c r="E151" s="63" t="n">
        <f aca="false">D151*'Itens de Contrato'!F151</f>
        <v>0</v>
      </c>
      <c r="F151" s="62" t="n">
        <f aca="false">'Medição 04'!F151-'Medição 04'!G151</f>
        <v>0</v>
      </c>
      <c r="G151" s="52"/>
      <c r="H151" s="64" t="e">
        <f aca="false">G151/D151</f>
        <v>#DIV/0!</v>
      </c>
      <c r="I151" s="63" t="n">
        <f aca="false">G151*'Itens de Contrato'!F151</f>
        <v>0</v>
      </c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</row>
    <row r="152" customFormat="false" ht="12.75" hidden="false" customHeight="false" outlineLevel="0" collapsed="false"/>
    <row r="153" customFormat="false" ht="12.75" hidden="false" customHeight="false" outlineLevel="0" collapsed="false"/>
    <row r="154" customFormat="false" ht="12.75" hidden="false" customHeight="false" outlineLevel="0" collapsed="false"/>
    <row r="155" customFormat="false" ht="12.75" hidden="false" customHeight="false" outlineLevel="0" collapsed="false"/>
    <row r="156" customFormat="false" ht="12.75" hidden="false" customHeight="false" outlineLevel="0" collapsed="false"/>
    <row r="157" customFormat="false" ht="12.75" hidden="false" customHeight="false" outlineLevel="0" collapsed="false"/>
    <row r="158" customFormat="false" ht="12.75" hidden="false" customHeight="false" outlineLevel="0" collapsed="false"/>
    <row r="159" customFormat="false" ht="12.75" hidden="false" customHeight="false" outlineLevel="0" collapsed="false"/>
    <row r="160" customFormat="false" ht="12.75" hidden="false" customHeight="false" outlineLevel="0" collapsed="false"/>
    <row r="161" customFormat="false" ht="12.75" hidden="false" customHeight="false" outlineLevel="0" collapsed="false"/>
    <row r="162" customFormat="false" ht="12.75" hidden="false" customHeight="false" outlineLevel="0" collapsed="false"/>
    <row r="163" customFormat="false" ht="12.75" hidden="false" customHeight="false" outlineLevel="0" collapsed="false"/>
    <row r="164" customFormat="false" ht="12.75" hidden="false" customHeight="false" outlineLevel="0" collapsed="false"/>
    <row r="165" customFormat="false" ht="12.75" hidden="false" customHeight="false" outlineLevel="0" collapsed="false"/>
    <row r="166" customFormat="false" ht="12.75" hidden="false" customHeight="false" outlineLevel="0" collapsed="false"/>
    <row r="167" customFormat="false" ht="12.75" hidden="false" customHeight="false" outlineLevel="0" collapsed="false"/>
    <row r="168" customFormat="false" ht="12.75" hidden="false" customHeight="false" outlineLevel="0" collapsed="false"/>
    <row r="169" customFormat="false" ht="12.75" hidden="false" customHeight="false" outlineLevel="0" collapsed="false"/>
    <row r="170" customFormat="false" ht="12.75" hidden="false" customHeight="false" outlineLevel="0" collapsed="false"/>
    <row r="171" customFormat="false" ht="12.75" hidden="false" customHeight="false" outlineLevel="0" collapsed="false"/>
    <row r="172" customFormat="false" ht="12.75" hidden="false" customHeight="false" outlineLevel="0" collapsed="false"/>
    <row r="173" customFormat="false" ht="12.75" hidden="false" customHeight="false" outlineLevel="0" collapsed="false"/>
    <row r="174" customFormat="false" ht="12.75" hidden="false" customHeight="false" outlineLevel="0" collapsed="false"/>
    <row r="175" customFormat="false" ht="12.75" hidden="false" customHeight="false" outlineLevel="0" collapsed="false"/>
    <row r="176" customFormat="false" ht="12.75" hidden="false" customHeight="false" outlineLevel="0" collapsed="false"/>
    <row r="177" customFormat="false" ht="12.75" hidden="false" customHeight="false" outlineLevel="0" collapsed="false"/>
    <row r="178" customFormat="false" ht="12.75" hidden="false" customHeight="false" outlineLevel="0" collapsed="false"/>
    <row r="179" customFormat="false" ht="12.75" hidden="false" customHeight="false" outlineLevel="0" collapsed="false"/>
    <row r="180" customFormat="false" ht="12.75" hidden="false" customHeight="false" outlineLevel="0" collapsed="false"/>
    <row r="181" customFormat="false" ht="12.75" hidden="false" customHeight="false" outlineLevel="0" collapsed="false"/>
    <row r="182" customFormat="false" ht="12.75" hidden="false" customHeight="false" outlineLevel="0" collapsed="false"/>
    <row r="183" customFormat="false" ht="12.75" hidden="false" customHeight="false" outlineLevel="0" collapsed="false"/>
    <row r="184" customFormat="false" ht="12.75" hidden="false" customHeight="false" outlineLevel="0" collapsed="false"/>
    <row r="185" customFormat="false" ht="12.75" hidden="false" customHeight="false" outlineLevel="0" collapsed="false"/>
    <row r="186" customFormat="false" ht="12.75" hidden="false" customHeight="false" outlineLevel="0" collapsed="false"/>
    <row r="187" customFormat="false" ht="12.75" hidden="false" customHeight="false" outlineLevel="0" collapsed="false"/>
    <row r="188" customFormat="false" ht="12.75" hidden="false" customHeight="false" outlineLevel="0" collapsed="false"/>
    <row r="189" customFormat="false" ht="12.75" hidden="false" customHeight="false" outlineLevel="0" collapsed="false"/>
    <row r="190" customFormat="false" ht="12.75" hidden="false" customHeight="false" outlineLevel="0" collapsed="false"/>
    <row r="191" customFormat="false" ht="12.75" hidden="false" customHeight="false" outlineLevel="0" collapsed="false"/>
    <row r="192" customFormat="false" ht="12.75" hidden="false" customHeight="false" outlineLevel="0" collapsed="false"/>
    <row r="193" customFormat="false" ht="12.75" hidden="false" customHeight="false" outlineLevel="0" collapsed="false"/>
    <row r="194" customFormat="false" ht="12.75" hidden="false" customHeight="false" outlineLevel="0" collapsed="false"/>
    <row r="195" customFormat="false" ht="12.75" hidden="false" customHeight="false" outlineLevel="0" collapsed="false"/>
    <row r="196" customFormat="false" ht="12.75" hidden="false" customHeight="false" outlineLevel="0" collapsed="false"/>
    <row r="197" customFormat="false" ht="12.75" hidden="false" customHeight="false" outlineLevel="0" collapsed="false"/>
    <row r="198" customFormat="false" ht="12.75" hidden="false" customHeight="false" outlineLevel="0" collapsed="false"/>
    <row r="199" customFormat="false" ht="12.75" hidden="false" customHeight="false" outlineLevel="0" collapsed="false"/>
    <row r="200" customFormat="false" ht="12.75" hidden="false" customHeight="false" outlineLevel="0" collapsed="false"/>
    <row r="201" customFormat="false" ht="12.75" hidden="false" customHeight="false" outlineLevel="0" collapsed="false"/>
    <row r="202" customFormat="false" ht="12.75" hidden="false" customHeight="false" outlineLevel="0" collapsed="false"/>
    <row r="203" customFormat="false" ht="12.75" hidden="false" customHeight="false" outlineLevel="0" collapsed="false"/>
    <row r="204" customFormat="false" ht="12.75" hidden="false" customHeight="false" outlineLevel="0" collapsed="false"/>
    <row r="205" customFormat="false" ht="12.75" hidden="false" customHeight="false" outlineLevel="0" collapsed="false"/>
    <row r="206" customFormat="false" ht="12.75" hidden="false" customHeight="false" outlineLevel="0" collapsed="false"/>
    <row r="207" customFormat="false" ht="12.75" hidden="false" customHeight="false" outlineLevel="0" collapsed="false"/>
    <row r="208" customFormat="false" ht="12.75" hidden="false" customHeight="false" outlineLevel="0" collapsed="false"/>
    <row r="209" customFormat="false" ht="12.75" hidden="false" customHeight="false" outlineLevel="0" collapsed="false"/>
    <row r="210" customFormat="false" ht="12.75" hidden="false" customHeight="false" outlineLevel="0" collapsed="false"/>
    <row r="211" customFormat="false" ht="12.75" hidden="false" customHeight="false" outlineLevel="0" collapsed="false"/>
    <row r="212" customFormat="false" ht="12.75" hidden="false" customHeight="false" outlineLevel="0" collapsed="false"/>
    <row r="213" customFormat="false" ht="12.75" hidden="false" customHeight="false" outlineLevel="0" collapsed="false"/>
    <row r="214" customFormat="false" ht="12.75" hidden="false" customHeight="false" outlineLevel="0" collapsed="false"/>
    <row r="215" customFormat="false" ht="12.75" hidden="false" customHeight="false" outlineLevel="0" collapsed="false"/>
    <row r="216" customFormat="false" ht="12.75" hidden="false" customHeight="false" outlineLevel="0" collapsed="false"/>
    <row r="217" customFormat="false" ht="12.75" hidden="false" customHeight="false" outlineLevel="0" collapsed="false"/>
    <row r="218" customFormat="false" ht="12.75" hidden="false" customHeight="false" outlineLevel="0" collapsed="false"/>
    <row r="219" customFormat="false" ht="12.75" hidden="false" customHeight="false" outlineLevel="0" collapsed="false"/>
    <row r="220" customFormat="false" ht="12.75" hidden="false" customHeight="false" outlineLevel="0" collapsed="false"/>
    <row r="221" customFormat="false" ht="12.75" hidden="false" customHeight="false" outlineLevel="0" collapsed="false"/>
    <row r="222" customFormat="false" ht="12.75" hidden="false" customHeight="false" outlineLevel="0" collapsed="false"/>
    <row r="223" customFormat="false" ht="12.75" hidden="false" customHeight="false" outlineLevel="0" collapsed="false"/>
    <row r="224" customFormat="false" ht="12.75" hidden="false" customHeight="false" outlineLevel="0" collapsed="false"/>
    <row r="225" customFormat="false" ht="12.75" hidden="false" customHeight="false" outlineLevel="0" collapsed="false"/>
    <row r="226" customFormat="false" ht="12.75" hidden="false" customHeight="false" outlineLevel="0" collapsed="false"/>
    <row r="227" customFormat="false" ht="12.75" hidden="false" customHeight="false" outlineLevel="0" collapsed="false"/>
    <row r="228" customFormat="false" ht="12.75" hidden="false" customHeight="false" outlineLevel="0" collapsed="false"/>
    <row r="229" customFormat="false" ht="12.75" hidden="false" customHeight="false" outlineLevel="0" collapsed="false"/>
    <row r="230" customFormat="false" ht="12.75" hidden="false" customHeight="false" outlineLevel="0" collapsed="false"/>
    <row r="231" customFormat="false" ht="12.75" hidden="false" customHeight="false" outlineLevel="0" collapsed="false"/>
    <row r="232" customFormat="false" ht="12.75" hidden="false" customHeight="false" outlineLevel="0" collapsed="false"/>
    <row r="233" customFormat="false" ht="12.75" hidden="false" customHeight="false" outlineLevel="0" collapsed="false"/>
    <row r="234" customFormat="false" ht="12.75" hidden="false" customHeight="false" outlineLevel="0" collapsed="false"/>
    <row r="235" customFormat="false" ht="12.75" hidden="false" customHeight="false" outlineLevel="0" collapsed="false"/>
    <row r="236" customFormat="false" ht="12.75" hidden="false" customHeight="false" outlineLevel="0" collapsed="false"/>
    <row r="237" customFormat="false" ht="12.75" hidden="false" customHeight="false" outlineLevel="0" collapsed="false"/>
    <row r="238" customFormat="false" ht="12.75" hidden="false" customHeight="false" outlineLevel="0" collapsed="false"/>
    <row r="239" customFormat="false" ht="12.75" hidden="false" customHeight="false" outlineLevel="0" collapsed="false"/>
    <row r="240" customFormat="false" ht="12.75" hidden="false" customHeight="false" outlineLevel="0" collapsed="false"/>
    <row r="241" customFormat="false" ht="12.75" hidden="false" customHeight="false" outlineLevel="0" collapsed="false"/>
    <row r="242" customFormat="false" ht="12.75" hidden="false" customHeight="false" outlineLevel="0" collapsed="false"/>
    <row r="243" customFormat="false" ht="12.75" hidden="false" customHeight="false" outlineLevel="0" collapsed="false"/>
    <row r="244" customFormat="false" ht="12.75" hidden="false" customHeight="false" outlineLevel="0" collapsed="false"/>
    <row r="245" customFormat="false" ht="12.75" hidden="false" customHeight="false" outlineLevel="0" collapsed="false"/>
    <row r="246" customFormat="false" ht="12.75" hidden="false" customHeight="false" outlineLevel="0" collapsed="false"/>
    <row r="247" customFormat="false" ht="12.75" hidden="false" customHeight="false" outlineLevel="0" collapsed="false"/>
    <row r="248" customFormat="false" ht="12.75" hidden="false" customHeight="false" outlineLevel="0" collapsed="false"/>
    <row r="249" customFormat="false" ht="12.75" hidden="false" customHeight="false" outlineLevel="0" collapsed="false"/>
    <row r="250" customFormat="false" ht="12.75" hidden="false" customHeight="false" outlineLevel="0" collapsed="false"/>
    <row r="251" customFormat="false" ht="12.75" hidden="false" customHeight="false" outlineLevel="0" collapsed="false"/>
    <row r="252" customFormat="false" ht="12.75" hidden="false" customHeight="false" outlineLevel="0" collapsed="false"/>
    <row r="253" customFormat="false" ht="12.75" hidden="false" customHeight="false" outlineLevel="0" collapsed="false"/>
    <row r="254" customFormat="false" ht="12.75" hidden="false" customHeight="false" outlineLevel="0" collapsed="false"/>
    <row r="255" customFormat="false" ht="12.75" hidden="false" customHeight="false" outlineLevel="0" collapsed="false"/>
    <row r="256" customFormat="false" ht="12.75" hidden="false" customHeight="false" outlineLevel="0" collapsed="false"/>
    <row r="257" customFormat="false" ht="12.75" hidden="false" customHeight="false" outlineLevel="0" collapsed="false"/>
    <row r="258" customFormat="false" ht="12.75" hidden="false" customHeight="false" outlineLevel="0" collapsed="false"/>
    <row r="259" customFormat="false" ht="12.75" hidden="false" customHeight="false" outlineLevel="0" collapsed="false"/>
    <row r="260" customFormat="false" ht="12.75" hidden="false" customHeight="false" outlineLevel="0" collapsed="false"/>
    <row r="261" customFormat="false" ht="12.75" hidden="false" customHeight="false" outlineLevel="0" collapsed="false"/>
    <row r="262" customFormat="false" ht="12.75" hidden="false" customHeight="false" outlineLevel="0" collapsed="false"/>
    <row r="263" customFormat="false" ht="12.75" hidden="false" customHeight="false" outlineLevel="0" collapsed="false"/>
    <row r="264" customFormat="false" ht="12.75" hidden="false" customHeight="false" outlineLevel="0" collapsed="false"/>
    <row r="265" customFormat="false" ht="12.75" hidden="false" customHeight="false" outlineLevel="0" collapsed="false"/>
    <row r="266" customFormat="false" ht="12.75" hidden="false" customHeight="false" outlineLevel="0" collapsed="false"/>
    <row r="267" customFormat="false" ht="12.75" hidden="false" customHeight="false" outlineLevel="0" collapsed="false"/>
    <row r="268" customFormat="false" ht="12.75" hidden="false" customHeight="false" outlineLevel="0" collapsed="false"/>
    <row r="269" customFormat="false" ht="12.75" hidden="false" customHeight="false" outlineLevel="0" collapsed="false"/>
    <row r="270" customFormat="false" ht="12.75" hidden="false" customHeight="false" outlineLevel="0" collapsed="false"/>
    <row r="271" customFormat="false" ht="12.75" hidden="false" customHeight="false" outlineLevel="0" collapsed="false"/>
    <row r="272" customFormat="false" ht="12.75" hidden="false" customHeight="false" outlineLevel="0" collapsed="false"/>
    <row r="273" customFormat="false" ht="12.75" hidden="false" customHeight="fals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12.75" hidden="false" customHeight="false" outlineLevel="0" collapsed="false"/>
    <row r="283" customFormat="false" ht="12.75" hidden="false" customHeight="false" outlineLevel="0" collapsed="false"/>
    <row r="284" customFormat="false" ht="12.75" hidden="false" customHeight="fals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12.75" hidden="false" customHeight="false" outlineLevel="0" collapsed="false"/>
    <row r="291" customFormat="false" ht="12.75" hidden="false" customHeight="false" outlineLevel="0" collapsed="false"/>
    <row r="292" customFormat="false" ht="12.75" hidden="false" customHeight="false" outlineLevel="0" collapsed="false"/>
    <row r="293" customFormat="false" ht="12.75" hidden="false" customHeight="false" outlineLevel="0" collapsed="false"/>
    <row r="294" customFormat="false" ht="12.75" hidden="false" customHeight="false" outlineLevel="0" collapsed="false"/>
    <row r="295" customFormat="false" ht="12.75" hidden="false" customHeight="fals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12.75" hidden="false" customHeight="false" outlineLevel="0" collapsed="false"/>
    <row r="299" customFormat="false" ht="12.75" hidden="false" customHeight="false" outlineLevel="0" collapsed="false"/>
    <row r="300" customFormat="false" ht="12.75" hidden="false" customHeight="fals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12.75" hidden="false" customHeight="false" outlineLevel="0" collapsed="false"/>
    <row r="308" customFormat="false" ht="12.75" hidden="false" customHeight="false" outlineLevel="0" collapsed="false"/>
    <row r="309" customFormat="false" ht="12.75" hidden="false" customHeight="false" outlineLevel="0" collapsed="false"/>
    <row r="310" customFormat="false" ht="12.75" hidden="false" customHeight="false" outlineLevel="0" collapsed="false"/>
    <row r="311" customFormat="false" ht="12.75" hidden="false" customHeight="false" outlineLevel="0" collapsed="false"/>
    <row r="312" customFormat="false" ht="12.75" hidden="false" customHeight="false" outlineLevel="0" collapsed="false"/>
    <row r="313" customFormat="false" ht="12.75" hidden="false" customHeight="false" outlineLevel="0" collapsed="false"/>
    <row r="314" customFormat="false" ht="12.75" hidden="false" customHeight="fals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12.75" hidden="false" customHeight="fals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  <row r="344" customFormat="false" ht="12.75" hidden="false" customHeight="false" outlineLevel="0" collapsed="false"/>
    <row r="345" customFormat="false" ht="12.75" hidden="false" customHeight="false" outlineLevel="0" collapsed="false"/>
    <row r="346" customFormat="false" ht="12.75" hidden="false" customHeight="false" outlineLevel="0" collapsed="false"/>
    <row r="347" customFormat="false" ht="12.75" hidden="false" customHeight="false" outlineLevel="0" collapsed="false"/>
    <row r="348" customFormat="false" ht="12.75" hidden="false" customHeight="false" outlineLevel="0" collapsed="false"/>
    <row r="349" customFormat="false" ht="12.75" hidden="false" customHeight="false" outlineLevel="0" collapsed="false"/>
    <row r="350" customFormat="false" ht="12.75" hidden="false" customHeight="false" outlineLevel="0" collapsed="false"/>
    <row r="351" customFormat="false" ht="12.75" hidden="false" customHeight="false" outlineLevel="0" collapsed="false"/>
    <row r="352" customFormat="false" ht="12.75" hidden="false" customHeight="false" outlineLevel="0" collapsed="false"/>
    <row r="353" customFormat="false" ht="12.75" hidden="false" customHeight="false" outlineLevel="0" collapsed="false"/>
    <row r="354" customFormat="false" ht="12.75" hidden="false" customHeight="false" outlineLevel="0" collapsed="false"/>
    <row r="355" customFormat="false" ht="12.75" hidden="false" customHeight="false" outlineLevel="0" collapsed="false"/>
    <row r="356" customFormat="false" ht="12.75" hidden="false" customHeight="false" outlineLevel="0" collapsed="false"/>
    <row r="357" customFormat="false" ht="12.75" hidden="false" customHeight="false" outlineLevel="0" collapsed="false"/>
    <row r="358" customFormat="false" ht="12.75" hidden="false" customHeight="false" outlineLevel="0" collapsed="false"/>
    <row r="359" customFormat="false" ht="12.75" hidden="false" customHeight="false" outlineLevel="0" collapsed="false"/>
    <row r="360" customFormat="false" ht="12.75" hidden="false" customHeight="false" outlineLevel="0" collapsed="false"/>
    <row r="361" customFormat="false" ht="12.75" hidden="false" customHeight="false" outlineLevel="0" collapsed="false"/>
    <row r="362" customFormat="false" ht="12.75" hidden="false" customHeight="false" outlineLevel="0" collapsed="false"/>
    <row r="363" customFormat="false" ht="12.75" hidden="false" customHeight="false" outlineLevel="0" collapsed="false"/>
    <row r="364" customFormat="false" ht="12.75" hidden="false" customHeight="false" outlineLevel="0" collapsed="false"/>
    <row r="365" customFormat="false" ht="12.75" hidden="false" customHeight="false" outlineLevel="0" collapsed="false"/>
    <row r="366" customFormat="false" ht="12.75" hidden="false" customHeight="false" outlineLevel="0" collapsed="false"/>
    <row r="367" customFormat="false" ht="12.75" hidden="false" customHeight="false" outlineLevel="0" collapsed="false"/>
    <row r="368" customFormat="false" ht="12.75" hidden="false" customHeight="false" outlineLevel="0" collapsed="false"/>
    <row r="369" customFormat="false" ht="12.75" hidden="false" customHeight="false" outlineLevel="0" collapsed="false"/>
    <row r="370" customFormat="false" ht="12.75" hidden="false" customHeight="false" outlineLevel="0" collapsed="false"/>
    <row r="371" customFormat="false" ht="12.75" hidden="false" customHeight="false" outlineLevel="0" collapsed="false"/>
    <row r="372" customFormat="false" ht="12.75" hidden="false" customHeight="false" outlineLevel="0" collapsed="false"/>
    <row r="373" customFormat="false" ht="12.75" hidden="false" customHeight="false" outlineLevel="0" collapsed="false"/>
    <row r="374" customFormat="false" ht="12.75" hidden="false" customHeight="false" outlineLevel="0" collapsed="false"/>
    <row r="375" customFormat="false" ht="12.75" hidden="false" customHeight="false" outlineLevel="0" collapsed="false"/>
    <row r="376" customFormat="false" ht="12.75" hidden="false" customHeight="false" outlineLevel="0" collapsed="false"/>
    <row r="377" customFormat="false" ht="12.75" hidden="false" customHeight="false" outlineLevel="0" collapsed="false"/>
    <row r="378" customFormat="false" ht="12.75" hidden="false" customHeight="false" outlineLevel="0" collapsed="false"/>
    <row r="379" customFormat="false" ht="12.75" hidden="false" customHeight="false" outlineLevel="0" collapsed="false"/>
    <row r="380" customFormat="false" ht="12.75" hidden="false" customHeight="false" outlineLevel="0" collapsed="false"/>
    <row r="381" customFormat="false" ht="12.75" hidden="false" customHeight="false" outlineLevel="0" collapsed="false"/>
    <row r="382" customFormat="false" ht="12.75" hidden="false" customHeight="false" outlineLevel="0" collapsed="false"/>
    <row r="383" customFormat="false" ht="12.75" hidden="false" customHeight="false" outlineLevel="0" collapsed="false"/>
    <row r="384" customFormat="false" ht="12.75" hidden="false" customHeight="false" outlineLevel="0" collapsed="false"/>
    <row r="385" customFormat="false" ht="12.75" hidden="false" customHeight="false" outlineLevel="0" collapsed="false"/>
    <row r="386" customFormat="false" ht="12.75" hidden="false" customHeight="false" outlineLevel="0" collapsed="false"/>
    <row r="387" customFormat="false" ht="12.75" hidden="false" customHeight="false" outlineLevel="0" collapsed="false"/>
    <row r="388" customFormat="false" ht="12.75" hidden="false" customHeight="false" outlineLevel="0" collapsed="false"/>
    <row r="389" customFormat="false" ht="12.75" hidden="false" customHeight="false" outlineLevel="0" collapsed="false"/>
    <row r="390" customFormat="false" ht="12.75" hidden="false" customHeight="false" outlineLevel="0" collapsed="false"/>
    <row r="391" customFormat="false" ht="12.75" hidden="false" customHeight="false" outlineLevel="0" collapsed="false"/>
    <row r="392" customFormat="false" ht="12.75" hidden="false" customHeight="false" outlineLevel="0" collapsed="false"/>
    <row r="393" customFormat="false" ht="12.75" hidden="false" customHeight="false" outlineLevel="0" collapsed="false"/>
    <row r="394" customFormat="false" ht="12.75" hidden="false" customHeight="false" outlineLevel="0" collapsed="false"/>
    <row r="395" customFormat="false" ht="12.75" hidden="false" customHeight="false" outlineLevel="0" collapsed="false"/>
    <row r="396" customFormat="false" ht="12.75" hidden="false" customHeight="false" outlineLevel="0" collapsed="false"/>
    <row r="397" customFormat="false" ht="12.75" hidden="false" customHeight="false" outlineLevel="0" collapsed="false"/>
    <row r="398" customFormat="false" ht="12.75" hidden="false" customHeight="false" outlineLevel="0" collapsed="false"/>
    <row r="399" customFormat="false" ht="12.75" hidden="false" customHeight="false" outlineLevel="0" collapsed="false"/>
    <row r="400" customFormat="false" ht="12.75" hidden="false" customHeight="false" outlineLevel="0" collapsed="false"/>
    <row r="401" customFormat="false" ht="12.75" hidden="false" customHeight="false" outlineLevel="0" collapsed="false"/>
    <row r="402" customFormat="false" ht="12.75" hidden="false" customHeight="false" outlineLevel="0" collapsed="false"/>
    <row r="403" customFormat="false" ht="12.75" hidden="false" customHeight="false" outlineLevel="0" collapsed="false"/>
    <row r="404" customFormat="false" ht="12.75" hidden="false" customHeight="false" outlineLevel="0" collapsed="false"/>
    <row r="405" customFormat="false" ht="12.75" hidden="false" customHeight="false" outlineLevel="0" collapsed="false"/>
    <row r="406" customFormat="false" ht="12.75" hidden="false" customHeight="false" outlineLevel="0" collapsed="false"/>
    <row r="407" customFormat="false" ht="12.75" hidden="false" customHeight="false" outlineLevel="0" collapsed="false"/>
    <row r="408" customFormat="false" ht="12.75" hidden="false" customHeight="false" outlineLevel="0" collapsed="false"/>
    <row r="409" customFormat="false" ht="12.75" hidden="false" customHeight="false" outlineLevel="0" collapsed="false"/>
    <row r="410" customFormat="false" ht="12.75" hidden="false" customHeight="false" outlineLevel="0" collapsed="false"/>
    <row r="411" customFormat="false" ht="12.75" hidden="false" customHeight="false" outlineLevel="0" collapsed="false"/>
    <row r="412" customFormat="false" ht="12.75" hidden="false" customHeight="false" outlineLevel="0" collapsed="false"/>
    <row r="413" customFormat="false" ht="12.75" hidden="false" customHeight="false" outlineLevel="0" collapsed="false"/>
    <row r="414" customFormat="false" ht="12.75" hidden="false" customHeight="false" outlineLevel="0" collapsed="false"/>
    <row r="415" customFormat="false" ht="12.75" hidden="false" customHeight="false" outlineLevel="0" collapsed="false"/>
    <row r="416" customFormat="false" ht="12.75" hidden="false" customHeight="false" outlineLevel="0" collapsed="false"/>
    <row r="417" customFormat="false" ht="12.75" hidden="false" customHeight="false" outlineLevel="0" collapsed="false"/>
    <row r="418" customFormat="false" ht="12.75" hidden="false" customHeight="false" outlineLevel="0" collapsed="false"/>
    <row r="419" customFormat="false" ht="12.75" hidden="false" customHeight="false" outlineLevel="0" collapsed="false"/>
    <row r="420" customFormat="false" ht="12.75" hidden="false" customHeight="false" outlineLevel="0" collapsed="false"/>
    <row r="421" customFormat="false" ht="12.75" hidden="false" customHeight="false" outlineLevel="0" collapsed="false"/>
    <row r="422" customFormat="false" ht="12.75" hidden="false" customHeight="false" outlineLevel="0" collapsed="false"/>
    <row r="423" customFormat="false" ht="12.75" hidden="false" customHeight="false" outlineLevel="0" collapsed="false"/>
    <row r="424" customFormat="false" ht="12.75" hidden="false" customHeight="false" outlineLevel="0" collapsed="false"/>
    <row r="425" customFormat="false" ht="12.75" hidden="false" customHeight="false" outlineLevel="0" collapsed="false"/>
    <row r="426" customFormat="false" ht="12.75" hidden="false" customHeight="false" outlineLevel="0" collapsed="false"/>
    <row r="427" customFormat="false" ht="12.75" hidden="false" customHeight="false" outlineLevel="0" collapsed="false"/>
    <row r="428" customFormat="false" ht="12.75" hidden="false" customHeight="false" outlineLevel="0" collapsed="false"/>
    <row r="429" customFormat="false" ht="12.75" hidden="false" customHeight="false" outlineLevel="0" collapsed="false"/>
    <row r="430" customFormat="false" ht="12.75" hidden="false" customHeight="false" outlineLevel="0" collapsed="false"/>
    <row r="431" customFormat="false" ht="12.75" hidden="false" customHeight="false" outlineLevel="0" collapsed="false"/>
    <row r="432" customFormat="false" ht="12.75" hidden="false" customHeight="false" outlineLevel="0" collapsed="false"/>
    <row r="433" customFormat="false" ht="12.75" hidden="false" customHeight="false" outlineLevel="0" collapsed="false"/>
    <row r="434" customFormat="false" ht="12.75" hidden="false" customHeight="false" outlineLevel="0" collapsed="false"/>
    <row r="435" customFormat="false" ht="12.75" hidden="false" customHeight="false" outlineLevel="0" collapsed="false"/>
    <row r="436" customFormat="false" ht="12.75" hidden="false" customHeight="false" outlineLevel="0" collapsed="false"/>
    <row r="437" customFormat="false" ht="12.75" hidden="false" customHeight="false" outlineLevel="0" collapsed="false"/>
    <row r="438" customFormat="false" ht="12.75" hidden="false" customHeight="false" outlineLevel="0" collapsed="false"/>
    <row r="439" customFormat="false" ht="12.75" hidden="false" customHeight="false" outlineLevel="0" collapsed="false"/>
    <row r="440" customFormat="false" ht="12.75" hidden="false" customHeight="false" outlineLevel="0" collapsed="false"/>
    <row r="441" customFormat="false" ht="12.75" hidden="false" customHeight="false" outlineLevel="0" collapsed="false"/>
    <row r="442" customFormat="false" ht="12.75" hidden="false" customHeight="false" outlineLevel="0" collapsed="false"/>
    <row r="443" customFormat="false" ht="12.75" hidden="false" customHeight="false" outlineLevel="0" collapsed="false"/>
    <row r="444" customFormat="false" ht="12.75" hidden="false" customHeight="false" outlineLevel="0" collapsed="false"/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/>
    <row r="455" customFormat="false" ht="12.75" hidden="false" customHeight="false" outlineLevel="0" collapsed="false"/>
    <row r="456" customFormat="false" ht="12.75" hidden="false" customHeight="false" outlineLevel="0" collapsed="false"/>
    <row r="457" customFormat="false" ht="12.75" hidden="false" customHeight="false" outlineLevel="0" collapsed="false"/>
    <row r="458" customFormat="false" ht="12.75" hidden="false" customHeight="false" outlineLevel="0" collapsed="false"/>
    <row r="459" customFormat="false" ht="12.75" hidden="false" customHeight="false" outlineLevel="0" collapsed="false"/>
    <row r="460" customFormat="false" ht="12.75" hidden="false" customHeight="false" outlineLevel="0" collapsed="false"/>
    <row r="461" customFormat="false" ht="12.75" hidden="false" customHeight="false" outlineLevel="0" collapsed="false"/>
    <row r="462" customFormat="false" ht="12.75" hidden="false" customHeight="false" outlineLevel="0" collapsed="false"/>
    <row r="463" customFormat="false" ht="12.75" hidden="false" customHeight="false" outlineLevel="0" collapsed="false"/>
    <row r="464" customFormat="false" ht="12.75" hidden="false" customHeight="false" outlineLevel="0" collapsed="false"/>
    <row r="465" customFormat="false" ht="12.75" hidden="false" customHeight="false" outlineLevel="0" collapsed="false"/>
    <row r="466" customFormat="false" ht="12.75" hidden="false" customHeight="false" outlineLevel="0" collapsed="false"/>
    <row r="467" customFormat="false" ht="12.75" hidden="false" customHeight="false" outlineLevel="0" collapsed="false"/>
    <row r="468" customFormat="false" ht="12.75" hidden="false" customHeight="false" outlineLevel="0" collapsed="false"/>
    <row r="469" customFormat="false" ht="12.75" hidden="false" customHeight="false" outlineLevel="0" collapsed="false"/>
    <row r="470" customFormat="false" ht="12.75" hidden="false" customHeight="false" outlineLevel="0" collapsed="false"/>
    <row r="471" customFormat="false" ht="12.75" hidden="false" customHeight="false" outlineLevel="0" collapsed="false"/>
    <row r="472" customFormat="false" ht="12.75" hidden="false" customHeight="false" outlineLevel="0" collapsed="false"/>
    <row r="473" customFormat="false" ht="12.75" hidden="false" customHeight="false" outlineLevel="0" collapsed="false"/>
    <row r="474" customFormat="false" ht="12.75" hidden="false" customHeight="false" outlineLevel="0" collapsed="false"/>
    <row r="475" customFormat="false" ht="12.75" hidden="false" customHeight="false" outlineLevel="0" collapsed="false"/>
    <row r="476" customFormat="false" ht="12.75" hidden="false" customHeight="false" outlineLevel="0" collapsed="false"/>
    <row r="477" customFormat="false" ht="12.75" hidden="false" customHeight="false" outlineLevel="0" collapsed="false"/>
    <row r="478" customFormat="false" ht="12.75" hidden="false" customHeight="false" outlineLevel="0" collapsed="false"/>
    <row r="479" customFormat="false" ht="12.75" hidden="false" customHeight="false" outlineLevel="0" collapsed="false"/>
    <row r="480" customFormat="false" ht="12.75" hidden="false" customHeight="false" outlineLevel="0" collapsed="false"/>
    <row r="481" customFormat="false" ht="12.75" hidden="false" customHeight="false" outlineLevel="0" collapsed="false"/>
    <row r="482" customFormat="false" ht="12.75" hidden="false" customHeight="false" outlineLevel="0" collapsed="false"/>
    <row r="483" customFormat="false" ht="12.75" hidden="false" customHeight="false" outlineLevel="0" collapsed="false"/>
    <row r="484" customFormat="false" ht="12.75" hidden="false" customHeight="false" outlineLevel="0" collapsed="false"/>
    <row r="485" customFormat="false" ht="12.75" hidden="false" customHeight="false" outlineLevel="0" collapsed="false"/>
    <row r="486" customFormat="false" ht="12.75" hidden="false" customHeight="false" outlineLevel="0" collapsed="false"/>
    <row r="487" customFormat="false" ht="12.75" hidden="false" customHeight="false" outlineLevel="0" collapsed="false"/>
    <row r="488" customFormat="false" ht="12.75" hidden="false" customHeight="false" outlineLevel="0" collapsed="false"/>
    <row r="489" customFormat="false" ht="12.75" hidden="false" customHeight="false" outlineLevel="0" collapsed="false"/>
    <row r="490" customFormat="false" ht="12.75" hidden="false" customHeight="false" outlineLevel="0" collapsed="false"/>
    <row r="491" customFormat="false" ht="12.75" hidden="false" customHeight="false" outlineLevel="0" collapsed="false"/>
    <row r="492" customFormat="false" ht="12.75" hidden="false" customHeight="false" outlineLevel="0" collapsed="false"/>
    <row r="493" customFormat="false" ht="12.75" hidden="false" customHeight="false" outlineLevel="0" collapsed="false"/>
    <row r="494" customFormat="false" ht="12.75" hidden="false" customHeight="false" outlineLevel="0" collapsed="false"/>
    <row r="495" customFormat="false" ht="12.75" hidden="false" customHeight="false" outlineLevel="0" collapsed="false"/>
    <row r="496" customFormat="false" ht="12.75" hidden="false" customHeight="false" outlineLevel="0" collapsed="false"/>
    <row r="497" customFormat="false" ht="12.75" hidden="false" customHeight="false" outlineLevel="0" collapsed="false"/>
    <row r="498" customFormat="false" ht="12.75" hidden="false" customHeight="false" outlineLevel="0" collapsed="false"/>
    <row r="499" customFormat="false" ht="12.75" hidden="false" customHeight="false" outlineLevel="0" collapsed="false"/>
    <row r="500" customFormat="false" ht="12.75" hidden="false" customHeight="false" outlineLevel="0" collapsed="false"/>
    <row r="501" customFormat="false" ht="12.75" hidden="false" customHeight="false" outlineLevel="0" collapsed="false"/>
    <row r="502" customFormat="false" ht="12.75" hidden="false" customHeight="false" outlineLevel="0" collapsed="false"/>
    <row r="503" customFormat="false" ht="12.75" hidden="false" customHeight="false" outlineLevel="0" collapsed="false"/>
    <row r="504" customFormat="false" ht="12.75" hidden="false" customHeight="false" outlineLevel="0" collapsed="false"/>
    <row r="505" customFormat="false" ht="12.75" hidden="false" customHeight="false" outlineLevel="0" collapsed="false"/>
    <row r="506" customFormat="false" ht="12.75" hidden="false" customHeight="false" outlineLevel="0" collapsed="false"/>
    <row r="507" customFormat="false" ht="12.75" hidden="false" customHeight="false" outlineLevel="0" collapsed="false"/>
    <row r="508" customFormat="false" ht="12.75" hidden="false" customHeight="false" outlineLevel="0" collapsed="false"/>
    <row r="509" customFormat="false" ht="12.75" hidden="false" customHeight="false" outlineLevel="0" collapsed="false"/>
    <row r="510" customFormat="false" ht="12.75" hidden="false" customHeight="false" outlineLevel="0" collapsed="false"/>
    <row r="511" customFormat="false" ht="12.75" hidden="false" customHeight="false" outlineLevel="0" collapsed="false"/>
    <row r="512" customFormat="false" ht="12.75" hidden="false" customHeight="false" outlineLevel="0" collapsed="false"/>
    <row r="513" customFormat="false" ht="12.75" hidden="false" customHeight="false" outlineLevel="0" collapsed="false"/>
    <row r="514" customFormat="false" ht="12.75" hidden="false" customHeight="false" outlineLevel="0" collapsed="false"/>
    <row r="515" customFormat="false" ht="12.75" hidden="false" customHeight="false" outlineLevel="0" collapsed="false"/>
    <row r="516" customFormat="false" ht="12.75" hidden="false" customHeight="false" outlineLevel="0" collapsed="false"/>
    <row r="517" customFormat="false" ht="12.75" hidden="false" customHeight="false" outlineLevel="0" collapsed="false"/>
    <row r="518" customFormat="false" ht="12.75" hidden="false" customHeight="false" outlineLevel="0" collapsed="false"/>
    <row r="519" customFormat="false" ht="12.75" hidden="false" customHeight="false" outlineLevel="0" collapsed="false"/>
    <row r="520" customFormat="false" ht="12.75" hidden="false" customHeight="false" outlineLevel="0" collapsed="false"/>
    <row r="521" customFormat="false" ht="12.75" hidden="false" customHeight="false" outlineLevel="0" collapsed="false"/>
    <row r="522" customFormat="false" ht="12.75" hidden="false" customHeight="false" outlineLevel="0" collapsed="false"/>
    <row r="523" customFormat="false" ht="12.75" hidden="false" customHeight="false" outlineLevel="0" collapsed="false"/>
    <row r="524" customFormat="false" ht="12.75" hidden="false" customHeight="false" outlineLevel="0" collapsed="false"/>
    <row r="525" customFormat="false" ht="12.75" hidden="false" customHeight="false" outlineLevel="0" collapsed="false"/>
    <row r="526" customFormat="false" ht="12.75" hidden="false" customHeight="false" outlineLevel="0" collapsed="false"/>
    <row r="527" customFormat="false" ht="12.75" hidden="false" customHeight="false" outlineLevel="0" collapsed="false"/>
    <row r="528" customFormat="false" ht="12.75" hidden="false" customHeight="false" outlineLevel="0" collapsed="false"/>
    <row r="529" customFormat="false" ht="12.75" hidden="false" customHeight="false" outlineLevel="0" collapsed="false"/>
    <row r="530" customFormat="false" ht="12.75" hidden="false" customHeight="false" outlineLevel="0" collapsed="false"/>
    <row r="531" customFormat="false" ht="12.75" hidden="false" customHeight="false" outlineLevel="0" collapsed="false"/>
    <row r="532" customFormat="false" ht="12.75" hidden="false" customHeight="false" outlineLevel="0" collapsed="false"/>
    <row r="533" customFormat="false" ht="12.75" hidden="false" customHeight="false" outlineLevel="0" collapsed="false"/>
    <row r="534" customFormat="false" ht="12.75" hidden="false" customHeight="false" outlineLevel="0" collapsed="false"/>
    <row r="535" customFormat="false" ht="12.75" hidden="false" customHeight="false" outlineLevel="0" collapsed="false"/>
    <row r="536" customFormat="false" ht="12.75" hidden="false" customHeight="false" outlineLevel="0" collapsed="false"/>
    <row r="537" customFormat="false" ht="12.75" hidden="false" customHeight="false" outlineLevel="0" collapsed="false"/>
    <row r="538" customFormat="false" ht="12.75" hidden="false" customHeight="false" outlineLevel="0" collapsed="false"/>
    <row r="539" customFormat="false" ht="12.75" hidden="false" customHeight="false" outlineLevel="0" collapsed="false"/>
    <row r="540" customFormat="false" ht="12.75" hidden="false" customHeight="false" outlineLevel="0" collapsed="false"/>
    <row r="541" customFormat="false" ht="12.75" hidden="false" customHeight="false" outlineLevel="0" collapsed="false"/>
    <row r="542" customFormat="false" ht="12.75" hidden="false" customHeight="false" outlineLevel="0" collapsed="false"/>
    <row r="543" customFormat="false" ht="12.75" hidden="false" customHeight="false" outlineLevel="0" collapsed="false"/>
    <row r="544" customFormat="false" ht="12.75" hidden="false" customHeight="false" outlineLevel="0" collapsed="false"/>
    <row r="545" customFormat="false" ht="12.75" hidden="false" customHeight="false" outlineLevel="0" collapsed="false"/>
    <row r="546" customFormat="false" ht="12.75" hidden="false" customHeight="false" outlineLevel="0" collapsed="false"/>
    <row r="547" customFormat="false" ht="12.75" hidden="false" customHeight="false" outlineLevel="0" collapsed="false"/>
    <row r="548" customFormat="false" ht="12.75" hidden="false" customHeight="false" outlineLevel="0" collapsed="false"/>
    <row r="549" customFormat="false" ht="12.75" hidden="false" customHeight="false" outlineLevel="0" collapsed="false"/>
    <row r="550" customFormat="false" ht="12.75" hidden="false" customHeight="false" outlineLevel="0" collapsed="false"/>
    <row r="551" customFormat="false" ht="12.75" hidden="false" customHeight="false" outlineLevel="0" collapsed="false"/>
    <row r="552" customFormat="false" ht="12.75" hidden="false" customHeight="false" outlineLevel="0" collapsed="false"/>
    <row r="553" customFormat="false" ht="12.75" hidden="false" customHeight="false" outlineLevel="0" collapsed="false"/>
    <row r="554" customFormat="false" ht="12.75" hidden="false" customHeight="false" outlineLevel="0" collapsed="false"/>
    <row r="555" customFormat="false" ht="12.75" hidden="false" customHeight="false" outlineLevel="0" collapsed="false"/>
    <row r="556" customFormat="false" ht="12.75" hidden="false" customHeight="false" outlineLevel="0" collapsed="false"/>
    <row r="557" customFormat="false" ht="12.75" hidden="false" customHeight="false" outlineLevel="0" collapsed="false"/>
    <row r="558" customFormat="false" ht="12.75" hidden="false" customHeight="false" outlineLevel="0" collapsed="false"/>
    <row r="559" customFormat="false" ht="12.75" hidden="false" customHeight="false" outlineLevel="0" collapsed="false"/>
    <row r="560" customFormat="false" ht="12.75" hidden="false" customHeight="false" outlineLevel="0" collapsed="false"/>
    <row r="561" customFormat="false" ht="12.75" hidden="false" customHeight="false" outlineLevel="0" collapsed="false"/>
    <row r="562" customFormat="false" ht="12.75" hidden="false" customHeight="false" outlineLevel="0" collapsed="false"/>
    <row r="563" customFormat="false" ht="12.75" hidden="false" customHeight="false" outlineLevel="0" collapsed="false"/>
    <row r="564" customFormat="false" ht="12.75" hidden="false" customHeight="false" outlineLevel="0" collapsed="false"/>
    <row r="565" customFormat="false" ht="12.75" hidden="false" customHeight="false" outlineLevel="0" collapsed="false"/>
    <row r="566" customFormat="false" ht="12.75" hidden="false" customHeight="false" outlineLevel="0" collapsed="false"/>
    <row r="567" customFormat="false" ht="12.75" hidden="false" customHeight="false" outlineLevel="0" collapsed="false"/>
    <row r="568" customFormat="false" ht="12.75" hidden="false" customHeight="false" outlineLevel="0" collapsed="false"/>
    <row r="569" customFormat="false" ht="12.75" hidden="false" customHeight="false" outlineLevel="0" collapsed="false"/>
    <row r="570" customFormat="false" ht="12.75" hidden="false" customHeight="false" outlineLevel="0" collapsed="false"/>
    <row r="571" customFormat="false" ht="12.75" hidden="false" customHeight="false" outlineLevel="0" collapsed="false"/>
    <row r="572" customFormat="false" ht="12.75" hidden="false" customHeight="false" outlineLevel="0" collapsed="false"/>
    <row r="573" customFormat="false" ht="12.75" hidden="false" customHeight="false" outlineLevel="0" collapsed="false"/>
    <row r="574" customFormat="false" ht="12.75" hidden="false" customHeight="false" outlineLevel="0" collapsed="false"/>
    <row r="575" customFormat="false" ht="12.75" hidden="false" customHeight="false" outlineLevel="0" collapsed="false"/>
    <row r="576" customFormat="false" ht="12.75" hidden="false" customHeight="false" outlineLevel="0" collapsed="false"/>
    <row r="577" customFormat="false" ht="12.75" hidden="false" customHeight="false" outlineLevel="0" collapsed="false"/>
    <row r="578" customFormat="false" ht="12.75" hidden="false" customHeight="false" outlineLevel="0" collapsed="false"/>
    <row r="579" customFormat="false" ht="12.75" hidden="false" customHeight="false" outlineLevel="0" collapsed="false"/>
    <row r="580" customFormat="false" ht="12.75" hidden="false" customHeight="false" outlineLevel="0" collapsed="false"/>
    <row r="581" customFormat="false" ht="12.75" hidden="false" customHeight="false" outlineLevel="0" collapsed="false"/>
    <row r="582" customFormat="false" ht="12.75" hidden="false" customHeight="false" outlineLevel="0" collapsed="false"/>
    <row r="583" customFormat="false" ht="12.75" hidden="false" customHeight="false" outlineLevel="0" collapsed="false"/>
    <row r="584" customFormat="false" ht="12.75" hidden="false" customHeight="false" outlineLevel="0" collapsed="false"/>
    <row r="585" customFormat="false" ht="12.75" hidden="false" customHeight="false" outlineLevel="0" collapsed="false"/>
    <row r="586" customFormat="false" ht="12.75" hidden="false" customHeight="false" outlineLevel="0" collapsed="false"/>
    <row r="587" customFormat="false" ht="12.75" hidden="false" customHeight="false" outlineLevel="0" collapsed="false"/>
    <row r="588" customFormat="false" ht="12.75" hidden="false" customHeight="false" outlineLevel="0" collapsed="false"/>
    <row r="589" customFormat="false" ht="12.75" hidden="false" customHeight="false" outlineLevel="0" collapsed="false"/>
    <row r="590" customFormat="false" ht="12.75" hidden="false" customHeight="false" outlineLevel="0" collapsed="false"/>
    <row r="591" customFormat="false" ht="12.75" hidden="false" customHeight="false" outlineLevel="0" collapsed="false"/>
    <row r="592" customFormat="false" ht="12.75" hidden="false" customHeight="false" outlineLevel="0" collapsed="false"/>
    <row r="593" customFormat="false" ht="12.75" hidden="false" customHeight="false" outlineLevel="0" collapsed="false"/>
    <row r="594" customFormat="false" ht="12.75" hidden="false" customHeight="false" outlineLevel="0" collapsed="false"/>
    <row r="595" customFormat="false" ht="12.75" hidden="false" customHeight="false" outlineLevel="0" collapsed="false"/>
    <row r="596" customFormat="false" ht="12.75" hidden="false" customHeight="false" outlineLevel="0" collapsed="false"/>
    <row r="597" customFormat="false" ht="12.75" hidden="false" customHeight="false" outlineLevel="0" collapsed="false"/>
    <row r="598" customFormat="false" ht="12.75" hidden="false" customHeight="false" outlineLevel="0" collapsed="false"/>
    <row r="599" customFormat="false" ht="12.75" hidden="false" customHeight="false" outlineLevel="0" collapsed="false"/>
    <row r="600" customFormat="false" ht="12.75" hidden="false" customHeight="false" outlineLevel="0" collapsed="false"/>
    <row r="601" customFormat="false" ht="12.75" hidden="false" customHeight="false" outlineLevel="0" collapsed="false"/>
    <row r="602" customFormat="false" ht="12.75" hidden="false" customHeight="false" outlineLevel="0" collapsed="false"/>
    <row r="603" customFormat="false" ht="12.75" hidden="false" customHeight="false" outlineLevel="0" collapsed="false"/>
    <row r="604" customFormat="false" ht="12.75" hidden="false" customHeight="false" outlineLevel="0" collapsed="false"/>
    <row r="605" customFormat="false" ht="12.75" hidden="false" customHeight="false" outlineLevel="0" collapsed="false"/>
    <row r="606" customFormat="false" ht="12.75" hidden="false" customHeight="false" outlineLevel="0" collapsed="false"/>
    <row r="607" customFormat="false" ht="12.75" hidden="false" customHeight="false" outlineLevel="0" collapsed="false"/>
    <row r="608" customFormat="false" ht="12.75" hidden="false" customHeight="false" outlineLevel="0" collapsed="false"/>
    <row r="609" customFormat="false" ht="12.75" hidden="false" customHeight="false" outlineLevel="0" collapsed="false"/>
    <row r="610" customFormat="false" ht="12.75" hidden="false" customHeight="false" outlineLevel="0" collapsed="false"/>
    <row r="611" customFormat="false" ht="12.75" hidden="false" customHeight="false" outlineLevel="0" collapsed="false"/>
    <row r="612" customFormat="false" ht="12.75" hidden="false" customHeight="false" outlineLevel="0" collapsed="false"/>
    <row r="613" customFormat="false" ht="12.75" hidden="false" customHeight="false" outlineLevel="0" collapsed="false"/>
    <row r="614" customFormat="false" ht="12.75" hidden="false" customHeight="false" outlineLevel="0" collapsed="false"/>
    <row r="615" customFormat="false" ht="12.75" hidden="false" customHeight="false" outlineLevel="0" collapsed="false"/>
    <row r="616" customFormat="false" ht="12.75" hidden="false" customHeight="false" outlineLevel="0" collapsed="false"/>
    <row r="617" customFormat="false" ht="12.75" hidden="false" customHeight="false" outlineLevel="0" collapsed="false"/>
    <row r="618" customFormat="false" ht="12.75" hidden="false" customHeight="false" outlineLevel="0" collapsed="false"/>
    <row r="619" customFormat="false" ht="12.75" hidden="false" customHeight="false" outlineLevel="0" collapsed="false"/>
    <row r="620" customFormat="false" ht="12.75" hidden="false" customHeight="false" outlineLevel="0" collapsed="false"/>
    <row r="621" customFormat="false" ht="12.75" hidden="false" customHeight="false" outlineLevel="0" collapsed="false"/>
    <row r="622" customFormat="false" ht="12.75" hidden="false" customHeight="false" outlineLevel="0" collapsed="false"/>
    <row r="623" customFormat="false" ht="12.75" hidden="false" customHeight="false" outlineLevel="0" collapsed="false"/>
    <row r="624" customFormat="false" ht="12.75" hidden="false" customHeight="false" outlineLevel="0" collapsed="false"/>
    <row r="625" customFormat="false" ht="12.75" hidden="false" customHeight="false" outlineLevel="0" collapsed="false"/>
    <row r="626" customFormat="false" ht="12.75" hidden="false" customHeight="false" outlineLevel="0" collapsed="false"/>
    <row r="627" customFormat="false" ht="12.75" hidden="false" customHeight="false" outlineLevel="0" collapsed="false"/>
    <row r="628" customFormat="false" ht="12.75" hidden="false" customHeight="false" outlineLevel="0" collapsed="false"/>
    <row r="629" customFormat="false" ht="12.75" hidden="false" customHeight="false" outlineLevel="0" collapsed="false"/>
    <row r="630" customFormat="false" ht="12.75" hidden="false" customHeight="false" outlineLevel="0" collapsed="false"/>
    <row r="631" customFormat="false" ht="12.75" hidden="false" customHeight="false" outlineLevel="0" collapsed="false"/>
    <row r="632" customFormat="false" ht="12.75" hidden="false" customHeight="false" outlineLevel="0" collapsed="false"/>
    <row r="633" customFormat="false" ht="12.75" hidden="false" customHeight="false" outlineLevel="0" collapsed="false"/>
    <row r="634" customFormat="false" ht="12.75" hidden="false" customHeight="false" outlineLevel="0" collapsed="false"/>
    <row r="635" customFormat="false" ht="12.75" hidden="false" customHeight="false" outlineLevel="0" collapsed="false"/>
    <row r="636" customFormat="false" ht="12.75" hidden="false" customHeight="false" outlineLevel="0" collapsed="false"/>
    <row r="637" customFormat="false" ht="12.75" hidden="false" customHeight="false" outlineLevel="0" collapsed="false"/>
    <row r="638" customFormat="false" ht="12.75" hidden="false" customHeight="false" outlineLevel="0" collapsed="false"/>
    <row r="639" customFormat="false" ht="12.75" hidden="false" customHeight="false" outlineLevel="0" collapsed="false"/>
    <row r="640" customFormat="false" ht="12.75" hidden="false" customHeight="false" outlineLevel="0" collapsed="false"/>
    <row r="641" customFormat="false" ht="12.75" hidden="false" customHeight="false" outlineLevel="0" collapsed="false"/>
    <row r="642" customFormat="false" ht="12.75" hidden="false" customHeight="false" outlineLevel="0" collapsed="false"/>
    <row r="643" customFormat="false" ht="12.75" hidden="false" customHeight="false" outlineLevel="0" collapsed="false"/>
    <row r="644" customFormat="false" ht="12.75" hidden="false" customHeight="false" outlineLevel="0" collapsed="false"/>
    <row r="645" customFormat="false" ht="12.75" hidden="false" customHeight="false" outlineLevel="0" collapsed="false"/>
    <row r="646" customFormat="false" ht="12.75" hidden="false" customHeight="false" outlineLevel="0" collapsed="false"/>
    <row r="647" customFormat="false" ht="12.75" hidden="false" customHeight="false" outlineLevel="0" collapsed="false"/>
    <row r="648" customFormat="false" ht="12.75" hidden="false" customHeight="false" outlineLevel="0" collapsed="false"/>
    <row r="649" customFormat="false" ht="12.75" hidden="false" customHeight="false" outlineLevel="0" collapsed="false"/>
    <row r="650" customFormat="false" ht="12.75" hidden="false" customHeight="false" outlineLevel="0" collapsed="false"/>
    <row r="651" customFormat="false" ht="12.75" hidden="false" customHeight="false" outlineLevel="0" collapsed="false"/>
    <row r="652" customFormat="false" ht="12.75" hidden="false" customHeight="false" outlineLevel="0" collapsed="false"/>
    <row r="653" customFormat="false" ht="12.75" hidden="false" customHeight="false" outlineLevel="0" collapsed="false"/>
    <row r="654" customFormat="false" ht="12.75" hidden="false" customHeight="false" outlineLevel="0" collapsed="false"/>
    <row r="655" customFormat="false" ht="12.75" hidden="false" customHeight="false" outlineLevel="0" collapsed="false"/>
    <row r="656" customFormat="false" ht="12.75" hidden="false" customHeight="false" outlineLevel="0" collapsed="false"/>
    <row r="657" customFormat="false" ht="12.75" hidden="false" customHeight="false" outlineLevel="0" collapsed="false"/>
    <row r="658" customFormat="false" ht="12.75" hidden="false" customHeight="false" outlineLevel="0" collapsed="false"/>
    <row r="659" customFormat="false" ht="12.75" hidden="false" customHeight="false" outlineLevel="0" collapsed="false"/>
    <row r="660" customFormat="false" ht="12.75" hidden="false" customHeight="false" outlineLevel="0" collapsed="false"/>
    <row r="661" customFormat="false" ht="12.75" hidden="false" customHeight="false" outlineLevel="0" collapsed="false"/>
    <row r="662" customFormat="false" ht="12.75" hidden="false" customHeight="false" outlineLevel="0" collapsed="false"/>
    <row r="663" customFormat="false" ht="12.75" hidden="false" customHeight="false" outlineLevel="0" collapsed="false"/>
    <row r="664" customFormat="false" ht="12.75" hidden="false" customHeight="false" outlineLevel="0" collapsed="false"/>
    <row r="665" customFormat="false" ht="12.75" hidden="false" customHeight="false" outlineLevel="0" collapsed="false"/>
    <row r="666" customFormat="false" ht="12.75" hidden="false" customHeight="false" outlineLevel="0" collapsed="false"/>
    <row r="667" customFormat="false" ht="12.75" hidden="false" customHeight="false" outlineLevel="0" collapsed="false"/>
    <row r="668" customFormat="false" ht="12.75" hidden="false" customHeight="false" outlineLevel="0" collapsed="false"/>
    <row r="669" customFormat="false" ht="12.75" hidden="false" customHeight="false" outlineLevel="0" collapsed="false"/>
    <row r="670" customFormat="false" ht="12.75" hidden="false" customHeight="false" outlineLevel="0" collapsed="false"/>
    <row r="671" customFormat="false" ht="12.75" hidden="false" customHeight="false" outlineLevel="0" collapsed="false"/>
    <row r="672" customFormat="false" ht="12.75" hidden="false" customHeight="false" outlineLevel="0" collapsed="false"/>
    <row r="673" customFormat="false" ht="12.75" hidden="false" customHeight="false" outlineLevel="0" collapsed="false"/>
    <row r="674" customFormat="false" ht="12.75" hidden="false" customHeight="false" outlineLevel="0" collapsed="false"/>
    <row r="675" customFormat="false" ht="12.75" hidden="false" customHeight="false" outlineLevel="0" collapsed="false"/>
    <row r="676" customFormat="false" ht="12.75" hidden="false" customHeight="false" outlineLevel="0" collapsed="false"/>
    <row r="677" customFormat="false" ht="12.75" hidden="false" customHeight="false" outlineLevel="0" collapsed="false"/>
    <row r="678" customFormat="false" ht="12.75" hidden="false" customHeight="false" outlineLevel="0" collapsed="false"/>
    <row r="679" customFormat="false" ht="12.75" hidden="false" customHeight="false" outlineLevel="0" collapsed="false"/>
    <row r="680" customFormat="false" ht="12.75" hidden="false" customHeight="false" outlineLevel="0" collapsed="false"/>
    <row r="681" customFormat="false" ht="12.75" hidden="false" customHeight="false" outlineLevel="0" collapsed="false"/>
    <row r="682" customFormat="false" ht="12.75" hidden="false" customHeight="false" outlineLevel="0" collapsed="false"/>
    <row r="683" customFormat="false" ht="12.75" hidden="false" customHeight="false" outlineLevel="0" collapsed="false"/>
    <row r="684" customFormat="false" ht="12.75" hidden="false" customHeight="false" outlineLevel="0" collapsed="false"/>
    <row r="685" customFormat="false" ht="12.75" hidden="false" customHeight="false" outlineLevel="0" collapsed="false"/>
    <row r="686" customFormat="false" ht="12.75" hidden="false" customHeight="false" outlineLevel="0" collapsed="false"/>
    <row r="687" customFormat="false" ht="12.75" hidden="false" customHeight="false" outlineLevel="0" collapsed="false"/>
    <row r="688" customFormat="false" ht="12.75" hidden="false" customHeight="false" outlineLevel="0" collapsed="false"/>
    <row r="689" customFormat="false" ht="12.75" hidden="false" customHeight="false" outlineLevel="0" collapsed="false"/>
    <row r="690" customFormat="false" ht="12.75" hidden="false" customHeight="false" outlineLevel="0" collapsed="false"/>
    <row r="691" customFormat="false" ht="12.75" hidden="false" customHeight="false" outlineLevel="0" collapsed="false"/>
    <row r="692" customFormat="false" ht="12.75" hidden="false" customHeight="false" outlineLevel="0" collapsed="false"/>
    <row r="693" customFormat="false" ht="12.75" hidden="false" customHeight="false" outlineLevel="0" collapsed="false"/>
    <row r="694" customFormat="false" ht="12.75" hidden="false" customHeight="false" outlineLevel="0" collapsed="false"/>
    <row r="695" customFormat="false" ht="12.75" hidden="false" customHeight="false" outlineLevel="0" collapsed="false"/>
    <row r="696" customFormat="false" ht="12.75" hidden="false" customHeight="false" outlineLevel="0" collapsed="false"/>
    <row r="697" customFormat="false" ht="12.75" hidden="false" customHeight="false" outlineLevel="0" collapsed="false"/>
    <row r="698" customFormat="false" ht="12.75" hidden="false" customHeight="false" outlineLevel="0" collapsed="false"/>
    <row r="699" customFormat="false" ht="12.75" hidden="false" customHeight="false" outlineLevel="0" collapsed="false"/>
    <row r="700" customFormat="false" ht="12.75" hidden="false" customHeight="false" outlineLevel="0" collapsed="false"/>
    <row r="701" customFormat="false" ht="12.75" hidden="false" customHeight="false" outlineLevel="0" collapsed="false"/>
    <row r="702" customFormat="false" ht="12.75" hidden="false" customHeight="false" outlineLevel="0" collapsed="false"/>
    <row r="703" customFormat="false" ht="12.75" hidden="false" customHeight="false" outlineLevel="0" collapsed="false"/>
    <row r="704" customFormat="false" ht="12.75" hidden="false" customHeight="false" outlineLevel="0" collapsed="false"/>
    <row r="705" customFormat="false" ht="12.75" hidden="false" customHeight="false" outlineLevel="0" collapsed="false"/>
    <row r="706" customFormat="false" ht="12.75" hidden="false" customHeight="false" outlineLevel="0" collapsed="false"/>
    <row r="707" customFormat="false" ht="12.75" hidden="false" customHeight="false" outlineLevel="0" collapsed="false"/>
    <row r="708" customFormat="false" ht="12.75" hidden="false" customHeight="false" outlineLevel="0" collapsed="false"/>
    <row r="709" customFormat="false" ht="12.75" hidden="false" customHeight="false" outlineLevel="0" collapsed="false"/>
    <row r="710" customFormat="false" ht="12.75" hidden="false" customHeight="false" outlineLevel="0" collapsed="false"/>
    <row r="711" customFormat="false" ht="12.75" hidden="false" customHeight="false" outlineLevel="0" collapsed="false"/>
    <row r="712" customFormat="false" ht="12.75" hidden="false" customHeight="false" outlineLevel="0" collapsed="false"/>
    <row r="713" customFormat="false" ht="12.75" hidden="false" customHeight="false" outlineLevel="0" collapsed="false"/>
    <row r="714" customFormat="false" ht="12.75" hidden="false" customHeight="false" outlineLevel="0" collapsed="false"/>
    <row r="715" customFormat="false" ht="12.75" hidden="false" customHeight="false" outlineLevel="0" collapsed="false"/>
    <row r="716" customFormat="false" ht="12.75" hidden="false" customHeight="false" outlineLevel="0" collapsed="false"/>
    <row r="717" customFormat="false" ht="12.75" hidden="false" customHeight="false" outlineLevel="0" collapsed="false"/>
    <row r="718" customFormat="false" ht="12.75" hidden="false" customHeight="false" outlineLevel="0" collapsed="false"/>
    <row r="719" customFormat="false" ht="12.75" hidden="false" customHeight="false" outlineLevel="0" collapsed="false"/>
    <row r="720" customFormat="false" ht="12.75" hidden="false" customHeight="false" outlineLevel="0" collapsed="false"/>
    <row r="721" customFormat="false" ht="12.75" hidden="false" customHeight="false" outlineLevel="0" collapsed="false"/>
    <row r="722" customFormat="false" ht="12.75" hidden="false" customHeight="false" outlineLevel="0" collapsed="false"/>
    <row r="723" customFormat="false" ht="12.75" hidden="false" customHeight="false" outlineLevel="0" collapsed="false"/>
    <row r="724" customFormat="false" ht="12.75" hidden="false" customHeight="false" outlineLevel="0" collapsed="false"/>
    <row r="725" customFormat="false" ht="12.75" hidden="false" customHeight="false" outlineLevel="0" collapsed="false"/>
    <row r="726" customFormat="false" ht="12.75" hidden="false" customHeight="false" outlineLevel="0" collapsed="false"/>
    <row r="727" customFormat="false" ht="12.75" hidden="false" customHeight="false" outlineLevel="0" collapsed="false"/>
    <row r="728" customFormat="false" ht="12.75" hidden="false" customHeight="false" outlineLevel="0" collapsed="false"/>
    <row r="729" customFormat="false" ht="12.75" hidden="false" customHeight="false" outlineLevel="0" collapsed="false"/>
    <row r="730" customFormat="false" ht="12.75" hidden="false" customHeight="false" outlineLevel="0" collapsed="false"/>
    <row r="731" customFormat="false" ht="12.75" hidden="false" customHeight="false" outlineLevel="0" collapsed="false"/>
    <row r="732" customFormat="false" ht="12.75" hidden="false" customHeight="false" outlineLevel="0" collapsed="false"/>
    <row r="733" customFormat="false" ht="12.75" hidden="false" customHeight="false" outlineLevel="0" collapsed="false"/>
    <row r="734" customFormat="false" ht="12.75" hidden="false" customHeight="false" outlineLevel="0" collapsed="false"/>
    <row r="735" customFormat="false" ht="12.75" hidden="false" customHeight="false" outlineLevel="0" collapsed="false"/>
    <row r="736" customFormat="false" ht="12.75" hidden="false" customHeight="false" outlineLevel="0" collapsed="false"/>
    <row r="737" customFormat="false" ht="12.75" hidden="false" customHeight="false" outlineLevel="0" collapsed="false"/>
    <row r="738" customFormat="false" ht="12.75" hidden="false" customHeight="false" outlineLevel="0" collapsed="false"/>
    <row r="739" customFormat="false" ht="12.75" hidden="false" customHeight="false" outlineLevel="0" collapsed="false"/>
    <row r="740" customFormat="false" ht="12.75" hidden="false" customHeight="false" outlineLevel="0" collapsed="false"/>
    <row r="741" customFormat="false" ht="12.75" hidden="false" customHeight="false" outlineLevel="0" collapsed="false"/>
    <row r="742" customFormat="false" ht="12.75" hidden="false" customHeight="false" outlineLevel="0" collapsed="false"/>
    <row r="743" customFormat="false" ht="12.75" hidden="false" customHeight="false" outlineLevel="0" collapsed="false"/>
    <row r="744" customFormat="false" ht="12.75" hidden="false" customHeight="false" outlineLevel="0" collapsed="false"/>
    <row r="745" customFormat="false" ht="12.75" hidden="false" customHeight="false" outlineLevel="0" collapsed="false"/>
    <row r="746" customFormat="false" ht="12.75" hidden="false" customHeight="false" outlineLevel="0" collapsed="false"/>
    <row r="747" customFormat="false" ht="12.75" hidden="false" customHeight="false" outlineLevel="0" collapsed="false"/>
    <row r="748" customFormat="false" ht="12.75" hidden="false" customHeight="false" outlineLevel="0" collapsed="false"/>
    <row r="749" customFormat="false" ht="12.75" hidden="false" customHeight="false" outlineLevel="0" collapsed="false"/>
    <row r="750" customFormat="false" ht="12.75" hidden="false" customHeight="false" outlineLevel="0" collapsed="false"/>
    <row r="751" customFormat="false" ht="12.75" hidden="false" customHeight="false" outlineLevel="0" collapsed="false"/>
    <row r="752" customFormat="false" ht="12.75" hidden="false" customHeight="false" outlineLevel="0" collapsed="false"/>
    <row r="753" customFormat="false" ht="12.75" hidden="false" customHeight="false" outlineLevel="0" collapsed="false"/>
    <row r="754" customFormat="false" ht="12.75" hidden="false" customHeight="false" outlineLevel="0" collapsed="false"/>
    <row r="755" customFormat="false" ht="12.75" hidden="false" customHeight="false" outlineLevel="0" collapsed="false"/>
    <row r="756" customFormat="false" ht="12.75" hidden="false" customHeight="false" outlineLevel="0" collapsed="false"/>
    <row r="757" customFormat="false" ht="12.75" hidden="false" customHeight="false" outlineLevel="0" collapsed="false"/>
    <row r="758" customFormat="false" ht="12.75" hidden="false" customHeight="false" outlineLevel="0" collapsed="false"/>
    <row r="759" customFormat="false" ht="12.75" hidden="false" customHeight="false" outlineLevel="0" collapsed="false"/>
    <row r="760" customFormat="false" ht="12.75" hidden="false" customHeight="false" outlineLevel="0" collapsed="false"/>
    <row r="761" customFormat="false" ht="12.75" hidden="false" customHeight="false" outlineLevel="0" collapsed="false"/>
    <row r="762" customFormat="false" ht="12.75" hidden="false" customHeight="false" outlineLevel="0" collapsed="false"/>
    <row r="763" customFormat="false" ht="12.75" hidden="false" customHeight="false" outlineLevel="0" collapsed="false"/>
    <row r="764" customFormat="false" ht="12.75" hidden="false" customHeight="false" outlineLevel="0" collapsed="false"/>
    <row r="765" customFormat="false" ht="12.75" hidden="false" customHeight="false" outlineLevel="0" collapsed="false"/>
    <row r="766" customFormat="false" ht="12.75" hidden="false" customHeight="false" outlineLevel="0" collapsed="false"/>
    <row r="767" customFormat="false" ht="12.75" hidden="false" customHeight="false" outlineLevel="0" collapsed="false"/>
    <row r="768" customFormat="false" ht="12.75" hidden="false" customHeight="false" outlineLevel="0" collapsed="false"/>
    <row r="769" customFormat="false" ht="12.75" hidden="false" customHeight="false" outlineLevel="0" collapsed="false"/>
    <row r="770" customFormat="false" ht="12.75" hidden="false" customHeight="false" outlineLevel="0" collapsed="false"/>
    <row r="771" customFormat="false" ht="12.75" hidden="false" customHeight="false" outlineLevel="0" collapsed="false"/>
    <row r="772" customFormat="false" ht="12.75" hidden="false" customHeight="false" outlineLevel="0" collapsed="false"/>
    <row r="773" customFormat="false" ht="12.75" hidden="false" customHeight="false" outlineLevel="0" collapsed="false"/>
    <row r="774" customFormat="false" ht="12.75" hidden="false" customHeight="false" outlineLevel="0" collapsed="false"/>
    <row r="775" customFormat="false" ht="12.75" hidden="false" customHeight="false" outlineLevel="0" collapsed="false"/>
    <row r="776" customFormat="false" ht="12.75" hidden="false" customHeight="false" outlineLevel="0" collapsed="false"/>
    <row r="777" customFormat="false" ht="12.75" hidden="false" customHeight="false" outlineLevel="0" collapsed="false"/>
    <row r="778" customFormat="false" ht="12.75" hidden="false" customHeight="false" outlineLevel="0" collapsed="false"/>
    <row r="779" customFormat="false" ht="12.75" hidden="false" customHeight="false" outlineLevel="0" collapsed="false"/>
    <row r="780" customFormat="false" ht="12.75" hidden="false" customHeight="false" outlineLevel="0" collapsed="false"/>
    <row r="781" customFormat="false" ht="12.75" hidden="false" customHeight="false" outlineLevel="0" collapsed="false"/>
    <row r="782" customFormat="false" ht="12.75" hidden="false" customHeight="false" outlineLevel="0" collapsed="false"/>
    <row r="783" customFormat="false" ht="12.75" hidden="false" customHeight="false" outlineLevel="0" collapsed="false"/>
    <row r="784" customFormat="false" ht="12.75" hidden="false" customHeight="false" outlineLevel="0" collapsed="false"/>
    <row r="785" customFormat="false" ht="12.75" hidden="false" customHeight="false" outlineLevel="0" collapsed="false"/>
    <row r="786" customFormat="false" ht="12.75" hidden="false" customHeight="false" outlineLevel="0" collapsed="false"/>
    <row r="787" customFormat="false" ht="12.75" hidden="false" customHeight="false" outlineLevel="0" collapsed="false"/>
    <row r="788" customFormat="false" ht="12.75" hidden="false" customHeight="false" outlineLevel="0" collapsed="false"/>
    <row r="789" customFormat="false" ht="12.75" hidden="false" customHeight="false" outlineLevel="0" collapsed="false"/>
    <row r="790" customFormat="false" ht="12.75" hidden="false" customHeight="false" outlineLevel="0" collapsed="false"/>
    <row r="791" customFormat="false" ht="12.75" hidden="false" customHeight="false" outlineLevel="0" collapsed="false"/>
    <row r="792" customFormat="false" ht="12.75" hidden="false" customHeight="false" outlineLevel="0" collapsed="false"/>
    <row r="793" customFormat="false" ht="12.75" hidden="false" customHeight="false" outlineLevel="0" collapsed="false"/>
    <row r="794" customFormat="false" ht="12.75" hidden="false" customHeight="false" outlineLevel="0" collapsed="false"/>
    <row r="795" customFormat="false" ht="12.75" hidden="false" customHeight="false" outlineLevel="0" collapsed="false"/>
    <row r="796" customFormat="false" ht="12.75" hidden="false" customHeight="false" outlineLevel="0" collapsed="false"/>
    <row r="797" customFormat="false" ht="12.75" hidden="false" customHeight="false" outlineLevel="0" collapsed="false"/>
    <row r="798" customFormat="false" ht="12.75" hidden="false" customHeight="false" outlineLevel="0" collapsed="false"/>
    <row r="799" customFormat="false" ht="12.75" hidden="false" customHeight="false" outlineLevel="0" collapsed="false"/>
    <row r="800" customFormat="false" ht="12.75" hidden="false" customHeight="false" outlineLevel="0" collapsed="false"/>
    <row r="801" customFormat="false" ht="12.75" hidden="false" customHeight="false" outlineLevel="0" collapsed="false"/>
    <row r="802" customFormat="false" ht="12.75" hidden="false" customHeight="false" outlineLevel="0" collapsed="false"/>
    <row r="803" customFormat="false" ht="12.75" hidden="false" customHeight="false" outlineLevel="0" collapsed="false"/>
    <row r="804" customFormat="false" ht="12.75" hidden="false" customHeight="false" outlineLevel="0" collapsed="false"/>
    <row r="805" customFormat="false" ht="12.75" hidden="false" customHeight="false" outlineLevel="0" collapsed="false"/>
    <row r="806" customFormat="false" ht="12.75" hidden="false" customHeight="false" outlineLevel="0" collapsed="false"/>
    <row r="807" customFormat="false" ht="12.75" hidden="false" customHeight="false" outlineLevel="0" collapsed="false"/>
    <row r="808" customFormat="false" ht="12.75" hidden="false" customHeight="false" outlineLevel="0" collapsed="false"/>
    <row r="809" customFormat="false" ht="12.75" hidden="false" customHeight="false" outlineLevel="0" collapsed="false"/>
    <row r="810" customFormat="false" ht="12.75" hidden="false" customHeight="false" outlineLevel="0" collapsed="false"/>
    <row r="811" customFormat="false" ht="12.75" hidden="false" customHeight="false" outlineLevel="0" collapsed="false"/>
    <row r="812" customFormat="false" ht="12.75" hidden="false" customHeight="false" outlineLevel="0" collapsed="false"/>
    <row r="813" customFormat="false" ht="12.75" hidden="false" customHeight="false" outlineLevel="0" collapsed="false"/>
    <row r="814" customFormat="false" ht="12.75" hidden="false" customHeight="false" outlineLevel="0" collapsed="false"/>
    <row r="815" customFormat="false" ht="12.75" hidden="false" customHeight="false" outlineLevel="0" collapsed="false"/>
    <row r="816" customFormat="false" ht="12.75" hidden="false" customHeight="false" outlineLevel="0" collapsed="false"/>
    <row r="817" customFormat="false" ht="12.75" hidden="false" customHeight="false" outlineLevel="0" collapsed="false"/>
    <row r="818" customFormat="false" ht="12.75" hidden="false" customHeight="false" outlineLevel="0" collapsed="false"/>
    <row r="819" customFormat="false" ht="12.75" hidden="false" customHeight="false" outlineLevel="0" collapsed="false"/>
    <row r="820" customFormat="false" ht="12.75" hidden="false" customHeight="false" outlineLevel="0" collapsed="false"/>
    <row r="821" customFormat="false" ht="12.75" hidden="false" customHeight="false" outlineLevel="0" collapsed="false"/>
    <row r="822" customFormat="false" ht="12.75" hidden="false" customHeight="false" outlineLevel="0" collapsed="false"/>
    <row r="823" customFormat="false" ht="12.75" hidden="false" customHeight="false" outlineLevel="0" collapsed="false"/>
    <row r="824" customFormat="false" ht="12.75" hidden="false" customHeight="false" outlineLevel="0" collapsed="false"/>
    <row r="825" customFormat="false" ht="12.75" hidden="false" customHeight="false" outlineLevel="0" collapsed="false"/>
    <row r="826" customFormat="false" ht="12.75" hidden="false" customHeight="false" outlineLevel="0" collapsed="false"/>
    <row r="827" customFormat="false" ht="12.75" hidden="false" customHeight="false" outlineLevel="0" collapsed="false"/>
    <row r="828" customFormat="false" ht="12.75" hidden="false" customHeight="false" outlineLevel="0" collapsed="false"/>
    <row r="829" customFormat="false" ht="12.75" hidden="false" customHeight="false" outlineLevel="0" collapsed="false"/>
    <row r="830" customFormat="false" ht="12.75" hidden="false" customHeight="false" outlineLevel="0" collapsed="false"/>
    <row r="831" customFormat="false" ht="12.75" hidden="false" customHeight="false" outlineLevel="0" collapsed="false"/>
    <row r="832" customFormat="false" ht="12.75" hidden="false" customHeight="false" outlineLevel="0" collapsed="false"/>
    <row r="833" customFormat="false" ht="12.75" hidden="false" customHeight="false" outlineLevel="0" collapsed="false"/>
    <row r="834" customFormat="false" ht="12.75" hidden="false" customHeight="false" outlineLevel="0" collapsed="false"/>
    <row r="835" customFormat="false" ht="12.75" hidden="false" customHeight="false" outlineLevel="0" collapsed="false"/>
    <row r="836" customFormat="false" ht="12.75" hidden="false" customHeight="false" outlineLevel="0" collapsed="false"/>
    <row r="837" customFormat="false" ht="12.75" hidden="false" customHeight="false" outlineLevel="0" collapsed="false"/>
    <row r="838" customFormat="false" ht="12.75" hidden="false" customHeight="false" outlineLevel="0" collapsed="false"/>
    <row r="839" customFormat="false" ht="12.75" hidden="false" customHeight="false" outlineLevel="0" collapsed="false"/>
    <row r="840" customFormat="false" ht="12.75" hidden="false" customHeight="false" outlineLevel="0" collapsed="false"/>
    <row r="841" customFormat="false" ht="12.75" hidden="false" customHeight="false" outlineLevel="0" collapsed="false"/>
    <row r="842" customFormat="false" ht="12.75" hidden="false" customHeight="false" outlineLevel="0" collapsed="false"/>
    <row r="843" customFormat="false" ht="12.75" hidden="false" customHeight="false" outlineLevel="0" collapsed="false"/>
    <row r="844" customFormat="false" ht="12.75" hidden="false" customHeight="false" outlineLevel="0" collapsed="false"/>
    <row r="845" customFormat="false" ht="12.75" hidden="false" customHeight="false" outlineLevel="0" collapsed="false"/>
    <row r="846" customFormat="false" ht="12.75" hidden="false" customHeight="false" outlineLevel="0" collapsed="false"/>
    <row r="847" customFormat="false" ht="12.75" hidden="false" customHeight="false" outlineLevel="0" collapsed="false"/>
    <row r="848" customFormat="false" ht="12.75" hidden="false" customHeight="false" outlineLevel="0" collapsed="false"/>
    <row r="849" customFormat="false" ht="12.75" hidden="false" customHeight="false" outlineLevel="0" collapsed="false"/>
    <row r="850" customFormat="false" ht="12.75" hidden="false" customHeight="false" outlineLevel="0" collapsed="false"/>
    <row r="851" customFormat="false" ht="12.75" hidden="false" customHeight="false" outlineLevel="0" collapsed="false"/>
    <row r="852" customFormat="false" ht="12.75" hidden="false" customHeight="false" outlineLevel="0" collapsed="false"/>
    <row r="853" customFormat="false" ht="12.75" hidden="false" customHeight="false" outlineLevel="0" collapsed="false"/>
    <row r="854" customFormat="false" ht="12.75" hidden="false" customHeight="false" outlineLevel="0" collapsed="false"/>
    <row r="855" customFormat="false" ht="12.75" hidden="false" customHeight="false" outlineLevel="0" collapsed="false"/>
    <row r="856" customFormat="false" ht="12.75" hidden="false" customHeight="false" outlineLevel="0" collapsed="false"/>
    <row r="857" customFormat="false" ht="12.75" hidden="false" customHeight="false" outlineLevel="0" collapsed="false"/>
    <row r="858" customFormat="false" ht="12.75" hidden="false" customHeight="false" outlineLevel="0" collapsed="false"/>
    <row r="859" customFormat="false" ht="12.75" hidden="false" customHeight="false" outlineLevel="0" collapsed="false"/>
    <row r="860" customFormat="false" ht="12.75" hidden="false" customHeight="false" outlineLevel="0" collapsed="false"/>
    <row r="861" customFormat="false" ht="12.75" hidden="false" customHeight="false" outlineLevel="0" collapsed="false"/>
    <row r="862" customFormat="false" ht="12.75" hidden="false" customHeight="false" outlineLevel="0" collapsed="false"/>
    <row r="863" customFormat="false" ht="12.75" hidden="false" customHeight="false" outlineLevel="0" collapsed="false"/>
    <row r="864" customFormat="false" ht="12.75" hidden="false" customHeight="false" outlineLevel="0" collapsed="false"/>
    <row r="865" customFormat="false" ht="12.75" hidden="false" customHeight="false" outlineLevel="0" collapsed="false"/>
    <row r="866" customFormat="false" ht="12.75" hidden="false" customHeight="false" outlineLevel="0" collapsed="false"/>
    <row r="867" customFormat="false" ht="12.75" hidden="false" customHeight="false" outlineLevel="0" collapsed="false"/>
    <row r="868" customFormat="false" ht="12.75" hidden="false" customHeight="false" outlineLevel="0" collapsed="false"/>
    <row r="869" customFormat="false" ht="12.75" hidden="false" customHeight="false" outlineLevel="0" collapsed="false"/>
    <row r="870" customFormat="false" ht="12.75" hidden="false" customHeight="false" outlineLevel="0" collapsed="false"/>
    <row r="871" customFormat="false" ht="12.75" hidden="false" customHeight="false" outlineLevel="0" collapsed="false"/>
    <row r="872" customFormat="false" ht="12.75" hidden="false" customHeight="false" outlineLevel="0" collapsed="false"/>
    <row r="873" customFormat="false" ht="12.75" hidden="false" customHeight="false" outlineLevel="0" collapsed="false"/>
    <row r="874" customFormat="false" ht="12.75" hidden="false" customHeight="false" outlineLevel="0" collapsed="false"/>
    <row r="875" customFormat="false" ht="12.75" hidden="false" customHeight="false" outlineLevel="0" collapsed="false"/>
    <row r="876" customFormat="false" ht="12.75" hidden="false" customHeight="false" outlineLevel="0" collapsed="false"/>
    <row r="877" customFormat="false" ht="12.75" hidden="false" customHeight="false" outlineLevel="0" collapsed="false"/>
    <row r="878" customFormat="false" ht="12.75" hidden="false" customHeight="false" outlineLevel="0" collapsed="false"/>
    <row r="879" customFormat="false" ht="12.75" hidden="false" customHeight="false" outlineLevel="0" collapsed="false"/>
    <row r="880" customFormat="false" ht="12.75" hidden="false" customHeight="false" outlineLevel="0" collapsed="false"/>
    <row r="881" customFormat="false" ht="12.75" hidden="false" customHeight="false" outlineLevel="0" collapsed="false"/>
    <row r="882" customFormat="false" ht="12.75" hidden="false" customHeight="false" outlineLevel="0" collapsed="false"/>
    <row r="883" customFormat="false" ht="12.75" hidden="false" customHeight="false" outlineLevel="0" collapsed="false"/>
    <row r="884" customFormat="false" ht="12.75" hidden="false" customHeight="false" outlineLevel="0" collapsed="false"/>
    <row r="885" customFormat="false" ht="12.75" hidden="false" customHeight="false" outlineLevel="0" collapsed="false"/>
    <row r="886" customFormat="false" ht="12.75" hidden="false" customHeight="false" outlineLevel="0" collapsed="false"/>
    <row r="887" customFormat="false" ht="12.75" hidden="false" customHeight="false" outlineLevel="0" collapsed="false"/>
    <row r="888" customFormat="false" ht="12.75" hidden="false" customHeight="false" outlineLevel="0" collapsed="false"/>
    <row r="889" customFormat="false" ht="12.75" hidden="false" customHeight="false" outlineLevel="0" collapsed="false"/>
    <row r="890" customFormat="false" ht="12.75" hidden="false" customHeight="false" outlineLevel="0" collapsed="false"/>
    <row r="891" customFormat="false" ht="12.75" hidden="false" customHeight="false" outlineLevel="0" collapsed="false"/>
    <row r="892" customFormat="false" ht="12.75" hidden="false" customHeight="false" outlineLevel="0" collapsed="false"/>
    <row r="893" customFormat="false" ht="12.75" hidden="false" customHeight="false" outlineLevel="0" collapsed="false"/>
    <row r="894" customFormat="false" ht="12.75" hidden="false" customHeight="false" outlineLevel="0" collapsed="false"/>
    <row r="895" customFormat="false" ht="12.75" hidden="false" customHeight="false" outlineLevel="0" collapsed="false"/>
    <row r="896" customFormat="false" ht="12.75" hidden="false" customHeight="false" outlineLevel="0" collapsed="false"/>
    <row r="897" customFormat="false" ht="12.75" hidden="false" customHeight="false" outlineLevel="0" collapsed="false"/>
    <row r="898" customFormat="false" ht="12.75" hidden="false" customHeight="false" outlineLevel="0" collapsed="false"/>
    <row r="899" customFormat="false" ht="12.75" hidden="false" customHeight="false" outlineLevel="0" collapsed="false"/>
    <row r="900" customFormat="false" ht="12.75" hidden="false" customHeight="false" outlineLevel="0" collapsed="false"/>
    <row r="901" customFormat="false" ht="12.75" hidden="false" customHeight="false" outlineLevel="0" collapsed="false"/>
    <row r="902" customFormat="false" ht="12.75" hidden="false" customHeight="false" outlineLevel="0" collapsed="false"/>
    <row r="903" customFormat="false" ht="12.75" hidden="false" customHeight="false" outlineLevel="0" collapsed="false"/>
    <row r="904" customFormat="false" ht="12.75" hidden="false" customHeight="false" outlineLevel="0" collapsed="false"/>
    <row r="905" customFormat="false" ht="12.75" hidden="false" customHeight="false" outlineLevel="0" collapsed="false"/>
    <row r="906" customFormat="false" ht="12.75" hidden="false" customHeight="false" outlineLevel="0" collapsed="false"/>
    <row r="907" customFormat="false" ht="12.75" hidden="false" customHeight="false" outlineLevel="0" collapsed="false"/>
    <row r="908" customFormat="false" ht="12.75" hidden="false" customHeight="false" outlineLevel="0" collapsed="false"/>
    <row r="909" customFormat="false" ht="12.75" hidden="false" customHeight="false" outlineLevel="0" collapsed="false"/>
    <row r="910" customFormat="false" ht="12.75" hidden="false" customHeight="false" outlineLevel="0" collapsed="false"/>
    <row r="911" customFormat="false" ht="12.75" hidden="false" customHeight="false" outlineLevel="0" collapsed="false"/>
    <row r="912" customFormat="false" ht="12.75" hidden="false" customHeight="false" outlineLevel="0" collapsed="false"/>
    <row r="913" customFormat="false" ht="12.75" hidden="false" customHeight="false" outlineLevel="0" collapsed="false"/>
    <row r="914" customFormat="false" ht="12.75" hidden="false" customHeight="false" outlineLevel="0" collapsed="false"/>
    <row r="915" customFormat="false" ht="12.75" hidden="false" customHeight="false" outlineLevel="0" collapsed="false"/>
    <row r="916" customFormat="false" ht="12.75" hidden="false" customHeight="false" outlineLevel="0" collapsed="false"/>
    <row r="917" customFormat="false" ht="12.75" hidden="false" customHeight="false" outlineLevel="0" collapsed="false"/>
    <row r="918" customFormat="false" ht="12.75" hidden="false" customHeight="false" outlineLevel="0" collapsed="false"/>
    <row r="919" customFormat="false" ht="12.75" hidden="false" customHeight="false" outlineLevel="0" collapsed="false"/>
    <row r="920" customFormat="false" ht="12.75" hidden="false" customHeight="false" outlineLevel="0" collapsed="false"/>
    <row r="921" customFormat="false" ht="12.75" hidden="false" customHeight="false" outlineLevel="0" collapsed="false"/>
    <row r="922" customFormat="false" ht="12.75" hidden="false" customHeight="false" outlineLevel="0" collapsed="false"/>
    <row r="923" customFormat="false" ht="12.75" hidden="false" customHeight="false" outlineLevel="0" collapsed="false"/>
    <row r="924" customFormat="false" ht="12.75" hidden="false" customHeight="false" outlineLevel="0" collapsed="false"/>
    <row r="925" customFormat="false" ht="12.75" hidden="false" customHeight="false" outlineLevel="0" collapsed="false"/>
    <row r="926" customFormat="false" ht="12.75" hidden="false" customHeight="false" outlineLevel="0" collapsed="false"/>
    <row r="927" customFormat="false" ht="12.75" hidden="false" customHeight="false" outlineLevel="0" collapsed="false"/>
    <row r="928" customFormat="false" ht="12.75" hidden="false" customHeight="false" outlineLevel="0" collapsed="false"/>
    <row r="929" customFormat="false" ht="12.75" hidden="false" customHeight="false" outlineLevel="0" collapsed="false"/>
    <row r="930" customFormat="false" ht="12.75" hidden="false" customHeight="false" outlineLevel="0" collapsed="false"/>
    <row r="931" customFormat="false" ht="12.75" hidden="false" customHeight="false" outlineLevel="0" collapsed="false"/>
    <row r="932" customFormat="false" ht="12.75" hidden="false" customHeight="false" outlineLevel="0" collapsed="false"/>
    <row r="933" customFormat="false" ht="12.75" hidden="false" customHeight="false" outlineLevel="0" collapsed="false"/>
    <row r="934" customFormat="false" ht="12.75" hidden="false" customHeight="false" outlineLevel="0" collapsed="false"/>
    <row r="935" customFormat="false" ht="12.75" hidden="false" customHeight="false" outlineLevel="0" collapsed="false"/>
    <row r="936" customFormat="false" ht="12.75" hidden="false" customHeight="false" outlineLevel="0" collapsed="false"/>
    <row r="937" customFormat="false" ht="12.75" hidden="false" customHeight="false" outlineLevel="0" collapsed="false"/>
    <row r="938" customFormat="false" ht="12.75" hidden="false" customHeight="false" outlineLevel="0" collapsed="false"/>
    <row r="939" customFormat="false" ht="12.75" hidden="false" customHeight="false" outlineLevel="0" collapsed="false"/>
    <row r="940" customFormat="false" ht="12.75" hidden="false" customHeight="false" outlineLevel="0" collapsed="false"/>
    <row r="941" customFormat="false" ht="12.75" hidden="false" customHeight="false" outlineLevel="0" collapsed="false"/>
    <row r="942" customFormat="false" ht="12.75" hidden="false" customHeight="false" outlineLevel="0" collapsed="false"/>
    <row r="943" customFormat="false" ht="12.75" hidden="false" customHeight="false" outlineLevel="0" collapsed="false"/>
    <row r="944" customFormat="false" ht="12.75" hidden="false" customHeight="false" outlineLevel="0" collapsed="false"/>
    <row r="945" customFormat="false" ht="12.75" hidden="false" customHeight="false" outlineLevel="0" collapsed="false"/>
    <row r="946" customFormat="false" ht="12.75" hidden="false" customHeight="false" outlineLevel="0" collapsed="false"/>
    <row r="947" customFormat="false" ht="12.75" hidden="false" customHeight="false" outlineLevel="0" collapsed="false"/>
    <row r="948" customFormat="false" ht="12.75" hidden="false" customHeight="false" outlineLevel="0" collapsed="false"/>
    <row r="949" customFormat="false" ht="12.75" hidden="false" customHeight="false" outlineLevel="0" collapsed="false"/>
    <row r="950" customFormat="false" ht="12.75" hidden="false" customHeight="false" outlineLevel="0" collapsed="false"/>
    <row r="951" customFormat="false" ht="12.75" hidden="false" customHeight="false" outlineLevel="0" collapsed="false"/>
    <row r="952" customFormat="false" ht="12.75" hidden="false" customHeight="false" outlineLevel="0" collapsed="false"/>
    <row r="953" customFormat="false" ht="12.75" hidden="false" customHeight="false" outlineLevel="0" collapsed="false"/>
    <row r="954" customFormat="false" ht="12.75" hidden="false" customHeight="false" outlineLevel="0" collapsed="false"/>
    <row r="955" customFormat="false" ht="12.75" hidden="false" customHeight="false" outlineLevel="0" collapsed="false"/>
    <row r="956" customFormat="false" ht="12.75" hidden="false" customHeight="false" outlineLevel="0" collapsed="false"/>
    <row r="957" customFormat="false" ht="12.75" hidden="false" customHeight="false" outlineLevel="0" collapsed="false"/>
    <row r="958" customFormat="false" ht="12.75" hidden="false" customHeight="false" outlineLevel="0" collapsed="false"/>
    <row r="959" customFormat="false" ht="12.75" hidden="false" customHeight="false" outlineLevel="0" collapsed="false"/>
    <row r="960" customFormat="false" ht="12.75" hidden="false" customHeight="false" outlineLevel="0" collapsed="false"/>
    <row r="961" customFormat="false" ht="12.75" hidden="false" customHeight="false" outlineLevel="0" collapsed="false"/>
    <row r="962" customFormat="false" ht="12.75" hidden="false" customHeight="false" outlineLevel="0" collapsed="false"/>
    <row r="963" customFormat="false" ht="12.75" hidden="false" customHeight="false" outlineLevel="0" collapsed="false"/>
    <row r="964" customFormat="false" ht="12.75" hidden="false" customHeight="false" outlineLevel="0" collapsed="false"/>
    <row r="965" customFormat="false" ht="12.75" hidden="false" customHeight="false" outlineLevel="0" collapsed="false"/>
    <row r="966" customFormat="false" ht="12.75" hidden="false" customHeight="false" outlineLevel="0" collapsed="false"/>
    <row r="967" customFormat="false" ht="12.75" hidden="false" customHeight="false" outlineLevel="0" collapsed="false"/>
    <row r="968" customFormat="false" ht="12.75" hidden="false" customHeight="false" outlineLevel="0" collapsed="false"/>
    <row r="969" customFormat="false" ht="12.75" hidden="false" customHeight="false" outlineLevel="0" collapsed="false"/>
    <row r="970" customFormat="false" ht="12.75" hidden="false" customHeight="false" outlineLevel="0" collapsed="false"/>
    <row r="971" customFormat="false" ht="12.75" hidden="false" customHeight="false" outlineLevel="0" collapsed="false"/>
    <row r="972" customFormat="false" ht="12.75" hidden="false" customHeight="false" outlineLevel="0" collapsed="false"/>
    <row r="973" customFormat="false" ht="12.75" hidden="false" customHeight="false" outlineLevel="0" collapsed="false"/>
    <row r="974" customFormat="false" ht="12.75" hidden="false" customHeight="false" outlineLevel="0" collapsed="false"/>
    <row r="975" customFormat="false" ht="12.75" hidden="false" customHeight="false" outlineLevel="0" collapsed="false"/>
    <row r="976" customFormat="false" ht="12.75" hidden="false" customHeight="false" outlineLevel="0" collapsed="false"/>
    <row r="977" customFormat="false" ht="12.75" hidden="false" customHeight="false" outlineLevel="0" collapsed="false"/>
    <row r="978" customFormat="false" ht="12.75" hidden="false" customHeight="false" outlineLevel="0" collapsed="false"/>
    <row r="979" customFormat="false" ht="12.75" hidden="false" customHeight="false" outlineLevel="0" collapsed="false"/>
    <row r="980" customFormat="false" ht="12.75" hidden="false" customHeight="false" outlineLevel="0" collapsed="false"/>
    <row r="981" customFormat="false" ht="12.75" hidden="false" customHeight="false" outlineLevel="0" collapsed="false"/>
    <row r="982" customFormat="false" ht="12.75" hidden="false" customHeight="false" outlineLevel="0" collapsed="false"/>
    <row r="983" customFormat="false" ht="12.75" hidden="false" customHeight="false" outlineLevel="0" collapsed="false"/>
    <row r="984" customFormat="false" ht="12.75" hidden="false" customHeight="false" outlineLevel="0" collapsed="false"/>
    <row r="985" customFormat="false" ht="12.75" hidden="false" customHeight="false" outlineLevel="0" collapsed="false"/>
    <row r="986" customFormat="false" ht="12.75" hidden="false" customHeight="false" outlineLevel="0" collapsed="false"/>
    <row r="987" customFormat="false" ht="12.75" hidden="false" customHeight="false" outlineLevel="0" collapsed="false"/>
    <row r="988" customFormat="false" ht="12.75" hidden="false" customHeight="false" outlineLevel="0" collapsed="false"/>
    <row r="989" customFormat="false" ht="12.75" hidden="false" customHeight="false" outlineLevel="0" collapsed="false"/>
    <row r="990" customFormat="false" ht="12.75" hidden="false" customHeight="false" outlineLevel="0" collapsed="false"/>
    <row r="991" customFormat="false" ht="12.75" hidden="false" customHeight="false" outlineLevel="0" collapsed="false"/>
    <row r="992" customFormat="false" ht="12.75" hidden="false" customHeight="false" outlineLevel="0" collapsed="false"/>
    <row r="993" customFormat="false" ht="12.75" hidden="false" customHeight="false" outlineLevel="0" collapsed="false"/>
    <row r="994" customFormat="false" ht="12.75" hidden="false" customHeight="false" outlineLevel="0" collapsed="false"/>
    <row r="995" customFormat="false" ht="12.75" hidden="false" customHeight="false" outlineLevel="0" collapsed="false"/>
    <row r="996" customFormat="false" ht="12.75" hidden="false" customHeight="false" outlineLevel="0" collapsed="false"/>
    <row r="997" customFormat="false" ht="12.75" hidden="false" customHeight="false" outlineLevel="0" collapsed="false"/>
    <row r="998" customFormat="false" ht="12.75" hidden="false" customHeight="false" outlineLevel="0" collapsed="false"/>
    <row r="999" customFormat="false" ht="12.75" hidden="false" customHeight="false" outlineLevel="0" collapsed="false"/>
    <row r="1000" customFormat="false" ht="12.75" hidden="false" customHeight="false" outlineLevel="0" collapsed="false"/>
    <row r="1001" customFormat="false" ht="12.75" hidden="false" customHeight="false" outlineLevel="0" collapsed="false"/>
  </sheetData>
  <mergeCells count="2">
    <mergeCell ref="H1:I1"/>
    <mergeCell ref="K5:M6"/>
  </mergeCells>
  <conditionalFormatting sqref="H6:H1001">
    <cfRule type="cellIs" priority="2" operator="between" aboveAverage="0" equalAverage="0" bottom="0" percent="0" rank="0" text="" dxfId="0">
      <formula>0</formula>
      <formula>0.5</formula>
    </cfRule>
  </conditionalFormatting>
  <conditionalFormatting sqref="H6:H1001">
    <cfRule type="cellIs" priority="3" operator="between" aboveAverage="0" equalAverage="0" bottom="0" percent="0" rank="0" text="" dxfId="1">
      <formula>0.51</formula>
      <formula>0.99</formula>
    </cfRule>
  </conditionalFormatting>
  <conditionalFormatting sqref="H6:H1001">
    <cfRule type="cellIs" priority="4" operator="greaterThanOrEqual" aboveAverage="0" equalAverage="0" bottom="0" percent="0" rank="0" text="" dxfId="2">
      <formula>1</formula>
    </cfRule>
  </conditionalFormatting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1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RowHeight="15.75" zeroHeight="false" outlineLevelRow="0" outlineLevelCol="0"/>
  <cols>
    <col collapsed="false" customWidth="true" hidden="false" outlineLevel="0" max="2" min="1" style="0" width="14.43"/>
    <col collapsed="false" customWidth="true" hidden="false" outlineLevel="0" max="3" min="3" style="0" width="22.43"/>
    <col collapsed="false" customWidth="true" hidden="false" outlineLevel="0" max="1025" min="4" style="0" width="14.43"/>
  </cols>
  <sheetData>
    <row r="1" s="26" customFormat="true" ht="48" hidden="false" customHeight="true" outlineLevel="0" collapsed="false">
      <c r="A1" s="23"/>
      <c r="B1" s="23"/>
      <c r="C1" s="23"/>
      <c r="D1" s="23"/>
      <c r="E1" s="24" t="s">
        <v>20</v>
      </c>
      <c r="F1" s="24" t="n">
        <f aca="false">'Cadastro Institucional'!D$6</f>
        <v>0</v>
      </c>
      <c r="G1" s="25" t="n">
        <f aca="false">'Cadastro Institucional'!D$7</f>
        <v>0</v>
      </c>
      <c r="H1" s="41"/>
      <c r="I1" s="41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customFormat="false" ht="12.75" hidden="false" customHeight="false" outlineLevel="0" collapsed="false">
      <c r="A2" s="27" t="s">
        <v>14</v>
      </c>
      <c r="B2" s="27" t="s">
        <v>13</v>
      </c>
      <c r="C2" s="27" t="s">
        <v>15</v>
      </c>
      <c r="D2" s="27" t="s">
        <v>16</v>
      </c>
      <c r="E2" s="27" t="s">
        <v>17</v>
      </c>
      <c r="F2" s="27" t="s">
        <v>18</v>
      </c>
      <c r="G2" s="27" t="s">
        <v>19</v>
      </c>
      <c r="H2" s="69" t="s">
        <v>35</v>
      </c>
      <c r="I2" s="69" t="s">
        <v>36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customFormat="false" ht="12.75" hidden="false" customHeight="false" outlineLevel="0" collapsed="false">
      <c r="A3" s="30" t="n">
        <f aca="false">'Cadastro Institucional'!D$10</f>
        <v>0</v>
      </c>
      <c r="B3" s="31" t="n">
        <f aca="false">'Cadastro Institucional'!D$9</f>
        <v>0</v>
      </c>
      <c r="C3" s="31" t="n">
        <f aca="false">'Cadastro Institucional'!D$11</f>
        <v>0</v>
      </c>
      <c r="D3" s="32" t="n">
        <f aca="false">'Cadastro Institucional'!D$12</f>
        <v>0</v>
      </c>
      <c r="E3" s="31" t="n">
        <f aca="false">'Cadastro Institucional'!D$13</f>
        <v>0</v>
      </c>
      <c r="F3" s="31" t="n">
        <f aca="false">'Cadastro Institucional'!D$14</f>
        <v>0</v>
      </c>
      <c r="G3" s="33" t="n">
        <f aca="false">'Cadastro Institucional'!D$15</f>
        <v>0</v>
      </c>
      <c r="H3" s="70"/>
      <c r="I3" s="70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customFormat="false" ht="12.75" hidden="false" customHeight="false" outlineLevel="0" collapsed="false">
      <c r="A4" s="29"/>
      <c r="B4" s="29"/>
      <c r="C4" s="29"/>
      <c r="D4" s="29"/>
      <c r="E4" s="29"/>
      <c r="F4" s="29"/>
      <c r="G4" s="29"/>
      <c r="H4" s="29"/>
      <c r="I4" s="29"/>
      <c r="J4" s="29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 customFormat="false" ht="25.5" hidden="false" customHeight="true" outlineLevel="0" collapsed="false">
      <c r="A5" s="56" t="s">
        <v>21</v>
      </c>
      <c r="B5" s="56" t="s">
        <v>23</v>
      </c>
      <c r="C5" s="56" t="s">
        <v>22</v>
      </c>
      <c r="D5" s="56" t="s">
        <v>28</v>
      </c>
      <c r="E5" s="56" t="s">
        <v>29</v>
      </c>
      <c r="F5" s="56" t="s">
        <v>30</v>
      </c>
      <c r="G5" s="56" t="s">
        <v>31</v>
      </c>
      <c r="H5" s="56" t="s">
        <v>32</v>
      </c>
      <c r="I5" s="56" t="s">
        <v>33</v>
      </c>
      <c r="J5" s="58"/>
      <c r="K5" s="20" t="s">
        <v>8</v>
      </c>
      <c r="L5" s="20"/>
      <c r="M5" s="20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</row>
    <row r="6" customFormat="false" ht="12.75" hidden="false" customHeight="true" outlineLevel="0" collapsed="false">
      <c r="A6" s="37" t="n">
        <f aca="false">'Itens de Contrato'!A6</f>
        <v>0</v>
      </c>
      <c r="B6" s="37" t="n">
        <f aca="false">'Itens de Contrato'!B6</f>
        <v>0</v>
      </c>
      <c r="C6" s="37" t="e">
        <f aca="false">VLOOKUP(B6,'Itens de Contrato'!B$5:G$151,2,0)</f>
        <v>#N/A</v>
      </c>
      <c r="D6" s="52"/>
      <c r="E6" s="63" t="n">
        <f aca="false">D6*'Itens de Contrato'!F6</f>
        <v>0</v>
      </c>
      <c r="F6" s="62" t="n">
        <f aca="false">'Medição 05'!F6-'Medição 05'!G6</f>
        <v>0</v>
      </c>
      <c r="G6" s="52"/>
      <c r="H6" s="64" t="e">
        <f aca="false">G6/D6</f>
        <v>#DIV/0!</v>
      </c>
      <c r="I6" s="63" t="n">
        <f aca="false">G6*'Itens de Contrato'!F6</f>
        <v>0</v>
      </c>
      <c r="J6" s="37"/>
      <c r="K6" s="20"/>
      <c r="L6" s="20"/>
      <c r="M6" s="20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customFormat="false" ht="12.8" hidden="false" customHeight="false" outlineLevel="0" collapsed="false">
      <c r="A7" s="37" t="n">
        <f aca="false">'Itens de Contrato'!A7</f>
        <v>0</v>
      </c>
      <c r="B7" s="37" t="n">
        <f aca="false">'Itens de Contrato'!B7</f>
        <v>0</v>
      </c>
      <c r="C7" s="37" t="e">
        <f aca="false">VLOOKUP(B7,'Itens de Contrato'!B$5:G$151,2,0)</f>
        <v>#N/A</v>
      </c>
      <c r="D7" s="52"/>
      <c r="E7" s="63" t="n">
        <f aca="false">D7*'Itens de Contrato'!F7</f>
        <v>0</v>
      </c>
      <c r="F7" s="62" t="n">
        <f aca="false">'Medição 05'!F7-'Medição 05'!G7</f>
        <v>0</v>
      </c>
      <c r="G7" s="52"/>
      <c r="H7" s="64" t="e">
        <f aca="false">G7/D7</f>
        <v>#DIV/0!</v>
      </c>
      <c r="I7" s="63" t="n">
        <f aca="false">G7*'Itens de Contrato'!F7</f>
        <v>0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customFormat="false" ht="12.8" hidden="false" customHeight="false" outlineLevel="0" collapsed="false">
      <c r="A8" s="37" t="n">
        <f aca="false">'Itens de Contrato'!A8</f>
        <v>0</v>
      </c>
      <c r="B8" s="37" t="n">
        <f aca="false">'Itens de Contrato'!B8</f>
        <v>0</v>
      </c>
      <c r="C8" s="37" t="e">
        <f aca="false">VLOOKUP(B8,'Itens de Contrato'!B$5:G$151,2,0)</f>
        <v>#N/A</v>
      </c>
      <c r="D8" s="52"/>
      <c r="E8" s="63" t="n">
        <f aca="false">D8*'Itens de Contrato'!F8</f>
        <v>0</v>
      </c>
      <c r="F8" s="62" t="n">
        <f aca="false">'Medição 05'!F8-'Medição 05'!G8</f>
        <v>0</v>
      </c>
      <c r="G8" s="52"/>
      <c r="H8" s="64" t="e">
        <f aca="false">G8/D8</f>
        <v>#DIV/0!</v>
      </c>
      <c r="I8" s="63" t="n">
        <f aca="false">G8*'Itens de Contrato'!F8</f>
        <v>0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customFormat="false" ht="12.8" hidden="false" customHeight="false" outlineLevel="0" collapsed="false">
      <c r="A9" s="37" t="n">
        <f aca="false">'Itens de Contrato'!A9</f>
        <v>0</v>
      </c>
      <c r="B9" s="37" t="n">
        <f aca="false">'Itens de Contrato'!B9</f>
        <v>0</v>
      </c>
      <c r="C9" s="37" t="e">
        <f aca="false">VLOOKUP(B9,'Itens de Contrato'!B$5:G$151,2,0)</f>
        <v>#N/A</v>
      </c>
      <c r="D9" s="52"/>
      <c r="E9" s="63" t="n">
        <f aca="false">D9*'Itens de Contrato'!F9</f>
        <v>0</v>
      </c>
      <c r="F9" s="62" t="n">
        <f aca="false">'Medição 05'!F9-'Medição 05'!G9</f>
        <v>0</v>
      </c>
      <c r="G9" s="52"/>
      <c r="H9" s="64" t="e">
        <f aca="false">G9/D9</f>
        <v>#DIV/0!</v>
      </c>
      <c r="I9" s="63" t="n">
        <f aca="false">G9*'Itens de Contrato'!F9</f>
        <v>0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 customFormat="false" ht="12.8" hidden="false" customHeight="false" outlineLevel="0" collapsed="false">
      <c r="A10" s="37" t="n">
        <f aca="false">'Itens de Contrato'!A10</f>
        <v>0</v>
      </c>
      <c r="B10" s="37" t="n">
        <f aca="false">'Itens de Contrato'!B10</f>
        <v>0</v>
      </c>
      <c r="C10" s="37" t="e">
        <f aca="false">VLOOKUP(B10,'Itens de Contrato'!B$5:G$151,2,0)</f>
        <v>#N/A</v>
      </c>
      <c r="D10" s="52"/>
      <c r="E10" s="63" t="n">
        <f aca="false">D10*'Itens de Contrato'!F10</f>
        <v>0</v>
      </c>
      <c r="F10" s="62" t="n">
        <f aca="false">'Medição 05'!F10-'Medição 05'!G10</f>
        <v>0</v>
      </c>
      <c r="G10" s="52"/>
      <c r="H10" s="64" t="e">
        <f aca="false">G10/D10</f>
        <v>#DIV/0!</v>
      </c>
      <c r="I10" s="63" t="n">
        <f aca="false">G10*'Itens de Contrato'!F10</f>
        <v>0</v>
      </c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 customFormat="false" ht="12.8" hidden="false" customHeight="false" outlineLevel="0" collapsed="false">
      <c r="A11" s="37" t="n">
        <f aca="false">'Itens de Contrato'!A11</f>
        <v>0</v>
      </c>
      <c r="B11" s="37" t="n">
        <f aca="false">'Itens de Contrato'!B11</f>
        <v>0</v>
      </c>
      <c r="C11" s="37" t="e">
        <f aca="false">VLOOKUP(B11,'Itens de Contrato'!B$5:G$151,2,0)</f>
        <v>#N/A</v>
      </c>
      <c r="D11" s="52"/>
      <c r="E11" s="63" t="n">
        <f aca="false">D11*'Itens de Contrato'!F11</f>
        <v>0</v>
      </c>
      <c r="F11" s="62" t="n">
        <f aca="false">'Medição 05'!F11-'Medição 05'!G11</f>
        <v>0</v>
      </c>
      <c r="G11" s="52"/>
      <c r="H11" s="64" t="e">
        <f aca="false">G11/D11</f>
        <v>#DIV/0!</v>
      </c>
      <c r="I11" s="63" t="n">
        <f aca="false">G11*'Itens de Contrato'!F11</f>
        <v>0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 customFormat="false" ht="12.8" hidden="false" customHeight="false" outlineLevel="0" collapsed="false">
      <c r="A12" s="37" t="n">
        <f aca="false">'Itens de Contrato'!A12</f>
        <v>0</v>
      </c>
      <c r="B12" s="37" t="n">
        <f aca="false">'Itens de Contrato'!B12</f>
        <v>0</v>
      </c>
      <c r="C12" s="37" t="e">
        <f aca="false">VLOOKUP(B12,'Itens de Contrato'!B$5:G$151,2,0)</f>
        <v>#N/A</v>
      </c>
      <c r="D12" s="52"/>
      <c r="E12" s="63" t="n">
        <f aca="false">D12*'Itens de Contrato'!F12</f>
        <v>0</v>
      </c>
      <c r="F12" s="62" t="n">
        <f aca="false">'Medição 05'!F12-'Medição 05'!G12</f>
        <v>0</v>
      </c>
      <c r="G12" s="52"/>
      <c r="H12" s="64" t="e">
        <f aca="false">G12/D12</f>
        <v>#DIV/0!</v>
      </c>
      <c r="I12" s="63" t="n">
        <f aca="false">G12*'Itens de Contrato'!F12</f>
        <v>0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 customFormat="false" ht="12.8" hidden="false" customHeight="false" outlineLevel="0" collapsed="false">
      <c r="A13" s="37" t="n">
        <f aca="false">'Itens de Contrato'!A13</f>
        <v>0</v>
      </c>
      <c r="B13" s="37" t="n">
        <f aca="false">'Itens de Contrato'!B13</f>
        <v>0</v>
      </c>
      <c r="C13" s="37" t="e">
        <f aca="false">VLOOKUP(B13,'Itens de Contrato'!B$5:G$151,2,0)</f>
        <v>#N/A</v>
      </c>
      <c r="D13" s="52"/>
      <c r="E13" s="63" t="n">
        <f aca="false">D13*'Itens de Contrato'!F13</f>
        <v>0</v>
      </c>
      <c r="F13" s="62" t="n">
        <f aca="false">'Medição 05'!F13-'Medição 05'!G13</f>
        <v>0</v>
      </c>
      <c r="G13" s="52"/>
      <c r="H13" s="64" t="e">
        <f aca="false">G13/D13</f>
        <v>#DIV/0!</v>
      </c>
      <c r="I13" s="63" t="n">
        <f aca="false">G13*'Itens de Contrato'!F13</f>
        <v>0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customFormat="false" ht="12.8" hidden="false" customHeight="false" outlineLevel="0" collapsed="false">
      <c r="A14" s="37" t="n">
        <f aca="false">'Itens de Contrato'!A14</f>
        <v>0</v>
      </c>
      <c r="B14" s="37" t="n">
        <f aca="false">'Itens de Contrato'!B14</f>
        <v>0</v>
      </c>
      <c r="C14" s="37" t="e">
        <f aca="false">VLOOKUP(B14,'Itens de Contrato'!B$5:G$151,2,0)</f>
        <v>#N/A</v>
      </c>
      <c r="D14" s="52"/>
      <c r="E14" s="63" t="n">
        <f aca="false">D14*'Itens de Contrato'!F14</f>
        <v>0</v>
      </c>
      <c r="F14" s="62" t="n">
        <f aca="false">'Medição 05'!F14-'Medição 05'!G14</f>
        <v>0</v>
      </c>
      <c r="G14" s="52"/>
      <c r="H14" s="64" t="e">
        <f aca="false">G14/D14</f>
        <v>#DIV/0!</v>
      </c>
      <c r="I14" s="63" t="n">
        <f aca="false">G14*'Itens de Contrato'!F14</f>
        <v>0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 customFormat="false" ht="12.8" hidden="false" customHeight="false" outlineLevel="0" collapsed="false">
      <c r="A15" s="37" t="n">
        <f aca="false">'Itens de Contrato'!A15</f>
        <v>0</v>
      </c>
      <c r="B15" s="37" t="n">
        <f aca="false">'Itens de Contrato'!B15</f>
        <v>0</v>
      </c>
      <c r="C15" s="37" t="e">
        <f aca="false">VLOOKUP(B15,'Itens de Contrato'!B$5:G$151,2,0)</f>
        <v>#N/A</v>
      </c>
      <c r="D15" s="52"/>
      <c r="E15" s="63" t="n">
        <f aca="false">D15*'Itens de Contrato'!F15</f>
        <v>0</v>
      </c>
      <c r="F15" s="62" t="n">
        <f aca="false">'Medição 05'!F15-'Medição 05'!G15</f>
        <v>0</v>
      </c>
      <c r="G15" s="52"/>
      <c r="H15" s="64" t="e">
        <f aca="false">G15/D15</f>
        <v>#DIV/0!</v>
      </c>
      <c r="I15" s="63" t="n">
        <f aca="false">G15*'Itens de Contrato'!F15</f>
        <v>0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customFormat="false" ht="12.8" hidden="false" customHeight="false" outlineLevel="0" collapsed="false">
      <c r="A16" s="37" t="n">
        <f aca="false">'Itens de Contrato'!A16</f>
        <v>0</v>
      </c>
      <c r="B16" s="37" t="n">
        <f aca="false">'Itens de Contrato'!B16</f>
        <v>0</v>
      </c>
      <c r="C16" s="37" t="e">
        <f aca="false">VLOOKUP(B16,'Itens de Contrato'!B$5:G$151,2,0)</f>
        <v>#N/A</v>
      </c>
      <c r="D16" s="52"/>
      <c r="E16" s="63" t="n">
        <f aca="false">D16*'Itens de Contrato'!F16</f>
        <v>0</v>
      </c>
      <c r="F16" s="62" t="n">
        <f aca="false">'Medição 05'!F16-'Medição 05'!G16</f>
        <v>0</v>
      </c>
      <c r="G16" s="52"/>
      <c r="H16" s="64" t="e">
        <f aca="false">G16/D16</f>
        <v>#DIV/0!</v>
      </c>
      <c r="I16" s="63" t="n">
        <f aca="false">G16*'Itens de Contrato'!F16</f>
        <v>0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7" customFormat="false" ht="12.8" hidden="false" customHeight="false" outlineLevel="0" collapsed="false">
      <c r="A17" s="37" t="n">
        <f aca="false">'Itens de Contrato'!A17</f>
        <v>0</v>
      </c>
      <c r="B17" s="37" t="n">
        <f aca="false">'Itens de Contrato'!B17</f>
        <v>0</v>
      </c>
      <c r="C17" s="37" t="e">
        <f aca="false">VLOOKUP(B17,'Itens de Contrato'!B$5:G$151,2,0)</f>
        <v>#N/A</v>
      </c>
      <c r="D17" s="52"/>
      <c r="E17" s="63" t="n">
        <f aca="false">D17*'Itens de Contrato'!F17</f>
        <v>0</v>
      </c>
      <c r="F17" s="62" t="n">
        <f aca="false">'Medição 05'!F17-'Medição 05'!G17</f>
        <v>0</v>
      </c>
      <c r="G17" s="52"/>
      <c r="H17" s="64" t="e">
        <f aca="false">G17/D17</f>
        <v>#DIV/0!</v>
      </c>
      <c r="I17" s="63" t="n">
        <f aca="false">G17*'Itens de Contrato'!F17</f>
        <v>0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</row>
    <row r="18" customFormat="false" ht="12.8" hidden="false" customHeight="false" outlineLevel="0" collapsed="false">
      <c r="A18" s="37" t="n">
        <f aca="false">'Itens de Contrato'!A18</f>
        <v>0</v>
      </c>
      <c r="B18" s="37" t="n">
        <f aca="false">'Itens de Contrato'!B18</f>
        <v>0</v>
      </c>
      <c r="C18" s="37" t="e">
        <f aca="false">VLOOKUP(B18,'Itens de Contrato'!B$5:G$151,2,0)</f>
        <v>#N/A</v>
      </c>
      <c r="D18" s="52"/>
      <c r="E18" s="63" t="n">
        <f aca="false">D18*'Itens de Contrato'!F18</f>
        <v>0</v>
      </c>
      <c r="F18" s="62" t="n">
        <f aca="false">'Medição 05'!F18-'Medição 05'!G18</f>
        <v>0</v>
      </c>
      <c r="G18" s="52"/>
      <c r="H18" s="64" t="e">
        <f aca="false">G18/D18</f>
        <v>#DIV/0!</v>
      </c>
      <c r="I18" s="63" t="n">
        <f aca="false">G18*'Itens de Contrato'!F18</f>
        <v>0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</row>
    <row r="19" customFormat="false" ht="12.8" hidden="false" customHeight="false" outlineLevel="0" collapsed="false">
      <c r="A19" s="37" t="n">
        <f aca="false">'Itens de Contrato'!A19</f>
        <v>0</v>
      </c>
      <c r="B19" s="37" t="n">
        <f aca="false">'Itens de Contrato'!B19</f>
        <v>0</v>
      </c>
      <c r="C19" s="37" t="e">
        <f aca="false">VLOOKUP(B19,'Itens de Contrato'!B$5:G$151,2,0)</f>
        <v>#N/A</v>
      </c>
      <c r="D19" s="52"/>
      <c r="E19" s="63" t="n">
        <f aca="false">D19*'Itens de Contrato'!F19</f>
        <v>0</v>
      </c>
      <c r="F19" s="62" t="n">
        <f aca="false">'Medição 05'!F19-'Medição 05'!G19</f>
        <v>0</v>
      </c>
      <c r="G19" s="52"/>
      <c r="H19" s="64" t="e">
        <f aca="false">G19/D19</f>
        <v>#DIV/0!</v>
      </c>
      <c r="I19" s="63" t="n">
        <f aca="false">G19*'Itens de Contrato'!F19</f>
        <v>0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</row>
    <row r="20" customFormat="false" ht="12.8" hidden="false" customHeight="false" outlineLevel="0" collapsed="false">
      <c r="A20" s="37" t="n">
        <f aca="false">'Itens de Contrato'!A20</f>
        <v>0</v>
      </c>
      <c r="B20" s="37" t="n">
        <f aca="false">'Itens de Contrato'!B20</f>
        <v>0</v>
      </c>
      <c r="C20" s="37" t="e">
        <f aca="false">VLOOKUP(B20,'Itens de Contrato'!B$5:G$151,2,0)</f>
        <v>#N/A</v>
      </c>
      <c r="D20" s="52"/>
      <c r="E20" s="63" t="n">
        <f aca="false">D20*'Itens de Contrato'!F20</f>
        <v>0</v>
      </c>
      <c r="F20" s="62" t="n">
        <f aca="false">'Medição 05'!F20-'Medição 05'!G20</f>
        <v>0</v>
      </c>
      <c r="G20" s="52"/>
      <c r="H20" s="64" t="e">
        <f aca="false">G20/D20</f>
        <v>#DIV/0!</v>
      </c>
      <c r="I20" s="63" t="n">
        <f aca="false">G20*'Itens de Contrato'!F20</f>
        <v>0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</row>
    <row r="21" customFormat="false" ht="12.8" hidden="false" customHeight="false" outlineLevel="0" collapsed="false">
      <c r="A21" s="37" t="n">
        <f aca="false">'Itens de Contrato'!A21</f>
        <v>0</v>
      </c>
      <c r="B21" s="37" t="n">
        <f aca="false">'Itens de Contrato'!B21</f>
        <v>0</v>
      </c>
      <c r="C21" s="37" t="e">
        <f aca="false">VLOOKUP(B21,'Itens de Contrato'!B$5:G$151,2,0)</f>
        <v>#N/A</v>
      </c>
      <c r="D21" s="52"/>
      <c r="E21" s="63" t="n">
        <f aca="false">D21*'Itens de Contrato'!F21</f>
        <v>0</v>
      </c>
      <c r="F21" s="62" t="n">
        <f aca="false">'Medição 05'!F21-'Medição 05'!G21</f>
        <v>0</v>
      </c>
      <c r="G21" s="52"/>
      <c r="H21" s="64" t="e">
        <f aca="false">G21/D21</f>
        <v>#DIV/0!</v>
      </c>
      <c r="I21" s="63" t="n">
        <f aca="false">G21*'Itens de Contrato'!F21</f>
        <v>0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customFormat="false" ht="12.8" hidden="false" customHeight="false" outlineLevel="0" collapsed="false">
      <c r="A22" s="37" t="n">
        <f aca="false">'Itens de Contrato'!A22</f>
        <v>0</v>
      </c>
      <c r="B22" s="37" t="n">
        <f aca="false">'Itens de Contrato'!B22</f>
        <v>0</v>
      </c>
      <c r="C22" s="37" t="e">
        <f aca="false">VLOOKUP(B22,'Itens de Contrato'!B$5:G$151,2,0)</f>
        <v>#N/A</v>
      </c>
      <c r="D22" s="52"/>
      <c r="E22" s="63" t="n">
        <f aca="false">D22*'Itens de Contrato'!F22</f>
        <v>0</v>
      </c>
      <c r="F22" s="62" t="n">
        <f aca="false">'Medição 05'!F22-'Medição 05'!G22</f>
        <v>0</v>
      </c>
      <c r="G22" s="52"/>
      <c r="H22" s="64" t="e">
        <f aca="false">G22/D22</f>
        <v>#DIV/0!</v>
      </c>
      <c r="I22" s="63" t="n">
        <f aca="false">G22*'Itens de Contrato'!F22</f>
        <v>0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  <row r="23" customFormat="false" ht="12.8" hidden="false" customHeight="false" outlineLevel="0" collapsed="false">
      <c r="A23" s="37" t="n">
        <f aca="false">'Itens de Contrato'!A23</f>
        <v>0</v>
      </c>
      <c r="B23" s="37" t="n">
        <f aca="false">'Itens de Contrato'!B23</f>
        <v>0</v>
      </c>
      <c r="C23" s="37" t="e">
        <f aca="false">VLOOKUP(B23,'Itens de Contrato'!B$5:G$151,2,0)</f>
        <v>#N/A</v>
      </c>
      <c r="D23" s="52"/>
      <c r="E23" s="63" t="n">
        <f aca="false">D23*'Itens de Contrato'!F23</f>
        <v>0</v>
      </c>
      <c r="F23" s="62" t="n">
        <f aca="false">'Medição 05'!F23-'Medição 05'!G23</f>
        <v>0</v>
      </c>
      <c r="G23" s="52"/>
      <c r="H23" s="64" t="e">
        <f aca="false">G23/D23</f>
        <v>#DIV/0!</v>
      </c>
      <c r="I23" s="63" t="n">
        <f aca="false">G23*'Itens de Contrato'!F23</f>
        <v>0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</row>
    <row r="24" customFormat="false" ht="12.8" hidden="false" customHeight="false" outlineLevel="0" collapsed="false">
      <c r="A24" s="37" t="n">
        <f aca="false">'Itens de Contrato'!A24</f>
        <v>0</v>
      </c>
      <c r="B24" s="37" t="n">
        <f aca="false">'Itens de Contrato'!B24</f>
        <v>0</v>
      </c>
      <c r="C24" s="37" t="e">
        <f aca="false">VLOOKUP(B24,'Itens de Contrato'!B$5:G$151,2,0)</f>
        <v>#N/A</v>
      </c>
      <c r="D24" s="52"/>
      <c r="E24" s="63" t="n">
        <f aca="false">D24*'Itens de Contrato'!F24</f>
        <v>0</v>
      </c>
      <c r="F24" s="62" t="n">
        <f aca="false">'Medição 05'!F24-'Medição 05'!G24</f>
        <v>0</v>
      </c>
      <c r="G24" s="52"/>
      <c r="H24" s="64" t="e">
        <f aca="false">G24/D24</f>
        <v>#DIV/0!</v>
      </c>
      <c r="I24" s="63" t="n">
        <f aca="false">G24*'Itens de Contrato'!F24</f>
        <v>0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</row>
    <row r="25" customFormat="false" ht="12.8" hidden="false" customHeight="false" outlineLevel="0" collapsed="false">
      <c r="A25" s="37" t="n">
        <f aca="false">'Itens de Contrato'!A25</f>
        <v>0</v>
      </c>
      <c r="B25" s="37" t="n">
        <f aca="false">'Itens de Contrato'!B25</f>
        <v>0</v>
      </c>
      <c r="C25" s="37" t="e">
        <f aca="false">VLOOKUP(B25,'Itens de Contrato'!B$5:G$151,2,0)</f>
        <v>#N/A</v>
      </c>
      <c r="D25" s="52"/>
      <c r="E25" s="63" t="n">
        <f aca="false">D25*'Itens de Contrato'!F25</f>
        <v>0</v>
      </c>
      <c r="F25" s="62" t="n">
        <f aca="false">'Medição 05'!F25-'Medição 05'!G25</f>
        <v>0</v>
      </c>
      <c r="G25" s="52"/>
      <c r="H25" s="64" t="e">
        <f aca="false">G25/D25</f>
        <v>#DIV/0!</v>
      </c>
      <c r="I25" s="63" t="n">
        <f aca="false">G25*'Itens de Contrato'!F25</f>
        <v>0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</row>
    <row r="26" customFormat="false" ht="12.8" hidden="false" customHeight="false" outlineLevel="0" collapsed="false">
      <c r="A26" s="37" t="n">
        <f aca="false">'Itens de Contrato'!A26</f>
        <v>0</v>
      </c>
      <c r="B26" s="37" t="n">
        <f aca="false">'Itens de Contrato'!B26</f>
        <v>0</v>
      </c>
      <c r="C26" s="37" t="e">
        <f aca="false">VLOOKUP(B26,'Itens de Contrato'!B$5:G$151,2,0)</f>
        <v>#N/A</v>
      </c>
      <c r="D26" s="52"/>
      <c r="E26" s="63" t="n">
        <f aca="false">D26*'Itens de Contrato'!F26</f>
        <v>0</v>
      </c>
      <c r="F26" s="62" t="n">
        <f aca="false">'Medição 05'!F26-'Medição 05'!G26</f>
        <v>0</v>
      </c>
      <c r="G26" s="52"/>
      <c r="H26" s="64" t="e">
        <f aca="false">G26/D26</f>
        <v>#DIV/0!</v>
      </c>
      <c r="I26" s="63" t="n">
        <f aca="false">G26*'Itens de Contrato'!F26</f>
        <v>0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</row>
    <row r="27" customFormat="false" ht="12.8" hidden="false" customHeight="false" outlineLevel="0" collapsed="false">
      <c r="A27" s="37" t="n">
        <f aca="false">'Itens de Contrato'!A27</f>
        <v>0</v>
      </c>
      <c r="B27" s="37" t="n">
        <f aca="false">'Itens de Contrato'!B27</f>
        <v>0</v>
      </c>
      <c r="C27" s="37" t="e">
        <f aca="false">VLOOKUP(B27,'Itens de Contrato'!B$5:G$151,2,0)</f>
        <v>#N/A</v>
      </c>
      <c r="D27" s="52"/>
      <c r="E27" s="63" t="n">
        <f aca="false">D27*'Itens de Contrato'!F27</f>
        <v>0</v>
      </c>
      <c r="F27" s="62" t="n">
        <f aca="false">'Medição 05'!F27-'Medição 05'!G27</f>
        <v>0</v>
      </c>
      <c r="G27" s="52"/>
      <c r="H27" s="64" t="e">
        <f aca="false">G27/D27</f>
        <v>#DIV/0!</v>
      </c>
      <c r="I27" s="63" t="n">
        <f aca="false">G27*'Itens de Contrato'!F27</f>
        <v>0</v>
      </c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</row>
    <row r="28" customFormat="false" ht="12.8" hidden="false" customHeight="false" outlineLevel="0" collapsed="false">
      <c r="A28" s="37" t="n">
        <f aca="false">'Itens de Contrato'!A28</f>
        <v>0</v>
      </c>
      <c r="B28" s="37" t="n">
        <f aca="false">'Itens de Contrato'!B28</f>
        <v>0</v>
      </c>
      <c r="C28" s="37" t="e">
        <f aca="false">VLOOKUP(B28,'Itens de Contrato'!B$5:G$151,2,0)</f>
        <v>#N/A</v>
      </c>
      <c r="D28" s="52"/>
      <c r="E28" s="63" t="n">
        <f aca="false">D28*'Itens de Contrato'!F28</f>
        <v>0</v>
      </c>
      <c r="F28" s="62" t="n">
        <f aca="false">'Medição 05'!F28-'Medição 05'!G28</f>
        <v>0</v>
      </c>
      <c r="G28" s="52"/>
      <c r="H28" s="64" t="e">
        <f aca="false">G28/D28</f>
        <v>#DIV/0!</v>
      </c>
      <c r="I28" s="63" t="n">
        <f aca="false">G28*'Itens de Contrato'!F28</f>
        <v>0</v>
      </c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customFormat="false" ht="12.8" hidden="false" customHeight="false" outlineLevel="0" collapsed="false">
      <c r="A29" s="37" t="n">
        <f aca="false">'Itens de Contrato'!A29</f>
        <v>0</v>
      </c>
      <c r="B29" s="37" t="n">
        <f aca="false">'Itens de Contrato'!B29</f>
        <v>0</v>
      </c>
      <c r="C29" s="37" t="e">
        <f aca="false">VLOOKUP(B29,'Itens de Contrato'!B$5:G$151,2,0)</f>
        <v>#N/A</v>
      </c>
      <c r="D29" s="52"/>
      <c r="E29" s="63" t="n">
        <f aca="false">D29*'Itens de Contrato'!F29</f>
        <v>0</v>
      </c>
      <c r="F29" s="62" t="n">
        <f aca="false">'Medição 05'!F29-'Medição 05'!G29</f>
        <v>0</v>
      </c>
      <c r="G29" s="52"/>
      <c r="H29" s="64" t="e">
        <f aca="false">G29/D29</f>
        <v>#DIV/0!</v>
      </c>
      <c r="I29" s="63" t="n">
        <f aca="false">G29*'Itens de Contrato'!F29</f>
        <v>0</v>
      </c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</row>
    <row r="30" customFormat="false" ht="12.8" hidden="false" customHeight="false" outlineLevel="0" collapsed="false">
      <c r="A30" s="37" t="n">
        <f aca="false">'Itens de Contrato'!A30</f>
        <v>0</v>
      </c>
      <c r="B30" s="37" t="n">
        <f aca="false">'Itens de Contrato'!B30</f>
        <v>0</v>
      </c>
      <c r="C30" s="37" t="e">
        <f aca="false">VLOOKUP(B30,'Itens de Contrato'!B$5:G$151,2,0)</f>
        <v>#N/A</v>
      </c>
      <c r="D30" s="52"/>
      <c r="E30" s="63" t="n">
        <f aca="false">D30*'Itens de Contrato'!F30</f>
        <v>0</v>
      </c>
      <c r="F30" s="62" t="n">
        <f aca="false">'Medição 05'!F30-'Medição 05'!G30</f>
        <v>0</v>
      </c>
      <c r="G30" s="52"/>
      <c r="H30" s="64" t="e">
        <f aca="false">G30/D30</f>
        <v>#DIV/0!</v>
      </c>
      <c r="I30" s="63" t="n">
        <f aca="false">G30*'Itens de Contrato'!F30</f>
        <v>0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</row>
    <row r="31" customFormat="false" ht="12.8" hidden="false" customHeight="false" outlineLevel="0" collapsed="false">
      <c r="A31" s="37" t="n">
        <f aca="false">'Itens de Contrato'!A31</f>
        <v>0</v>
      </c>
      <c r="B31" s="37" t="n">
        <f aca="false">'Itens de Contrato'!B31</f>
        <v>0</v>
      </c>
      <c r="C31" s="37" t="e">
        <f aca="false">VLOOKUP(B31,'Itens de Contrato'!B$5:G$151,2,0)</f>
        <v>#N/A</v>
      </c>
      <c r="D31" s="52"/>
      <c r="E31" s="63" t="n">
        <f aca="false">D31*'Itens de Contrato'!F31</f>
        <v>0</v>
      </c>
      <c r="F31" s="62" t="n">
        <f aca="false">'Medição 05'!F31-'Medição 05'!G31</f>
        <v>0</v>
      </c>
      <c r="G31" s="52"/>
      <c r="H31" s="64" t="e">
        <f aca="false">G31/D31</f>
        <v>#DIV/0!</v>
      </c>
      <c r="I31" s="63" t="n">
        <f aca="false">G31*'Itens de Contrato'!F31</f>
        <v>0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customFormat="false" ht="12.8" hidden="false" customHeight="false" outlineLevel="0" collapsed="false">
      <c r="A32" s="37" t="n">
        <f aca="false">'Itens de Contrato'!A32</f>
        <v>0</v>
      </c>
      <c r="B32" s="37" t="n">
        <f aca="false">'Itens de Contrato'!B32</f>
        <v>0</v>
      </c>
      <c r="C32" s="37" t="e">
        <f aca="false">VLOOKUP(B32,'Itens de Contrato'!B$5:G$151,2,0)</f>
        <v>#N/A</v>
      </c>
      <c r="D32" s="52"/>
      <c r="E32" s="63" t="n">
        <f aca="false">D32*'Itens de Contrato'!F32</f>
        <v>0</v>
      </c>
      <c r="F32" s="62" t="n">
        <f aca="false">'Medição 05'!F32-'Medição 05'!G32</f>
        <v>0</v>
      </c>
      <c r="G32" s="52"/>
      <c r="H32" s="64" t="e">
        <f aca="false">G32/D32</f>
        <v>#DIV/0!</v>
      </c>
      <c r="I32" s="63" t="n">
        <f aca="false">G32*'Itens de Contrato'!F32</f>
        <v>0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customFormat="false" ht="12.8" hidden="false" customHeight="false" outlineLevel="0" collapsed="false">
      <c r="A33" s="37" t="n">
        <f aca="false">'Itens de Contrato'!A33</f>
        <v>0</v>
      </c>
      <c r="B33" s="37" t="n">
        <f aca="false">'Itens de Contrato'!B33</f>
        <v>0</v>
      </c>
      <c r="C33" s="37" t="e">
        <f aca="false">VLOOKUP(B33,'Itens de Contrato'!B$5:G$151,2,0)</f>
        <v>#N/A</v>
      </c>
      <c r="D33" s="52"/>
      <c r="E33" s="63" t="n">
        <f aca="false">D33*'Itens de Contrato'!F33</f>
        <v>0</v>
      </c>
      <c r="F33" s="62" t="n">
        <f aca="false">'Medição 05'!F33-'Medição 05'!G33</f>
        <v>0</v>
      </c>
      <c r="G33" s="52"/>
      <c r="H33" s="64" t="e">
        <f aca="false">G33/D33</f>
        <v>#DIV/0!</v>
      </c>
      <c r="I33" s="63" t="n">
        <f aca="false">G33*'Itens de Contrato'!F33</f>
        <v>0</v>
      </c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customFormat="false" ht="12.8" hidden="false" customHeight="false" outlineLevel="0" collapsed="false">
      <c r="A34" s="37" t="n">
        <f aca="false">'Itens de Contrato'!A34</f>
        <v>0</v>
      </c>
      <c r="B34" s="37" t="n">
        <f aca="false">'Itens de Contrato'!B34</f>
        <v>0</v>
      </c>
      <c r="C34" s="37" t="e">
        <f aca="false">VLOOKUP(B34,'Itens de Contrato'!B$5:G$151,2,0)</f>
        <v>#N/A</v>
      </c>
      <c r="D34" s="52"/>
      <c r="E34" s="63" t="n">
        <f aca="false">D34*'Itens de Contrato'!F34</f>
        <v>0</v>
      </c>
      <c r="F34" s="62" t="n">
        <f aca="false">'Medição 05'!F34-'Medição 05'!G34</f>
        <v>0</v>
      </c>
      <c r="G34" s="52"/>
      <c r="H34" s="64" t="e">
        <f aca="false">G34/D34</f>
        <v>#DIV/0!</v>
      </c>
      <c r="I34" s="63" t="n">
        <f aca="false">G34*'Itens de Contrato'!F34</f>
        <v>0</v>
      </c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</row>
    <row r="35" customFormat="false" ht="12.8" hidden="false" customHeight="false" outlineLevel="0" collapsed="false">
      <c r="A35" s="37" t="n">
        <f aca="false">'Itens de Contrato'!A35</f>
        <v>0</v>
      </c>
      <c r="B35" s="37" t="n">
        <f aca="false">'Itens de Contrato'!B35</f>
        <v>0</v>
      </c>
      <c r="C35" s="37" t="e">
        <f aca="false">VLOOKUP(B35,'Itens de Contrato'!B$5:G$151,2,0)</f>
        <v>#N/A</v>
      </c>
      <c r="D35" s="52"/>
      <c r="E35" s="63" t="n">
        <f aca="false">D35*'Itens de Contrato'!F35</f>
        <v>0</v>
      </c>
      <c r="F35" s="62" t="n">
        <f aca="false">'Medição 05'!F35-'Medição 05'!G35</f>
        <v>0</v>
      </c>
      <c r="G35" s="52"/>
      <c r="H35" s="64" t="e">
        <f aca="false">G35/D35</f>
        <v>#DIV/0!</v>
      </c>
      <c r="I35" s="63" t="n">
        <f aca="false">G35*'Itens de Contrato'!F35</f>
        <v>0</v>
      </c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</row>
    <row r="36" customFormat="false" ht="12.8" hidden="false" customHeight="false" outlineLevel="0" collapsed="false">
      <c r="A36" s="37" t="n">
        <f aca="false">'Itens de Contrato'!A36</f>
        <v>0</v>
      </c>
      <c r="B36" s="37" t="n">
        <f aca="false">'Itens de Contrato'!B36</f>
        <v>0</v>
      </c>
      <c r="C36" s="37" t="e">
        <f aca="false">VLOOKUP(B36,'Itens de Contrato'!B$5:G$151,2,0)</f>
        <v>#N/A</v>
      </c>
      <c r="D36" s="52"/>
      <c r="E36" s="63" t="n">
        <f aca="false">D36*'Itens de Contrato'!F36</f>
        <v>0</v>
      </c>
      <c r="F36" s="62" t="n">
        <f aca="false">'Medição 05'!F36-'Medição 05'!G36</f>
        <v>0</v>
      </c>
      <c r="G36" s="52"/>
      <c r="H36" s="64" t="e">
        <f aca="false">G36/D36</f>
        <v>#DIV/0!</v>
      </c>
      <c r="I36" s="63" t="n">
        <f aca="false">G36*'Itens de Contrato'!F36</f>
        <v>0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customFormat="false" ht="12.8" hidden="false" customHeight="false" outlineLevel="0" collapsed="false">
      <c r="A37" s="37" t="n">
        <f aca="false">'Itens de Contrato'!A37</f>
        <v>0</v>
      </c>
      <c r="B37" s="37" t="n">
        <f aca="false">'Itens de Contrato'!B37</f>
        <v>0</v>
      </c>
      <c r="C37" s="37" t="e">
        <f aca="false">VLOOKUP(B37,'Itens de Contrato'!B$5:G$151,2,0)</f>
        <v>#N/A</v>
      </c>
      <c r="D37" s="52"/>
      <c r="E37" s="63" t="n">
        <f aca="false">D37*'Itens de Contrato'!F37</f>
        <v>0</v>
      </c>
      <c r="F37" s="62" t="n">
        <f aca="false">'Medição 05'!F37-'Medição 05'!G37</f>
        <v>0</v>
      </c>
      <c r="G37" s="52"/>
      <c r="H37" s="64" t="e">
        <f aca="false">G37/D37</f>
        <v>#DIV/0!</v>
      </c>
      <c r="I37" s="63" t="n">
        <f aca="false">G37*'Itens de Contrato'!F37</f>
        <v>0</v>
      </c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customFormat="false" ht="12.8" hidden="false" customHeight="false" outlineLevel="0" collapsed="false">
      <c r="A38" s="37" t="n">
        <f aca="false">'Itens de Contrato'!A38</f>
        <v>0</v>
      </c>
      <c r="B38" s="37" t="n">
        <f aca="false">'Itens de Contrato'!B38</f>
        <v>0</v>
      </c>
      <c r="C38" s="37" t="e">
        <f aca="false">VLOOKUP(B38,'Itens de Contrato'!B$5:G$151,2,0)</f>
        <v>#N/A</v>
      </c>
      <c r="D38" s="52"/>
      <c r="E38" s="63" t="n">
        <f aca="false">D38*'Itens de Contrato'!F38</f>
        <v>0</v>
      </c>
      <c r="F38" s="62" t="n">
        <f aca="false">'Medição 05'!F38-'Medição 05'!G38</f>
        <v>0</v>
      </c>
      <c r="G38" s="52"/>
      <c r="H38" s="64" t="e">
        <f aca="false">G38/D38</f>
        <v>#DIV/0!</v>
      </c>
      <c r="I38" s="63" t="n">
        <f aca="false">G38*'Itens de Contrato'!F38</f>
        <v>0</v>
      </c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customFormat="false" ht="12.8" hidden="false" customHeight="false" outlineLevel="0" collapsed="false">
      <c r="A39" s="37" t="n">
        <f aca="false">'Itens de Contrato'!A39</f>
        <v>0</v>
      </c>
      <c r="B39" s="37" t="n">
        <f aca="false">'Itens de Contrato'!B39</f>
        <v>0</v>
      </c>
      <c r="C39" s="37" t="e">
        <f aca="false">VLOOKUP(B39,'Itens de Contrato'!B$5:G$151,2,0)</f>
        <v>#N/A</v>
      </c>
      <c r="D39" s="52"/>
      <c r="E39" s="63" t="n">
        <f aca="false">D39*'Itens de Contrato'!F39</f>
        <v>0</v>
      </c>
      <c r="F39" s="62" t="n">
        <f aca="false">'Medição 05'!F39-'Medição 05'!G39</f>
        <v>0</v>
      </c>
      <c r="G39" s="52"/>
      <c r="H39" s="64" t="e">
        <f aca="false">G39/D39</f>
        <v>#DIV/0!</v>
      </c>
      <c r="I39" s="63" t="n">
        <f aca="false">G39*'Itens de Contrato'!F39</f>
        <v>0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customFormat="false" ht="12.8" hidden="false" customHeight="false" outlineLevel="0" collapsed="false">
      <c r="A40" s="37" t="n">
        <f aca="false">'Itens de Contrato'!A40</f>
        <v>0</v>
      </c>
      <c r="B40" s="37" t="n">
        <f aca="false">'Itens de Contrato'!B40</f>
        <v>0</v>
      </c>
      <c r="C40" s="37" t="e">
        <f aca="false">VLOOKUP(B40,'Itens de Contrato'!B$5:G$151,2,0)</f>
        <v>#N/A</v>
      </c>
      <c r="D40" s="52"/>
      <c r="E40" s="63" t="n">
        <f aca="false">D40*'Itens de Contrato'!F40</f>
        <v>0</v>
      </c>
      <c r="F40" s="62" t="n">
        <f aca="false">'Medição 05'!F40-'Medição 05'!G40</f>
        <v>0</v>
      </c>
      <c r="G40" s="52"/>
      <c r="H40" s="64" t="e">
        <f aca="false">G40/D40</f>
        <v>#DIV/0!</v>
      </c>
      <c r="I40" s="63" t="n">
        <f aca="false">G40*'Itens de Contrato'!F40</f>
        <v>0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customFormat="false" ht="12.8" hidden="false" customHeight="false" outlineLevel="0" collapsed="false">
      <c r="A41" s="37" t="n">
        <f aca="false">'Itens de Contrato'!A41</f>
        <v>0</v>
      </c>
      <c r="B41" s="37" t="n">
        <f aca="false">'Itens de Contrato'!B41</f>
        <v>0</v>
      </c>
      <c r="C41" s="37" t="e">
        <f aca="false">VLOOKUP(B41,'Itens de Contrato'!B$5:G$151,2,0)</f>
        <v>#N/A</v>
      </c>
      <c r="D41" s="52"/>
      <c r="E41" s="63" t="n">
        <f aca="false">D41*'Itens de Contrato'!F41</f>
        <v>0</v>
      </c>
      <c r="F41" s="62" t="n">
        <f aca="false">'Medição 05'!F41-'Medição 05'!G41</f>
        <v>0</v>
      </c>
      <c r="G41" s="52"/>
      <c r="H41" s="64" t="e">
        <f aca="false">G41/D41</f>
        <v>#DIV/0!</v>
      </c>
      <c r="I41" s="63" t="n">
        <f aca="false">G41*'Itens de Contrato'!F41</f>
        <v>0</v>
      </c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customFormat="false" ht="12.8" hidden="false" customHeight="false" outlineLevel="0" collapsed="false">
      <c r="A42" s="37" t="n">
        <f aca="false">'Itens de Contrato'!A42</f>
        <v>0</v>
      </c>
      <c r="B42" s="37" t="n">
        <f aca="false">'Itens de Contrato'!B42</f>
        <v>0</v>
      </c>
      <c r="C42" s="37" t="e">
        <f aca="false">VLOOKUP(B42,'Itens de Contrato'!B$5:G$151,2,0)</f>
        <v>#N/A</v>
      </c>
      <c r="D42" s="52"/>
      <c r="E42" s="63" t="n">
        <f aca="false">D42*'Itens de Contrato'!F42</f>
        <v>0</v>
      </c>
      <c r="F42" s="62" t="n">
        <f aca="false">'Medição 05'!F42-'Medição 05'!G42</f>
        <v>0</v>
      </c>
      <c r="G42" s="52"/>
      <c r="H42" s="64" t="e">
        <f aca="false">G42/D42</f>
        <v>#DIV/0!</v>
      </c>
      <c r="I42" s="63" t="n">
        <f aca="false">G42*'Itens de Contrato'!F42</f>
        <v>0</v>
      </c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customFormat="false" ht="12.8" hidden="false" customHeight="false" outlineLevel="0" collapsed="false">
      <c r="A43" s="37" t="n">
        <f aca="false">'Itens de Contrato'!A43</f>
        <v>0</v>
      </c>
      <c r="B43" s="37" t="n">
        <f aca="false">'Itens de Contrato'!B43</f>
        <v>0</v>
      </c>
      <c r="C43" s="37" t="e">
        <f aca="false">VLOOKUP(B43,'Itens de Contrato'!B$5:G$151,2,0)</f>
        <v>#N/A</v>
      </c>
      <c r="D43" s="52"/>
      <c r="E43" s="63" t="n">
        <f aca="false">D43*'Itens de Contrato'!F43</f>
        <v>0</v>
      </c>
      <c r="F43" s="62" t="n">
        <f aca="false">'Medição 05'!F43-'Medição 05'!G43</f>
        <v>0</v>
      </c>
      <c r="G43" s="52"/>
      <c r="H43" s="64" t="e">
        <f aca="false">G43/D43</f>
        <v>#DIV/0!</v>
      </c>
      <c r="I43" s="63" t="n">
        <f aca="false">G43*'Itens de Contrato'!F43</f>
        <v>0</v>
      </c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customFormat="false" ht="12.8" hidden="false" customHeight="false" outlineLevel="0" collapsed="false">
      <c r="A44" s="37" t="n">
        <f aca="false">'Itens de Contrato'!A44</f>
        <v>0</v>
      </c>
      <c r="B44" s="37" t="n">
        <f aca="false">'Itens de Contrato'!B44</f>
        <v>0</v>
      </c>
      <c r="C44" s="37" t="e">
        <f aca="false">VLOOKUP(B44,'Itens de Contrato'!B$5:G$151,2,0)</f>
        <v>#N/A</v>
      </c>
      <c r="D44" s="52"/>
      <c r="E44" s="63" t="n">
        <f aca="false">D44*'Itens de Contrato'!F44</f>
        <v>0</v>
      </c>
      <c r="F44" s="62" t="n">
        <f aca="false">'Medição 05'!F44-'Medição 05'!G44</f>
        <v>0</v>
      </c>
      <c r="G44" s="52"/>
      <c r="H44" s="64" t="e">
        <f aca="false">G44/D44</f>
        <v>#DIV/0!</v>
      </c>
      <c r="I44" s="63" t="n">
        <f aca="false">G44*'Itens de Contrato'!F44</f>
        <v>0</v>
      </c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customFormat="false" ht="12.8" hidden="false" customHeight="false" outlineLevel="0" collapsed="false">
      <c r="A45" s="37" t="n">
        <f aca="false">'Itens de Contrato'!A45</f>
        <v>0</v>
      </c>
      <c r="B45" s="37" t="n">
        <f aca="false">'Itens de Contrato'!B45</f>
        <v>0</v>
      </c>
      <c r="C45" s="37" t="e">
        <f aca="false">VLOOKUP(B45,'Itens de Contrato'!B$5:G$151,2,0)</f>
        <v>#N/A</v>
      </c>
      <c r="D45" s="52"/>
      <c r="E45" s="63" t="n">
        <f aca="false">D45*'Itens de Contrato'!F45</f>
        <v>0</v>
      </c>
      <c r="F45" s="62" t="n">
        <f aca="false">'Medição 05'!F45-'Medição 05'!G45</f>
        <v>0</v>
      </c>
      <c r="G45" s="52"/>
      <c r="H45" s="64" t="e">
        <f aca="false">G45/D45</f>
        <v>#DIV/0!</v>
      </c>
      <c r="I45" s="63" t="n">
        <f aca="false">G45*'Itens de Contrato'!F45</f>
        <v>0</v>
      </c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customFormat="false" ht="12.8" hidden="false" customHeight="false" outlineLevel="0" collapsed="false">
      <c r="A46" s="37" t="n">
        <f aca="false">'Itens de Contrato'!A46</f>
        <v>0</v>
      </c>
      <c r="B46" s="37" t="n">
        <f aca="false">'Itens de Contrato'!B46</f>
        <v>0</v>
      </c>
      <c r="C46" s="37" t="e">
        <f aca="false">VLOOKUP(B46,'Itens de Contrato'!B$5:G$151,2,0)</f>
        <v>#N/A</v>
      </c>
      <c r="D46" s="52"/>
      <c r="E46" s="63" t="n">
        <f aca="false">D46*'Itens de Contrato'!F46</f>
        <v>0</v>
      </c>
      <c r="F46" s="62" t="n">
        <f aca="false">'Medição 05'!F46-'Medição 05'!G46</f>
        <v>0</v>
      </c>
      <c r="G46" s="52"/>
      <c r="H46" s="64" t="e">
        <f aca="false">G46/D46</f>
        <v>#DIV/0!</v>
      </c>
      <c r="I46" s="63" t="n">
        <f aca="false">G46*'Itens de Contrato'!F46</f>
        <v>0</v>
      </c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customFormat="false" ht="12.8" hidden="false" customHeight="false" outlineLevel="0" collapsed="false">
      <c r="A47" s="37" t="n">
        <f aca="false">'Itens de Contrato'!A47</f>
        <v>0</v>
      </c>
      <c r="B47" s="37" t="n">
        <f aca="false">'Itens de Contrato'!B47</f>
        <v>0</v>
      </c>
      <c r="C47" s="37" t="e">
        <f aca="false">VLOOKUP(B47,'Itens de Contrato'!B$5:G$151,2,0)</f>
        <v>#N/A</v>
      </c>
      <c r="D47" s="52"/>
      <c r="E47" s="63" t="n">
        <f aca="false">D47*'Itens de Contrato'!F47</f>
        <v>0</v>
      </c>
      <c r="F47" s="62" t="n">
        <f aca="false">'Medição 05'!F47-'Medição 05'!G47</f>
        <v>0</v>
      </c>
      <c r="G47" s="52"/>
      <c r="H47" s="64" t="e">
        <f aca="false">G47/D47</f>
        <v>#DIV/0!</v>
      </c>
      <c r="I47" s="63" t="n">
        <f aca="false">G47*'Itens de Contrato'!F47</f>
        <v>0</v>
      </c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customFormat="false" ht="12.8" hidden="false" customHeight="false" outlineLevel="0" collapsed="false">
      <c r="A48" s="37" t="n">
        <f aca="false">'Itens de Contrato'!A48</f>
        <v>0</v>
      </c>
      <c r="B48" s="37" t="n">
        <f aca="false">'Itens de Contrato'!B48</f>
        <v>0</v>
      </c>
      <c r="C48" s="37" t="e">
        <f aca="false">VLOOKUP(B48,'Itens de Contrato'!B$5:G$151,2,0)</f>
        <v>#N/A</v>
      </c>
      <c r="D48" s="52"/>
      <c r="E48" s="63" t="n">
        <f aca="false">D48*'Itens de Contrato'!F48</f>
        <v>0</v>
      </c>
      <c r="F48" s="62" t="n">
        <f aca="false">'Medição 05'!F48-'Medição 05'!G48</f>
        <v>0</v>
      </c>
      <c r="G48" s="52"/>
      <c r="H48" s="64" t="e">
        <f aca="false">G48/D48</f>
        <v>#DIV/0!</v>
      </c>
      <c r="I48" s="63" t="n">
        <f aca="false">G48*'Itens de Contrato'!F48</f>
        <v>0</v>
      </c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customFormat="false" ht="12.8" hidden="false" customHeight="false" outlineLevel="0" collapsed="false">
      <c r="A49" s="37" t="n">
        <f aca="false">'Itens de Contrato'!A49</f>
        <v>0</v>
      </c>
      <c r="B49" s="37" t="n">
        <f aca="false">'Itens de Contrato'!B49</f>
        <v>0</v>
      </c>
      <c r="C49" s="37" t="e">
        <f aca="false">VLOOKUP(B49,'Itens de Contrato'!B$5:G$151,2,0)</f>
        <v>#N/A</v>
      </c>
      <c r="D49" s="52"/>
      <c r="E49" s="63" t="n">
        <f aca="false">D49*'Itens de Contrato'!F49</f>
        <v>0</v>
      </c>
      <c r="F49" s="62" t="n">
        <f aca="false">'Medição 05'!F49-'Medição 05'!G49</f>
        <v>0</v>
      </c>
      <c r="G49" s="52"/>
      <c r="H49" s="64" t="e">
        <f aca="false">G49/D49</f>
        <v>#DIV/0!</v>
      </c>
      <c r="I49" s="63" t="n">
        <f aca="false">G49*'Itens de Contrato'!F49</f>
        <v>0</v>
      </c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customFormat="false" ht="12.8" hidden="false" customHeight="false" outlineLevel="0" collapsed="false">
      <c r="A50" s="37" t="n">
        <f aca="false">'Itens de Contrato'!A50</f>
        <v>0</v>
      </c>
      <c r="B50" s="37" t="n">
        <f aca="false">'Itens de Contrato'!B50</f>
        <v>0</v>
      </c>
      <c r="C50" s="37" t="e">
        <f aca="false">VLOOKUP(B50,'Itens de Contrato'!B$5:G$151,2,0)</f>
        <v>#N/A</v>
      </c>
      <c r="D50" s="52"/>
      <c r="E50" s="63" t="n">
        <f aca="false">D50*'Itens de Contrato'!F50</f>
        <v>0</v>
      </c>
      <c r="F50" s="62" t="n">
        <f aca="false">'Medição 05'!F50-'Medição 05'!G50</f>
        <v>0</v>
      </c>
      <c r="G50" s="52"/>
      <c r="H50" s="64" t="e">
        <f aca="false">G50/D50</f>
        <v>#DIV/0!</v>
      </c>
      <c r="I50" s="63" t="n">
        <f aca="false">G50*'Itens de Contrato'!F50</f>
        <v>0</v>
      </c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customFormat="false" ht="12.8" hidden="false" customHeight="false" outlineLevel="0" collapsed="false">
      <c r="A51" s="37" t="n">
        <f aca="false">'Itens de Contrato'!A51</f>
        <v>0</v>
      </c>
      <c r="B51" s="37" t="n">
        <f aca="false">'Itens de Contrato'!B51</f>
        <v>0</v>
      </c>
      <c r="C51" s="37" t="e">
        <f aca="false">VLOOKUP(B51,'Itens de Contrato'!B$5:G$151,2,0)</f>
        <v>#N/A</v>
      </c>
      <c r="D51" s="52"/>
      <c r="E51" s="63" t="n">
        <f aca="false">D51*'Itens de Contrato'!F51</f>
        <v>0</v>
      </c>
      <c r="F51" s="62" t="n">
        <f aca="false">'Medição 05'!F51-'Medição 05'!G51</f>
        <v>0</v>
      </c>
      <c r="G51" s="52"/>
      <c r="H51" s="64" t="e">
        <f aca="false">G51/D51</f>
        <v>#DIV/0!</v>
      </c>
      <c r="I51" s="63" t="n">
        <f aca="false">G51*'Itens de Contrato'!F51</f>
        <v>0</v>
      </c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customFormat="false" ht="12.8" hidden="false" customHeight="false" outlineLevel="0" collapsed="false">
      <c r="A52" s="37" t="n">
        <f aca="false">'Itens de Contrato'!A52</f>
        <v>0</v>
      </c>
      <c r="B52" s="37" t="n">
        <f aca="false">'Itens de Contrato'!B52</f>
        <v>0</v>
      </c>
      <c r="C52" s="37" t="e">
        <f aca="false">VLOOKUP(B52,'Itens de Contrato'!B$5:G$151,2,0)</f>
        <v>#N/A</v>
      </c>
      <c r="D52" s="52"/>
      <c r="E52" s="63" t="n">
        <f aca="false">D52*'Itens de Contrato'!F52</f>
        <v>0</v>
      </c>
      <c r="F52" s="62" t="n">
        <f aca="false">'Medição 05'!F52-'Medição 05'!G52</f>
        <v>0</v>
      </c>
      <c r="G52" s="52"/>
      <c r="H52" s="64" t="e">
        <f aca="false">G52/D52</f>
        <v>#DIV/0!</v>
      </c>
      <c r="I52" s="63" t="n">
        <f aca="false">G52*'Itens de Contrato'!F52</f>
        <v>0</v>
      </c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customFormat="false" ht="12.8" hidden="false" customHeight="false" outlineLevel="0" collapsed="false">
      <c r="A53" s="37" t="n">
        <f aca="false">'Itens de Contrato'!A53</f>
        <v>0</v>
      </c>
      <c r="B53" s="37" t="n">
        <f aca="false">'Itens de Contrato'!B53</f>
        <v>0</v>
      </c>
      <c r="C53" s="37" t="e">
        <f aca="false">VLOOKUP(B53,'Itens de Contrato'!B$5:G$151,2,0)</f>
        <v>#N/A</v>
      </c>
      <c r="D53" s="52"/>
      <c r="E53" s="63" t="n">
        <f aca="false">D53*'Itens de Contrato'!F53</f>
        <v>0</v>
      </c>
      <c r="F53" s="62" t="n">
        <f aca="false">'Medição 05'!F53-'Medição 05'!G53</f>
        <v>0</v>
      </c>
      <c r="G53" s="52"/>
      <c r="H53" s="64" t="e">
        <f aca="false">G53/D53</f>
        <v>#DIV/0!</v>
      </c>
      <c r="I53" s="63" t="n">
        <f aca="false">G53*'Itens de Contrato'!F53</f>
        <v>0</v>
      </c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customFormat="false" ht="12.8" hidden="false" customHeight="false" outlineLevel="0" collapsed="false">
      <c r="A54" s="37" t="n">
        <f aca="false">'Itens de Contrato'!A54</f>
        <v>0</v>
      </c>
      <c r="B54" s="37" t="n">
        <f aca="false">'Itens de Contrato'!B54</f>
        <v>0</v>
      </c>
      <c r="C54" s="37" t="e">
        <f aca="false">VLOOKUP(B54,'Itens de Contrato'!B$5:G$151,2,0)</f>
        <v>#N/A</v>
      </c>
      <c r="D54" s="52"/>
      <c r="E54" s="63" t="n">
        <f aca="false">D54*'Itens de Contrato'!F54</f>
        <v>0</v>
      </c>
      <c r="F54" s="62" t="n">
        <f aca="false">'Medição 05'!F54-'Medição 05'!G54</f>
        <v>0</v>
      </c>
      <c r="G54" s="52"/>
      <c r="H54" s="64" t="e">
        <f aca="false">G54/D54</f>
        <v>#DIV/0!</v>
      </c>
      <c r="I54" s="63" t="n">
        <f aca="false">G54*'Itens de Contrato'!F54</f>
        <v>0</v>
      </c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customFormat="false" ht="12.8" hidden="false" customHeight="false" outlineLevel="0" collapsed="false">
      <c r="A55" s="37" t="n">
        <f aca="false">'Itens de Contrato'!A55</f>
        <v>0</v>
      </c>
      <c r="B55" s="37" t="n">
        <f aca="false">'Itens de Contrato'!B55</f>
        <v>0</v>
      </c>
      <c r="C55" s="37" t="e">
        <f aca="false">VLOOKUP(B55,'Itens de Contrato'!B$5:G$151,2,0)</f>
        <v>#N/A</v>
      </c>
      <c r="D55" s="52"/>
      <c r="E55" s="63" t="n">
        <f aca="false">D55*'Itens de Contrato'!F55</f>
        <v>0</v>
      </c>
      <c r="F55" s="62" t="n">
        <f aca="false">'Medição 05'!F55-'Medição 05'!G55</f>
        <v>0</v>
      </c>
      <c r="G55" s="52"/>
      <c r="H55" s="64" t="e">
        <f aca="false">G55/D55</f>
        <v>#DIV/0!</v>
      </c>
      <c r="I55" s="63" t="n">
        <f aca="false">G55*'Itens de Contrato'!F55</f>
        <v>0</v>
      </c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customFormat="false" ht="12.8" hidden="false" customHeight="false" outlineLevel="0" collapsed="false">
      <c r="A56" s="37" t="n">
        <f aca="false">'Itens de Contrato'!A56</f>
        <v>0</v>
      </c>
      <c r="B56" s="37" t="n">
        <f aca="false">'Itens de Contrato'!B56</f>
        <v>0</v>
      </c>
      <c r="C56" s="37" t="e">
        <f aca="false">VLOOKUP(B56,'Itens de Contrato'!B$5:G$151,2,0)</f>
        <v>#N/A</v>
      </c>
      <c r="D56" s="52"/>
      <c r="E56" s="63" t="n">
        <f aca="false">D56*'Itens de Contrato'!F56</f>
        <v>0</v>
      </c>
      <c r="F56" s="62" t="n">
        <f aca="false">'Medição 05'!F56-'Medição 05'!G56</f>
        <v>0</v>
      </c>
      <c r="G56" s="52"/>
      <c r="H56" s="64" t="e">
        <f aca="false">G56/D56</f>
        <v>#DIV/0!</v>
      </c>
      <c r="I56" s="63" t="n">
        <f aca="false">G56*'Itens de Contrato'!F56</f>
        <v>0</v>
      </c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customFormat="false" ht="12.8" hidden="false" customHeight="false" outlineLevel="0" collapsed="false">
      <c r="A57" s="37" t="n">
        <f aca="false">'Itens de Contrato'!A57</f>
        <v>0</v>
      </c>
      <c r="B57" s="37" t="n">
        <f aca="false">'Itens de Contrato'!B57</f>
        <v>0</v>
      </c>
      <c r="C57" s="37" t="e">
        <f aca="false">VLOOKUP(B57,'Itens de Contrato'!B$5:G$151,2,0)</f>
        <v>#N/A</v>
      </c>
      <c r="D57" s="52"/>
      <c r="E57" s="63" t="n">
        <f aca="false">D57*'Itens de Contrato'!F57</f>
        <v>0</v>
      </c>
      <c r="F57" s="62" t="n">
        <f aca="false">'Medição 05'!F57-'Medição 05'!G57</f>
        <v>0</v>
      </c>
      <c r="G57" s="52"/>
      <c r="H57" s="64" t="e">
        <f aca="false">G57/D57</f>
        <v>#DIV/0!</v>
      </c>
      <c r="I57" s="63" t="n">
        <f aca="false">G57*'Itens de Contrato'!F57</f>
        <v>0</v>
      </c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customFormat="false" ht="12.8" hidden="false" customHeight="false" outlineLevel="0" collapsed="false">
      <c r="A58" s="37" t="n">
        <f aca="false">'Itens de Contrato'!A58</f>
        <v>0</v>
      </c>
      <c r="B58" s="37" t="n">
        <f aca="false">'Itens de Contrato'!B58</f>
        <v>0</v>
      </c>
      <c r="C58" s="37" t="e">
        <f aca="false">VLOOKUP(B58,'Itens de Contrato'!B$5:G$151,2,0)</f>
        <v>#N/A</v>
      </c>
      <c r="D58" s="52"/>
      <c r="E58" s="63" t="n">
        <f aca="false">D58*'Itens de Contrato'!F58</f>
        <v>0</v>
      </c>
      <c r="F58" s="62" t="n">
        <f aca="false">'Medição 05'!F58-'Medição 05'!G58</f>
        <v>0</v>
      </c>
      <c r="G58" s="52"/>
      <c r="H58" s="64" t="e">
        <f aca="false">G58/D58</f>
        <v>#DIV/0!</v>
      </c>
      <c r="I58" s="63" t="n">
        <f aca="false">G58*'Itens de Contrato'!F58</f>
        <v>0</v>
      </c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customFormat="false" ht="12.8" hidden="false" customHeight="false" outlineLevel="0" collapsed="false">
      <c r="A59" s="37" t="n">
        <f aca="false">'Itens de Contrato'!A59</f>
        <v>0</v>
      </c>
      <c r="B59" s="37" t="n">
        <f aca="false">'Itens de Contrato'!B59</f>
        <v>0</v>
      </c>
      <c r="C59" s="37" t="e">
        <f aca="false">VLOOKUP(B59,'Itens de Contrato'!B$5:G$151,2,0)</f>
        <v>#N/A</v>
      </c>
      <c r="D59" s="52"/>
      <c r="E59" s="63" t="n">
        <f aca="false">D59*'Itens de Contrato'!F59</f>
        <v>0</v>
      </c>
      <c r="F59" s="62" t="n">
        <f aca="false">'Medição 05'!F59-'Medição 05'!G59</f>
        <v>0</v>
      </c>
      <c r="G59" s="52"/>
      <c r="H59" s="64" t="e">
        <f aca="false">G59/D59</f>
        <v>#DIV/0!</v>
      </c>
      <c r="I59" s="63" t="n">
        <f aca="false">G59*'Itens de Contrato'!F59</f>
        <v>0</v>
      </c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</row>
    <row r="60" customFormat="false" ht="12.8" hidden="false" customHeight="false" outlineLevel="0" collapsed="false">
      <c r="A60" s="37" t="n">
        <f aca="false">'Itens de Contrato'!A60</f>
        <v>0</v>
      </c>
      <c r="B60" s="37" t="n">
        <f aca="false">'Itens de Contrato'!B60</f>
        <v>0</v>
      </c>
      <c r="C60" s="37" t="e">
        <f aca="false">VLOOKUP(B60,'Itens de Contrato'!B$5:G$151,2,0)</f>
        <v>#N/A</v>
      </c>
      <c r="D60" s="52"/>
      <c r="E60" s="63" t="n">
        <f aca="false">D60*'Itens de Contrato'!F60</f>
        <v>0</v>
      </c>
      <c r="F60" s="62" t="n">
        <f aca="false">'Medição 05'!F60-'Medição 05'!G60</f>
        <v>0</v>
      </c>
      <c r="G60" s="52"/>
      <c r="H60" s="64" t="e">
        <f aca="false">G60/D60</f>
        <v>#DIV/0!</v>
      </c>
      <c r="I60" s="63" t="n">
        <f aca="false">G60*'Itens de Contrato'!F60</f>
        <v>0</v>
      </c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customFormat="false" ht="12.8" hidden="false" customHeight="false" outlineLevel="0" collapsed="false">
      <c r="A61" s="37" t="n">
        <f aca="false">'Itens de Contrato'!A61</f>
        <v>0</v>
      </c>
      <c r="B61" s="37" t="n">
        <f aca="false">'Itens de Contrato'!B61</f>
        <v>0</v>
      </c>
      <c r="C61" s="37" t="e">
        <f aca="false">VLOOKUP(B61,'Itens de Contrato'!B$5:G$151,2,0)</f>
        <v>#N/A</v>
      </c>
      <c r="D61" s="52"/>
      <c r="E61" s="63" t="n">
        <f aca="false">D61*'Itens de Contrato'!F61</f>
        <v>0</v>
      </c>
      <c r="F61" s="62" t="n">
        <f aca="false">'Medição 05'!F61-'Medição 05'!G61</f>
        <v>0</v>
      </c>
      <c r="G61" s="52"/>
      <c r="H61" s="64" t="e">
        <f aca="false">G61/D61</f>
        <v>#DIV/0!</v>
      </c>
      <c r="I61" s="63" t="n">
        <f aca="false">G61*'Itens de Contrato'!F61</f>
        <v>0</v>
      </c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customFormat="false" ht="12.8" hidden="false" customHeight="false" outlineLevel="0" collapsed="false">
      <c r="A62" s="37" t="n">
        <f aca="false">'Itens de Contrato'!A62</f>
        <v>0</v>
      </c>
      <c r="B62" s="37" t="n">
        <f aca="false">'Itens de Contrato'!B62</f>
        <v>0</v>
      </c>
      <c r="C62" s="37" t="e">
        <f aca="false">VLOOKUP(B62,'Itens de Contrato'!B$5:G$151,2,0)</f>
        <v>#N/A</v>
      </c>
      <c r="D62" s="52"/>
      <c r="E62" s="63" t="n">
        <f aca="false">D62*'Itens de Contrato'!F62</f>
        <v>0</v>
      </c>
      <c r="F62" s="62" t="n">
        <f aca="false">'Medição 05'!F62-'Medição 05'!G62</f>
        <v>0</v>
      </c>
      <c r="G62" s="52"/>
      <c r="H62" s="64" t="e">
        <f aca="false">G62/D62</f>
        <v>#DIV/0!</v>
      </c>
      <c r="I62" s="63" t="n">
        <f aca="false">G62*'Itens de Contrato'!F62</f>
        <v>0</v>
      </c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customFormat="false" ht="12.8" hidden="false" customHeight="false" outlineLevel="0" collapsed="false">
      <c r="A63" s="37" t="n">
        <f aca="false">'Itens de Contrato'!A63</f>
        <v>0</v>
      </c>
      <c r="B63" s="37" t="n">
        <f aca="false">'Itens de Contrato'!B63</f>
        <v>0</v>
      </c>
      <c r="C63" s="37" t="e">
        <f aca="false">VLOOKUP(B63,'Itens de Contrato'!B$5:G$151,2,0)</f>
        <v>#N/A</v>
      </c>
      <c r="D63" s="52"/>
      <c r="E63" s="63" t="n">
        <f aca="false">D63*'Itens de Contrato'!F63</f>
        <v>0</v>
      </c>
      <c r="F63" s="62" t="n">
        <f aca="false">'Medição 05'!F63-'Medição 05'!G63</f>
        <v>0</v>
      </c>
      <c r="G63" s="52"/>
      <c r="H63" s="64" t="e">
        <f aca="false">G63/D63</f>
        <v>#DIV/0!</v>
      </c>
      <c r="I63" s="63" t="n">
        <f aca="false">G63*'Itens de Contrato'!F63</f>
        <v>0</v>
      </c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customFormat="false" ht="12.8" hidden="false" customHeight="false" outlineLevel="0" collapsed="false">
      <c r="A64" s="37" t="n">
        <f aca="false">'Itens de Contrato'!A64</f>
        <v>0</v>
      </c>
      <c r="B64" s="37" t="n">
        <f aca="false">'Itens de Contrato'!B64</f>
        <v>0</v>
      </c>
      <c r="C64" s="37" t="e">
        <f aca="false">VLOOKUP(B64,'Itens de Contrato'!B$5:G$151,2,0)</f>
        <v>#N/A</v>
      </c>
      <c r="D64" s="52"/>
      <c r="E64" s="63" t="n">
        <f aca="false">D64*'Itens de Contrato'!F64</f>
        <v>0</v>
      </c>
      <c r="F64" s="62" t="n">
        <f aca="false">'Medição 05'!F64-'Medição 05'!G64</f>
        <v>0</v>
      </c>
      <c r="G64" s="52"/>
      <c r="H64" s="64" t="e">
        <f aca="false">G64/D64</f>
        <v>#DIV/0!</v>
      </c>
      <c r="I64" s="63" t="n">
        <f aca="false">G64*'Itens de Contrato'!F64</f>
        <v>0</v>
      </c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customFormat="false" ht="12.8" hidden="false" customHeight="false" outlineLevel="0" collapsed="false">
      <c r="A65" s="37" t="n">
        <f aca="false">'Itens de Contrato'!A65</f>
        <v>0</v>
      </c>
      <c r="B65" s="37" t="n">
        <f aca="false">'Itens de Contrato'!B65</f>
        <v>0</v>
      </c>
      <c r="C65" s="37" t="e">
        <f aca="false">VLOOKUP(B65,'Itens de Contrato'!B$5:G$151,2,0)</f>
        <v>#N/A</v>
      </c>
      <c r="D65" s="52"/>
      <c r="E65" s="63" t="n">
        <f aca="false">D65*'Itens de Contrato'!F65</f>
        <v>0</v>
      </c>
      <c r="F65" s="62" t="n">
        <f aca="false">'Medição 05'!F65-'Medição 05'!G65</f>
        <v>0</v>
      </c>
      <c r="G65" s="52"/>
      <c r="H65" s="64" t="e">
        <f aca="false">G65/D65</f>
        <v>#DIV/0!</v>
      </c>
      <c r="I65" s="63" t="n">
        <f aca="false">G65*'Itens de Contrato'!F65</f>
        <v>0</v>
      </c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customFormat="false" ht="12.8" hidden="false" customHeight="false" outlineLevel="0" collapsed="false">
      <c r="A66" s="37" t="n">
        <f aca="false">'Itens de Contrato'!A66</f>
        <v>0</v>
      </c>
      <c r="B66" s="37" t="n">
        <f aca="false">'Itens de Contrato'!B66</f>
        <v>0</v>
      </c>
      <c r="C66" s="37" t="e">
        <f aca="false">VLOOKUP(B66,'Itens de Contrato'!B$5:G$151,2,0)</f>
        <v>#N/A</v>
      </c>
      <c r="D66" s="52"/>
      <c r="E66" s="63" t="n">
        <f aca="false">D66*'Itens de Contrato'!F66</f>
        <v>0</v>
      </c>
      <c r="F66" s="62" t="n">
        <f aca="false">'Medição 05'!F66-'Medição 05'!G66</f>
        <v>0</v>
      </c>
      <c r="G66" s="52"/>
      <c r="H66" s="64" t="e">
        <f aca="false">G66/D66</f>
        <v>#DIV/0!</v>
      </c>
      <c r="I66" s="63" t="n">
        <f aca="false">G66*'Itens de Contrato'!F66</f>
        <v>0</v>
      </c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customFormat="false" ht="12.8" hidden="false" customHeight="false" outlineLevel="0" collapsed="false">
      <c r="A67" s="37" t="n">
        <f aca="false">'Itens de Contrato'!A67</f>
        <v>0</v>
      </c>
      <c r="B67" s="37" t="n">
        <f aca="false">'Itens de Contrato'!B67</f>
        <v>0</v>
      </c>
      <c r="C67" s="37" t="e">
        <f aca="false">VLOOKUP(B67,'Itens de Contrato'!B$5:G$151,2,0)</f>
        <v>#N/A</v>
      </c>
      <c r="D67" s="52"/>
      <c r="E67" s="63" t="n">
        <f aca="false">D67*'Itens de Contrato'!F67</f>
        <v>0</v>
      </c>
      <c r="F67" s="62" t="n">
        <f aca="false">'Medição 05'!F67-'Medição 05'!G67</f>
        <v>0</v>
      </c>
      <c r="G67" s="52"/>
      <c r="H67" s="64" t="e">
        <f aca="false">G67/D67</f>
        <v>#DIV/0!</v>
      </c>
      <c r="I67" s="63" t="n">
        <f aca="false">G67*'Itens de Contrato'!F67</f>
        <v>0</v>
      </c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customFormat="false" ht="12.8" hidden="false" customHeight="false" outlineLevel="0" collapsed="false">
      <c r="A68" s="37" t="n">
        <f aca="false">'Itens de Contrato'!A68</f>
        <v>0</v>
      </c>
      <c r="B68" s="37" t="n">
        <f aca="false">'Itens de Contrato'!B68</f>
        <v>0</v>
      </c>
      <c r="C68" s="37" t="e">
        <f aca="false">VLOOKUP(B68,'Itens de Contrato'!B$5:G$151,2,0)</f>
        <v>#N/A</v>
      </c>
      <c r="D68" s="52"/>
      <c r="E68" s="63" t="n">
        <f aca="false">D68*'Itens de Contrato'!F68</f>
        <v>0</v>
      </c>
      <c r="F68" s="62" t="n">
        <f aca="false">'Medição 05'!F68-'Medição 05'!G68</f>
        <v>0</v>
      </c>
      <c r="G68" s="52"/>
      <c r="H68" s="64" t="e">
        <f aca="false">G68/D68</f>
        <v>#DIV/0!</v>
      </c>
      <c r="I68" s="63" t="n">
        <f aca="false">G68*'Itens de Contrato'!F68</f>
        <v>0</v>
      </c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</row>
    <row r="69" customFormat="false" ht="12.8" hidden="false" customHeight="false" outlineLevel="0" collapsed="false">
      <c r="A69" s="37" t="n">
        <f aca="false">'Itens de Contrato'!A69</f>
        <v>0</v>
      </c>
      <c r="B69" s="37" t="n">
        <f aca="false">'Itens de Contrato'!B69</f>
        <v>0</v>
      </c>
      <c r="C69" s="37" t="e">
        <f aca="false">VLOOKUP(B69,'Itens de Contrato'!B$5:G$151,2,0)</f>
        <v>#N/A</v>
      </c>
      <c r="D69" s="52"/>
      <c r="E69" s="63" t="n">
        <f aca="false">D69*'Itens de Contrato'!F69</f>
        <v>0</v>
      </c>
      <c r="F69" s="62" t="n">
        <f aca="false">'Medição 05'!F69-'Medição 05'!G69</f>
        <v>0</v>
      </c>
      <c r="G69" s="52"/>
      <c r="H69" s="64" t="e">
        <f aca="false">G69/D69</f>
        <v>#DIV/0!</v>
      </c>
      <c r="I69" s="63" t="n">
        <f aca="false">G69*'Itens de Contrato'!F69</f>
        <v>0</v>
      </c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</row>
    <row r="70" customFormat="false" ht="12.8" hidden="false" customHeight="false" outlineLevel="0" collapsed="false">
      <c r="A70" s="37" t="n">
        <f aca="false">'Itens de Contrato'!A70</f>
        <v>0</v>
      </c>
      <c r="B70" s="37" t="n">
        <f aca="false">'Itens de Contrato'!B70</f>
        <v>0</v>
      </c>
      <c r="C70" s="37" t="e">
        <f aca="false">VLOOKUP(B70,'Itens de Contrato'!B$5:G$151,2,0)</f>
        <v>#N/A</v>
      </c>
      <c r="D70" s="52"/>
      <c r="E70" s="63" t="n">
        <f aca="false">D70*'Itens de Contrato'!F70</f>
        <v>0</v>
      </c>
      <c r="F70" s="62" t="n">
        <f aca="false">'Medição 05'!F70-'Medição 05'!G70</f>
        <v>0</v>
      </c>
      <c r="G70" s="52"/>
      <c r="H70" s="64" t="e">
        <f aca="false">G70/D70</f>
        <v>#DIV/0!</v>
      </c>
      <c r="I70" s="63" t="n">
        <f aca="false">G70*'Itens de Contrato'!F70</f>
        <v>0</v>
      </c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</row>
    <row r="71" customFormat="false" ht="12.8" hidden="false" customHeight="false" outlineLevel="0" collapsed="false">
      <c r="A71" s="37" t="n">
        <f aca="false">'Itens de Contrato'!A71</f>
        <v>0</v>
      </c>
      <c r="B71" s="37" t="n">
        <f aca="false">'Itens de Contrato'!B71</f>
        <v>0</v>
      </c>
      <c r="C71" s="37" t="e">
        <f aca="false">VLOOKUP(B71,'Itens de Contrato'!B$5:G$151,2,0)</f>
        <v>#N/A</v>
      </c>
      <c r="D71" s="52"/>
      <c r="E71" s="63" t="n">
        <f aca="false">D71*'Itens de Contrato'!F71</f>
        <v>0</v>
      </c>
      <c r="F71" s="62" t="n">
        <f aca="false">'Medição 05'!F71-'Medição 05'!G71</f>
        <v>0</v>
      </c>
      <c r="G71" s="52"/>
      <c r="H71" s="64" t="e">
        <f aca="false">G71/D71</f>
        <v>#DIV/0!</v>
      </c>
      <c r="I71" s="63" t="n">
        <f aca="false">G71*'Itens de Contrato'!F71</f>
        <v>0</v>
      </c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</row>
    <row r="72" customFormat="false" ht="12.8" hidden="false" customHeight="false" outlineLevel="0" collapsed="false">
      <c r="A72" s="37" t="n">
        <f aca="false">'Itens de Contrato'!A72</f>
        <v>0</v>
      </c>
      <c r="B72" s="37" t="n">
        <f aca="false">'Itens de Contrato'!B72</f>
        <v>0</v>
      </c>
      <c r="C72" s="37" t="e">
        <f aca="false">VLOOKUP(B72,'Itens de Contrato'!B$5:G$151,2,0)</f>
        <v>#N/A</v>
      </c>
      <c r="D72" s="52"/>
      <c r="E72" s="63" t="n">
        <f aca="false">D72*'Itens de Contrato'!F72</f>
        <v>0</v>
      </c>
      <c r="F72" s="62" t="n">
        <f aca="false">'Medição 05'!F72-'Medição 05'!G72</f>
        <v>0</v>
      </c>
      <c r="G72" s="52"/>
      <c r="H72" s="64" t="e">
        <f aca="false">G72/D72</f>
        <v>#DIV/0!</v>
      </c>
      <c r="I72" s="63" t="n">
        <f aca="false">G72*'Itens de Contrato'!F72</f>
        <v>0</v>
      </c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</row>
    <row r="73" customFormat="false" ht="12.8" hidden="false" customHeight="false" outlineLevel="0" collapsed="false">
      <c r="A73" s="37" t="n">
        <f aca="false">'Itens de Contrato'!A73</f>
        <v>0</v>
      </c>
      <c r="B73" s="37" t="n">
        <f aca="false">'Itens de Contrato'!B73</f>
        <v>0</v>
      </c>
      <c r="C73" s="37" t="e">
        <f aca="false">VLOOKUP(B73,'Itens de Contrato'!B$5:G$151,2,0)</f>
        <v>#N/A</v>
      </c>
      <c r="D73" s="52"/>
      <c r="E73" s="63" t="n">
        <f aca="false">D73*'Itens de Contrato'!F73</f>
        <v>0</v>
      </c>
      <c r="F73" s="62" t="n">
        <f aca="false">'Medição 05'!F73-'Medição 05'!G73</f>
        <v>0</v>
      </c>
      <c r="G73" s="52"/>
      <c r="H73" s="64" t="e">
        <f aca="false">G73/D73</f>
        <v>#DIV/0!</v>
      </c>
      <c r="I73" s="63" t="n">
        <f aca="false">G73*'Itens de Contrato'!F73</f>
        <v>0</v>
      </c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</row>
    <row r="74" customFormat="false" ht="12.8" hidden="false" customHeight="false" outlineLevel="0" collapsed="false">
      <c r="A74" s="37" t="n">
        <f aca="false">'Itens de Contrato'!A74</f>
        <v>0</v>
      </c>
      <c r="B74" s="37" t="n">
        <f aca="false">'Itens de Contrato'!B74</f>
        <v>0</v>
      </c>
      <c r="C74" s="37" t="e">
        <f aca="false">VLOOKUP(B74,'Itens de Contrato'!B$5:G$151,2,0)</f>
        <v>#N/A</v>
      </c>
      <c r="D74" s="52"/>
      <c r="E74" s="63" t="n">
        <f aca="false">D74*'Itens de Contrato'!F74</f>
        <v>0</v>
      </c>
      <c r="F74" s="62" t="n">
        <f aca="false">'Medição 05'!F74-'Medição 05'!G74</f>
        <v>0</v>
      </c>
      <c r="G74" s="52"/>
      <c r="H74" s="64" t="e">
        <f aca="false">G74/D74</f>
        <v>#DIV/0!</v>
      </c>
      <c r="I74" s="63" t="n">
        <f aca="false">G74*'Itens de Contrato'!F74</f>
        <v>0</v>
      </c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</row>
    <row r="75" customFormat="false" ht="12.8" hidden="false" customHeight="false" outlineLevel="0" collapsed="false">
      <c r="A75" s="37" t="n">
        <f aca="false">'Itens de Contrato'!A75</f>
        <v>0</v>
      </c>
      <c r="B75" s="37" t="n">
        <f aca="false">'Itens de Contrato'!B75</f>
        <v>0</v>
      </c>
      <c r="C75" s="37" t="e">
        <f aca="false">VLOOKUP(B75,'Itens de Contrato'!B$5:G$151,2,0)</f>
        <v>#N/A</v>
      </c>
      <c r="D75" s="52"/>
      <c r="E75" s="63" t="n">
        <f aca="false">D75*'Itens de Contrato'!F75</f>
        <v>0</v>
      </c>
      <c r="F75" s="62" t="n">
        <f aca="false">'Medição 05'!F75-'Medição 05'!G75</f>
        <v>0</v>
      </c>
      <c r="G75" s="52"/>
      <c r="H75" s="64" t="e">
        <f aca="false">G75/D75</f>
        <v>#DIV/0!</v>
      </c>
      <c r="I75" s="63" t="n">
        <f aca="false">G75*'Itens de Contrato'!F75</f>
        <v>0</v>
      </c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</row>
    <row r="76" customFormat="false" ht="12.8" hidden="false" customHeight="false" outlineLevel="0" collapsed="false">
      <c r="A76" s="37" t="n">
        <f aca="false">'Itens de Contrato'!A76</f>
        <v>0</v>
      </c>
      <c r="B76" s="37" t="n">
        <f aca="false">'Itens de Contrato'!B76</f>
        <v>0</v>
      </c>
      <c r="C76" s="37" t="e">
        <f aca="false">VLOOKUP(B76,'Itens de Contrato'!B$5:G$151,2,0)</f>
        <v>#N/A</v>
      </c>
      <c r="D76" s="52"/>
      <c r="E76" s="63" t="n">
        <f aca="false">D76*'Itens de Contrato'!F76</f>
        <v>0</v>
      </c>
      <c r="F76" s="62" t="n">
        <f aca="false">'Medição 05'!F76-'Medição 05'!G76</f>
        <v>0</v>
      </c>
      <c r="G76" s="52"/>
      <c r="H76" s="64" t="e">
        <f aca="false">G76/D76</f>
        <v>#DIV/0!</v>
      </c>
      <c r="I76" s="63" t="n">
        <f aca="false">G76*'Itens de Contrato'!F76</f>
        <v>0</v>
      </c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</row>
    <row r="77" customFormat="false" ht="12.8" hidden="false" customHeight="false" outlineLevel="0" collapsed="false">
      <c r="A77" s="37" t="n">
        <f aca="false">'Itens de Contrato'!A77</f>
        <v>0</v>
      </c>
      <c r="B77" s="37" t="n">
        <f aca="false">'Itens de Contrato'!B77</f>
        <v>0</v>
      </c>
      <c r="C77" s="37" t="e">
        <f aca="false">VLOOKUP(B77,'Itens de Contrato'!B$5:G$151,2,0)</f>
        <v>#N/A</v>
      </c>
      <c r="D77" s="52"/>
      <c r="E77" s="63" t="n">
        <f aca="false">D77*'Itens de Contrato'!F77</f>
        <v>0</v>
      </c>
      <c r="F77" s="62" t="n">
        <f aca="false">'Medição 05'!F77-'Medição 05'!G77</f>
        <v>0</v>
      </c>
      <c r="G77" s="52"/>
      <c r="H77" s="64" t="e">
        <f aca="false">G77/D77</f>
        <v>#DIV/0!</v>
      </c>
      <c r="I77" s="63" t="n">
        <f aca="false">G77*'Itens de Contrato'!F77</f>
        <v>0</v>
      </c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</row>
    <row r="78" customFormat="false" ht="12.8" hidden="false" customHeight="false" outlineLevel="0" collapsed="false">
      <c r="A78" s="37" t="n">
        <f aca="false">'Itens de Contrato'!A78</f>
        <v>0</v>
      </c>
      <c r="B78" s="37" t="n">
        <f aca="false">'Itens de Contrato'!B78</f>
        <v>0</v>
      </c>
      <c r="C78" s="37" t="e">
        <f aca="false">VLOOKUP(B78,'Itens de Contrato'!B$5:G$151,2,0)</f>
        <v>#N/A</v>
      </c>
      <c r="D78" s="52"/>
      <c r="E78" s="63" t="n">
        <f aca="false">D78*'Itens de Contrato'!F78</f>
        <v>0</v>
      </c>
      <c r="F78" s="62" t="n">
        <f aca="false">'Medição 05'!F78-'Medição 05'!G78</f>
        <v>0</v>
      </c>
      <c r="G78" s="52"/>
      <c r="H78" s="64" t="e">
        <f aca="false">G78/D78</f>
        <v>#DIV/0!</v>
      </c>
      <c r="I78" s="63" t="n">
        <f aca="false">G78*'Itens de Contrato'!F78</f>
        <v>0</v>
      </c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</row>
    <row r="79" customFormat="false" ht="12.8" hidden="false" customHeight="false" outlineLevel="0" collapsed="false">
      <c r="A79" s="37" t="n">
        <f aca="false">'Itens de Contrato'!A79</f>
        <v>0</v>
      </c>
      <c r="B79" s="37" t="n">
        <f aca="false">'Itens de Contrato'!B79</f>
        <v>0</v>
      </c>
      <c r="C79" s="37" t="e">
        <f aca="false">VLOOKUP(B79,'Itens de Contrato'!B$5:G$151,2,0)</f>
        <v>#N/A</v>
      </c>
      <c r="D79" s="52"/>
      <c r="E79" s="63" t="n">
        <f aca="false">D79*'Itens de Contrato'!F79</f>
        <v>0</v>
      </c>
      <c r="F79" s="62" t="n">
        <f aca="false">'Medição 05'!F79-'Medição 05'!G79</f>
        <v>0</v>
      </c>
      <c r="G79" s="52"/>
      <c r="H79" s="64" t="e">
        <f aca="false">G79/D79</f>
        <v>#DIV/0!</v>
      </c>
      <c r="I79" s="63" t="n">
        <f aca="false">G79*'Itens de Contrato'!F79</f>
        <v>0</v>
      </c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</row>
    <row r="80" customFormat="false" ht="12.8" hidden="false" customHeight="false" outlineLevel="0" collapsed="false">
      <c r="A80" s="37" t="n">
        <f aca="false">'Itens de Contrato'!A80</f>
        <v>0</v>
      </c>
      <c r="B80" s="37" t="n">
        <f aca="false">'Itens de Contrato'!B80</f>
        <v>0</v>
      </c>
      <c r="C80" s="37" t="e">
        <f aca="false">VLOOKUP(B80,'Itens de Contrato'!B$5:G$151,2,0)</f>
        <v>#N/A</v>
      </c>
      <c r="D80" s="52"/>
      <c r="E80" s="63" t="n">
        <f aca="false">D80*'Itens de Contrato'!F80</f>
        <v>0</v>
      </c>
      <c r="F80" s="62" t="n">
        <f aca="false">'Medição 05'!F80-'Medição 05'!G80</f>
        <v>0</v>
      </c>
      <c r="G80" s="52"/>
      <c r="H80" s="64" t="e">
        <f aca="false">G80/D80</f>
        <v>#DIV/0!</v>
      </c>
      <c r="I80" s="63" t="n">
        <f aca="false">G80*'Itens de Contrato'!F80</f>
        <v>0</v>
      </c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</row>
    <row r="81" customFormat="false" ht="12.8" hidden="false" customHeight="false" outlineLevel="0" collapsed="false">
      <c r="A81" s="37" t="n">
        <f aca="false">'Itens de Contrato'!A81</f>
        <v>0</v>
      </c>
      <c r="B81" s="37" t="n">
        <f aca="false">'Itens de Contrato'!B81</f>
        <v>0</v>
      </c>
      <c r="C81" s="37" t="e">
        <f aca="false">VLOOKUP(B81,'Itens de Contrato'!B$5:G$151,2,0)</f>
        <v>#N/A</v>
      </c>
      <c r="D81" s="52"/>
      <c r="E81" s="63" t="n">
        <f aca="false">D81*'Itens de Contrato'!F81</f>
        <v>0</v>
      </c>
      <c r="F81" s="62" t="n">
        <f aca="false">'Medição 05'!F81-'Medição 05'!G81</f>
        <v>0</v>
      </c>
      <c r="G81" s="52"/>
      <c r="H81" s="64" t="e">
        <f aca="false">G81/D81</f>
        <v>#DIV/0!</v>
      </c>
      <c r="I81" s="63" t="n">
        <f aca="false">G81*'Itens de Contrato'!F81</f>
        <v>0</v>
      </c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</row>
    <row r="82" customFormat="false" ht="12.8" hidden="false" customHeight="false" outlineLevel="0" collapsed="false">
      <c r="A82" s="37" t="n">
        <f aca="false">'Itens de Contrato'!A82</f>
        <v>0</v>
      </c>
      <c r="B82" s="37" t="n">
        <f aca="false">'Itens de Contrato'!B82</f>
        <v>0</v>
      </c>
      <c r="C82" s="37" t="e">
        <f aca="false">VLOOKUP(B82,'Itens de Contrato'!B$5:G$151,2,0)</f>
        <v>#N/A</v>
      </c>
      <c r="D82" s="52"/>
      <c r="E82" s="63" t="n">
        <f aca="false">D82*'Itens de Contrato'!F82</f>
        <v>0</v>
      </c>
      <c r="F82" s="62" t="n">
        <f aca="false">'Medição 05'!F82-'Medição 05'!G82</f>
        <v>0</v>
      </c>
      <c r="G82" s="52"/>
      <c r="H82" s="64" t="e">
        <f aca="false">G82/D82</f>
        <v>#DIV/0!</v>
      </c>
      <c r="I82" s="63" t="n">
        <f aca="false">G82*'Itens de Contrato'!F82</f>
        <v>0</v>
      </c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</row>
    <row r="83" customFormat="false" ht="12.8" hidden="false" customHeight="false" outlineLevel="0" collapsed="false">
      <c r="A83" s="37" t="n">
        <f aca="false">'Itens de Contrato'!A83</f>
        <v>0</v>
      </c>
      <c r="B83" s="37" t="n">
        <f aca="false">'Itens de Contrato'!B83</f>
        <v>0</v>
      </c>
      <c r="C83" s="37" t="e">
        <f aca="false">VLOOKUP(B83,'Itens de Contrato'!B$5:G$151,2,0)</f>
        <v>#N/A</v>
      </c>
      <c r="D83" s="52"/>
      <c r="E83" s="63" t="n">
        <f aca="false">D83*'Itens de Contrato'!F83</f>
        <v>0</v>
      </c>
      <c r="F83" s="62" t="n">
        <f aca="false">'Medição 05'!F83-'Medição 05'!G83</f>
        <v>0</v>
      </c>
      <c r="G83" s="52"/>
      <c r="H83" s="64" t="e">
        <f aca="false">G83/D83</f>
        <v>#DIV/0!</v>
      </c>
      <c r="I83" s="63" t="n">
        <f aca="false">G83*'Itens de Contrato'!F83</f>
        <v>0</v>
      </c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</row>
    <row r="84" customFormat="false" ht="12.8" hidden="false" customHeight="false" outlineLevel="0" collapsed="false">
      <c r="A84" s="37" t="n">
        <f aca="false">'Itens de Contrato'!A84</f>
        <v>0</v>
      </c>
      <c r="B84" s="37" t="n">
        <f aca="false">'Itens de Contrato'!B84</f>
        <v>0</v>
      </c>
      <c r="C84" s="37" t="e">
        <f aca="false">VLOOKUP(B84,'Itens de Contrato'!B$5:G$151,2,0)</f>
        <v>#N/A</v>
      </c>
      <c r="D84" s="52"/>
      <c r="E84" s="63" t="n">
        <f aca="false">D84*'Itens de Contrato'!F84</f>
        <v>0</v>
      </c>
      <c r="F84" s="62" t="n">
        <f aca="false">'Medição 05'!F84-'Medição 05'!G84</f>
        <v>0</v>
      </c>
      <c r="G84" s="52"/>
      <c r="H84" s="64" t="e">
        <f aca="false">G84/D84</f>
        <v>#DIV/0!</v>
      </c>
      <c r="I84" s="63" t="n">
        <f aca="false">G84*'Itens de Contrato'!F84</f>
        <v>0</v>
      </c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</row>
    <row r="85" customFormat="false" ht="12.8" hidden="false" customHeight="false" outlineLevel="0" collapsed="false">
      <c r="A85" s="37" t="n">
        <f aca="false">'Itens de Contrato'!A85</f>
        <v>0</v>
      </c>
      <c r="B85" s="37" t="n">
        <f aca="false">'Itens de Contrato'!B85</f>
        <v>0</v>
      </c>
      <c r="C85" s="37" t="e">
        <f aca="false">VLOOKUP(B85,'Itens de Contrato'!B$5:G$151,2,0)</f>
        <v>#N/A</v>
      </c>
      <c r="D85" s="52"/>
      <c r="E85" s="63" t="n">
        <f aca="false">D85*'Itens de Contrato'!F85</f>
        <v>0</v>
      </c>
      <c r="F85" s="62" t="n">
        <f aca="false">'Medição 05'!F85-'Medição 05'!G85</f>
        <v>0</v>
      </c>
      <c r="G85" s="52"/>
      <c r="H85" s="64" t="e">
        <f aca="false">G85/D85</f>
        <v>#DIV/0!</v>
      </c>
      <c r="I85" s="63" t="n">
        <f aca="false">G85*'Itens de Contrato'!F85</f>
        <v>0</v>
      </c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</row>
    <row r="86" customFormat="false" ht="12.8" hidden="false" customHeight="false" outlineLevel="0" collapsed="false">
      <c r="A86" s="37" t="n">
        <f aca="false">'Itens de Contrato'!A86</f>
        <v>0</v>
      </c>
      <c r="B86" s="37" t="n">
        <f aca="false">'Itens de Contrato'!B86</f>
        <v>0</v>
      </c>
      <c r="C86" s="37" t="e">
        <f aca="false">VLOOKUP(B86,'Itens de Contrato'!B$5:G$151,2,0)</f>
        <v>#N/A</v>
      </c>
      <c r="D86" s="52"/>
      <c r="E86" s="63" t="n">
        <f aca="false">D86*'Itens de Contrato'!F86</f>
        <v>0</v>
      </c>
      <c r="F86" s="62" t="n">
        <f aca="false">'Medição 05'!F86-'Medição 05'!G86</f>
        <v>0</v>
      </c>
      <c r="G86" s="52"/>
      <c r="H86" s="64" t="e">
        <f aca="false">G86/D86</f>
        <v>#DIV/0!</v>
      </c>
      <c r="I86" s="63" t="n">
        <f aca="false">G86*'Itens de Contrato'!F86</f>
        <v>0</v>
      </c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</row>
    <row r="87" customFormat="false" ht="12.8" hidden="false" customHeight="false" outlineLevel="0" collapsed="false">
      <c r="A87" s="37" t="n">
        <f aca="false">'Itens de Contrato'!A87</f>
        <v>0</v>
      </c>
      <c r="B87" s="37" t="n">
        <f aca="false">'Itens de Contrato'!B87</f>
        <v>0</v>
      </c>
      <c r="C87" s="37" t="e">
        <f aca="false">VLOOKUP(B87,'Itens de Contrato'!B$5:G$151,2,0)</f>
        <v>#N/A</v>
      </c>
      <c r="D87" s="52"/>
      <c r="E87" s="63" t="n">
        <f aca="false">D87*'Itens de Contrato'!F87</f>
        <v>0</v>
      </c>
      <c r="F87" s="62" t="n">
        <f aca="false">'Medição 05'!F87-'Medição 05'!G87</f>
        <v>0</v>
      </c>
      <c r="G87" s="52"/>
      <c r="H87" s="64" t="e">
        <f aca="false">G87/D87</f>
        <v>#DIV/0!</v>
      </c>
      <c r="I87" s="63" t="n">
        <f aca="false">G87*'Itens de Contrato'!F87</f>
        <v>0</v>
      </c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</row>
    <row r="88" customFormat="false" ht="12.8" hidden="false" customHeight="false" outlineLevel="0" collapsed="false">
      <c r="A88" s="37" t="n">
        <f aca="false">'Itens de Contrato'!A88</f>
        <v>0</v>
      </c>
      <c r="B88" s="37" t="n">
        <f aca="false">'Itens de Contrato'!B88</f>
        <v>0</v>
      </c>
      <c r="C88" s="37" t="e">
        <f aca="false">VLOOKUP(B88,'Itens de Contrato'!B$5:G$151,2,0)</f>
        <v>#N/A</v>
      </c>
      <c r="D88" s="52"/>
      <c r="E88" s="63" t="n">
        <f aca="false">D88*'Itens de Contrato'!F88</f>
        <v>0</v>
      </c>
      <c r="F88" s="62" t="n">
        <f aca="false">'Medição 05'!F88-'Medição 05'!G88</f>
        <v>0</v>
      </c>
      <c r="G88" s="52"/>
      <c r="H88" s="64" t="e">
        <f aca="false">G88/D88</f>
        <v>#DIV/0!</v>
      </c>
      <c r="I88" s="63" t="n">
        <f aca="false">G88*'Itens de Contrato'!F88</f>
        <v>0</v>
      </c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</row>
    <row r="89" customFormat="false" ht="12.8" hidden="false" customHeight="false" outlineLevel="0" collapsed="false">
      <c r="A89" s="37" t="n">
        <f aca="false">'Itens de Contrato'!A89</f>
        <v>0</v>
      </c>
      <c r="B89" s="37" t="n">
        <f aca="false">'Itens de Contrato'!B89</f>
        <v>0</v>
      </c>
      <c r="C89" s="37" t="e">
        <f aca="false">VLOOKUP(B89,'Itens de Contrato'!B$5:G$151,2,0)</f>
        <v>#N/A</v>
      </c>
      <c r="D89" s="52"/>
      <c r="E89" s="63" t="n">
        <f aca="false">D89*'Itens de Contrato'!F89</f>
        <v>0</v>
      </c>
      <c r="F89" s="62" t="n">
        <f aca="false">'Medição 05'!F89-'Medição 05'!G89</f>
        <v>0</v>
      </c>
      <c r="G89" s="52"/>
      <c r="H89" s="64" t="e">
        <f aca="false">G89/D89</f>
        <v>#DIV/0!</v>
      </c>
      <c r="I89" s="63" t="n">
        <f aca="false">G89*'Itens de Contrato'!F89</f>
        <v>0</v>
      </c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</row>
    <row r="90" customFormat="false" ht="12.8" hidden="false" customHeight="false" outlineLevel="0" collapsed="false">
      <c r="A90" s="37" t="n">
        <f aca="false">'Itens de Contrato'!A90</f>
        <v>0</v>
      </c>
      <c r="B90" s="37" t="n">
        <f aca="false">'Itens de Contrato'!B90</f>
        <v>0</v>
      </c>
      <c r="C90" s="37" t="e">
        <f aca="false">VLOOKUP(B90,'Itens de Contrato'!B$5:G$151,2,0)</f>
        <v>#N/A</v>
      </c>
      <c r="D90" s="52"/>
      <c r="E90" s="63" t="n">
        <f aca="false">D90*'Itens de Contrato'!F90</f>
        <v>0</v>
      </c>
      <c r="F90" s="62" t="n">
        <f aca="false">'Medição 05'!F90-'Medição 05'!G90</f>
        <v>0</v>
      </c>
      <c r="G90" s="52"/>
      <c r="H90" s="64" t="e">
        <f aca="false">G90/D90</f>
        <v>#DIV/0!</v>
      </c>
      <c r="I90" s="63" t="n">
        <f aca="false">G90*'Itens de Contrato'!F90</f>
        <v>0</v>
      </c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</row>
    <row r="91" customFormat="false" ht="12.8" hidden="false" customHeight="false" outlineLevel="0" collapsed="false">
      <c r="A91" s="37" t="n">
        <f aca="false">'Itens de Contrato'!A91</f>
        <v>0</v>
      </c>
      <c r="B91" s="37" t="n">
        <f aca="false">'Itens de Contrato'!B91</f>
        <v>0</v>
      </c>
      <c r="C91" s="37" t="e">
        <f aca="false">VLOOKUP(B91,'Itens de Contrato'!B$5:G$151,2,0)</f>
        <v>#N/A</v>
      </c>
      <c r="D91" s="52"/>
      <c r="E91" s="63" t="n">
        <f aca="false">D91*'Itens de Contrato'!F91</f>
        <v>0</v>
      </c>
      <c r="F91" s="62" t="n">
        <f aca="false">'Medição 05'!F91-'Medição 05'!G91</f>
        <v>0</v>
      </c>
      <c r="G91" s="52"/>
      <c r="H91" s="64" t="e">
        <f aca="false">G91/D91</f>
        <v>#DIV/0!</v>
      </c>
      <c r="I91" s="63" t="n">
        <f aca="false">G91*'Itens de Contrato'!F91</f>
        <v>0</v>
      </c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customFormat="false" ht="12.8" hidden="false" customHeight="false" outlineLevel="0" collapsed="false">
      <c r="A92" s="37" t="n">
        <f aca="false">'Itens de Contrato'!A92</f>
        <v>0</v>
      </c>
      <c r="B92" s="37" t="n">
        <f aca="false">'Itens de Contrato'!B92</f>
        <v>0</v>
      </c>
      <c r="C92" s="37" t="e">
        <f aca="false">VLOOKUP(B92,'Itens de Contrato'!B$5:G$151,2,0)</f>
        <v>#N/A</v>
      </c>
      <c r="D92" s="52"/>
      <c r="E92" s="63" t="n">
        <f aca="false">D92*'Itens de Contrato'!F92</f>
        <v>0</v>
      </c>
      <c r="F92" s="62" t="n">
        <f aca="false">'Medição 05'!F92-'Medição 05'!G92</f>
        <v>0</v>
      </c>
      <c r="G92" s="52"/>
      <c r="H92" s="64" t="e">
        <f aca="false">G92/D92</f>
        <v>#DIV/0!</v>
      </c>
      <c r="I92" s="63" t="n">
        <f aca="false">G92*'Itens de Contrato'!F92</f>
        <v>0</v>
      </c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</row>
    <row r="93" customFormat="false" ht="12.8" hidden="false" customHeight="false" outlineLevel="0" collapsed="false">
      <c r="A93" s="37" t="n">
        <f aca="false">'Itens de Contrato'!A93</f>
        <v>0</v>
      </c>
      <c r="B93" s="37" t="n">
        <f aca="false">'Itens de Contrato'!B93</f>
        <v>0</v>
      </c>
      <c r="C93" s="37" t="e">
        <f aca="false">VLOOKUP(B93,'Itens de Contrato'!B$5:G$151,2,0)</f>
        <v>#N/A</v>
      </c>
      <c r="D93" s="52"/>
      <c r="E93" s="63" t="n">
        <f aca="false">D93*'Itens de Contrato'!F93</f>
        <v>0</v>
      </c>
      <c r="F93" s="62" t="n">
        <f aca="false">'Medição 05'!F93-'Medição 05'!G93</f>
        <v>0</v>
      </c>
      <c r="G93" s="52"/>
      <c r="H93" s="64" t="e">
        <f aca="false">G93/D93</f>
        <v>#DIV/0!</v>
      </c>
      <c r="I93" s="63" t="n">
        <f aca="false">G93*'Itens de Contrato'!F93</f>
        <v>0</v>
      </c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</row>
    <row r="94" customFormat="false" ht="12.8" hidden="false" customHeight="false" outlineLevel="0" collapsed="false">
      <c r="A94" s="37" t="n">
        <f aca="false">'Itens de Contrato'!A94</f>
        <v>0</v>
      </c>
      <c r="B94" s="37" t="n">
        <f aca="false">'Itens de Contrato'!B94</f>
        <v>0</v>
      </c>
      <c r="C94" s="37" t="e">
        <f aca="false">VLOOKUP(B94,'Itens de Contrato'!B$5:G$151,2,0)</f>
        <v>#N/A</v>
      </c>
      <c r="D94" s="52"/>
      <c r="E94" s="63" t="n">
        <f aca="false">D94*'Itens de Contrato'!F94</f>
        <v>0</v>
      </c>
      <c r="F94" s="62" t="n">
        <f aca="false">'Medição 05'!F94-'Medição 05'!G94</f>
        <v>0</v>
      </c>
      <c r="G94" s="52"/>
      <c r="H94" s="64" t="e">
        <f aca="false">G94/D94</f>
        <v>#DIV/0!</v>
      </c>
      <c r="I94" s="63" t="n">
        <f aca="false">G94*'Itens de Contrato'!F94</f>
        <v>0</v>
      </c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</row>
    <row r="95" customFormat="false" ht="12.8" hidden="false" customHeight="false" outlineLevel="0" collapsed="false">
      <c r="A95" s="37" t="n">
        <f aca="false">'Itens de Contrato'!A95</f>
        <v>0</v>
      </c>
      <c r="B95" s="37" t="n">
        <f aca="false">'Itens de Contrato'!B95</f>
        <v>0</v>
      </c>
      <c r="C95" s="37" t="e">
        <f aca="false">VLOOKUP(B95,'Itens de Contrato'!B$5:G$151,2,0)</f>
        <v>#N/A</v>
      </c>
      <c r="D95" s="52"/>
      <c r="E95" s="63" t="n">
        <f aca="false">D95*'Itens de Contrato'!F95</f>
        <v>0</v>
      </c>
      <c r="F95" s="62" t="n">
        <f aca="false">'Medição 05'!F95-'Medição 05'!G95</f>
        <v>0</v>
      </c>
      <c r="G95" s="52"/>
      <c r="H95" s="64" t="e">
        <f aca="false">G95/D95</f>
        <v>#DIV/0!</v>
      </c>
      <c r="I95" s="63" t="n">
        <f aca="false">G95*'Itens de Contrato'!F95</f>
        <v>0</v>
      </c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</row>
    <row r="96" customFormat="false" ht="12.8" hidden="false" customHeight="false" outlineLevel="0" collapsed="false">
      <c r="A96" s="37" t="n">
        <f aca="false">'Itens de Contrato'!A96</f>
        <v>0</v>
      </c>
      <c r="B96" s="37" t="n">
        <f aca="false">'Itens de Contrato'!B96</f>
        <v>0</v>
      </c>
      <c r="C96" s="37" t="e">
        <f aca="false">VLOOKUP(B96,'Itens de Contrato'!B$5:G$151,2,0)</f>
        <v>#N/A</v>
      </c>
      <c r="D96" s="52"/>
      <c r="E96" s="63" t="n">
        <f aca="false">D96*'Itens de Contrato'!F96</f>
        <v>0</v>
      </c>
      <c r="F96" s="62" t="n">
        <f aca="false">'Medição 05'!F96-'Medição 05'!G96</f>
        <v>0</v>
      </c>
      <c r="G96" s="52"/>
      <c r="H96" s="64" t="e">
        <f aca="false">G96/D96</f>
        <v>#DIV/0!</v>
      </c>
      <c r="I96" s="63" t="n">
        <f aca="false">G96*'Itens de Contrato'!F96</f>
        <v>0</v>
      </c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</row>
    <row r="97" customFormat="false" ht="12.8" hidden="false" customHeight="false" outlineLevel="0" collapsed="false">
      <c r="A97" s="37" t="n">
        <f aca="false">'Itens de Contrato'!A97</f>
        <v>0</v>
      </c>
      <c r="B97" s="37" t="n">
        <f aca="false">'Itens de Contrato'!B97</f>
        <v>0</v>
      </c>
      <c r="C97" s="37" t="e">
        <f aca="false">VLOOKUP(B97,'Itens de Contrato'!B$5:G$151,2,0)</f>
        <v>#N/A</v>
      </c>
      <c r="D97" s="52"/>
      <c r="E97" s="63" t="n">
        <f aca="false">D97*'Itens de Contrato'!F97</f>
        <v>0</v>
      </c>
      <c r="F97" s="62" t="n">
        <f aca="false">'Medição 05'!F97-'Medição 05'!G97</f>
        <v>0</v>
      </c>
      <c r="G97" s="52"/>
      <c r="H97" s="64" t="e">
        <f aca="false">G97/D97</f>
        <v>#DIV/0!</v>
      </c>
      <c r="I97" s="63" t="n">
        <f aca="false">G97*'Itens de Contrato'!F97</f>
        <v>0</v>
      </c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</row>
    <row r="98" customFormat="false" ht="12.8" hidden="false" customHeight="false" outlineLevel="0" collapsed="false">
      <c r="A98" s="37" t="n">
        <f aca="false">'Itens de Contrato'!A98</f>
        <v>0</v>
      </c>
      <c r="B98" s="37" t="n">
        <f aca="false">'Itens de Contrato'!B98</f>
        <v>0</v>
      </c>
      <c r="C98" s="37" t="e">
        <f aca="false">VLOOKUP(B98,'Itens de Contrato'!B$5:G$151,2,0)</f>
        <v>#N/A</v>
      </c>
      <c r="D98" s="52"/>
      <c r="E98" s="63" t="n">
        <f aca="false">D98*'Itens de Contrato'!F98</f>
        <v>0</v>
      </c>
      <c r="F98" s="62" t="n">
        <f aca="false">'Medição 05'!F98-'Medição 05'!G98</f>
        <v>0</v>
      </c>
      <c r="G98" s="52"/>
      <c r="H98" s="64" t="e">
        <f aca="false">G98/D98</f>
        <v>#DIV/0!</v>
      </c>
      <c r="I98" s="63" t="n">
        <f aca="false">G98*'Itens de Contrato'!F98</f>
        <v>0</v>
      </c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</row>
    <row r="99" customFormat="false" ht="12.8" hidden="false" customHeight="false" outlineLevel="0" collapsed="false">
      <c r="A99" s="37" t="n">
        <f aca="false">'Itens de Contrato'!A99</f>
        <v>0</v>
      </c>
      <c r="B99" s="37" t="n">
        <f aca="false">'Itens de Contrato'!B99</f>
        <v>0</v>
      </c>
      <c r="C99" s="37" t="e">
        <f aca="false">VLOOKUP(B99,'Itens de Contrato'!B$5:G$151,2,0)</f>
        <v>#N/A</v>
      </c>
      <c r="D99" s="52"/>
      <c r="E99" s="63" t="n">
        <f aca="false">D99*'Itens de Contrato'!F99</f>
        <v>0</v>
      </c>
      <c r="F99" s="62" t="n">
        <f aca="false">'Medição 05'!F99-'Medição 05'!G99</f>
        <v>0</v>
      </c>
      <c r="G99" s="52"/>
      <c r="H99" s="64" t="e">
        <f aca="false">G99/D99</f>
        <v>#DIV/0!</v>
      </c>
      <c r="I99" s="63" t="n">
        <f aca="false">G99*'Itens de Contrato'!F99</f>
        <v>0</v>
      </c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</row>
    <row r="100" customFormat="false" ht="12.8" hidden="false" customHeight="false" outlineLevel="0" collapsed="false">
      <c r="A100" s="37" t="n">
        <f aca="false">'Itens de Contrato'!A100</f>
        <v>0</v>
      </c>
      <c r="B100" s="37" t="n">
        <f aca="false">'Itens de Contrato'!B100</f>
        <v>0</v>
      </c>
      <c r="C100" s="37" t="e">
        <f aca="false">VLOOKUP(B100,'Itens de Contrato'!B$5:G$151,2,0)</f>
        <v>#N/A</v>
      </c>
      <c r="D100" s="52"/>
      <c r="E100" s="63" t="n">
        <f aca="false">D100*'Itens de Contrato'!F100</f>
        <v>0</v>
      </c>
      <c r="F100" s="62" t="n">
        <f aca="false">'Medição 05'!F100-'Medição 05'!G100</f>
        <v>0</v>
      </c>
      <c r="G100" s="52"/>
      <c r="H100" s="64" t="e">
        <f aca="false">G100/D100</f>
        <v>#DIV/0!</v>
      </c>
      <c r="I100" s="63" t="n">
        <f aca="false">G100*'Itens de Contrato'!F100</f>
        <v>0</v>
      </c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customFormat="false" ht="12.8" hidden="false" customHeight="false" outlineLevel="0" collapsed="false">
      <c r="A101" s="37" t="n">
        <f aca="false">'Itens de Contrato'!A101</f>
        <v>0</v>
      </c>
      <c r="B101" s="37" t="n">
        <f aca="false">'Itens de Contrato'!B101</f>
        <v>0</v>
      </c>
      <c r="C101" s="37" t="e">
        <f aca="false">VLOOKUP(B101,'Itens de Contrato'!B$5:G$151,2,0)</f>
        <v>#N/A</v>
      </c>
      <c r="D101" s="52"/>
      <c r="E101" s="63" t="n">
        <f aca="false">D101*'Itens de Contrato'!F101</f>
        <v>0</v>
      </c>
      <c r="F101" s="62" t="n">
        <f aca="false">'Medição 05'!F101-'Medição 05'!G101</f>
        <v>0</v>
      </c>
      <c r="G101" s="52"/>
      <c r="H101" s="64" t="e">
        <f aca="false">G101/D101</f>
        <v>#DIV/0!</v>
      </c>
      <c r="I101" s="63" t="n">
        <f aca="false">G101*'Itens de Contrato'!F101</f>
        <v>0</v>
      </c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customFormat="false" ht="12.8" hidden="false" customHeight="false" outlineLevel="0" collapsed="false">
      <c r="A102" s="37" t="n">
        <f aca="false">'Itens de Contrato'!A102</f>
        <v>0</v>
      </c>
      <c r="B102" s="37" t="n">
        <f aca="false">'Itens de Contrato'!B102</f>
        <v>0</v>
      </c>
      <c r="C102" s="37" t="e">
        <f aca="false">VLOOKUP(B102,'Itens de Contrato'!B$5:G$151,2,0)</f>
        <v>#N/A</v>
      </c>
      <c r="D102" s="52"/>
      <c r="E102" s="63" t="n">
        <f aca="false">D102*'Itens de Contrato'!F102</f>
        <v>0</v>
      </c>
      <c r="F102" s="62" t="n">
        <f aca="false">'Medição 05'!F102-'Medição 05'!G102</f>
        <v>0</v>
      </c>
      <c r="G102" s="52"/>
      <c r="H102" s="64" t="e">
        <f aca="false">G102/D102</f>
        <v>#DIV/0!</v>
      </c>
      <c r="I102" s="63" t="n">
        <f aca="false">G102*'Itens de Contrato'!F102</f>
        <v>0</v>
      </c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</row>
    <row r="103" customFormat="false" ht="12.8" hidden="false" customHeight="false" outlineLevel="0" collapsed="false">
      <c r="A103" s="37" t="n">
        <f aca="false">'Itens de Contrato'!A103</f>
        <v>0</v>
      </c>
      <c r="B103" s="37" t="n">
        <f aca="false">'Itens de Contrato'!B103</f>
        <v>0</v>
      </c>
      <c r="C103" s="37" t="e">
        <f aca="false">VLOOKUP(B103,'Itens de Contrato'!B$5:G$151,2,0)</f>
        <v>#N/A</v>
      </c>
      <c r="D103" s="52"/>
      <c r="E103" s="63" t="n">
        <f aca="false">D103*'Itens de Contrato'!F103</f>
        <v>0</v>
      </c>
      <c r="F103" s="62" t="n">
        <f aca="false">'Medição 05'!F103-'Medição 05'!G103</f>
        <v>0</v>
      </c>
      <c r="G103" s="52"/>
      <c r="H103" s="64" t="e">
        <f aca="false">G103/D103</f>
        <v>#DIV/0!</v>
      </c>
      <c r="I103" s="63" t="n">
        <f aca="false">G103*'Itens de Contrato'!F103</f>
        <v>0</v>
      </c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</row>
    <row r="104" customFormat="false" ht="12.8" hidden="false" customHeight="false" outlineLevel="0" collapsed="false">
      <c r="A104" s="37" t="n">
        <f aca="false">'Itens de Contrato'!A104</f>
        <v>0</v>
      </c>
      <c r="B104" s="37" t="n">
        <f aca="false">'Itens de Contrato'!B104</f>
        <v>0</v>
      </c>
      <c r="C104" s="37" t="e">
        <f aca="false">VLOOKUP(B104,'Itens de Contrato'!B$5:G$151,2,0)</f>
        <v>#N/A</v>
      </c>
      <c r="D104" s="52"/>
      <c r="E104" s="63" t="n">
        <f aca="false">D104*'Itens de Contrato'!F104</f>
        <v>0</v>
      </c>
      <c r="F104" s="62" t="n">
        <f aca="false">'Medição 05'!F104-'Medição 05'!G104</f>
        <v>0</v>
      </c>
      <c r="G104" s="52"/>
      <c r="H104" s="64" t="e">
        <f aca="false">G104/D104</f>
        <v>#DIV/0!</v>
      </c>
      <c r="I104" s="63" t="n">
        <f aca="false">G104*'Itens de Contrato'!F104</f>
        <v>0</v>
      </c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</row>
    <row r="105" customFormat="false" ht="12.8" hidden="false" customHeight="false" outlineLevel="0" collapsed="false">
      <c r="A105" s="37" t="n">
        <f aca="false">'Itens de Contrato'!A105</f>
        <v>0</v>
      </c>
      <c r="B105" s="37" t="n">
        <f aca="false">'Itens de Contrato'!B105</f>
        <v>0</v>
      </c>
      <c r="C105" s="37" t="e">
        <f aca="false">VLOOKUP(B105,'Itens de Contrato'!B$5:G$151,2,0)</f>
        <v>#N/A</v>
      </c>
      <c r="D105" s="52"/>
      <c r="E105" s="63" t="n">
        <f aca="false">D105*'Itens de Contrato'!F105</f>
        <v>0</v>
      </c>
      <c r="F105" s="62" t="n">
        <f aca="false">'Medição 05'!F105-'Medição 05'!G105</f>
        <v>0</v>
      </c>
      <c r="G105" s="52"/>
      <c r="H105" s="64" t="e">
        <f aca="false">G105/D105</f>
        <v>#DIV/0!</v>
      </c>
      <c r="I105" s="63" t="n">
        <f aca="false">G105*'Itens de Contrato'!F105</f>
        <v>0</v>
      </c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</row>
    <row r="106" customFormat="false" ht="12.8" hidden="false" customHeight="false" outlineLevel="0" collapsed="false">
      <c r="A106" s="37" t="n">
        <f aca="false">'Itens de Contrato'!A106</f>
        <v>0</v>
      </c>
      <c r="B106" s="37" t="n">
        <f aca="false">'Itens de Contrato'!B106</f>
        <v>0</v>
      </c>
      <c r="C106" s="37" t="e">
        <f aca="false">VLOOKUP(B106,'Itens de Contrato'!B$5:G$151,2,0)</f>
        <v>#N/A</v>
      </c>
      <c r="D106" s="52"/>
      <c r="E106" s="63" t="n">
        <f aca="false">D106*'Itens de Contrato'!F106</f>
        <v>0</v>
      </c>
      <c r="F106" s="62" t="n">
        <f aca="false">'Medição 05'!F106-'Medição 05'!G106</f>
        <v>0</v>
      </c>
      <c r="G106" s="52"/>
      <c r="H106" s="64" t="e">
        <f aca="false">G106/D106</f>
        <v>#DIV/0!</v>
      </c>
      <c r="I106" s="63" t="n">
        <f aca="false">G106*'Itens de Contrato'!F106</f>
        <v>0</v>
      </c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</row>
    <row r="107" customFormat="false" ht="12.8" hidden="false" customHeight="false" outlineLevel="0" collapsed="false">
      <c r="A107" s="37" t="n">
        <f aca="false">'Itens de Contrato'!A107</f>
        <v>0</v>
      </c>
      <c r="B107" s="37" t="n">
        <f aca="false">'Itens de Contrato'!B107</f>
        <v>0</v>
      </c>
      <c r="C107" s="37" t="e">
        <f aca="false">VLOOKUP(B107,'Itens de Contrato'!B$5:G$151,2,0)</f>
        <v>#N/A</v>
      </c>
      <c r="D107" s="52"/>
      <c r="E107" s="63" t="n">
        <f aca="false">D107*'Itens de Contrato'!F107</f>
        <v>0</v>
      </c>
      <c r="F107" s="62" t="n">
        <f aca="false">'Medição 05'!F107-'Medição 05'!G107</f>
        <v>0</v>
      </c>
      <c r="G107" s="52"/>
      <c r="H107" s="64" t="e">
        <f aca="false">G107/D107</f>
        <v>#DIV/0!</v>
      </c>
      <c r="I107" s="63" t="n">
        <f aca="false">G107*'Itens de Contrato'!F107</f>
        <v>0</v>
      </c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</row>
    <row r="108" customFormat="false" ht="12.8" hidden="false" customHeight="false" outlineLevel="0" collapsed="false">
      <c r="A108" s="37" t="n">
        <f aca="false">'Itens de Contrato'!A108</f>
        <v>0</v>
      </c>
      <c r="B108" s="37" t="n">
        <f aca="false">'Itens de Contrato'!B108</f>
        <v>0</v>
      </c>
      <c r="C108" s="37" t="e">
        <f aca="false">VLOOKUP(B108,'Itens de Contrato'!B$5:G$151,2,0)</f>
        <v>#N/A</v>
      </c>
      <c r="D108" s="52"/>
      <c r="E108" s="63" t="n">
        <f aca="false">D108*'Itens de Contrato'!F108</f>
        <v>0</v>
      </c>
      <c r="F108" s="62" t="n">
        <f aca="false">'Medição 05'!F108-'Medição 05'!G108</f>
        <v>0</v>
      </c>
      <c r="G108" s="52"/>
      <c r="H108" s="64" t="e">
        <f aca="false">G108/D108</f>
        <v>#DIV/0!</v>
      </c>
      <c r="I108" s="63" t="n">
        <f aca="false">G108*'Itens de Contrato'!F108</f>
        <v>0</v>
      </c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</row>
    <row r="109" customFormat="false" ht="12.8" hidden="false" customHeight="false" outlineLevel="0" collapsed="false">
      <c r="A109" s="37" t="n">
        <f aca="false">'Itens de Contrato'!A109</f>
        <v>0</v>
      </c>
      <c r="B109" s="37" t="n">
        <f aca="false">'Itens de Contrato'!B109</f>
        <v>0</v>
      </c>
      <c r="C109" s="37" t="e">
        <f aca="false">VLOOKUP(B109,'Itens de Contrato'!B$5:G$151,2,0)</f>
        <v>#N/A</v>
      </c>
      <c r="D109" s="52"/>
      <c r="E109" s="63" t="n">
        <f aca="false">D109*'Itens de Contrato'!F109</f>
        <v>0</v>
      </c>
      <c r="F109" s="62" t="n">
        <f aca="false">'Medição 05'!F109-'Medição 05'!G109</f>
        <v>0</v>
      </c>
      <c r="G109" s="52"/>
      <c r="H109" s="64" t="e">
        <f aca="false">G109/D109</f>
        <v>#DIV/0!</v>
      </c>
      <c r="I109" s="63" t="n">
        <f aca="false">G109*'Itens de Contrato'!F109</f>
        <v>0</v>
      </c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</row>
    <row r="110" customFormat="false" ht="12.8" hidden="false" customHeight="false" outlineLevel="0" collapsed="false">
      <c r="A110" s="37" t="n">
        <f aca="false">'Itens de Contrato'!A110</f>
        <v>0</v>
      </c>
      <c r="B110" s="37" t="n">
        <f aca="false">'Itens de Contrato'!B110</f>
        <v>0</v>
      </c>
      <c r="C110" s="37" t="e">
        <f aca="false">VLOOKUP(B110,'Itens de Contrato'!B$5:G$151,2,0)</f>
        <v>#N/A</v>
      </c>
      <c r="D110" s="52"/>
      <c r="E110" s="63" t="n">
        <f aca="false">D110*'Itens de Contrato'!F110</f>
        <v>0</v>
      </c>
      <c r="F110" s="62" t="n">
        <f aca="false">'Medição 05'!F110-'Medição 05'!G110</f>
        <v>0</v>
      </c>
      <c r="G110" s="52"/>
      <c r="H110" s="64" t="e">
        <f aca="false">G110/D110</f>
        <v>#DIV/0!</v>
      </c>
      <c r="I110" s="63" t="n">
        <f aca="false">G110*'Itens de Contrato'!F110</f>
        <v>0</v>
      </c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</row>
    <row r="111" customFormat="false" ht="12.8" hidden="false" customHeight="false" outlineLevel="0" collapsed="false">
      <c r="A111" s="37" t="n">
        <f aca="false">'Itens de Contrato'!A111</f>
        <v>0</v>
      </c>
      <c r="B111" s="37" t="n">
        <f aca="false">'Itens de Contrato'!B111</f>
        <v>0</v>
      </c>
      <c r="C111" s="37" t="e">
        <f aca="false">VLOOKUP(B111,'Itens de Contrato'!B$5:G$151,2,0)</f>
        <v>#N/A</v>
      </c>
      <c r="D111" s="52"/>
      <c r="E111" s="63" t="n">
        <f aca="false">D111*'Itens de Contrato'!F111</f>
        <v>0</v>
      </c>
      <c r="F111" s="62" t="n">
        <f aca="false">'Medição 05'!F111-'Medição 05'!G111</f>
        <v>0</v>
      </c>
      <c r="G111" s="52"/>
      <c r="H111" s="64" t="e">
        <f aca="false">G111/D111</f>
        <v>#DIV/0!</v>
      </c>
      <c r="I111" s="63" t="n">
        <f aca="false">G111*'Itens de Contrato'!F111</f>
        <v>0</v>
      </c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</row>
    <row r="112" customFormat="false" ht="12.8" hidden="false" customHeight="false" outlineLevel="0" collapsed="false">
      <c r="A112" s="37" t="n">
        <f aca="false">'Itens de Contrato'!A112</f>
        <v>0</v>
      </c>
      <c r="B112" s="37" t="n">
        <f aca="false">'Itens de Contrato'!B112</f>
        <v>0</v>
      </c>
      <c r="C112" s="37" t="e">
        <f aca="false">VLOOKUP(B112,'Itens de Contrato'!B$5:G$151,2,0)</f>
        <v>#N/A</v>
      </c>
      <c r="D112" s="52"/>
      <c r="E112" s="63" t="n">
        <f aca="false">D112*'Itens de Contrato'!F112</f>
        <v>0</v>
      </c>
      <c r="F112" s="62" t="n">
        <f aca="false">'Medição 05'!F112-'Medição 05'!G112</f>
        <v>0</v>
      </c>
      <c r="G112" s="52"/>
      <c r="H112" s="64" t="e">
        <f aca="false">G112/D112</f>
        <v>#DIV/0!</v>
      </c>
      <c r="I112" s="63" t="n">
        <f aca="false">G112*'Itens de Contrato'!F112</f>
        <v>0</v>
      </c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</row>
    <row r="113" customFormat="false" ht="12.8" hidden="false" customHeight="false" outlineLevel="0" collapsed="false">
      <c r="A113" s="37" t="n">
        <f aca="false">'Itens de Contrato'!A113</f>
        <v>0</v>
      </c>
      <c r="B113" s="37" t="n">
        <f aca="false">'Itens de Contrato'!B113</f>
        <v>0</v>
      </c>
      <c r="C113" s="37" t="e">
        <f aca="false">VLOOKUP(B113,'Itens de Contrato'!B$5:G$151,2,0)</f>
        <v>#N/A</v>
      </c>
      <c r="D113" s="52"/>
      <c r="E113" s="63" t="n">
        <f aca="false">D113*'Itens de Contrato'!F113</f>
        <v>0</v>
      </c>
      <c r="F113" s="62" t="n">
        <f aca="false">'Medição 05'!F113-'Medição 05'!G113</f>
        <v>0</v>
      </c>
      <c r="G113" s="52"/>
      <c r="H113" s="64" t="e">
        <f aca="false">G113/D113</f>
        <v>#DIV/0!</v>
      </c>
      <c r="I113" s="63" t="n">
        <f aca="false">G113*'Itens de Contrato'!F113</f>
        <v>0</v>
      </c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</row>
    <row r="114" customFormat="false" ht="12.8" hidden="false" customHeight="false" outlineLevel="0" collapsed="false">
      <c r="A114" s="37" t="n">
        <f aca="false">'Itens de Contrato'!A114</f>
        <v>0</v>
      </c>
      <c r="B114" s="37" t="n">
        <f aca="false">'Itens de Contrato'!B114</f>
        <v>0</v>
      </c>
      <c r="C114" s="37" t="e">
        <f aca="false">VLOOKUP(B114,'Itens de Contrato'!B$5:G$151,2,0)</f>
        <v>#N/A</v>
      </c>
      <c r="D114" s="52"/>
      <c r="E114" s="63" t="n">
        <f aca="false">D114*'Itens de Contrato'!F114</f>
        <v>0</v>
      </c>
      <c r="F114" s="62" t="n">
        <f aca="false">'Medição 05'!F114-'Medição 05'!G114</f>
        <v>0</v>
      </c>
      <c r="G114" s="52"/>
      <c r="H114" s="64" t="e">
        <f aca="false">G114/D114</f>
        <v>#DIV/0!</v>
      </c>
      <c r="I114" s="63" t="n">
        <f aca="false">G114*'Itens de Contrato'!F114</f>
        <v>0</v>
      </c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</row>
    <row r="115" customFormat="false" ht="12.8" hidden="false" customHeight="false" outlineLevel="0" collapsed="false">
      <c r="A115" s="37" t="n">
        <f aca="false">'Itens de Contrato'!A115</f>
        <v>0</v>
      </c>
      <c r="B115" s="37" t="n">
        <f aca="false">'Itens de Contrato'!B115</f>
        <v>0</v>
      </c>
      <c r="C115" s="37" t="e">
        <f aca="false">VLOOKUP(B115,'Itens de Contrato'!B$5:G$151,2,0)</f>
        <v>#N/A</v>
      </c>
      <c r="D115" s="52"/>
      <c r="E115" s="63" t="n">
        <f aca="false">D115*'Itens de Contrato'!F115</f>
        <v>0</v>
      </c>
      <c r="F115" s="62" t="n">
        <f aca="false">'Medição 05'!F115-'Medição 05'!G115</f>
        <v>0</v>
      </c>
      <c r="G115" s="52"/>
      <c r="H115" s="64" t="e">
        <f aca="false">G115/D115</f>
        <v>#DIV/0!</v>
      </c>
      <c r="I115" s="63" t="n">
        <f aca="false">G115*'Itens de Contrato'!F115</f>
        <v>0</v>
      </c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</row>
    <row r="116" customFormat="false" ht="12.8" hidden="false" customHeight="false" outlineLevel="0" collapsed="false">
      <c r="A116" s="37" t="n">
        <f aca="false">'Itens de Contrato'!A116</f>
        <v>0</v>
      </c>
      <c r="B116" s="37" t="n">
        <f aca="false">'Itens de Contrato'!B116</f>
        <v>0</v>
      </c>
      <c r="C116" s="37" t="e">
        <f aca="false">VLOOKUP(B116,'Itens de Contrato'!B$5:G$151,2,0)</f>
        <v>#N/A</v>
      </c>
      <c r="D116" s="52"/>
      <c r="E116" s="63" t="n">
        <f aca="false">D116*'Itens de Contrato'!F116</f>
        <v>0</v>
      </c>
      <c r="F116" s="62" t="n">
        <f aca="false">'Medição 05'!F116-'Medição 05'!G116</f>
        <v>0</v>
      </c>
      <c r="G116" s="52"/>
      <c r="H116" s="64" t="e">
        <f aca="false">G116/D116</f>
        <v>#DIV/0!</v>
      </c>
      <c r="I116" s="63" t="n">
        <f aca="false">G116*'Itens de Contrato'!F116</f>
        <v>0</v>
      </c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</row>
    <row r="117" customFormat="false" ht="12.8" hidden="false" customHeight="false" outlineLevel="0" collapsed="false">
      <c r="A117" s="37" t="n">
        <f aca="false">'Itens de Contrato'!A117</f>
        <v>0</v>
      </c>
      <c r="B117" s="37" t="n">
        <f aca="false">'Itens de Contrato'!B117</f>
        <v>0</v>
      </c>
      <c r="C117" s="37" t="e">
        <f aca="false">VLOOKUP(B117,'Itens de Contrato'!B$5:G$151,2,0)</f>
        <v>#N/A</v>
      </c>
      <c r="D117" s="52"/>
      <c r="E117" s="63" t="n">
        <f aca="false">D117*'Itens de Contrato'!F117</f>
        <v>0</v>
      </c>
      <c r="F117" s="62" t="n">
        <f aca="false">'Medição 05'!F117-'Medição 05'!G117</f>
        <v>0</v>
      </c>
      <c r="G117" s="52"/>
      <c r="H117" s="64" t="e">
        <f aca="false">G117/D117</f>
        <v>#DIV/0!</v>
      </c>
      <c r="I117" s="63" t="n">
        <f aca="false">G117*'Itens de Contrato'!F117</f>
        <v>0</v>
      </c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</row>
    <row r="118" customFormat="false" ht="12.8" hidden="false" customHeight="false" outlineLevel="0" collapsed="false">
      <c r="A118" s="37" t="n">
        <f aca="false">'Itens de Contrato'!A118</f>
        <v>0</v>
      </c>
      <c r="B118" s="37" t="n">
        <f aca="false">'Itens de Contrato'!B118</f>
        <v>0</v>
      </c>
      <c r="C118" s="37" t="e">
        <f aca="false">VLOOKUP(B118,'Itens de Contrato'!B$5:G$151,2,0)</f>
        <v>#N/A</v>
      </c>
      <c r="D118" s="52"/>
      <c r="E118" s="63" t="n">
        <f aca="false">D118*'Itens de Contrato'!F118</f>
        <v>0</v>
      </c>
      <c r="F118" s="62" t="n">
        <f aca="false">'Medição 05'!F118-'Medição 05'!G118</f>
        <v>0</v>
      </c>
      <c r="G118" s="52"/>
      <c r="H118" s="64" t="e">
        <f aca="false">G118/D118</f>
        <v>#DIV/0!</v>
      </c>
      <c r="I118" s="63" t="n">
        <f aca="false">G118*'Itens de Contrato'!F118</f>
        <v>0</v>
      </c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</row>
    <row r="119" customFormat="false" ht="12.8" hidden="false" customHeight="false" outlineLevel="0" collapsed="false">
      <c r="A119" s="37" t="n">
        <f aca="false">'Itens de Contrato'!A119</f>
        <v>0</v>
      </c>
      <c r="B119" s="37" t="n">
        <f aca="false">'Itens de Contrato'!B119</f>
        <v>0</v>
      </c>
      <c r="C119" s="37" t="e">
        <f aca="false">VLOOKUP(B119,'Itens de Contrato'!B$5:G$151,2,0)</f>
        <v>#N/A</v>
      </c>
      <c r="D119" s="52"/>
      <c r="E119" s="63" t="n">
        <f aca="false">D119*'Itens de Contrato'!F119</f>
        <v>0</v>
      </c>
      <c r="F119" s="62" t="n">
        <f aca="false">'Medição 05'!F119-'Medição 05'!G119</f>
        <v>0</v>
      </c>
      <c r="G119" s="52"/>
      <c r="H119" s="64" t="e">
        <f aca="false">G119/D119</f>
        <v>#DIV/0!</v>
      </c>
      <c r="I119" s="63" t="n">
        <f aca="false">G119*'Itens de Contrato'!F119</f>
        <v>0</v>
      </c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</row>
    <row r="120" customFormat="false" ht="12.8" hidden="false" customHeight="false" outlineLevel="0" collapsed="false">
      <c r="A120" s="37" t="n">
        <f aca="false">'Itens de Contrato'!A120</f>
        <v>0</v>
      </c>
      <c r="B120" s="37" t="n">
        <f aca="false">'Itens de Contrato'!B120</f>
        <v>0</v>
      </c>
      <c r="C120" s="37" t="e">
        <f aca="false">VLOOKUP(B120,'Itens de Contrato'!B$5:G$151,2,0)</f>
        <v>#N/A</v>
      </c>
      <c r="D120" s="52"/>
      <c r="E120" s="63" t="n">
        <f aca="false">D120*'Itens de Contrato'!F120</f>
        <v>0</v>
      </c>
      <c r="F120" s="62" t="n">
        <f aca="false">'Medição 05'!F120-'Medição 05'!G120</f>
        <v>0</v>
      </c>
      <c r="G120" s="52"/>
      <c r="H120" s="64" t="e">
        <f aca="false">G120/D120</f>
        <v>#DIV/0!</v>
      </c>
      <c r="I120" s="63" t="n">
        <f aca="false">G120*'Itens de Contrato'!F120</f>
        <v>0</v>
      </c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</row>
    <row r="121" customFormat="false" ht="12.8" hidden="false" customHeight="false" outlineLevel="0" collapsed="false">
      <c r="A121" s="37" t="n">
        <f aca="false">'Itens de Contrato'!A121</f>
        <v>0</v>
      </c>
      <c r="B121" s="37" t="n">
        <f aca="false">'Itens de Contrato'!B121</f>
        <v>0</v>
      </c>
      <c r="C121" s="37" t="e">
        <f aca="false">VLOOKUP(B121,'Itens de Contrato'!B$5:G$151,2,0)</f>
        <v>#N/A</v>
      </c>
      <c r="D121" s="52"/>
      <c r="E121" s="63" t="n">
        <f aca="false">D121*'Itens de Contrato'!F121</f>
        <v>0</v>
      </c>
      <c r="F121" s="62" t="n">
        <f aca="false">'Medição 05'!F121-'Medição 05'!G121</f>
        <v>0</v>
      </c>
      <c r="G121" s="52"/>
      <c r="H121" s="64" t="e">
        <f aca="false">G121/D121</f>
        <v>#DIV/0!</v>
      </c>
      <c r="I121" s="63" t="n">
        <f aca="false">G121*'Itens de Contrato'!F121</f>
        <v>0</v>
      </c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</row>
    <row r="122" customFormat="false" ht="12.8" hidden="false" customHeight="false" outlineLevel="0" collapsed="false">
      <c r="A122" s="37" t="n">
        <f aca="false">'Itens de Contrato'!A122</f>
        <v>0</v>
      </c>
      <c r="B122" s="37" t="n">
        <f aca="false">'Itens de Contrato'!B122</f>
        <v>0</v>
      </c>
      <c r="C122" s="37" t="e">
        <f aca="false">VLOOKUP(B122,'Itens de Contrato'!B$5:G$151,2,0)</f>
        <v>#N/A</v>
      </c>
      <c r="D122" s="52"/>
      <c r="E122" s="63" t="n">
        <f aca="false">D122*'Itens de Contrato'!F122</f>
        <v>0</v>
      </c>
      <c r="F122" s="62" t="n">
        <f aca="false">'Medição 05'!F122-'Medição 05'!G122</f>
        <v>0</v>
      </c>
      <c r="G122" s="52"/>
      <c r="H122" s="64" t="e">
        <f aca="false">G122/D122</f>
        <v>#DIV/0!</v>
      </c>
      <c r="I122" s="63" t="n">
        <f aca="false">G122*'Itens de Contrato'!F122</f>
        <v>0</v>
      </c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</row>
    <row r="123" customFormat="false" ht="12.8" hidden="false" customHeight="false" outlineLevel="0" collapsed="false">
      <c r="A123" s="37" t="n">
        <f aca="false">'Itens de Contrato'!A123</f>
        <v>0</v>
      </c>
      <c r="B123" s="37" t="n">
        <f aca="false">'Itens de Contrato'!B123</f>
        <v>0</v>
      </c>
      <c r="C123" s="37" t="e">
        <f aca="false">VLOOKUP(B123,'Itens de Contrato'!B$5:G$151,2,0)</f>
        <v>#N/A</v>
      </c>
      <c r="D123" s="52"/>
      <c r="E123" s="63" t="n">
        <f aca="false">D123*'Itens de Contrato'!F123</f>
        <v>0</v>
      </c>
      <c r="F123" s="62" t="n">
        <f aca="false">'Medição 05'!F123-'Medição 05'!G123</f>
        <v>0</v>
      </c>
      <c r="G123" s="52"/>
      <c r="H123" s="64" t="e">
        <f aca="false">G123/D123</f>
        <v>#DIV/0!</v>
      </c>
      <c r="I123" s="63" t="n">
        <f aca="false">G123*'Itens de Contrato'!F123</f>
        <v>0</v>
      </c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</row>
    <row r="124" customFormat="false" ht="12.8" hidden="false" customHeight="false" outlineLevel="0" collapsed="false">
      <c r="A124" s="37" t="n">
        <f aca="false">'Itens de Contrato'!A124</f>
        <v>0</v>
      </c>
      <c r="B124" s="37" t="n">
        <f aca="false">'Itens de Contrato'!B124</f>
        <v>0</v>
      </c>
      <c r="C124" s="37" t="e">
        <f aca="false">VLOOKUP(B124,'Itens de Contrato'!B$5:G$151,2,0)</f>
        <v>#N/A</v>
      </c>
      <c r="D124" s="52"/>
      <c r="E124" s="63" t="n">
        <f aca="false">D124*'Itens de Contrato'!F124</f>
        <v>0</v>
      </c>
      <c r="F124" s="62" t="n">
        <f aca="false">'Medição 05'!F124-'Medição 05'!G124</f>
        <v>0</v>
      </c>
      <c r="G124" s="52"/>
      <c r="H124" s="64" t="e">
        <f aca="false">G124/D124</f>
        <v>#DIV/0!</v>
      </c>
      <c r="I124" s="63" t="n">
        <f aca="false">G124*'Itens de Contrato'!F124</f>
        <v>0</v>
      </c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</row>
    <row r="125" customFormat="false" ht="12.8" hidden="false" customHeight="false" outlineLevel="0" collapsed="false">
      <c r="A125" s="37" t="n">
        <f aca="false">'Itens de Contrato'!A125</f>
        <v>0</v>
      </c>
      <c r="B125" s="37" t="n">
        <f aca="false">'Itens de Contrato'!B125</f>
        <v>0</v>
      </c>
      <c r="C125" s="37" t="e">
        <f aca="false">VLOOKUP(B125,'Itens de Contrato'!B$5:G$151,2,0)</f>
        <v>#N/A</v>
      </c>
      <c r="D125" s="52"/>
      <c r="E125" s="63" t="n">
        <f aca="false">D125*'Itens de Contrato'!F125</f>
        <v>0</v>
      </c>
      <c r="F125" s="62" t="n">
        <f aca="false">'Medição 05'!F125-'Medição 05'!G125</f>
        <v>0</v>
      </c>
      <c r="G125" s="52"/>
      <c r="H125" s="64" t="e">
        <f aca="false">G125/D125</f>
        <v>#DIV/0!</v>
      </c>
      <c r="I125" s="63" t="n">
        <f aca="false">G125*'Itens de Contrato'!F125</f>
        <v>0</v>
      </c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</row>
    <row r="126" customFormat="false" ht="12.8" hidden="false" customHeight="false" outlineLevel="0" collapsed="false">
      <c r="A126" s="37" t="n">
        <f aca="false">'Itens de Contrato'!A126</f>
        <v>0</v>
      </c>
      <c r="B126" s="37" t="n">
        <f aca="false">'Itens de Contrato'!B126</f>
        <v>0</v>
      </c>
      <c r="C126" s="37" t="e">
        <f aca="false">VLOOKUP(B126,'Itens de Contrato'!B$5:G$151,2,0)</f>
        <v>#N/A</v>
      </c>
      <c r="D126" s="52"/>
      <c r="E126" s="63" t="n">
        <f aca="false">D126*'Itens de Contrato'!F126</f>
        <v>0</v>
      </c>
      <c r="F126" s="62" t="n">
        <f aca="false">'Medição 05'!F126-'Medição 05'!G126</f>
        <v>0</v>
      </c>
      <c r="G126" s="52"/>
      <c r="H126" s="64" t="e">
        <f aca="false">G126/D126</f>
        <v>#DIV/0!</v>
      </c>
      <c r="I126" s="63" t="n">
        <f aca="false">G126*'Itens de Contrato'!F126</f>
        <v>0</v>
      </c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</row>
    <row r="127" customFormat="false" ht="12.8" hidden="false" customHeight="false" outlineLevel="0" collapsed="false">
      <c r="A127" s="37" t="n">
        <f aca="false">'Itens de Contrato'!A127</f>
        <v>0</v>
      </c>
      <c r="B127" s="37" t="n">
        <f aca="false">'Itens de Contrato'!B127</f>
        <v>0</v>
      </c>
      <c r="C127" s="37" t="e">
        <f aca="false">VLOOKUP(B127,'Itens de Contrato'!B$5:G$151,2,0)</f>
        <v>#N/A</v>
      </c>
      <c r="D127" s="52"/>
      <c r="E127" s="63" t="n">
        <f aca="false">D127*'Itens de Contrato'!F127</f>
        <v>0</v>
      </c>
      <c r="F127" s="62" t="n">
        <f aca="false">'Medição 05'!F127-'Medição 05'!G127</f>
        <v>0</v>
      </c>
      <c r="G127" s="52"/>
      <c r="H127" s="64" t="e">
        <f aca="false">G127/D127</f>
        <v>#DIV/0!</v>
      </c>
      <c r="I127" s="63" t="n">
        <f aca="false">G127*'Itens de Contrato'!F127</f>
        <v>0</v>
      </c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</row>
    <row r="128" customFormat="false" ht="12.8" hidden="false" customHeight="false" outlineLevel="0" collapsed="false">
      <c r="A128" s="37" t="n">
        <f aca="false">'Itens de Contrato'!A128</f>
        <v>0</v>
      </c>
      <c r="B128" s="37" t="n">
        <f aca="false">'Itens de Contrato'!B128</f>
        <v>0</v>
      </c>
      <c r="C128" s="37" t="e">
        <f aca="false">VLOOKUP(B128,'Itens de Contrato'!B$5:G$151,2,0)</f>
        <v>#N/A</v>
      </c>
      <c r="D128" s="52"/>
      <c r="E128" s="63" t="n">
        <f aca="false">D128*'Itens de Contrato'!F128</f>
        <v>0</v>
      </c>
      <c r="F128" s="62" t="n">
        <f aca="false">'Medição 05'!F128-'Medição 05'!G128</f>
        <v>0</v>
      </c>
      <c r="G128" s="52"/>
      <c r="H128" s="64" t="e">
        <f aca="false">G128/D128</f>
        <v>#DIV/0!</v>
      </c>
      <c r="I128" s="63" t="n">
        <f aca="false">G128*'Itens de Contrato'!F128</f>
        <v>0</v>
      </c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</row>
    <row r="129" customFormat="false" ht="12.8" hidden="false" customHeight="false" outlineLevel="0" collapsed="false">
      <c r="A129" s="37" t="n">
        <f aca="false">'Itens de Contrato'!A129</f>
        <v>0</v>
      </c>
      <c r="B129" s="37" t="n">
        <f aca="false">'Itens de Contrato'!B129</f>
        <v>0</v>
      </c>
      <c r="C129" s="37" t="e">
        <f aca="false">VLOOKUP(B129,'Itens de Contrato'!B$5:G$151,2,0)</f>
        <v>#N/A</v>
      </c>
      <c r="D129" s="52"/>
      <c r="E129" s="63" t="n">
        <f aca="false">D129*'Itens de Contrato'!F129</f>
        <v>0</v>
      </c>
      <c r="F129" s="62" t="n">
        <f aca="false">'Medição 05'!F129-'Medição 05'!G129</f>
        <v>0</v>
      </c>
      <c r="G129" s="52"/>
      <c r="H129" s="64" t="e">
        <f aca="false">G129/D129</f>
        <v>#DIV/0!</v>
      </c>
      <c r="I129" s="63" t="n">
        <f aca="false">G129*'Itens de Contrato'!F129</f>
        <v>0</v>
      </c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</row>
    <row r="130" customFormat="false" ht="12.8" hidden="false" customHeight="false" outlineLevel="0" collapsed="false">
      <c r="A130" s="37" t="n">
        <f aca="false">'Itens de Contrato'!A130</f>
        <v>0</v>
      </c>
      <c r="B130" s="37" t="n">
        <f aca="false">'Itens de Contrato'!B130</f>
        <v>0</v>
      </c>
      <c r="C130" s="37" t="e">
        <f aca="false">VLOOKUP(B130,'Itens de Contrato'!B$5:G$151,2,0)</f>
        <v>#N/A</v>
      </c>
      <c r="D130" s="52"/>
      <c r="E130" s="63" t="n">
        <f aca="false">D130*'Itens de Contrato'!F130</f>
        <v>0</v>
      </c>
      <c r="F130" s="62" t="n">
        <f aca="false">'Medição 05'!F130-'Medição 05'!G130</f>
        <v>0</v>
      </c>
      <c r="G130" s="52"/>
      <c r="H130" s="64" t="e">
        <f aca="false">G130/D130</f>
        <v>#DIV/0!</v>
      </c>
      <c r="I130" s="63" t="n">
        <f aca="false">G130*'Itens de Contrato'!F130</f>
        <v>0</v>
      </c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</row>
    <row r="131" customFormat="false" ht="12.8" hidden="false" customHeight="false" outlineLevel="0" collapsed="false">
      <c r="A131" s="37" t="n">
        <f aca="false">'Itens de Contrato'!A131</f>
        <v>0</v>
      </c>
      <c r="B131" s="37" t="n">
        <f aca="false">'Itens de Contrato'!B131</f>
        <v>0</v>
      </c>
      <c r="C131" s="37" t="e">
        <f aca="false">VLOOKUP(B131,'Itens de Contrato'!B$5:G$151,2,0)</f>
        <v>#N/A</v>
      </c>
      <c r="D131" s="52"/>
      <c r="E131" s="63" t="n">
        <f aca="false">D131*'Itens de Contrato'!F131</f>
        <v>0</v>
      </c>
      <c r="F131" s="62" t="n">
        <f aca="false">'Medição 05'!F131-'Medição 05'!G131</f>
        <v>0</v>
      </c>
      <c r="G131" s="52"/>
      <c r="H131" s="64" t="e">
        <f aca="false">G131/D131</f>
        <v>#DIV/0!</v>
      </c>
      <c r="I131" s="63" t="n">
        <f aca="false">G131*'Itens de Contrato'!F131</f>
        <v>0</v>
      </c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</row>
    <row r="132" customFormat="false" ht="12.8" hidden="false" customHeight="false" outlineLevel="0" collapsed="false">
      <c r="A132" s="37" t="n">
        <f aca="false">'Itens de Contrato'!A132</f>
        <v>0</v>
      </c>
      <c r="B132" s="37" t="n">
        <f aca="false">'Itens de Contrato'!B132</f>
        <v>0</v>
      </c>
      <c r="C132" s="37" t="e">
        <f aca="false">VLOOKUP(B132,'Itens de Contrato'!B$5:G$151,2,0)</f>
        <v>#N/A</v>
      </c>
      <c r="D132" s="52"/>
      <c r="E132" s="63" t="n">
        <f aca="false">D132*'Itens de Contrato'!F132</f>
        <v>0</v>
      </c>
      <c r="F132" s="62" t="n">
        <f aca="false">'Medição 05'!F132-'Medição 05'!G132</f>
        <v>0</v>
      </c>
      <c r="G132" s="52"/>
      <c r="H132" s="64" t="e">
        <f aca="false">G132/D132</f>
        <v>#DIV/0!</v>
      </c>
      <c r="I132" s="63" t="n">
        <f aca="false">G132*'Itens de Contrato'!F132</f>
        <v>0</v>
      </c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</row>
    <row r="133" customFormat="false" ht="12.8" hidden="false" customHeight="false" outlineLevel="0" collapsed="false">
      <c r="A133" s="37" t="n">
        <f aca="false">'Itens de Contrato'!A133</f>
        <v>0</v>
      </c>
      <c r="B133" s="37" t="n">
        <f aca="false">'Itens de Contrato'!B133</f>
        <v>0</v>
      </c>
      <c r="C133" s="37" t="e">
        <f aca="false">VLOOKUP(B133,'Itens de Contrato'!B$5:G$151,2,0)</f>
        <v>#N/A</v>
      </c>
      <c r="D133" s="52"/>
      <c r="E133" s="63" t="n">
        <f aca="false">D133*'Itens de Contrato'!F133</f>
        <v>0</v>
      </c>
      <c r="F133" s="62" t="n">
        <f aca="false">'Medição 05'!F133-'Medição 05'!G133</f>
        <v>0</v>
      </c>
      <c r="G133" s="52"/>
      <c r="H133" s="64" t="e">
        <f aca="false">G133/D133</f>
        <v>#DIV/0!</v>
      </c>
      <c r="I133" s="63" t="n">
        <f aca="false">G133*'Itens de Contrato'!F133</f>
        <v>0</v>
      </c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</row>
    <row r="134" customFormat="false" ht="12.8" hidden="false" customHeight="false" outlineLevel="0" collapsed="false">
      <c r="A134" s="37" t="n">
        <f aca="false">'Itens de Contrato'!A134</f>
        <v>0</v>
      </c>
      <c r="B134" s="37" t="n">
        <f aca="false">'Itens de Contrato'!B134</f>
        <v>0</v>
      </c>
      <c r="C134" s="37" t="e">
        <f aca="false">VLOOKUP(B134,'Itens de Contrato'!B$5:G$151,2,0)</f>
        <v>#N/A</v>
      </c>
      <c r="D134" s="52"/>
      <c r="E134" s="63" t="n">
        <f aca="false">D134*'Itens de Contrato'!F134</f>
        <v>0</v>
      </c>
      <c r="F134" s="62" t="n">
        <f aca="false">'Medição 05'!F134-'Medição 05'!G134</f>
        <v>0</v>
      </c>
      <c r="G134" s="52"/>
      <c r="H134" s="64" t="e">
        <f aca="false">G134/D134</f>
        <v>#DIV/0!</v>
      </c>
      <c r="I134" s="63" t="n">
        <f aca="false">G134*'Itens de Contrato'!F134</f>
        <v>0</v>
      </c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</row>
    <row r="135" customFormat="false" ht="12.8" hidden="false" customHeight="false" outlineLevel="0" collapsed="false">
      <c r="A135" s="37" t="n">
        <f aca="false">'Itens de Contrato'!A135</f>
        <v>0</v>
      </c>
      <c r="B135" s="37" t="n">
        <f aca="false">'Itens de Contrato'!B135</f>
        <v>0</v>
      </c>
      <c r="C135" s="37" t="e">
        <f aca="false">VLOOKUP(B135,'Itens de Contrato'!B$5:G$151,2,0)</f>
        <v>#N/A</v>
      </c>
      <c r="D135" s="52"/>
      <c r="E135" s="63" t="n">
        <f aca="false">D135*'Itens de Contrato'!F135</f>
        <v>0</v>
      </c>
      <c r="F135" s="62" t="n">
        <f aca="false">'Medição 05'!F135-'Medição 05'!G135</f>
        <v>0</v>
      </c>
      <c r="G135" s="52"/>
      <c r="H135" s="64" t="e">
        <f aca="false">G135/D135</f>
        <v>#DIV/0!</v>
      </c>
      <c r="I135" s="63" t="n">
        <f aca="false">G135*'Itens de Contrato'!F135</f>
        <v>0</v>
      </c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</row>
    <row r="136" customFormat="false" ht="12.8" hidden="false" customHeight="false" outlineLevel="0" collapsed="false">
      <c r="A136" s="37" t="n">
        <f aca="false">'Itens de Contrato'!A136</f>
        <v>0</v>
      </c>
      <c r="B136" s="37" t="n">
        <f aca="false">'Itens de Contrato'!B136</f>
        <v>0</v>
      </c>
      <c r="C136" s="37" t="e">
        <f aca="false">VLOOKUP(B136,'Itens de Contrato'!B$5:G$151,2,0)</f>
        <v>#N/A</v>
      </c>
      <c r="D136" s="52"/>
      <c r="E136" s="63" t="n">
        <f aca="false">D136*'Itens de Contrato'!F136</f>
        <v>0</v>
      </c>
      <c r="F136" s="62" t="n">
        <f aca="false">'Medição 05'!F136-'Medição 05'!G136</f>
        <v>0</v>
      </c>
      <c r="G136" s="52"/>
      <c r="H136" s="64" t="e">
        <f aca="false">G136/D136</f>
        <v>#DIV/0!</v>
      </c>
      <c r="I136" s="63" t="n">
        <f aca="false">G136*'Itens de Contrato'!F136</f>
        <v>0</v>
      </c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</row>
    <row r="137" customFormat="false" ht="12.8" hidden="false" customHeight="false" outlineLevel="0" collapsed="false">
      <c r="A137" s="37" t="n">
        <f aca="false">'Itens de Contrato'!A137</f>
        <v>0</v>
      </c>
      <c r="B137" s="37" t="n">
        <f aca="false">'Itens de Contrato'!B137</f>
        <v>0</v>
      </c>
      <c r="C137" s="37" t="e">
        <f aca="false">VLOOKUP(B137,'Itens de Contrato'!B$5:G$151,2,0)</f>
        <v>#N/A</v>
      </c>
      <c r="D137" s="52"/>
      <c r="E137" s="63" t="n">
        <f aca="false">D137*'Itens de Contrato'!F137</f>
        <v>0</v>
      </c>
      <c r="F137" s="62" t="n">
        <f aca="false">'Medição 05'!F137-'Medição 05'!G137</f>
        <v>0</v>
      </c>
      <c r="G137" s="52"/>
      <c r="H137" s="64" t="e">
        <f aca="false">G137/D137</f>
        <v>#DIV/0!</v>
      </c>
      <c r="I137" s="63" t="n">
        <f aca="false">G137*'Itens de Contrato'!F137</f>
        <v>0</v>
      </c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</row>
    <row r="138" customFormat="false" ht="12.8" hidden="false" customHeight="false" outlineLevel="0" collapsed="false">
      <c r="A138" s="37" t="n">
        <f aca="false">'Itens de Contrato'!A138</f>
        <v>0</v>
      </c>
      <c r="B138" s="37" t="n">
        <f aca="false">'Itens de Contrato'!B138</f>
        <v>0</v>
      </c>
      <c r="C138" s="37" t="e">
        <f aca="false">VLOOKUP(B138,'Itens de Contrato'!B$5:G$151,2,0)</f>
        <v>#N/A</v>
      </c>
      <c r="D138" s="52"/>
      <c r="E138" s="63" t="n">
        <f aca="false">D138*'Itens de Contrato'!F138</f>
        <v>0</v>
      </c>
      <c r="F138" s="62" t="n">
        <f aca="false">'Medição 05'!F138-'Medição 05'!G138</f>
        <v>0</v>
      </c>
      <c r="G138" s="52"/>
      <c r="H138" s="64" t="e">
        <f aca="false">G138/D138</f>
        <v>#DIV/0!</v>
      </c>
      <c r="I138" s="63" t="n">
        <f aca="false">G138*'Itens de Contrato'!F138</f>
        <v>0</v>
      </c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</row>
    <row r="139" customFormat="false" ht="12.8" hidden="false" customHeight="false" outlineLevel="0" collapsed="false">
      <c r="A139" s="37" t="n">
        <f aca="false">'Itens de Contrato'!A139</f>
        <v>0</v>
      </c>
      <c r="B139" s="37" t="n">
        <f aca="false">'Itens de Contrato'!B139</f>
        <v>0</v>
      </c>
      <c r="C139" s="37" t="e">
        <f aca="false">VLOOKUP(B139,'Itens de Contrato'!B$5:G$151,2,0)</f>
        <v>#N/A</v>
      </c>
      <c r="D139" s="52"/>
      <c r="E139" s="63" t="n">
        <f aca="false">D139*'Itens de Contrato'!F139</f>
        <v>0</v>
      </c>
      <c r="F139" s="62" t="n">
        <f aca="false">'Medição 05'!F139-'Medição 05'!G139</f>
        <v>0</v>
      </c>
      <c r="G139" s="52"/>
      <c r="H139" s="64" t="e">
        <f aca="false">G139/D139</f>
        <v>#DIV/0!</v>
      </c>
      <c r="I139" s="63" t="n">
        <f aca="false">G139*'Itens de Contrato'!F139</f>
        <v>0</v>
      </c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</row>
    <row r="140" customFormat="false" ht="12.8" hidden="false" customHeight="false" outlineLevel="0" collapsed="false">
      <c r="A140" s="37" t="n">
        <f aca="false">'Itens de Contrato'!A140</f>
        <v>0</v>
      </c>
      <c r="B140" s="37" t="n">
        <f aca="false">'Itens de Contrato'!B140</f>
        <v>0</v>
      </c>
      <c r="C140" s="37" t="e">
        <f aca="false">VLOOKUP(B140,'Itens de Contrato'!B$5:G$151,2,0)</f>
        <v>#N/A</v>
      </c>
      <c r="D140" s="52"/>
      <c r="E140" s="63" t="n">
        <f aca="false">D140*'Itens de Contrato'!F140</f>
        <v>0</v>
      </c>
      <c r="F140" s="62" t="n">
        <f aca="false">'Medição 05'!F140-'Medição 05'!G140</f>
        <v>0</v>
      </c>
      <c r="G140" s="52"/>
      <c r="H140" s="64" t="e">
        <f aca="false">G140/D140</f>
        <v>#DIV/0!</v>
      </c>
      <c r="I140" s="63" t="n">
        <f aca="false">G140*'Itens de Contrato'!F140</f>
        <v>0</v>
      </c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</row>
    <row r="141" customFormat="false" ht="12.8" hidden="false" customHeight="false" outlineLevel="0" collapsed="false">
      <c r="A141" s="37" t="n">
        <f aca="false">'Itens de Contrato'!A141</f>
        <v>0</v>
      </c>
      <c r="B141" s="37" t="n">
        <f aca="false">'Itens de Contrato'!B141</f>
        <v>0</v>
      </c>
      <c r="C141" s="37" t="e">
        <f aca="false">VLOOKUP(B141,'Itens de Contrato'!B$5:G$151,2,0)</f>
        <v>#N/A</v>
      </c>
      <c r="D141" s="52"/>
      <c r="E141" s="63" t="n">
        <f aca="false">D141*'Itens de Contrato'!F141</f>
        <v>0</v>
      </c>
      <c r="F141" s="62" t="n">
        <f aca="false">'Medição 05'!F141-'Medição 05'!G141</f>
        <v>0</v>
      </c>
      <c r="G141" s="52"/>
      <c r="H141" s="64" t="e">
        <f aca="false">G141/D141</f>
        <v>#DIV/0!</v>
      </c>
      <c r="I141" s="63" t="n">
        <f aca="false">G141*'Itens de Contrato'!F141</f>
        <v>0</v>
      </c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</row>
    <row r="142" customFormat="false" ht="12.8" hidden="false" customHeight="false" outlineLevel="0" collapsed="false">
      <c r="A142" s="37" t="n">
        <f aca="false">'Itens de Contrato'!A142</f>
        <v>0</v>
      </c>
      <c r="B142" s="37" t="n">
        <f aca="false">'Itens de Contrato'!B142</f>
        <v>0</v>
      </c>
      <c r="C142" s="37" t="e">
        <f aca="false">VLOOKUP(B142,'Itens de Contrato'!B$5:G$151,2,0)</f>
        <v>#N/A</v>
      </c>
      <c r="D142" s="52"/>
      <c r="E142" s="63" t="n">
        <f aca="false">D142*'Itens de Contrato'!F142</f>
        <v>0</v>
      </c>
      <c r="F142" s="62" t="n">
        <f aca="false">'Medição 05'!F142-'Medição 05'!G142</f>
        <v>0</v>
      </c>
      <c r="G142" s="52"/>
      <c r="H142" s="64" t="e">
        <f aca="false">G142/D142</f>
        <v>#DIV/0!</v>
      </c>
      <c r="I142" s="63" t="n">
        <f aca="false">G142*'Itens de Contrato'!F142</f>
        <v>0</v>
      </c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</row>
    <row r="143" customFormat="false" ht="12.8" hidden="false" customHeight="false" outlineLevel="0" collapsed="false">
      <c r="A143" s="37" t="n">
        <f aca="false">'Itens de Contrato'!A143</f>
        <v>0</v>
      </c>
      <c r="B143" s="37" t="n">
        <f aca="false">'Itens de Contrato'!B143</f>
        <v>0</v>
      </c>
      <c r="C143" s="37" t="e">
        <f aca="false">VLOOKUP(B143,'Itens de Contrato'!B$5:G$151,2,0)</f>
        <v>#N/A</v>
      </c>
      <c r="D143" s="52"/>
      <c r="E143" s="63" t="n">
        <f aca="false">D143*'Itens de Contrato'!F143</f>
        <v>0</v>
      </c>
      <c r="F143" s="62" t="n">
        <f aca="false">'Medição 05'!F143-'Medição 05'!G143</f>
        <v>0</v>
      </c>
      <c r="G143" s="52"/>
      <c r="H143" s="64" t="e">
        <f aca="false">G143/D143</f>
        <v>#DIV/0!</v>
      </c>
      <c r="I143" s="63" t="n">
        <f aca="false">G143*'Itens de Contrato'!F143</f>
        <v>0</v>
      </c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</row>
    <row r="144" customFormat="false" ht="12.8" hidden="false" customHeight="false" outlineLevel="0" collapsed="false">
      <c r="A144" s="37" t="n">
        <f aca="false">'Itens de Contrato'!A144</f>
        <v>0</v>
      </c>
      <c r="B144" s="37" t="n">
        <f aca="false">'Itens de Contrato'!B144</f>
        <v>0</v>
      </c>
      <c r="C144" s="37" t="e">
        <f aca="false">VLOOKUP(B144,'Itens de Contrato'!B$5:G$151,2,0)</f>
        <v>#N/A</v>
      </c>
      <c r="D144" s="52"/>
      <c r="E144" s="63" t="n">
        <f aca="false">D144*'Itens de Contrato'!F144</f>
        <v>0</v>
      </c>
      <c r="F144" s="62" t="n">
        <f aca="false">'Medição 05'!F144-'Medição 05'!G144</f>
        <v>0</v>
      </c>
      <c r="G144" s="52"/>
      <c r="H144" s="64" t="e">
        <f aca="false">G144/D144</f>
        <v>#DIV/0!</v>
      </c>
      <c r="I144" s="63" t="n">
        <f aca="false">G144*'Itens de Contrato'!F144</f>
        <v>0</v>
      </c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</row>
    <row r="145" customFormat="false" ht="12.8" hidden="false" customHeight="false" outlineLevel="0" collapsed="false">
      <c r="A145" s="37" t="n">
        <f aca="false">'Itens de Contrato'!A145</f>
        <v>0</v>
      </c>
      <c r="B145" s="37" t="n">
        <f aca="false">'Itens de Contrato'!B145</f>
        <v>0</v>
      </c>
      <c r="C145" s="37" t="e">
        <f aca="false">VLOOKUP(B145,'Itens de Contrato'!B$5:G$151,2,0)</f>
        <v>#N/A</v>
      </c>
      <c r="D145" s="52"/>
      <c r="E145" s="63" t="n">
        <f aca="false">D145*'Itens de Contrato'!F145</f>
        <v>0</v>
      </c>
      <c r="F145" s="62" t="n">
        <f aca="false">'Medição 05'!F145-'Medição 05'!G145</f>
        <v>0</v>
      </c>
      <c r="G145" s="52"/>
      <c r="H145" s="64" t="e">
        <f aca="false">G145/D145</f>
        <v>#DIV/0!</v>
      </c>
      <c r="I145" s="63" t="n">
        <f aca="false">G145*'Itens de Contrato'!F145</f>
        <v>0</v>
      </c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</row>
    <row r="146" customFormat="false" ht="12.8" hidden="false" customHeight="false" outlineLevel="0" collapsed="false">
      <c r="A146" s="37" t="n">
        <f aca="false">'Itens de Contrato'!A146</f>
        <v>0</v>
      </c>
      <c r="B146" s="37" t="n">
        <f aca="false">'Itens de Contrato'!B146</f>
        <v>0</v>
      </c>
      <c r="C146" s="37" t="e">
        <f aca="false">VLOOKUP(B146,'Itens de Contrato'!B$5:G$151,2,0)</f>
        <v>#N/A</v>
      </c>
      <c r="D146" s="52"/>
      <c r="E146" s="63" t="n">
        <f aca="false">D146*'Itens de Contrato'!F146</f>
        <v>0</v>
      </c>
      <c r="F146" s="62" t="n">
        <f aca="false">'Medição 05'!F146-'Medição 05'!G146</f>
        <v>0</v>
      </c>
      <c r="G146" s="52"/>
      <c r="H146" s="64" t="e">
        <f aca="false">G146/D146</f>
        <v>#DIV/0!</v>
      </c>
      <c r="I146" s="63" t="n">
        <f aca="false">G146*'Itens de Contrato'!F146</f>
        <v>0</v>
      </c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</row>
    <row r="147" customFormat="false" ht="12.8" hidden="false" customHeight="false" outlineLevel="0" collapsed="false">
      <c r="A147" s="37" t="n">
        <f aca="false">'Itens de Contrato'!A147</f>
        <v>0</v>
      </c>
      <c r="B147" s="37" t="n">
        <f aca="false">'Itens de Contrato'!B147</f>
        <v>0</v>
      </c>
      <c r="C147" s="37" t="e">
        <f aca="false">VLOOKUP(B147,'Itens de Contrato'!B$5:G$151,2,0)</f>
        <v>#N/A</v>
      </c>
      <c r="D147" s="52"/>
      <c r="E147" s="63" t="n">
        <f aca="false">D147*'Itens de Contrato'!F147</f>
        <v>0</v>
      </c>
      <c r="F147" s="62" t="n">
        <f aca="false">'Medição 05'!F147-'Medição 05'!G147</f>
        <v>0</v>
      </c>
      <c r="G147" s="52"/>
      <c r="H147" s="64" t="e">
        <f aca="false">G147/D147</f>
        <v>#DIV/0!</v>
      </c>
      <c r="I147" s="63" t="n">
        <f aca="false">G147*'Itens de Contrato'!F147</f>
        <v>0</v>
      </c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</row>
    <row r="148" customFormat="false" ht="12.8" hidden="false" customHeight="false" outlineLevel="0" collapsed="false">
      <c r="A148" s="37" t="n">
        <f aca="false">'Itens de Contrato'!A148</f>
        <v>0</v>
      </c>
      <c r="B148" s="37" t="n">
        <f aca="false">'Itens de Contrato'!B148</f>
        <v>0</v>
      </c>
      <c r="C148" s="37" t="e">
        <f aca="false">VLOOKUP(B148,'Itens de Contrato'!B$5:G$151,2,0)</f>
        <v>#N/A</v>
      </c>
      <c r="D148" s="52"/>
      <c r="E148" s="63" t="n">
        <f aca="false">D148*'Itens de Contrato'!F148</f>
        <v>0</v>
      </c>
      <c r="F148" s="62" t="n">
        <f aca="false">'Medição 05'!F148-'Medição 05'!G148</f>
        <v>0</v>
      </c>
      <c r="G148" s="52"/>
      <c r="H148" s="64" t="e">
        <f aca="false">G148/D148</f>
        <v>#DIV/0!</v>
      </c>
      <c r="I148" s="63" t="n">
        <f aca="false">G148*'Itens de Contrato'!F148</f>
        <v>0</v>
      </c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</row>
    <row r="149" customFormat="false" ht="12.8" hidden="false" customHeight="false" outlineLevel="0" collapsed="false">
      <c r="A149" s="37" t="n">
        <f aca="false">'Itens de Contrato'!A149</f>
        <v>0</v>
      </c>
      <c r="B149" s="37" t="n">
        <f aca="false">'Itens de Contrato'!B149</f>
        <v>0</v>
      </c>
      <c r="C149" s="37" t="e">
        <f aca="false">VLOOKUP(B149,'Itens de Contrato'!B$5:G$151,2,0)</f>
        <v>#N/A</v>
      </c>
      <c r="D149" s="52"/>
      <c r="E149" s="63" t="n">
        <f aca="false">D149*'Itens de Contrato'!F149</f>
        <v>0</v>
      </c>
      <c r="F149" s="62" t="n">
        <f aca="false">'Medição 05'!F149-'Medição 05'!G149</f>
        <v>0</v>
      </c>
      <c r="G149" s="52"/>
      <c r="H149" s="64" t="e">
        <f aca="false">G149/D149</f>
        <v>#DIV/0!</v>
      </c>
      <c r="I149" s="63" t="n">
        <f aca="false">G149*'Itens de Contrato'!F149</f>
        <v>0</v>
      </c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</row>
    <row r="150" customFormat="false" ht="12.8" hidden="false" customHeight="false" outlineLevel="0" collapsed="false">
      <c r="A150" s="37" t="n">
        <f aca="false">'Itens de Contrato'!A150</f>
        <v>0</v>
      </c>
      <c r="B150" s="37" t="n">
        <f aca="false">'Itens de Contrato'!B150</f>
        <v>0</v>
      </c>
      <c r="C150" s="37" t="e">
        <f aca="false">VLOOKUP(B150,'Itens de Contrato'!B$5:G$151,2,0)</f>
        <v>#N/A</v>
      </c>
      <c r="D150" s="52"/>
      <c r="E150" s="63" t="n">
        <f aca="false">D150*'Itens de Contrato'!F150</f>
        <v>0</v>
      </c>
      <c r="F150" s="62" t="n">
        <f aca="false">'Medição 05'!F150-'Medição 05'!G150</f>
        <v>0</v>
      </c>
      <c r="G150" s="52"/>
      <c r="H150" s="64" t="e">
        <f aca="false">G150/D150</f>
        <v>#DIV/0!</v>
      </c>
      <c r="I150" s="63" t="n">
        <f aca="false">G150*'Itens de Contrato'!F150</f>
        <v>0</v>
      </c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</row>
    <row r="151" customFormat="false" ht="12.8" hidden="false" customHeight="false" outlineLevel="0" collapsed="false">
      <c r="A151" s="37" t="n">
        <f aca="false">'Itens de Contrato'!A151</f>
        <v>0</v>
      </c>
      <c r="B151" s="37" t="n">
        <f aca="false">'Itens de Contrato'!B151</f>
        <v>0</v>
      </c>
      <c r="C151" s="37" t="e">
        <f aca="false">VLOOKUP(B151,'Itens de Contrato'!B$5:G$151,2,0)</f>
        <v>#N/A</v>
      </c>
      <c r="D151" s="52"/>
      <c r="E151" s="63" t="n">
        <f aca="false">D151*'Itens de Contrato'!F151</f>
        <v>0</v>
      </c>
      <c r="F151" s="62" t="n">
        <f aca="false">'Medição 05'!F151-'Medição 05'!G151</f>
        <v>0</v>
      </c>
      <c r="G151" s="52"/>
      <c r="H151" s="64" t="e">
        <f aca="false">G151/D151</f>
        <v>#DIV/0!</v>
      </c>
      <c r="I151" s="63" t="n">
        <f aca="false">G151*'Itens de Contrato'!F151</f>
        <v>0</v>
      </c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</row>
    <row r="152" customFormat="false" ht="12.75" hidden="false" customHeight="false" outlineLevel="0" collapsed="false"/>
    <row r="153" customFormat="false" ht="12.75" hidden="false" customHeight="false" outlineLevel="0" collapsed="false"/>
    <row r="154" customFormat="false" ht="12.75" hidden="false" customHeight="false" outlineLevel="0" collapsed="false"/>
    <row r="155" customFormat="false" ht="12.75" hidden="false" customHeight="false" outlineLevel="0" collapsed="false"/>
    <row r="156" customFormat="false" ht="12.75" hidden="false" customHeight="false" outlineLevel="0" collapsed="false"/>
    <row r="157" customFormat="false" ht="12.75" hidden="false" customHeight="false" outlineLevel="0" collapsed="false"/>
    <row r="158" customFormat="false" ht="12.75" hidden="false" customHeight="false" outlineLevel="0" collapsed="false"/>
    <row r="159" customFormat="false" ht="12.75" hidden="false" customHeight="false" outlineLevel="0" collapsed="false"/>
    <row r="160" customFormat="false" ht="12.75" hidden="false" customHeight="false" outlineLevel="0" collapsed="false"/>
    <row r="161" customFormat="false" ht="12.75" hidden="false" customHeight="false" outlineLevel="0" collapsed="false"/>
    <row r="162" customFormat="false" ht="12.75" hidden="false" customHeight="false" outlineLevel="0" collapsed="false"/>
    <row r="163" customFormat="false" ht="12.75" hidden="false" customHeight="false" outlineLevel="0" collapsed="false"/>
    <row r="164" customFormat="false" ht="12.75" hidden="false" customHeight="false" outlineLevel="0" collapsed="false"/>
    <row r="165" customFormat="false" ht="12.75" hidden="false" customHeight="false" outlineLevel="0" collapsed="false"/>
    <row r="166" customFormat="false" ht="12.75" hidden="false" customHeight="false" outlineLevel="0" collapsed="false"/>
    <row r="167" customFormat="false" ht="12.75" hidden="false" customHeight="false" outlineLevel="0" collapsed="false"/>
    <row r="168" customFormat="false" ht="12.75" hidden="false" customHeight="false" outlineLevel="0" collapsed="false"/>
    <row r="169" customFormat="false" ht="12.75" hidden="false" customHeight="false" outlineLevel="0" collapsed="false"/>
    <row r="170" customFormat="false" ht="12.75" hidden="false" customHeight="false" outlineLevel="0" collapsed="false"/>
    <row r="171" customFormat="false" ht="12.75" hidden="false" customHeight="false" outlineLevel="0" collapsed="false"/>
    <row r="172" customFormat="false" ht="12.75" hidden="false" customHeight="false" outlineLevel="0" collapsed="false"/>
    <row r="173" customFormat="false" ht="12.75" hidden="false" customHeight="false" outlineLevel="0" collapsed="false"/>
    <row r="174" customFormat="false" ht="12.75" hidden="false" customHeight="false" outlineLevel="0" collapsed="false"/>
    <row r="175" customFormat="false" ht="12.75" hidden="false" customHeight="false" outlineLevel="0" collapsed="false"/>
    <row r="176" customFormat="false" ht="12.75" hidden="false" customHeight="false" outlineLevel="0" collapsed="false"/>
    <row r="177" customFormat="false" ht="12.75" hidden="false" customHeight="false" outlineLevel="0" collapsed="false"/>
    <row r="178" customFormat="false" ht="12.75" hidden="false" customHeight="false" outlineLevel="0" collapsed="false"/>
    <row r="179" customFormat="false" ht="12.75" hidden="false" customHeight="false" outlineLevel="0" collapsed="false"/>
    <row r="180" customFormat="false" ht="12.75" hidden="false" customHeight="false" outlineLevel="0" collapsed="false"/>
    <row r="181" customFormat="false" ht="12.75" hidden="false" customHeight="false" outlineLevel="0" collapsed="false"/>
    <row r="182" customFormat="false" ht="12.75" hidden="false" customHeight="false" outlineLevel="0" collapsed="false"/>
    <row r="183" customFormat="false" ht="12.75" hidden="false" customHeight="false" outlineLevel="0" collapsed="false"/>
    <row r="184" customFormat="false" ht="12.75" hidden="false" customHeight="false" outlineLevel="0" collapsed="false"/>
    <row r="185" customFormat="false" ht="12.75" hidden="false" customHeight="false" outlineLevel="0" collapsed="false"/>
    <row r="186" customFormat="false" ht="12.75" hidden="false" customHeight="false" outlineLevel="0" collapsed="false"/>
    <row r="187" customFormat="false" ht="12.75" hidden="false" customHeight="false" outlineLevel="0" collapsed="false"/>
    <row r="188" customFormat="false" ht="12.75" hidden="false" customHeight="false" outlineLevel="0" collapsed="false"/>
    <row r="189" customFormat="false" ht="12.75" hidden="false" customHeight="false" outlineLevel="0" collapsed="false"/>
    <row r="190" customFormat="false" ht="12.75" hidden="false" customHeight="false" outlineLevel="0" collapsed="false"/>
    <row r="191" customFormat="false" ht="12.75" hidden="false" customHeight="false" outlineLevel="0" collapsed="false"/>
    <row r="192" customFormat="false" ht="12.75" hidden="false" customHeight="false" outlineLevel="0" collapsed="false"/>
    <row r="193" customFormat="false" ht="12.75" hidden="false" customHeight="false" outlineLevel="0" collapsed="false"/>
    <row r="194" customFormat="false" ht="12.75" hidden="false" customHeight="false" outlineLevel="0" collapsed="false"/>
    <row r="195" customFormat="false" ht="12.75" hidden="false" customHeight="false" outlineLevel="0" collapsed="false"/>
    <row r="196" customFormat="false" ht="12.75" hidden="false" customHeight="false" outlineLevel="0" collapsed="false"/>
    <row r="197" customFormat="false" ht="12.75" hidden="false" customHeight="false" outlineLevel="0" collapsed="false"/>
    <row r="198" customFormat="false" ht="12.75" hidden="false" customHeight="false" outlineLevel="0" collapsed="false"/>
    <row r="199" customFormat="false" ht="12.75" hidden="false" customHeight="false" outlineLevel="0" collapsed="false"/>
    <row r="200" customFormat="false" ht="12.75" hidden="false" customHeight="false" outlineLevel="0" collapsed="false"/>
    <row r="201" customFormat="false" ht="12.75" hidden="false" customHeight="false" outlineLevel="0" collapsed="false"/>
    <row r="202" customFormat="false" ht="12.75" hidden="false" customHeight="false" outlineLevel="0" collapsed="false"/>
    <row r="203" customFormat="false" ht="12.75" hidden="false" customHeight="false" outlineLevel="0" collapsed="false"/>
    <row r="204" customFormat="false" ht="12.75" hidden="false" customHeight="false" outlineLevel="0" collapsed="false"/>
    <row r="205" customFormat="false" ht="12.75" hidden="false" customHeight="false" outlineLevel="0" collapsed="false"/>
    <row r="206" customFormat="false" ht="12.75" hidden="false" customHeight="false" outlineLevel="0" collapsed="false"/>
    <row r="207" customFormat="false" ht="12.75" hidden="false" customHeight="false" outlineLevel="0" collapsed="false"/>
    <row r="208" customFormat="false" ht="12.75" hidden="false" customHeight="false" outlineLevel="0" collapsed="false"/>
    <row r="209" customFormat="false" ht="12.75" hidden="false" customHeight="false" outlineLevel="0" collapsed="false"/>
    <row r="210" customFormat="false" ht="12.75" hidden="false" customHeight="false" outlineLevel="0" collapsed="false"/>
    <row r="211" customFormat="false" ht="12.75" hidden="false" customHeight="false" outlineLevel="0" collapsed="false"/>
    <row r="212" customFormat="false" ht="12.75" hidden="false" customHeight="false" outlineLevel="0" collapsed="false"/>
    <row r="213" customFormat="false" ht="12.75" hidden="false" customHeight="false" outlineLevel="0" collapsed="false"/>
    <row r="214" customFormat="false" ht="12.75" hidden="false" customHeight="false" outlineLevel="0" collapsed="false"/>
    <row r="215" customFormat="false" ht="12.75" hidden="false" customHeight="false" outlineLevel="0" collapsed="false"/>
    <row r="216" customFormat="false" ht="12.75" hidden="false" customHeight="false" outlineLevel="0" collapsed="false"/>
    <row r="217" customFormat="false" ht="12.75" hidden="false" customHeight="false" outlineLevel="0" collapsed="false"/>
    <row r="218" customFormat="false" ht="12.75" hidden="false" customHeight="false" outlineLevel="0" collapsed="false"/>
    <row r="219" customFormat="false" ht="12.75" hidden="false" customHeight="false" outlineLevel="0" collapsed="false"/>
    <row r="220" customFormat="false" ht="12.75" hidden="false" customHeight="false" outlineLevel="0" collapsed="false"/>
    <row r="221" customFormat="false" ht="12.75" hidden="false" customHeight="false" outlineLevel="0" collapsed="false"/>
    <row r="222" customFormat="false" ht="12.75" hidden="false" customHeight="false" outlineLevel="0" collapsed="false"/>
    <row r="223" customFormat="false" ht="12.75" hidden="false" customHeight="false" outlineLevel="0" collapsed="false"/>
    <row r="224" customFormat="false" ht="12.75" hidden="false" customHeight="false" outlineLevel="0" collapsed="false"/>
    <row r="225" customFormat="false" ht="12.75" hidden="false" customHeight="false" outlineLevel="0" collapsed="false"/>
    <row r="226" customFormat="false" ht="12.75" hidden="false" customHeight="false" outlineLevel="0" collapsed="false"/>
    <row r="227" customFormat="false" ht="12.75" hidden="false" customHeight="false" outlineLevel="0" collapsed="false"/>
    <row r="228" customFormat="false" ht="12.75" hidden="false" customHeight="false" outlineLevel="0" collapsed="false"/>
    <row r="229" customFormat="false" ht="12.75" hidden="false" customHeight="false" outlineLevel="0" collapsed="false"/>
    <row r="230" customFormat="false" ht="12.75" hidden="false" customHeight="false" outlineLevel="0" collapsed="false"/>
    <row r="231" customFormat="false" ht="12.75" hidden="false" customHeight="false" outlineLevel="0" collapsed="false"/>
    <row r="232" customFormat="false" ht="12.75" hidden="false" customHeight="false" outlineLevel="0" collapsed="false"/>
    <row r="233" customFormat="false" ht="12.75" hidden="false" customHeight="false" outlineLevel="0" collapsed="false"/>
    <row r="234" customFormat="false" ht="12.75" hidden="false" customHeight="false" outlineLevel="0" collapsed="false"/>
    <row r="235" customFormat="false" ht="12.75" hidden="false" customHeight="false" outlineLevel="0" collapsed="false"/>
    <row r="236" customFormat="false" ht="12.75" hidden="false" customHeight="false" outlineLevel="0" collapsed="false"/>
    <row r="237" customFormat="false" ht="12.75" hidden="false" customHeight="false" outlineLevel="0" collapsed="false"/>
    <row r="238" customFormat="false" ht="12.75" hidden="false" customHeight="false" outlineLevel="0" collapsed="false"/>
    <row r="239" customFormat="false" ht="12.75" hidden="false" customHeight="false" outlineLevel="0" collapsed="false"/>
    <row r="240" customFormat="false" ht="12.75" hidden="false" customHeight="false" outlineLevel="0" collapsed="false"/>
    <row r="241" customFormat="false" ht="12.75" hidden="false" customHeight="false" outlineLevel="0" collapsed="false"/>
    <row r="242" customFormat="false" ht="12.75" hidden="false" customHeight="false" outlineLevel="0" collapsed="false"/>
    <row r="243" customFormat="false" ht="12.75" hidden="false" customHeight="false" outlineLevel="0" collapsed="false"/>
    <row r="244" customFormat="false" ht="12.75" hidden="false" customHeight="false" outlineLevel="0" collapsed="false"/>
    <row r="245" customFormat="false" ht="12.75" hidden="false" customHeight="false" outlineLevel="0" collapsed="false"/>
    <row r="246" customFormat="false" ht="12.75" hidden="false" customHeight="false" outlineLevel="0" collapsed="false"/>
    <row r="247" customFormat="false" ht="12.75" hidden="false" customHeight="false" outlineLevel="0" collapsed="false"/>
    <row r="248" customFormat="false" ht="12.75" hidden="false" customHeight="false" outlineLevel="0" collapsed="false"/>
    <row r="249" customFormat="false" ht="12.75" hidden="false" customHeight="false" outlineLevel="0" collapsed="false"/>
    <row r="250" customFormat="false" ht="12.75" hidden="false" customHeight="false" outlineLevel="0" collapsed="false"/>
    <row r="251" customFormat="false" ht="12.75" hidden="false" customHeight="false" outlineLevel="0" collapsed="false"/>
    <row r="252" customFormat="false" ht="12.75" hidden="false" customHeight="false" outlineLevel="0" collapsed="false"/>
    <row r="253" customFormat="false" ht="12.75" hidden="false" customHeight="false" outlineLevel="0" collapsed="false"/>
    <row r="254" customFormat="false" ht="12.75" hidden="false" customHeight="false" outlineLevel="0" collapsed="false"/>
    <row r="255" customFormat="false" ht="12.75" hidden="false" customHeight="false" outlineLevel="0" collapsed="false"/>
    <row r="256" customFormat="false" ht="12.75" hidden="false" customHeight="false" outlineLevel="0" collapsed="false"/>
    <row r="257" customFormat="false" ht="12.75" hidden="false" customHeight="false" outlineLevel="0" collapsed="false"/>
    <row r="258" customFormat="false" ht="12.75" hidden="false" customHeight="false" outlineLevel="0" collapsed="false"/>
    <row r="259" customFormat="false" ht="12.75" hidden="false" customHeight="false" outlineLevel="0" collapsed="false"/>
    <row r="260" customFormat="false" ht="12.75" hidden="false" customHeight="false" outlineLevel="0" collapsed="false"/>
    <row r="261" customFormat="false" ht="12.75" hidden="false" customHeight="false" outlineLevel="0" collapsed="false"/>
    <row r="262" customFormat="false" ht="12.75" hidden="false" customHeight="false" outlineLevel="0" collapsed="false"/>
    <row r="263" customFormat="false" ht="12.75" hidden="false" customHeight="false" outlineLevel="0" collapsed="false"/>
    <row r="264" customFormat="false" ht="12.75" hidden="false" customHeight="false" outlineLevel="0" collapsed="false"/>
    <row r="265" customFormat="false" ht="12.75" hidden="false" customHeight="false" outlineLevel="0" collapsed="false"/>
    <row r="266" customFormat="false" ht="12.75" hidden="false" customHeight="false" outlineLevel="0" collapsed="false"/>
    <row r="267" customFormat="false" ht="12.75" hidden="false" customHeight="false" outlineLevel="0" collapsed="false"/>
    <row r="268" customFormat="false" ht="12.75" hidden="false" customHeight="false" outlineLevel="0" collapsed="false"/>
    <row r="269" customFormat="false" ht="12.75" hidden="false" customHeight="false" outlineLevel="0" collapsed="false"/>
    <row r="270" customFormat="false" ht="12.75" hidden="false" customHeight="false" outlineLevel="0" collapsed="false"/>
    <row r="271" customFormat="false" ht="12.75" hidden="false" customHeight="false" outlineLevel="0" collapsed="false"/>
    <row r="272" customFormat="false" ht="12.75" hidden="false" customHeight="false" outlineLevel="0" collapsed="false"/>
    <row r="273" customFormat="false" ht="12.75" hidden="false" customHeight="fals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12.75" hidden="false" customHeight="false" outlineLevel="0" collapsed="false"/>
    <row r="283" customFormat="false" ht="12.75" hidden="false" customHeight="false" outlineLevel="0" collapsed="false"/>
    <row r="284" customFormat="false" ht="12.75" hidden="false" customHeight="fals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12.75" hidden="false" customHeight="false" outlineLevel="0" collapsed="false"/>
    <row r="291" customFormat="false" ht="12.75" hidden="false" customHeight="false" outlineLevel="0" collapsed="false"/>
    <row r="292" customFormat="false" ht="12.75" hidden="false" customHeight="false" outlineLevel="0" collapsed="false"/>
    <row r="293" customFormat="false" ht="12.75" hidden="false" customHeight="false" outlineLevel="0" collapsed="false"/>
    <row r="294" customFormat="false" ht="12.75" hidden="false" customHeight="false" outlineLevel="0" collapsed="false"/>
    <row r="295" customFormat="false" ht="12.75" hidden="false" customHeight="fals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12.75" hidden="false" customHeight="false" outlineLevel="0" collapsed="false"/>
    <row r="299" customFormat="false" ht="12.75" hidden="false" customHeight="false" outlineLevel="0" collapsed="false"/>
    <row r="300" customFormat="false" ht="12.75" hidden="false" customHeight="fals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12.75" hidden="false" customHeight="false" outlineLevel="0" collapsed="false"/>
    <row r="308" customFormat="false" ht="12.75" hidden="false" customHeight="false" outlineLevel="0" collapsed="false"/>
    <row r="309" customFormat="false" ht="12.75" hidden="false" customHeight="false" outlineLevel="0" collapsed="false"/>
    <row r="310" customFormat="false" ht="12.75" hidden="false" customHeight="false" outlineLevel="0" collapsed="false"/>
    <row r="311" customFormat="false" ht="12.75" hidden="false" customHeight="false" outlineLevel="0" collapsed="false"/>
    <row r="312" customFormat="false" ht="12.75" hidden="false" customHeight="false" outlineLevel="0" collapsed="false"/>
    <row r="313" customFormat="false" ht="12.75" hidden="false" customHeight="false" outlineLevel="0" collapsed="false"/>
    <row r="314" customFormat="false" ht="12.75" hidden="false" customHeight="fals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12.75" hidden="false" customHeight="fals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  <row r="344" customFormat="false" ht="12.75" hidden="false" customHeight="false" outlineLevel="0" collapsed="false"/>
    <row r="345" customFormat="false" ht="12.75" hidden="false" customHeight="false" outlineLevel="0" collapsed="false"/>
    <row r="346" customFormat="false" ht="12.75" hidden="false" customHeight="false" outlineLevel="0" collapsed="false"/>
    <row r="347" customFormat="false" ht="12.75" hidden="false" customHeight="false" outlineLevel="0" collapsed="false"/>
    <row r="348" customFormat="false" ht="12.75" hidden="false" customHeight="false" outlineLevel="0" collapsed="false"/>
    <row r="349" customFormat="false" ht="12.75" hidden="false" customHeight="false" outlineLevel="0" collapsed="false"/>
    <row r="350" customFormat="false" ht="12.75" hidden="false" customHeight="false" outlineLevel="0" collapsed="false"/>
    <row r="351" customFormat="false" ht="12.75" hidden="false" customHeight="false" outlineLevel="0" collapsed="false"/>
    <row r="352" customFormat="false" ht="12.75" hidden="false" customHeight="false" outlineLevel="0" collapsed="false"/>
    <row r="353" customFormat="false" ht="12.75" hidden="false" customHeight="false" outlineLevel="0" collapsed="false"/>
    <row r="354" customFormat="false" ht="12.75" hidden="false" customHeight="false" outlineLevel="0" collapsed="false"/>
    <row r="355" customFormat="false" ht="12.75" hidden="false" customHeight="false" outlineLevel="0" collapsed="false"/>
    <row r="356" customFormat="false" ht="12.75" hidden="false" customHeight="false" outlineLevel="0" collapsed="false"/>
    <row r="357" customFormat="false" ht="12.75" hidden="false" customHeight="false" outlineLevel="0" collapsed="false"/>
    <row r="358" customFormat="false" ht="12.75" hidden="false" customHeight="false" outlineLevel="0" collapsed="false"/>
    <row r="359" customFormat="false" ht="12.75" hidden="false" customHeight="false" outlineLevel="0" collapsed="false"/>
    <row r="360" customFormat="false" ht="12.75" hidden="false" customHeight="false" outlineLevel="0" collapsed="false"/>
    <row r="361" customFormat="false" ht="12.75" hidden="false" customHeight="false" outlineLevel="0" collapsed="false"/>
    <row r="362" customFormat="false" ht="12.75" hidden="false" customHeight="false" outlineLevel="0" collapsed="false"/>
    <row r="363" customFormat="false" ht="12.75" hidden="false" customHeight="false" outlineLevel="0" collapsed="false"/>
    <row r="364" customFormat="false" ht="12.75" hidden="false" customHeight="false" outlineLevel="0" collapsed="false"/>
    <row r="365" customFormat="false" ht="12.75" hidden="false" customHeight="false" outlineLevel="0" collapsed="false"/>
    <row r="366" customFormat="false" ht="12.75" hidden="false" customHeight="false" outlineLevel="0" collapsed="false"/>
    <row r="367" customFormat="false" ht="12.75" hidden="false" customHeight="false" outlineLevel="0" collapsed="false"/>
    <row r="368" customFormat="false" ht="12.75" hidden="false" customHeight="false" outlineLevel="0" collapsed="false"/>
    <row r="369" customFormat="false" ht="12.75" hidden="false" customHeight="false" outlineLevel="0" collapsed="false"/>
    <row r="370" customFormat="false" ht="12.75" hidden="false" customHeight="false" outlineLevel="0" collapsed="false"/>
    <row r="371" customFormat="false" ht="12.75" hidden="false" customHeight="false" outlineLevel="0" collapsed="false"/>
    <row r="372" customFormat="false" ht="12.75" hidden="false" customHeight="false" outlineLevel="0" collapsed="false"/>
    <row r="373" customFormat="false" ht="12.75" hidden="false" customHeight="false" outlineLevel="0" collapsed="false"/>
    <row r="374" customFormat="false" ht="12.75" hidden="false" customHeight="false" outlineLevel="0" collapsed="false"/>
    <row r="375" customFormat="false" ht="12.75" hidden="false" customHeight="false" outlineLevel="0" collapsed="false"/>
    <row r="376" customFormat="false" ht="12.75" hidden="false" customHeight="false" outlineLevel="0" collapsed="false"/>
    <row r="377" customFormat="false" ht="12.75" hidden="false" customHeight="false" outlineLevel="0" collapsed="false"/>
    <row r="378" customFormat="false" ht="12.75" hidden="false" customHeight="false" outlineLevel="0" collapsed="false"/>
    <row r="379" customFormat="false" ht="12.75" hidden="false" customHeight="false" outlineLevel="0" collapsed="false"/>
    <row r="380" customFormat="false" ht="12.75" hidden="false" customHeight="false" outlineLevel="0" collapsed="false"/>
    <row r="381" customFormat="false" ht="12.75" hidden="false" customHeight="false" outlineLevel="0" collapsed="false"/>
    <row r="382" customFormat="false" ht="12.75" hidden="false" customHeight="false" outlineLevel="0" collapsed="false"/>
    <row r="383" customFormat="false" ht="12.75" hidden="false" customHeight="false" outlineLevel="0" collapsed="false"/>
    <row r="384" customFormat="false" ht="12.75" hidden="false" customHeight="false" outlineLevel="0" collapsed="false"/>
    <row r="385" customFormat="false" ht="12.75" hidden="false" customHeight="false" outlineLevel="0" collapsed="false"/>
    <row r="386" customFormat="false" ht="12.75" hidden="false" customHeight="false" outlineLevel="0" collapsed="false"/>
    <row r="387" customFormat="false" ht="12.75" hidden="false" customHeight="false" outlineLevel="0" collapsed="false"/>
    <row r="388" customFormat="false" ht="12.75" hidden="false" customHeight="false" outlineLevel="0" collapsed="false"/>
    <row r="389" customFormat="false" ht="12.75" hidden="false" customHeight="false" outlineLevel="0" collapsed="false"/>
    <row r="390" customFormat="false" ht="12.75" hidden="false" customHeight="false" outlineLevel="0" collapsed="false"/>
    <row r="391" customFormat="false" ht="12.75" hidden="false" customHeight="false" outlineLevel="0" collapsed="false"/>
    <row r="392" customFormat="false" ht="12.75" hidden="false" customHeight="false" outlineLevel="0" collapsed="false"/>
    <row r="393" customFormat="false" ht="12.75" hidden="false" customHeight="false" outlineLevel="0" collapsed="false"/>
    <row r="394" customFormat="false" ht="12.75" hidden="false" customHeight="false" outlineLevel="0" collapsed="false"/>
    <row r="395" customFormat="false" ht="12.75" hidden="false" customHeight="false" outlineLevel="0" collapsed="false"/>
    <row r="396" customFormat="false" ht="12.75" hidden="false" customHeight="false" outlineLevel="0" collapsed="false"/>
    <row r="397" customFormat="false" ht="12.75" hidden="false" customHeight="false" outlineLevel="0" collapsed="false"/>
    <row r="398" customFormat="false" ht="12.75" hidden="false" customHeight="false" outlineLevel="0" collapsed="false"/>
    <row r="399" customFormat="false" ht="12.75" hidden="false" customHeight="false" outlineLevel="0" collapsed="false"/>
    <row r="400" customFormat="false" ht="12.75" hidden="false" customHeight="false" outlineLevel="0" collapsed="false"/>
    <row r="401" customFormat="false" ht="12.75" hidden="false" customHeight="false" outlineLevel="0" collapsed="false"/>
    <row r="402" customFormat="false" ht="12.75" hidden="false" customHeight="false" outlineLevel="0" collapsed="false"/>
    <row r="403" customFormat="false" ht="12.75" hidden="false" customHeight="false" outlineLevel="0" collapsed="false"/>
    <row r="404" customFormat="false" ht="12.75" hidden="false" customHeight="false" outlineLevel="0" collapsed="false"/>
    <row r="405" customFormat="false" ht="12.75" hidden="false" customHeight="false" outlineLevel="0" collapsed="false"/>
    <row r="406" customFormat="false" ht="12.75" hidden="false" customHeight="false" outlineLevel="0" collapsed="false"/>
    <row r="407" customFormat="false" ht="12.75" hidden="false" customHeight="false" outlineLevel="0" collapsed="false"/>
    <row r="408" customFormat="false" ht="12.75" hidden="false" customHeight="false" outlineLevel="0" collapsed="false"/>
    <row r="409" customFormat="false" ht="12.75" hidden="false" customHeight="false" outlineLevel="0" collapsed="false"/>
    <row r="410" customFormat="false" ht="12.75" hidden="false" customHeight="false" outlineLevel="0" collapsed="false"/>
    <row r="411" customFormat="false" ht="12.75" hidden="false" customHeight="false" outlineLevel="0" collapsed="false"/>
    <row r="412" customFormat="false" ht="12.75" hidden="false" customHeight="false" outlineLevel="0" collapsed="false"/>
    <row r="413" customFormat="false" ht="12.75" hidden="false" customHeight="false" outlineLevel="0" collapsed="false"/>
    <row r="414" customFormat="false" ht="12.75" hidden="false" customHeight="false" outlineLevel="0" collapsed="false"/>
    <row r="415" customFormat="false" ht="12.75" hidden="false" customHeight="false" outlineLevel="0" collapsed="false"/>
    <row r="416" customFormat="false" ht="12.75" hidden="false" customHeight="false" outlineLevel="0" collapsed="false"/>
    <row r="417" customFormat="false" ht="12.75" hidden="false" customHeight="false" outlineLevel="0" collapsed="false"/>
    <row r="418" customFormat="false" ht="12.75" hidden="false" customHeight="false" outlineLevel="0" collapsed="false"/>
    <row r="419" customFormat="false" ht="12.75" hidden="false" customHeight="false" outlineLevel="0" collapsed="false"/>
    <row r="420" customFormat="false" ht="12.75" hidden="false" customHeight="false" outlineLevel="0" collapsed="false"/>
    <row r="421" customFormat="false" ht="12.75" hidden="false" customHeight="false" outlineLevel="0" collapsed="false"/>
    <row r="422" customFormat="false" ht="12.75" hidden="false" customHeight="false" outlineLevel="0" collapsed="false"/>
    <row r="423" customFormat="false" ht="12.75" hidden="false" customHeight="false" outlineLevel="0" collapsed="false"/>
    <row r="424" customFormat="false" ht="12.75" hidden="false" customHeight="false" outlineLevel="0" collapsed="false"/>
    <row r="425" customFormat="false" ht="12.75" hidden="false" customHeight="false" outlineLevel="0" collapsed="false"/>
    <row r="426" customFormat="false" ht="12.75" hidden="false" customHeight="false" outlineLevel="0" collapsed="false"/>
    <row r="427" customFormat="false" ht="12.75" hidden="false" customHeight="false" outlineLevel="0" collapsed="false"/>
    <row r="428" customFormat="false" ht="12.75" hidden="false" customHeight="false" outlineLevel="0" collapsed="false"/>
    <row r="429" customFormat="false" ht="12.75" hidden="false" customHeight="false" outlineLevel="0" collapsed="false"/>
    <row r="430" customFormat="false" ht="12.75" hidden="false" customHeight="false" outlineLevel="0" collapsed="false"/>
    <row r="431" customFormat="false" ht="12.75" hidden="false" customHeight="false" outlineLevel="0" collapsed="false"/>
    <row r="432" customFormat="false" ht="12.75" hidden="false" customHeight="false" outlineLevel="0" collapsed="false"/>
    <row r="433" customFormat="false" ht="12.75" hidden="false" customHeight="false" outlineLevel="0" collapsed="false"/>
    <row r="434" customFormat="false" ht="12.75" hidden="false" customHeight="false" outlineLevel="0" collapsed="false"/>
    <row r="435" customFormat="false" ht="12.75" hidden="false" customHeight="false" outlineLevel="0" collapsed="false"/>
    <row r="436" customFormat="false" ht="12.75" hidden="false" customHeight="false" outlineLevel="0" collapsed="false"/>
    <row r="437" customFormat="false" ht="12.75" hidden="false" customHeight="false" outlineLevel="0" collapsed="false"/>
    <row r="438" customFormat="false" ht="12.75" hidden="false" customHeight="false" outlineLevel="0" collapsed="false"/>
    <row r="439" customFormat="false" ht="12.75" hidden="false" customHeight="false" outlineLevel="0" collapsed="false"/>
    <row r="440" customFormat="false" ht="12.75" hidden="false" customHeight="false" outlineLevel="0" collapsed="false"/>
    <row r="441" customFormat="false" ht="12.75" hidden="false" customHeight="false" outlineLevel="0" collapsed="false"/>
    <row r="442" customFormat="false" ht="12.75" hidden="false" customHeight="false" outlineLevel="0" collapsed="false"/>
    <row r="443" customFormat="false" ht="12.75" hidden="false" customHeight="false" outlineLevel="0" collapsed="false"/>
    <row r="444" customFormat="false" ht="12.75" hidden="false" customHeight="false" outlineLevel="0" collapsed="false"/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/>
    <row r="455" customFormat="false" ht="12.75" hidden="false" customHeight="false" outlineLevel="0" collapsed="false"/>
    <row r="456" customFormat="false" ht="12.75" hidden="false" customHeight="false" outlineLevel="0" collapsed="false"/>
    <row r="457" customFormat="false" ht="12.75" hidden="false" customHeight="false" outlineLevel="0" collapsed="false"/>
    <row r="458" customFormat="false" ht="12.75" hidden="false" customHeight="false" outlineLevel="0" collapsed="false"/>
    <row r="459" customFormat="false" ht="12.75" hidden="false" customHeight="false" outlineLevel="0" collapsed="false"/>
    <row r="460" customFormat="false" ht="12.75" hidden="false" customHeight="false" outlineLevel="0" collapsed="false"/>
    <row r="461" customFormat="false" ht="12.75" hidden="false" customHeight="false" outlineLevel="0" collapsed="false"/>
    <row r="462" customFormat="false" ht="12.75" hidden="false" customHeight="false" outlineLevel="0" collapsed="false"/>
    <row r="463" customFormat="false" ht="12.75" hidden="false" customHeight="false" outlineLevel="0" collapsed="false"/>
    <row r="464" customFormat="false" ht="12.75" hidden="false" customHeight="false" outlineLevel="0" collapsed="false"/>
    <row r="465" customFormat="false" ht="12.75" hidden="false" customHeight="false" outlineLevel="0" collapsed="false"/>
    <row r="466" customFormat="false" ht="12.75" hidden="false" customHeight="false" outlineLevel="0" collapsed="false"/>
    <row r="467" customFormat="false" ht="12.75" hidden="false" customHeight="false" outlineLevel="0" collapsed="false"/>
    <row r="468" customFormat="false" ht="12.75" hidden="false" customHeight="false" outlineLevel="0" collapsed="false"/>
    <row r="469" customFormat="false" ht="12.75" hidden="false" customHeight="false" outlineLevel="0" collapsed="false"/>
    <row r="470" customFormat="false" ht="12.75" hidden="false" customHeight="false" outlineLevel="0" collapsed="false"/>
    <row r="471" customFormat="false" ht="12.75" hidden="false" customHeight="false" outlineLevel="0" collapsed="false"/>
    <row r="472" customFormat="false" ht="12.75" hidden="false" customHeight="false" outlineLevel="0" collapsed="false"/>
    <row r="473" customFormat="false" ht="12.75" hidden="false" customHeight="false" outlineLevel="0" collapsed="false"/>
    <row r="474" customFormat="false" ht="12.75" hidden="false" customHeight="false" outlineLevel="0" collapsed="false"/>
    <row r="475" customFormat="false" ht="12.75" hidden="false" customHeight="false" outlineLevel="0" collapsed="false"/>
    <row r="476" customFormat="false" ht="12.75" hidden="false" customHeight="false" outlineLevel="0" collapsed="false"/>
    <row r="477" customFormat="false" ht="12.75" hidden="false" customHeight="false" outlineLevel="0" collapsed="false"/>
    <row r="478" customFormat="false" ht="12.75" hidden="false" customHeight="false" outlineLevel="0" collapsed="false"/>
    <row r="479" customFormat="false" ht="12.75" hidden="false" customHeight="false" outlineLevel="0" collapsed="false"/>
    <row r="480" customFormat="false" ht="12.75" hidden="false" customHeight="false" outlineLevel="0" collapsed="false"/>
    <row r="481" customFormat="false" ht="12.75" hidden="false" customHeight="false" outlineLevel="0" collapsed="false"/>
    <row r="482" customFormat="false" ht="12.75" hidden="false" customHeight="false" outlineLevel="0" collapsed="false"/>
    <row r="483" customFormat="false" ht="12.75" hidden="false" customHeight="false" outlineLevel="0" collapsed="false"/>
    <row r="484" customFormat="false" ht="12.75" hidden="false" customHeight="false" outlineLevel="0" collapsed="false"/>
    <row r="485" customFormat="false" ht="12.75" hidden="false" customHeight="false" outlineLevel="0" collapsed="false"/>
    <row r="486" customFormat="false" ht="12.75" hidden="false" customHeight="false" outlineLevel="0" collapsed="false"/>
    <row r="487" customFormat="false" ht="12.75" hidden="false" customHeight="false" outlineLevel="0" collapsed="false"/>
    <row r="488" customFormat="false" ht="12.75" hidden="false" customHeight="false" outlineLevel="0" collapsed="false"/>
    <row r="489" customFormat="false" ht="12.75" hidden="false" customHeight="false" outlineLevel="0" collapsed="false"/>
    <row r="490" customFormat="false" ht="12.75" hidden="false" customHeight="false" outlineLevel="0" collapsed="false"/>
    <row r="491" customFormat="false" ht="12.75" hidden="false" customHeight="false" outlineLevel="0" collapsed="false"/>
    <row r="492" customFormat="false" ht="12.75" hidden="false" customHeight="false" outlineLevel="0" collapsed="false"/>
    <row r="493" customFormat="false" ht="12.75" hidden="false" customHeight="false" outlineLevel="0" collapsed="false"/>
    <row r="494" customFormat="false" ht="12.75" hidden="false" customHeight="false" outlineLevel="0" collapsed="false"/>
    <row r="495" customFormat="false" ht="12.75" hidden="false" customHeight="false" outlineLevel="0" collapsed="false"/>
    <row r="496" customFormat="false" ht="12.75" hidden="false" customHeight="false" outlineLevel="0" collapsed="false"/>
    <row r="497" customFormat="false" ht="12.75" hidden="false" customHeight="false" outlineLevel="0" collapsed="false"/>
    <row r="498" customFormat="false" ht="12.75" hidden="false" customHeight="false" outlineLevel="0" collapsed="false"/>
    <row r="499" customFormat="false" ht="12.75" hidden="false" customHeight="false" outlineLevel="0" collapsed="false"/>
    <row r="500" customFormat="false" ht="12.75" hidden="false" customHeight="false" outlineLevel="0" collapsed="false"/>
    <row r="501" customFormat="false" ht="12.75" hidden="false" customHeight="false" outlineLevel="0" collapsed="false"/>
    <row r="502" customFormat="false" ht="12.75" hidden="false" customHeight="false" outlineLevel="0" collapsed="false"/>
    <row r="503" customFormat="false" ht="12.75" hidden="false" customHeight="false" outlineLevel="0" collapsed="false"/>
    <row r="504" customFormat="false" ht="12.75" hidden="false" customHeight="false" outlineLevel="0" collapsed="false"/>
    <row r="505" customFormat="false" ht="12.75" hidden="false" customHeight="false" outlineLevel="0" collapsed="false"/>
    <row r="506" customFormat="false" ht="12.75" hidden="false" customHeight="false" outlineLevel="0" collapsed="false"/>
    <row r="507" customFormat="false" ht="12.75" hidden="false" customHeight="false" outlineLevel="0" collapsed="false"/>
    <row r="508" customFormat="false" ht="12.75" hidden="false" customHeight="false" outlineLevel="0" collapsed="false"/>
    <row r="509" customFormat="false" ht="12.75" hidden="false" customHeight="false" outlineLevel="0" collapsed="false"/>
    <row r="510" customFormat="false" ht="12.75" hidden="false" customHeight="false" outlineLevel="0" collapsed="false"/>
    <row r="511" customFormat="false" ht="12.75" hidden="false" customHeight="false" outlineLevel="0" collapsed="false"/>
    <row r="512" customFormat="false" ht="12.75" hidden="false" customHeight="false" outlineLevel="0" collapsed="false"/>
    <row r="513" customFormat="false" ht="12.75" hidden="false" customHeight="false" outlineLevel="0" collapsed="false"/>
    <row r="514" customFormat="false" ht="12.75" hidden="false" customHeight="false" outlineLevel="0" collapsed="false"/>
    <row r="515" customFormat="false" ht="12.75" hidden="false" customHeight="false" outlineLevel="0" collapsed="false"/>
    <row r="516" customFormat="false" ht="12.75" hidden="false" customHeight="false" outlineLevel="0" collapsed="false"/>
    <row r="517" customFormat="false" ht="12.75" hidden="false" customHeight="false" outlineLevel="0" collapsed="false"/>
    <row r="518" customFormat="false" ht="12.75" hidden="false" customHeight="false" outlineLevel="0" collapsed="false"/>
    <row r="519" customFormat="false" ht="12.75" hidden="false" customHeight="false" outlineLevel="0" collapsed="false"/>
    <row r="520" customFormat="false" ht="12.75" hidden="false" customHeight="false" outlineLevel="0" collapsed="false"/>
    <row r="521" customFormat="false" ht="12.75" hidden="false" customHeight="false" outlineLevel="0" collapsed="false"/>
    <row r="522" customFormat="false" ht="12.75" hidden="false" customHeight="false" outlineLevel="0" collapsed="false"/>
    <row r="523" customFormat="false" ht="12.75" hidden="false" customHeight="false" outlineLevel="0" collapsed="false"/>
    <row r="524" customFormat="false" ht="12.75" hidden="false" customHeight="false" outlineLevel="0" collapsed="false"/>
    <row r="525" customFormat="false" ht="12.75" hidden="false" customHeight="false" outlineLevel="0" collapsed="false"/>
    <row r="526" customFormat="false" ht="12.75" hidden="false" customHeight="false" outlineLevel="0" collapsed="false"/>
    <row r="527" customFormat="false" ht="12.75" hidden="false" customHeight="false" outlineLevel="0" collapsed="false"/>
    <row r="528" customFormat="false" ht="12.75" hidden="false" customHeight="false" outlineLevel="0" collapsed="false"/>
    <row r="529" customFormat="false" ht="12.75" hidden="false" customHeight="false" outlineLevel="0" collapsed="false"/>
    <row r="530" customFormat="false" ht="12.75" hidden="false" customHeight="false" outlineLevel="0" collapsed="false"/>
    <row r="531" customFormat="false" ht="12.75" hidden="false" customHeight="false" outlineLevel="0" collapsed="false"/>
    <row r="532" customFormat="false" ht="12.75" hidden="false" customHeight="false" outlineLevel="0" collapsed="false"/>
    <row r="533" customFormat="false" ht="12.75" hidden="false" customHeight="false" outlineLevel="0" collapsed="false"/>
    <row r="534" customFormat="false" ht="12.75" hidden="false" customHeight="false" outlineLevel="0" collapsed="false"/>
    <row r="535" customFormat="false" ht="12.75" hidden="false" customHeight="false" outlineLevel="0" collapsed="false"/>
    <row r="536" customFormat="false" ht="12.75" hidden="false" customHeight="false" outlineLevel="0" collapsed="false"/>
    <row r="537" customFormat="false" ht="12.75" hidden="false" customHeight="false" outlineLevel="0" collapsed="false"/>
    <row r="538" customFormat="false" ht="12.75" hidden="false" customHeight="false" outlineLevel="0" collapsed="false"/>
    <row r="539" customFormat="false" ht="12.75" hidden="false" customHeight="false" outlineLevel="0" collapsed="false"/>
    <row r="540" customFormat="false" ht="12.75" hidden="false" customHeight="false" outlineLevel="0" collapsed="false"/>
    <row r="541" customFormat="false" ht="12.75" hidden="false" customHeight="false" outlineLevel="0" collapsed="false"/>
    <row r="542" customFormat="false" ht="12.75" hidden="false" customHeight="false" outlineLevel="0" collapsed="false"/>
    <row r="543" customFormat="false" ht="12.75" hidden="false" customHeight="false" outlineLevel="0" collapsed="false"/>
    <row r="544" customFormat="false" ht="12.75" hidden="false" customHeight="false" outlineLevel="0" collapsed="false"/>
    <row r="545" customFormat="false" ht="12.75" hidden="false" customHeight="false" outlineLevel="0" collapsed="false"/>
    <row r="546" customFormat="false" ht="12.75" hidden="false" customHeight="false" outlineLevel="0" collapsed="false"/>
    <row r="547" customFormat="false" ht="12.75" hidden="false" customHeight="false" outlineLevel="0" collapsed="false"/>
    <row r="548" customFormat="false" ht="12.75" hidden="false" customHeight="false" outlineLevel="0" collapsed="false"/>
    <row r="549" customFormat="false" ht="12.75" hidden="false" customHeight="false" outlineLevel="0" collapsed="false"/>
    <row r="550" customFormat="false" ht="12.75" hidden="false" customHeight="false" outlineLevel="0" collapsed="false"/>
    <row r="551" customFormat="false" ht="12.75" hidden="false" customHeight="false" outlineLevel="0" collapsed="false"/>
    <row r="552" customFormat="false" ht="12.75" hidden="false" customHeight="false" outlineLevel="0" collapsed="false"/>
    <row r="553" customFormat="false" ht="12.75" hidden="false" customHeight="false" outlineLevel="0" collapsed="false"/>
    <row r="554" customFormat="false" ht="12.75" hidden="false" customHeight="false" outlineLevel="0" collapsed="false"/>
    <row r="555" customFormat="false" ht="12.75" hidden="false" customHeight="false" outlineLevel="0" collapsed="false"/>
    <row r="556" customFormat="false" ht="12.75" hidden="false" customHeight="false" outlineLevel="0" collapsed="false"/>
    <row r="557" customFormat="false" ht="12.75" hidden="false" customHeight="false" outlineLevel="0" collapsed="false"/>
    <row r="558" customFormat="false" ht="12.75" hidden="false" customHeight="false" outlineLevel="0" collapsed="false"/>
    <row r="559" customFormat="false" ht="12.75" hidden="false" customHeight="false" outlineLevel="0" collapsed="false"/>
    <row r="560" customFormat="false" ht="12.75" hidden="false" customHeight="false" outlineLevel="0" collapsed="false"/>
    <row r="561" customFormat="false" ht="12.75" hidden="false" customHeight="false" outlineLevel="0" collapsed="false"/>
    <row r="562" customFormat="false" ht="12.75" hidden="false" customHeight="false" outlineLevel="0" collapsed="false"/>
    <row r="563" customFormat="false" ht="12.75" hidden="false" customHeight="false" outlineLevel="0" collapsed="false"/>
    <row r="564" customFormat="false" ht="12.75" hidden="false" customHeight="false" outlineLevel="0" collapsed="false"/>
    <row r="565" customFormat="false" ht="12.75" hidden="false" customHeight="false" outlineLevel="0" collapsed="false"/>
    <row r="566" customFormat="false" ht="12.75" hidden="false" customHeight="false" outlineLevel="0" collapsed="false"/>
    <row r="567" customFormat="false" ht="12.75" hidden="false" customHeight="false" outlineLevel="0" collapsed="false"/>
    <row r="568" customFormat="false" ht="12.75" hidden="false" customHeight="false" outlineLevel="0" collapsed="false"/>
    <row r="569" customFormat="false" ht="12.75" hidden="false" customHeight="false" outlineLevel="0" collapsed="false"/>
    <row r="570" customFormat="false" ht="12.75" hidden="false" customHeight="false" outlineLevel="0" collapsed="false"/>
    <row r="571" customFormat="false" ht="12.75" hidden="false" customHeight="false" outlineLevel="0" collapsed="false"/>
    <row r="572" customFormat="false" ht="12.75" hidden="false" customHeight="false" outlineLevel="0" collapsed="false"/>
    <row r="573" customFormat="false" ht="12.75" hidden="false" customHeight="false" outlineLevel="0" collapsed="false"/>
    <row r="574" customFormat="false" ht="12.75" hidden="false" customHeight="false" outlineLevel="0" collapsed="false"/>
    <row r="575" customFormat="false" ht="12.75" hidden="false" customHeight="false" outlineLevel="0" collapsed="false"/>
    <row r="576" customFormat="false" ht="12.75" hidden="false" customHeight="false" outlineLevel="0" collapsed="false"/>
    <row r="577" customFormat="false" ht="12.75" hidden="false" customHeight="false" outlineLevel="0" collapsed="false"/>
    <row r="578" customFormat="false" ht="12.75" hidden="false" customHeight="false" outlineLevel="0" collapsed="false"/>
    <row r="579" customFormat="false" ht="12.75" hidden="false" customHeight="false" outlineLevel="0" collapsed="false"/>
    <row r="580" customFormat="false" ht="12.75" hidden="false" customHeight="false" outlineLevel="0" collapsed="false"/>
    <row r="581" customFormat="false" ht="12.75" hidden="false" customHeight="false" outlineLevel="0" collapsed="false"/>
    <row r="582" customFormat="false" ht="12.75" hidden="false" customHeight="false" outlineLevel="0" collapsed="false"/>
    <row r="583" customFormat="false" ht="12.75" hidden="false" customHeight="false" outlineLevel="0" collapsed="false"/>
    <row r="584" customFormat="false" ht="12.75" hidden="false" customHeight="false" outlineLevel="0" collapsed="false"/>
    <row r="585" customFormat="false" ht="12.75" hidden="false" customHeight="false" outlineLevel="0" collapsed="false"/>
    <row r="586" customFormat="false" ht="12.75" hidden="false" customHeight="false" outlineLevel="0" collapsed="false"/>
    <row r="587" customFormat="false" ht="12.75" hidden="false" customHeight="false" outlineLevel="0" collapsed="false"/>
    <row r="588" customFormat="false" ht="12.75" hidden="false" customHeight="false" outlineLevel="0" collapsed="false"/>
    <row r="589" customFormat="false" ht="12.75" hidden="false" customHeight="false" outlineLevel="0" collapsed="false"/>
    <row r="590" customFormat="false" ht="12.75" hidden="false" customHeight="false" outlineLevel="0" collapsed="false"/>
    <row r="591" customFormat="false" ht="12.75" hidden="false" customHeight="false" outlineLevel="0" collapsed="false"/>
    <row r="592" customFormat="false" ht="12.75" hidden="false" customHeight="false" outlineLevel="0" collapsed="false"/>
    <row r="593" customFormat="false" ht="12.75" hidden="false" customHeight="false" outlineLevel="0" collapsed="false"/>
    <row r="594" customFormat="false" ht="12.75" hidden="false" customHeight="false" outlineLevel="0" collapsed="false"/>
    <row r="595" customFormat="false" ht="12.75" hidden="false" customHeight="false" outlineLevel="0" collapsed="false"/>
    <row r="596" customFormat="false" ht="12.75" hidden="false" customHeight="false" outlineLevel="0" collapsed="false"/>
    <row r="597" customFormat="false" ht="12.75" hidden="false" customHeight="false" outlineLevel="0" collapsed="false"/>
    <row r="598" customFormat="false" ht="12.75" hidden="false" customHeight="false" outlineLevel="0" collapsed="false"/>
    <row r="599" customFormat="false" ht="12.75" hidden="false" customHeight="false" outlineLevel="0" collapsed="false"/>
    <row r="600" customFormat="false" ht="12.75" hidden="false" customHeight="false" outlineLevel="0" collapsed="false"/>
    <row r="601" customFormat="false" ht="12.75" hidden="false" customHeight="false" outlineLevel="0" collapsed="false"/>
    <row r="602" customFormat="false" ht="12.75" hidden="false" customHeight="false" outlineLevel="0" collapsed="false"/>
    <row r="603" customFormat="false" ht="12.75" hidden="false" customHeight="false" outlineLevel="0" collapsed="false"/>
    <row r="604" customFormat="false" ht="12.75" hidden="false" customHeight="false" outlineLevel="0" collapsed="false"/>
    <row r="605" customFormat="false" ht="12.75" hidden="false" customHeight="false" outlineLevel="0" collapsed="false"/>
    <row r="606" customFormat="false" ht="12.75" hidden="false" customHeight="false" outlineLevel="0" collapsed="false"/>
    <row r="607" customFormat="false" ht="12.75" hidden="false" customHeight="false" outlineLevel="0" collapsed="false"/>
    <row r="608" customFormat="false" ht="12.75" hidden="false" customHeight="false" outlineLevel="0" collapsed="false"/>
    <row r="609" customFormat="false" ht="12.75" hidden="false" customHeight="false" outlineLevel="0" collapsed="false"/>
    <row r="610" customFormat="false" ht="12.75" hidden="false" customHeight="false" outlineLevel="0" collapsed="false"/>
    <row r="611" customFormat="false" ht="12.75" hidden="false" customHeight="false" outlineLevel="0" collapsed="false"/>
    <row r="612" customFormat="false" ht="12.75" hidden="false" customHeight="false" outlineLevel="0" collapsed="false"/>
    <row r="613" customFormat="false" ht="12.75" hidden="false" customHeight="false" outlineLevel="0" collapsed="false"/>
    <row r="614" customFormat="false" ht="12.75" hidden="false" customHeight="false" outlineLevel="0" collapsed="false"/>
    <row r="615" customFormat="false" ht="12.75" hidden="false" customHeight="false" outlineLevel="0" collapsed="false"/>
    <row r="616" customFormat="false" ht="12.75" hidden="false" customHeight="false" outlineLevel="0" collapsed="false"/>
    <row r="617" customFormat="false" ht="12.75" hidden="false" customHeight="false" outlineLevel="0" collapsed="false"/>
    <row r="618" customFormat="false" ht="12.75" hidden="false" customHeight="false" outlineLevel="0" collapsed="false"/>
    <row r="619" customFormat="false" ht="12.75" hidden="false" customHeight="false" outlineLevel="0" collapsed="false"/>
    <row r="620" customFormat="false" ht="12.75" hidden="false" customHeight="false" outlineLevel="0" collapsed="false"/>
    <row r="621" customFormat="false" ht="12.75" hidden="false" customHeight="false" outlineLevel="0" collapsed="false"/>
    <row r="622" customFormat="false" ht="12.75" hidden="false" customHeight="false" outlineLevel="0" collapsed="false"/>
    <row r="623" customFormat="false" ht="12.75" hidden="false" customHeight="false" outlineLevel="0" collapsed="false"/>
    <row r="624" customFormat="false" ht="12.75" hidden="false" customHeight="false" outlineLevel="0" collapsed="false"/>
    <row r="625" customFormat="false" ht="12.75" hidden="false" customHeight="false" outlineLevel="0" collapsed="false"/>
    <row r="626" customFormat="false" ht="12.75" hidden="false" customHeight="false" outlineLevel="0" collapsed="false"/>
    <row r="627" customFormat="false" ht="12.75" hidden="false" customHeight="false" outlineLevel="0" collapsed="false"/>
    <row r="628" customFormat="false" ht="12.75" hidden="false" customHeight="false" outlineLevel="0" collapsed="false"/>
    <row r="629" customFormat="false" ht="12.75" hidden="false" customHeight="false" outlineLevel="0" collapsed="false"/>
    <row r="630" customFormat="false" ht="12.75" hidden="false" customHeight="false" outlineLevel="0" collapsed="false"/>
    <row r="631" customFormat="false" ht="12.75" hidden="false" customHeight="false" outlineLevel="0" collapsed="false"/>
    <row r="632" customFormat="false" ht="12.75" hidden="false" customHeight="false" outlineLevel="0" collapsed="false"/>
    <row r="633" customFormat="false" ht="12.75" hidden="false" customHeight="false" outlineLevel="0" collapsed="false"/>
    <row r="634" customFormat="false" ht="12.75" hidden="false" customHeight="false" outlineLevel="0" collapsed="false"/>
    <row r="635" customFormat="false" ht="12.75" hidden="false" customHeight="false" outlineLevel="0" collapsed="false"/>
    <row r="636" customFormat="false" ht="12.75" hidden="false" customHeight="false" outlineLevel="0" collapsed="false"/>
    <row r="637" customFormat="false" ht="12.75" hidden="false" customHeight="false" outlineLevel="0" collapsed="false"/>
    <row r="638" customFormat="false" ht="12.75" hidden="false" customHeight="false" outlineLevel="0" collapsed="false"/>
    <row r="639" customFormat="false" ht="12.75" hidden="false" customHeight="false" outlineLevel="0" collapsed="false"/>
    <row r="640" customFormat="false" ht="12.75" hidden="false" customHeight="false" outlineLevel="0" collapsed="false"/>
    <row r="641" customFormat="false" ht="12.75" hidden="false" customHeight="false" outlineLevel="0" collapsed="false"/>
    <row r="642" customFormat="false" ht="12.75" hidden="false" customHeight="false" outlineLevel="0" collapsed="false"/>
    <row r="643" customFormat="false" ht="12.75" hidden="false" customHeight="false" outlineLevel="0" collapsed="false"/>
    <row r="644" customFormat="false" ht="12.75" hidden="false" customHeight="false" outlineLevel="0" collapsed="false"/>
    <row r="645" customFormat="false" ht="12.75" hidden="false" customHeight="false" outlineLevel="0" collapsed="false"/>
    <row r="646" customFormat="false" ht="12.75" hidden="false" customHeight="false" outlineLevel="0" collapsed="false"/>
    <row r="647" customFormat="false" ht="12.75" hidden="false" customHeight="false" outlineLevel="0" collapsed="false"/>
    <row r="648" customFormat="false" ht="12.75" hidden="false" customHeight="false" outlineLevel="0" collapsed="false"/>
    <row r="649" customFormat="false" ht="12.75" hidden="false" customHeight="false" outlineLevel="0" collapsed="false"/>
    <row r="650" customFormat="false" ht="12.75" hidden="false" customHeight="false" outlineLevel="0" collapsed="false"/>
    <row r="651" customFormat="false" ht="12.75" hidden="false" customHeight="false" outlineLevel="0" collapsed="false"/>
    <row r="652" customFormat="false" ht="12.75" hidden="false" customHeight="false" outlineLevel="0" collapsed="false"/>
    <row r="653" customFormat="false" ht="12.75" hidden="false" customHeight="false" outlineLevel="0" collapsed="false"/>
    <row r="654" customFormat="false" ht="12.75" hidden="false" customHeight="false" outlineLevel="0" collapsed="false"/>
    <row r="655" customFormat="false" ht="12.75" hidden="false" customHeight="false" outlineLevel="0" collapsed="false"/>
    <row r="656" customFormat="false" ht="12.75" hidden="false" customHeight="false" outlineLevel="0" collapsed="false"/>
    <row r="657" customFormat="false" ht="12.75" hidden="false" customHeight="false" outlineLevel="0" collapsed="false"/>
    <row r="658" customFormat="false" ht="12.75" hidden="false" customHeight="false" outlineLevel="0" collapsed="false"/>
    <row r="659" customFormat="false" ht="12.75" hidden="false" customHeight="false" outlineLevel="0" collapsed="false"/>
    <row r="660" customFormat="false" ht="12.75" hidden="false" customHeight="false" outlineLevel="0" collapsed="false"/>
    <row r="661" customFormat="false" ht="12.75" hidden="false" customHeight="false" outlineLevel="0" collapsed="false"/>
    <row r="662" customFormat="false" ht="12.75" hidden="false" customHeight="false" outlineLevel="0" collapsed="false"/>
    <row r="663" customFormat="false" ht="12.75" hidden="false" customHeight="false" outlineLevel="0" collapsed="false"/>
    <row r="664" customFormat="false" ht="12.75" hidden="false" customHeight="false" outlineLevel="0" collapsed="false"/>
    <row r="665" customFormat="false" ht="12.75" hidden="false" customHeight="false" outlineLevel="0" collapsed="false"/>
    <row r="666" customFormat="false" ht="12.75" hidden="false" customHeight="false" outlineLevel="0" collapsed="false"/>
    <row r="667" customFormat="false" ht="12.75" hidden="false" customHeight="false" outlineLevel="0" collapsed="false"/>
    <row r="668" customFormat="false" ht="12.75" hidden="false" customHeight="false" outlineLevel="0" collapsed="false"/>
    <row r="669" customFormat="false" ht="12.75" hidden="false" customHeight="false" outlineLevel="0" collapsed="false"/>
    <row r="670" customFormat="false" ht="12.75" hidden="false" customHeight="false" outlineLevel="0" collapsed="false"/>
    <row r="671" customFormat="false" ht="12.75" hidden="false" customHeight="false" outlineLevel="0" collapsed="false"/>
    <row r="672" customFormat="false" ht="12.75" hidden="false" customHeight="false" outlineLevel="0" collapsed="false"/>
    <row r="673" customFormat="false" ht="12.75" hidden="false" customHeight="false" outlineLevel="0" collapsed="false"/>
    <row r="674" customFormat="false" ht="12.75" hidden="false" customHeight="false" outlineLevel="0" collapsed="false"/>
    <row r="675" customFormat="false" ht="12.75" hidden="false" customHeight="false" outlineLevel="0" collapsed="false"/>
    <row r="676" customFormat="false" ht="12.75" hidden="false" customHeight="false" outlineLevel="0" collapsed="false"/>
    <row r="677" customFormat="false" ht="12.75" hidden="false" customHeight="false" outlineLevel="0" collapsed="false"/>
    <row r="678" customFormat="false" ht="12.75" hidden="false" customHeight="false" outlineLevel="0" collapsed="false"/>
    <row r="679" customFormat="false" ht="12.75" hidden="false" customHeight="false" outlineLevel="0" collapsed="false"/>
    <row r="680" customFormat="false" ht="12.75" hidden="false" customHeight="false" outlineLevel="0" collapsed="false"/>
    <row r="681" customFormat="false" ht="12.75" hidden="false" customHeight="false" outlineLevel="0" collapsed="false"/>
    <row r="682" customFormat="false" ht="12.75" hidden="false" customHeight="false" outlineLevel="0" collapsed="false"/>
    <row r="683" customFormat="false" ht="12.75" hidden="false" customHeight="false" outlineLevel="0" collapsed="false"/>
    <row r="684" customFormat="false" ht="12.75" hidden="false" customHeight="false" outlineLevel="0" collapsed="false"/>
    <row r="685" customFormat="false" ht="12.75" hidden="false" customHeight="false" outlineLevel="0" collapsed="false"/>
    <row r="686" customFormat="false" ht="12.75" hidden="false" customHeight="false" outlineLevel="0" collapsed="false"/>
    <row r="687" customFormat="false" ht="12.75" hidden="false" customHeight="false" outlineLevel="0" collapsed="false"/>
    <row r="688" customFormat="false" ht="12.75" hidden="false" customHeight="false" outlineLevel="0" collapsed="false"/>
    <row r="689" customFormat="false" ht="12.75" hidden="false" customHeight="false" outlineLevel="0" collapsed="false"/>
    <row r="690" customFormat="false" ht="12.75" hidden="false" customHeight="false" outlineLevel="0" collapsed="false"/>
    <row r="691" customFormat="false" ht="12.75" hidden="false" customHeight="false" outlineLevel="0" collapsed="false"/>
    <row r="692" customFormat="false" ht="12.75" hidden="false" customHeight="false" outlineLevel="0" collapsed="false"/>
    <row r="693" customFormat="false" ht="12.75" hidden="false" customHeight="false" outlineLevel="0" collapsed="false"/>
    <row r="694" customFormat="false" ht="12.75" hidden="false" customHeight="false" outlineLevel="0" collapsed="false"/>
    <row r="695" customFormat="false" ht="12.75" hidden="false" customHeight="false" outlineLevel="0" collapsed="false"/>
    <row r="696" customFormat="false" ht="12.75" hidden="false" customHeight="false" outlineLevel="0" collapsed="false"/>
    <row r="697" customFormat="false" ht="12.75" hidden="false" customHeight="false" outlineLevel="0" collapsed="false"/>
    <row r="698" customFormat="false" ht="12.75" hidden="false" customHeight="false" outlineLevel="0" collapsed="false"/>
    <row r="699" customFormat="false" ht="12.75" hidden="false" customHeight="false" outlineLevel="0" collapsed="false"/>
    <row r="700" customFormat="false" ht="12.75" hidden="false" customHeight="false" outlineLevel="0" collapsed="false"/>
    <row r="701" customFormat="false" ht="12.75" hidden="false" customHeight="false" outlineLevel="0" collapsed="false"/>
    <row r="702" customFormat="false" ht="12.75" hidden="false" customHeight="false" outlineLevel="0" collapsed="false"/>
    <row r="703" customFormat="false" ht="12.75" hidden="false" customHeight="false" outlineLevel="0" collapsed="false"/>
    <row r="704" customFormat="false" ht="12.75" hidden="false" customHeight="false" outlineLevel="0" collapsed="false"/>
    <row r="705" customFormat="false" ht="12.75" hidden="false" customHeight="false" outlineLevel="0" collapsed="false"/>
    <row r="706" customFormat="false" ht="12.75" hidden="false" customHeight="false" outlineLevel="0" collapsed="false"/>
    <row r="707" customFormat="false" ht="12.75" hidden="false" customHeight="false" outlineLevel="0" collapsed="false"/>
    <row r="708" customFormat="false" ht="12.75" hidden="false" customHeight="false" outlineLevel="0" collapsed="false"/>
    <row r="709" customFormat="false" ht="12.75" hidden="false" customHeight="false" outlineLevel="0" collapsed="false"/>
    <row r="710" customFormat="false" ht="12.75" hidden="false" customHeight="false" outlineLevel="0" collapsed="false"/>
    <row r="711" customFormat="false" ht="12.75" hidden="false" customHeight="false" outlineLevel="0" collapsed="false"/>
    <row r="712" customFormat="false" ht="12.75" hidden="false" customHeight="false" outlineLevel="0" collapsed="false"/>
    <row r="713" customFormat="false" ht="12.75" hidden="false" customHeight="false" outlineLevel="0" collapsed="false"/>
    <row r="714" customFormat="false" ht="12.75" hidden="false" customHeight="false" outlineLevel="0" collapsed="false"/>
    <row r="715" customFormat="false" ht="12.75" hidden="false" customHeight="false" outlineLevel="0" collapsed="false"/>
    <row r="716" customFormat="false" ht="12.75" hidden="false" customHeight="false" outlineLevel="0" collapsed="false"/>
    <row r="717" customFormat="false" ht="12.75" hidden="false" customHeight="false" outlineLevel="0" collapsed="false"/>
    <row r="718" customFormat="false" ht="12.75" hidden="false" customHeight="false" outlineLevel="0" collapsed="false"/>
    <row r="719" customFormat="false" ht="12.75" hidden="false" customHeight="false" outlineLevel="0" collapsed="false"/>
    <row r="720" customFormat="false" ht="12.75" hidden="false" customHeight="false" outlineLevel="0" collapsed="false"/>
    <row r="721" customFormat="false" ht="12.75" hidden="false" customHeight="false" outlineLevel="0" collapsed="false"/>
    <row r="722" customFormat="false" ht="12.75" hidden="false" customHeight="false" outlineLevel="0" collapsed="false"/>
    <row r="723" customFormat="false" ht="12.75" hidden="false" customHeight="false" outlineLevel="0" collapsed="false"/>
    <row r="724" customFormat="false" ht="12.75" hidden="false" customHeight="false" outlineLevel="0" collapsed="false"/>
    <row r="725" customFormat="false" ht="12.75" hidden="false" customHeight="false" outlineLevel="0" collapsed="false"/>
    <row r="726" customFormat="false" ht="12.75" hidden="false" customHeight="false" outlineLevel="0" collapsed="false"/>
    <row r="727" customFormat="false" ht="12.75" hidden="false" customHeight="false" outlineLevel="0" collapsed="false"/>
    <row r="728" customFormat="false" ht="12.75" hidden="false" customHeight="false" outlineLevel="0" collapsed="false"/>
    <row r="729" customFormat="false" ht="12.75" hidden="false" customHeight="false" outlineLevel="0" collapsed="false"/>
    <row r="730" customFormat="false" ht="12.75" hidden="false" customHeight="false" outlineLevel="0" collapsed="false"/>
    <row r="731" customFormat="false" ht="12.75" hidden="false" customHeight="false" outlineLevel="0" collapsed="false"/>
    <row r="732" customFormat="false" ht="12.75" hidden="false" customHeight="false" outlineLevel="0" collapsed="false"/>
    <row r="733" customFormat="false" ht="12.75" hidden="false" customHeight="false" outlineLevel="0" collapsed="false"/>
    <row r="734" customFormat="false" ht="12.75" hidden="false" customHeight="false" outlineLevel="0" collapsed="false"/>
    <row r="735" customFormat="false" ht="12.75" hidden="false" customHeight="false" outlineLevel="0" collapsed="false"/>
    <row r="736" customFormat="false" ht="12.75" hidden="false" customHeight="false" outlineLevel="0" collapsed="false"/>
    <row r="737" customFormat="false" ht="12.75" hidden="false" customHeight="false" outlineLevel="0" collapsed="false"/>
    <row r="738" customFormat="false" ht="12.75" hidden="false" customHeight="false" outlineLevel="0" collapsed="false"/>
    <row r="739" customFormat="false" ht="12.75" hidden="false" customHeight="false" outlineLevel="0" collapsed="false"/>
    <row r="740" customFormat="false" ht="12.75" hidden="false" customHeight="false" outlineLevel="0" collapsed="false"/>
    <row r="741" customFormat="false" ht="12.75" hidden="false" customHeight="false" outlineLevel="0" collapsed="false"/>
    <row r="742" customFormat="false" ht="12.75" hidden="false" customHeight="false" outlineLevel="0" collapsed="false"/>
    <row r="743" customFormat="false" ht="12.75" hidden="false" customHeight="false" outlineLevel="0" collapsed="false"/>
    <row r="744" customFormat="false" ht="12.75" hidden="false" customHeight="false" outlineLevel="0" collapsed="false"/>
    <row r="745" customFormat="false" ht="12.75" hidden="false" customHeight="false" outlineLevel="0" collapsed="false"/>
    <row r="746" customFormat="false" ht="12.75" hidden="false" customHeight="false" outlineLevel="0" collapsed="false"/>
    <row r="747" customFormat="false" ht="12.75" hidden="false" customHeight="false" outlineLevel="0" collapsed="false"/>
    <row r="748" customFormat="false" ht="12.75" hidden="false" customHeight="false" outlineLevel="0" collapsed="false"/>
    <row r="749" customFormat="false" ht="12.75" hidden="false" customHeight="false" outlineLevel="0" collapsed="false"/>
    <row r="750" customFormat="false" ht="12.75" hidden="false" customHeight="false" outlineLevel="0" collapsed="false"/>
    <row r="751" customFormat="false" ht="12.75" hidden="false" customHeight="false" outlineLevel="0" collapsed="false"/>
    <row r="752" customFormat="false" ht="12.75" hidden="false" customHeight="false" outlineLevel="0" collapsed="false"/>
    <row r="753" customFormat="false" ht="12.75" hidden="false" customHeight="false" outlineLevel="0" collapsed="false"/>
    <row r="754" customFormat="false" ht="12.75" hidden="false" customHeight="false" outlineLevel="0" collapsed="false"/>
    <row r="755" customFormat="false" ht="12.75" hidden="false" customHeight="false" outlineLevel="0" collapsed="false"/>
    <row r="756" customFormat="false" ht="12.75" hidden="false" customHeight="false" outlineLevel="0" collapsed="false"/>
    <row r="757" customFormat="false" ht="12.75" hidden="false" customHeight="false" outlineLevel="0" collapsed="false"/>
    <row r="758" customFormat="false" ht="12.75" hidden="false" customHeight="false" outlineLevel="0" collapsed="false"/>
    <row r="759" customFormat="false" ht="12.75" hidden="false" customHeight="false" outlineLevel="0" collapsed="false"/>
    <row r="760" customFormat="false" ht="12.75" hidden="false" customHeight="false" outlineLevel="0" collapsed="false"/>
    <row r="761" customFormat="false" ht="12.75" hidden="false" customHeight="false" outlineLevel="0" collapsed="false"/>
    <row r="762" customFormat="false" ht="12.75" hidden="false" customHeight="false" outlineLevel="0" collapsed="false"/>
    <row r="763" customFormat="false" ht="12.75" hidden="false" customHeight="false" outlineLevel="0" collapsed="false"/>
    <row r="764" customFormat="false" ht="12.75" hidden="false" customHeight="false" outlineLevel="0" collapsed="false"/>
    <row r="765" customFormat="false" ht="12.75" hidden="false" customHeight="false" outlineLevel="0" collapsed="false"/>
    <row r="766" customFormat="false" ht="12.75" hidden="false" customHeight="false" outlineLevel="0" collapsed="false"/>
    <row r="767" customFormat="false" ht="12.75" hidden="false" customHeight="false" outlineLevel="0" collapsed="false"/>
    <row r="768" customFormat="false" ht="12.75" hidden="false" customHeight="false" outlineLevel="0" collapsed="false"/>
    <row r="769" customFormat="false" ht="12.75" hidden="false" customHeight="false" outlineLevel="0" collapsed="false"/>
    <row r="770" customFormat="false" ht="12.75" hidden="false" customHeight="false" outlineLevel="0" collapsed="false"/>
    <row r="771" customFormat="false" ht="12.75" hidden="false" customHeight="false" outlineLevel="0" collapsed="false"/>
    <row r="772" customFormat="false" ht="12.75" hidden="false" customHeight="false" outlineLevel="0" collapsed="false"/>
    <row r="773" customFormat="false" ht="12.75" hidden="false" customHeight="false" outlineLevel="0" collapsed="false"/>
    <row r="774" customFormat="false" ht="12.75" hidden="false" customHeight="false" outlineLevel="0" collapsed="false"/>
    <row r="775" customFormat="false" ht="12.75" hidden="false" customHeight="false" outlineLevel="0" collapsed="false"/>
    <row r="776" customFormat="false" ht="12.75" hidden="false" customHeight="false" outlineLevel="0" collapsed="false"/>
    <row r="777" customFormat="false" ht="12.75" hidden="false" customHeight="false" outlineLevel="0" collapsed="false"/>
    <row r="778" customFormat="false" ht="12.75" hidden="false" customHeight="false" outlineLevel="0" collapsed="false"/>
    <row r="779" customFormat="false" ht="12.75" hidden="false" customHeight="false" outlineLevel="0" collapsed="false"/>
    <row r="780" customFormat="false" ht="12.75" hidden="false" customHeight="false" outlineLevel="0" collapsed="false"/>
    <row r="781" customFormat="false" ht="12.75" hidden="false" customHeight="false" outlineLevel="0" collapsed="false"/>
    <row r="782" customFormat="false" ht="12.75" hidden="false" customHeight="false" outlineLevel="0" collapsed="false"/>
    <row r="783" customFormat="false" ht="12.75" hidden="false" customHeight="false" outlineLevel="0" collapsed="false"/>
    <row r="784" customFormat="false" ht="12.75" hidden="false" customHeight="false" outlineLevel="0" collapsed="false"/>
    <row r="785" customFormat="false" ht="12.75" hidden="false" customHeight="false" outlineLevel="0" collapsed="false"/>
    <row r="786" customFormat="false" ht="12.75" hidden="false" customHeight="false" outlineLevel="0" collapsed="false"/>
    <row r="787" customFormat="false" ht="12.75" hidden="false" customHeight="false" outlineLevel="0" collapsed="false"/>
    <row r="788" customFormat="false" ht="12.75" hidden="false" customHeight="false" outlineLevel="0" collapsed="false"/>
    <row r="789" customFormat="false" ht="12.75" hidden="false" customHeight="false" outlineLevel="0" collapsed="false"/>
    <row r="790" customFormat="false" ht="12.75" hidden="false" customHeight="false" outlineLevel="0" collapsed="false"/>
    <row r="791" customFormat="false" ht="12.75" hidden="false" customHeight="false" outlineLevel="0" collapsed="false"/>
    <row r="792" customFormat="false" ht="12.75" hidden="false" customHeight="false" outlineLevel="0" collapsed="false"/>
    <row r="793" customFormat="false" ht="12.75" hidden="false" customHeight="false" outlineLevel="0" collapsed="false"/>
    <row r="794" customFormat="false" ht="12.75" hidden="false" customHeight="false" outlineLevel="0" collapsed="false"/>
    <row r="795" customFormat="false" ht="12.75" hidden="false" customHeight="false" outlineLevel="0" collapsed="false"/>
    <row r="796" customFormat="false" ht="12.75" hidden="false" customHeight="false" outlineLevel="0" collapsed="false"/>
    <row r="797" customFormat="false" ht="12.75" hidden="false" customHeight="false" outlineLevel="0" collapsed="false"/>
    <row r="798" customFormat="false" ht="12.75" hidden="false" customHeight="false" outlineLevel="0" collapsed="false"/>
    <row r="799" customFormat="false" ht="12.75" hidden="false" customHeight="false" outlineLevel="0" collapsed="false"/>
    <row r="800" customFormat="false" ht="12.75" hidden="false" customHeight="false" outlineLevel="0" collapsed="false"/>
    <row r="801" customFormat="false" ht="12.75" hidden="false" customHeight="false" outlineLevel="0" collapsed="false"/>
    <row r="802" customFormat="false" ht="12.75" hidden="false" customHeight="false" outlineLevel="0" collapsed="false"/>
    <row r="803" customFormat="false" ht="12.75" hidden="false" customHeight="false" outlineLevel="0" collapsed="false"/>
    <row r="804" customFormat="false" ht="12.75" hidden="false" customHeight="false" outlineLevel="0" collapsed="false"/>
    <row r="805" customFormat="false" ht="12.75" hidden="false" customHeight="false" outlineLevel="0" collapsed="false"/>
    <row r="806" customFormat="false" ht="12.75" hidden="false" customHeight="false" outlineLevel="0" collapsed="false"/>
    <row r="807" customFormat="false" ht="12.75" hidden="false" customHeight="false" outlineLevel="0" collapsed="false"/>
    <row r="808" customFormat="false" ht="12.75" hidden="false" customHeight="false" outlineLevel="0" collapsed="false"/>
    <row r="809" customFormat="false" ht="12.75" hidden="false" customHeight="false" outlineLevel="0" collapsed="false"/>
    <row r="810" customFormat="false" ht="12.75" hidden="false" customHeight="false" outlineLevel="0" collapsed="false"/>
    <row r="811" customFormat="false" ht="12.75" hidden="false" customHeight="false" outlineLevel="0" collapsed="false"/>
    <row r="812" customFormat="false" ht="12.75" hidden="false" customHeight="false" outlineLevel="0" collapsed="false"/>
    <row r="813" customFormat="false" ht="12.75" hidden="false" customHeight="false" outlineLevel="0" collapsed="false"/>
    <row r="814" customFormat="false" ht="12.75" hidden="false" customHeight="false" outlineLevel="0" collapsed="false"/>
    <row r="815" customFormat="false" ht="12.75" hidden="false" customHeight="false" outlineLevel="0" collapsed="false"/>
    <row r="816" customFormat="false" ht="12.75" hidden="false" customHeight="false" outlineLevel="0" collapsed="false"/>
    <row r="817" customFormat="false" ht="12.75" hidden="false" customHeight="false" outlineLevel="0" collapsed="false"/>
    <row r="818" customFormat="false" ht="12.75" hidden="false" customHeight="false" outlineLevel="0" collapsed="false"/>
    <row r="819" customFormat="false" ht="12.75" hidden="false" customHeight="false" outlineLevel="0" collapsed="false"/>
    <row r="820" customFormat="false" ht="12.75" hidden="false" customHeight="false" outlineLevel="0" collapsed="false"/>
    <row r="821" customFormat="false" ht="12.75" hidden="false" customHeight="false" outlineLevel="0" collapsed="false"/>
    <row r="822" customFormat="false" ht="12.75" hidden="false" customHeight="false" outlineLevel="0" collapsed="false"/>
    <row r="823" customFormat="false" ht="12.75" hidden="false" customHeight="false" outlineLevel="0" collapsed="false"/>
    <row r="824" customFormat="false" ht="12.75" hidden="false" customHeight="false" outlineLevel="0" collapsed="false"/>
    <row r="825" customFormat="false" ht="12.75" hidden="false" customHeight="false" outlineLevel="0" collapsed="false"/>
    <row r="826" customFormat="false" ht="12.75" hidden="false" customHeight="false" outlineLevel="0" collapsed="false"/>
    <row r="827" customFormat="false" ht="12.75" hidden="false" customHeight="false" outlineLevel="0" collapsed="false"/>
    <row r="828" customFormat="false" ht="12.75" hidden="false" customHeight="false" outlineLevel="0" collapsed="false"/>
    <row r="829" customFormat="false" ht="12.75" hidden="false" customHeight="false" outlineLevel="0" collapsed="false"/>
    <row r="830" customFormat="false" ht="12.75" hidden="false" customHeight="false" outlineLevel="0" collapsed="false"/>
    <row r="831" customFormat="false" ht="12.75" hidden="false" customHeight="false" outlineLevel="0" collapsed="false"/>
    <row r="832" customFormat="false" ht="12.75" hidden="false" customHeight="false" outlineLevel="0" collapsed="false"/>
    <row r="833" customFormat="false" ht="12.75" hidden="false" customHeight="false" outlineLevel="0" collapsed="false"/>
    <row r="834" customFormat="false" ht="12.75" hidden="false" customHeight="false" outlineLevel="0" collapsed="false"/>
    <row r="835" customFormat="false" ht="12.75" hidden="false" customHeight="false" outlineLevel="0" collapsed="false"/>
    <row r="836" customFormat="false" ht="12.75" hidden="false" customHeight="false" outlineLevel="0" collapsed="false"/>
    <row r="837" customFormat="false" ht="12.75" hidden="false" customHeight="false" outlineLevel="0" collapsed="false"/>
    <row r="838" customFormat="false" ht="12.75" hidden="false" customHeight="false" outlineLevel="0" collapsed="false"/>
    <row r="839" customFormat="false" ht="12.75" hidden="false" customHeight="false" outlineLevel="0" collapsed="false"/>
    <row r="840" customFormat="false" ht="12.75" hidden="false" customHeight="false" outlineLevel="0" collapsed="false"/>
    <row r="841" customFormat="false" ht="12.75" hidden="false" customHeight="false" outlineLevel="0" collapsed="false"/>
    <row r="842" customFormat="false" ht="12.75" hidden="false" customHeight="false" outlineLevel="0" collapsed="false"/>
    <row r="843" customFormat="false" ht="12.75" hidden="false" customHeight="false" outlineLevel="0" collapsed="false"/>
    <row r="844" customFormat="false" ht="12.75" hidden="false" customHeight="false" outlineLevel="0" collapsed="false"/>
    <row r="845" customFormat="false" ht="12.75" hidden="false" customHeight="false" outlineLevel="0" collapsed="false"/>
    <row r="846" customFormat="false" ht="12.75" hidden="false" customHeight="false" outlineLevel="0" collapsed="false"/>
    <row r="847" customFormat="false" ht="12.75" hidden="false" customHeight="false" outlineLevel="0" collapsed="false"/>
    <row r="848" customFormat="false" ht="12.75" hidden="false" customHeight="false" outlineLevel="0" collapsed="false"/>
    <row r="849" customFormat="false" ht="12.75" hidden="false" customHeight="false" outlineLevel="0" collapsed="false"/>
    <row r="850" customFormat="false" ht="12.75" hidden="false" customHeight="false" outlineLevel="0" collapsed="false"/>
    <row r="851" customFormat="false" ht="12.75" hidden="false" customHeight="false" outlineLevel="0" collapsed="false"/>
    <row r="852" customFormat="false" ht="12.75" hidden="false" customHeight="false" outlineLevel="0" collapsed="false"/>
    <row r="853" customFormat="false" ht="12.75" hidden="false" customHeight="false" outlineLevel="0" collapsed="false"/>
    <row r="854" customFormat="false" ht="12.75" hidden="false" customHeight="false" outlineLevel="0" collapsed="false"/>
    <row r="855" customFormat="false" ht="12.75" hidden="false" customHeight="false" outlineLevel="0" collapsed="false"/>
    <row r="856" customFormat="false" ht="12.75" hidden="false" customHeight="false" outlineLevel="0" collapsed="false"/>
    <row r="857" customFormat="false" ht="12.75" hidden="false" customHeight="false" outlineLevel="0" collapsed="false"/>
    <row r="858" customFormat="false" ht="12.75" hidden="false" customHeight="false" outlineLevel="0" collapsed="false"/>
    <row r="859" customFormat="false" ht="12.75" hidden="false" customHeight="false" outlineLevel="0" collapsed="false"/>
    <row r="860" customFormat="false" ht="12.75" hidden="false" customHeight="false" outlineLevel="0" collapsed="false"/>
    <row r="861" customFormat="false" ht="12.75" hidden="false" customHeight="false" outlineLevel="0" collapsed="false"/>
    <row r="862" customFormat="false" ht="12.75" hidden="false" customHeight="false" outlineLevel="0" collapsed="false"/>
    <row r="863" customFormat="false" ht="12.75" hidden="false" customHeight="false" outlineLevel="0" collapsed="false"/>
    <row r="864" customFormat="false" ht="12.75" hidden="false" customHeight="false" outlineLevel="0" collapsed="false"/>
    <row r="865" customFormat="false" ht="12.75" hidden="false" customHeight="false" outlineLevel="0" collapsed="false"/>
    <row r="866" customFormat="false" ht="12.75" hidden="false" customHeight="false" outlineLevel="0" collapsed="false"/>
    <row r="867" customFormat="false" ht="12.75" hidden="false" customHeight="false" outlineLevel="0" collapsed="false"/>
    <row r="868" customFormat="false" ht="12.75" hidden="false" customHeight="false" outlineLevel="0" collapsed="false"/>
    <row r="869" customFormat="false" ht="12.75" hidden="false" customHeight="false" outlineLevel="0" collapsed="false"/>
    <row r="870" customFormat="false" ht="12.75" hidden="false" customHeight="false" outlineLevel="0" collapsed="false"/>
    <row r="871" customFormat="false" ht="12.75" hidden="false" customHeight="false" outlineLevel="0" collapsed="false"/>
    <row r="872" customFormat="false" ht="12.75" hidden="false" customHeight="false" outlineLevel="0" collapsed="false"/>
    <row r="873" customFormat="false" ht="12.75" hidden="false" customHeight="false" outlineLevel="0" collapsed="false"/>
    <row r="874" customFormat="false" ht="12.75" hidden="false" customHeight="false" outlineLevel="0" collapsed="false"/>
    <row r="875" customFormat="false" ht="12.75" hidden="false" customHeight="false" outlineLevel="0" collapsed="false"/>
    <row r="876" customFormat="false" ht="12.75" hidden="false" customHeight="false" outlineLevel="0" collapsed="false"/>
    <row r="877" customFormat="false" ht="12.75" hidden="false" customHeight="false" outlineLevel="0" collapsed="false"/>
    <row r="878" customFormat="false" ht="12.75" hidden="false" customHeight="false" outlineLevel="0" collapsed="false"/>
    <row r="879" customFormat="false" ht="12.75" hidden="false" customHeight="false" outlineLevel="0" collapsed="false"/>
    <row r="880" customFormat="false" ht="12.75" hidden="false" customHeight="false" outlineLevel="0" collapsed="false"/>
    <row r="881" customFormat="false" ht="12.75" hidden="false" customHeight="false" outlineLevel="0" collapsed="false"/>
    <row r="882" customFormat="false" ht="12.75" hidden="false" customHeight="false" outlineLevel="0" collapsed="false"/>
    <row r="883" customFormat="false" ht="12.75" hidden="false" customHeight="false" outlineLevel="0" collapsed="false"/>
    <row r="884" customFormat="false" ht="12.75" hidden="false" customHeight="false" outlineLevel="0" collapsed="false"/>
    <row r="885" customFormat="false" ht="12.75" hidden="false" customHeight="false" outlineLevel="0" collapsed="false"/>
    <row r="886" customFormat="false" ht="12.75" hidden="false" customHeight="false" outlineLevel="0" collapsed="false"/>
    <row r="887" customFormat="false" ht="12.75" hidden="false" customHeight="false" outlineLevel="0" collapsed="false"/>
    <row r="888" customFormat="false" ht="12.75" hidden="false" customHeight="false" outlineLevel="0" collapsed="false"/>
    <row r="889" customFormat="false" ht="12.75" hidden="false" customHeight="false" outlineLevel="0" collapsed="false"/>
    <row r="890" customFormat="false" ht="12.75" hidden="false" customHeight="false" outlineLevel="0" collapsed="false"/>
    <row r="891" customFormat="false" ht="12.75" hidden="false" customHeight="false" outlineLevel="0" collapsed="false"/>
    <row r="892" customFormat="false" ht="12.75" hidden="false" customHeight="false" outlineLevel="0" collapsed="false"/>
    <row r="893" customFormat="false" ht="12.75" hidden="false" customHeight="false" outlineLevel="0" collapsed="false"/>
    <row r="894" customFormat="false" ht="12.75" hidden="false" customHeight="false" outlineLevel="0" collapsed="false"/>
    <row r="895" customFormat="false" ht="12.75" hidden="false" customHeight="false" outlineLevel="0" collapsed="false"/>
    <row r="896" customFormat="false" ht="12.75" hidden="false" customHeight="false" outlineLevel="0" collapsed="false"/>
    <row r="897" customFormat="false" ht="12.75" hidden="false" customHeight="false" outlineLevel="0" collapsed="false"/>
    <row r="898" customFormat="false" ht="12.75" hidden="false" customHeight="false" outlineLevel="0" collapsed="false"/>
    <row r="899" customFormat="false" ht="12.75" hidden="false" customHeight="false" outlineLevel="0" collapsed="false"/>
    <row r="900" customFormat="false" ht="12.75" hidden="false" customHeight="false" outlineLevel="0" collapsed="false"/>
    <row r="901" customFormat="false" ht="12.75" hidden="false" customHeight="false" outlineLevel="0" collapsed="false"/>
    <row r="902" customFormat="false" ht="12.75" hidden="false" customHeight="false" outlineLevel="0" collapsed="false"/>
    <row r="903" customFormat="false" ht="12.75" hidden="false" customHeight="false" outlineLevel="0" collapsed="false"/>
    <row r="904" customFormat="false" ht="12.75" hidden="false" customHeight="false" outlineLevel="0" collapsed="false"/>
    <row r="905" customFormat="false" ht="12.75" hidden="false" customHeight="false" outlineLevel="0" collapsed="false"/>
    <row r="906" customFormat="false" ht="12.75" hidden="false" customHeight="false" outlineLevel="0" collapsed="false"/>
    <row r="907" customFormat="false" ht="12.75" hidden="false" customHeight="false" outlineLevel="0" collapsed="false"/>
    <row r="908" customFormat="false" ht="12.75" hidden="false" customHeight="false" outlineLevel="0" collapsed="false"/>
    <row r="909" customFormat="false" ht="12.75" hidden="false" customHeight="false" outlineLevel="0" collapsed="false"/>
    <row r="910" customFormat="false" ht="12.75" hidden="false" customHeight="false" outlineLevel="0" collapsed="false"/>
    <row r="911" customFormat="false" ht="12.75" hidden="false" customHeight="false" outlineLevel="0" collapsed="false"/>
    <row r="912" customFormat="false" ht="12.75" hidden="false" customHeight="false" outlineLevel="0" collapsed="false"/>
    <row r="913" customFormat="false" ht="12.75" hidden="false" customHeight="false" outlineLevel="0" collapsed="false"/>
    <row r="914" customFormat="false" ht="12.75" hidden="false" customHeight="false" outlineLevel="0" collapsed="false"/>
    <row r="915" customFormat="false" ht="12.75" hidden="false" customHeight="false" outlineLevel="0" collapsed="false"/>
    <row r="916" customFormat="false" ht="12.75" hidden="false" customHeight="false" outlineLevel="0" collapsed="false"/>
    <row r="917" customFormat="false" ht="12.75" hidden="false" customHeight="false" outlineLevel="0" collapsed="false"/>
    <row r="918" customFormat="false" ht="12.75" hidden="false" customHeight="false" outlineLevel="0" collapsed="false"/>
    <row r="919" customFormat="false" ht="12.75" hidden="false" customHeight="false" outlineLevel="0" collapsed="false"/>
    <row r="920" customFormat="false" ht="12.75" hidden="false" customHeight="false" outlineLevel="0" collapsed="false"/>
    <row r="921" customFormat="false" ht="12.75" hidden="false" customHeight="false" outlineLevel="0" collapsed="false"/>
    <row r="922" customFormat="false" ht="12.75" hidden="false" customHeight="false" outlineLevel="0" collapsed="false"/>
    <row r="923" customFormat="false" ht="12.75" hidden="false" customHeight="false" outlineLevel="0" collapsed="false"/>
    <row r="924" customFormat="false" ht="12.75" hidden="false" customHeight="false" outlineLevel="0" collapsed="false"/>
    <row r="925" customFormat="false" ht="12.75" hidden="false" customHeight="false" outlineLevel="0" collapsed="false"/>
    <row r="926" customFormat="false" ht="12.75" hidden="false" customHeight="false" outlineLevel="0" collapsed="false"/>
    <row r="927" customFormat="false" ht="12.75" hidden="false" customHeight="false" outlineLevel="0" collapsed="false"/>
    <row r="928" customFormat="false" ht="12.75" hidden="false" customHeight="false" outlineLevel="0" collapsed="false"/>
    <row r="929" customFormat="false" ht="12.75" hidden="false" customHeight="false" outlineLevel="0" collapsed="false"/>
    <row r="930" customFormat="false" ht="12.75" hidden="false" customHeight="false" outlineLevel="0" collapsed="false"/>
    <row r="931" customFormat="false" ht="12.75" hidden="false" customHeight="false" outlineLevel="0" collapsed="false"/>
    <row r="932" customFormat="false" ht="12.75" hidden="false" customHeight="false" outlineLevel="0" collapsed="false"/>
    <row r="933" customFormat="false" ht="12.75" hidden="false" customHeight="false" outlineLevel="0" collapsed="false"/>
    <row r="934" customFormat="false" ht="12.75" hidden="false" customHeight="false" outlineLevel="0" collapsed="false"/>
    <row r="935" customFormat="false" ht="12.75" hidden="false" customHeight="false" outlineLevel="0" collapsed="false"/>
    <row r="936" customFormat="false" ht="12.75" hidden="false" customHeight="false" outlineLevel="0" collapsed="false"/>
    <row r="937" customFormat="false" ht="12.75" hidden="false" customHeight="false" outlineLevel="0" collapsed="false"/>
    <row r="938" customFormat="false" ht="12.75" hidden="false" customHeight="false" outlineLevel="0" collapsed="false"/>
    <row r="939" customFormat="false" ht="12.75" hidden="false" customHeight="false" outlineLevel="0" collapsed="false"/>
    <row r="940" customFormat="false" ht="12.75" hidden="false" customHeight="false" outlineLevel="0" collapsed="false"/>
    <row r="941" customFormat="false" ht="12.75" hidden="false" customHeight="false" outlineLevel="0" collapsed="false"/>
    <row r="942" customFormat="false" ht="12.75" hidden="false" customHeight="false" outlineLevel="0" collapsed="false"/>
    <row r="943" customFormat="false" ht="12.75" hidden="false" customHeight="false" outlineLevel="0" collapsed="false"/>
    <row r="944" customFormat="false" ht="12.75" hidden="false" customHeight="false" outlineLevel="0" collapsed="false"/>
    <row r="945" customFormat="false" ht="12.75" hidden="false" customHeight="false" outlineLevel="0" collapsed="false"/>
    <row r="946" customFormat="false" ht="12.75" hidden="false" customHeight="false" outlineLevel="0" collapsed="false"/>
    <row r="947" customFormat="false" ht="12.75" hidden="false" customHeight="false" outlineLevel="0" collapsed="false"/>
    <row r="948" customFormat="false" ht="12.75" hidden="false" customHeight="false" outlineLevel="0" collapsed="false"/>
    <row r="949" customFormat="false" ht="12.75" hidden="false" customHeight="false" outlineLevel="0" collapsed="false"/>
    <row r="950" customFormat="false" ht="12.75" hidden="false" customHeight="false" outlineLevel="0" collapsed="false"/>
    <row r="951" customFormat="false" ht="12.75" hidden="false" customHeight="false" outlineLevel="0" collapsed="false"/>
    <row r="952" customFormat="false" ht="12.75" hidden="false" customHeight="false" outlineLevel="0" collapsed="false"/>
    <row r="953" customFormat="false" ht="12.75" hidden="false" customHeight="false" outlineLevel="0" collapsed="false"/>
    <row r="954" customFormat="false" ht="12.75" hidden="false" customHeight="false" outlineLevel="0" collapsed="false"/>
    <row r="955" customFormat="false" ht="12.75" hidden="false" customHeight="false" outlineLevel="0" collapsed="false"/>
    <row r="956" customFormat="false" ht="12.75" hidden="false" customHeight="false" outlineLevel="0" collapsed="false"/>
    <row r="957" customFormat="false" ht="12.75" hidden="false" customHeight="false" outlineLevel="0" collapsed="false"/>
    <row r="958" customFormat="false" ht="12.75" hidden="false" customHeight="false" outlineLevel="0" collapsed="false"/>
    <row r="959" customFormat="false" ht="12.75" hidden="false" customHeight="false" outlineLevel="0" collapsed="false"/>
    <row r="960" customFormat="false" ht="12.75" hidden="false" customHeight="false" outlineLevel="0" collapsed="false"/>
    <row r="961" customFormat="false" ht="12.75" hidden="false" customHeight="false" outlineLevel="0" collapsed="false"/>
    <row r="962" customFormat="false" ht="12.75" hidden="false" customHeight="false" outlineLevel="0" collapsed="false"/>
    <row r="963" customFormat="false" ht="12.75" hidden="false" customHeight="false" outlineLevel="0" collapsed="false"/>
    <row r="964" customFormat="false" ht="12.75" hidden="false" customHeight="false" outlineLevel="0" collapsed="false"/>
    <row r="965" customFormat="false" ht="12.75" hidden="false" customHeight="false" outlineLevel="0" collapsed="false"/>
    <row r="966" customFormat="false" ht="12.75" hidden="false" customHeight="false" outlineLevel="0" collapsed="false"/>
    <row r="967" customFormat="false" ht="12.75" hidden="false" customHeight="false" outlineLevel="0" collapsed="false"/>
    <row r="968" customFormat="false" ht="12.75" hidden="false" customHeight="false" outlineLevel="0" collapsed="false"/>
    <row r="969" customFormat="false" ht="12.75" hidden="false" customHeight="false" outlineLevel="0" collapsed="false"/>
    <row r="970" customFormat="false" ht="12.75" hidden="false" customHeight="false" outlineLevel="0" collapsed="false"/>
    <row r="971" customFormat="false" ht="12.75" hidden="false" customHeight="false" outlineLevel="0" collapsed="false"/>
    <row r="972" customFormat="false" ht="12.75" hidden="false" customHeight="false" outlineLevel="0" collapsed="false"/>
    <row r="973" customFormat="false" ht="12.75" hidden="false" customHeight="false" outlineLevel="0" collapsed="false"/>
    <row r="974" customFormat="false" ht="12.75" hidden="false" customHeight="false" outlineLevel="0" collapsed="false"/>
    <row r="975" customFormat="false" ht="12.75" hidden="false" customHeight="false" outlineLevel="0" collapsed="false"/>
    <row r="976" customFormat="false" ht="12.75" hidden="false" customHeight="false" outlineLevel="0" collapsed="false"/>
    <row r="977" customFormat="false" ht="12.75" hidden="false" customHeight="false" outlineLevel="0" collapsed="false"/>
    <row r="978" customFormat="false" ht="12.75" hidden="false" customHeight="false" outlineLevel="0" collapsed="false"/>
    <row r="979" customFormat="false" ht="12.75" hidden="false" customHeight="false" outlineLevel="0" collapsed="false"/>
    <row r="980" customFormat="false" ht="12.75" hidden="false" customHeight="false" outlineLevel="0" collapsed="false"/>
    <row r="981" customFormat="false" ht="12.75" hidden="false" customHeight="false" outlineLevel="0" collapsed="false"/>
    <row r="982" customFormat="false" ht="12.75" hidden="false" customHeight="false" outlineLevel="0" collapsed="false"/>
    <row r="983" customFormat="false" ht="12.75" hidden="false" customHeight="false" outlineLevel="0" collapsed="false"/>
    <row r="984" customFormat="false" ht="12.75" hidden="false" customHeight="false" outlineLevel="0" collapsed="false"/>
    <row r="985" customFormat="false" ht="12.75" hidden="false" customHeight="false" outlineLevel="0" collapsed="false"/>
    <row r="986" customFormat="false" ht="12.75" hidden="false" customHeight="false" outlineLevel="0" collapsed="false"/>
    <row r="987" customFormat="false" ht="12.75" hidden="false" customHeight="false" outlineLevel="0" collapsed="false"/>
    <row r="988" customFormat="false" ht="12.75" hidden="false" customHeight="false" outlineLevel="0" collapsed="false"/>
    <row r="989" customFormat="false" ht="12.75" hidden="false" customHeight="false" outlineLevel="0" collapsed="false"/>
    <row r="990" customFormat="false" ht="12.75" hidden="false" customHeight="false" outlineLevel="0" collapsed="false"/>
    <row r="991" customFormat="false" ht="12.75" hidden="false" customHeight="false" outlineLevel="0" collapsed="false"/>
    <row r="992" customFormat="false" ht="12.75" hidden="false" customHeight="false" outlineLevel="0" collapsed="false"/>
    <row r="993" customFormat="false" ht="12.75" hidden="false" customHeight="false" outlineLevel="0" collapsed="false"/>
    <row r="994" customFormat="false" ht="12.75" hidden="false" customHeight="false" outlineLevel="0" collapsed="false"/>
    <row r="995" customFormat="false" ht="12.75" hidden="false" customHeight="false" outlineLevel="0" collapsed="false"/>
    <row r="996" customFormat="false" ht="12.75" hidden="false" customHeight="false" outlineLevel="0" collapsed="false"/>
    <row r="997" customFormat="false" ht="12.75" hidden="false" customHeight="false" outlineLevel="0" collapsed="false"/>
    <row r="998" customFormat="false" ht="12.75" hidden="false" customHeight="false" outlineLevel="0" collapsed="false"/>
    <row r="999" customFormat="false" ht="12.75" hidden="false" customHeight="false" outlineLevel="0" collapsed="false"/>
    <row r="1000" customFormat="false" ht="12.75" hidden="false" customHeight="false" outlineLevel="0" collapsed="false"/>
    <row r="1001" customFormat="false" ht="12.75" hidden="false" customHeight="false" outlineLevel="0" collapsed="false"/>
  </sheetData>
  <mergeCells count="2">
    <mergeCell ref="H1:I1"/>
    <mergeCell ref="K5:M6"/>
  </mergeCells>
  <conditionalFormatting sqref="H6:H1001">
    <cfRule type="cellIs" priority="2" operator="between" aboveAverage="0" equalAverage="0" bottom="0" percent="0" rank="0" text="" dxfId="0">
      <formula>0</formula>
      <formula>0.5</formula>
    </cfRule>
  </conditionalFormatting>
  <conditionalFormatting sqref="H6:H1001">
    <cfRule type="cellIs" priority="3" operator="between" aboveAverage="0" equalAverage="0" bottom="0" percent="0" rank="0" text="" dxfId="1">
      <formula>0.51</formula>
      <formula>0.99</formula>
    </cfRule>
  </conditionalFormatting>
  <conditionalFormatting sqref="H6:H1001">
    <cfRule type="cellIs" priority="4" operator="greaterThanOrEqual" aboveAverage="0" equalAverage="0" bottom="0" percent="0" rank="0" text="" dxfId="2">
      <formula>1</formula>
    </cfRule>
  </conditionalFormatting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152"/>
  <sheetViews>
    <sheetView showFormulas="false" showGridLines="false" showRowColHeaders="true" showZeros="true" rightToLeft="false" tabSelected="false" showOutlineSymbols="true" defaultGridColor="true" view="normal" topLeftCell="A115" colorId="64" zoomScale="100" zoomScaleNormal="100" zoomScalePageLayoutView="100" workbookViewId="0">
      <selection pane="topLeft" activeCell="C6" activeCellId="0" sqref="C6"/>
    </sheetView>
  </sheetViews>
  <sheetFormatPr defaultRowHeight="15.75" zeroHeight="false" outlineLevelRow="0" outlineLevelCol="0"/>
  <cols>
    <col collapsed="false" customWidth="true" hidden="false" outlineLevel="0" max="2" min="1" style="0" width="14.43"/>
    <col collapsed="false" customWidth="true" hidden="false" outlineLevel="0" max="3" min="3" style="0" width="22.43"/>
    <col collapsed="false" customWidth="true" hidden="false" outlineLevel="0" max="1025" min="4" style="0" width="14.43"/>
  </cols>
  <sheetData>
    <row r="1" s="26" customFormat="true" ht="48" hidden="false" customHeight="true" outlineLevel="0" collapsed="false">
      <c r="A1" s="23"/>
      <c r="B1" s="23"/>
      <c r="C1" s="23"/>
      <c r="D1" s="23"/>
      <c r="E1" s="24" t="s">
        <v>20</v>
      </c>
      <c r="F1" s="24" t="n">
        <f aca="false">'Cadastro Institucional'!D$6</f>
        <v>0</v>
      </c>
      <c r="G1" s="25" t="n">
        <f aca="false">'Cadastro Institucional'!D$7</f>
        <v>0</v>
      </c>
      <c r="H1" s="41"/>
      <c r="I1" s="41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customFormat="false" ht="12.75" hidden="false" customHeight="false" outlineLevel="0" collapsed="false">
      <c r="A2" s="27" t="s">
        <v>14</v>
      </c>
      <c r="B2" s="27" t="s">
        <v>13</v>
      </c>
      <c r="C2" s="27" t="s">
        <v>15</v>
      </c>
      <c r="D2" s="27" t="s">
        <v>16</v>
      </c>
      <c r="E2" s="27" t="s">
        <v>17</v>
      </c>
      <c r="F2" s="27" t="s">
        <v>18</v>
      </c>
      <c r="G2" s="27" t="s">
        <v>19</v>
      </c>
      <c r="H2" s="69" t="s">
        <v>35</v>
      </c>
      <c r="I2" s="69" t="s">
        <v>36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customFormat="false" ht="12.75" hidden="false" customHeight="false" outlineLevel="0" collapsed="false">
      <c r="A3" s="30" t="n">
        <f aca="false">'Cadastro Institucional'!D$10</f>
        <v>0</v>
      </c>
      <c r="B3" s="31" t="n">
        <f aca="false">'Cadastro Institucional'!D$9</f>
        <v>0</v>
      </c>
      <c r="C3" s="31" t="n">
        <f aca="false">'Cadastro Institucional'!D$11</f>
        <v>0</v>
      </c>
      <c r="D3" s="32" t="n">
        <f aca="false">'Cadastro Institucional'!D$12</f>
        <v>0</v>
      </c>
      <c r="E3" s="31" t="n">
        <f aca="false">'Cadastro Institucional'!D$13</f>
        <v>0</v>
      </c>
      <c r="F3" s="31" t="n">
        <f aca="false">'Cadastro Institucional'!D$14</f>
        <v>0</v>
      </c>
      <c r="G3" s="33" t="n">
        <f aca="false">'Cadastro Institucional'!D$15</f>
        <v>0</v>
      </c>
      <c r="H3" s="70"/>
      <c r="I3" s="70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customFormat="false" ht="12.75" hidden="false" customHeight="false" outlineLevel="0" collapsed="false">
      <c r="A4" s="29"/>
      <c r="B4" s="29"/>
      <c r="C4" s="29"/>
      <c r="D4" s="29"/>
      <c r="E4" s="29"/>
      <c r="F4" s="29"/>
      <c r="G4" s="29"/>
      <c r="H4" s="29"/>
      <c r="I4" s="29"/>
      <c r="J4" s="29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 customFormat="false" ht="25.5" hidden="false" customHeight="true" outlineLevel="0" collapsed="false">
      <c r="A5" s="56" t="s">
        <v>21</v>
      </c>
      <c r="B5" s="56" t="s">
        <v>23</v>
      </c>
      <c r="C5" s="56" t="s">
        <v>22</v>
      </c>
      <c r="D5" s="56" t="s">
        <v>28</v>
      </c>
      <c r="E5" s="56" t="s">
        <v>29</v>
      </c>
      <c r="F5" s="56" t="s">
        <v>30</v>
      </c>
      <c r="G5" s="56" t="s">
        <v>31</v>
      </c>
      <c r="H5" s="56" t="s">
        <v>32</v>
      </c>
      <c r="I5" s="56" t="s">
        <v>33</v>
      </c>
      <c r="J5" s="58"/>
      <c r="K5" s="20" t="s">
        <v>8</v>
      </c>
      <c r="L5" s="20"/>
      <c r="M5" s="20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</row>
    <row r="6" customFormat="false" ht="12.75" hidden="false" customHeight="true" outlineLevel="0" collapsed="false">
      <c r="A6" s="37" t="n">
        <f aca="false">'Itens de Contrato'!A6</f>
        <v>0</v>
      </c>
      <c r="B6" s="37" t="n">
        <f aca="false">'Itens de Contrato'!B6</f>
        <v>0</v>
      </c>
      <c r="C6" s="37" t="e">
        <f aca="false">VLOOKUP(B6,'Itens de Contrato'!B$5:G$151,2,0)</f>
        <v>#N/A</v>
      </c>
      <c r="D6" s="52"/>
      <c r="E6" s="63" t="n">
        <f aca="false">D6*'Itens de Contrato'!F6</f>
        <v>0</v>
      </c>
      <c r="F6" s="62" t="n">
        <f aca="false">'Medição 06'!F6-'Medição 06'!G6</f>
        <v>0</v>
      </c>
      <c r="G6" s="52"/>
      <c r="H6" s="64" t="e">
        <f aca="false">G6/D6</f>
        <v>#DIV/0!</v>
      </c>
      <c r="I6" s="63" t="n">
        <f aca="false">G6*'Itens de Contrato'!F6</f>
        <v>0</v>
      </c>
      <c r="J6" s="37"/>
      <c r="K6" s="20"/>
      <c r="L6" s="20"/>
      <c r="M6" s="20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customFormat="false" ht="12.8" hidden="false" customHeight="false" outlineLevel="0" collapsed="false">
      <c r="A7" s="37" t="n">
        <f aca="false">'Itens de Contrato'!A7</f>
        <v>0</v>
      </c>
      <c r="B7" s="37" t="n">
        <f aca="false">'Itens de Contrato'!B7</f>
        <v>0</v>
      </c>
      <c r="C7" s="37" t="e">
        <f aca="false">VLOOKUP(B7,'Itens de Contrato'!B$5:G$151,2,0)</f>
        <v>#N/A</v>
      </c>
      <c r="D7" s="52"/>
      <c r="E7" s="63" t="n">
        <f aca="false">D7*'Itens de Contrato'!F7</f>
        <v>0</v>
      </c>
      <c r="F7" s="62" t="n">
        <f aca="false">'Medição 06'!F7-'Medição 06'!G7</f>
        <v>0</v>
      </c>
      <c r="G7" s="52"/>
      <c r="H7" s="64" t="e">
        <f aca="false">G7/D7</f>
        <v>#DIV/0!</v>
      </c>
      <c r="I7" s="63" t="n">
        <f aca="false">G7*'Itens de Contrato'!F7</f>
        <v>0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customFormat="false" ht="12.8" hidden="false" customHeight="false" outlineLevel="0" collapsed="false">
      <c r="A8" s="37" t="n">
        <f aca="false">'Itens de Contrato'!A8</f>
        <v>0</v>
      </c>
      <c r="B8" s="37" t="n">
        <f aca="false">'Itens de Contrato'!B8</f>
        <v>0</v>
      </c>
      <c r="C8" s="37" t="e">
        <f aca="false">VLOOKUP(B8,'Itens de Contrato'!B$5:G$151,2,0)</f>
        <v>#N/A</v>
      </c>
      <c r="D8" s="52"/>
      <c r="E8" s="63" t="n">
        <f aca="false">D8*'Itens de Contrato'!F8</f>
        <v>0</v>
      </c>
      <c r="F8" s="62" t="n">
        <f aca="false">'Medição 06'!F8-'Medição 06'!G8</f>
        <v>0</v>
      </c>
      <c r="G8" s="52"/>
      <c r="H8" s="64" t="e">
        <f aca="false">G8/D8</f>
        <v>#DIV/0!</v>
      </c>
      <c r="I8" s="63" t="n">
        <f aca="false">G8*'Itens de Contrato'!F8</f>
        <v>0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customFormat="false" ht="12.8" hidden="false" customHeight="false" outlineLevel="0" collapsed="false">
      <c r="A9" s="37" t="n">
        <f aca="false">'Itens de Contrato'!A9</f>
        <v>0</v>
      </c>
      <c r="B9" s="37" t="n">
        <f aca="false">'Itens de Contrato'!B9</f>
        <v>0</v>
      </c>
      <c r="C9" s="37" t="e">
        <f aca="false">VLOOKUP(B9,'Itens de Contrato'!B$5:G$151,2,0)</f>
        <v>#N/A</v>
      </c>
      <c r="D9" s="52"/>
      <c r="E9" s="63" t="n">
        <f aca="false">D9*'Itens de Contrato'!F9</f>
        <v>0</v>
      </c>
      <c r="F9" s="62" t="n">
        <f aca="false">'Medição 06'!F9-'Medição 06'!G9</f>
        <v>0</v>
      </c>
      <c r="G9" s="52"/>
      <c r="H9" s="64" t="e">
        <f aca="false">G9/D9</f>
        <v>#DIV/0!</v>
      </c>
      <c r="I9" s="63" t="n">
        <f aca="false">G9*'Itens de Contrato'!F9</f>
        <v>0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 customFormat="false" ht="12.8" hidden="false" customHeight="false" outlineLevel="0" collapsed="false">
      <c r="A10" s="37" t="n">
        <f aca="false">'Itens de Contrato'!A10</f>
        <v>0</v>
      </c>
      <c r="B10" s="37" t="n">
        <f aca="false">'Itens de Contrato'!B10</f>
        <v>0</v>
      </c>
      <c r="C10" s="37" t="e">
        <f aca="false">VLOOKUP(B10,'Itens de Contrato'!B$5:G$151,2,0)</f>
        <v>#N/A</v>
      </c>
      <c r="D10" s="52"/>
      <c r="E10" s="63" t="n">
        <f aca="false">D10*'Itens de Contrato'!F10</f>
        <v>0</v>
      </c>
      <c r="F10" s="62" t="n">
        <f aca="false">'Medição 06'!F10-'Medição 06'!G10</f>
        <v>0</v>
      </c>
      <c r="G10" s="52"/>
      <c r="H10" s="64" t="e">
        <f aca="false">G10/D10</f>
        <v>#DIV/0!</v>
      </c>
      <c r="I10" s="63" t="n">
        <f aca="false">G10*'Itens de Contrato'!F10</f>
        <v>0</v>
      </c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 customFormat="false" ht="12.8" hidden="false" customHeight="false" outlineLevel="0" collapsed="false">
      <c r="A11" s="37" t="n">
        <f aca="false">'Itens de Contrato'!A11</f>
        <v>0</v>
      </c>
      <c r="B11" s="37" t="n">
        <f aca="false">'Itens de Contrato'!B11</f>
        <v>0</v>
      </c>
      <c r="C11" s="37" t="e">
        <f aca="false">VLOOKUP(B11,'Itens de Contrato'!B$5:G$151,2,0)</f>
        <v>#N/A</v>
      </c>
      <c r="D11" s="52"/>
      <c r="E11" s="63" t="n">
        <f aca="false">D11*'Itens de Contrato'!F11</f>
        <v>0</v>
      </c>
      <c r="F11" s="62" t="n">
        <f aca="false">'Medição 06'!F11-'Medição 06'!G11</f>
        <v>0</v>
      </c>
      <c r="G11" s="52"/>
      <c r="H11" s="64" t="e">
        <f aca="false">G11/D11</f>
        <v>#DIV/0!</v>
      </c>
      <c r="I11" s="63" t="n">
        <f aca="false">G11*'Itens de Contrato'!F11</f>
        <v>0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 customFormat="false" ht="12.8" hidden="false" customHeight="false" outlineLevel="0" collapsed="false">
      <c r="A12" s="37" t="n">
        <f aca="false">'Itens de Contrato'!A12</f>
        <v>0</v>
      </c>
      <c r="B12" s="37" t="n">
        <f aca="false">'Itens de Contrato'!B12</f>
        <v>0</v>
      </c>
      <c r="C12" s="37" t="e">
        <f aca="false">VLOOKUP(B12,'Itens de Contrato'!B$5:G$151,2,0)</f>
        <v>#N/A</v>
      </c>
      <c r="D12" s="52"/>
      <c r="E12" s="63" t="n">
        <f aca="false">D12*'Itens de Contrato'!F12</f>
        <v>0</v>
      </c>
      <c r="F12" s="62" t="n">
        <f aca="false">'Medição 06'!F12-'Medição 06'!G12</f>
        <v>0</v>
      </c>
      <c r="G12" s="52"/>
      <c r="H12" s="64" t="e">
        <f aca="false">G12/D12</f>
        <v>#DIV/0!</v>
      </c>
      <c r="I12" s="63" t="n">
        <f aca="false">G12*'Itens de Contrato'!F12</f>
        <v>0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 customFormat="false" ht="12.8" hidden="false" customHeight="false" outlineLevel="0" collapsed="false">
      <c r="A13" s="37" t="n">
        <f aca="false">'Itens de Contrato'!A13</f>
        <v>0</v>
      </c>
      <c r="B13" s="37" t="n">
        <f aca="false">'Itens de Contrato'!B13</f>
        <v>0</v>
      </c>
      <c r="C13" s="37" t="e">
        <f aca="false">VLOOKUP(B13,'Itens de Contrato'!B$5:G$151,2,0)</f>
        <v>#N/A</v>
      </c>
      <c r="D13" s="52"/>
      <c r="E13" s="63" t="n">
        <f aca="false">D13*'Itens de Contrato'!F13</f>
        <v>0</v>
      </c>
      <c r="F13" s="62" t="n">
        <f aca="false">'Medição 06'!F13-'Medição 06'!G13</f>
        <v>0</v>
      </c>
      <c r="G13" s="52"/>
      <c r="H13" s="64" t="e">
        <f aca="false">G13/D13</f>
        <v>#DIV/0!</v>
      </c>
      <c r="I13" s="63" t="n">
        <f aca="false">G13*'Itens de Contrato'!F13</f>
        <v>0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customFormat="false" ht="12.8" hidden="false" customHeight="false" outlineLevel="0" collapsed="false">
      <c r="A14" s="37" t="n">
        <f aca="false">'Itens de Contrato'!A14</f>
        <v>0</v>
      </c>
      <c r="B14" s="37" t="n">
        <f aca="false">'Itens de Contrato'!B14</f>
        <v>0</v>
      </c>
      <c r="C14" s="37" t="e">
        <f aca="false">VLOOKUP(B14,'Itens de Contrato'!B$5:G$151,2,0)</f>
        <v>#N/A</v>
      </c>
      <c r="D14" s="52"/>
      <c r="E14" s="63" t="n">
        <f aca="false">D14*'Itens de Contrato'!F14</f>
        <v>0</v>
      </c>
      <c r="F14" s="62" t="n">
        <f aca="false">'Medição 06'!F14-'Medição 06'!G14</f>
        <v>0</v>
      </c>
      <c r="G14" s="52"/>
      <c r="H14" s="64" t="e">
        <f aca="false">G14/D14</f>
        <v>#DIV/0!</v>
      </c>
      <c r="I14" s="63" t="n">
        <f aca="false">G14*'Itens de Contrato'!F14</f>
        <v>0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 customFormat="false" ht="12.8" hidden="false" customHeight="false" outlineLevel="0" collapsed="false">
      <c r="A15" s="37" t="n">
        <f aca="false">'Itens de Contrato'!A15</f>
        <v>0</v>
      </c>
      <c r="B15" s="37" t="n">
        <f aca="false">'Itens de Contrato'!B15</f>
        <v>0</v>
      </c>
      <c r="C15" s="37" t="e">
        <f aca="false">VLOOKUP(B15,'Itens de Contrato'!B$5:G$151,2,0)</f>
        <v>#N/A</v>
      </c>
      <c r="D15" s="52"/>
      <c r="E15" s="63" t="n">
        <f aca="false">D15*'Itens de Contrato'!F15</f>
        <v>0</v>
      </c>
      <c r="F15" s="62" t="n">
        <f aca="false">'Medição 06'!F15-'Medição 06'!G15</f>
        <v>0</v>
      </c>
      <c r="G15" s="52"/>
      <c r="H15" s="64" t="e">
        <f aca="false">G15/D15</f>
        <v>#DIV/0!</v>
      </c>
      <c r="I15" s="63" t="n">
        <f aca="false">G15*'Itens de Contrato'!F15</f>
        <v>0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customFormat="false" ht="12.8" hidden="false" customHeight="false" outlineLevel="0" collapsed="false">
      <c r="A16" s="37" t="n">
        <f aca="false">'Itens de Contrato'!A16</f>
        <v>0</v>
      </c>
      <c r="B16" s="37" t="n">
        <f aca="false">'Itens de Contrato'!B16</f>
        <v>0</v>
      </c>
      <c r="C16" s="37" t="e">
        <f aca="false">VLOOKUP(B16,'Itens de Contrato'!B$5:G$151,2,0)</f>
        <v>#N/A</v>
      </c>
      <c r="D16" s="52"/>
      <c r="E16" s="63" t="n">
        <f aca="false">D16*'Itens de Contrato'!F16</f>
        <v>0</v>
      </c>
      <c r="F16" s="62" t="n">
        <f aca="false">'Medição 06'!F16-'Medição 06'!G16</f>
        <v>0</v>
      </c>
      <c r="G16" s="52"/>
      <c r="H16" s="64" t="e">
        <f aca="false">G16/D16</f>
        <v>#DIV/0!</v>
      </c>
      <c r="I16" s="63" t="n">
        <f aca="false">G16*'Itens de Contrato'!F16</f>
        <v>0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7" customFormat="false" ht="12.8" hidden="false" customHeight="false" outlineLevel="0" collapsed="false">
      <c r="A17" s="37" t="n">
        <f aca="false">'Itens de Contrato'!A17</f>
        <v>0</v>
      </c>
      <c r="B17" s="37" t="n">
        <f aca="false">'Itens de Contrato'!B17</f>
        <v>0</v>
      </c>
      <c r="C17" s="37" t="e">
        <f aca="false">VLOOKUP(B17,'Itens de Contrato'!B$5:G$151,2,0)</f>
        <v>#N/A</v>
      </c>
      <c r="D17" s="52"/>
      <c r="E17" s="63" t="n">
        <f aca="false">D17*'Itens de Contrato'!F17</f>
        <v>0</v>
      </c>
      <c r="F17" s="62" t="n">
        <f aca="false">'Medição 06'!F17-'Medição 06'!G17</f>
        <v>0</v>
      </c>
      <c r="G17" s="52"/>
      <c r="H17" s="64" t="e">
        <f aca="false">G17/D17</f>
        <v>#DIV/0!</v>
      </c>
      <c r="I17" s="63" t="n">
        <f aca="false">G17*'Itens de Contrato'!F17</f>
        <v>0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</row>
    <row r="18" customFormat="false" ht="12.8" hidden="false" customHeight="false" outlineLevel="0" collapsed="false">
      <c r="A18" s="37" t="n">
        <f aca="false">'Itens de Contrato'!A18</f>
        <v>0</v>
      </c>
      <c r="B18" s="37" t="n">
        <f aca="false">'Itens de Contrato'!B18</f>
        <v>0</v>
      </c>
      <c r="C18" s="37" t="e">
        <f aca="false">VLOOKUP(B18,'Itens de Contrato'!B$5:G$151,2,0)</f>
        <v>#N/A</v>
      </c>
      <c r="D18" s="52"/>
      <c r="E18" s="63" t="n">
        <f aca="false">D18*'Itens de Contrato'!F18</f>
        <v>0</v>
      </c>
      <c r="F18" s="62" t="n">
        <f aca="false">'Medição 06'!F18-'Medição 06'!G18</f>
        <v>0</v>
      </c>
      <c r="G18" s="52"/>
      <c r="H18" s="64" t="e">
        <f aca="false">G18/D18</f>
        <v>#DIV/0!</v>
      </c>
      <c r="I18" s="63" t="n">
        <f aca="false">G18*'Itens de Contrato'!F18</f>
        <v>0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</row>
    <row r="19" customFormat="false" ht="12.8" hidden="false" customHeight="false" outlineLevel="0" collapsed="false">
      <c r="A19" s="37" t="n">
        <f aca="false">'Itens de Contrato'!A19</f>
        <v>0</v>
      </c>
      <c r="B19" s="37" t="n">
        <f aca="false">'Itens de Contrato'!B19</f>
        <v>0</v>
      </c>
      <c r="C19" s="37" t="e">
        <f aca="false">VLOOKUP(B19,'Itens de Contrato'!B$5:G$151,2,0)</f>
        <v>#N/A</v>
      </c>
      <c r="D19" s="52"/>
      <c r="E19" s="63" t="n">
        <f aca="false">D19*'Itens de Contrato'!F19</f>
        <v>0</v>
      </c>
      <c r="F19" s="62" t="n">
        <f aca="false">'Medição 06'!F19-'Medição 06'!G19</f>
        <v>0</v>
      </c>
      <c r="G19" s="52"/>
      <c r="H19" s="64" t="e">
        <f aca="false">G19/D19</f>
        <v>#DIV/0!</v>
      </c>
      <c r="I19" s="63" t="n">
        <f aca="false">G19*'Itens de Contrato'!F19</f>
        <v>0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</row>
    <row r="20" customFormat="false" ht="12.8" hidden="false" customHeight="false" outlineLevel="0" collapsed="false">
      <c r="A20" s="37" t="n">
        <f aca="false">'Itens de Contrato'!A20</f>
        <v>0</v>
      </c>
      <c r="B20" s="37" t="n">
        <f aca="false">'Itens de Contrato'!B20</f>
        <v>0</v>
      </c>
      <c r="C20" s="37" t="e">
        <f aca="false">VLOOKUP(B20,'Itens de Contrato'!B$5:G$151,2,0)</f>
        <v>#N/A</v>
      </c>
      <c r="D20" s="52"/>
      <c r="E20" s="63" t="n">
        <f aca="false">D20*'Itens de Contrato'!F20</f>
        <v>0</v>
      </c>
      <c r="F20" s="62" t="n">
        <f aca="false">'Medição 06'!F20-'Medição 06'!G20</f>
        <v>0</v>
      </c>
      <c r="G20" s="52"/>
      <c r="H20" s="64" t="e">
        <f aca="false">G20/D20</f>
        <v>#DIV/0!</v>
      </c>
      <c r="I20" s="63" t="n">
        <f aca="false">G20*'Itens de Contrato'!F20</f>
        <v>0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</row>
    <row r="21" customFormat="false" ht="12.8" hidden="false" customHeight="false" outlineLevel="0" collapsed="false">
      <c r="A21" s="37" t="n">
        <f aca="false">'Itens de Contrato'!A21</f>
        <v>0</v>
      </c>
      <c r="B21" s="37" t="n">
        <f aca="false">'Itens de Contrato'!B21</f>
        <v>0</v>
      </c>
      <c r="C21" s="37" t="e">
        <f aca="false">VLOOKUP(B21,'Itens de Contrato'!B$5:G$151,2,0)</f>
        <v>#N/A</v>
      </c>
      <c r="D21" s="52"/>
      <c r="E21" s="63" t="n">
        <f aca="false">D21*'Itens de Contrato'!F21</f>
        <v>0</v>
      </c>
      <c r="F21" s="62" t="n">
        <f aca="false">'Medição 06'!F21-'Medição 06'!G21</f>
        <v>0</v>
      </c>
      <c r="G21" s="52"/>
      <c r="H21" s="64" t="e">
        <f aca="false">G21/D21</f>
        <v>#DIV/0!</v>
      </c>
      <c r="I21" s="63" t="n">
        <f aca="false">G21*'Itens de Contrato'!F21</f>
        <v>0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customFormat="false" ht="12.8" hidden="false" customHeight="false" outlineLevel="0" collapsed="false">
      <c r="A22" s="37" t="n">
        <f aca="false">'Itens de Contrato'!A22</f>
        <v>0</v>
      </c>
      <c r="B22" s="37" t="n">
        <f aca="false">'Itens de Contrato'!B22</f>
        <v>0</v>
      </c>
      <c r="C22" s="37" t="e">
        <f aca="false">VLOOKUP(B22,'Itens de Contrato'!B$5:G$151,2,0)</f>
        <v>#N/A</v>
      </c>
      <c r="D22" s="52"/>
      <c r="E22" s="63" t="n">
        <f aca="false">D22*'Itens de Contrato'!F22</f>
        <v>0</v>
      </c>
      <c r="F22" s="62" t="n">
        <f aca="false">'Medição 06'!F22-'Medição 06'!G22</f>
        <v>0</v>
      </c>
      <c r="G22" s="52"/>
      <c r="H22" s="64" t="e">
        <f aca="false">G22/D22</f>
        <v>#DIV/0!</v>
      </c>
      <c r="I22" s="63" t="n">
        <f aca="false">G22*'Itens de Contrato'!F22</f>
        <v>0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  <row r="23" customFormat="false" ht="12.8" hidden="false" customHeight="false" outlineLevel="0" collapsed="false">
      <c r="A23" s="37" t="n">
        <f aca="false">'Itens de Contrato'!A23</f>
        <v>0</v>
      </c>
      <c r="B23" s="37" t="n">
        <f aca="false">'Itens de Contrato'!B23</f>
        <v>0</v>
      </c>
      <c r="C23" s="37" t="e">
        <f aca="false">VLOOKUP(B23,'Itens de Contrato'!B$5:G$151,2,0)</f>
        <v>#N/A</v>
      </c>
      <c r="D23" s="52"/>
      <c r="E23" s="63" t="n">
        <f aca="false">D23*'Itens de Contrato'!F23</f>
        <v>0</v>
      </c>
      <c r="F23" s="62" t="n">
        <f aca="false">'Medição 06'!F23-'Medição 06'!G23</f>
        <v>0</v>
      </c>
      <c r="G23" s="52"/>
      <c r="H23" s="64" t="e">
        <f aca="false">G23/D23</f>
        <v>#DIV/0!</v>
      </c>
      <c r="I23" s="63" t="n">
        <f aca="false">G23*'Itens de Contrato'!F23</f>
        <v>0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</row>
    <row r="24" customFormat="false" ht="12.8" hidden="false" customHeight="false" outlineLevel="0" collapsed="false">
      <c r="A24" s="37" t="n">
        <f aca="false">'Itens de Contrato'!A24</f>
        <v>0</v>
      </c>
      <c r="B24" s="37" t="n">
        <f aca="false">'Itens de Contrato'!B24</f>
        <v>0</v>
      </c>
      <c r="C24" s="37" t="e">
        <f aca="false">VLOOKUP(B24,'Itens de Contrato'!B$5:G$151,2,0)</f>
        <v>#N/A</v>
      </c>
      <c r="D24" s="52"/>
      <c r="E24" s="63" t="n">
        <f aca="false">D24*'Itens de Contrato'!F24</f>
        <v>0</v>
      </c>
      <c r="F24" s="62" t="n">
        <f aca="false">'Medição 06'!F24-'Medição 06'!G24</f>
        <v>0</v>
      </c>
      <c r="G24" s="52"/>
      <c r="H24" s="64" t="e">
        <f aca="false">G24/D24</f>
        <v>#DIV/0!</v>
      </c>
      <c r="I24" s="63" t="n">
        <f aca="false">G24*'Itens de Contrato'!F24</f>
        <v>0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</row>
    <row r="25" customFormat="false" ht="12.8" hidden="false" customHeight="false" outlineLevel="0" collapsed="false">
      <c r="A25" s="37" t="n">
        <f aca="false">'Itens de Contrato'!A25</f>
        <v>0</v>
      </c>
      <c r="B25" s="37" t="n">
        <f aca="false">'Itens de Contrato'!B25</f>
        <v>0</v>
      </c>
      <c r="C25" s="37" t="e">
        <f aca="false">VLOOKUP(B25,'Itens de Contrato'!B$5:G$151,2,0)</f>
        <v>#N/A</v>
      </c>
      <c r="D25" s="52"/>
      <c r="E25" s="63" t="n">
        <f aca="false">D25*'Itens de Contrato'!F25</f>
        <v>0</v>
      </c>
      <c r="F25" s="62" t="n">
        <f aca="false">'Medição 06'!F25-'Medição 06'!G25</f>
        <v>0</v>
      </c>
      <c r="G25" s="52"/>
      <c r="H25" s="64" t="e">
        <f aca="false">G25/D25</f>
        <v>#DIV/0!</v>
      </c>
      <c r="I25" s="63" t="n">
        <f aca="false">G25*'Itens de Contrato'!F25</f>
        <v>0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</row>
    <row r="26" customFormat="false" ht="12.8" hidden="false" customHeight="false" outlineLevel="0" collapsed="false">
      <c r="A26" s="37" t="n">
        <f aca="false">'Itens de Contrato'!A26</f>
        <v>0</v>
      </c>
      <c r="B26" s="37" t="n">
        <f aca="false">'Itens de Contrato'!B26</f>
        <v>0</v>
      </c>
      <c r="C26" s="37" t="e">
        <f aca="false">VLOOKUP(B26,'Itens de Contrato'!B$5:G$151,2,0)</f>
        <v>#N/A</v>
      </c>
      <c r="D26" s="52"/>
      <c r="E26" s="63" t="n">
        <f aca="false">D26*'Itens de Contrato'!F26</f>
        <v>0</v>
      </c>
      <c r="F26" s="62" t="n">
        <f aca="false">'Medição 06'!F26-'Medição 06'!G26</f>
        <v>0</v>
      </c>
      <c r="G26" s="52"/>
      <c r="H26" s="64" t="e">
        <f aca="false">G26/D26</f>
        <v>#DIV/0!</v>
      </c>
      <c r="I26" s="63" t="n">
        <f aca="false">G26*'Itens de Contrato'!F26</f>
        <v>0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</row>
    <row r="27" customFormat="false" ht="12.8" hidden="false" customHeight="false" outlineLevel="0" collapsed="false">
      <c r="A27" s="37" t="n">
        <f aca="false">'Itens de Contrato'!A27</f>
        <v>0</v>
      </c>
      <c r="B27" s="37" t="n">
        <f aca="false">'Itens de Contrato'!B27</f>
        <v>0</v>
      </c>
      <c r="C27" s="37" t="e">
        <f aca="false">VLOOKUP(B27,'Itens de Contrato'!B$5:G$151,2,0)</f>
        <v>#N/A</v>
      </c>
      <c r="D27" s="52"/>
      <c r="E27" s="63" t="n">
        <f aca="false">D27*'Itens de Contrato'!F27</f>
        <v>0</v>
      </c>
      <c r="F27" s="62" t="n">
        <f aca="false">'Medição 06'!F27-'Medição 06'!G27</f>
        <v>0</v>
      </c>
      <c r="G27" s="52"/>
      <c r="H27" s="64" t="e">
        <f aca="false">G27/D27</f>
        <v>#DIV/0!</v>
      </c>
      <c r="I27" s="63" t="n">
        <f aca="false">G27*'Itens de Contrato'!F27</f>
        <v>0</v>
      </c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</row>
    <row r="28" customFormat="false" ht="12.8" hidden="false" customHeight="false" outlineLevel="0" collapsed="false">
      <c r="A28" s="37" t="n">
        <f aca="false">'Itens de Contrato'!A28</f>
        <v>0</v>
      </c>
      <c r="B28" s="37" t="n">
        <f aca="false">'Itens de Contrato'!B28</f>
        <v>0</v>
      </c>
      <c r="C28" s="37" t="e">
        <f aca="false">VLOOKUP(B28,'Itens de Contrato'!B$5:G$151,2,0)</f>
        <v>#N/A</v>
      </c>
      <c r="D28" s="52"/>
      <c r="E28" s="63" t="n">
        <f aca="false">D28*'Itens de Contrato'!F28</f>
        <v>0</v>
      </c>
      <c r="F28" s="62" t="n">
        <f aca="false">'Medição 06'!F28-'Medição 06'!G28</f>
        <v>0</v>
      </c>
      <c r="G28" s="52"/>
      <c r="H28" s="64" t="e">
        <f aca="false">G28/D28</f>
        <v>#DIV/0!</v>
      </c>
      <c r="I28" s="63" t="n">
        <f aca="false">G28*'Itens de Contrato'!F28</f>
        <v>0</v>
      </c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customFormat="false" ht="12.8" hidden="false" customHeight="false" outlineLevel="0" collapsed="false">
      <c r="A29" s="37" t="n">
        <f aca="false">'Itens de Contrato'!A29</f>
        <v>0</v>
      </c>
      <c r="B29" s="37" t="n">
        <f aca="false">'Itens de Contrato'!B29</f>
        <v>0</v>
      </c>
      <c r="C29" s="37" t="e">
        <f aca="false">VLOOKUP(B29,'Itens de Contrato'!B$5:G$151,2,0)</f>
        <v>#N/A</v>
      </c>
      <c r="D29" s="52"/>
      <c r="E29" s="63" t="n">
        <f aca="false">D29*'Itens de Contrato'!F29</f>
        <v>0</v>
      </c>
      <c r="F29" s="62" t="n">
        <f aca="false">'Medição 06'!F29-'Medição 06'!G29</f>
        <v>0</v>
      </c>
      <c r="G29" s="52"/>
      <c r="H29" s="64" t="e">
        <f aca="false">G29/D29</f>
        <v>#DIV/0!</v>
      </c>
      <c r="I29" s="63" t="n">
        <f aca="false">G29*'Itens de Contrato'!F29</f>
        <v>0</v>
      </c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</row>
    <row r="30" customFormat="false" ht="12.8" hidden="false" customHeight="false" outlineLevel="0" collapsed="false">
      <c r="A30" s="37" t="n">
        <f aca="false">'Itens de Contrato'!A30</f>
        <v>0</v>
      </c>
      <c r="B30" s="37" t="n">
        <f aca="false">'Itens de Contrato'!B30</f>
        <v>0</v>
      </c>
      <c r="C30" s="37" t="e">
        <f aca="false">VLOOKUP(B30,'Itens de Contrato'!B$5:G$151,2,0)</f>
        <v>#N/A</v>
      </c>
      <c r="D30" s="52"/>
      <c r="E30" s="63" t="n">
        <f aca="false">D30*'Itens de Contrato'!F30</f>
        <v>0</v>
      </c>
      <c r="F30" s="62" t="n">
        <f aca="false">'Medição 06'!F30-'Medição 06'!G30</f>
        <v>0</v>
      </c>
      <c r="G30" s="52"/>
      <c r="H30" s="64" t="e">
        <f aca="false">G30/D30</f>
        <v>#DIV/0!</v>
      </c>
      <c r="I30" s="63" t="n">
        <f aca="false">G30*'Itens de Contrato'!F30</f>
        <v>0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</row>
    <row r="31" customFormat="false" ht="12.8" hidden="false" customHeight="false" outlineLevel="0" collapsed="false">
      <c r="A31" s="37" t="n">
        <f aca="false">'Itens de Contrato'!A31</f>
        <v>0</v>
      </c>
      <c r="B31" s="37" t="n">
        <f aca="false">'Itens de Contrato'!B31</f>
        <v>0</v>
      </c>
      <c r="C31" s="37" t="e">
        <f aca="false">VLOOKUP(B31,'Itens de Contrato'!B$5:G$151,2,0)</f>
        <v>#N/A</v>
      </c>
      <c r="D31" s="52"/>
      <c r="E31" s="63" t="n">
        <f aca="false">D31*'Itens de Contrato'!F31</f>
        <v>0</v>
      </c>
      <c r="F31" s="62" t="n">
        <f aca="false">'Medição 06'!F31-'Medição 06'!G31</f>
        <v>0</v>
      </c>
      <c r="G31" s="52"/>
      <c r="H31" s="64" t="e">
        <f aca="false">G31/D31</f>
        <v>#DIV/0!</v>
      </c>
      <c r="I31" s="63" t="n">
        <f aca="false">G31*'Itens de Contrato'!F31</f>
        <v>0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customFormat="false" ht="12.8" hidden="false" customHeight="false" outlineLevel="0" collapsed="false">
      <c r="A32" s="37" t="n">
        <f aca="false">'Itens de Contrato'!A32</f>
        <v>0</v>
      </c>
      <c r="B32" s="37" t="n">
        <f aca="false">'Itens de Contrato'!B32</f>
        <v>0</v>
      </c>
      <c r="C32" s="37" t="e">
        <f aca="false">VLOOKUP(B32,'Itens de Contrato'!B$5:G$151,2,0)</f>
        <v>#N/A</v>
      </c>
      <c r="D32" s="52"/>
      <c r="E32" s="63" t="n">
        <f aca="false">D32*'Itens de Contrato'!F32</f>
        <v>0</v>
      </c>
      <c r="F32" s="62" t="n">
        <f aca="false">'Medição 06'!F32-'Medição 06'!G32</f>
        <v>0</v>
      </c>
      <c r="G32" s="52"/>
      <c r="H32" s="64" t="e">
        <f aca="false">G32/D32</f>
        <v>#DIV/0!</v>
      </c>
      <c r="I32" s="63" t="n">
        <f aca="false">G32*'Itens de Contrato'!F32</f>
        <v>0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customFormat="false" ht="12.8" hidden="false" customHeight="false" outlineLevel="0" collapsed="false">
      <c r="A33" s="37" t="n">
        <f aca="false">'Itens de Contrato'!A33</f>
        <v>0</v>
      </c>
      <c r="B33" s="37" t="n">
        <f aca="false">'Itens de Contrato'!B33</f>
        <v>0</v>
      </c>
      <c r="C33" s="37" t="e">
        <f aca="false">VLOOKUP(B33,'Itens de Contrato'!B$5:G$151,2,0)</f>
        <v>#N/A</v>
      </c>
      <c r="D33" s="52"/>
      <c r="E33" s="63" t="n">
        <f aca="false">D33*'Itens de Contrato'!F33</f>
        <v>0</v>
      </c>
      <c r="F33" s="62" t="n">
        <f aca="false">'Medição 06'!F33-'Medição 06'!G33</f>
        <v>0</v>
      </c>
      <c r="G33" s="52"/>
      <c r="H33" s="64" t="e">
        <f aca="false">G33/D33</f>
        <v>#DIV/0!</v>
      </c>
      <c r="I33" s="63" t="n">
        <f aca="false">G33*'Itens de Contrato'!F33</f>
        <v>0</v>
      </c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customFormat="false" ht="12.8" hidden="false" customHeight="false" outlineLevel="0" collapsed="false">
      <c r="A34" s="37" t="n">
        <f aca="false">'Itens de Contrato'!A34</f>
        <v>0</v>
      </c>
      <c r="B34" s="37" t="n">
        <f aca="false">'Itens de Contrato'!B34</f>
        <v>0</v>
      </c>
      <c r="C34" s="37" t="e">
        <f aca="false">VLOOKUP(B34,'Itens de Contrato'!B$5:G$151,2,0)</f>
        <v>#N/A</v>
      </c>
      <c r="D34" s="52"/>
      <c r="E34" s="63" t="n">
        <f aca="false">D34*'Itens de Contrato'!F34</f>
        <v>0</v>
      </c>
      <c r="F34" s="62" t="n">
        <f aca="false">'Medição 06'!F34-'Medição 06'!G34</f>
        <v>0</v>
      </c>
      <c r="G34" s="52"/>
      <c r="H34" s="64" t="e">
        <f aca="false">G34/D34</f>
        <v>#DIV/0!</v>
      </c>
      <c r="I34" s="63" t="n">
        <f aca="false">G34*'Itens de Contrato'!F34</f>
        <v>0</v>
      </c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</row>
    <row r="35" customFormat="false" ht="12.8" hidden="false" customHeight="false" outlineLevel="0" collapsed="false">
      <c r="A35" s="37" t="n">
        <f aca="false">'Itens de Contrato'!A35</f>
        <v>0</v>
      </c>
      <c r="B35" s="37" t="n">
        <f aca="false">'Itens de Contrato'!B35</f>
        <v>0</v>
      </c>
      <c r="C35" s="37" t="e">
        <f aca="false">VLOOKUP(B35,'Itens de Contrato'!B$5:G$151,2,0)</f>
        <v>#N/A</v>
      </c>
      <c r="D35" s="52"/>
      <c r="E35" s="63" t="n">
        <f aca="false">D35*'Itens de Contrato'!F35</f>
        <v>0</v>
      </c>
      <c r="F35" s="62" t="n">
        <f aca="false">'Medição 06'!F35-'Medição 06'!G35</f>
        <v>0</v>
      </c>
      <c r="G35" s="52"/>
      <c r="H35" s="64" t="e">
        <f aca="false">G35/D35</f>
        <v>#DIV/0!</v>
      </c>
      <c r="I35" s="63" t="n">
        <f aca="false">G35*'Itens de Contrato'!F35</f>
        <v>0</v>
      </c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</row>
    <row r="36" customFormat="false" ht="12.8" hidden="false" customHeight="false" outlineLevel="0" collapsed="false">
      <c r="A36" s="37" t="n">
        <f aca="false">'Itens de Contrato'!A36</f>
        <v>0</v>
      </c>
      <c r="B36" s="37" t="n">
        <f aca="false">'Itens de Contrato'!B36</f>
        <v>0</v>
      </c>
      <c r="C36" s="37" t="e">
        <f aca="false">VLOOKUP(B36,'Itens de Contrato'!B$5:G$151,2,0)</f>
        <v>#N/A</v>
      </c>
      <c r="D36" s="52"/>
      <c r="E36" s="63" t="n">
        <f aca="false">D36*'Itens de Contrato'!F36</f>
        <v>0</v>
      </c>
      <c r="F36" s="62" t="n">
        <f aca="false">'Medição 06'!F36-'Medição 06'!G36</f>
        <v>0</v>
      </c>
      <c r="G36" s="52"/>
      <c r="H36" s="64" t="e">
        <f aca="false">G36/D36</f>
        <v>#DIV/0!</v>
      </c>
      <c r="I36" s="63" t="n">
        <f aca="false">G36*'Itens de Contrato'!F36</f>
        <v>0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customFormat="false" ht="12.8" hidden="false" customHeight="false" outlineLevel="0" collapsed="false">
      <c r="A37" s="37" t="n">
        <f aca="false">'Itens de Contrato'!A37</f>
        <v>0</v>
      </c>
      <c r="B37" s="37" t="n">
        <f aca="false">'Itens de Contrato'!B37</f>
        <v>0</v>
      </c>
      <c r="C37" s="37" t="e">
        <f aca="false">VLOOKUP(B37,'Itens de Contrato'!B$5:G$151,2,0)</f>
        <v>#N/A</v>
      </c>
      <c r="D37" s="52"/>
      <c r="E37" s="63" t="n">
        <f aca="false">D37*'Itens de Contrato'!F37</f>
        <v>0</v>
      </c>
      <c r="F37" s="62" t="n">
        <f aca="false">'Medição 06'!F37-'Medição 06'!G37</f>
        <v>0</v>
      </c>
      <c r="G37" s="52"/>
      <c r="H37" s="64" t="e">
        <f aca="false">G37/D37</f>
        <v>#DIV/0!</v>
      </c>
      <c r="I37" s="63" t="n">
        <f aca="false">G37*'Itens de Contrato'!F37</f>
        <v>0</v>
      </c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customFormat="false" ht="12.8" hidden="false" customHeight="false" outlineLevel="0" collapsed="false">
      <c r="A38" s="37" t="n">
        <f aca="false">'Itens de Contrato'!A38</f>
        <v>0</v>
      </c>
      <c r="B38" s="37" t="n">
        <f aca="false">'Itens de Contrato'!B38</f>
        <v>0</v>
      </c>
      <c r="C38" s="37" t="e">
        <f aca="false">VLOOKUP(B38,'Itens de Contrato'!B$5:G$151,2,0)</f>
        <v>#N/A</v>
      </c>
      <c r="D38" s="52"/>
      <c r="E38" s="63" t="n">
        <f aca="false">D38*'Itens de Contrato'!F38</f>
        <v>0</v>
      </c>
      <c r="F38" s="62" t="n">
        <f aca="false">'Medição 06'!F38-'Medição 06'!G38</f>
        <v>0</v>
      </c>
      <c r="G38" s="52"/>
      <c r="H38" s="64" t="e">
        <f aca="false">G38/D38</f>
        <v>#DIV/0!</v>
      </c>
      <c r="I38" s="63" t="n">
        <f aca="false">G38*'Itens de Contrato'!F38</f>
        <v>0</v>
      </c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customFormat="false" ht="12.8" hidden="false" customHeight="false" outlineLevel="0" collapsed="false">
      <c r="A39" s="37" t="n">
        <f aca="false">'Itens de Contrato'!A39</f>
        <v>0</v>
      </c>
      <c r="B39" s="37" t="n">
        <f aca="false">'Itens de Contrato'!B39</f>
        <v>0</v>
      </c>
      <c r="C39" s="37" t="e">
        <f aca="false">VLOOKUP(B39,'Itens de Contrato'!B$5:G$151,2,0)</f>
        <v>#N/A</v>
      </c>
      <c r="D39" s="52"/>
      <c r="E39" s="63" t="n">
        <f aca="false">D39*'Itens de Contrato'!F39</f>
        <v>0</v>
      </c>
      <c r="F39" s="62" t="n">
        <f aca="false">'Medição 06'!F39-'Medição 06'!G39</f>
        <v>0</v>
      </c>
      <c r="G39" s="52"/>
      <c r="H39" s="64" t="e">
        <f aca="false">G39/D39</f>
        <v>#DIV/0!</v>
      </c>
      <c r="I39" s="63" t="n">
        <f aca="false">G39*'Itens de Contrato'!F39</f>
        <v>0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customFormat="false" ht="12.8" hidden="false" customHeight="false" outlineLevel="0" collapsed="false">
      <c r="A40" s="37" t="n">
        <f aca="false">'Itens de Contrato'!A40</f>
        <v>0</v>
      </c>
      <c r="B40" s="37" t="n">
        <f aca="false">'Itens de Contrato'!B40</f>
        <v>0</v>
      </c>
      <c r="C40" s="37" t="e">
        <f aca="false">VLOOKUP(B40,'Itens de Contrato'!B$5:G$151,2,0)</f>
        <v>#N/A</v>
      </c>
      <c r="D40" s="52"/>
      <c r="E40" s="63" t="n">
        <f aca="false">D40*'Itens de Contrato'!F40</f>
        <v>0</v>
      </c>
      <c r="F40" s="62" t="n">
        <f aca="false">'Medição 06'!F40-'Medição 06'!G40</f>
        <v>0</v>
      </c>
      <c r="G40" s="52"/>
      <c r="H40" s="64" t="e">
        <f aca="false">G40/D40</f>
        <v>#DIV/0!</v>
      </c>
      <c r="I40" s="63" t="n">
        <f aca="false">G40*'Itens de Contrato'!F40</f>
        <v>0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customFormat="false" ht="12.8" hidden="false" customHeight="false" outlineLevel="0" collapsed="false">
      <c r="A41" s="37" t="n">
        <f aca="false">'Itens de Contrato'!A41</f>
        <v>0</v>
      </c>
      <c r="B41" s="37" t="n">
        <f aca="false">'Itens de Contrato'!B41</f>
        <v>0</v>
      </c>
      <c r="C41" s="37" t="e">
        <f aca="false">VLOOKUP(B41,'Itens de Contrato'!B$5:G$151,2,0)</f>
        <v>#N/A</v>
      </c>
      <c r="D41" s="52"/>
      <c r="E41" s="63" t="n">
        <f aca="false">D41*'Itens de Contrato'!F41</f>
        <v>0</v>
      </c>
      <c r="F41" s="62" t="n">
        <f aca="false">'Medição 06'!F41-'Medição 06'!G41</f>
        <v>0</v>
      </c>
      <c r="G41" s="52"/>
      <c r="H41" s="64" t="e">
        <f aca="false">G41/D41</f>
        <v>#DIV/0!</v>
      </c>
      <c r="I41" s="63" t="n">
        <f aca="false">G41*'Itens de Contrato'!F41</f>
        <v>0</v>
      </c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customFormat="false" ht="12.8" hidden="false" customHeight="false" outlineLevel="0" collapsed="false">
      <c r="A42" s="37" t="n">
        <f aca="false">'Itens de Contrato'!A42</f>
        <v>0</v>
      </c>
      <c r="B42" s="37" t="n">
        <f aca="false">'Itens de Contrato'!B42</f>
        <v>0</v>
      </c>
      <c r="C42" s="37" t="e">
        <f aca="false">VLOOKUP(B42,'Itens de Contrato'!B$5:G$151,2,0)</f>
        <v>#N/A</v>
      </c>
      <c r="D42" s="52"/>
      <c r="E42" s="63" t="n">
        <f aca="false">D42*'Itens de Contrato'!F42</f>
        <v>0</v>
      </c>
      <c r="F42" s="62" t="n">
        <f aca="false">'Medição 06'!F42-'Medição 06'!G42</f>
        <v>0</v>
      </c>
      <c r="G42" s="52"/>
      <c r="H42" s="64" t="e">
        <f aca="false">G42/D42</f>
        <v>#DIV/0!</v>
      </c>
      <c r="I42" s="63" t="n">
        <f aca="false">G42*'Itens de Contrato'!F42</f>
        <v>0</v>
      </c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customFormat="false" ht="12.8" hidden="false" customHeight="false" outlineLevel="0" collapsed="false">
      <c r="A43" s="37" t="n">
        <f aca="false">'Itens de Contrato'!A43</f>
        <v>0</v>
      </c>
      <c r="B43" s="37" t="n">
        <f aca="false">'Itens de Contrato'!B43</f>
        <v>0</v>
      </c>
      <c r="C43" s="37" t="e">
        <f aca="false">VLOOKUP(B43,'Itens de Contrato'!B$5:G$151,2,0)</f>
        <v>#N/A</v>
      </c>
      <c r="D43" s="52"/>
      <c r="E43" s="63" t="n">
        <f aca="false">D43*'Itens de Contrato'!F43</f>
        <v>0</v>
      </c>
      <c r="F43" s="62" t="n">
        <f aca="false">'Medição 06'!F43-'Medição 06'!G43</f>
        <v>0</v>
      </c>
      <c r="G43" s="52"/>
      <c r="H43" s="64" t="e">
        <f aca="false">G43/D43</f>
        <v>#DIV/0!</v>
      </c>
      <c r="I43" s="63" t="n">
        <f aca="false">G43*'Itens de Contrato'!F43</f>
        <v>0</v>
      </c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customFormat="false" ht="12.8" hidden="false" customHeight="false" outlineLevel="0" collapsed="false">
      <c r="A44" s="37" t="n">
        <f aca="false">'Itens de Contrato'!A44</f>
        <v>0</v>
      </c>
      <c r="B44" s="37" t="n">
        <f aca="false">'Itens de Contrato'!B44</f>
        <v>0</v>
      </c>
      <c r="C44" s="37" t="e">
        <f aca="false">VLOOKUP(B44,'Itens de Contrato'!B$5:G$151,2,0)</f>
        <v>#N/A</v>
      </c>
      <c r="D44" s="52"/>
      <c r="E44" s="63" t="n">
        <f aca="false">D44*'Itens de Contrato'!F44</f>
        <v>0</v>
      </c>
      <c r="F44" s="62" t="n">
        <f aca="false">'Medição 06'!F44-'Medição 06'!G44</f>
        <v>0</v>
      </c>
      <c r="G44" s="52"/>
      <c r="H44" s="64" t="e">
        <f aca="false">G44/D44</f>
        <v>#DIV/0!</v>
      </c>
      <c r="I44" s="63" t="n">
        <f aca="false">G44*'Itens de Contrato'!F44</f>
        <v>0</v>
      </c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customFormat="false" ht="12.8" hidden="false" customHeight="false" outlineLevel="0" collapsed="false">
      <c r="A45" s="37" t="n">
        <f aca="false">'Itens de Contrato'!A45</f>
        <v>0</v>
      </c>
      <c r="B45" s="37" t="n">
        <f aca="false">'Itens de Contrato'!B45</f>
        <v>0</v>
      </c>
      <c r="C45" s="37" t="e">
        <f aca="false">VLOOKUP(B45,'Itens de Contrato'!B$5:G$151,2,0)</f>
        <v>#N/A</v>
      </c>
      <c r="D45" s="52"/>
      <c r="E45" s="63" t="n">
        <f aca="false">D45*'Itens de Contrato'!F45</f>
        <v>0</v>
      </c>
      <c r="F45" s="62" t="n">
        <f aca="false">'Medição 06'!F45-'Medição 06'!G45</f>
        <v>0</v>
      </c>
      <c r="G45" s="52"/>
      <c r="H45" s="64" t="e">
        <f aca="false">G45/D45</f>
        <v>#DIV/0!</v>
      </c>
      <c r="I45" s="63" t="n">
        <f aca="false">G45*'Itens de Contrato'!F45</f>
        <v>0</v>
      </c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customFormat="false" ht="12.8" hidden="false" customHeight="false" outlineLevel="0" collapsed="false">
      <c r="A46" s="37" t="n">
        <f aca="false">'Itens de Contrato'!A46</f>
        <v>0</v>
      </c>
      <c r="B46" s="37" t="n">
        <f aca="false">'Itens de Contrato'!B46</f>
        <v>0</v>
      </c>
      <c r="C46" s="37" t="e">
        <f aca="false">VLOOKUP(B46,'Itens de Contrato'!B$5:G$151,2,0)</f>
        <v>#N/A</v>
      </c>
      <c r="D46" s="52"/>
      <c r="E46" s="63" t="n">
        <f aca="false">D46*'Itens de Contrato'!F46</f>
        <v>0</v>
      </c>
      <c r="F46" s="62" t="n">
        <f aca="false">'Medição 06'!F46-'Medição 06'!G46</f>
        <v>0</v>
      </c>
      <c r="G46" s="52"/>
      <c r="H46" s="64" t="e">
        <f aca="false">G46/D46</f>
        <v>#DIV/0!</v>
      </c>
      <c r="I46" s="63" t="n">
        <f aca="false">G46*'Itens de Contrato'!F46</f>
        <v>0</v>
      </c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customFormat="false" ht="12.8" hidden="false" customHeight="false" outlineLevel="0" collapsed="false">
      <c r="A47" s="37" t="n">
        <f aca="false">'Itens de Contrato'!A47</f>
        <v>0</v>
      </c>
      <c r="B47" s="37" t="n">
        <f aca="false">'Itens de Contrato'!B47</f>
        <v>0</v>
      </c>
      <c r="C47" s="37" t="e">
        <f aca="false">VLOOKUP(B47,'Itens de Contrato'!B$5:G$151,2,0)</f>
        <v>#N/A</v>
      </c>
      <c r="D47" s="52"/>
      <c r="E47" s="63" t="n">
        <f aca="false">D47*'Itens de Contrato'!F47</f>
        <v>0</v>
      </c>
      <c r="F47" s="62" t="n">
        <f aca="false">'Medição 06'!F47-'Medição 06'!G47</f>
        <v>0</v>
      </c>
      <c r="G47" s="52"/>
      <c r="H47" s="64" t="e">
        <f aca="false">G47/D47</f>
        <v>#DIV/0!</v>
      </c>
      <c r="I47" s="63" t="n">
        <f aca="false">G47*'Itens de Contrato'!F47</f>
        <v>0</v>
      </c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customFormat="false" ht="12.8" hidden="false" customHeight="false" outlineLevel="0" collapsed="false">
      <c r="A48" s="37" t="n">
        <f aca="false">'Itens de Contrato'!A48</f>
        <v>0</v>
      </c>
      <c r="B48" s="37" t="n">
        <f aca="false">'Itens de Contrato'!B48</f>
        <v>0</v>
      </c>
      <c r="C48" s="37" t="e">
        <f aca="false">VLOOKUP(B48,'Itens de Contrato'!B$5:G$151,2,0)</f>
        <v>#N/A</v>
      </c>
      <c r="D48" s="52"/>
      <c r="E48" s="63" t="n">
        <f aca="false">D48*'Itens de Contrato'!F48</f>
        <v>0</v>
      </c>
      <c r="F48" s="62" t="n">
        <f aca="false">'Medição 06'!F48-'Medição 06'!G48</f>
        <v>0</v>
      </c>
      <c r="G48" s="52"/>
      <c r="H48" s="64" t="e">
        <f aca="false">G48/D48</f>
        <v>#DIV/0!</v>
      </c>
      <c r="I48" s="63" t="n">
        <f aca="false">G48*'Itens de Contrato'!F48</f>
        <v>0</v>
      </c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customFormat="false" ht="12.8" hidden="false" customHeight="false" outlineLevel="0" collapsed="false">
      <c r="A49" s="37" t="n">
        <f aca="false">'Itens de Contrato'!A49</f>
        <v>0</v>
      </c>
      <c r="B49" s="37" t="n">
        <f aca="false">'Itens de Contrato'!B49</f>
        <v>0</v>
      </c>
      <c r="C49" s="37" t="e">
        <f aca="false">VLOOKUP(B49,'Itens de Contrato'!B$5:G$151,2,0)</f>
        <v>#N/A</v>
      </c>
      <c r="D49" s="52"/>
      <c r="E49" s="63" t="n">
        <f aca="false">D49*'Itens de Contrato'!F49</f>
        <v>0</v>
      </c>
      <c r="F49" s="62" t="n">
        <f aca="false">'Medição 06'!F49-'Medição 06'!G49</f>
        <v>0</v>
      </c>
      <c r="G49" s="52"/>
      <c r="H49" s="64" t="e">
        <f aca="false">G49/D49</f>
        <v>#DIV/0!</v>
      </c>
      <c r="I49" s="63" t="n">
        <f aca="false">G49*'Itens de Contrato'!F49</f>
        <v>0</v>
      </c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customFormat="false" ht="12.8" hidden="false" customHeight="false" outlineLevel="0" collapsed="false">
      <c r="A50" s="37" t="n">
        <f aca="false">'Itens de Contrato'!A50</f>
        <v>0</v>
      </c>
      <c r="B50" s="37" t="n">
        <f aca="false">'Itens de Contrato'!B50</f>
        <v>0</v>
      </c>
      <c r="C50" s="37" t="e">
        <f aca="false">VLOOKUP(B50,'Itens de Contrato'!B$5:G$151,2,0)</f>
        <v>#N/A</v>
      </c>
      <c r="D50" s="52"/>
      <c r="E50" s="63" t="n">
        <f aca="false">D50*'Itens de Contrato'!F50</f>
        <v>0</v>
      </c>
      <c r="F50" s="62" t="n">
        <f aca="false">'Medição 06'!F50-'Medição 06'!G50</f>
        <v>0</v>
      </c>
      <c r="G50" s="52"/>
      <c r="H50" s="64" t="e">
        <f aca="false">G50/D50</f>
        <v>#DIV/0!</v>
      </c>
      <c r="I50" s="63" t="n">
        <f aca="false">G50*'Itens de Contrato'!F50</f>
        <v>0</v>
      </c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customFormat="false" ht="12.8" hidden="false" customHeight="false" outlineLevel="0" collapsed="false">
      <c r="A51" s="37" t="n">
        <f aca="false">'Itens de Contrato'!A51</f>
        <v>0</v>
      </c>
      <c r="B51" s="37" t="n">
        <f aca="false">'Itens de Contrato'!B51</f>
        <v>0</v>
      </c>
      <c r="C51" s="37" t="e">
        <f aca="false">VLOOKUP(B51,'Itens de Contrato'!B$5:G$151,2,0)</f>
        <v>#N/A</v>
      </c>
      <c r="D51" s="52"/>
      <c r="E51" s="63" t="n">
        <f aca="false">D51*'Itens de Contrato'!F51</f>
        <v>0</v>
      </c>
      <c r="F51" s="62" t="n">
        <f aca="false">'Medição 06'!F51-'Medição 06'!G51</f>
        <v>0</v>
      </c>
      <c r="G51" s="52"/>
      <c r="H51" s="64" t="e">
        <f aca="false">G51/D51</f>
        <v>#DIV/0!</v>
      </c>
      <c r="I51" s="63" t="n">
        <f aca="false">G51*'Itens de Contrato'!F51</f>
        <v>0</v>
      </c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customFormat="false" ht="12.8" hidden="false" customHeight="false" outlineLevel="0" collapsed="false">
      <c r="A52" s="37" t="n">
        <f aca="false">'Itens de Contrato'!A52</f>
        <v>0</v>
      </c>
      <c r="B52" s="37" t="n">
        <f aca="false">'Itens de Contrato'!B52</f>
        <v>0</v>
      </c>
      <c r="C52" s="37" t="e">
        <f aca="false">VLOOKUP(B52,'Itens de Contrato'!B$5:G$151,2,0)</f>
        <v>#N/A</v>
      </c>
      <c r="D52" s="52"/>
      <c r="E52" s="63" t="n">
        <f aca="false">D52*'Itens de Contrato'!F52</f>
        <v>0</v>
      </c>
      <c r="F52" s="62" t="n">
        <f aca="false">'Medição 06'!F52-'Medição 06'!G52</f>
        <v>0</v>
      </c>
      <c r="G52" s="52"/>
      <c r="H52" s="64" t="e">
        <f aca="false">G52/D52</f>
        <v>#DIV/0!</v>
      </c>
      <c r="I52" s="63" t="n">
        <f aca="false">G52*'Itens de Contrato'!F52</f>
        <v>0</v>
      </c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customFormat="false" ht="12.8" hidden="false" customHeight="false" outlineLevel="0" collapsed="false">
      <c r="A53" s="37" t="n">
        <f aca="false">'Itens de Contrato'!A53</f>
        <v>0</v>
      </c>
      <c r="B53" s="37" t="n">
        <f aca="false">'Itens de Contrato'!B53</f>
        <v>0</v>
      </c>
      <c r="C53" s="37" t="e">
        <f aca="false">VLOOKUP(B53,'Itens de Contrato'!B$5:G$151,2,0)</f>
        <v>#N/A</v>
      </c>
      <c r="D53" s="52"/>
      <c r="E53" s="63" t="n">
        <f aca="false">D53*'Itens de Contrato'!F53</f>
        <v>0</v>
      </c>
      <c r="F53" s="62" t="n">
        <f aca="false">'Medição 06'!F53-'Medição 06'!G53</f>
        <v>0</v>
      </c>
      <c r="G53" s="52"/>
      <c r="H53" s="64" t="e">
        <f aca="false">G53/D53</f>
        <v>#DIV/0!</v>
      </c>
      <c r="I53" s="63" t="n">
        <f aca="false">G53*'Itens de Contrato'!F53</f>
        <v>0</v>
      </c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customFormat="false" ht="12.8" hidden="false" customHeight="false" outlineLevel="0" collapsed="false">
      <c r="A54" s="37" t="n">
        <f aca="false">'Itens de Contrato'!A54</f>
        <v>0</v>
      </c>
      <c r="B54" s="37" t="n">
        <f aca="false">'Itens de Contrato'!B54</f>
        <v>0</v>
      </c>
      <c r="C54" s="37" t="e">
        <f aca="false">VLOOKUP(B54,'Itens de Contrato'!B$5:G$151,2,0)</f>
        <v>#N/A</v>
      </c>
      <c r="D54" s="52"/>
      <c r="E54" s="63" t="n">
        <f aca="false">D54*'Itens de Contrato'!F54</f>
        <v>0</v>
      </c>
      <c r="F54" s="62" t="n">
        <f aca="false">'Medição 06'!F54-'Medição 06'!G54</f>
        <v>0</v>
      </c>
      <c r="G54" s="52"/>
      <c r="H54" s="64" t="e">
        <f aca="false">G54/D54</f>
        <v>#DIV/0!</v>
      </c>
      <c r="I54" s="63" t="n">
        <f aca="false">G54*'Itens de Contrato'!F54</f>
        <v>0</v>
      </c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customFormat="false" ht="12.8" hidden="false" customHeight="false" outlineLevel="0" collapsed="false">
      <c r="A55" s="37" t="n">
        <f aca="false">'Itens de Contrato'!A55</f>
        <v>0</v>
      </c>
      <c r="B55" s="37" t="n">
        <f aca="false">'Itens de Contrato'!B55</f>
        <v>0</v>
      </c>
      <c r="C55" s="37" t="e">
        <f aca="false">VLOOKUP(B55,'Itens de Contrato'!B$5:G$151,2,0)</f>
        <v>#N/A</v>
      </c>
      <c r="D55" s="52"/>
      <c r="E55" s="63" t="n">
        <f aca="false">D55*'Itens de Contrato'!F55</f>
        <v>0</v>
      </c>
      <c r="F55" s="62" t="n">
        <f aca="false">'Medição 06'!F55-'Medição 06'!G55</f>
        <v>0</v>
      </c>
      <c r="G55" s="52"/>
      <c r="H55" s="64" t="e">
        <f aca="false">G55/D55</f>
        <v>#DIV/0!</v>
      </c>
      <c r="I55" s="63" t="n">
        <f aca="false">G55*'Itens de Contrato'!F55</f>
        <v>0</v>
      </c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customFormat="false" ht="12.8" hidden="false" customHeight="false" outlineLevel="0" collapsed="false">
      <c r="A56" s="37" t="n">
        <f aca="false">'Itens de Contrato'!A56</f>
        <v>0</v>
      </c>
      <c r="B56" s="37" t="n">
        <f aca="false">'Itens de Contrato'!B56</f>
        <v>0</v>
      </c>
      <c r="C56" s="37" t="e">
        <f aca="false">VLOOKUP(B56,'Itens de Contrato'!B$5:G$151,2,0)</f>
        <v>#N/A</v>
      </c>
      <c r="D56" s="52"/>
      <c r="E56" s="63" t="n">
        <f aca="false">D56*'Itens de Contrato'!F56</f>
        <v>0</v>
      </c>
      <c r="F56" s="62" t="n">
        <f aca="false">'Medição 06'!F56-'Medição 06'!G56</f>
        <v>0</v>
      </c>
      <c r="G56" s="52"/>
      <c r="H56" s="64" t="e">
        <f aca="false">G56/D56</f>
        <v>#DIV/0!</v>
      </c>
      <c r="I56" s="63" t="n">
        <f aca="false">G56*'Itens de Contrato'!F56</f>
        <v>0</v>
      </c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customFormat="false" ht="12.8" hidden="false" customHeight="false" outlineLevel="0" collapsed="false">
      <c r="A57" s="37" t="n">
        <f aca="false">'Itens de Contrato'!A57</f>
        <v>0</v>
      </c>
      <c r="B57" s="37" t="n">
        <f aca="false">'Itens de Contrato'!B57</f>
        <v>0</v>
      </c>
      <c r="C57" s="37" t="e">
        <f aca="false">VLOOKUP(B57,'Itens de Contrato'!B$5:G$151,2,0)</f>
        <v>#N/A</v>
      </c>
      <c r="D57" s="52"/>
      <c r="E57" s="63" t="n">
        <f aca="false">D57*'Itens de Contrato'!F57</f>
        <v>0</v>
      </c>
      <c r="F57" s="62" t="n">
        <f aca="false">'Medição 06'!F57-'Medição 06'!G57</f>
        <v>0</v>
      </c>
      <c r="G57" s="52"/>
      <c r="H57" s="64" t="e">
        <f aca="false">G57/D57</f>
        <v>#DIV/0!</v>
      </c>
      <c r="I57" s="63" t="n">
        <f aca="false">G57*'Itens de Contrato'!F57</f>
        <v>0</v>
      </c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customFormat="false" ht="12.8" hidden="false" customHeight="false" outlineLevel="0" collapsed="false">
      <c r="A58" s="37" t="n">
        <f aca="false">'Itens de Contrato'!A58</f>
        <v>0</v>
      </c>
      <c r="B58" s="37" t="n">
        <f aca="false">'Itens de Contrato'!B58</f>
        <v>0</v>
      </c>
      <c r="C58" s="37" t="e">
        <f aca="false">VLOOKUP(B58,'Itens de Contrato'!B$5:G$151,2,0)</f>
        <v>#N/A</v>
      </c>
      <c r="D58" s="52"/>
      <c r="E58" s="63" t="n">
        <f aca="false">D58*'Itens de Contrato'!F58</f>
        <v>0</v>
      </c>
      <c r="F58" s="62" t="n">
        <f aca="false">'Medição 06'!F58-'Medição 06'!G58</f>
        <v>0</v>
      </c>
      <c r="G58" s="52"/>
      <c r="H58" s="64" t="e">
        <f aca="false">G58/D58</f>
        <v>#DIV/0!</v>
      </c>
      <c r="I58" s="63" t="n">
        <f aca="false">G58*'Itens de Contrato'!F58</f>
        <v>0</v>
      </c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customFormat="false" ht="12.8" hidden="false" customHeight="false" outlineLevel="0" collapsed="false">
      <c r="A59" s="37" t="n">
        <f aca="false">'Itens de Contrato'!A59</f>
        <v>0</v>
      </c>
      <c r="B59" s="37" t="n">
        <f aca="false">'Itens de Contrato'!B59</f>
        <v>0</v>
      </c>
      <c r="C59" s="37" t="e">
        <f aca="false">VLOOKUP(B59,'Itens de Contrato'!B$5:G$151,2,0)</f>
        <v>#N/A</v>
      </c>
      <c r="D59" s="52"/>
      <c r="E59" s="63" t="n">
        <f aca="false">D59*'Itens de Contrato'!F59</f>
        <v>0</v>
      </c>
      <c r="F59" s="62" t="n">
        <f aca="false">'Medição 06'!F59-'Medição 06'!G59</f>
        <v>0</v>
      </c>
      <c r="G59" s="52"/>
      <c r="H59" s="64" t="e">
        <f aca="false">G59/D59</f>
        <v>#DIV/0!</v>
      </c>
      <c r="I59" s="63" t="n">
        <f aca="false">G59*'Itens de Contrato'!F59</f>
        <v>0</v>
      </c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</row>
    <row r="60" customFormat="false" ht="12.8" hidden="false" customHeight="false" outlineLevel="0" collapsed="false">
      <c r="A60" s="37" t="n">
        <f aca="false">'Itens de Contrato'!A60</f>
        <v>0</v>
      </c>
      <c r="B60" s="37" t="n">
        <f aca="false">'Itens de Contrato'!B60</f>
        <v>0</v>
      </c>
      <c r="C60" s="37" t="e">
        <f aca="false">VLOOKUP(B60,'Itens de Contrato'!B$5:G$151,2,0)</f>
        <v>#N/A</v>
      </c>
      <c r="D60" s="52"/>
      <c r="E60" s="63" t="n">
        <f aca="false">D60*'Itens de Contrato'!F60</f>
        <v>0</v>
      </c>
      <c r="F60" s="62" t="n">
        <f aca="false">'Medição 06'!F60-'Medição 06'!G60</f>
        <v>0</v>
      </c>
      <c r="G60" s="52"/>
      <c r="H60" s="64" t="e">
        <f aca="false">G60/D60</f>
        <v>#DIV/0!</v>
      </c>
      <c r="I60" s="63" t="n">
        <f aca="false">G60*'Itens de Contrato'!F60</f>
        <v>0</v>
      </c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customFormat="false" ht="12.8" hidden="false" customHeight="false" outlineLevel="0" collapsed="false">
      <c r="A61" s="37" t="n">
        <f aca="false">'Itens de Contrato'!A61</f>
        <v>0</v>
      </c>
      <c r="B61" s="37" t="n">
        <f aca="false">'Itens de Contrato'!B61</f>
        <v>0</v>
      </c>
      <c r="C61" s="37" t="e">
        <f aca="false">VLOOKUP(B61,'Itens de Contrato'!B$5:G$151,2,0)</f>
        <v>#N/A</v>
      </c>
      <c r="D61" s="52"/>
      <c r="E61" s="63" t="n">
        <f aca="false">D61*'Itens de Contrato'!F61</f>
        <v>0</v>
      </c>
      <c r="F61" s="62" t="n">
        <f aca="false">'Medição 06'!F61-'Medição 06'!G61</f>
        <v>0</v>
      </c>
      <c r="G61" s="52"/>
      <c r="H61" s="64" t="e">
        <f aca="false">G61/D61</f>
        <v>#DIV/0!</v>
      </c>
      <c r="I61" s="63" t="n">
        <f aca="false">G61*'Itens de Contrato'!F61</f>
        <v>0</v>
      </c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customFormat="false" ht="12.8" hidden="false" customHeight="false" outlineLevel="0" collapsed="false">
      <c r="A62" s="37" t="n">
        <f aca="false">'Itens de Contrato'!A62</f>
        <v>0</v>
      </c>
      <c r="B62" s="37" t="n">
        <f aca="false">'Itens de Contrato'!B62</f>
        <v>0</v>
      </c>
      <c r="C62" s="37" t="e">
        <f aca="false">VLOOKUP(B62,'Itens de Contrato'!B$5:G$151,2,0)</f>
        <v>#N/A</v>
      </c>
      <c r="D62" s="52"/>
      <c r="E62" s="63" t="n">
        <f aca="false">D62*'Itens de Contrato'!F62</f>
        <v>0</v>
      </c>
      <c r="F62" s="62" t="n">
        <f aca="false">'Medição 06'!F62-'Medição 06'!G62</f>
        <v>0</v>
      </c>
      <c r="G62" s="52"/>
      <c r="H62" s="64" t="e">
        <f aca="false">G62/D62</f>
        <v>#DIV/0!</v>
      </c>
      <c r="I62" s="63" t="n">
        <f aca="false">G62*'Itens de Contrato'!F62</f>
        <v>0</v>
      </c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customFormat="false" ht="12.8" hidden="false" customHeight="false" outlineLevel="0" collapsed="false">
      <c r="A63" s="37" t="n">
        <f aca="false">'Itens de Contrato'!A63</f>
        <v>0</v>
      </c>
      <c r="B63" s="37" t="n">
        <f aca="false">'Itens de Contrato'!B63</f>
        <v>0</v>
      </c>
      <c r="C63" s="37" t="e">
        <f aca="false">VLOOKUP(B63,'Itens de Contrato'!B$5:G$151,2,0)</f>
        <v>#N/A</v>
      </c>
      <c r="D63" s="52"/>
      <c r="E63" s="63" t="n">
        <f aca="false">D63*'Itens de Contrato'!F63</f>
        <v>0</v>
      </c>
      <c r="F63" s="62" t="n">
        <f aca="false">'Medição 06'!F63-'Medição 06'!G63</f>
        <v>0</v>
      </c>
      <c r="G63" s="52"/>
      <c r="H63" s="64" t="e">
        <f aca="false">G63/D63</f>
        <v>#DIV/0!</v>
      </c>
      <c r="I63" s="63" t="n">
        <f aca="false">G63*'Itens de Contrato'!F63</f>
        <v>0</v>
      </c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customFormat="false" ht="12.8" hidden="false" customHeight="false" outlineLevel="0" collapsed="false">
      <c r="A64" s="37" t="n">
        <f aca="false">'Itens de Contrato'!A64</f>
        <v>0</v>
      </c>
      <c r="B64" s="37" t="n">
        <f aca="false">'Itens de Contrato'!B64</f>
        <v>0</v>
      </c>
      <c r="C64" s="37" t="e">
        <f aca="false">VLOOKUP(B64,'Itens de Contrato'!B$5:G$151,2,0)</f>
        <v>#N/A</v>
      </c>
      <c r="D64" s="52"/>
      <c r="E64" s="63" t="n">
        <f aca="false">D64*'Itens de Contrato'!F64</f>
        <v>0</v>
      </c>
      <c r="F64" s="62" t="n">
        <f aca="false">'Medição 06'!F64-'Medição 06'!G64</f>
        <v>0</v>
      </c>
      <c r="G64" s="52"/>
      <c r="H64" s="64" t="e">
        <f aca="false">G64/D64</f>
        <v>#DIV/0!</v>
      </c>
      <c r="I64" s="63" t="n">
        <f aca="false">G64*'Itens de Contrato'!F64</f>
        <v>0</v>
      </c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customFormat="false" ht="12.8" hidden="false" customHeight="false" outlineLevel="0" collapsed="false">
      <c r="A65" s="37" t="n">
        <f aca="false">'Itens de Contrato'!A65</f>
        <v>0</v>
      </c>
      <c r="B65" s="37" t="n">
        <f aca="false">'Itens de Contrato'!B65</f>
        <v>0</v>
      </c>
      <c r="C65" s="37" t="e">
        <f aca="false">VLOOKUP(B65,'Itens de Contrato'!B$5:G$151,2,0)</f>
        <v>#N/A</v>
      </c>
      <c r="D65" s="52"/>
      <c r="E65" s="63" t="n">
        <f aca="false">D65*'Itens de Contrato'!F65</f>
        <v>0</v>
      </c>
      <c r="F65" s="62" t="n">
        <f aca="false">'Medição 06'!F65-'Medição 06'!G65</f>
        <v>0</v>
      </c>
      <c r="G65" s="52"/>
      <c r="H65" s="64" t="e">
        <f aca="false">G65/D65</f>
        <v>#DIV/0!</v>
      </c>
      <c r="I65" s="63" t="n">
        <f aca="false">G65*'Itens de Contrato'!F65</f>
        <v>0</v>
      </c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customFormat="false" ht="12.8" hidden="false" customHeight="false" outlineLevel="0" collapsed="false">
      <c r="A66" s="37" t="n">
        <f aca="false">'Itens de Contrato'!A66</f>
        <v>0</v>
      </c>
      <c r="B66" s="37" t="n">
        <f aca="false">'Itens de Contrato'!B66</f>
        <v>0</v>
      </c>
      <c r="C66" s="37" t="e">
        <f aca="false">VLOOKUP(B66,'Itens de Contrato'!B$5:G$151,2,0)</f>
        <v>#N/A</v>
      </c>
      <c r="D66" s="52"/>
      <c r="E66" s="63" t="n">
        <f aca="false">D66*'Itens de Contrato'!F66</f>
        <v>0</v>
      </c>
      <c r="F66" s="62" t="n">
        <f aca="false">'Medição 06'!F66-'Medição 06'!G66</f>
        <v>0</v>
      </c>
      <c r="G66" s="52"/>
      <c r="H66" s="64" t="e">
        <f aca="false">G66/D66</f>
        <v>#DIV/0!</v>
      </c>
      <c r="I66" s="63" t="n">
        <f aca="false">G66*'Itens de Contrato'!F66</f>
        <v>0</v>
      </c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customFormat="false" ht="12.8" hidden="false" customHeight="false" outlineLevel="0" collapsed="false">
      <c r="A67" s="37" t="n">
        <f aca="false">'Itens de Contrato'!A67</f>
        <v>0</v>
      </c>
      <c r="B67" s="37" t="n">
        <f aca="false">'Itens de Contrato'!B67</f>
        <v>0</v>
      </c>
      <c r="C67" s="37" t="e">
        <f aca="false">VLOOKUP(B67,'Itens de Contrato'!B$5:G$151,2,0)</f>
        <v>#N/A</v>
      </c>
      <c r="D67" s="52"/>
      <c r="E67" s="63" t="n">
        <f aca="false">D67*'Itens de Contrato'!F67</f>
        <v>0</v>
      </c>
      <c r="F67" s="62" t="n">
        <f aca="false">'Medição 06'!F67-'Medição 06'!G67</f>
        <v>0</v>
      </c>
      <c r="G67" s="52"/>
      <c r="H67" s="64" t="e">
        <f aca="false">G67/D67</f>
        <v>#DIV/0!</v>
      </c>
      <c r="I67" s="63" t="n">
        <f aca="false">G67*'Itens de Contrato'!F67</f>
        <v>0</v>
      </c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customFormat="false" ht="12.8" hidden="false" customHeight="false" outlineLevel="0" collapsed="false">
      <c r="A68" s="37" t="n">
        <f aca="false">'Itens de Contrato'!A68</f>
        <v>0</v>
      </c>
      <c r="B68" s="37" t="n">
        <f aca="false">'Itens de Contrato'!B68</f>
        <v>0</v>
      </c>
      <c r="C68" s="37" t="e">
        <f aca="false">VLOOKUP(B68,'Itens de Contrato'!B$5:G$151,2,0)</f>
        <v>#N/A</v>
      </c>
      <c r="D68" s="52"/>
      <c r="E68" s="63" t="n">
        <f aca="false">D68*'Itens de Contrato'!F68</f>
        <v>0</v>
      </c>
      <c r="F68" s="62" t="n">
        <f aca="false">'Medição 06'!F68-'Medição 06'!G68</f>
        <v>0</v>
      </c>
      <c r="G68" s="52"/>
      <c r="H68" s="64" t="e">
        <f aca="false">G68/D68</f>
        <v>#DIV/0!</v>
      </c>
      <c r="I68" s="63" t="n">
        <f aca="false">G68*'Itens de Contrato'!F68</f>
        <v>0</v>
      </c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</row>
    <row r="69" customFormat="false" ht="12.8" hidden="false" customHeight="false" outlineLevel="0" collapsed="false">
      <c r="A69" s="37" t="n">
        <f aca="false">'Itens de Contrato'!A69</f>
        <v>0</v>
      </c>
      <c r="B69" s="37" t="n">
        <f aca="false">'Itens de Contrato'!B69</f>
        <v>0</v>
      </c>
      <c r="C69" s="37" t="e">
        <f aca="false">VLOOKUP(B69,'Itens de Contrato'!B$5:G$151,2,0)</f>
        <v>#N/A</v>
      </c>
      <c r="D69" s="52"/>
      <c r="E69" s="63" t="n">
        <f aca="false">D69*'Itens de Contrato'!F69</f>
        <v>0</v>
      </c>
      <c r="F69" s="62" t="n">
        <f aca="false">'Medição 06'!F69-'Medição 06'!G69</f>
        <v>0</v>
      </c>
      <c r="G69" s="52"/>
      <c r="H69" s="64" t="e">
        <f aca="false">G69/D69</f>
        <v>#DIV/0!</v>
      </c>
      <c r="I69" s="63" t="n">
        <f aca="false">G69*'Itens de Contrato'!F69</f>
        <v>0</v>
      </c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</row>
    <row r="70" customFormat="false" ht="12.8" hidden="false" customHeight="false" outlineLevel="0" collapsed="false">
      <c r="A70" s="37" t="n">
        <f aca="false">'Itens de Contrato'!A70</f>
        <v>0</v>
      </c>
      <c r="B70" s="37" t="n">
        <f aca="false">'Itens de Contrato'!B70</f>
        <v>0</v>
      </c>
      <c r="C70" s="37" t="e">
        <f aca="false">VLOOKUP(B70,'Itens de Contrato'!B$5:G$151,2,0)</f>
        <v>#N/A</v>
      </c>
      <c r="D70" s="52"/>
      <c r="E70" s="63" t="n">
        <f aca="false">D70*'Itens de Contrato'!F70</f>
        <v>0</v>
      </c>
      <c r="F70" s="62" t="n">
        <f aca="false">'Medição 06'!F70-'Medição 06'!G70</f>
        <v>0</v>
      </c>
      <c r="G70" s="52"/>
      <c r="H70" s="64" t="e">
        <f aca="false">G70/D70</f>
        <v>#DIV/0!</v>
      </c>
      <c r="I70" s="63" t="n">
        <f aca="false">G70*'Itens de Contrato'!F70</f>
        <v>0</v>
      </c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</row>
    <row r="71" customFormat="false" ht="12.8" hidden="false" customHeight="false" outlineLevel="0" collapsed="false">
      <c r="A71" s="37" t="n">
        <f aca="false">'Itens de Contrato'!A71</f>
        <v>0</v>
      </c>
      <c r="B71" s="37" t="n">
        <f aca="false">'Itens de Contrato'!B71</f>
        <v>0</v>
      </c>
      <c r="C71" s="37" t="e">
        <f aca="false">VLOOKUP(B71,'Itens de Contrato'!B$5:G$151,2,0)</f>
        <v>#N/A</v>
      </c>
      <c r="D71" s="52"/>
      <c r="E71" s="63" t="n">
        <f aca="false">D71*'Itens de Contrato'!F71</f>
        <v>0</v>
      </c>
      <c r="F71" s="62" t="n">
        <f aca="false">'Medição 06'!F71-'Medição 06'!G71</f>
        <v>0</v>
      </c>
      <c r="G71" s="52"/>
      <c r="H71" s="64" t="e">
        <f aca="false">G71/D71</f>
        <v>#DIV/0!</v>
      </c>
      <c r="I71" s="63" t="n">
        <f aca="false">G71*'Itens de Contrato'!F71</f>
        <v>0</v>
      </c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</row>
    <row r="72" customFormat="false" ht="12.8" hidden="false" customHeight="false" outlineLevel="0" collapsed="false">
      <c r="A72" s="37" t="n">
        <f aca="false">'Itens de Contrato'!A72</f>
        <v>0</v>
      </c>
      <c r="B72" s="37" t="n">
        <f aca="false">'Itens de Contrato'!B72</f>
        <v>0</v>
      </c>
      <c r="C72" s="37" t="e">
        <f aca="false">VLOOKUP(B72,'Itens de Contrato'!B$5:G$151,2,0)</f>
        <v>#N/A</v>
      </c>
      <c r="D72" s="52"/>
      <c r="E72" s="63" t="n">
        <f aca="false">D72*'Itens de Contrato'!F72</f>
        <v>0</v>
      </c>
      <c r="F72" s="62" t="n">
        <f aca="false">'Medição 06'!F72-'Medição 06'!G72</f>
        <v>0</v>
      </c>
      <c r="G72" s="52"/>
      <c r="H72" s="64" t="e">
        <f aca="false">G72/D72</f>
        <v>#DIV/0!</v>
      </c>
      <c r="I72" s="63" t="n">
        <f aca="false">G72*'Itens de Contrato'!F72</f>
        <v>0</v>
      </c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</row>
    <row r="73" customFormat="false" ht="12.8" hidden="false" customHeight="false" outlineLevel="0" collapsed="false">
      <c r="A73" s="37" t="n">
        <f aca="false">'Itens de Contrato'!A73</f>
        <v>0</v>
      </c>
      <c r="B73" s="37" t="n">
        <f aca="false">'Itens de Contrato'!B73</f>
        <v>0</v>
      </c>
      <c r="C73" s="37" t="e">
        <f aca="false">VLOOKUP(B73,'Itens de Contrato'!B$5:G$151,2,0)</f>
        <v>#N/A</v>
      </c>
      <c r="D73" s="52"/>
      <c r="E73" s="63" t="n">
        <f aca="false">D73*'Itens de Contrato'!F73</f>
        <v>0</v>
      </c>
      <c r="F73" s="62" t="n">
        <f aca="false">'Medição 06'!F73-'Medição 06'!G73</f>
        <v>0</v>
      </c>
      <c r="G73" s="52"/>
      <c r="H73" s="64" t="e">
        <f aca="false">G73/D73</f>
        <v>#DIV/0!</v>
      </c>
      <c r="I73" s="63" t="n">
        <f aca="false">G73*'Itens de Contrato'!F73</f>
        <v>0</v>
      </c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</row>
    <row r="74" customFormat="false" ht="12.8" hidden="false" customHeight="false" outlineLevel="0" collapsed="false">
      <c r="A74" s="37" t="n">
        <f aca="false">'Itens de Contrato'!A74</f>
        <v>0</v>
      </c>
      <c r="B74" s="37" t="n">
        <f aca="false">'Itens de Contrato'!B74</f>
        <v>0</v>
      </c>
      <c r="C74" s="37" t="e">
        <f aca="false">VLOOKUP(B74,'Itens de Contrato'!B$5:G$151,2,0)</f>
        <v>#N/A</v>
      </c>
      <c r="D74" s="52"/>
      <c r="E74" s="63" t="n">
        <f aca="false">D74*'Itens de Contrato'!F74</f>
        <v>0</v>
      </c>
      <c r="F74" s="62" t="n">
        <f aca="false">'Medição 06'!F74-'Medição 06'!G74</f>
        <v>0</v>
      </c>
      <c r="G74" s="52"/>
      <c r="H74" s="64" t="e">
        <f aca="false">G74/D74</f>
        <v>#DIV/0!</v>
      </c>
      <c r="I74" s="63" t="n">
        <f aca="false">G74*'Itens de Contrato'!F74</f>
        <v>0</v>
      </c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</row>
    <row r="75" customFormat="false" ht="12.8" hidden="false" customHeight="false" outlineLevel="0" collapsed="false">
      <c r="A75" s="37" t="n">
        <f aca="false">'Itens de Contrato'!A75</f>
        <v>0</v>
      </c>
      <c r="B75" s="37" t="n">
        <f aca="false">'Itens de Contrato'!B75</f>
        <v>0</v>
      </c>
      <c r="C75" s="37" t="e">
        <f aca="false">VLOOKUP(B75,'Itens de Contrato'!B$5:G$151,2,0)</f>
        <v>#N/A</v>
      </c>
      <c r="D75" s="52"/>
      <c r="E75" s="63" t="n">
        <f aca="false">D75*'Itens de Contrato'!F75</f>
        <v>0</v>
      </c>
      <c r="F75" s="62" t="n">
        <f aca="false">'Medição 06'!F75-'Medição 06'!G75</f>
        <v>0</v>
      </c>
      <c r="G75" s="52"/>
      <c r="H75" s="64" t="e">
        <f aca="false">G75/D75</f>
        <v>#DIV/0!</v>
      </c>
      <c r="I75" s="63" t="n">
        <f aca="false">G75*'Itens de Contrato'!F75</f>
        <v>0</v>
      </c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</row>
    <row r="76" customFormat="false" ht="12.8" hidden="false" customHeight="false" outlineLevel="0" collapsed="false">
      <c r="A76" s="37" t="n">
        <f aca="false">'Itens de Contrato'!A76</f>
        <v>0</v>
      </c>
      <c r="B76" s="37" t="n">
        <f aca="false">'Itens de Contrato'!B76</f>
        <v>0</v>
      </c>
      <c r="C76" s="37" t="e">
        <f aca="false">VLOOKUP(B76,'Itens de Contrato'!B$5:G$151,2,0)</f>
        <v>#N/A</v>
      </c>
      <c r="D76" s="52"/>
      <c r="E76" s="63" t="n">
        <f aca="false">D76*'Itens de Contrato'!F76</f>
        <v>0</v>
      </c>
      <c r="F76" s="62" t="n">
        <f aca="false">'Medição 06'!F76-'Medição 06'!G76</f>
        <v>0</v>
      </c>
      <c r="G76" s="52"/>
      <c r="H76" s="64" t="e">
        <f aca="false">G76/D76</f>
        <v>#DIV/0!</v>
      </c>
      <c r="I76" s="63" t="n">
        <f aca="false">G76*'Itens de Contrato'!F76</f>
        <v>0</v>
      </c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</row>
    <row r="77" customFormat="false" ht="12.8" hidden="false" customHeight="false" outlineLevel="0" collapsed="false">
      <c r="A77" s="37" t="n">
        <f aca="false">'Itens de Contrato'!A77</f>
        <v>0</v>
      </c>
      <c r="B77" s="37" t="n">
        <f aca="false">'Itens de Contrato'!B77</f>
        <v>0</v>
      </c>
      <c r="C77" s="37" t="e">
        <f aca="false">VLOOKUP(B77,'Itens de Contrato'!B$5:G$151,2,0)</f>
        <v>#N/A</v>
      </c>
      <c r="D77" s="52"/>
      <c r="E77" s="63" t="n">
        <f aca="false">D77*'Itens de Contrato'!F77</f>
        <v>0</v>
      </c>
      <c r="F77" s="62" t="n">
        <f aca="false">'Medição 06'!F77-'Medição 06'!G77</f>
        <v>0</v>
      </c>
      <c r="G77" s="52"/>
      <c r="H77" s="64" t="e">
        <f aca="false">G77/D77</f>
        <v>#DIV/0!</v>
      </c>
      <c r="I77" s="63" t="n">
        <f aca="false">G77*'Itens de Contrato'!F77</f>
        <v>0</v>
      </c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</row>
    <row r="78" customFormat="false" ht="12.8" hidden="false" customHeight="false" outlineLevel="0" collapsed="false">
      <c r="A78" s="37" t="n">
        <f aca="false">'Itens de Contrato'!A78</f>
        <v>0</v>
      </c>
      <c r="B78" s="37" t="n">
        <f aca="false">'Itens de Contrato'!B78</f>
        <v>0</v>
      </c>
      <c r="C78" s="37" t="e">
        <f aca="false">VLOOKUP(B78,'Itens de Contrato'!B$5:G$151,2,0)</f>
        <v>#N/A</v>
      </c>
      <c r="D78" s="52"/>
      <c r="E78" s="63" t="n">
        <f aca="false">D78*'Itens de Contrato'!F78</f>
        <v>0</v>
      </c>
      <c r="F78" s="62" t="n">
        <f aca="false">'Medição 06'!F78-'Medição 06'!G78</f>
        <v>0</v>
      </c>
      <c r="G78" s="52"/>
      <c r="H78" s="64" t="e">
        <f aca="false">G78/D78</f>
        <v>#DIV/0!</v>
      </c>
      <c r="I78" s="63" t="n">
        <f aca="false">G78*'Itens de Contrato'!F78</f>
        <v>0</v>
      </c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</row>
    <row r="79" customFormat="false" ht="12.8" hidden="false" customHeight="false" outlineLevel="0" collapsed="false">
      <c r="A79" s="37" t="n">
        <f aca="false">'Itens de Contrato'!A79</f>
        <v>0</v>
      </c>
      <c r="B79" s="37" t="n">
        <f aca="false">'Itens de Contrato'!B79</f>
        <v>0</v>
      </c>
      <c r="C79" s="37" t="e">
        <f aca="false">VLOOKUP(B79,'Itens de Contrato'!B$5:G$151,2,0)</f>
        <v>#N/A</v>
      </c>
      <c r="D79" s="52"/>
      <c r="E79" s="63" t="n">
        <f aca="false">D79*'Itens de Contrato'!F79</f>
        <v>0</v>
      </c>
      <c r="F79" s="62" t="n">
        <f aca="false">'Medição 06'!F79-'Medição 06'!G79</f>
        <v>0</v>
      </c>
      <c r="G79" s="52"/>
      <c r="H79" s="64" t="e">
        <f aca="false">G79/D79</f>
        <v>#DIV/0!</v>
      </c>
      <c r="I79" s="63" t="n">
        <f aca="false">G79*'Itens de Contrato'!F79</f>
        <v>0</v>
      </c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</row>
    <row r="80" customFormat="false" ht="12.8" hidden="false" customHeight="false" outlineLevel="0" collapsed="false">
      <c r="A80" s="37" t="n">
        <f aca="false">'Itens de Contrato'!A80</f>
        <v>0</v>
      </c>
      <c r="B80" s="37" t="n">
        <f aca="false">'Itens de Contrato'!B80</f>
        <v>0</v>
      </c>
      <c r="C80" s="37" t="e">
        <f aca="false">VLOOKUP(B80,'Itens de Contrato'!B$5:G$151,2,0)</f>
        <v>#N/A</v>
      </c>
      <c r="D80" s="52"/>
      <c r="E80" s="63" t="n">
        <f aca="false">D80*'Itens de Contrato'!F80</f>
        <v>0</v>
      </c>
      <c r="F80" s="62" t="n">
        <f aca="false">'Medição 06'!F80-'Medição 06'!G80</f>
        <v>0</v>
      </c>
      <c r="G80" s="52"/>
      <c r="H80" s="64" t="e">
        <f aca="false">G80/D80</f>
        <v>#DIV/0!</v>
      </c>
      <c r="I80" s="63" t="n">
        <f aca="false">G80*'Itens de Contrato'!F80</f>
        <v>0</v>
      </c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</row>
    <row r="81" customFormat="false" ht="12.8" hidden="false" customHeight="false" outlineLevel="0" collapsed="false">
      <c r="A81" s="37" t="n">
        <f aca="false">'Itens de Contrato'!A81</f>
        <v>0</v>
      </c>
      <c r="B81" s="37" t="n">
        <f aca="false">'Itens de Contrato'!B81</f>
        <v>0</v>
      </c>
      <c r="C81" s="37" t="e">
        <f aca="false">VLOOKUP(B81,'Itens de Contrato'!B$5:G$151,2,0)</f>
        <v>#N/A</v>
      </c>
      <c r="D81" s="52"/>
      <c r="E81" s="63" t="n">
        <f aca="false">D81*'Itens de Contrato'!F81</f>
        <v>0</v>
      </c>
      <c r="F81" s="62" t="n">
        <f aca="false">'Medição 06'!F81-'Medição 06'!G81</f>
        <v>0</v>
      </c>
      <c r="G81" s="52"/>
      <c r="H81" s="64" t="e">
        <f aca="false">G81/D81</f>
        <v>#DIV/0!</v>
      </c>
      <c r="I81" s="63" t="n">
        <f aca="false">G81*'Itens de Contrato'!F81</f>
        <v>0</v>
      </c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</row>
    <row r="82" customFormat="false" ht="12.8" hidden="false" customHeight="false" outlineLevel="0" collapsed="false">
      <c r="A82" s="37" t="n">
        <f aca="false">'Itens de Contrato'!A82</f>
        <v>0</v>
      </c>
      <c r="B82" s="37" t="n">
        <f aca="false">'Itens de Contrato'!B82</f>
        <v>0</v>
      </c>
      <c r="C82" s="37" t="e">
        <f aca="false">VLOOKUP(B82,'Itens de Contrato'!B$5:G$151,2,0)</f>
        <v>#N/A</v>
      </c>
      <c r="D82" s="52"/>
      <c r="E82" s="63" t="n">
        <f aca="false">D82*'Itens de Contrato'!F82</f>
        <v>0</v>
      </c>
      <c r="F82" s="62" t="n">
        <f aca="false">'Medição 06'!F82-'Medição 06'!G82</f>
        <v>0</v>
      </c>
      <c r="G82" s="52"/>
      <c r="H82" s="64" t="e">
        <f aca="false">G82/D82</f>
        <v>#DIV/0!</v>
      </c>
      <c r="I82" s="63" t="n">
        <f aca="false">G82*'Itens de Contrato'!F82</f>
        <v>0</v>
      </c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</row>
    <row r="83" customFormat="false" ht="12.8" hidden="false" customHeight="false" outlineLevel="0" collapsed="false">
      <c r="A83" s="37" t="n">
        <f aca="false">'Itens de Contrato'!A83</f>
        <v>0</v>
      </c>
      <c r="B83" s="37" t="n">
        <f aca="false">'Itens de Contrato'!B83</f>
        <v>0</v>
      </c>
      <c r="C83" s="37" t="e">
        <f aca="false">VLOOKUP(B83,'Itens de Contrato'!B$5:G$151,2,0)</f>
        <v>#N/A</v>
      </c>
      <c r="D83" s="52"/>
      <c r="E83" s="63" t="n">
        <f aca="false">D83*'Itens de Contrato'!F83</f>
        <v>0</v>
      </c>
      <c r="F83" s="62" t="n">
        <f aca="false">'Medição 06'!F83-'Medição 06'!G83</f>
        <v>0</v>
      </c>
      <c r="G83" s="52"/>
      <c r="H83" s="64" t="e">
        <f aca="false">G83/D83</f>
        <v>#DIV/0!</v>
      </c>
      <c r="I83" s="63" t="n">
        <f aca="false">G83*'Itens de Contrato'!F83</f>
        <v>0</v>
      </c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</row>
    <row r="84" customFormat="false" ht="12.8" hidden="false" customHeight="false" outlineLevel="0" collapsed="false">
      <c r="A84" s="37" t="n">
        <f aca="false">'Itens de Contrato'!A84</f>
        <v>0</v>
      </c>
      <c r="B84" s="37" t="n">
        <f aca="false">'Itens de Contrato'!B84</f>
        <v>0</v>
      </c>
      <c r="C84" s="37" t="e">
        <f aca="false">VLOOKUP(B84,'Itens de Contrato'!B$5:G$151,2,0)</f>
        <v>#N/A</v>
      </c>
      <c r="D84" s="52"/>
      <c r="E84" s="63" t="n">
        <f aca="false">D84*'Itens de Contrato'!F84</f>
        <v>0</v>
      </c>
      <c r="F84" s="62" t="n">
        <f aca="false">'Medição 06'!F84-'Medição 06'!G84</f>
        <v>0</v>
      </c>
      <c r="G84" s="52"/>
      <c r="H84" s="64" t="e">
        <f aca="false">G84/D84</f>
        <v>#DIV/0!</v>
      </c>
      <c r="I84" s="63" t="n">
        <f aca="false">G84*'Itens de Contrato'!F84</f>
        <v>0</v>
      </c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</row>
    <row r="85" customFormat="false" ht="12.8" hidden="false" customHeight="false" outlineLevel="0" collapsed="false">
      <c r="A85" s="37" t="n">
        <f aca="false">'Itens de Contrato'!A85</f>
        <v>0</v>
      </c>
      <c r="B85" s="37" t="n">
        <f aca="false">'Itens de Contrato'!B85</f>
        <v>0</v>
      </c>
      <c r="C85" s="37" t="e">
        <f aca="false">VLOOKUP(B85,'Itens de Contrato'!B$5:G$151,2,0)</f>
        <v>#N/A</v>
      </c>
      <c r="D85" s="52"/>
      <c r="E85" s="63" t="n">
        <f aca="false">D85*'Itens de Contrato'!F85</f>
        <v>0</v>
      </c>
      <c r="F85" s="62" t="n">
        <f aca="false">'Medição 06'!F85-'Medição 06'!G85</f>
        <v>0</v>
      </c>
      <c r="G85" s="52"/>
      <c r="H85" s="64" t="e">
        <f aca="false">G85/D85</f>
        <v>#DIV/0!</v>
      </c>
      <c r="I85" s="63" t="n">
        <f aca="false">G85*'Itens de Contrato'!F85</f>
        <v>0</v>
      </c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</row>
    <row r="86" customFormat="false" ht="12.8" hidden="false" customHeight="false" outlineLevel="0" collapsed="false">
      <c r="A86" s="37" t="n">
        <f aca="false">'Itens de Contrato'!A86</f>
        <v>0</v>
      </c>
      <c r="B86" s="37" t="n">
        <f aca="false">'Itens de Contrato'!B86</f>
        <v>0</v>
      </c>
      <c r="C86" s="37" t="e">
        <f aca="false">VLOOKUP(B86,'Itens de Contrato'!B$5:G$151,2,0)</f>
        <v>#N/A</v>
      </c>
      <c r="D86" s="52"/>
      <c r="E86" s="63" t="n">
        <f aca="false">D86*'Itens de Contrato'!F86</f>
        <v>0</v>
      </c>
      <c r="F86" s="62" t="n">
        <f aca="false">'Medição 06'!F86-'Medição 06'!G86</f>
        <v>0</v>
      </c>
      <c r="G86" s="52"/>
      <c r="H86" s="64" t="e">
        <f aca="false">G86/D86</f>
        <v>#DIV/0!</v>
      </c>
      <c r="I86" s="63" t="n">
        <f aca="false">G86*'Itens de Contrato'!F86</f>
        <v>0</v>
      </c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</row>
    <row r="87" customFormat="false" ht="12.8" hidden="false" customHeight="false" outlineLevel="0" collapsed="false">
      <c r="A87" s="37" t="n">
        <f aca="false">'Itens de Contrato'!A87</f>
        <v>0</v>
      </c>
      <c r="B87" s="37" t="n">
        <f aca="false">'Itens de Contrato'!B87</f>
        <v>0</v>
      </c>
      <c r="C87" s="37" t="e">
        <f aca="false">VLOOKUP(B87,'Itens de Contrato'!B$5:G$151,2,0)</f>
        <v>#N/A</v>
      </c>
      <c r="D87" s="52"/>
      <c r="E87" s="63" t="n">
        <f aca="false">D87*'Itens de Contrato'!F87</f>
        <v>0</v>
      </c>
      <c r="F87" s="62" t="n">
        <f aca="false">'Medição 06'!F87-'Medição 06'!G87</f>
        <v>0</v>
      </c>
      <c r="G87" s="52"/>
      <c r="H87" s="64" t="e">
        <f aca="false">G87/D87</f>
        <v>#DIV/0!</v>
      </c>
      <c r="I87" s="63" t="n">
        <f aca="false">G87*'Itens de Contrato'!F87</f>
        <v>0</v>
      </c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</row>
    <row r="88" customFormat="false" ht="12.8" hidden="false" customHeight="false" outlineLevel="0" collapsed="false">
      <c r="A88" s="37" t="n">
        <f aca="false">'Itens de Contrato'!A88</f>
        <v>0</v>
      </c>
      <c r="B88" s="37" t="n">
        <f aca="false">'Itens de Contrato'!B88</f>
        <v>0</v>
      </c>
      <c r="C88" s="37" t="e">
        <f aca="false">VLOOKUP(B88,'Itens de Contrato'!B$5:G$151,2,0)</f>
        <v>#N/A</v>
      </c>
      <c r="D88" s="52"/>
      <c r="E88" s="63" t="n">
        <f aca="false">D88*'Itens de Contrato'!F88</f>
        <v>0</v>
      </c>
      <c r="F88" s="62" t="n">
        <f aca="false">'Medição 06'!F88-'Medição 06'!G88</f>
        <v>0</v>
      </c>
      <c r="G88" s="52"/>
      <c r="H88" s="64" t="e">
        <f aca="false">G88/D88</f>
        <v>#DIV/0!</v>
      </c>
      <c r="I88" s="63" t="n">
        <f aca="false">G88*'Itens de Contrato'!F88</f>
        <v>0</v>
      </c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</row>
    <row r="89" customFormat="false" ht="12.8" hidden="false" customHeight="false" outlineLevel="0" collapsed="false">
      <c r="A89" s="37" t="n">
        <f aca="false">'Itens de Contrato'!A89</f>
        <v>0</v>
      </c>
      <c r="B89" s="37" t="n">
        <f aca="false">'Itens de Contrato'!B89</f>
        <v>0</v>
      </c>
      <c r="C89" s="37" t="e">
        <f aca="false">VLOOKUP(B89,'Itens de Contrato'!B$5:G$151,2,0)</f>
        <v>#N/A</v>
      </c>
      <c r="D89" s="52"/>
      <c r="E89" s="63" t="n">
        <f aca="false">D89*'Itens de Contrato'!F89</f>
        <v>0</v>
      </c>
      <c r="F89" s="62" t="n">
        <f aca="false">'Medição 06'!F89-'Medição 06'!G89</f>
        <v>0</v>
      </c>
      <c r="G89" s="52"/>
      <c r="H89" s="64" t="e">
        <f aca="false">G89/D89</f>
        <v>#DIV/0!</v>
      </c>
      <c r="I89" s="63" t="n">
        <f aca="false">G89*'Itens de Contrato'!F89</f>
        <v>0</v>
      </c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</row>
    <row r="90" customFormat="false" ht="12.8" hidden="false" customHeight="false" outlineLevel="0" collapsed="false">
      <c r="A90" s="37" t="n">
        <f aca="false">'Itens de Contrato'!A90</f>
        <v>0</v>
      </c>
      <c r="B90" s="37" t="n">
        <f aca="false">'Itens de Contrato'!B90</f>
        <v>0</v>
      </c>
      <c r="C90" s="37" t="e">
        <f aca="false">VLOOKUP(B90,'Itens de Contrato'!B$5:G$151,2,0)</f>
        <v>#N/A</v>
      </c>
      <c r="D90" s="52"/>
      <c r="E90" s="63" t="n">
        <f aca="false">D90*'Itens de Contrato'!F90</f>
        <v>0</v>
      </c>
      <c r="F90" s="62" t="n">
        <f aca="false">'Medição 06'!F90-'Medição 06'!G90</f>
        <v>0</v>
      </c>
      <c r="G90" s="52"/>
      <c r="H90" s="64" t="e">
        <f aca="false">G90/D90</f>
        <v>#DIV/0!</v>
      </c>
      <c r="I90" s="63" t="n">
        <f aca="false">G90*'Itens de Contrato'!F90</f>
        <v>0</v>
      </c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</row>
    <row r="91" customFormat="false" ht="12.8" hidden="false" customHeight="false" outlineLevel="0" collapsed="false">
      <c r="A91" s="37" t="n">
        <f aca="false">'Itens de Contrato'!A91</f>
        <v>0</v>
      </c>
      <c r="B91" s="37" t="n">
        <f aca="false">'Itens de Contrato'!B91</f>
        <v>0</v>
      </c>
      <c r="C91" s="37" t="e">
        <f aca="false">VLOOKUP(B91,'Itens de Contrato'!B$5:G$151,2,0)</f>
        <v>#N/A</v>
      </c>
      <c r="D91" s="52"/>
      <c r="E91" s="63" t="n">
        <f aca="false">D91*'Itens de Contrato'!F91</f>
        <v>0</v>
      </c>
      <c r="F91" s="62" t="n">
        <f aca="false">'Medição 06'!F91-'Medição 06'!G91</f>
        <v>0</v>
      </c>
      <c r="G91" s="52"/>
      <c r="H91" s="64" t="e">
        <f aca="false">G91/D91</f>
        <v>#DIV/0!</v>
      </c>
      <c r="I91" s="63" t="n">
        <f aca="false">G91*'Itens de Contrato'!F91</f>
        <v>0</v>
      </c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customFormat="false" ht="12.8" hidden="false" customHeight="false" outlineLevel="0" collapsed="false">
      <c r="A92" s="37" t="n">
        <f aca="false">'Itens de Contrato'!A92</f>
        <v>0</v>
      </c>
      <c r="B92" s="37" t="n">
        <f aca="false">'Itens de Contrato'!B92</f>
        <v>0</v>
      </c>
      <c r="C92" s="37" t="e">
        <f aca="false">VLOOKUP(B92,'Itens de Contrato'!B$5:G$151,2,0)</f>
        <v>#N/A</v>
      </c>
      <c r="D92" s="52"/>
      <c r="E92" s="63" t="n">
        <f aca="false">D92*'Itens de Contrato'!F92</f>
        <v>0</v>
      </c>
      <c r="F92" s="62" t="n">
        <f aca="false">'Medição 06'!F92-'Medição 06'!G92</f>
        <v>0</v>
      </c>
      <c r="G92" s="52"/>
      <c r="H92" s="64" t="e">
        <f aca="false">G92/D92</f>
        <v>#DIV/0!</v>
      </c>
      <c r="I92" s="63" t="n">
        <f aca="false">G92*'Itens de Contrato'!F92</f>
        <v>0</v>
      </c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</row>
    <row r="93" customFormat="false" ht="12.8" hidden="false" customHeight="false" outlineLevel="0" collapsed="false">
      <c r="A93" s="37" t="n">
        <f aca="false">'Itens de Contrato'!A93</f>
        <v>0</v>
      </c>
      <c r="B93" s="37" t="n">
        <f aca="false">'Itens de Contrato'!B93</f>
        <v>0</v>
      </c>
      <c r="C93" s="37" t="e">
        <f aca="false">VLOOKUP(B93,'Itens de Contrato'!B$5:G$151,2,0)</f>
        <v>#N/A</v>
      </c>
      <c r="D93" s="52"/>
      <c r="E93" s="63" t="n">
        <f aca="false">D93*'Itens de Contrato'!F93</f>
        <v>0</v>
      </c>
      <c r="F93" s="62" t="n">
        <f aca="false">'Medição 06'!F93-'Medição 06'!G93</f>
        <v>0</v>
      </c>
      <c r="G93" s="52"/>
      <c r="H93" s="64" t="e">
        <f aca="false">G93/D93</f>
        <v>#DIV/0!</v>
      </c>
      <c r="I93" s="63" t="n">
        <f aca="false">G93*'Itens de Contrato'!F93</f>
        <v>0</v>
      </c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</row>
    <row r="94" customFormat="false" ht="12.8" hidden="false" customHeight="false" outlineLevel="0" collapsed="false">
      <c r="A94" s="37" t="n">
        <f aca="false">'Itens de Contrato'!A94</f>
        <v>0</v>
      </c>
      <c r="B94" s="37" t="n">
        <f aca="false">'Itens de Contrato'!B94</f>
        <v>0</v>
      </c>
      <c r="C94" s="37" t="e">
        <f aca="false">VLOOKUP(B94,'Itens de Contrato'!B$5:G$151,2,0)</f>
        <v>#N/A</v>
      </c>
      <c r="D94" s="52"/>
      <c r="E94" s="63" t="n">
        <f aca="false">D94*'Itens de Contrato'!F94</f>
        <v>0</v>
      </c>
      <c r="F94" s="62" t="n">
        <f aca="false">'Medição 06'!F94-'Medição 06'!G94</f>
        <v>0</v>
      </c>
      <c r="G94" s="52"/>
      <c r="H94" s="64" t="e">
        <f aca="false">G94/D94</f>
        <v>#DIV/0!</v>
      </c>
      <c r="I94" s="63" t="n">
        <f aca="false">G94*'Itens de Contrato'!F94</f>
        <v>0</v>
      </c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</row>
    <row r="95" customFormat="false" ht="12.8" hidden="false" customHeight="false" outlineLevel="0" collapsed="false">
      <c r="A95" s="37" t="n">
        <f aca="false">'Itens de Contrato'!A95</f>
        <v>0</v>
      </c>
      <c r="B95" s="37" t="n">
        <f aca="false">'Itens de Contrato'!B95</f>
        <v>0</v>
      </c>
      <c r="C95" s="37" t="e">
        <f aca="false">VLOOKUP(B95,'Itens de Contrato'!B$5:G$151,2,0)</f>
        <v>#N/A</v>
      </c>
      <c r="D95" s="52"/>
      <c r="E95" s="63" t="n">
        <f aca="false">D95*'Itens de Contrato'!F95</f>
        <v>0</v>
      </c>
      <c r="F95" s="62" t="n">
        <f aca="false">'Medição 06'!F95-'Medição 06'!G95</f>
        <v>0</v>
      </c>
      <c r="G95" s="52"/>
      <c r="H95" s="64" t="e">
        <f aca="false">G95/D95</f>
        <v>#DIV/0!</v>
      </c>
      <c r="I95" s="63" t="n">
        <f aca="false">G95*'Itens de Contrato'!F95</f>
        <v>0</v>
      </c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</row>
    <row r="96" customFormat="false" ht="12.8" hidden="false" customHeight="false" outlineLevel="0" collapsed="false">
      <c r="A96" s="37" t="n">
        <f aca="false">'Itens de Contrato'!A96</f>
        <v>0</v>
      </c>
      <c r="B96" s="37" t="n">
        <f aca="false">'Itens de Contrato'!B96</f>
        <v>0</v>
      </c>
      <c r="C96" s="37" t="e">
        <f aca="false">VLOOKUP(B96,'Itens de Contrato'!B$5:G$151,2,0)</f>
        <v>#N/A</v>
      </c>
      <c r="D96" s="52"/>
      <c r="E96" s="63" t="n">
        <f aca="false">D96*'Itens de Contrato'!F96</f>
        <v>0</v>
      </c>
      <c r="F96" s="62" t="n">
        <f aca="false">'Medição 06'!F96-'Medição 06'!G96</f>
        <v>0</v>
      </c>
      <c r="G96" s="52"/>
      <c r="H96" s="64" t="e">
        <f aca="false">G96/D96</f>
        <v>#DIV/0!</v>
      </c>
      <c r="I96" s="63" t="n">
        <f aca="false">G96*'Itens de Contrato'!F96</f>
        <v>0</v>
      </c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</row>
    <row r="97" customFormat="false" ht="12.8" hidden="false" customHeight="false" outlineLevel="0" collapsed="false">
      <c r="A97" s="37" t="n">
        <f aca="false">'Itens de Contrato'!A97</f>
        <v>0</v>
      </c>
      <c r="B97" s="37" t="n">
        <f aca="false">'Itens de Contrato'!B97</f>
        <v>0</v>
      </c>
      <c r="C97" s="37" t="e">
        <f aca="false">VLOOKUP(B97,'Itens de Contrato'!B$5:G$151,2,0)</f>
        <v>#N/A</v>
      </c>
      <c r="D97" s="52"/>
      <c r="E97" s="63" t="n">
        <f aca="false">D97*'Itens de Contrato'!F97</f>
        <v>0</v>
      </c>
      <c r="F97" s="62" t="n">
        <f aca="false">'Medição 06'!F97-'Medição 06'!G97</f>
        <v>0</v>
      </c>
      <c r="G97" s="52"/>
      <c r="H97" s="64" t="e">
        <f aca="false">G97/D97</f>
        <v>#DIV/0!</v>
      </c>
      <c r="I97" s="63" t="n">
        <f aca="false">G97*'Itens de Contrato'!F97</f>
        <v>0</v>
      </c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</row>
    <row r="98" customFormat="false" ht="12.8" hidden="false" customHeight="false" outlineLevel="0" collapsed="false">
      <c r="A98" s="37" t="n">
        <f aca="false">'Itens de Contrato'!A98</f>
        <v>0</v>
      </c>
      <c r="B98" s="37" t="n">
        <f aca="false">'Itens de Contrato'!B98</f>
        <v>0</v>
      </c>
      <c r="C98" s="37" t="e">
        <f aca="false">VLOOKUP(B98,'Itens de Contrato'!B$5:G$151,2,0)</f>
        <v>#N/A</v>
      </c>
      <c r="D98" s="52"/>
      <c r="E98" s="63" t="n">
        <f aca="false">D98*'Itens de Contrato'!F98</f>
        <v>0</v>
      </c>
      <c r="F98" s="62" t="n">
        <f aca="false">'Medição 06'!F98-'Medição 06'!G98</f>
        <v>0</v>
      </c>
      <c r="G98" s="52"/>
      <c r="H98" s="64" t="e">
        <f aca="false">G98/D98</f>
        <v>#DIV/0!</v>
      </c>
      <c r="I98" s="63" t="n">
        <f aca="false">G98*'Itens de Contrato'!F98</f>
        <v>0</v>
      </c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</row>
    <row r="99" customFormat="false" ht="12.8" hidden="false" customHeight="false" outlineLevel="0" collapsed="false">
      <c r="A99" s="37" t="n">
        <f aca="false">'Itens de Contrato'!A99</f>
        <v>0</v>
      </c>
      <c r="B99" s="37" t="n">
        <f aca="false">'Itens de Contrato'!B99</f>
        <v>0</v>
      </c>
      <c r="C99" s="37" t="e">
        <f aca="false">VLOOKUP(B99,'Itens de Contrato'!B$5:G$151,2,0)</f>
        <v>#N/A</v>
      </c>
      <c r="D99" s="52"/>
      <c r="E99" s="63" t="n">
        <f aca="false">D99*'Itens de Contrato'!F99</f>
        <v>0</v>
      </c>
      <c r="F99" s="62" t="n">
        <f aca="false">'Medição 06'!F99-'Medição 06'!G99</f>
        <v>0</v>
      </c>
      <c r="G99" s="52"/>
      <c r="H99" s="64" t="e">
        <f aca="false">G99/D99</f>
        <v>#DIV/0!</v>
      </c>
      <c r="I99" s="63" t="n">
        <f aca="false">G99*'Itens de Contrato'!F99</f>
        <v>0</v>
      </c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</row>
    <row r="100" customFormat="false" ht="12.8" hidden="false" customHeight="false" outlineLevel="0" collapsed="false">
      <c r="A100" s="37" t="n">
        <f aca="false">'Itens de Contrato'!A100</f>
        <v>0</v>
      </c>
      <c r="B100" s="37" t="n">
        <f aca="false">'Itens de Contrato'!B100</f>
        <v>0</v>
      </c>
      <c r="C100" s="37" t="e">
        <f aca="false">VLOOKUP(B100,'Itens de Contrato'!B$5:G$151,2,0)</f>
        <v>#N/A</v>
      </c>
      <c r="D100" s="52"/>
      <c r="E100" s="63" t="n">
        <f aca="false">D100*'Itens de Contrato'!F100</f>
        <v>0</v>
      </c>
      <c r="F100" s="62" t="n">
        <f aca="false">'Medição 06'!F100-'Medição 06'!G100</f>
        <v>0</v>
      </c>
      <c r="G100" s="52"/>
      <c r="H100" s="64" t="e">
        <f aca="false">G100/D100</f>
        <v>#DIV/0!</v>
      </c>
      <c r="I100" s="63" t="n">
        <f aca="false">G100*'Itens de Contrato'!F100</f>
        <v>0</v>
      </c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customFormat="false" ht="12.8" hidden="false" customHeight="false" outlineLevel="0" collapsed="false">
      <c r="A101" s="37" t="n">
        <f aca="false">'Itens de Contrato'!A101</f>
        <v>0</v>
      </c>
      <c r="B101" s="37" t="n">
        <f aca="false">'Itens de Contrato'!B101</f>
        <v>0</v>
      </c>
      <c r="C101" s="37" t="e">
        <f aca="false">VLOOKUP(B101,'Itens de Contrato'!B$5:G$151,2,0)</f>
        <v>#N/A</v>
      </c>
      <c r="D101" s="52"/>
      <c r="E101" s="63" t="n">
        <f aca="false">D101*'Itens de Contrato'!F101</f>
        <v>0</v>
      </c>
      <c r="F101" s="62" t="n">
        <f aca="false">'Medição 06'!F101-'Medição 06'!G101</f>
        <v>0</v>
      </c>
      <c r="G101" s="52"/>
      <c r="H101" s="64" t="e">
        <f aca="false">G101/D101</f>
        <v>#DIV/0!</v>
      </c>
      <c r="I101" s="63" t="n">
        <f aca="false">G101*'Itens de Contrato'!F101</f>
        <v>0</v>
      </c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customFormat="false" ht="12.8" hidden="false" customHeight="false" outlineLevel="0" collapsed="false">
      <c r="A102" s="37" t="n">
        <f aca="false">'Itens de Contrato'!A102</f>
        <v>0</v>
      </c>
      <c r="B102" s="37" t="n">
        <f aca="false">'Itens de Contrato'!B102</f>
        <v>0</v>
      </c>
      <c r="C102" s="37" t="e">
        <f aca="false">VLOOKUP(B102,'Itens de Contrato'!B$5:G$151,2,0)</f>
        <v>#N/A</v>
      </c>
      <c r="D102" s="52"/>
      <c r="E102" s="63" t="n">
        <f aca="false">D102*'Itens de Contrato'!F102</f>
        <v>0</v>
      </c>
      <c r="F102" s="62" t="n">
        <f aca="false">'Medição 06'!F102-'Medição 06'!G102</f>
        <v>0</v>
      </c>
      <c r="G102" s="52"/>
      <c r="H102" s="64" t="e">
        <f aca="false">G102/D102</f>
        <v>#DIV/0!</v>
      </c>
      <c r="I102" s="63" t="n">
        <f aca="false">G102*'Itens de Contrato'!F102</f>
        <v>0</v>
      </c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</row>
    <row r="103" customFormat="false" ht="12.8" hidden="false" customHeight="false" outlineLevel="0" collapsed="false">
      <c r="A103" s="37" t="n">
        <f aca="false">'Itens de Contrato'!A103</f>
        <v>0</v>
      </c>
      <c r="B103" s="37" t="n">
        <f aca="false">'Itens de Contrato'!B103</f>
        <v>0</v>
      </c>
      <c r="C103" s="37" t="e">
        <f aca="false">VLOOKUP(B103,'Itens de Contrato'!B$5:G$151,2,0)</f>
        <v>#N/A</v>
      </c>
      <c r="D103" s="52"/>
      <c r="E103" s="63" t="n">
        <f aca="false">D103*'Itens de Contrato'!F103</f>
        <v>0</v>
      </c>
      <c r="F103" s="62" t="n">
        <f aca="false">'Medição 06'!F103-'Medição 06'!G103</f>
        <v>0</v>
      </c>
      <c r="G103" s="52"/>
      <c r="H103" s="64" t="e">
        <f aca="false">G103/D103</f>
        <v>#DIV/0!</v>
      </c>
      <c r="I103" s="63" t="n">
        <f aca="false">G103*'Itens de Contrato'!F103</f>
        <v>0</v>
      </c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</row>
    <row r="104" customFormat="false" ht="12.8" hidden="false" customHeight="false" outlineLevel="0" collapsed="false">
      <c r="A104" s="37" t="n">
        <f aca="false">'Itens de Contrato'!A104</f>
        <v>0</v>
      </c>
      <c r="B104" s="37" t="n">
        <f aca="false">'Itens de Contrato'!B104</f>
        <v>0</v>
      </c>
      <c r="C104" s="37" t="e">
        <f aca="false">VLOOKUP(B104,'Itens de Contrato'!B$5:G$151,2,0)</f>
        <v>#N/A</v>
      </c>
      <c r="D104" s="52"/>
      <c r="E104" s="63" t="n">
        <f aca="false">D104*'Itens de Contrato'!F104</f>
        <v>0</v>
      </c>
      <c r="F104" s="62" t="n">
        <f aca="false">'Medição 06'!F104-'Medição 06'!G104</f>
        <v>0</v>
      </c>
      <c r="G104" s="52"/>
      <c r="H104" s="64" t="e">
        <f aca="false">G104/D104</f>
        <v>#DIV/0!</v>
      </c>
      <c r="I104" s="63" t="n">
        <f aca="false">G104*'Itens de Contrato'!F104</f>
        <v>0</v>
      </c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</row>
    <row r="105" customFormat="false" ht="12.8" hidden="false" customHeight="false" outlineLevel="0" collapsed="false">
      <c r="A105" s="37" t="n">
        <f aca="false">'Itens de Contrato'!A105</f>
        <v>0</v>
      </c>
      <c r="B105" s="37" t="n">
        <f aca="false">'Itens de Contrato'!B105</f>
        <v>0</v>
      </c>
      <c r="C105" s="37" t="e">
        <f aca="false">VLOOKUP(B105,'Itens de Contrato'!B$5:G$151,2,0)</f>
        <v>#N/A</v>
      </c>
      <c r="D105" s="52"/>
      <c r="E105" s="63" t="n">
        <f aca="false">D105*'Itens de Contrato'!F105</f>
        <v>0</v>
      </c>
      <c r="F105" s="62" t="n">
        <f aca="false">'Medição 06'!F105-'Medição 06'!G105</f>
        <v>0</v>
      </c>
      <c r="G105" s="52"/>
      <c r="H105" s="64" t="e">
        <f aca="false">G105/D105</f>
        <v>#DIV/0!</v>
      </c>
      <c r="I105" s="63" t="n">
        <f aca="false">G105*'Itens de Contrato'!F105</f>
        <v>0</v>
      </c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</row>
    <row r="106" customFormat="false" ht="12.8" hidden="false" customHeight="false" outlineLevel="0" collapsed="false">
      <c r="A106" s="37" t="n">
        <f aca="false">'Itens de Contrato'!A106</f>
        <v>0</v>
      </c>
      <c r="B106" s="37" t="n">
        <f aca="false">'Itens de Contrato'!B106</f>
        <v>0</v>
      </c>
      <c r="C106" s="37" t="e">
        <f aca="false">VLOOKUP(B106,'Itens de Contrato'!B$5:G$151,2,0)</f>
        <v>#N/A</v>
      </c>
      <c r="D106" s="52"/>
      <c r="E106" s="63" t="n">
        <f aca="false">D106*'Itens de Contrato'!F106</f>
        <v>0</v>
      </c>
      <c r="F106" s="62" t="n">
        <f aca="false">'Medição 06'!F106-'Medição 06'!G106</f>
        <v>0</v>
      </c>
      <c r="G106" s="52"/>
      <c r="H106" s="64" t="e">
        <f aca="false">G106/D106</f>
        <v>#DIV/0!</v>
      </c>
      <c r="I106" s="63" t="n">
        <f aca="false">G106*'Itens de Contrato'!F106</f>
        <v>0</v>
      </c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</row>
    <row r="107" customFormat="false" ht="12.8" hidden="false" customHeight="false" outlineLevel="0" collapsed="false">
      <c r="A107" s="37" t="n">
        <f aca="false">'Itens de Contrato'!A107</f>
        <v>0</v>
      </c>
      <c r="B107" s="37" t="n">
        <f aca="false">'Itens de Contrato'!B107</f>
        <v>0</v>
      </c>
      <c r="C107" s="37" t="e">
        <f aca="false">VLOOKUP(B107,'Itens de Contrato'!B$5:G$151,2,0)</f>
        <v>#N/A</v>
      </c>
      <c r="D107" s="52"/>
      <c r="E107" s="63" t="n">
        <f aca="false">D107*'Itens de Contrato'!F107</f>
        <v>0</v>
      </c>
      <c r="F107" s="62" t="n">
        <f aca="false">'Medição 06'!F107-'Medição 06'!G107</f>
        <v>0</v>
      </c>
      <c r="G107" s="52"/>
      <c r="H107" s="64" t="e">
        <f aca="false">G107/D107</f>
        <v>#DIV/0!</v>
      </c>
      <c r="I107" s="63" t="n">
        <f aca="false">G107*'Itens de Contrato'!F107</f>
        <v>0</v>
      </c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</row>
    <row r="108" customFormat="false" ht="12.8" hidden="false" customHeight="false" outlineLevel="0" collapsed="false">
      <c r="A108" s="37" t="n">
        <f aca="false">'Itens de Contrato'!A108</f>
        <v>0</v>
      </c>
      <c r="B108" s="37" t="n">
        <f aca="false">'Itens de Contrato'!B108</f>
        <v>0</v>
      </c>
      <c r="C108" s="37" t="e">
        <f aca="false">VLOOKUP(B108,'Itens de Contrato'!B$5:G$151,2,0)</f>
        <v>#N/A</v>
      </c>
      <c r="D108" s="52"/>
      <c r="E108" s="63" t="n">
        <f aca="false">D108*'Itens de Contrato'!F108</f>
        <v>0</v>
      </c>
      <c r="F108" s="62" t="n">
        <f aca="false">'Medição 06'!F108-'Medição 06'!G108</f>
        <v>0</v>
      </c>
      <c r="G108" s="52"/>
      <c r="H108" s="64" t="e">
        <f aca="false">G108/D108</f>
        <v>#DIV/0!</v>
      </c>
      <c r="I108" s="63" t="n">
        <f aca="false">G108*'Itens de Contrato'!F108</f>
        <v>0</v>
      </c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</row>
    <row r="109" customFormat="false" ht="12.8" hidden="false" customHeight="false" outlineLevel="0" collapsed="false">
      <c r="A109" s="37" t="n">
        <f aca="false">'Itens de Contrato'!A109</f>
        <v>0</v>
      </c>
      <c r="B109" s="37" t="n">
        <f aca="false">'Itens de Contrato'!B109</f>
        <v>0</v>
      </c>
      <c r="C109" s="37" t="e">
        <f aca="false">VLOOKUP(B109,'Itens de Contrato'!B$5:G$151,2,0)</f>
        <v>#N/A</v>
      </c>
      <c r="D109" s="52"/>
      <c r="E109" s="63" t="n">
        <f aca="false">D109*'Itens de Contrato'!F109</f>
        <v>0</v>
      </c>
      <c r="F109" s="62" t="n">
        <f aca="false">'Medição 06'!F109-'Medição 06'!G109</f>
        <v>0</v>
      </c>
      <c r="G109" s="52"/>
      <c r="H109" s="64" t="e">
        <f aca="false">G109/D109</f>
        <v>#DIV/0!</v>
      </c>
      <c r="I109" s="63" t="n">
        <f aca="false">G109*'Itens de Contrato'!F109</f>
        <v>0</v>
      </c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</row>
    <row r="110" customFormat="false" ht="12.8" hidden="false" customHeight="false" outlineLevel="0" collapsed="false">
      <c r="A110" s="37" t="n">
        <f aca="false">'Itens de Contrato'!A110</f>
        <v>0</v>
      </c>
      <c r="B110" s="37" t="n">
        <f aca="false">'Itens de Contrato'!B110</f>
        <v>0</v>
      </c>
      <c r="C110" s="37" t="e">
        <f aca="false">VLOOKUP(B110,'Itens de Contrato'!B$5:G$151,2,0)</f>
        <v>#N/A</v>
      </c>
      <c r="D110" s="52"/>
      <c r="E110" s="63" t="n">
        <f aca="false">D110*'Itens de Contrato'!F110</f>
        <v>0</v>
      </c>
      <c r="F110" s="62" t="n">
        <f aca="false">'Medição 06'!F110-'Medição 06'!G110</f>
        <v>0</v>
      </c>
      <c r="G110" s="52"/>
      <c r="H110" s="64" t="e">
        <f aca="false">G110/D110</f>
        <v>#DIV/0!</v>
      </c>
      <c r="I110" s="63" t="n">
        <f aca="false">G110*'Itens de Contrato'!F110</f>
        <v>0</v>
      </c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</row>
    <row r="111" customFormat="false" ht="12.8" hidden="false" customHeight="false" outlineLevel="0" collapsed="false">
      <c r="A111" s="37" t="n">
        <f aca="false">'Itens de Contrato'!A111</f>
        <v>0</v>
      </c>
      <c r="B111" s="37" t="n">
        <f aca="false">'Itens de Contrato'!B111</f>
        <v>0</v>
      </c>
      <c r="C111" s="37" t="e">
        <f aca="false">VLOOKUP(B111,'Itens de Contrato'!B$5:G$151,2,0)</f>
        <v>#N/A</v>
      </c>
      <c r="D111" s="52"/>
      <c r="E111" s="63" t="n">
        <f aca="false">D111*'Itens de Contrato'!F111</f>
        <v>0</v>
      </c>
      <c r="F111" s="62" t="n">
        <f aca="false">'Medição 06'!F111-'Medição 06'!G111</f>
        <v>0</v>
      </c>
      <c r="G111" s="52"/>
      <c r="H111" s="64" t="e">
        <f aca="false">G111/D111</f>
        <v>#DIV/0!</v>
      </c>
      <c r="I111" s="63" t="n">
        <f aca="false">G111*'Itens de Contrato'!F111</f>
        <v>0</v>
      </c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</row>
    <row r="112" customFormat="false" ht="12.8" hidden="false" customHeight="false" outlineLevel="0" collapsed="false">
      <c r="A112" s="37" t="n">
        <f aca="false">'Itens de Contrato'!A112</f>
        <v>0</v>
      </c>
      <c r="B112" s="37" t="n">
        <f aca="false">'Itens de Contrato'!B112</f>
        <v>0</v>
      </c>
      <c r="C112" s="37" t="e">
        <f aca="false">VLOOKUP(B112,'Itens de Contrato'!B$5:G$151,2,0)</f>
        <v>#N/A</v>
      </c>
      <c r="D112" s="52"/>
      <c r="E112" s="63" t="n">
        <f aca="false">D112*'Itens de Contrato'!F112</f>
        <v>0</v>
      </c>
      <c r="F112" s="62" t="n">
        <f aca="false">'Medição 06'!F112-'Medição 06'!G112</f>
        <v>0</v>
      </c>
      <c r="G112" s="52"/>
      <c r="H112" s="64" t="e">
        <f aca="false">G112/D112</f>
        <v>#DIV/0!</v>
      </c>
      <c r="I112" s="63" t="n">
        <f aca="false">G112*'Itens de Contrato'!F112</f>
        <v>0</v>
      </c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</row>
    <row r="113" customFormat="false" ht="12.8" hidden="false" customHeight="false" outlineLevel="0" collapsed="false">
      <c r="A113" s="37" t="n">
        <f aca="false">'Itens de Contrato'!A113</f>
        <v>0</v>
      </c>
      <c r="B113" s="37" t="n">
        <f aca="false">'Itens de Contrato'!B113</f>
        <v>0</v>
      </c>
      <c r="C113" s="37" t="e">
        <f aca="false">VLOOKUP(B113,'Itens de Contrato'!B$5:G$151,2,0)</f>
        <v>#N/A</v>
      </c>
      <c r="D113" s="52"/>
      <c r="E113" s="63" t="n">
        <f aca="false">D113*'Itens de Contrato'!F113</f>
        <v>0</v>
      </c>
      <c r="F113" s="62" t="n">
        <f aca="false">'Medição 06'!F113-'Medição 06'!G113</f>
        <v>0</v>
      </c>
      <c r="G113" s="52"/>
      <c r="H113" s="64" t="e">
        <f aca="false">G113/D113</f>
        <v>#DIV/0!</v>
      </c>
      <c r="I113" s="63" t="n">
        <f aca="false">G113*'Itens de Contrato'!F113</f>
        <v>0</v>
      </c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</row>
    <row r="114" customFormat="false" ht="12.8" hidden="false" customHeight="false" outlineLevel="0" collapsed="false">
      <c r="A114" s="37" t="n">
        <f aca="false">'Itens de Contrato'!A114</f>
        <v>0</v>
      </c>
      <c r="B114" s="37" t="n">
        <f aca="false">'Itens de Contrato'!B114</f>
        <v>0</v>
      </c>
      <c r="C114" s="37" t="e">
        <f aca="false">VLOOKUP(B114,'Itens de Contrato'!B$5:G$151,2,0)</f>
        <v>#N/A</v>
      </c>
      <c r="D114" s="52"/>
      <c r="E114" s="63" t="n">
        <f aca="false">D114*'Itens de Contrato'!F114</f>
        <v>0</v>
      </c>
      <c r="F114" s="62" t="n">
        <f aca="false">'Medição 06'!F114-'Medição 06'!G114</f>
        <v>0</v>
      </c>
      <c r="G114" s="52"/>
      <c r="H114" s="64" t="e">
        <f aca="false">G114/D114</f>
        <v>#DIV/0!</v>
      </c>
      <c r="I114" s="63" t="n">
        <f aca="false">G114*'Itens de Contrato'!F114</f>
        <v>0</v>
      </c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</row>
    <row r="115" customFormat="false" ht="12.8" hidden="false" customHeight="false" outlineLevel="0" collapsed="false">
      <c r="A115" s="37" t="n">
        <f aca="false">'Itens de Contrato'!A115</f>
        <v>0</v>
      </c>
      <c r="B115" s="37" t="n">
        <f aca="false">'Itens de Contrato'!B115</f>
        <v>0</v>
      </c>
      <c r="C115" s="37" t="e">
        <f aca="false">VLOOKUP(B115,'Itens de Contrato'!B$5:G$151,2,0)</f>
        <v>#N/A</v>
      </c>
      <c r="D115" s="52"/>
      <c r="E115" s="63" t="n">
        <f aca="false">D115*'Itens de Contrato'!F115</f>
        <v>0</v>
      </c>
      <c r="F115" s="62" t="n">
        <f aca="false">'Medição 06'!F115-'Medição 06'!G115</f>
        <v>0</v>
      </c>
      <c r="G115" s="52"/>
      <c r="H115" s="64" t="e">
        <f aca="false">G115/D115</f>
        <v>#DIV/0!</v>
      </c>
      <c r="I115" s="63" t="n">
        <f aca="false">G115*'Itens de Contrato'!F115</f>
        <v>0</v>
      </c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</row>
    <row r="116" customFormat="false" ht="12.8" hidden="false" customHeight="false" outlineLevel="0" collapsed="false">
      <c r="A116" s="37" t="n">
        <f aca="false">'Itens de Contrato'!A116</f>
        <v>0</v>
      </c>
      <c r="B116" s="37" t="n">
        <f aca="false">'Itens de Contrato'!B116</f>
        <v>0</v>
      </c>
      <c r="C116" s="37" t="e">
        <f aca="false">VLOOKUP(B116,'Itens de Contrato'!B$5:G$151,2,0)</f>
        <v>#N/A</v>
      </c>
      <c r="D116" s="52"/>
      <c r="E116" s="63" t="n">
        <f aca="false">D116*'Itens de Contrato'!F116</f>
        <v>0</v>
      </c>
      <c r="F116" s="62" t="n">
        <f aca="false">'Medição 06'!F116-'Medição 06'!G116</f>
        <v>0</v>
      </c>
      <c r="G116" s="52"/>
      <c r="H116" s="64" t="e">
        <f aca="false">G116/D116</f>
        <v>#DIV/0!</v>
      </c>
      <c r="I116" s="63" t="n">
        <f aca="false">G116*'Itens de Contrato'!F116</f>
        <v>0</v>
      </c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</row>
    <row r="117" customFormat="false" ht="12.8" hidden="false" customHeight="false" outlineLevel="0" collapsed="false">
      <c r="A117" s="37" t="n">
        <f aca="false">'Itens de Contrato'!A117</f>
        <v>0</v>
      </c>
      <c r="B117" s="37" t="n">
        <f aca="false">'Itens de Contrato'!B117</f>
        <v>0</v>
      </c>
      <c r="C117" s="37" t="e">
        <f aca="false">VLOOKUP(B117,'Itens de Contrato'!B$5:G$151,2,0)</f>
        <v>#N/A</v>
      </c>
      <c r="D117" s="52"/>
      <c r="E117" s="63" t="n">
        <f aca="false">D117*'Itens de Contrato'!F117</f>
        <v>0</v>
      </c>
      <c r="F117" s="62" t="n">
        <f aca="false">'Medição 06'!F117-'Medição 06'!G117</f>
        <v>0</v>
      </c>
      <c r="G117" s="52"/>
      <c r="H117" s="64" t="e">
        <f aca="false">G117/D117</f>
        <v>#DIV/0!</v>
      </c>
      <c r="I117" s="63" t="n">
        <f aca="false">G117*'Itens de Contrato'!F117</f>
        <v>0</v>
      </c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</row>
    <row r="118" customFormat="false" ht="12.8" hidden="false" customHeight="false" outlineLevel="0" collapsed="false">
      <c r="A118" s="37" t="n">
        <f aca="false">'Itens de Contrato'!A118</f>
        <v>0</v>
      </c>
      <c r="B118" s="37" t="n">
        <f aca="false">'Itens de Contrato'!B118</f>
        <v>0</v>
      </c>
      <c r="C118" s="37" t="e">
        <f aca="false">VLOOKUP(B118,'Itens de Contrato'!B$5:G$151,2,0)</f>
        <v>#N/A</v>
      </c>
      <c r="D118" s="52"/>
      <c r="E118" s="63" t="n">
        <f aca="false">D118*'Itens de Contrato'!F118</f>
        <v>0</v>
      </c>
      <c r="F118" s="62" t="n">
        <f aca="false">'Medição 06'!F118-'Medição 06'!G118</f>
        <v>0</v>
      </c>
      <c r="G118" s="52"/>
      <c r="H118" s="64" t="e">
        <f aca="false">G118/D118</f>
        <v>#DIV/0!</v>
      </c>
      <c r="I118" s="63" t="n">
        <f aca="false">G118*'Itens de Contrato'!F118</f>
        <v>0</v>
      </c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</row>
    <row r="119" customFormat="false" ht="12.8" hidden="false" customHeight="false" outlineLevel="0" collapsed="false">
      <c r="A119" s="37" t="n">
        <f aca="false">'Itens de Contrato'!A119</f>
        <v>0</v>
      </c>
      <c r="B119" s="37" t="n">
        <f aca="false">'Itens de Contrato'!B119</f>
        <v>0</v>
      </c>
      <c r="C119" s="37" t="e">
        <f aca="false">VLOOKUP(B119,'Itens de Contrato'!B$5:G$151,2,0)</f>
        <v>#N/A</v>
      </c>
      <c r="D119" s="52"/>
      <c r="E119" s="63" t="n">
        <f aca="false">D119*'Itens de Contrato'!F119</f>
        <v>0</v>
      </c>
      <c r="F119" s="62" t="n">
        <f aca="false">'Medição 06'!F119-'Medição 06'!G119</f>
        <v>0</v>
      </c>
      <c r="G119" s="52"/>
      <c r="H119" s="64" t="e">
        <f aca="false">G119/D119</f>
        <v>#DIV/0!</v>
      </c>
      <c r="I119" s="63" t="n">
        <f aca="false">G119*'Itens de Contrato'!F119</f>
        <v>0</v>
      </c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</row>
    <row r="120" customFormat="false" ht="12.8" hidden="false" customHeight="false" outlineLevel="0" collapsed="false">
      <c r="A120" s="37" t="n">
        <f aca="false">'Itens de Contrato'!A120</f>
        <v>0</v>
      </c>
      <c r="B120" s="37" t="n">
        <f aca="false">'Itens de Contrato'!B120</f>
        <v>0</v>
      </c>
      <c r="C120" s="37" t="e">
        <f aca="false">VLOOKUP(B120,'Itens de Contrato'!B$5:G$151,2,0)</f>
        <v>#N/A</v>
      </c>
      <c r="D120" s="52"/>
      <c r="E120" s="63" t="n">
        <f aca="false">D120*'Itens de Contrato'!F120</f>
        <v>0</v>
      </c>
      <c r="F120" s="62" t="n">
        <f aca="false">'Medição 06'!F120-'Medição 06'!G120</f>
        <v>0</v>
      </c>
      <c r="G120" s="52"/>
      <c r="H120" s="64" t="e">
        <f aca="false">G120/D120</f>
        <v>#DIV/0!</v>
      </c>
      <c r="I120" s="63" t="n">
        <f aca="false">G120*'Itens de Contrato'!F120</f>
        <v>0</v>
      </c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</row>
    <row r="121" customFormat="false" ht="12.8" hidden="false" customHeight="false" outlineLevel="0" collapsed="false">
      <c r="A121" s="37" t="n">
        <f aca="false">'Itens de Contrato'!A121</f>
        <v>0</v>
      </c>
      <c r="B121" s="37" t="n">
        <f aca="false">'Itens de Contrato'!B121</f>
        <v>0</v>
      </c>
      <c r="C121" s="37" t="e">
        <f aca="false">VLOOKUP(B121,'Itens de Contrato'!B$5:G$151,2,0)</f>
        <v>#N/A</v>
      </c>
      <c r="D121" s="52"/>
      <c r="E121" s="63" t="n">
        <f aca="false">D121*'Itens de Contrato'!F121</f>
        <v>0</v>
      </c>
      <c r="F121" s="62" t="n">
        <f aca="false">'Medição 06'!F121-'Medição 06'!G121</f>
        <v>0</v>
      </c>
      <c r="G121" s="52"/>
      <c r="H121" s="64" t="e">
        <f aca="false">G121/D121</f>
        <v>#DIV/0!</v>
      </c>
      <c r="I121" s="63" t="n">
        <f aca="false">G121*'Itens de Contrato'!F121</f>
        <v>0</v>
      </c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</row>
    <row r="122" customFormat="false" ht="12.8" hidden="false" customHeight="false" outlineLevel="0" collapsed="false">
      <c r="A122" s="37" t="n">
        <f aca="false">'Itens de Contrato'!A122</f>
        <v>0</v>
      </c>
      <c r="B122" s="37" t="n">
        <f aca="false">'Itens de Contrato'!B122</f>
        <v>0</v>
      </c>
      <c r="C122" s="37" t="e">
        <f aca="false">VLOOKUP(B122,'Itens de Contrato'!B$5:G$151,2,0)</f>
        <v>#N/A</v>
      </c>
      <c r="D122" s="52"/>
      <c r="E122" s="63" t="n">
        <f aca="false">D122*'Itens de Contrato'!F122</f>
        <v>0</v>
      </c>
      <c r="F122" s="62" t="n">
        <f aca="false">'Medição 06'!F122-'Medição 06'!G122</f>
        <v>0</v>
      </c>
      <c r="G122" s="52"/>
      <c r="H122" s="64" t="e">
        <f aca="false">G122/D122</f>
        <v>#DIV/0!</v>
      </c>
      <c r="I122" s="63" t="n">
        <f aca="false">G122*'Itens de Contrato'!F122</f>
        <v>0</v>
      </c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</row>
    <row r="123" customFormat="false" ht="12.8" hidden="false" customHeight="false" outlineLevel="0" collapsed="false">
      <c r="A123" s="37" t="n">
        <f aca="false">'Itens de Contrato'!A123</f>
        <v>0</v>
      </c>
      <c r="B123" s="37" t="n">
        <f aca="false">'Itens de Contrato'!B123</f>
        <v>0</v>
      </c>
      <c r="C123" s="37" t="e">
        <f aca="false">VLOOKUP(B123,'Itens de Contrato'!B$5:G$151,2,0)</f>
        <v>#N/A</v>
      </c>
      <c r="D123" s="52"/>
      <c r="E123" s="63" t="n">
        <f aca="false">D123*'Itens de Contrato'!F123</f>
        <v>0</v>
      </c>
      <c r="F123" s="62" t="n">
        <f aca="false">'Medição 06'!F123-'Medição 06'!G123</f>
        <v>0</v>
      </c>
      <c r="G123" s="52"/>
      <c r="H123" s="64" t="e">
        <f aca="false">G123/D123</f>
        <v>#DIV/0!</v>
      </c>
      <c r="I123" s="63" t="n">
        <f aca="false">G123*'Itens de Contrato'!F123</f>
        <v>0</v>
      </c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</row>
    <row r="124" customFormat="false" ht="12.8" hidden="false" customHeight="false" outlineLevel="0" collapsed="false">
      <c r="A124" s="37" t="n">
        <f aca="false">'Itens de Contrato'!A124</f>
        <v>0</v>
      </c>
      <c r="B124" s="37" t="n">
        <f aca="false">'Itens de Contrato'!B124</f>
        <v>0</v>
      </c>
      <c r="C124" s="37" t="e">
        <f aca="false">VLOOKUP(B124,'Itens de Contrato'!B$5:G$151,2,0)</f>
        <v>#N/A</v>
      </c>
      <c r="D124" s="52"/>
      <c r="E124" s="63" t="n">
        <f aca="false">D124*'Itens de Contrato'!F124</f>
        <v>0</v>
      </c>
      <c r="F124" s="62" t="n">
        <f aca="false">'Medição 06'!F124-'Medição 06'!G124</f>
        <v>0</v>
      </c>
      <c r="G124" s="52"/>
      <c r="H124" s="64" t="e">
        <f aca="false">G124/D124</f>
        <v>#DIV/0!</v>
      </c>
      <c r="I124" s="63" t="n">
        <f aca="false">G124*'Itens de Contrato'!F124</f>
        <v>0</v>
      </c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</row>
    <row r="125" customFormat="false" ht="12.8" hidden="false" customHeight="false" outlineLevel="0" collapsed="false">
      <c r="A125" s="37" t="n">
        <f aca="false">'Itens de Contrato'!A125</f>
        <v>0</v>
      </c>
      <c r="B125" s="37" t="n">
        <f aca="false">'Itens de Contrato'!B125</f>
        <v>0</v>
      </c>
      <c r="C125" s="37" t="e">
        <f aca="false">VLOOKUP(B125,'Itens de Contrato'!B$5:G$151,2,0)</f>
        <v>#N/A</v>
      </c>
      <c r="D125" s="52"/>
      <c r="E125" s="63" t="n">
        <f aca="false">D125*'Itens de Contrato'!F125</f>
        <v>0</v>
      </c>
      <c r="F125" s="62" t="n">
        <f aca="false">'Medição 06'!F125-'Medição 06'!G125</f>
        <v>0</v>
      </c>
      <c r="G125" s="52"/>
      <c r="H125" s="64" t="e">
        <f aca="false">G125/D125</f>
        <v>#DIV/0!</v>
      </c>
      <c r="I125" s="63" t="n">
        <f aca="false">G125*'Itens de Contrato'!F125</f>
        <v>0</v>
      </c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</row>
    <row r="126" customFormat="false" ht="12.8" hidden="false" customHeight="false" outlineLevel="0" collapsed="false">
      <c r="A126" s="37" t="n">
        <f aca="false">'Itens de Contrato'!A126</f>
        <v>0</v>
      </c>
      <c r="B126" s="37" t="n">
        <f aca="false">'Itens de Contrato'!B126</f>
        <v>0</v>
      </c>
      <c r="C126" s="37" t="e">
        <f aca="false">VLOOKUP(B126,'Itens de Contrato'!B$5:G$151,2,0)</f>
        <v>#N/A</v>
      </c>
      <c r="D126" s="52"/>
      <c r="E126" s="63" t="n">
        <f aca="false">D126*'Itens de Contrato'!F126</f>
        <v>0</v>
      </c>
      <c r="F126" s="62" t="n">
        <f aca="false">'Medição 06'!F126-'Medição 06'!G126</f>
        <v>0</v>
      </c>
      <c r="G126" s="52"/>
      <c r="H126" s="64" t="e">
        <f aca="false">G126/D126</f>
        <v>#DIV/0!</v>
      </c>
      <c r="I126" s="63" t="n">
        <f aca="false">G126*'Itens de Contrato'!F126</f>
        <v>0</v>
      </c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</row>
    <row r="127" customFormat="false" ht="12.8" hidden="false" customHeight="false" outlineLevel="0" collapsed="false">
      <c r="A127" s="37" t="n">
        <f aca="false">'Itens de Contrato'!A127</f>
        <v>0</v>
      </c>
      <c r="B127" s="37" t="n">
        <f aca="false">'Itens de Contrato'!B127</f>
        <v>0</v>
      </c>
      <c r="C127" s="37" t="e">
        <f aca="false">VLOOKUP(B127,'Itens de Contrato'!B$5:G$151,2,0)</f>
        <v>#N/A</v>
      </c>
      <c r="D127" s="52"/>
      <c r="E127" s="63" t="n">
        <f aca="false">D127*'Itens de Contrato'!F127</f>
        <v>0</v>
      </c>
      <c r="F127" s="62" t="n">
        <f aca="false">'Medição 06'!F127-'Medição 06'!G127</f>
        <v>0</v>
      </c>
      <c r="G127" s="52"/>
      <c r="H127" s="64" t="e">
        <f aca="false">G127/D127</f>
        <v>#DIV/0!</v>
      </c>
      <c r="I127" s="63" t="n">
        <f aca="false">G127*'Itens de Contrato'!F127</f>
        <v>0</v>
      </c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</row>
    <row r="128" customFormat="false" ht="12.8" hidden="false" customHeight="false" outlineLevel="0" collapsed="false">
      <c r="A128" s="37" t="n">
        <f aca="false">'Itens de Contrato'!A128</f>
        <v>0</v>
      </c>
      <c r="B128" s="37" t="n">
        <f aca="false">'Itens de Contrato'!B128</f>
        <v>0</v>
      </c>
      <c r="C128" s="37" t="e">
        <f aca="false">VLOOKUP(B128,'Itens de Contrato'!B$5:G$151,2,0)</f>
        <v>#N/A</v>
      </c>
      <c r="D128" s="52"/>
      <c r="E128" s="63" t="n">
        <f aca="false">D128*'Itens de Contrato'!F128</f>
        <v>0</v>
      </c>
      <c r="F128" s="62" t="n">
        <f aca="false">'Medição 06'!F128-'Medição 06'!G128</f>
        <v>0</v>
      </c>
      <c r="G128" s="52"/>
      <c r="H128" s="64" t="e">
        <f aca="false">G128/D128</f>
        <v>#DIV/0!</v>
      </c>
      <c r="I128" s="63" t="n">
        <f aca="false">G128*'Itens de Contrato'!F128</f>
        <v>0</v>
      </c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</row>
    <row r="129" customFormat="false" ht="12.8" hidden="false" customHeight="false" outlineLevel="0" collapsed="false">
      <c r="A129" s="37" t="n">
        <f aca="false">'Itens de Contrato'!A129</f>
        <v>0</v>
      </c>
      <c r="B129" s="37" t="n">
        <f aca="false">'Itens de Contrato'!B129</f>
        <v>0</v>
      </c>
      <c r="C129" s="37" t="e">
        <f aca="false">VLOOKUP(B129,'Itens de Contrato'!B$5:G$151,2,0)</f>
        <v>#N/A</v>
      </c>
      <c r="D129" s="52"/>
      <c r="E129" s="63" t="n">
        <f aca="false">D129*'Itens de Contrato'!F129</f>
        <v>0</v>
      </c>
      <c r="F129" s="62" t="n">
        <f aca="false">'Medição 06'!F129-'Medição 06'!G129</f>
        <v>0</v>
      </c>
      <c r="G129" s="52"/>
      <c r="H129" s="64" t="e">
        <f aca="false">G129/D129</f>
        <v>#DIV/0!</v>
      </c>
      <c r="I129" s="63" t="n">
        <f aca="false">G129*'Itens de Contrato'!F129</f>
        <v>0</v>
      </c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</row>
    <row r="130" customFormat="false" ht="12.8" hidden="false" customHeight="false" outlineLevel="0" collapsed="false">
      <c r="A130" s="37" t="n">
        <f aca="false">'Itens de Contrato'!A130</f>
        <v>0</v>
      </c>
      <c r="B130" s="37" t="n">
        <f aca="false">'Itens de Contrato'!B130</f>
        <v>0</v>
      </c>
      <c r="C130" s="37" t="e">
        <f aca="false">VLOOKUP(B130,'Itens de Contrato'!B$5:G$151,2,0)</f>
        <v>#N/A</v>
      </c>
      <c r="D130" s="52"/>
      <c r="E130" s="63" t="n">
        <f aca="false">D130*'Itens de Contrato'!F130</f>
        <v>0</v>
      </c>
      <c r="F130" s="62" t="n">
        <f aca="false">'Medição 06'!F130-'Medição 06'!G130</f>
        <v>0</v>
      </c>
      <c r="G130" s="52"/>
      <c r="H130" s="64" t="e">
        <f aca="false">G130/D130</f>
        <v>#DIV/0!</v>
      </c>
      <c r="I130" s="63" t="n">
        <f aca="false">G130*'Itens de Contrato'!F130</f>
        <v>0</v>
      </c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</row>
    <row r="131" customFormat="false" ht="12.8" hidden="false" customHeight="false" outlineLevel="0" collapsed="false">
      <c r="A131" s="37" t="n">
        <f aca="false">'Itens de Contrato'!A131</f>
        <v>0</v>
      </c>
      <c r="B131" s="37" t="n">
        <f aca="false">'Itens de Contrato'!B131</f>
        <v>0</v>
      </c>
      <c r="C131" s="37" t="e">
        <f aca="false">VLOOKUP(B131,'Itens de Contrato'!B$5:G$151,2,0)</f>
        <v>#N/A</v>
      </c>
      <c r="D131" s="52"/>
      <c r="E131" s="63" t="n">
        <f aca="false">D131*'Itens de Contrato'!F131</f>
        <v>0</v>
      </c>
      <c r="F131" s="62" t="n">
        <f aca="false">'Medição 06'!F131-'Medição 06'!G131</f>
        <v>0</v>
      </c>
      <c r="G131" s="52"/>
      <c r="H131" s="64" t="e">
        <f aca="false">G131/D131</f>
        <v>#DIV/0!</v>
      </c>
      <c r="I131" s="63" t="n">
        <f aca="false">G131*'Itens de Contrato'!F131</f>
        <v>0</v>
      </c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</row>
    <row r="132" customFormat="false" ht="12.8" hidden="false" customHeight="false" outlineLevel="0" collapsed="false">
      <c r="A132" s="37" t="n">
        <f aca="false">'Itens de Contrato'!A132</f>
        <v>0</v>
      </c>
      <c r="B132" s="37" t="n">
        <f aca="false">'Itens de Contrato'!B132</f>
        <v>0</v>
      </c>
      <c r="C132" s="37" t="e">
        <f aca="false">VLOOKUP(B132,'Itens de Contrato'!B$5:G$151,2,0)</f>
        <v>#N/A</v>
      </c>
      <c r="D132" s="52"/>
      <c r="E132" s="63" t="n">
        <f aca="false">D132*'Itens de Contrato'!F132</f>
        <v>0</v>
      </c>
      <c r="F132" s="62" t="n">
        <f aca="false">'Medição 06'!F132-'Medição 06'!G132</f>
        <v>0</v>
      </c>
      <c r="G132" s="52"/>
      <c r="H132" s="64" t="e">
        <f aca="false">G132/D132</f>
        <v>#DIV/0!</v>
      </c>
      <c r="I132" s="63" t="n">
        <f aca="false">G132*'Itens de Contrato'!F132</f>
        <v>0</v>
      </c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</row>
    <row r="133" customFormat="false" ht="12.8" hidden="false" customHeight="false" outlineLevel="0" collapsed="false">
      <c r="A133" s="37" t="n">
        <f aca="false">'Itens de Contrato'!A133</f>
        <v>0</v>
      </c>
      <c r="B133" s="37" t="n">
        <f aca="false">'Itens de Contrato'!B133</f>
        <v>0</v>
      </c>
      <c r="C133" s="37" t="e">
        <f aca="false">VLOOKUP(B133,'Itens de Contrato'!B$5:G$151,2,0)</f>
        <v>#N/A</v>
      </c>
      <c r="D133" s="52"/>
      <c r="E133" s="63" t="n">
        <f aca="false">D133*'Itens de Contrato'!F133</f>
        <v>0</v>
      </c>
      <c r="F133" s="62" t="n">
        <f aca="false">'Medição 06'!F133-'Medição 06'!G133</f>
        <v>0</v>
      </c>
      <c r="G133" s="52"/>
      <c r="H133" s="64" t="e">
        <f aca="false">G133/D133</f>
        <v>#DIV/0!</v>
      </c>
      <c r="I133" s="63" t="n">
        <f aca="false">G133*'Itens de Contrato'!F133</f>
        <v>0</v>
      </c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</row>
    <row r="134" customFormat="false" ht="12.8" hidden="false" customHeight="false" outlineLevel="0" collapsed="false">
      <c r="A134" s="37" t="n">
        <f aca="false">'Itens de Contrato'!A134</f>
        <v>0</v>
      </c>
      <c r="B134" s="37" t="n">
        <f aca="false">'Itens de Contrato'!B134</f>
        <v>0</v>
      </c>
      <c r="C134" s="37" t="e">
        <f aca="false">VLOOKUP(B134,'Itens de Contrato'!B$5:G$151,2,0)</f>
        <v>#N/A</v>
      </c>
      <c r="D134" s="52"/>
      <c r="E134" s="63" t="n">
        <f aca="false">D134*'Itens de Contrato'!F134</f>
        <v>0</v>
      </c>
      <c r="F134" s="62" t="n">
        <f aca="false">'Medição 06'!F134-'Medição 06'!G134</f>
        <v>0</v>
      </c>
      <c r="G134" s="52"/>
      <c r="H134" s="64" t="e">
        <f aca="false">G134/D134</f>
        <v>#DIV/0!</v>
      </c>
      <c r="I134" s="63" t="n">
        <f aca="false">G134*'Itens de Contrato'!F134</f>
        <v>0</v>
      </c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</row>
    <row r="135" customFormat="false" ht="12.8" hidden="false" customHeight="false" outlineLevel="0" collapsed="false">
      <c r="A135" s="37" t="n">
        <f aca="false">'Itens de Contrato'!A135</f>
        <v>0</v>
      </c>
      <c r="B135" s="37" t="n">
        <f aca="false">'Itens de Contrato'!B135</f>
        <v>0</v>
      </c>
      <c r="C135" s="37" t="e">
        <f aca="false">VLOOKUP(B135,'Itens de Contrato'!B$5:G$151,2,0)</f>
        <v>#N/A</v>
      </c>
      <c r="D135" s="52"/>
      <c r="E135" s="63" t="n">
        <f aca="false">D135*'Itens de Contrato'!F135</f>
        <v>0</v>
      </c>
      <c r="F135" s="62" t="n">
        <f aca="false">'Medição 06'!F135-'Medição 06'!G135</f>
        <v>0</v>
      </c>
      <c r="G135" s="52"/>
      <c r="H135" s="64" t="e">
        <f aca="false">G135/D135</f>
        <v>#DIV/0!</v>
      </c>
      <c r="I135" s="63" t="n">
        <f aca="false">G135*'Itens de Contrato'!F135</f>
        <v>0</v>
      </c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</row>
    <row r="136" customFormat="false" ht="12.8" hidden="false" customHeight="false" outlineLevel="0" collapsed="false">
      <c r="A136" s="37" t="n">
        <f aca="false">'Itens de Contrato'!A136</f>
        <v>0</v>
      </c>
      <c r="B136" s="37" t="n">
        <f aca="false">'Itens de Contrato'!B136</f>
        <v>0</v>
      </c>
      <c r="C136" s="37" t="e">
        <f aca="false">VLOOKUP(B136,'Itens de Contrato'!B$5:G$151,2,0)</f>
        <v>#N/A</v>
      </c>
      <c r="D136" s="52"/>
      <c r="E136" s="63" t="n">
        <f aca="false">D136*'Itens de Contrato'!F136</f>
        <v>0</v>
      </c>
      <c r="F136" s="62" t="n">
        <f aca="false">'Medição 06'!F136-'Medição 06'!G136</f>
        <v>0</v>
      </c>
      <c r="G136" s="52"/>
      <c r="H136" s="64" t="e">
        <f aca="false">G136/D136</f>
        <v>#DIV/0!</v>
      </c>
      <c r="I136" s="63" t="n">
        <f aca="false">G136*'Itens de Contrato'!F136</f>
        <v>0</v>
      </c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</row>
    <row r="137" customFormat="false" ht="12.8" hidden="false" customHeight="false" outlineLevel="0" collapsed="false">
      <c r="A137" s="37" t="n">
        <f aca="false">'Itens de Contrato'!A137</f>
        <v>0</v>
      </c>
      <c r="B137" s="37" t="n">
        <f aca="false">'Itens de Contrato'!B137</f>
        <v>0</v>
      </c>
      <c r="C137" s="37" t="e">
        <f aca="false">VLOOKUP(B137,'Itens de Contrato'!B$5:G$151,2,0)</f>
        <v>#N/A</v>
      </c>
      <c r="D137" s="52"/>
      <c r="E137" s="63" t="n">
        <f aca="false">D137*'Itens de Contrato'!F137</f>
        <v>0</v>
      </c>
      <c r="F137" s="62" t="n">
        <f aca="false">'Medição 06'!F137-'Medição 06'!G137</f>
        <v>0</v>
      </c>
      <c r="G137" s="52"/>
      <c r="H137" s="64" t="e">
        <f aca="false">G137/D137</f>
        <v>#DIV/0!</v>
      </c>
      <c r="I137" s="63" t="n">
        <f aca="false">G137*'Itens de Contrato'!F137</f>
        <v>0</v>
      </c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</row>
    <row r="138" customFormat="false" ht="12.8" hidden="false" customHeight="false" outlineLevel="0" collapsed="false">
      <c r="A138" s="37" t="n">
        <f aca="false">'Itens de Contrato'!A138</f>
        <v>0</v>
      </c>
      <c r="B138" s="37" t="n">
        <f aca="false">'Itens de Contrato'!B138</f>
        <v>0</v>
      </c>
      <c r="C138" s="37" t="e">
        <f aca="false">VLOOKUP(B138,'Itens de Contrato'!B$5:G$151,2,0)</f>
        <v>#N/A</v>
      </c>
      <c r="D138" s="52"/>
      <c r="E138" s="63" t="n">
        <f aca="false">D138*'Itens de Contrato'!F138</f>
        <v>0</v>
      </c>
      <c r="F138" s="62" t="n">
        <f aca="false">'Medição 06'!F138-'Medição 06'!G138</f>
        <v>0</v>
      </c>
      <c r="G138" s="52"/>
      <c r="H138" s="64" t="e">
        <f aca="false">G138/D138</f>
        <v>#DIV/0!</v>
      </c>
      <c r="I138" s="63" t="n">
        <f aca="false">G138*'Itens de Contrato'!F138</f>
        <v>0</v>
      </c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</row>
    <row r="139" customFormat="false" ht="12.8" hidden="false" customHeight="false" outlineLevel="0" collapsed="false">
      <c r="A139" s="37" t="n">
        <f aca="false">'Itens de Contrato'!A139</f>
        <v>0</v>
      </c>
      <c r="B139" s="37" t="n">
        <f aca="false">'Itens de Contrato'!B139</f>
        <v>0</v>
      </c>
      <c r="C139" s="37" t="e">
        <f aca="false">VLOOKUP(B139,'Itens de Contrato'!B$5:G$151,2,0)</f>
        <v>#N/A</v>
      </c>
      <c r="D139" s="52"/>
      <c r="E139" s="63" t="n">
        <f aca="false">D139*'Itens de Contrato'!F139</f>
        <v>0</v>
      </c>
      <c r="F139" s="62" t="n">
        <f aca="false">'Medição 06'!F139-'Medição 06'!G139</f>
        <v>0</v>
      </c>
      <c r="G139" s="52"/>
      <c r="H139" s="64" t="e">
        <f aca="false">G139/D139</f>
        <v>#DIV/0!</v>
      </c>
      <c r="I139" s="63" t="n">
        <f aca="false">G139*'Itens de Contrato'!F139</f>
        <v>0</v>
      </c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</row>
    <row r="140" customFormat="false" ht="12.8" hidden="false" customHeight="false" outlineLevel="0" collapsed="false">
      <c r="A140" s="37" t="n">
        <f aca="false">'Itens de Contrato'!A140</f>
        <v>0</v>
      </c>
      <c r="B140" s="37" t="n">
        <f aca="false">'Itens de Contrato'!B140</f>
        <v>0</v>
      </c>
      <c r="C140" s="37" t="e">
        <f aca="false">VLOOKUP(B140,'Itens de Contrato'!B$5:G$151,2,0)</f>
        <v>#N/A</v>
      </c>
      <c r="D140" s="52"/>
      <c r="E140" s="63" t="n">
        <f aca="false">D140*'Itens de Contrato'!F140</f>
        <v>0</v>
      </c>
      <c r="F140" s="62" t="n">
        <f aca="false">'Medição 06'!F140-'Medição 06'!G140</f>
        <v>0</v>
      </c>
      <c r="G140" s="52"/>
      <c r="H140" s="64" t="e">
        <f aca="false">G140/D140</f>
        <v>#DIV/0!</v>
      </c>
      <c r="I140" s="63" t="n">
        <f aca="false">G140*'Itens de Contrato'!F140</f>
        <v>0</v>
      </c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</row>
    <row r="141" customFormat="false" ht="12.8" hidden="false" customHeight="false" outlineLevel="0" collapsed="false">
      <c r="A141" s="37" t="n">
        <f aca="false">'Itens de Contrato'!A141</f>
        <v>0</v>
      </c>
      <c r="B141" s="37" t="n">
        <f aca="false">'Itens de Contrato'!B141</f>
        <v>0</v>
      </c>
      <c r="C141" s="37" t="e">
        <f aca="false">VLOOKUP(B141,'Itens de Contrato'!B$5:G$151,2,0)</f>
        <v>#N/A</v>
      </c>
      <c r="D141" s="52"/>
      <c r="E141" s="63" t="n">
        <f aca="false">D141*'Itens de Contrato'!F141</f>
        <v>0</v>
      </c>
      <c r="F141" s="62" t="n">
        <f aca="false">'Medição 06'!F141-'Medição 06'!G141</f>
        <v>0</v>
      </c>
      <c r="G141" s="52"/>
      <c r="H141" s="64" t="e">
        <f aca="false">G141/D141</f>
        <v>#DIV/0!</v>
      </c>
      <c r="I141" s="63" t="n">
        <f aca="false">G141*'Itens de Contrato'!F141</f>
        <v>0</v>
      </c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</row>
    <row r="142" customFormat="false" ht="12.8" hidden="false" customHeight="false" outlineLevel="0" collapsed="false">
      <c r="A142" s="37" t="n">
        <f aca="false">'Itens de Contrato'!A142</f>
        <v>0</v>
      </c>
      <c r="B142" s="37" t="n">
        <f aca="false">'Itens de Contrato'!B142</f>
        <v>0</v>
      </c>
      <c r="C142" s="37" t="e">
        <f aca="false">VLOOKUP(B142,'Itens de Contrato'!B$5:G$151,2,0)</f>
        <v>#N/A</v>
      </c>
      <c r="D142" s="52"/>
      <c r="E142" s="63" t="n">
        <f aca="false">D142*'Itens de Contrato'!F142</f>
        <v>0</v>
      </c>
      <c r="F142" s="62" t="n">
        <f aca="false">'Medição 06'!F142-'Medição 06'!G142</f>
        <v>0</v>
      </c>
      <c r="G142" s="52"/>
      <c r="H142" s="64" t="e">
        <f aca="false">G142/D142</f>
        <v>#DIV/0!</v>
      </c>
      <c r="I142" s="63" t="n">
        <f aca="false">G142*'Itens de Contrato'!F142</f>
        <v>0</v>
      </c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</row>
    <row r="143" customFormat="false" ht="12.8" hidden="false" customHeight="false" outlineLevel="0" collapsed="false">
      <c r="A143" s="37" t="n">
        <f aca="false">'Itens de Contrato'!A143</f>
        <v>0</v>
      </c>
      <c r="B143" s="37" t="n">
        <f aca="false">'Itens de Contrato'!B143</f>
        <v>0</v>
      </c>
      <c r="C143" s="37" t="e">
        <f aca="false">VLOOKUP(B143,'Itens de Contrato'!B$5:G$151,2,0)</f>
        <v>#N/A</v>
      </c>
      <c r="D143" s="52"/>
      <c r="E143" s="63" t="n">
        <f aca="false">D143*'Itens de Contrato'!F143</f>
        <v>0</v>
      </c>
      <c r="F143" s="62" t="n">
        <f aca="false">'Medição 06'!F143-'Medição 06'!G143</f>
        <v>0</v>
      </c>
      <c r="G143" s="52"/>
      <c r="H143" s="64" t="e">
        <f aca="false">G143/D143</f>
        <v>#DIV/0!</v>
      </c>
      <c r="I143" s="63" t="n">
        <f aca="false">G143*'Itens de Contrato'!F143</f>
        <v>0</v>
      </c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</row>
    <row r="144" customFormat="false" ht="12.8" hidden="false" customHeight="false" outlineLevel="0" collapsed="false">
      <c r="A144" s="37" t="n">
        <f aca="false">'Itens de Contrato'!A144</f>
        <v>0</v>
      </c>
      <c r="B144" s="37" t="n">
        <f aca="false">'Itens de Contrato'!B144</f>
        <v>0</v>
      </c>
      <c r="C144" s="37" t="e">
        <f aca="false">VLOOKUP(B144,'Itens de Contrato'!B$5:G$151,2,0)</f>
        <v>#N/A</v>
      </c>
      <c r="D144" s="52"/>
      <c r="E144" s="63" t="n">
        <f aca="false">D144*'Itens de Contrato'!F144</f>
        <v>0</v>
      </c>
      <c r="F144" s="62" t="n">
        <f aca="false">'Medição 06'!F144-'Medição 06'!G144</f>
        <v>0</v>
      </c>
      <c r="G144" s="52"/>
      <c r="H144" s="64" t="e">
        <f aca="false">G144/D144</f>
        <v>#DIV/0!</v>
      </c>
      <c r="I144" s="63" t="n">
        <f aca="false">G144*'Itens de Contrato'!F144</f>
        <v>0</v>
      </c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</row>
    <row r="145" customFormat="false" ht="12.8" hidden="false" customHeight="false" outlineLevel="0" collapsed="false">
      <c r="A145" s="37" t="n">
        <f aca="false">'Itens de Contrato'!A145</f>
        <v>0</v>
      </c>
      <c r="B145" s="37" t="n">
        <f aca="false">'Itens de Contrato'!B145</f>
        <v>0</v>
      </c>
      <c r="C145" s="37" t="e">
        <f aca="false">VLOOKUP(B145,'Itens de Contrato'!B$5:G$151,2,0)</f>
        <v>#N/A</v>
      </c>
      <c r="D145" s="52"/>
      <c r="E145" s="63" t="n">
        <f aca="false">D145*'Itens de Contrato'!F145</f>
        <v>0</v>
      </c>
      <c r="F145" s="62" t="n">
        <f aca="false">'Medição 06'!F145-'Medição 06'!G145</f>
        <v>0</v>
      </c>
      <c r="G145" s="52"/>
      <c r="H145" s="64" t="e">
        <f aca="false">G145/D145</f>
        <v>#DIV/0!</v>
      </c>
      <c r="I145" s="63" t="n">
        <f aca="false">G145*'Itens de Contrato'!F145</f>
        <v>0</v>
      </c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</row>
    <row r="146" customFormat="false" ht="12.8" hidden="false" customHeight="false" outlineLevel="0" collapsed="false">
      <c r="A146" s="37" t="n">
        <f aca="false">'Itens de Contrato'!A146</f>
        <v>0</v>
      </c>
      <c r="B146" s="37" t="n">
        <f aca="false">'Itens de Contrato'!B146</f>
        <v>0</v>
      </c>
      <c r="C146" s="37" t="e">
        <f aca="false">VLOOKUP(B146,'Itens de Contrato'!B$5:G$151,2,0)</f>
        <v>#N/A</v>
      </c>
      <c r="D146" s="52"/>
      <c r="E146" s="63" t="n">
        <f aca="false">D146*'Itens de Contrato'!F146</f>
        <v>0</v>
      </c>
      <c r="F146" s="62" t="n">
        <f aca="false">'Medição 06'!F146-'Medição 06'!G146</f>
        <v>0</v>
      </c>
      <c r="G146" s="52"/>
      <c r="H146" s="64" t="e">
        <f aca="false">G146/D146</f>
        <v>#DIV/0!</v>
      </c>
      <c r="I146" s="63" t="n">
        <f aca="false">G146*'Itens de Contrato'!F146</f>
        <v>0</v>
      </c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</row>
    <row r="147" customFormat="false" ht="12.8" hidden="false" customHeight="false" outlineLevel="0" collapsed="false">
      <c r="A147" s="37" t="n">
        <f aca="false">'Itens de Contrato'!A147</f>
        <v>0</v>
      </c>
      <c r="B147" s="37" t="n">
        <f aca="false">'Itens de Contrato'!B147</f>
        <v>0</v>
      </c>
      <c r="C147" s="37" t="e">
        <f aca="false">VLOOKUP(B147,'Itens de Contrato'!B$5:G$151,2,0)</f>
        <v>#N/A</v>
      </c>
      <c r="D147" s="52"/>
      <c r="E147" s="63" t="n">
        <f aca="false">D147*'Itens de Contrato'!F147</f>
        <v>0</v>
      </c>
      <c r="F147" s="62" t="n">
        <f aca="false">'Medição 06'!F147-'Medição 06'!G147</f>
        <v>0</v>
      </c>
      <c r="G147" s="52"/>
      <c r="H147" s="64" t="e">
        <f aca="false">G147/D147</f>
        <v>#DIV/0!</v>
      </c>
      <c r="I147" s="63" t="n">
        <f aca="false">G147*'Itens de Contrato'!F147</f>
        <v>0</v>
      </c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</row>
    <row r="148" customFormat="false" ht="12.8" hidden="false" customHeight="false" outlineLevel="0" collapsed="false">
      <c r="A148" s="37" t="n">
        <f aca="false">'Itens de Contrato'!A148</f>
        <v>0</v>
      </c>
      <c r="B148" s="37" t="n">
        <f aca="false">'Itens de Contrato'!B148</f>
        <v>0</v>
      </c>
      <c r="C148" s="37" t="e">
        <f aca="false">VLOOKUP(B148,'Itens de Contrato'!B$5:G$151,2,0)</f>
        <v>#N/A</v>
      </c>
      <c r="D148" s="52"/>
      <c r="E148" s="63" t="n">
        <f aca="false">D148*'Itens de Contrato'!F148</f>
        <v>0</v>
      </c>
      <c r="F148" s="62" t="n">
        <f aca="false">'Medição 06'!F148-'Medição 06'!G148</f>
        <v>0</v>
      </c>
      <c r="G148" s="52"/>
      <c r="H148" s="64" t="e">
        <f aca="false">G148/D148</f>
        <v>#DIV/0!</v>
      </c>
      <c r="I148" s="63" t="n">
        <f aca="false">G148*'Itens de Contrato'!F148</f>
        <v>0</v>
      </c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</row>
    <row r="149" customFormat="false" ht="12.8" hidden="false" customHeight="false" outlineLevel="0" collapsed="false">
      <c r="A149" s="37" t="n">
        <f aca="false">'Itens de Contrato'!A149</f>
        <v>0</v>
      </c>
      <c r="B149" s="37" t="n">
        <f aca="false">'Itens de Contrato'!B149</f>
        <v>0</v>
      </c>
      <c r="C149" s="37" t="e">
        <f aca="false">VLOOKUP(B149,'Itens de Contrato'!B$5:G$151,2,0)</f>
        <v>#N/A</v>
      </c>
      <c r="D149" s="52"/>
      <c r="E149" s="63" t="n">
        <f aca="false">D149*'Itens de Contrato'!F149</f>
        <v>0</v>
      </c>
      <c r="F149" s="62" t="n">
        <f aca="false">'Medição 06'!F149-'Medição 06'!G149</f>
        <v>0</v>
      </c>
      <c r="G149" s="52"/>
      <c r="H149" s="64" t="e">
        <f aca="false">G149/D149</f>
        <v>#DIV/0!</v>
      </c>
      <c r="I149" s="63" t="n">
        <f aca="false">G149*'Itens de Contrato'!F149</f>
        <v>0</v>
      </c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</row>
    <row r="150" customFormat="false" ht="12.8" hidden="false" customHeight="false" outlineLevel="0" collapsed="false">
      <c r="A150" s="37" t="n">
        <f aca="false">'Itens de Contrato'!A150</f>
        <v>0</v>
      </c>
      <c r="B150" s="37" t="n">
        <f aca="false">'Itens de Contrato'!B150</f>
        <v>0</v>
      </c>
      <c r="C150" s="37" t="e">
        <f aca="false">VLOOKUP(B150,'Itens de Contrato'!B$5:G$151,2,0)</f>
        <v>#N/A</v>
      </c>
      <c r="D150" s="52"/>
      <c r="E150" s="63" t="n">
        <f aca="false">D150*'Itens de Contrato'!F150</f>
        <v>0</v>
      </c>
      <c r="F150" s="62" t="n">
        <f aca="false">'Medição 06'!F150-'Medição 06'!G150</f>
        <v>0</v>
      </c>
      <c r="G150" s="52"/>
      <c r="H150" s="64" t="e">
        <f aca="false">G150/D150</f>
        <v>#DIV/0!</v>
      </c>
      <c r="I150" s="63" t="n">
        <f aca="false">G150*'Itens de Contrato'!F150</f>
        <v>0</v>
      </c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</row>
    <row r="151" customFormat="false" ht="12.8" hidden="false" customHeight="false" outlineLevel="0" collapsed="false">
      <c r="A151" s="37" t="n">
        <f aca="false">'Itens de Contrato'!A151</f>
        <v>0</v>
      </c>
      <c r="B151" s="37" t="n">
        <f aca="false">'Itens de Contrato'!B151</f>
        <v>0</v>
      </c>
      <c r="C151" s="37" t="e">
        <f aca="false">VLOOKUP(B151,'Itens de Contrato'!B$5:G$151,2,0)</f>
        <v>#N/A</v>
      </c>
      <c r="D151" s="52"/>
      <c r="E151" s="63" t="n">
        <f aca="false">D151*'Itens de Contrato'!F151</f>
        <v>0</v>
      </c>
      <c r="F151" s="62" t="n">
        <f aca="false">'Medição 06'!F151-'Medição 06'!G151</f>
        <v>0</v>
      </c>
      <c r="G151" s="52"/>
      <c r="H151" s="64" t="e">
        <f aca="false">G151/D151</f>
        <v>#DIV/0!</v>
      </c>
      <c r="I151" s="63" t="n">
        <f aca="false">G151*'Itens de Contrato'!F151</f>
        <v>0</v>
      </c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</row>
    <row r="152" customFormat="false" ht="12.75" hidden="false" customHeight="false" outlineLevel="0" collapsed="false"/>
    <row r="153" customFormat="false" ht="12.75" hidden="false" customHeight="false" outlineLevel="0" collapsed="false"/>
    <row r="154" customFormat="false" ht="12.75" hidden="false" customHeight="false" outlineLevel="0" collapsed="false"/>
    <row r="155" customFormat="false" ht="12.75" hidden="false" customHeight="false" outlineLevel="0" collapsed="false"/>
    <row r="156" customFormat="false" ht="12.75" hidden="false" customHeight="false" outlineLevel="0" collapsed="false"/>
    <row r="157" customFormat="false" ht="12.75" hidden="false" customHeight="false" outlineLevel="0" collapsed="false"/>
    <row r="158" customFormat="false" ht="12.75" hidden="false" customHeight="false" outlineLevel="0" collapsed="false"/>
    <row r="159" customFormat="false" ht="12.75" hidden="false" customHeight="false" outlineLevel="0" collapsed="false"/>
    <row r="160" customFormat="false" ht="12.75" hidden="false" customHeight="false" outlineLevel="0" collapsed="false"/>
    <row r="161" customFormat="false" ht="12.75" hidden="false" customHeight="false" outlineLevel="0" collapsed="false"/>
    <row r="162" customFormat="false" ht="12.75" hidden="false" customHeight="false" outlineLevel="0" collapsed="false"/>
    <row r="163" customFormat="false" ht="12.75" hidden="false" customHeight="false" outlineLevel="0" collapsed="false"/>
    <row r="164" customFormat="false" ht="12.75" hidden="false" customHeight="false" outlineLevel="0" collapsed="false"/>
    <row r="165" customFormat="false" ht="12.75" hidden="false" customHeight="false" outlineLevel="0" collapsed="false"/>
    <row r="166" customFormat="false" ht="12.75" hidden="false" customHeight="false" outlineLevel="0" collapsed="false"/>
    <row r="167" customFormat="false" ht="12.75" hidden="false" customHeight="false" outlineLevel="0" collapsed="false"/>
    <row r="168" customFormat="false" ht="12.75" hidden="false" customHeight="false" outlineLevel="0" collapsed="false"/>
    <row r="169" customFormat="false" ht="12.75" hidden="false" customHeight="false" outlineLevel="0" collapsed="false"/>
    <row r="170" customFormat="false" ht="12.75" hidden="false" customHeight="false" outlineLevel="0" collapsed="false"/>
    <row r="171" customFormat="false" ht="12.75" hidden="false" customHeight="false" outlineLevel="0" collapsed="false"/>
    <row r="172" customFormat="false" ht="12.75" hidden="false" customHeight="false" outlineLevel="0" collapsed="false"/>
    <row r="173" customFormat="false" ht="12.75" hidden="false" customHeight="false" outlineLevel="0" collapsed="false"/>
    <row r="174" customFormat="false" ht="12.75" hidden="false" customHeight="false" outlineLevel="0" collapsed="false"/>
    <row r="175" customFormat="false" ht="12.75" hidden="false" customHeight="false" outlineLevel="0" collapsed="false"/>
    <row r="176" customFormat="false" ht="12.75" hidden="false" customHeight="false" outlineLevel="0" collapsed="false"/>
    <row r="177" customFormat="false" ht="12.75" hidden="false" customHeight="false" outlineLevel="0" collapsed="false"/>
    <row r="178" customFormat="false" ht="12.75" hidden="false" customHeight="false" outlineLevel="0" collapsed="false"/>
    <row r="179" customFormat="false" ht="12.75" hidden="false" customHeight="false" outlineLevel="0" collapsed="false"/>
    <row r="180" customFormat="false" ht="12.75" hidden="false" customHeight="false" outlineLevel="0" collapsed="false"/>
    <row r="181" customFormat="false" ht="12.75" hidden="false" customHeight="false" outlineLevel="0" collapsed="false"/>
    <row r="182" customFormat="false" ht="12.75" hidden="false" customHeight="false" outlineLevel="0" collapsed="false"/>
    <row r="183" customFormat="false" ht="12.75" hidden="false" customHeight="false" outlineLevel="0" collapsed="false"/>
    <row r="184" customFormat="false" ht="12.75" hidden="false" customHeight="false" outlineLevel="0" collapsed="false"/>
    <row r="185" customFormat="false" ht="12.75" hidden="false" customHeight="false" outlineLevel="0" collapsed="false"/>
    <row r="186" customFormat="false" ht="12.75" hidden="false" customHeight="false" outlineLevel="0" collapsed="false"/>
    <row r="187" customFormat="false" ht="12.75" hidden="false" customHeight="false" outlineLevel="0" collapsed="false"/>
    <row r="188" customFormat="false" ht="12.75" hidden="false" customHeight="false" outlineLevel="0" collapsed="false"/>
    <row r="189" customFormat="false" ht="12.75" hidden="false" customHeight="false" outlineLevel="0" collapsed="false"/>
    <row r="190" customFormat="false" ht="12.75" hidden="false" customHeight="false" outlineLevel="0" collapsed="false"/>
    <row r="191" customFormat="false" ht="12.75" hidden="false" customHeight="false" outlineLevel="0" collapsed="false"/>
    <row r="192" customFormat="false" ht="12.75" hidden="false" customHeight="false" outlineLevel="0" collapsed="false"/>
    <row r="193" customFormat="false" ht="12.75" hidden="false" customHeight="false" outlineLevel="0" collapsed="false"/>
    <row r="194" customFormat="false" ht="12.75" hidden="false" customHeight="false" outlineLevel="0" collapsed="false"/>
    <row r="195" customFormat="false" ht="12.75" hidden="false" customHeight="false" outlineLevel="0" collapsed="false"/>
    <row r="196" customFormat="false" ht="12.75" hidden="false" customHeight="false" outlineLevel="0" collapsed="false"/>
    <row r="197" customFormat="false" ht="12.75" hidden="false" customHeight="false" outlineLevel="0" collapsed="false"/>
    <row r="198" customFormat="false" ht="12.75" hidden="false" customHeight="false" outlineLevel="0" collapsed="false"/>
    <row r="199" customFormat="false" ht="12.75" hidden="false" customHeight="false" outlineLevel="0" collapsed="false"/>
    <row r="200" customFormat="false" ht="12.75" hidden="false" customHeight="false" outlineLevel="0" collapsed="false"/>
    <row r="201" customFormat="false" ht="12.75" hidden="false" customHeight="false" outlineLevel="0" collapsed="false"/>
    <row r="202" customFormat="false" ht="12.75" hidden="false" customHeight="false" outlineLevel="0" collapsed="false"/>
    <row r="203" customFormat="false" ht="12.75" hidden="false" customHeight="false" outlineLevel="0" collapsed="false"/>
    <row r="204" customFormat="false" ht="12.75" hidden="false" customHeight="false" outlineLevel="0" collapsed="false"/>
    <row r="205" customFormat="false" ht="12.75" hidden="false" customHeight="false" outlineLevel="0" collapsed="false"/>
    <row r="206" customFormat="false" ht="12.75" hidden="false" customHeight="false" outlineLevel="0" collapsed="false"/>
    <row r="207" customFormat="false" ht="12.75" hidden="false" customHeight="false" outlineLevel="0" collapsed="false"/>
    <row r="208" customFormat="false" ht="12.75" hidden="false" customHeight="false" outlineLevel="0" collapsed="false"/>
    <row r="209" customFormat="false" ht="12.75" hidden="false" customHeight="false" outlineLevel="0" collapsed="false"/>
    <row r="210" customFormat="false" ht="12.75" hidden="false" customHeight="false" outlineLevel="0" collapsed="false"/>
    <row r="211" customFormat="false" ht="12.75" hidden="false" customHeight="false" outlineLevel="0" collapsed="false"/>
    <row r="212" customFormat="false" ht="12.75" hidden="false" customHeight="false" outlineLevel="0" collapsed="false"/>
    <row r="213" customFormat="false" ht="12.75" hidden="false" customHeight="false" outlineLevel="0" collapsed="false"/>
    <row r="214" customFormat="false" ht="12.75" hidden="false" customHeight="false" outlineLevel="0" collapsed="false"/>
    <row r="215" customFormat="false" ht="12.75" hidden="false" customHeight="false" outlineLevel="0" collapsed="false"/>
    <row r="216" customFormat="false" ht="12.75" hidden="false" customHeight="false" outlineLevel="0" collapsed="false"/>
    <row r="217" customFormat="false" ht="12.75" hidden="false" customHeight="false" outlineLevel="0" collapsed="false"/>
    <row r="218" customFormat="false" ht="12.75" hidden="false" customHeight="false" outlineLevel="0" collapsed="false"/>
    <row r="219" customFormat="false" ht="12.75" hidden="false" customHeight="false" outlineLevel="0" collapsed="false"/>
    <row r="220" customFormat="false" ht="12.75" hidden="false" customHeight="false" outlineLevel="0" collapsed="false"/>
    <row r="221" customFormat="false" ht="12.75" hidden="false" customHeight="false" outlineLevel="0" collapsed="false"/>
    <row r="222" customFormat="false" ht="12.75" hidden="false" customHeight="false" outlineLevel="0" collapsed="false"/>
    <row r="223" customFormat="false" ht="12.75" hidden="false" customHeight="false" outlineLevel="0" collapsed="false"/>
    <row r="224" customFormat="false" ht="12.75" hidden="false" customHeight="false" outlineLevel="0" collapsed="false"/>
    <row r="225" customFormat="false" ht="12.75" hidden="false" customHeight="false" outlineLevel="0" collapsed="false"/>
    <row r="226" customFormat="false" ht="12.75" hidden="false" customHeight="false" outlineLevel="0" collapsed="false"/>
    <row r="227" customFormat="false" ht="12.75" hidden="false" customHeight="false" outlineLevel="0" collapsed="false"/>
    <row r="228" customFormat="false" ht="12.75" hidden="false" customHeight="false" outlineLevel="0" collapsed="false"/>
    <row r="229" customFormat="false" ht="12.75" hidden="false" customHeight="false" outlineLevel="0" collapsed="false"/>
    <row r="230" customFormat="false" ht="12.75" hidden="false" customHeight="false" outlineLevel="0" collapsed="false"/>
    <row r="231" customFormat="false" ht="12.75" hidden="false" customHeight="false" outlineLevel="0" collapsed="false"/>
    <row r="232" customFormat="false" ht="12.75" hidden="false" customHeight="false" outlineLevel="0" collapsed="false"/>
    <row r="233" customFormat="false" ht="12.75" hidden="false" customHeight="false" outlineLevel="0" collapsed="false"/>
    <row r="234" customFormat="false" ht="12.75" hidden="false" customHeight="false" outlineLevel="0" collapsed="false"/>
    <row r="235" customFormat="false" ht="12.75" hidden="false" customHeight="false" outlineLevel="0" collapsed="false"/>
    <row r="236" customFormat="false" ht="12.75" hidden="false" customHeight="false" outlineLevel="0" collapsed="false"/>
    <row r="237" customFormat="false" ht="12.75" hidden="false" customHeight="false" outlineLevel="0" collapsed="false"/>
    <row r="238" customFormat="false" ht="12.75" hidden="false" customHeight="false" outlineLevel="0" collapsed="false"/>
    <row r="239" customFormat="false" ht="12.75" hidden="false" customHeight="false" outlineLevel="0" collapsed="false"/>
    <row r="240" customFormat="false" ht="12.75" hidden="false" customHeight="false" outlineLevel="0" collapsed="false"/>
    <row r="241" customFormat="false" ht="12.75" hidden="false" customHeight="false" outlineLevel="0" collapsed="false"/>
    <row r="242" customFormat="false" ht="12.75" hidden="false" customHeight="false" outlineLevel="0" collapsed="false"/>
    <row r="243" customFormat="false" ht="12.75" hidden="false" customHeight="false" outlineLevel="0" collapsed="false"/>
    <row r="244" customFormat="false" ht="12.75" hidden="false" customHeight="false" outlineLevel="0" collapsed="false"/>
    <row r="245" customFormat="false" ht="12.75" hidden="false" customHeight="false" outlineLevel="0" collapsed="false"/>
    <row r="246" customFormat="false" ht="12.75" hidden="false" customHeight="false" outlineLevel="0" collapsed="false"/>
    <row r="247" customFormat="false" ht="12.75" hidden="false" customHeight="false" outlineLevel="0" collapsed="false"/>
    <row r="248" customFormat="false" ht="12.75" hidden="false" customHeight="false" outlineLevel="0" collapsed="false"/>
    <row r="249" customFormat="false" ht="12.75" hidden="false" customHeight="false" outlineLevel="0" collapsed="false"/>
    <row r="250" customFormat="false" ht="12.75" hidden="false" customHeight="false" outlineLevel="0" collapsed="false"/>
    <row r="251" customFormat="false" ht="12.75" hidden="false" customHeight="false" outlineLevel="0" collapsed="false"/>
    <row r="252" customFormat="false" ht="12.75" hidden="false" customHeight="false" outlineLevel="0" collapsed="false"/>
    <row r="253" customFormat="false" ht="12.75" hidden="false" customHeight="false" outlineLevel="0" collapsed="false"/>
    <row r="254" customFormat="false" ht="12.75" hidden="false" customHeight="false" outlineLevel="0" collapsed="false"/>
    <row r="255" customFormat="false" ht="12.75" hidden="false" customHeight="false" outlineLevel="0" collapsed="false"/>
    <row r="256" customFormat="false" ht="12.75" hidden="false" customHeight="false" outlineLevel="0" collapsed="false"/>
    <row r="257" customFormat="false" ht="12.75" hidden="false" customHeight="false" outlineLevel="0" collapsed="false"/>
    <row r="258" customFormat="false" ht="12.75" hidden="false" customHeight="false" outlineLevel="0" collapsed="false"/>
    <row r="259" customFormat="false" ht="12.75" hidden="false" customHeight="false" outlineLevel="0" collapsed="false"/>
    <row r="260" customFormat="false" ht="12.75" hidden="false" customHeight="false" outlineLevel="0" collapsed="false"/>
    <row r="261" customFormat="false" ht="12.75" hidden="false" customHeight="false" outlineLevel="0" collapsed="false"/>
    <row r="262" customFormat="false" ht="12.75" hidden="false" customHeight="false" outlineLevel="0" collapsed="false"/>
    <row r="263" customFormat="false" ht="12.75" hidden="false" customHeight="false" outlineLevel="0" collapsed="false"/>
    <row r="264" customFormat="false" ht="12.75" hidden="false" customHeight="false" outlineLevel="0" collapsed="false"/>
    <row r="265" customFormat="false" ht="12.75" hidden="false" customHeight="false" outlineLevel="0" collapsed="false"/>
    <row r="266" customFormat="false" ht="12.75" hidden="false" customHeight="false" outlineLevel="0" collapsed="false"/>
    <row r="267" customFormat="false" ht="12.75" hidden="false" customHeight="false" outlineLevel="0" collapsed="false"/>
    <row r="268" customFormat="false" ht="12.75" hidden="false" customHeight="false" outlineLevel="0" collapsed="false"/>
    <row r="269" customFormat="false" ht="12.75" hidden="false" customHeight="false" outlineLevel="0" collapsed="false"/>
    <row r="270" customFormat="false" ht="12.75" hidden="false" customHeight="false" outlineLevel="0" collapsed="false"/>
    <row r="271" customFormat="false" ht="12.75" hidden="false" customHeight="false" outlineLevel="0" collapsed="false"/>
    <row r="272" customFormat="false" ht="12.75" hidden="false" customHeight="false" outlineLevel="0" collapsed="false"/>
    <row r="273" customFormat="false" ht="12.75" hidden="false" customHeight="fals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12.75" hidden="false" customHeight="false" outlineLevel="0" collapsed="false"/>
    <row r="283" customFormat="false" ht="12.75" hidden="false" customHeight="false" outlineLevel="0" collapsed="false"/>
    <row r="284" customFormat="false" ht="12.75" hidden="false" customHeight="fals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12.75" hidden="false" customHeight="false" outlineLevel="0" collapsed="false"/>
    <row r="291" customFormat="false" ht="12.75" hidden="false" customHeight="false" outlineLevel="0" collapsed="false"/>
    <row r="292" customFormat="false" ht="12.75" hidden="false" customHeight="false" outlineLevel="0" collapsed="false"/>
    <row r="293" customFormat="false" ht="12.75" hidden="false" customHeight="false" outlineLevel="0" collapsed="false"/>
    <row r="294" customFormat="false" ht="12.75" hidden="false" customHeight="false" outlineLevel="0" collapsed="false"/>
    <row r="295" customFormat="false" ht="12.75" hidden="false" customHeight="fals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12.75" hidden="false" customHeight="false" outlineLevel="0" collapsed="false"/>
    <row r="299" customFormat="false" ht="12.75" hidden="false" customHeight="false" outlineLevel="0" collapsed="false"/>
    <row r="300" customFormat="false" ht="12.75" hidden="false" customHeight="fals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12.75" hidden="false" customHeight="false" outlineLevel="0" collapsed="false"/>
    <row r="308" customFormat="false" ht="12.75" hidden="false" customHeight="false" outlineLevel="0" collapsed="false"/>
    <row r="309" customFormat="false" ht="12.75" hidden="false" customHeight="false" outlineLevel="0" collapsed="false"/>
    <row r="310" customFormat="false" ht="12.75" hidden="false" customHeight="false" outlineLevel="0" collapsed="false"/>
    <row r="311" customFormat="false" ht="12.75" hidden="false" customHeight="false" outlineLevel="0" collapsed="false"/>
    <row r="312" customFormat="false" ht="12.75" hidden="false" customHeight="false" outlineLevel="0" collapsed="false"/>
    <row r="313" customFormat="false" ht="12.75" hidden="false" customHeight="false" outlineLevel="0" collapsed="false"/>
    <row r="314" customFormat="false" ht="12.75" hidden="false" customHeight="fals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12.75" hidden="false" customHeight="fals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  <row r="344" customFormat="false" ht="12.75" hidden="false" customHeight="false" outlineLevel="0" collapsed="false"/>
    <row r="345" customFormat="false" ht="12.75" hidden="false" customHeight="false" outlineLevel="0" collapsed="false"/>
    <row r="346" customFormat="false" ht="12.75" hidden="false" customHeight="false" outlineLevel="0" collapsed="false"/>
    <row r="347" customFormat="false" ht="12.75" hidden="false" customHeight="false" outlineLevel="0" collapsed="false"/>
    <row r="348" customFormat="false" ht="12.75" hidden="false" customHeight="false" outlineLevel="0" collapsed="false"/>
    <row r="349" customFormat="false" ht="12.75" hidden="false" customHeight="false" outlineLevel="0" collapsed="false"/>
    <row r="350" customFormat="false" ht="12.75" hidden="false" customHeight="false" outlineLevel="0" collapsed="false"/>
    <row r="351" customFormat="false" ht="12.75" hidden="false" customHeight="false" outlineLevel="0" collapsed="false"/>
    <row r="352" customFormat="false" ht="12.75" hidden="false" customHeight="false" outlineLevel="0" collapsed="false"/>
    <row r="353" customFormat="false" ht="12.75" hidden="false" customHeight="false" outlineLevel="0" collapsed="false"/>
    <row r="354" customFormat="false" ht="12.75" hidden="false" customHeight="false" outlineLevel="0" collapsed="false"/>
    <row r="355" customFormat="false" ht="12.75" hidden="false" customHeight="false" outlineLevel="0" collapsed="false"/>
    <row r="356" customFormat="false" ht="12.75" hidden="false" customHeight="false" outlineLevel="0" collapsed="false"/>
    <row r="357" customFormat="false" ht="12.75" hidden="false" customHeight="false" outlineLevel="0" collapsed="false"/>
    <row r="358" customFormat="false" ht="12.75" hidden="false" customHeight="false" outlineLevel="0" collapsed="false"/>
    <row r="359" customFormat="false" ht="12.75" hidden="false" customHeight="false" outlineLevel="0" collapsed="false"/>
    <row r="360" customFormat="false" ht="12.75" hidden="false" customHeight="false" outlineLevel="0" collapsed="false"/>
    <row r="361" customFormat="false" ht="12.75" hidden="false" customHeight="false" outlineLevel="0" collapsed="false"/>
    <row r="362" customFormat="false" ht="12.75" hidden="false" customHeight="false" outlineLevel="0" collapsed="false"/>
    <row r="363" customFormat="false" ht="12.75" hidden="false" customHeight="false" outlineLevel="0" collapsed="false"/>
    <row r="364" customFormat="false" ht="12.75" hidden="false" customHeight="false" outlineLevel="0" collapsed="false"/>
    <row r="365" customFormat="false" ht="12.75" hidden="false" customHeight="false" outlineLevel="0" collapsed="false"/>
    <row r="366" customFormat="false" ht="12.75" hidden="false" customHeight="false" outlineLevel="0" collapsed="false"/>
    <row r="367" customFormat="false" ht="12.75" hidden="false" customHeight="false" outlineLevel="0" collapsed="false"/>
    <row r="368" customFormat="false" ht="12.75" hidden="false" customHeight="false" outlineLevel="0" collapsed="false"/>
    <row r="369" customFormat="false" ht="12.75" hidden="false" customHeight="false" outlineLevel="0" collapsed="false"/>
    <row r="370" customFormat="false" ht="12.75" hidden="false" customHeight="false" outlineLevel="0" collapsed="false"/>
    <row r="371" customFormat="false" ht="12.75" hidden="false" customHeight="false" outlineLevel="0" collapsed="false"/>
    <row r="372" customFormat="false" ht="12.75" hidden="false" customHeight="false" outlineLevel="0" collapsed="false"/>
    <row r="373" customFormat="false" ht="12.75" hidden="false" customHeight="false" outlineLevel="0" collapsed="false"/>
    <row r="374" customFormat="false" ht="12.75" hidden="false" customHeight="false" outlineLevel="0" collapsed="false"/>
    <row r="375" customFormat="false" ht="12.75" hidden="false" customHeight="false" outlineLevel="0" collapsed="false"/>
    <row r="376" customFormat="false" ht="12.75" hidden="false" customHeight="false" outlineLevel="0" collapsed="false"/>
    <row r="377" customFormat="false" ht="12.75" hidden="false" customHeight="false" outlineLevel="0" collapsed="false"/>
    <row r="378" customFormat="false" ht="12.75" hidden="false" customHeight="false" outlineLevel="0" collapsed="false"/>
    <row r="379" customFormat="false" ht="12.75" hidden="false" customHeight="false" outlineLevel="0" collapsed="false"/>
    <row r="380" customFormat="false" ht="12.75" hidden="false" customHeight="false" outlineLevel="0" collapsed="false"/>
    <row r="381" customFormat="false" ht="12.75" hidden="false" customHeight="false" outlineLevel="0" collapsed="false"/>
    <row r="382" customFormat="false" ht="12.75" hidden="false" customHeight="false" outlineLevel="0" collapsed="false"/>
    <row r="383" customFormat="false" ht="12.75" hidden="false" customHeight="false" outlineLevel="0" collapsed="false"/>
    <row r="384" customFormat="false" ht="12.75" hidden="false" customHeight="false" outlineLevel="0" collapsed="false"/>
    <row r="385" customFormat="false" ht="12.75" hidden="false" customHeight="false" outlineLevel="0" collapsed="false"/>
    <row r="386" customFormat="false" ht="12.75" hidden="false" customHeight="false" outlineLevel="0" collapsed="false"/>
    <row r="387" customFormat="false" ht="12.75" hidden="false" customHeight="false" outlineLevel="0" collapsed="false"/>
    <row r="388" customFormat="false" ht="12.75" hidden="false" customHeight="false" outlineLevel="0" collapsed="false"/>
    <row r="389" customFormat="false" ht="12.75" hidden="false" customHeight="false" outlineLevel="0" collapsed="false"/>
    <row r="390" customFormat="false" ht="12.75" hidden="false" customHeight="false" outlineLevel="0" collapsed="false"/>
    <row r="391" customFormat="false" ht="12.75" hidden="false" customHeight="false" outlineLevel="0" collapsed="false"/>
    <row r="392" customFormat="false" ht="12.75" hidden="false" customHeight="false" outlineLevel="0" collapsed="false"/>
    <row r="393" customFormat="false" ht="12.75" hidden="false" customHeight="false" outlineLevel="0" collapsed="false"/>
    <row r="394" customFormat="false" ht="12.75" hidden="false" customHeight="false" outlineLevel="0" collapsed="false"/>
    <row r="395" customFormat="false" ht="12.75" hidden="false" customHeight="false" outlineLevel="0" collapsed="false"/>
    <row r="396" customFormat="false" ht="12.75" hidden="false" customHeight="false" outlineLevel="0" collapsed="false"/>
    <row r="397" customFormat="false" ht="12.75" hidden="false" customHeight="false" outlineLevel="0" collapsed="false"/>
    <row r="398" customFormat="false" ht="12.75" hidden="false" customHeight="false" outlineLevel="0" collapsed="false"/>
    <row r="399" customFormat="false" ht="12.75" hidden="false" customHeight="false" outlineLevel="0" collapsed="false"/>
    <row r="400" customFormat="false" ht="12.75" hidden="false" customHeight="false" outlineLevel="0" collapsed="false"/>
    <row r="401" customFormat="false" ht="12.75" hidden="false" customHeight="false" outlineLevel="0" collapsed="false"/>
    <row r="402" customFormat="false" ht="12.75" hidden="false" customHeight="false" outlineLevel="0" collapsed="false"/>
    <row r="403" customFormat="false" ht="12.75" hidden="false" customHeight="false" outlineLevel="0" collapsed="false"/>
    <row r="404" customFormat="false" ht="12.75" hidden="false" customHeight="false" outlineLevel="0" collapsed="false"/>
    <row r="405" customFormat="false" ht="12.75" hidden="false" customHeight="false" outlineLevel="0" collapsed="false"/>
    <row r="406" customFormat="false" ht="12.75" hidden="false" customHeight="false" outlineLevel="0" collapsed="false"/>
    <row r="407" customFormat="false" ht="12.75" hidden="false" customHeight="false" outlineLevel="0" collapsed="false"/>
    <row r="408" customFormat="false" ht="12.75" hidden="false" customHeight="false" outlineLevel="0" collapsed="false"/>
    <row r="409" customFormat="false" ht="12.75" hidden="false" customHeight="false" outlineLevel="0" collapsed="false"/>
    <row r="410" customFormat="false" ht="12.75" hidden="false" customHeight="false" outlineLevel="0" collapsed="false"/>
    <row r="411" customFormat="false" ht="12.75" hidden="false" customHeight="false" outlineLevel="0" collapsed="false"/>
    <row r="412" customFormat="false" ht="12.75" hidden="false" customHeight="false" outlineLevel="0" collapsed="false"/>
    <row r="413" customFormat="false" ht="12.75" hidden="false" customHeight="false" outlineLevel="0" collapsed="false"/>
    <row r="414" customFormat="false" ht="12.75" hidden="false" customHeight="false" outlineLevel="0" collapsed="false"/>
    <row r="415" customFormat="false" ht="12.75" hidden="false" customHeight="false" outlineLevel="0" collapsed="false"/>
    <row r="416" customFormat="false" ht="12.75" hidden="false" customHeight="false" outlineLevel="0" collapsed="false"/>
    <row r="417" customFormat="false" ht="12.75" hidden="false" customHeight="false" outlineLevel="0" collapsed="false"/>
    <row r="418" customFormat="false" ht="12.75" hidden="false" customHeight="false" outlineLevel="0" collapsed="false"/>
    <row r="419" customFormat="false" ht="12.75" hidden="false" customHeight="false" outlineLevel="0" collapsed="false"/>
    <row r="420" customFormat="false" ht="12.75" hidden="false" customHeight="false" outlineLevel="0" collapsed="false"/>
    <row r="421" customFormat="false" ht="12.75" hidden="false" customHeight="false" outlineLevel="0" collapsed="false"/>
    <row r="422" customFormat="false" ht="12.75" hidden="false" customHeight="false" outlineLevel="0" collapsed="false"/>
    <row r="423" customFormat="false" ht="12.75" hidden="false" customHeight="false" outlineLevel="0" collapsed="false"/>
    <row r="424" customFormat="false" ht="12.75" hidden="false" customHeight="false" outlineLevel="0" collapsed="false"/>
    <row r="425" customFormat="false" ht="12.75" hidden="false" customHeight="false" outlineLevel="0" collapsed="false"/>
    <row r="426" customFormat="false" ht="12.75" hidden="false" customHeight="false" outlineLevel="0" collapsed="false"/>
    <row r="427" customFormat="false" ht="12.75" hidden="false" customHeight="false" outlineLevel="0" collapsed="false"/>
    <row r="428" customFormat="false" ht="12.75" hidden="false" customHeight="false" outlineLevel="0" collapsed="false"/>
    <row r="429" customFormat="false" ht="12.75" hidden="false" customHeight="false" outlineLevel="0" collapsed="false"/>
    <row r="430" customFormat="false" ht="12.75" hidden="false" customHeight="false" outlineLevel="0" collapsed="false"/>
    <row r="431" customFormat="false" ht="12.75" hidden="false" customHeight="false" outlineLevel="0" collapsed="false"/>
    <row r="432" customFormat="false" ht="12.75" hidden="false" customHeight="false" outlineLevel="0" collapsed="false"/>
    <row r="433" customFormat="false" ht="12.75" hidden="false" customHeight="false" outlineLevel="0" collapsed="false"/>
    <row r="434" customFormat="false" ht="12.75" hidden="false" customHeight="false" outlineLevel="0" collapsed="false"/>
    <row r="435" customFormat="false" ht="12.75" hidden="false" customHeight="false" outlineLevel="0" collapsed="false"/>
    <row r="436" customFormat="false" ht="12.75" hidden="false" customHeight="false" outlineLevel="0" collapsed="false"/>
    <row r="437" customFormat="false" ht="12.75" hidden="false" customHeight="false" outlineLevel="0" collapsed="false"/>
    <row r="438" customFormat="false" ht="12.75" hidden="false" customHeight="false" outlineLevel="0" collapsed="false"/>
    <row r="439" customFormat="false" ht="12.75" hidden="false" customHeight="false" outlineLevel="0" collapsed="false"/>
    <row r="440" customFormat="false" ht="12.75" hidden="false" customHeight="false" outlineLevel="0" collapsed="false"/>
    <row r="441" customFormat="false" ht="12.75" hidden="false" customHeight="false" outlineLevel="0" collapsed="false"/>
    <row r="442" customFormat="false" ht="12.75" hidden="false" customHeight="false" outlineLevel="0" collapsed="false"/>
    <row r="443" customFormat="false" ht="12.75" hidden="false" customHeight="false" outlineLevel="0" collapsed="false"/>
    <row r="444" customFormat="false" ht="12.75" hidden="false" customHeight="false" outlineLevel="0" collapsed="false"/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/>
    <row r="455" customFormat="false" ht="12.75" hidden="false" customHeight="false" outlineLevel="0" collapsed="false"/>
    <row r="456" customFormat="false" ht="12.75" hidden="false" customHeight="false" outlineLevel="0" collapsed="false"/>
    <row r="457" customFormat="false" ht="12.75" hidden="false" customHeight="false" outlineLevel="0" collapsed="false"/>
    <row r="458" customFormat="false" ht="12.75" hidden="false" customHeight="false" outlineLevel="0" collapsed="false"/>
    <row r="459" customFormat="false" ht="12.75" hidden="false" customHeight="false" outlineLevel="0" collapsed="false"/>
    <row r="460" customFormat="false" ht="12.75" hidden="false" customHeight="false" outlineLevel="0" collapsed="false"/>
    <row r="461" customFormat="false" ht="12.75" hidden="false" customHeight="false" outlineLevel="0" collapsed="false"/>
    <row r="462" customFormat="false" ht="12.75" hidden="false" customHeight="false" outlineLevel="0" collapsed="false"/>
    <row r="463" customFormat="false" ht="12.75" hidden="false" customHeight="false" outlineLevel="0" collapsed="false"/>
    <row r="464" customFormat="false" ht="12.75" hidden="false" customHeight="false" outlineLevel="0" collapsed="false"/>
    <row r="465" customFormat="false" ht="12.75" hidden="false" customHeight="false" outlineLevel="0" collapsed="false"/>
    <row r="466" customFormat="false" ht="12.75" hidden="false" customHeight="false" outlineLevel="0" collapsed="false"/>
    <row r="467" customFormat="false" ht="12.75" hidden="false" customHeight="false" outlineLevel="0" collapsed="false"/>
    <row r="468" customFormat="false" ht="12.75" hidden="false" customHeight="false" outlineLevel="0" collapsed="false"/>
    <row r="469" customFormat="false" ht="12.75" hidden="false" customHeight="false" outlineLevel="0" collapsed="false"/>
    <row r="470" customFormat="false" ht="12.75" hidden="false" customHeight="false" outlineLevel="0" collapsed="false"/>
    <row r="471" customFormat="false" ht="12.75" hidden="false" customHeight="false" outlineLevel="0" collapsed="false"/>
    <row r="472" customFormat="false" ht="12.75" hidden="false" customHeight="false" outlineLevel="0" collapsed="false"/>
    <row r="473" customFormat="false" ht="12.75" hidden="false" customHeight="false" outlineLevel="0" collapsed="false"/>
    <row r="474" customFormat="false" ht="12.75" hidden="false" customHeight="false" outlineLevel="0" collapsed="false"/>
    <row r="475" customFormat="false" ht="12.75" hidden="false" customHeight="false" outlineLevel="0" collapsed="false"/>
    <row r="476" customFormat="false" ht="12.75" hidden="false" customHeight="false" outlineLevel="0" collapsed="false"/>
    <row r="477" customFormat="false" ht="12.75" hidden="false" customHeight="false" outlineLevel="0" collapsed="false"/>
    <row r="478" customFormat="false" ht="12.75" hidden="false" customHeight="false" outlineLevel="0" collapsed="false"/>
    <row r="479" customFormat="false" ht="12.75" hidden="false" customHeight="false" outlineLevel="0" collapsed="false"/>
    <row r="480" customFormat="false" ht="12.75" hidden="false" customHeight="false" outlineLevel="0" collapsed="false"/>
    <row r="481" customFormat="false" ht="12.75" hidden="false" customHeight="false" outlineLevel="0" collapsed="false"/>
    <row r="482" customFormat="false" ht="12.75" hidden="false" customHeight="false" outlineLevel="0" collapsed="false"/>
    <row r="483" customFormat="false" ht="12.75" hidden="false" customHeight="false" outlineLevel="0" collapsed="false"/>
    <row r="484" customFormat="false" ht="12.75" hidden="false" customHeight="false" outlineLevel="0" collapsed="false"/>
    <row r="485" customFormat="false" ht="12.75" hidden="false" customHeight="false" outlineLevel="0" collapsed="false"/>
    <row r="486" customFormat="false" ht="12.75" hidden="false" customHeight="false" outlineLevel="0" collapsed="false"/>
    <row r="487" customFormat="false" ht="12.75" hidden="false" customHeight="false" outlineLevel="0" collapsed="false"/>
    <row r="488" customFormat="false" ht="12.75" hidden="false" customHeight="false" outlineLevel="0" collapsed="false"/>
    <row r="489" customFormat="false" ht="12.75" hidden="false" customHeight="false" outlineLevel="0" collapsed="false"/>
    <row r="490" customFormat="false" ht="12.75" hidden="false" customHeight="false" outlineLevel="0" collapsed="false"/>
    <row r="491" customFormat="false" ht="12.75" hidden="false" customHeight="false" outlineLevel="0" collapsed="false"/>
    <row r="492" customFormat="false" ht="12.75" hidden="false" customHeight="false" outlineLevel="0" collapsed="false"/>
    <row r="493" customFormat="false" ht="12.75" hidden="false" customHeight="false" outlineLevel="0" collapsed="false"/>
    <row r="494" customFormat="false" ht="12.75" hidden="false" customHeight="false" outlineLevel="0" collapsed="false"/>
    <row r="495" customFormat="false" ht="12.75" hidden="false" customHeight="false" outlineLevel="0" collapsed="false"/>
    <row r="496" customFormat="false" ht="12.75" hidden="false" customHeight="false" outlineLevel="0" collapsed="false"/>
    <row r="497" customFormat="false" ht="12.75" hidden="false" customHeight="false" outlineLevel="0" collapsed="false"/>
    <row r="498" customFormat="false" ht="12.75" hidden="false" customHeight="false" outlineLevel="0" collapsed="false"/>
    <row r="499" customFormat="false" ht="12.75" hidden="false" customHeight="false" outlineLevel="0" collapsed="false"/>
    <row r="500" customFormat="false" ht="12.75" hidden="false" customHeight="false" outlineLevel="0" collapsed="false"/>
    <row r="501" customFormat="false" ht="12.75" hidden="false" customHeight="false" outlineLevel="0" collapsed="false"/>
    <row r="502" customFormat="false" ht="12.75" hidden="false" customHeight="false" outlineLevel="0" collapsed="false"/>
    <row r="503" customFormat="false" ht="12.75" hidden="false" customHeight="false" outlineLevel="0" collapsed="false"/>
    <row r="504" customFormat="false" ht="12.75" hidden="false" customHeight="false" outlineLevel="0" collapsed="false"/>
    <row r="505" customFormat="false" ht="12.75" hidden="false" customHeight="false" outlineLevel="0" collapsed="false"/>
    <row r="506" customFormat="false" ht="12.75" hidden="false" customHeight="false" outlineLevel="0" collapsed="false"/>
    <row r="507" customFormat="false" ht="12.75" hidden="false" customHeight="false" outlineLevel="0" collapsed="false"/>
    <row r="508" customFormat="false" ht="12.75" hidden="false" customHeight="false" outlineLevel="0" collapsed="false"/>
    <row r="509" customFormat="false" ht="12.75" hidden="false" customHeight="false" outlineLevel="0" collapsed="false"/>
    <row r="510" customFormat="false" ht="12.75" hidden="false" customHeight="false" outlineLevel="0" collapsed="false"/>
    <row r="511" customFormat="false" ht="12.75" hidden="false" customHeight="false" outlineLevel="0" collapsed="false"/>
    <row r="512" customFormat="false" ht="12.75" hidden="false" customHeight="false" outlineLevel="0" collapsed="false"/>
    <row r="513" customFormat="false" ht="12.75" hidden="false" customHeight="false" outlineLevel="0" collapsed="false"/>
    <row r="514" customFormat="false" ht="12.75" hidden="false" customHeight="false" outlineLevel="0" collapsed="false"/>
    <row r="515" customFormat="false" ht="12.75" hidden="false" customHeight="false" outlineLevel="0" collapsed="false"/>
    <row r="516" customFormat="false" ht="12.75" hidden="false" customHeight="false" outlineLevel="0" collapsed="false"/>
    <row r="517" customFormat="false" ht="12.75" hidden="false" customHeight="false" outlineLevel="0" collapsed="false"/>
    <row r="518" customFormat="false" ht="12.75" hidden="false" customHeight="false" outlineLevel="0" collapsed="false"/>
    <row r="519" customFormat="false" ht="12.75" hidden="false" customHeight="false" outlineLevel="0" collapsed="false"/>
    <row r="520" customFormat="false" ht="12.75" hidden="false" customHeight="false" outlineLevel="0" collapsed="false"/>
    <row r="521" customFormat="false" ht="12.75" hidden="false" customHeight="false" outlineLevel="0" collapsed="false"/>
    <row r="522" customFormat="false" ht="12.75" hidden="false" customHeight="false" outlineLevel="0" collapsed="false"/>
    <row r="523" customFormat="false" ht="12.75" hidden="false" customHeight="false" outlineLevel="0" collapsed="false"/>
    <row r="524" customFormat="false" ht="12.75" hidden="false" customHeight="false" outlineLevel="0" collapsed="false"/>
    <row r="525" customFormat="false" ht="12.75" hidden="false" customHeight="false" outlineLevel="0" collapsed="false"/>
    <row r="526" customFormat="false" ht="12.75" hidden="false" customHeight="false" outlineLevel="0" collapsed="false"/>
    <row r="527" customFormat="false" ht="12.75" hidden="false" customHeight="false" outlineLevel="0" collapsed="false"/>
    <row r="528" customFormat="false" ht="12.75" hidden="false" customHeight="false" outlineLevel="0" collapsed="false"/>
    <row r="529" customFormat="false" ht="12.75" hidden="false" customHeight="false" outlineLevel="0" collapsed="false"/>
    <row r="530" customFormat="false" ht="12.75" hidden="false" customHeight="false" outlineLevel="0" collapsed="false"/>
    <row r="531" customFormat="false" ht="12.75" hidden="false" customHeight="false" outlineLevel="0" collapsed="false"/>
    <row r="532" customFormat="false" ht="12.75" hidden="false" customHeight="false" outlineLevel="0" collapsed="false"/>
    <row r="533" customFormat="false" ht="12.75" hidden="false" customHeight="false" outlineLevel="0" collapsed="false"/>
    <row r="534" customFormat="false" ht="12.75" hidden="false" customHeight="false" outlineLevel="0" collapsed="false"/>
    <row r="535" customFormat="false" ht="12.75" hidden="false" customHeight="false" outlineLevel="0" collapsed="false"/>
    <row r="536" customFormat="false" ht="12.75" hidden="false" customHeight="false" outlineLevel="0" collapsed="false"/>
    <row r="537" customFormat="false" ht="12.75" hidden="false" customHeight="false" outlineLevel="0" collapsed="false"/>
    <row r="538" customFormat="false" ht="12.75" hidden="false" customHeight="false" outlineLevel="0" collapsed="false"/>
    <row r="539" customFormat="false" ht="12.75" hidden="false" customHeight="false" outlineLevel="0" collapsed="false"/>
    <row r="540" customFormat="false" ht="12.75" hidden="false" customHeight="false" outlineLevel="0" collapsed="false"/>
    <row r="541" customFormat="false" ht="12.75" hidden="false" customHeight="false" outlineLevel="0" collapsed="false"/>
    <row r="542" customFormat="false" ht="12.75" hidden="false" customHeight="false" outlineLevel="0" collapsed="false"/>
    <row r="543" customFormat="false" ht="12.75" hidden="false" customHeight="false" outlineLevel="0" collapsed="false"/>
    <row r="544" customFormat="false" ht="12.75" hidden="false" customHeight="false" outlineLevel="0" collapsed="false"/>
    <row r="545" customFormat="false" ht="12.75" hidden="false" customHeight="false" outlineLevel="0" collapsed="false"/>
    <row r="546" customFormat="false" ht="12.75" hidden="false" customHeight="false" outlineLevel="0" collapsed="false"/>
    <row r="547" customFormat="false" ht="12.75" hidden="false" customHeight="false" outlineLevel="0" collapsed="false"/>
    <row r="548" customFormat="false" ht="12.75" hidden="false" customHeight="false" outlineLevel="0" collapsed="false"/>
    <row r="549" customFormat="false" ht="12.75" hidden="false" customHeight="false" outlineLevel="0" collapsed="false"/>
    <row r="550" customFormat="false" ht="12.75" hidden="false" customHeight="false" outlineLevel="0" collapsed="false"/>
    <row r="551" customFormat="false" ht="12.75" hidden="false" customHeight="false" outlineLevel="0" collapsed="false"/>
    <row r="552" customFormat="false" ht="12.75" hidden="false" customHeight="false" outlineLevel="0" collapsed="false"/>
    <row r="553" customFormat="false" ht="12.75" hidden="false" customHeight="false" outlineLevel="0" collapsed="false"/>
    <row r="554" customFormat="false" ht="12.75" hidden="false" customHeight="false" outlineLevel="0" collapsed="false"/>
    <row r="555" customFormat="false" ht="12.75" hidden="false" customHeight="false" outlineLevel="0" collapsed="false"/>
    <row r="556" customFormat="false" ht="12.75" hidden="false" customHeight="false" outlineLevel="0" collapsed="false"/>
    <row r="557" customFormat="false" ht="12.75" hidden="false" customHeight="false" outlineLevel="0" collapsed="false"/>
    <row r="558" customFormat="false" ht="12.75" hidden="false" customHeight="false" outlineLevel="0" collapsed="false"/>
    <row r="559" customFormat="false" ht="12.75" hidden="false" customHeight="false" outlineLevel="0" collapsed="false"/>
    <row r="560" customFormat="false" ht="12.75" hidden="false" customHeight="false" outlineLevel="0" collapsed="false"/>
    <row r="561" customFormat="false" ht="12.75" hidden="false" customHeight="false" outlineLevel="0" collapsed="false"/>
    <row r="562" customFormat="false" ht="12.75" hidden="false" customHeight="false" outlineLevel="0" collapsed="false"/>
    <row r="563" customFormat="false" ht="12.75" hidden="false" customHeight="false" outlineLevel="0" collapsed="false"/>
    <row r="564" customFormat="false" ht="12.75" hidden="false" customHeight="false" outlineLevel="0" collapsed="false"/>
    <row r="565" customFormat="false" ht="12.75" hidden="false" customHeight="false" outlineLevel="0" collapsed="false"/>
    <row r="566" customFormat="false" ht="12.75" hidden="false" customHeight="false" outlineLevel="0" collapsed="false"/>
    <row r="567" customFormat="false" ht="12.75" hidden="false" customHeight="false" outlineLevel="0" collapsed="false"/>
    <row r="568" customFormat="false" ht="12.75" hidden="false" customHeight="false" outlineLevel="0" collapsed="false"/>
    <row r="569" customFormat="false" ht="12.75" hidden="false" customHeight="false" outlineLevel="0" collapsed="false"/>
    <row r="570" customFormat="false" ht="12.75" hidden="false" customHeight="false" outlineLevel="0" collapsed="false"/>
    <row r="571" customFormat="false" ht="12.75" hidden="false" customHeight="false" outlineLevel="0" collapsed="false"/>
    <row r="572" customFormat="false" ht="12.75" hidden="false" customHeight="false" outlineLevel="0" collapsed="false"/>
    <row r="573" customFormat="false" ht="12.75" hidden="false" customHeight="false" outlineLevel="0" collapsed="false"/>
    <row r="574" customFormat="false" ht="12.75" hidden="false" customHeight="false" outlineLevel="0" collapsed="false"/>
    <row r="575" customFormat="false" ht="12.75" hidden="false" customHeight="false" outlineLevel="0" collapsed="false"/>
    <row r="576" customFormat="false" ht="12.75" hidden="false" customHeight="false" outlineLevel="0" collapsed="false"/>
    <row r="577" customFormat="false" ht="12.75" hidden="false" customHeight="false" outlineLevel="0" collapsed="false"/>
    <row r="578" customFormat="false" ht="12.75" hidden="false" customHeight="false" outlineLevel="0" collapsed="false"/>
    <row r="579" customFormat="false" ht="12.75" hidden="false" customHeight="false" outlineLevel="0" collapsed="false"/>
    <row r="580" customFormat="false" ht="12.75" hidden="false" customHeight="false" outlineLevel="0" collapsed="false"/>
    <row r="581" customFormat="false" ht="12.75" hidden="false" customHeight="false" outlineLevel="0" collapsed="false"/>
    <row r="582" customFormat="false" ht="12.75" hidden="false" customHeight="false" outlineLevel="0" collapsed="false"/>
    <row r="583" customFormat="false" ht="12.75" hidden="false" customHeight="false" outlineLevel="0" collapsed="false"/>
    <row r="584" customFormat="false" ht="12.75" hidden="false" customHeight="false" outlineLevel="0" collapsed="false"/>
    <row r="585" customFormat="false" ht="12.75" hidden="false" customHeight="false" outlineLevel="0" collapsed="false"/>
    <row r="586" customFormat="false" ht="12.75" hidden="false" customHeight="false" outlineLevel="0" collapsed="false"/>
    <row r="587" customFormat="false" ht="12.75" hidden="false" customHeight="false" outlineLevel="0" collapsed="false"/>
    <row r="588" customFormat="false" ht="12.75" hidden="false" customHeight="false" outlineLevel="0" collapsed="false"/>
    <row r="589" customFormat="false" ht="12.75" hidden="false" customHeight="false" outlineLevel="0" collapsed="false"/>
    <row r="590" customFormat="false" ht="12.75" hidden="false" customHeight="false" outlineLevel="0" collapsed="false"/>
    <row r="591" customFormat="false" ht="12.75" hidden="false" customHeight="false" outlineLevel="0" collapsed="false"/>
    <row r="592" customFormat="false" ht="12.75" hidden="false" customHeight="false" outlineLevel="0" collapsed="false"/>
    <row r="593" customFormat="false" ht="12.75" hidden="false" customHeight="false" outlineLevel="0" collapsed="false"/>
    <row r="594" customFormat="false" ht="12.75" hidden="false" customHeight="false" outlineLevel="0" collapsed="false"/>
    <row r="595" customFormat="false" ht="12.75" hidden="false" customHeight="false" outlineLevel="0" collapsed="false"/>
    <row r="596" customFormat="false" ht="12.75" hidden="false" customHeight="false" outlineLevel="0" collapsed="false"/>
    <row r="597" customFormat="false" ht="12.75" hidden="false" customHeight="false" outlineLevel="0" collapsed="false"/>
    <row r="598" customFormat="false" ht="12.75" hidden="false" customHeight="false" outlineLevel="0" collapsed="false"/>
    <row r="599" customFormat="false" ht="12.75" hidden="false" customHeight="false" outlineLevel="0" collapsed="false"/>
    <row r="600" customFormat="false" ht="12.75" hidden="false" customHeight="false" outlineLevel="0" collapsed="false"/>
    <row r="601" customFormat="false" ht="12.75" hidden="false" customHeight="false" outlineLevel="0" collapsed="false"/>
    <row r="602" customFormat="false" ht="12.75" hidden="false" customHeight="false" outlineLevel="0" collapsed="false"/>
    <row r="603" customFormat="false" ht="12.75" hidden="false" customHeight="false" outlineLevel="0" collapsed="false"/>
    <row r="604" customFormat="false" ht="12.75" hidden="false" customHeight="false" outlineLevel="0" collapsed="false"/>
    <row r="605" customFormat="false" ht="12.75" hidden="false" customHeight="false" outlineLevel="0" collapsed="false"/>
    <row r="606" customFormat="false" ht="12.75" hidden="false" customHeight="false" outlineLevel="0" collapsed="false"/>
    <row r="607" customFormat="false" ht="12.75" hidden="false" customHeight="false" outlineLevel="0" collapsed="false"/>
    <row r="608" customFormat="false" ht="12.75" hidden="false" customHeight="false" outlineLevel="0" collapsed="false"/>
    <row r="609" customFormat="false" ht="12.75" hidden="false" customHeight="false" outlineLevel="0" collapsed="false"/>
    <row r="610" customFormat="false" ht="12.75" hidden="false" customHeight="false" outlineLevel="0" collapsed="false"/>
    <row r="611" customFormat="false" ht="12.75" hidden="false" customHeight="false" outlineLevel="0" collapsed="false"/>
    <row r="612" customFormat="false" ht="12.75" hidden="false" customHeight="false" outlineLevel="0" collapsed="false"/>
    <row r="613" customFormat="false" ht="12.75" hidden="false" customHeight="false" outlineLevel="0" collapsed="false"/>
    <row r="614" customFormat="false" ht="12.75" hidden="false" customHeight="false" outlineLevel="0" collapsed="false"/>
    <row r="615" customFormat="false" ht="12.75" hidden="false" customHeight="false" outlineLevel="0" collapsed="false"/>
    <row r="616" customFormat="false" ht="12.75" hidden="false" customHeight="false" outlineLevel="0" collapsed="false"/>
    <row r="617" customFormat="false" ht="12.75" hidden="false" customHeight="false" outlineLevel="0" collapsed="false"/>
    <row r="618" customFormat="false" ht="12.75" hidden="false" customHeight="false" outlineLevel="0" collapsed="false"/>
    <row r="619" customFormat="false" ht="12.75" hidden="false" customHeight="false" outlineLevel="0" collapsed="false"/>
    <row r="620" customFormat="false" ht="12.75" hidden="false" customHeight="false" outlineLevel="0" collapsed="false"/>
    <row r="621" customFormat="false" ht="12.75" hidden="false" customHeight="false" outlineLevel="0" collapsed="false"/>
    <row r="622" customFormat="false" ht="12.75" hidden="false" customHeight="false" outlineLevel="0" collapsed="false"/>
    <row r="623" customFormat="false" ht="12.75" hidden="false" customHeight="false" outlineLevel="0" collapsed="false"/>
    <row r="624" customFormat="false" ht="12.75" hidden="false" customHeight="false" outlineLevel="0" collapsed="false"/>
    <row r="625" customFormat="false" ht="12.75" hidden="false" customHeight="false" outlineLevel="0" collapsed="false"/>
    <row r="626" customFormat="false" ht="12.75" hidden="false" customHeight="false" outlineLevel="0" collapsed="false"/>
    <row r="627" customFormat="false" ht="12.75" hidden="false" customHeight="false" outlineLevel="0" collapsed="false"/>
    <row r="628" customFormat="false" ht="12.75" hidden="false" customHeight="false" outlineLevel="0" collapsed="false"/>
    <row r="629" customFormat="false" ht="12.75" hidden="false" customHeight="false" outlineLevel="0" collapsed="false"/>
    <row r="630" customFormat="false" ht="12.75" hidden="false" customHeight="false" outlineLevel="0" collapsed="false"/>
    <row r="631" customFormat="false" ht="12.75" hidden="false" customHeight="false" outlineLevel="0" collapsed="false"/>
    <row r="632" customFormat="false" ht="12.75" hidden="false" customHeight="false" outlineLevel="0" collapsed="false"/>
    <row r="633" customFormat="false" ht="12.75" hidden="false" customHeight="false" outlineLevel="0" collapsed="false"/>
    <row r="634" customFormat="false" ht="12.75" hidden="false" customHeight="false" outlineLevel="0" collapsed="false"/>
    <row r="635" customFormat="false" ht="12.75" hidden="false" customHeight="false" outlineLevel="0" collapsed="false"/>
    <row r="636" customFormat="false" ht="12.75" hidden="false" customHeight="false" outlineLevel="0" collapsed="false"/>
    <row r="637" customFormat="false" ht="12.75" hidden="false" customHeight="false" outlineLevel="0" collapsed="false"/>
    <row r="638" customFormat="false" ht="12.75" hidden="false" customHeight="false" outlineLevel="0" collapsed="false"/>
    <row r="639" customFormat="false" ht="12.75" hidden="false" customHeight="false" outlineLevel="0" collapsed="false"/>
    <row r="640" customFormat="false" ht="12.75" hidden="false" customHeight="false" outlineLevel="0" collapsed="false"/>
    <row r="641" customFormat="false" ht="12.75" hidden="false" customHeight="false" outlineLevel="0" collapsed="false"/>
    <row r="642" customFormat="false" ht="12.75" hidden="false" customHeight="false" outlineLevel="0" collapsed="false"/>
    <row r="643" customFormat="false" ht="12.75" hidden="false" customHeight="false" outlineLevel="0" collapsed="false"/>
    <row r="644" customFormat="false" ht="12.75" hidden="false" customHeight="false" outlineLevel="0" collapsed="false"/>
    <row r="645" customFormat="false" ht="12.75" hidden="false" customHeight="false" outlineLevel="0" collapsed="false"/>
    <row r="646" customFormat="false" ht="12.75" hidden="false" customHeight="false" outlineLevel="0" collapsed="false"/>
    <row r="647" customFormat="false" ht="12.75" hidden="false" customHeight="false" outlineLevel="0" collapsed="false"/>
    <row r="648" customFormat="false" ht="12.75" hidden="false" customHeight="false" outlineLevel="0" collapsed="false"/>
    <row r="649" customFormat="false" ht="12.75" hidden="false" customHeight="false" outlineLevel="0" collapsed="false"/>
    <row r="650" customFormat="false" ht="12.75" hidden="false" customHeight="false" outlineLevel="0" collapsed="false"/>
    <row r="651" customFormat="false" ht="12.75" hidden="false" customHeight="false" outlineLevel="0" collapsed="false"/>
    <row r="652" customFormat="false" ht="12.75" hidden="false" customHeight="false" outlineLevel="0" collapsed="false"/>
    <row r="653" customFormat="false" ht="12.75" hidden="false" customHeight="false" outlineLevel="0" collapsed="false"/>
    <row r="654" customFormat="false" ht="12.75" hidden="false" customHeight="false" outlineLevel="0" collapsed="false"/>
    <row r="655" customFormat="false" ht="12.75" hidden="false" customHeight="false" outlineLevel="0" collapsed="false"/>
    <row r="656" customFormat="false" ht="12.75" hidden="false" customHeight="false" outlineLevel="0" collapsed="false"/>
    <row r="657" customFormat="false" ht="12.75" hidden="false" customHeight="false" outlineLevel="0" collapsed="false"/>
    <row r="658" customFormat="false" ht="12.75" hidden="false" customHeight="false" outlineLevel="0" collapsed="false"/>
    <row r="659" customFormat="false" ht="12.75" hidden="false" customHeight="false" outlineLevel="0" collapsed="false"/>
    <row r="660" customFormat="false" ht="12.75" hidden="false" customHeight="false" outlineLevel="0" collapsed="false"/>
    <row r="661" customFormat="false" ht="12.75" hidden="false" customHeight="false" outlineLevel="0" collapsed="false"/>
    <row r="662" customFormat="false" ht="12.75" hidden="false" customHeight="false" outlineLevel="0" collapsed="false"/>
    <row r="663" customFormat="false" ht="12.75" hidden="false" customHeight="false" outlineLevel="0" collapsed="false"/>
    <row r="664" customFormat="false" ht="12.75" hidden="false" customHeight="false" outlineLevel="0" collapsed="false"/>
    <row r="665" customFormat="false" ht="12.75" hidden="false" customHeight="false" outlineLevel="0" collapsed="false"/>
    <row r="666" customFormat="false" ht="12.75" hidden="false" customHeight="false" outlineLevel="0" collapsed="false"/>
    <row r="667" customFormat="false" ht="12.75" hidden="false" customHeight="false" outlineLevel="0" collapsed="false"/>
    <row r="668" customFormat="false" ht="12.75" hidden="false" customHeight="false" outlineLevel="0" collapsed="false"/>
    <row r="669" customFormat="false" ht="12.75" hidden="false" customHeight="false" outlineLevel="0" collapsed="false"/>
    <row r="670" customFormat="false" ht="12.75" hidden="false" customHeight="false" outlineLevel="0" collapsed="false"/>
    <row r="671" customFormat="false" ht="12.75" hidden="false" customHeight="false" outlineLevel="0" collapsed="false"/>
    <row r="672" customFormat="false" ht="12.75" hidden="false" customHeight="false" outlineLevel="0" collapsed="false"/>
    <row r="673" customFormat="false" ht="12.75" hidden="false" customHeight="false" outlineLevel="0" collapsed="false"/>
    <row r="674" customFormat="false" ht="12.75" hidden="false" customHeight="false" outlineLevel="0" collapsed="false"/>
    <row r="675" customFormat="false" ht="12.75" hidden="false" customHeight="false" outlineLevel="0" collapsed="false"/>
    <row r="676" customFormat="false" ht="12.75" hidden="false" customHeight="false" outlineLevel="0" collapsed="false"/>
    <row r="677" customFormat="false" ht="12.75" hidden="false" customHeight="false" outlineLevel="0" collapsed="false"/>
    <row r="678" customFormat="false" ht="12.75" hidden="false" customHeight="false" outlineLevel="0" collapsed="false"/>
    <row r="679" customFormat="false" ht="12.75" hidden="false" customHeight="false" outlineLevel="0" collapsed="false"/>
    <row r="680" customFormat="false" ht="12.75" hidden="false" customHeight="false" outlineLevel="0" collapsed="false"/>
    <row r="681" customFormat="false" ht="12.75" hidden="false" customHeight="false" outlineLevel="0" collapsed="false"/>
    <row r="682" customFormat="false" ht="12.75" hidden="false" customHeight="false" outlineLevel="0" collapsed="false"/>
    <row r="683" customFormat="false" ht="12.75" hidden="false" customHeight="false" outlineLevel="0" collapsed="false"/>
    <row r="684" customFormat="false" ht="12.75" hidden="false" customHeight="false" outlineLevel="0" collapsed="false"/>
    <row r="685" customFormat="false" ht="12.75" hidden="false" customHeight="false" outlineLevel="0" collapsed="false"/>
    <row r="686" customFormat="false" ht="12.75" hidden="false" customHeight="false" outlineLevel="0" collapsed="false"/>
    <row r="687" customFormat="false" ht="12.75" hidden="false" customHeight="false" outlineLevel="0" collapsed="false"/>
    <row r="688" customFormat="false" ht="12.75" hidden="false" customHeight="false" outlineLevel="0" collapsed="false"/>
    <row r="689" customFormat="false" ht="12.75" hidden="false" customHeight="false" outlineLevel="0" collapsed="false"/>
    <row r="690" customFormat="false" ht="12.75" hidden="false" customHeight="false" outlineLevel="0" collapsed="false"/>
    <row r="691" customFormat="false" ht="12.75" hidden="false" customHeight="false" outlineLevel="0" collapsed="false"/>
    <row r="692" customFormat="false" ht="12.75" hidden="false" customHeight="false" outlineLevel="0" collapsed="false"/>
    <row r="693" customFormat="false" ht="12.75" hidden="false" customHeight="false" outlineLevel="0" collapsed="false"/>
    <row r="694" customFormat="false" ht="12.75" hidden="false" customHeight="false" outlineLevel="0" collapsed="false"/>
    <row r="695" customFormat="false" ht="12.75" hidden="false" customHeight="false" outlineLevel="0" collapsed="false"/>
    <row r="696" customFormat="false" ht="12.75" hidden="false" customHeight="false" outlineLevel="0" collapsed="false"/>
    <row r="697" customFormat="false" ht="12.75" hidden="false" customHeight="false" outlineLevel="0" collapsed="false"/>
    <row r="698" customFormat="false" ht="12.75" hidden="false" customHeight="false" outlineLevel="0" collapsed="false"/>
    <row r="699" customFormat="false" ht="12.75" hidden="false" customHeight="false" outlineLevel="0" collapsed="false"/>
    <row r="700" customFormat="false" ht="12.75" hidden="false" customHeight="false" outlineLevel="0" collapsed="false"/>
    <row r="701" customFormat="false" ht="12.75" hidden="false" customHeight="false" outlineLevel="0" collapsed="false"/>
    <row r="702" customFormat="false" ht="12.75" hidden="false" customHeight="false" outlineLevel="0" collapsed="false"/>
    <row r="703" customFormat="false" ht="12.75" hidden="false" customHeight="false" outlineLevel="0" collapsed="false"/>
    <row r="704" customFormat="false" ht="12.75" hidden="false" customHeight="false" outlineLevel="0" collapsed="false"/>
    <row r="705" customFormat="false" ht="12.75" hidden="false" customHeight="false" outlineLevel="0" collapsed="false"/>
    <row r="706" customFormat="false" ht="12.75" hidden="false" customHeight="false" outlineLevel="0" collapsed="false"/>
    <row r="707" customFormat="false" ht="12.75" hidden="false" customHeight="false" outlineLevel="0" collapsed="false"/>
    <row r="708" customFormat="false" ht="12.75" hidden="false" customHeight="false" outlineLevel="0" collapsed="false"/>
    <row r="709" customFormat="false" ht="12.75" hidden="false" customHeight="false" outlineLevel="0" collapsed="false"/>
    <row r="710" customFormat="false" ht="12.75" hidden="false" customHeight="false" outlineLevel="0" collapsed="false"/>
    <row r="711" customFormat="false" ht="12.75" hidden="false" customHeight="false" outlineLevel="0" collapsed="false"/>
    <row r="712" customFormat="false" ht="12.75" hidden="false" customHeight="false" outlineLevel="0" collapsed="false"/>
    <row r="713" customFormat="false" ht="12.75" hidden="false" customHeight="false" outlineLevel="0" collapsed="false"/>
    <row r="714" customFormat="false" ht="12.75" hidden="false" customHeight="false" outlineLevel="0" collapsed="false"/>
    <row r="715" customFormat="false" ht="12.75" hidden="false" customHeight="false" outlineLevel="0" collapsed="false"/>
    <row r="716" customFormat="false" ht="12.75" hidden="false" customHeight="false" outlineLevel="0" collapsed="false"/>
    <row r="717" customFormat="false" ht="12.75" hidden="false" customHeight="false" outlineLevel="0" collapsed="false"/>
    <row r="718" customFormat="false" ht="12.75" hidden="false" customHeight="false" outlineLevel="0" collapsed="false"/>
    <row r="719" customFormat="false" ht="12.75" hidden="false" customHeight="false" outlineLevel="0" collapsed="false"/>
    <row r="720" customFormat="false" ht="12.75" hidden="false" customHeight="false" outlineLevel="0" collapsed="false"/>
    <row r="721" customFormat="false" ht="12.75" hidden="false" customHeight="false" outlineLevel="0" collapsed="false"/>
    <row r="722" customFormat="false" ht="12.75" hidden="false" customHeight="false" outlineLevel="0" collapsed="false"/>
    <row r="723" customFormat="false" ht="12.75" hidden="false" customHeight="false" outlineLevel="0" collapsed="false"/>
    <row r="724" customFormat="false" ht="12.75" hidden="false" customHeight="false" outlineLevel="0" collapsed="false"/>
    <row r="725" customFormat="false" ht="12.75" hidden="false" customHeight="false" outlineLevel="0" collapsed="false"/>
    <row r="726" customFormat="false" ht="12.75" hidden="false" customHeight="false" outlineLevel="0" collapsed="false"/>
    <row r="727" customFormat="false" ht="12.75" hidden="false" customHeight="false" outlineLevel="0" collapsed="false"/>
    <row r="728" customFormat="false" ht="12.75" hidden="false" customHeight="false" outlineLevel="0" collapsed="false"/>
    <row r="729" customFormat="false" ht="12.75" hidden="false" customHeight="false" outlineLevel="0" collapsed="false"/>
    <row r="730" customFormat="false" ht="12.75" hidden="false" customHeight="false" outlineLevel="0" collapsed="false"/>
    <row r="731" customFormat="false" ht="12.75" hidden="false" customHeight="false" outlineLevel="0" collapsed="false"/>
    <row r="732" customFormat="false" ht="12.75" hidden="false" customHeight="false" outlineLevel="0" collapsed="false"/>
    <row r="733" customFormat="false" ht="12.75" hidden="false" customHeight="false" outlineLevel="0" collapsed="false"/>
    <row r="734" customFormat="false" ht="12.75" hidden="false" customHeight="false" outlineLevel="0" collapsed="false"/>
    <row r="735" customFormat="false" ht="12.75" hidden="false" customHeight="false" outlineLevel="0" collapsed="false"/>
    <row r="736" customFormat="false" ht="12.75" hidden="false" customHeight="false" outlineLevel="0" collapsed="false"/>
    <row r="737" customFormat="false" ht="12.75" hidden="false" customHeight="false" outlineLevel="0" collapsed="false"/>
    <row r="738" customFormat="false" ht="12.75" hidden="false" customHeight="false" outlineLevel="0" collapsed="false"/>
    <row r="739" customFormat="false" ht="12.75" hidden="false" customHeight="false" outlineLevel="0" collapsed="false"/>
    <row r="740" customFormat="false" ht="12.75" hidden="false" customHeight="false" outlineLevel="0" collapsed="false"/>
    <row r="741" customFormat="false" ht="12.75" hidden="false" customHeight="false" outlineLevel="0" collapsed="false"/>
    <row r="742" customFormat="false" ht="12.75" hidden="false" customHeight="false" outlineLevel="0" collapsed="false"/>
    <row r="743" customFormat="false" ht="12.75" hidden="false" customHeight="false" outlineLevel="0" collapsed="false"/>
    <row r="744" customFormat="false" ht="12.75" hidden="false" customHeight="false" outlineLevel="0" collapsed="false"/>
    <row r="745" customFormat="false" ht="12.75" hidden="false" customHeight="false" outlineLevel="0" collapsed="false"/>
    <row r="746" customFormat="false" ht="12.75" hidden="false" customHeight="false" outlineLevel="0" collapsed="false"/>
    <row r="747" customFormat="false" ht="12.75" hidden="false" customHeight="false" outlineLevel="0" collapsed="false"/>
    <row r="748" customFormat="false" ht="12.75" hidden="false" customHeight="false" outlineLevel="0" collapsed="false"/>
    <row r="749" customFormat="false" ht="12.75" hidden="false" customHeight="false" outlineLevel="0" collapsed="false"/>
    <row r="750" customFormat="false" ht="12.75" hidden="false" customHeight="false" outlineLevel="0" collapsed="false"/>
    <row r="751" customFormat="false" ht="12.75" hidden="false" customHeight="false" outlineLevel="0" collapsed="false"/>
    <row r="752" customFormat="false" ht="12.75" hidden="false" customHeight="false" outlineLevel="0" collapsed="false"/>
    <row r="753" customFormat="false" ht="12.75" hidden="false" customHeight="false" outlineLevel="0" collapsed="false"/>
    <row r="754" customFormat="false" ht="12.75" hidden="false" customHeight="false" outlineLevel="0" collapsed="false"/>
    <row r="755" customFormat="false" ht="12.75" hidden="false" customHeight="false" outlineLevel="0" collapsed="false"/>
    <row r="756" customFormat="false" ht="12.75" hidden="false" customHeight="false" outlineLevel="0" collapsed="false"/>
    <row r="757" customFormat="false" ht="12.75" hidden="false" customHeight="false" outlineLevel="0" collapsed="false"/>
    <row r="758" customFormat="false" ht="12.75" hidden="false" customHeight="false" outlineLevel="0" collapsed="false"/>
    <row r="759" customFormat="false" ht="12.75" hidden="false" customHeight="false" outlineLevel="0" collapsed="false"/>
    <row r="760" customFormat="false" ht="12.75" hidden="false" customHeight="false" outlineLevel="0" collapsed="false"/>
    <row r="761" customFormat="false" ht="12.75" hidden="false" customHeight="false" outlineLevel="0" collapsed="false"/>
    <row r="762" customFormat="false" ht="12.75" hidden="false" customHeight="false" outlineLevel="0" collapsed="false"/>
    <row r="763" customFormat="false" ht="12.75" hidden="false" customHeight="false" outlineLevel="0" collapsed="false"/>
    <row r="764" customFormat="false" ht="12.75" hidden="false" customHeight="false" outlineLevel="0" collapsed="false"/>
    <row r="765" customFormat="false" ht="12.75" hidden="false" customHeight="false" outlineLevel="0" collapsed="false"/>
    <row r="766" customFormat="false" ht="12.75" hidden="false" customHeight="false" outlineLevel="0" collapsed="false"/>
    <row r="767" customFormat="false" ht="12.75" hidden="false" customHeight="false" outlineLevel="0" collapsed="false"/>
    <row r="768" customFormat="false" ht="12.75" hidden="false" customHeight="false" outlineLevel="0" collapsed="false"/>
    <row r="769" customFormat="false" ht="12.75" hidden="false" customHeight="false" outlineLevel="0" collapsed="false"/>
    <row r="770" customFormat="false" ht="12.75" hidden="false" customHeight="false" outlineLevel="0" collapsed="false"/>
    <row r="771" customFormat="false" ht="12.75" hidden="false" customHeight="false" outlineLevel="0" collapsed="false"/>
    <row r="772" customFormat="false" ht="12.75" hidden="false" customHeight="false" outlineLevel="0" collapsed="false"/>
    <row r="773" customFormat="false" ht="12.75" hidden="false" customHeight="false" outlineLevel="0" collapsed="false"/>
    <row r="774" customFormat="false" ht="12.75" hidden="false" customHeight="false" outlineLevel="0" collapsed="false"/>
    <row r="775" customFormat="false" ht="12.75" hidden="false" customHeight="false" outlineLevel="0" collapsed="false"/>
    <row r="776" customFormat="false" ht="12.75" hidden="false" customHeight="false" outlineLevel="0" collapsed="false"/>
    <row r="777" customFormat="false" ht="12.75" hidden="false" customHeight="false" outlineLevel="0" collapsed="false"/>
    <row r="778" customFormat="false" ht="12.75" hidden="false" customHeight="false" outlineLevel="0" collapsed="false"/>
    <row r="779" customFormat="false" ht="12.75" hidden="false" customHeight="false" outlineLevel="0" collapsed="false"/>
    <row r="780" customFormat="false" ht="12.75" hidden="false" customHeight="false" outlineLevel="0" collapsed="false"/>
    <row r="781" customFormat="false" ht="12.75" hidden="false" customHeight="false" outlineLevel="0" collapsed="false"/>
    <row r="782" customFormat="false" ht="12.75" hidden="false" customHeight="false" outlineLevel="0" collapsed="false"/>
    <row r="783" customFormat="false" ht="12.75" hidden="false" customHeight="false" outlineLevel="0" collapsed="false"/>
    <row r="784" customFormat="false" ht="12.75" hidden="false" customHeight="false" outlineLevel="0" collapsed="false"/>
    <row r="785" customFormat="false" ht="12.75" hidden="false" customHeight="false" outlineLevel="0" collapsed="false"/>
    <row r="786" customFormat="false" ht="12.75" hidden="false" customHeight="false" outlineLevel="0" collapsed="false"/>
    <row r="787" customFormat="false" ht="12.75" hidden="false" customHeight="false" outlineLevel="0" collapsed="false"/>
    <row r="788" customFormat="false" ht="12.75" hidden="false" customHeight="false" outlineLevel="0" collapsed="false"/>
    <row r="789" customFormat="false" ht="12.75" hidden="false" customHeight="false" outlineLevel="0" collapsed="false"/>
    <row r="790" customFormat="false" ht="12.75" hidden="false" customHeight="false" outlineLevel="0" collapsed="false"/>
    <row r="791" customFormat="false" ht="12.75" hidden="false" customHeight="false" outlineLevel="0" collapsed="false"/>
    <row r="792" customFormat="false" ht="12.75" hidden="false" customHeight="false" outlineLevel="0" collapsed="false"/>
    <row r="793" customFormat="false" ht="12.75" hidden="false" customHeight="false" outlineLevel="0" collapsed="false"/>
    <row r="794" customFormat="false" ht="12.75" hidden="false" customHeight="false" outlineLevel="0" collapsed="false"/>
    <row r="795" customFormat="false" ht="12.75" hidden="false" customHeight="false" outlineLevel="0" collapsed="false"/>
    <row r="796" customFormat="false" ht="12.75" hidden="false" customHeight="false" outlineLevel="0" collapsed="false"/>
    <row r="797" customFormat="false" ht="12.75" hidden="false" customHeight="false" outlineLevel="0" collapsed="false"/>
    <row r="798" customFormat="false" ht="12.75" hidden="false" customHeight="false" outlineLevel="0" collapsed="false"/>
    <row r="799" customFormat="false" ht="12.75" hidden="false" customHeight="false" outlineLevel="0" collapsed="false"/>
    <row r="800" customFormat="false" ht="12.75" hidden="false" customHeight="false" outlineLevel="0" collapsed="false"/>
    <row r="801" customFormat="false" ht="12.75" hidden="false" customHeight="false" outlineLevel="0" collapsed="false"/>
    <row r="802" customFormat="false" ht="12.75" hidden="false" customHeight="false" outlineLevel="0" collapsed="false"/>
    <row r="803" customFormat="false" ht="12.75" hidden="false" customHeight="false" outlineLevel="0" collapsed="false"/>
    <row r="804" customFormat="false" ht="12.75" hidden="false" customHeight="false" outlineLevel="0" collapsed="false"/>
    <row r="805" customFormat="false" ht="12.75" hidden="false" customHeight="false" outlineLevel="0" collapsed="false"/>
    <row r="806" customFormat="false" ht="12.75" hidden="false" customHeight="false" outlineLevel="0" collapsed="false"/>
    <row r="807" customFormat="false" ht="12.75" hidden="false" customHeight="false" outlineLevel="0" collapsed="false"/>
    <row r="808" customFormat="false" ht="12.75" hidden="false" customHeight="false" outlineLevel="0" collapsed="false"/>
    <row r="809" customFormat="false" ht="12.75" hidden="false" customHeight="false" outlineLevel="0" collapsed="false"/>
    <row r="810" customFormat="false" ht="12.75" hidden="false" customHeight="false" outlineLevel="0" collapsed="false"/>
    <row r="811" customFormat="false" ht="12.75" hidden="false" customHeight="false" outlineLevel="0" collapsed="false"/>
    <row r="812" customFormat="false" ht="12.75" hidden="false" customHeight="false" outlineLevel="0" collapsed="false"/>
    <row r="813" customFormat="false" ht="12.75" hidden="false" customHeight="false" outlineLevel="0" collapsed="false"/>
    <row r="814" customFormat="false" ht="12.75" hidden="false" customHeight="false" outlineLevel="0" collapsed="false"/>
    <row r="815" customFormat="false" ht="12.75" hidden="false" customHeight="false" outlineLevel="0" collapsed="false"/>
    <row r="816" customFormat="false" ht="12.75" hidden="false" customHeight="false" outlineLevel="0" collapsed="false"/>
    <row r="817" customFormat="false" ht="12.75" hidden="false" customHeight="false" outlineLevel="0" collapsed="false"/>
    <row r="818" customFormat="false" ht="12.75" hidden="false" customHeight="false" outlineLevel="0" collapsed="false"/>
    <row r="819" customFormat="false" ht="12.75" hidden="false" customHeight="false" outlineLevel="0" collapsed="false"/>
    <row r="820" customFormat="false" ht="12.75" hidden="false" customHeight="false" outlineLevel="0" collapsed="false"/>
    <row r="821" customFormat="false" ht="12.75" hidden="false" customHeight="false" outlineLevel="0" collapsed="false"/>
    <row r="822" customFormat="false" ht="12.75" hidden="false" customHeight="false" outlineLevel="0" collapsed="false"/>
    <row r="823" customFormat="false" ht="12.75" hidden="false" customHeight="false" outlineLevel="0" collapsed="false"/>
    <row r="824" customFormat="false" ht="12.75" hidden="false" customHeight="false" outlineLevel="0" collapsed="false"/>
    <row r="825" customFormat="false" ht="12.75" hidden="false" customHeight="false" outlineLevel="0" collapsed="false"/>
    <row r="826" customFormat="false" ht="12.75" hidden="false" customHeight="false" outlineLevel="0" collapsed="false"/>
    <row r="827" customFormat="false" ht="12.75" hidden="false" customHeight="false" outlineLevel="0" collapsed="false"/>
    <row r="828" customFormat="false" ht="12.75" hidden="false" customHeight="false" outlineLevel="0" collapsed="false"/>
    <row r="829" customFormat="false" ht="12.75" hidden="false" customHeight="false" outlineLevel="0" collapsed="false"/>
    <row r="830" customFormat="false" ht="12.75" hidden="false" customHeight="false" outlineLevel="0" collapsed="false"/>
    <row r="831" customFormat="false" ht="12.75" hidden="false" customHeight="false" outlineLevel="0" collapsed="false"/>
    <row r="832" customFormat="false" ht="12.75" hidden="false" customHeight="false" outlineLevel="0" collapsed="false"/>
    <row r="833" customFormat="false" ht="12.75" hidden="false" customHeight="false" outlineLevel="0" collapsed="false"/>
    <row r="834" customFormat="false" ht="12.75" hidden="false" customHeight="false" outlineLevel="0" collapsed="false"/>
    <row r="835" customFormat="false" ht="12.75" hidden="false" customHeight="false" outlineLevel="0" collapsed="false"/>
    <row r="836" customFormat="false" ht="12.75" hidden="false" customHeight="false" outlineLevel="0" collapsed="false"/>
    <row r="837" customFormat="false" ht="12.75" hidden="false" customHeight="false" outlineLevel="0" collapsed="false"/>
    <row r="838" customFormat="false" ht="12.75" hidden="false" customHeight="false" outlineLevel="0" collapsed="false"/>
    <row r="839" customFormat="false" ht="12.75" hidden="false" customHeight="false" outlineLevel="0" collapsed="false"/>
    <row r="840" customFormat="false" ht="12.75" hidden="false" customHeight="false" outlineLevel="0" collapsed="false"/>
    <row r="841" customFormat="false" ht="12.75" hidden="false" customHeight="false" outlineLevel="0" collapsed="false"/>
    <row r="842" customFormat="false" ht="12.75" hidden="false" customHeight="false" outlineLevel="0" collapsed="false"/>
    <row r="843" customFormat="false" ht="12.75" hidden="false" customHeight="false" outlineLevel="0" collapsed="false"/>
    <row r="844" customFormat="false" ht="12.75" hidden="false" customHeight="false" outlineLevel="0" collapsed="false"/>
    <row r="845" customFormat="false" ht="12.75" hidden="false" customHeight="false" outlineLevel="0" collapsed="false"/>
    <row r="846" customFormat="false" ht="12.75" hidden="false" customHeight="false" outlineLevel="0" collapsed="false"/>
    <row r="847" customFormat="false" ht="12.75" hidden="false" customHeight="false" outlineLevel="0" collapsed="false"/>
    <row r="848" customFormat="false" ht="12.75" hidden="false" customHeight="false" outlineLevel="0" collapsed="false"/>
    <row r="849" customFormat="false" ht="12.75" hidden="false" customHeight="false" outlineLevel="0" collapsed="false"/>
    <row r="850" customFormat="false" ht="12.75" hidden="false" customHeight="false" outlineLevel="0" collapsed="false"/>
    <row r="851" customFormat="false" ht="12.75" hidden="false" customHeight="false" outlineLevel="0" collapsed="false"/>
    <row r="852" customFormat="false" ht="12.75" hidden="false" customHeight="false" outlineLevel="0" collapsed="false"/>
    <row r="853" customFormat="false" ht="12.75" hidden="false" customHeight="false" outlineLevel="0" collapsed="false"/>
    <row r="854" customFormat="false" ht="12.75" hidden="false" customHeight="false" outlineLevel="0" collapsed="false"/>
    <row r="855" customFormat="false" ht="12.75" hidden="false" customHeight="false" outlineLevel="0" collapsed="false"/>
    <row r="856" customFormat="false" ht="12.75" hidden="false" customHeight="false" outlineLevel="0" collapsed="false"/>
    <row r="857" customFormat="false" ht="12.75" hidden="false" customHeight="false" outlineLevel="0" collapsed="false"/>
    <row r="858" customFormat="false" ht="12.75" hidden="false" customHeight="false" outlineLevel="0" collapsed="false"/>
    <row r="859" customFormat="false" ht="12.75" hidden="false" customHeight="false" outlineLevel="0" collapsed="false"/>
    <row r="860" customFormat="false" ht="12.75" hidden="false" customHeight="false" outlineLevel="0" collapsed="false"/>
    <row r="861" customFormat="false" ht="12.75" hidden="false" customHeight="false" outlineLevel="0" collapsed="false"/>
    <row r="862" customFormat="false" ht="12.75" hidden="false" customHeight="false" outlineLevel="0" collapsed="false"/>
    <row r="863" customFormat="false" ht="12.75" hidden="false" customHeight="false" outlineLevel="0" collapsed="false"/>
    <row r="864" customFormat="false" ht="12.75" hidden="false" customHeight="false" outlineLevel="0" collapsed="false"/>
    <row r="865" customFormat="false" ht="12.75" hidden="false" customHeight="false" outlineLevel="0" collapsed="false"/>
    <row r="866" customFormat="false" ht="12.75" hidden="false" customHeight="false" outlineLevel="0" collapsed="false"/>
    <row r="867" customFormat="false" ht="12.75" hidden="false" customHeight="false" outlineLevel="0" collapsed="false"/>
    <row r="868" customFormat="false" ht="12.75" hidden="false" customHeight="false" outlineLevel="0" collapsed="false"/>
    <row r="869" customFormat="false" ht="12.75" hidden="false" customHeight="false" outlineLevel="0" collapsed="false"/>
    <row r="870" customFormat="false" ht="12.75" hidden="false" customHeight="false" outlineLevel="0" collapsed="false"/>
    <row r="871" customFormat="false" ht="12.75" hidden="false" customHeight="false" outlineLevel="0" collapsed="false"/>
    <row r="872" customFormat="false" ht="12.75" hidden="false" customHeight="false" outlineLevel="0" collapsed="false"/>
    <row r="873" customFormat="false" ht="12.75" hidden="false" customHeight="false" outlineLevel="0" collapsed="false"/>
    <row r="874" customFormat="false" ht="12.75" hidden="false" customHeight="false" outlineLevel="0" collapsed="false"/>
    <row r="875" customFormat="false" ht="12.75" hidden="false" customHeight="false" outlineLevel="0" collapsed="false"/>
    <row r="876" customFormat="false" ht="12.75" hidden="false" customHeight="false" outlineLevel="0" collapsed="false"/>
    <row r="877" customFormat="false" ht="12.75" hidden="false" customHeight="false" outlineLevel="0" collapsed="false"/>
    <row r="878" customFormat="false" ht="12.75" hidden="false" customHeight="false" outlineLevel="0" collapsed="false"/>
    <row r="879" customFormat="false" ht="12.75" hidden="false" customHeight="false" outlineLevel="0" collapsed="false"/>
    <row r="880" customFormat="false" ht="12.75" hidden="false" customHeight="false" outlineLevel="0" collapsed="false"/>
    <row r="881" customFormat="false" ht="12.75" hidden="false" customHeight="false" outlineLevel="0" collapsed="false"/>
    <row r="882" customFormat="false" ht="12.75" hidden="false" customHeight="false" outlineLevel="0" collapsed="false"/>
    <row r="883" customFormat="false" ht="12.75" hidden="false" customHeight="false" outlineLevel="0" collapsed="false"/>
    <row r="884" customFormat="false" ht="12.75" hidden="false" customHeight="false" outlineLevel="0" collapsed="false"/>
    <row r="885" customFormat="false" ht="12.75" hidden="false" customHeight="false" outlineLevel="0" collapsed="false"/>
    <row r="886" customFormat="false" ht="12.75" hidden="false" customHeight="false" outlineLevel="0" collapsed="false"/>
    <row r="887" customFormat="false" ht="12.75" hidden="false" customHeight="false" outlineLevel="0" collapsed="false"/>
    <row r="888" customFormat="false" ht="12.75" hidden="false" customHeight="false" outlineLevel="0" collapsed="false"/>
    <row r="889" customFormat="false" ht="12.75" hidden="false" customHeight="false" outlineLevel="0" collapsed="false"/>
    <row r="890" customFormat="false" ht="12.75" hidden="false" customHeight="false" outlineLevel="0" collapsed="false"/>
    <row r="891" customFormat="false" ht="12.75" hidden="false" customHeight="false" outlineLevel="0" collapsed="false"/>
    <row r="892" customFormat="false" ht="12.75" hidden="false" customHeight="false" outlineLevel="0" collapsed="false"/>
    <row r="893" customFormat="false" ht="12.75" hidden="false" customHeight="false" outlineLevel="0" collapsed="false"/>
    <row r="894" customFormat="false" ht="12.75" hidden="false" customHeight="false" outlineLevel="0" collapsed="false"/>
    <row r="895" customFormat="false" ht="12.75" hidden="false" customHeight="false" outlineLevel="0" collapsed="false"/>
    <row r="896" customFormat="false" ht="12.75" hidden="false" customHeight="false" outlineLevel="0" collapsed="false"/>
    <row r="897" customFormat="false" ht="12.75" hidden="false" customHeight="false" outlineLevel="0" collapsed="false"/>
    <row r="898" customFormat="false" ht="12.75" hidden="false" customHeight="false" outlineLevel="0" collapsed="false"/>
    <row r="899" customFormat="false" ht="12.75" hidden="false" customHeight="false" outlineLevel="0" collapsed="false"/>
    <row r="900" customFormat="false" ht="12.75" hidden="false" customHeight="false" outlineLevel="0" collapsed="false"/>
    <row r="901" customFormat="false" ht="12.75" hidden="false" customHeight="false" outlineLevel="0" collapsed="false"/>
    <row r="902" customFormat="false" ht="12.75" hidden="false" customHeight="false" outlineLevel="0" collapsed="false"/>
    <row r="903" customFormat="false" ht="12.75" hidden="false" customHeight="false" outlineLevel="0" collapsed="false"/>
    <row r="904" customFormat="false" ht="12.75" hidden="false" customHeight="false" outlineLevel="0" collapsed="false"/>
    <row r="905" customFormat="false" ht="12.75" hidden="false" customHeight="false" outlineLevel="0" collapsed="false"/>
    <row r="906" customFormat="false" ht="12.75" hidden="false" customHeight="false" outlineLevel="0" collapsed="false"/>
    <row r="907" customFormat="false" ht="12.75" hidden="false" customHeight="false" outlineLevel="0" collapsed="false"/>
    <row r="908" customFormat="false" ht="12.75" hidden="false" customHeight="false" outlineLevel="0" collapsed="false"/>
    <row r="909" customFormat="false" ht="12.75" hidden="false" customHeight="false" outlineLevel="0" collapsed="false"/>
    <row r="910" customFormat="false" ht="12.75" hidden="false" customHeight="false" outlineLevel="0" collapsed="false"/>
    <row r="911" customFormat="false" ht="12.75" hidden="false" customHeight="false" outlineLevel="0" collapsed="false"/>
    <row r="912" customFormat="false" ht="12.75" hidden="false" customHeight="false" outlineLevel="0" collapsed="false"/>
    <row r="913" customFormat="false" ht="12.75" hidden="false" customHeight="false" outlineLevel="0" collapsed="false"/>
    <row r="914" customFormat="false" ht="12.75" hidden="false" customHeight="false" outlineLevel="0" collapsed="false"/>
    <row r="915" customFormat="false" ht="12.75" hidden="false" customHeight="false" outlineLevel="0" collapsed="false"/>
    <row r="916" customFormat="false" ht="12.75" hidden="false" customHeight="false" outlineLevel="0" collapsed="false"/>
    <row r="917" customFormat="false" ht="12.75" hidden="false" customHeight="false" outlineLevel="0" collapsed="false"/>
    <row r="918" customFormat="false" ht="12.75" hidden="false" customHeight="false" outlineLevel="0" collapsed="false"/>
    <row r="919" customFormat="false" ht="12.75" hidden="false" customHeight="false" outlineLevel="0" collapsed="false"/>
    <row r="920" customFormat="false" ht="12.75" hidden="false" customHeight="false" outlineLevel="0" collapsed="false"/>
    <row r="921" customFormat="false" ht="12.75" hidden="false" customHeight="false" outlineLevel="0" collapsed="false"/>
    <row r="922" customFormat="false" ht="12.75" hidden="false" customHeight="false" outlineLevel="0" collapsed="false"/>
    <row r="923" customFormat="false" ht="12.75" hidden="false" customHeight="false" outlineLevel="0" collapsed="false"/>
    <row r="924" customFormat="false" ht="12.75" hidden="false" customHeight="false" outlineLevel="0" collapsed="false"/>
    <row r="925" customFormat="false" ht="12.75" hidden="false" customHeight="false" outlineLevel="0" collapsed="false"/>
    <row r="926" customFormat="false" ht="12.75" hidden="false" customHeight="false" outlineLevel="0" collapsed="false"/>
    <row r="927" customFormat="false" ht="12.75" hidden="false" customHeight="false" outlineLevel="0" collapsed="false"/>
    <row r="928" customFormat="false" ht="12.75" hidden="false" customHeight="false" outlineLevel="0" collapsed="false"/>
    <row r="929" customFormat="false" ht="12.75" hidden="false" customHeight="false" outlineLevel="0" collapsed="false"/>
    <row r="930" customFormat="false" ht="12.75" hidden="false" customHeight="false" outlineLevel="0" collapsed="false"/>
    <row r="931" customFormat="false" ht="12.75" hidden="false" customHeight="false" outlineLevel="0" collapsed="false"/>
    <row r="932" customFormat="false" ht="12.75" hidden="false" customHeight="false" outlineLevel="0" collapsed="false"/>
    <row r="933" customFormat="false" ht="12.75" hidden="false" customHeight="false" outlineLevel="0" collapsed="false"/>
    <row r="934" customFormat="false" ht="12.75" hidden="false" customHeight="false" outlineLevel="0" collapsed="false"/>
    <row r="935" customFormat="false" ht="12.75" hidden="false" customHeight="false" outlineLevel="0" collapsed="false"/>
    <row r="936" customFormat="false" ht="12.75" hidden="false" customHeight="false" outlineLevel="0" collapsed="false"/>
    <row r="937" customFormat="false" ht="12.75" hidden="false" customHeight="false" outlineLevel="0" collapsed="false"/>
    <row r="938" customFormat="false" ht="12.75" hidden="false" customHeight="false" outlineLevel="0" collapsed="false"/>
    <row r="939" customFormat="false" ht="12.75" hidden="false" customHeight="false" outlineLevel="0" collapsed="false"/>
    <row r="940" customFormat="false" ht="12.75" hidden="false" customHeight="false" outlineLevel="0" collapsed="false"/>
    <row r="941" customFormat="false" ht="12.75" hidden="false" customHeight="false" outlineLevel="0" collapsed="false"/>
    <row r="942" customFormat="false" ht="12.75" hidden="false" customHeight="false" outlineLevel="0" collapsed="false"/>
    <row r="943" customFormat="false" ht="12.75" hidden="false" customHeight="false" outlineLevel="0" collapsed="false"/>
    <row r="944" customFormat="false" ht="12.75" hidden="false" customHeight="false" outlineLevel="0" collapsed="false"/>
    <row r="945" customFormat="false" ht="12.75" hidden="false" customHeight="false" outlineLevel="0" collapsed="false"/>
    <row r="946" customFormat="false" ht="12.75" hidden="false" customHeight="false" outlineLevel="0" collapsed="false"/>
    <row r="947" customFormat="false" ht="12.75" hidden="false" customHeight="false" outlineLevel="0" collapsed="false"/>
    <row r="948" customFormat="false" ht="12.75" hidden="false" customHeight="false" outlineLevel="0" collapsed="false"/>
    <row r="949" customFormat="false" ht="12.75" hidden="false" customHeight="false" outlineLevel="0" collapsed="false"/>
    <row r="950" customFormat="false" ht="12.75" hidden="false" customHeight="false" outlineLevel="0" collapsed="false"/>
    <row r="951" customFormat="false" ht="12.75" hidden="false" customHeight="false" outlineLevel="0" collapsed="false"/>
    <row r="952" customFormat="false" ht="12.75" hidden="false" customHeight="false" outlineLevel="0" collapsed="false"/>
    <row r="953" customFormat="false" ht="12.75" hidden="false" customHeight="false" outlineLevel="0" collapsed="false"/>
    <row r="954" customFormat="false" ht="12.75" hidden="false" customHeight="false" outlineLevel="0" collapsed="false"/>
    <row r="955" customFormat="false" ht="12.75" hidden="false" customHeight="false" outlineLevel="0" collapsed="false"/>
    <row r="956" customFormat="false" ht="12.75" hidden="false" customHeight="false" outlineLevel="0" collapsed="false"/>
    <row r="957" customFormat="false" ht="12.75" hidden="false" customHeight="false" outlineLevel="0" collapsed="false"/>
    <row r="958" customFormat="false" ht="12.75" hidden="false" customHeight="false" outlineLevel="0" collapsed="false"/>
    <row r="959" customFormat="false" ht="12.75" hidden="false" customHeight="false" outlineLevel="0" collapsed="false"/>
    <row r="960" customFormat="false" ht="12.75" hidden="false" customHeight="false" outlineLevel="0" collapsed="false"/>
    <row r="961" customFormat="false" ht="12.75" hidden="false" customHeight="false" outlineLevel="0" collapsed="false"/>
    <row r="962" customFormat="false" ht="12.75" hidden="false" customHeight="false" outlineLevel="0" collapsed="false"/>
    <row r="963" customFormat="false" ht="12.75" hidden="false" customHeight="false" outlineLevel="0" collapsed="false"/>
    <row r="964" customFormat="false" ht="12.75" hidden="false" customHeight="false" outlineLevel="0" collapsed="false"/>
    <row r="965" customFormat="false" ht="12.75" hidden="false" customHeight="false" outlineLevel="0" collapsed="false"/>
    <row r="966" customFormat="false" ht="12.75" hidden="false" customHeight="false" outlineLevel="0" collapsed="false"/>
    <row r="967" customFormat="false" ht="12.75" hidden="false" customHeight="false" outlineLevel="0" collapsed="false"/>
    <row r="968" customFormat="false" ht="12.75" hidden="false" customHeight="false" outlineLevel="0" collapsed="false"/>
    <row r="969" customFormat="false" ht="12.75" hidden="false" customHeight="false" outlineLevel="0" collapsed="false"/>
    <row r="970" customFormat="false" ht="12.75" hidden="false" customHeight="false" outlineLevel="0" collapsed="false"/>
    <row r="971" customFormat="false" ht="12.75" hidden="false" customHeight="false" outlineLevel="0" collapsed="false"/>
    <row r="972" customFormat="false" ht="12.75" hidden="false" customHeight="false" outlineLevel="0" collapsed="false"/>
    <row r="973" customFormat="false" ht="12.75" hidden="false" customHeight="false" outlineLevel="0" collapsed="false"/>
    <row r="974" customFormat="false" ht="12.75" hidden="false" customHeight="false" outlineLevel="0" collapsed="false"/>
    <row r="975" customFormat="false" ht="12.75" hidden="false" customHeight="false" outlineLevel="0" collapsed="false"/>
    <row r="976" customFormat="false" ht="12.75" hidden="false" customHeight="false" outlineLevel="0" collapsed="false"/>
    <row r="977" customFormat="false" ht="12.75" hidden="false" customHeight="false" outlineLevel="0" collapsed="false"/>
    <row r="978" customFormat="false" ht="12.75" hidden="false" customHeight="false" outlineLevel="0" collapsed="false"/>
    <row r="979" customFormat="false" ht="12.75" hidden="false" customHeight="false" outlineLevel="0" collapsed="false"/>
    <row r="980" customFormat="false" ht="12.75" hidden="false" customHeight="false" outlineLevel="0" collapsed="false"/>
    <row r="981" customFormat="false" ht="12.75" hidden="false" customHeight="false" outlineLevel="0" collapsed="false"/>
    <row r="982" customFormat="false" ht="12.75" hidden="false" customHeight="false" outlineLevel="0" collapsed="false"/>
    <row r="983" customFormat="false" ht="12.75" hidden="false" customHeight="false" outlineLevel="0" collapsed="false"/>
    <row r="984" customFormat="false" ht="12.75" hidden="false" customHeight="false" outlineLevel="0" collapsed="false"/>
    <row r="985" customFormat="false" ht="12.75" hidden="false" customHeight="false" outlineLevel="0" collapsed="false"/>
    <row r="986" customFormat="false" ht="12.75" hidden="false" customHeight="false" outlineLevel="0" collapsed="false"/>
    <row r="987" customFormat="false" ht="12.75" hidden="false" customHeight="false" outlineLevel="0" collapsed="false"/>
    <row r="988" customFormat="false" ht="12.75" hidden="false" customHeight="false" outlineLevel="0" collapsed="false"/>
    <row r="989" customFormat="false" ht="12.75" hidden="false" customHeight="false" outlineLevel="0" collapsed="false"/>
    <row r="990" customFormat="false" ht="12.75" hidden="false" customHeight="false" outlineLevel="0" collapsed="false"/>
    <row r="991" customFormat="false" ht="12.75" hidden="false" customHeight="false" outlineLevel="0" collapsed="false"/>
    <row r="992" customFormat="false" ht="12.75" hidden="false" customHeight="false" outlineLevel="0" collapsed="false"/>
    <row r="993" customFormat="false" ht="12.75" hidden="false" customHeight="false" outlineLevel="0" collapsed="false"/>
    <row r="994" customFormat="false" ht="12.75" hidden="false" customHeight="false" outlineLevel="0" collapsed="false"/>
    <row r="995" customFormat="false" ht="12.75" hidden="false" customHeight="false" outlineLevel="0" collapsed="false"/>
    <row r="996" customFormat="false" ht="12.75" hidden="false" customHeight="false" outlineLevel="0" collapsed="false"/>
    <row r="997" customFormat="false" ht="12.75" hidden="false" customHeight="false" outlineLevel="0" collapsed="false"/>
    <row r="998" customFormat="false" ht="12.75" hidden="false" customHeight="false" outlineLevel="0" collapsed="false"/>
    <row r="999" customFormat="false" ht="12.75" hidden="false" customHeight="false" outlineLevel="0" collapsed="false"/>
    <row r="1000" customFormat="false" ht="12.75" hidden="false" customHeight="false" outlineLevel="0" collapsed="false"/>
    <row r="1001" customFormat="false" ht="12.75" hidden="false" customHeight="false" outlineLevel="0" collapsed="false"/>
  </sheetData>
  <mergeCells count="2">
    <mergeCell ref="H1:I1"/>
    <mergeCell ref="K5:M6"/>
  </mergeCells>
  <conditionalFormatting sqref="H6:H1001">
    <cfRule type="cellIs" priority="2" operator="between" aboveAverage="0" equalAverage="0" bottom="0" percent="0" rank="0" text="" dxfId="0">
      <formula>0</formula>
      <formula>0.5</formula>
    </cfRule>
  </conditionalFormatting>
  <conditionalFormatting sqref="H6:H1001">
    <cfRule type="cellIs" priority="3" operator="between" aboveAverage="0" equalAverage="0" bottom="0" percent="0" rank="0" text="" dxfId="1">
      <formula>0.51</formula>
      <formula>0.99</formula>
    </cfRule>
  </conditionalFormatting>
  <conditionalFormatting sqref="H6:H1001">
    <cfRule type="cellIs" priority="4" operator="greaterThanOrEqual" aboveAverage="0" equalAverage="0" bottom="0" percent="0" rank="0" text="" dxfId="2">
      <formula>1</formula>
    </cfRule>
  </conditionalFormatting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152"/>
  <sheetViews>
    <sheetView showFormulas="false" showGridLines="false" showRowColHeaders="true" showZeros="true" rightToLeft="false" tabSelected="false" showOutlineSymbols="true" defaultGridColor="true" view="normal" topLeftCell="A135" colorId="64" zoomScale="100" zoomScaleNormal="100" zoomScalePageLayoutView="100" workbookViewId="0">
      <selection pane="topLeft" activeCell="C6" activeCellId="0" sqref="C6"/>
    </sheetView>
  </sheetViews>
  <sheetFormatPr defaultRowHeight="15.75" zeroHeight="false" outlineLevelRow="0" outlineLevelCol="0"/>
  <cols>
    <col collapsed="false" customWidth="true" hidden="false" outlineLevel="0" max="2" min="1" style="0" width="14.43"/>
    <col collapsed="false" customWidth="true" hidden="false" outlineLevel="0" max="3" min="3" style="0" width="22.43"/>
    <col collapsed="false" customWidth="true" hidden="false" outlineLevel="0" max="1025" min="4" style="0" width="14.43"/>
  </cols>
  <sheetData>
    <row r="1" s="26" customFormat="true" ht="48" hidden="false" customHeight="true" outlineLevel="0" collapsed="false">
      <c r="A1" s="23"/>
      <c r="B1" s="23"/>
      <c r="C1" s="23"/>
      <c r="D1" s="23"/>
      <c r="E1" s="24" t="s">
        <v>20</v>
      </c>
      <c r="F1" s="24" t="n">
        <f aca="false">'Cadastro Institucional'!D$6</f>
        <v>0</v>
      </c>
      <c r="G1" s="25" t="n">
        <f aca="false">'Cadastro Institucional'!D$7</f>
        <v>0</v>
      </c>
      <c r="H1" s="41"/>
      <c r="I1" s="41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customFormat="false" ht="12.75" hidden="false" customHeight="false" outlineLevel="0" collapsed="false">
      <c r="A2" s="27" t="s">
        <v>14</v>
      </c>
      <c r="B2" s="27" t="s">
        <v>13</v>
      </c>
      <c r="C2" s="27" t="s">
        <v>15</v>
      </c>
      <c r="D2" s="27" t="s">
        <v>16</v>
      </c>
      <c r="E2" s="27" t="s">
        <v>17</v>
      </c>
      <c r="F2" s="27" t="s">
        <v>18</v>
      </c>
      <c r="G2" s="27" t="s">
        <v>19</v>
      </c>
      <c r="H2" s="69" t="s">
        <v>35</v>
      </c>
      <c r="I2" s="69" t="s">
        <v>36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customFormat="false" ht="12.75" hidden="false" customHeight="false" outlineLevel="0" collapsed="false">
      <c r="A3" s="30" t="n">
        <f aca="false">'Cadastro Institucional'!D$10</f>
        <v>0</v>
      </c>
      <c r="B3" s="31" t="n">
        <f aca="false">'Cadastro Institucional'!D$9</f>
        <v>0</v>
      </c>
      <c r="C3" s="31" t="n">
        <f aca="false">'Cadastro Institucional'!D$11</f>
        <v>0</v>
      </c>
      <c r="D3" s="32" t="n">
        <f aca="false">'Cadastro Institucional'!D$12</f>
        <v>0</v>
      </c>
      <c r="E3" s="31" t="n">
        <f aca="false">'Cadastro Institucional'!D$13</f>
        <v>0</v>
      </c>
      <c r="F3" s="31" t="n">
        <f aca="false">'Cadastro Institucional'!D$14</f>
        <v>0</v>
      </c>
      <c r="G3" s="33" t="n">
        <f aca="false">'Cadastro Institucional'!D$15</f>
        <v>0</v>
      </c>
      <c r="H3" s="70"/>
      <c r="I3" s="70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customFormat="false" ht="12.75" hidden="false" customHeight="false" outlineLevel="0" collapsed="false">
      <c r="A4" s="29"/>
      <c r="B4" s="29"/>
      <c r="C4" s="29"/>
      <c r="D4" s="29"/>
      <c r="E4" s="29"/>
      <c r="F4" s="29"/>
      <c r="G4" s="29"/>
      <c r="H4" s="29"/>
      <c r="I4" s="29"/>
      <c r="J4" s="29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 customFormat="false" ht="25.5" hidden="false" customHeight="true" outlineLevel="0" collapsed="false">
      <c r="A5" s="56" t="s">
        <v>21</v>
      </c>
      <c r="B5" s="56" t="s">
        <v>23</v>
      </c>
      <c r="C5" s="56" t="s">
        <v>22</v>
      </c>
      <c r="D5" s="56" t="s">
        <v>28</v>
      </c>
      <c r="E5" s="56" t="s">
        <v>29</v>
      </c>
      <c r="F5" s="56" t="s">
        <v>30</v>
      </c>
      <c r="G5" s="56" t="s">
        <v>31</v>
      </c>
      <c r="H5" s="56" t="s">
        <v>32</v>
      </c>
      <c r="I5" s="56" t="s">
        <v>33</v>
      </c>
      <c r="J5" s="58"/>
      <c r="K5" s="20" t="s">
        <v>8</v>
      </c>
      <c r="L5" s="20"/>
      <c r="M5" s="20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</row>
    <row r="6" customFormat="false" ht="12.75" hidden="false" customHeight="true" outlineLevel="0" collapsed="false">
      <c r="A6" s="37" t="n">
        <f aca="false">'Itens de Contrato'!A6</f>
        <v>0</v>
      </c>
      <c r="B6" s="37" t="n">
        <f aca="false">'Itens de Contrato'!B6</f>
        <v>0</v>
      </c>
      <c r="C6" s="37" t="e">
        <f aca="false">VLOOKUP(B6,'Itens de Contrato'!B$5:G$151,2,0)</f>
        <v>#N/A</v>
      </c>
      <c r="D6" s="52"/>
      <c r="E6" s="63" t="n">
        <f aca="false">D6*'Itens de Contrato'!F6</f>
        <v>0</v>
      </c>
      <c r="F6" s="62" t="n">
        <f aca="false">'Medição 07'!F6-'Medição 07'!G6</f>
        <v>0</v>
      </c>
      <c r="G6" s="52"/>
      <c r="H6" s="64" t="e">
        <f aca="false">G6/D6</f>
        <v>#DIV/0!</v>
      </c>
      <c r="I6" s="63" t="n">
        <f aca="false">G6*'Itens de Contrato'!F6</f>
        <v>0</v>
      </c>
      <c r="J6" s="37"/>
      <c r="K6" s="20"/>
      <c r="L6" s="20"/>
      <c r="M6" s="20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customFormat="false" ht="12.8" hidden="false" customHeight="false" outlineLevel="0" collapsed="false">
      <c r="A7" s="37" t="n">
        <f aca="false">'Itens de Contrato'!A7</f>
        <v>0</v>
      </c>
      <c r="B7" s="37" t="n">
        <f aca="false">'Itens de Contrato'!B7</f>
        <v>0</v>
      </c>
      <c r="C7" s="37" t="e">
        <f aca="false">VLOOKUP(B7,'Itens de Contrato'!B$5:G$151,2,0)</f>
        <v>#N/A</v>
      </c>
      <c r="D7" s="52"/>
      <c r="E7" s="63" t="n">
        <f aca="false">D7*'Itens de Contrato'!F7</f>
        <v>0</v>
      </c>
      <c r="F7" s="62" t="n">
        <f aca="false">'Medição 07'!F7-'Medição 07'!G7</f>
        <v>0</v>
      </c>
      <c r="G7" s="52"/>
      <c r="H7" s="64" t="e">
        <f aca="false">G7/D7</f>
        <v>#DIV/0!</v>
      </c>
      <c r="I7" s="63" t="n">
        <f aca="false">G7*'Itens de Contrato'!F7</f>
        <v>0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customFormat="false" ht="12.8" hidden="false" customHeight="false" outlineLevel="0" collapsed="false">
      <c r="A8" s="37" t="n">
        <f aca="false">'Itens de Contrato'!A8</f>
        <v>0</v>
      </c>
      <c r="B8" s="37" t="n">
        <f aca="false">'Itens de Contrato'!B8</f>
        <v>0</v>
      </c>
      <c r="C8" s="37" t="e">
        <f aca="false">VLOOKUP(B8,'Itens de Contrato'!B$5:G$151,2,0)</f>
        <v>#N/A</v>
      </c>
      <c r="D8" s="52"/>
      <c r="E8" s="63" t="n">
        <f aca="false">D8*'Itens de Contrato'!F8</f>
        <v>0</v>
      </c>
      <c r="F8" s="62" t="n">
        <f aca="false">'Medição 07'!F8-'Medição 07'!G8</f>
        <v>0</v>
      </c>
      <c r="G8" s="52"/>
      <c r="H8" s="64" t="e">
        <f aca="false">G8/D8</f>
        <v>#DIV/0!</v>
      </c>
      <c r="I8" s="63" t="n">
        <f aca="false">G8*'Itens de Contrato'!F8</f>
        <v>0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customFormat="false" ht="12.8" hidden="false" customHeight="false" outlineLevel="0" collapsed="false">
      <c r="A9" s="37" t="n">
        <f aca="false">'Itens de Contrato'!A9</f>
        <v>0</v>
      </c>
      <c r="B9" s="37" t="n">
        <f aca="false">'Itens de Contrato'!B9</f>
        <v>0</v>
      </c>
      <c r="C9" s="37" t="e">
        <f aca="false">VLOOKUP(B9,'Itens de Contrato'!B$5:G$151,2,0)</f>
        <v>#N/A</v>
      </c>
      <c r="D9" s="52"/>
      <c r="E9" s="63" t="n">
        <f aca="false">D9*'Itens de Contrato'!F9</f>
        <v>0</v>
      </c>
      <c r="F9" s="62" t="n">
        <f aca="false">'Medição 07'!F9-'Medição 07'!G9</f>
        <v>0</v>
      </c>
      <c r="G9" s="52"/>
      <c r="H9" s="64" t="e">
        <f aca="false">G9/D9</f>
        <v>#DIV/0!</v>
      </c>
      <c r="I9" s="63" t="n">
        <f aca="false">G9*'Itens de Contrato'!F9</f>
        <v>0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 customFormat="false" ht="12.8" hidden="false" customHeight="false" outlineLevel="0" collapsed="false">
      <c r="A10" s="37" t="n">
        <f aca="false">'Itens de Contrato'!A10</f>
        <v>0</v>
      </c>
      <c r="B10" s="37" t="n">
        <f aca="false">'Itens de Contrato'!B10</f>
        <v>0</v>
      </c>
      <c r="C10" s="37" t="e">
        <f aca="false">VLOOKUP(B10,'Itens de Contrato'!B$5:G$151,2,0)</f>
        <v>#N/A</v>
      </c>
      <c r="D10" s="52"/>
      <c r="E10" s="63" t="n">
        <f aca="false">D10*'Itens de Contrato'!F10</f>
        <v>0</v>
      </c>
      <c r="F10" s="62" t="n">
        <f aca="false">'Medição 07'!F10-'Medição 07'!G10</f>
        <v>0</v>
      </c>
      <c r="G10" s="52"/>
      <c r="H10" s="64" t="e">
        <f aca="false">G10/D10</f>
        <v>#DIV/0!</v>
      </c>
      <c r="I10" s="63" t="n">
        <f aca="false">G10*'Itens de Contrato'!F10</f>
        <v>0</v>
      </c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 customFormat="false" ht="12.8" hidden="false" customHeight="false" outlineLevel="0" collapsed="false">
      <c r="A11" s="37" t="n">
        <f aca="false">'Itens de Contrato'!A11</f>
        <v>0</v>
      </c>
      <c r="B11" s="37" t="n">
        <f aca="false">'Itens de Contrato'!B11</f>
        <v>0</v>
      </c>
      <c r="C11" s="37" t="e">
        <f aca="false">VLOOKUP(B11,'Itens de Contrato'!B$5:G$151,2,0)</f>
        <v>#N/A</v>
      </c>
      <c r="D11" s="52"/>
      <c r="E11" s="63" t="n">
        <f aca="false">D11*'Itens de Contrato'!F11</f>
        <v>0</v>
      </c>
      <c r="F11" s="62" t="n">
        <f aca="false">'Medição 07'!F11-'Medição 07'!G11</f>
        <v>0</v>
      </c>
      <c r="G11" s="52"/>
      <c r="H11" s="64" t="e">
        <f aca="false">G11/D11</f>
        <v>#DIV/0!</v>
      </c>
      <c r="I11" s="63" t="n">
        <f aca="false">G11*'Itens de Contrato'!F11</f>
        <v>0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 customFormat="false" ht="12.8" hidden="false" customHeight="false" outlineLevel="0" collapsed="false">
      <c r="A12" s="37" t="n">
        <f aca="false">'Itens de Contrato'!A12</f>
        <v>0</v>
      </c>
      <c r="B12" s="37" t="n">
        <f aca="false">'Itens de Contrato'!B12</f>
        <v>0</v>
      </c>
      <c r="C12" s="37" t="e">
        <f aca="false">VLOOKUP(B12,'Itens de Contrato'!B$5:G$151,2,0)</f>
        <v>#N/A</v>
      </c>
      <c r="D12" s="52"/>
      <c r="E12" s="63" t="n">
        <f aca="false">D12*'Itens de Contrato'!F12</f>
        <v>0</v>
      </c>
      <c r="F12" s="62" t="n">
        <f aca="false">'Medição 07'!F12-'Medição 07'!G12</f>
        <v>0</v>
      </c>
      <c r="G12" s="52"/>
      <c r="H12" s="64" t="e">
        <f aca="false">G12/D12</f>
        <v>#DIV/0!</v>
      </c>
      <c r="I12" s="63" t="n">
        <f aca="false">G12*'Itens de Contrato'!F12</f>
        <v>0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 customFormat="false" ht="12.8" hidden="false" customHeight="false" outlineLevel="0" collapsed="false">
      <c r="A13" s="37" t="n">
        <f aca="false">'Itens de Contrato'!A13</f>
        <v>0</v>
      </c>
      <c r="B13" s="37" t="n">
        <f aca="false">'Itens de Contrato'!B13</f>
        <v>0</v>
      </c>
      <c r="C13" s="37" t="e">
        <f aca="false">VLOOKUP(B13,'Itens de Contrato'!B$5:G$151,2,0)</f>
        <v>#N/A</v>
      </c>
      <c r="D13" s="52"/>
      <c r="E13" s="63" t="n">
        <f aca="false">D13*'Itens de Contrato'!F13</f>
        <v>0</v>
      </c>
      <c r="F13" s="62" t="n">
        <f aca="false">'Medição 07'!F13-'Medição 07'!G13</f>
        <v>0</v>
      </c>
      <c r="G13" s="52"/>
      <c r="H13" s="64" t="e">
        <f aca="false">G13/D13</f>
        <v>#DIV/0!</v>
      </c>
      <c r="I13" s="63" t="n">
        <f aca="false">G13*'Itens de Contrato'!F13</f>
        <v>0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customFormat="false" ht="12.8" hidden="false" customHeight="false" outlineLevel="0" collapsed="false">
      <c r="A14" s="37" t="n">
        <f aca="false">'Itens de Contrato'!A14</f>
        <v>0</v>
      </c>
      <c r="B14" s="37" t="n">
        <f aca="false">'Itens de Contrato'!B14</f>
        <v>0</v>
      </c>
      <c r="C14" s="37" t="e">
        <f aca="false">VLOOKUP(B14,'Itens de Contrato'!B$5:G$151,2,0)</f>
        <v>#N/A</v>
      </c>
      <c r="D14" s="52"/>
      <c r="E14" s="63" t="n">
        <f aca="false">D14*'Itens de Contrato'!F14</f>
        <v>0</v>
      </c>
      <c r="F14" s="62" t="n">
        <f aca="false">'Medição 07'!F14-'Medição 07'!G14</f>
        <v>0</v>
      </c>
      <c r="G14" s="52"/>
      <c r="H14" s="64" t="e">
        <f aca="false">G14/D14</f>
        <v>#DIV/0!</v>
      </c>
      <c r="I14" s="63" t="n">
        <f aca="false">G14*'Itens de Contrato'!F14</f>
        <v>0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 customFormat="false" ht="12.8" hidden="false" customHeight="false" outlineLevel="0" collapsed="false">
      <c r="A15" s="37" t="n">
        <f aca="false">'Itens de Contrato'!A15</f>
        <v>0</v>
      </c>
      <c r="B15" s="37" t="n">
        <f aca="false">'Itens de Contrato'!B15</f>
        <v>0</v>
      </c>
      <c r="C15" s="37" t="e">
        <f aca="false">VLOOKUP(B15,'Itens de Contrato'!B$5:G$151,2,0)</f>
        <v>#N/A</v>
      </c>
      <c r="D15" s="52"/>
      <c r="E15" s="63" t="n">
        <f aca="false">D15*'Itens de Contrato'!F15</f>
        <v>0</v>
      </c>
      <c r="F15" s="62" t="n">
        <f aca="false">'Medição 07'!F15-'Medição 07'!G15</f>
        <v>0</v>
      </c>
      <c r="G15" s="52"/>
      <c r="H15" s="64" t="e">
        <f aca="false">G15/D15</f>
        <v>#DIV/0!</v>
      </c>
      <c r="I15" s="63" t="n">
        <f aca="false">G15*'Itens de Contrato'!F15</f>
        <v>0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customFormat="false" ht="12.8" hidden="false" customHeight="false" outlineLevel="0" collapsed="false">
      <c r="A16" s="37" t="n">
        <f aca="false">'Itens de Contrato'!A16</f>
        <v>0</v>
      </c>
      <c r="B16" s="37" t="n">
        <f aca="false">'Itens de Contrato'!B16</f>
        <v>0</v>
      </c>
      <c r="C16" s="37" t="e">
        <f aca="false">VLOOKUP(B16,'Itens de Contrato'!B$5:G$151,2,0)</f>
        <v>#N/A</v>
      </c>
      <c r="D16" s="52"/>
      <c r="E16" s="63" t="n">
        <f aca="false">D16*'Itens de Contrato'!F16</f>
        <v>0</v>
      </c>
      <c r="F16" s="62" t="n">
        <f aca="false">'Medição 07'!F16-'Medição 07'!G16</f>
        <v>0</v>
      </c>
      <c r="G16" s="52"/>
      <c r="H16" s="64" t="e">
        <f aca="false">G16/D16</f>
        <v>#DIV/0!</v>
      </c>
      <c r="I16" s="63" t="n">
        <f aca="false">G16*'Itens de Contrato'!F16</f>
        <v>0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7" customFormat="false" ht="12.8" hidden="false" customHeight="false" outlineLevel="0" collapsed="false">
      <c r="A17" s="37" t="n">
        <f aca="false">'Itens de Contrato'!A17</f>
        <v>0</v>
      </c>
      <c r="B17" s="37" t="n">
        <f aca="false">'Itens de Contrato'!B17</f>
        <v>0</v>
      </c>
      <c r="C17" s="37" t="e">
        <f aca="false">VLOOKUP(B17,'Itens de Contrato'!B$5:G$151,2,0)</f>
        <v>#N/A</v>
      </c>
      <c r="D17" s="52"/>
      <c r="E17" s="63" t="n">
        <f aca="false">D17*'Itens de Contrato'!F17</f>
        <v>0</v>
      </c>
      <c r="F17" s="62" t="n">
        <f aca="false">'Medição 07'!F17-'Medição 07'!G17</f>
        <v>0</v>
      </c>
      <c r="G17" s="52"/>
      <c r="H17" s="64" t="e">
        <f aca="false">G17/D17</f>
        <v>#DIV/0!</v>
      </c>
      <c r="I17" s="63" t="n">
        <f aca="false">G17*'Itens de Contrato'!F17</f>
        <v>0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</row>
    <row r="18" customFormat="false" ht="12.8" hidden="false" customHeight="false" outlineLevel="0" collapsed="false">
      <c r="A18" s="37" t="n">
        <f aca="false">'Itens de Contrato'!A18</f>
        <v>0</v>
      </c>
      <c r="B18" s="37" t="n">
        <f aca="false">'Itens de Contrato'!B18</f>
        <v>0</v>
      </c>
      <c r="C18" s="37" t="e">
        <f aca="false">VLOOKUP(B18,'Itens de Contrato'!B$5:G$151,2,0)</f>
        <v>#N/A</v>
      </c>
      <c r="D18" s="52"/>
      <c r="E18" s="63" t="n">
        <f aca="false">D18*'Itens de Contrato'!F18</f>
        <v>0</v>
      </c>
      <c r="F18" s="62" t="n">
        <f aca="false">'Medição 07'!F18-'Medição 07'!G18</f>
        <v>0</v>
      </c>
      <c r="G18" s="52"/>
      <c r="H18" s="64" t="e">
        <f aca="false">G18/D18</f>
        <v>#DIV/0!</v>
      </c>
      <c r="I18" s="63" t="n">
        <f aca="false">G18*'Itens de Contrato'!F18</f>
        <v>0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</row>
    <row r="19" customFormat="false" ht="12.8" hidden="false" customHeight="false" outlineLevel="0" collapsed="false">
      <c r="A19" s="37" t="n">
        <f aca="false">'Itens de Contrato'!A19</f>
        <v>0</v>
      </c>
      <c r="B19" s="37" t="n">
        <f aca="false">'Itens de Contrato'!B19</f>
        <v>0</v>
      </c>
      <c r="C19" s="37" t="e">
        <f aca="false">VLOOKUP(B19,'Itens de Contrato'!B$5:G$151,2,0)</f>
        <v>#N/A</v>
      </c>
      <c r="D19" s="52"/>
      <c r="E19" s="63" t="n">
        <f aca="false">D19*'Itens de Contrato'!F19</f>
        <v>0</v>
      </c>
      <c r="F19" s="62" t="n">
        <f aca="false">'Medição 07'!F19-'Medição 07'!G19</f>
        <v>0</v>
      </c>
      <c r="G19" s="52"/>
      <c r="H19" s="64" t="e">
        <f aca="false">G19/D19</f>
        <v>#DIV/0!</v>
      </c>
      <c r="I19" s="63" t="n">
        <f aca="false">G19*'Itens de Contrato'!F19</f>
        <v>0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</row>
    <row r="20" customFormat="false" ht="12.8" hidden="false" customHeight="false" outlineLevel="0" collapsed="false">
      <c r="A20" s="37" t="n">
        <f aca="false">'Itens de Contrato'!A20</f>
        <v>0</v>
      </c>
      <c r="B20" s="37" t="n">
        <f aca="false">'Itens de Contrato'!B20</f>
        <v>0</v>
      </c>
      <c r="C20" s="37" t="e">
        <f aca="false">VLOOKUP(B20,'Itens de Contrato'!B$5:G$151,2,0)</f>
        <v>#N/A</v>
      </c>
      <c r="D20" s="52"/>
      <c r="E20" s="63" t="n">
        <f aca="false">D20*'Itens de Contrato'!F20</f>
        <v>0</v>
      </c>
      <c r="F20" s="62" t="n">
        <f aca="false">'Medição 07'!F20-'Medição 07'!G20</f>
        <v>0</v>
      </c>
      <c r="G20" s="52"/>
      <c r="H20" s="64" t="e">
        <f aca="false">G20/D20</f>
        <v>#DIV/0!</v>
      </c>
      <c r="I20" s="63" t="n">
        <f aca="false">G20*'Itens de Contrato'!F20</f>
        <v>0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</row>
    <row r="21" customFormat="false" ht="12.8" hidden="false" customHeight="false" outlineLevel="0" collapsed="false">
      <c r="A21" s="37" t="n">
        <f aca="false">'Itens de Contrato'!A21</f>
        <v>0</v>
      </c>
      <c r="B21" s="37" t="n">
        <f aca="false">'Itens de Contrato'!B21</f>
        <v>0</v>
      </c>
      <c r="C21" s="37" t="e">
        <f aca="false">VLOOKUP(B21,'Itens de Contrato'!B$5:G$151,2,0)</f>
        <v>#N/A</v>
      </c>
      <c r="D21" s="52"/>
      <c r="E21" s="63" t="n">
        <f aca="false">D21*'Itens de Contrato'!F21</f>
        <v>0</v>
      </c>
      <c r="F21" s="62" t="n">
        <f aca="false">'Medição 07'!F21-'Medição 07'!G21</f>
        <v>0</v>
      </c>
      <c r="G21" s="52"/>
      <c r="H21" s="64" t="e">
        <f aca="false">G21/D21</f>
        <v>#DIV/0!</v>
      </c>
      <c r="I21" s="63" t="n">
        <f aca="false">G21*'Itens de Contrato'!F21</f>
        <v>0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customFormat="false" ht="12.8" hidden="false" customHeight="false" outlineLevel="0" collapsed="false">
      <c r="A22" s="37" t="n">
        <f aca="false">'Itens de Contrato'!A22</f>
        <v>0</v>
      </c>
      <c r="B22" s="37" t="n">
        <f aca="false">'Itens de Contrato'!B22</f>
        <v>0</v>
      </c>
      <c r="C22" s="37" t="e">
        <f aca="false">VLOOKUP(B22,'Itens de Contrato'!B$5:G$151,2,0)</f>
        <v>#N/A</v>
      </c>
      <c r="D22" s="52"/>
      <c r="E22" s="63" t="n">
        <f aca="false">D22*'Itens de Contrato'!F22</f>
        <v>0</v>
      </c>
      <c r="F22" s="62" t="n">
        <f aca="false">'Medição 07'!F22-'Medição 07'!G22</f>
        <v>0</v>
      </c>
      <c r="G22" s="52"/>
      <c r="H22" s="64" t="e">
        <f aca="false">G22/D22</f>
        <v>#DIV/0!</v>
      </c>
      <c r="I22" s="63" t="n">
        <f aca="false">G22*'Itens de Contrato'!F22</f>
        <v>0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  <row r="23" customFormat="false" ht="12.8" hidden="false" customHeight="false" outlineLevel="0" collapsed="false">
      <c r="A23" s="37" t="n">
        <f aca="false">'Itens de Contrato'!A23</f>
        <v>0</v>
      </c>
      <c r="B23" s="37" t="n">
        <f aca="false">'Itens de Contrato'!B23</f>
        <v>0</v>
      </c>
      <c r="C23" s="37" t="e">
        <f aca="false">VLOOKUP(B23,'Itens de Contrato'!B$5:G$151,2,0)</f>
        <v>#N/A</v>
      </c>
      <c r="D23" s="52"/>
      <c r="E23" s="63" t="n">
        <f aca="false">D23*'Itens de Contrato'!F23</f>
        <v>0</v>
      </c>
      <c r="F23" s="62" t="n">
        <f aca="false">'Medição 07'!F23-'Medição 07'!G23</f>
        <v>0</v>
      </c>
      <c r="G23" s="52"/>
      <c r="H23" s="64" t="e">
        <f aca="false">G23/D23</f>
        <v>#DIV/0!</v>
      </c>
      <c r="I23" s="63" t="n">
        <f aca="false">G23*'Itens de Contrato'!F23</f>
        <v>0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</row>
    <row r="24" customFormat="false" ht="12.8" hidden="false" customHeight="false" outlineLevel="0" collapsed="false">
      <c r="A24" s="37" t="n">
        <f aca="false">'Itens de Contrato'!A24</f>
        <v>0</v>
      </c>
      <c r="B24" s="37" t="n">
        <f aca="false">'Itens de Contrato'!B24</f>
        <v>0</v>
      </c>
      <c r="C24" s="37" t="e">
        <f aca="false">VLOOKUP(B24,'Itens de Contrato'!B$5:G$151,2,0)</f>
        <v>#N/A</v>
      </c>
      <c r="D24" s="52"/>
      <c r="E24" s="63" t="n">
        <f aca="false">D24*'Itens de Contrato'!F24</f>
        <v>0</v>
      </c>
      <c r="F24" s="62" t="n">
        <f aca="false">'Medição 07'!F24-'Medição 07'!G24</f>
        <v>0</v>
      </c>
      <c r="G24" s="52"/>
      <c r="H24" s="64" t="e">
        <f aca="false">G24/D24</f>
        <v>#DIV/0!</v>
      </c>
      <c r="I24" s="63" t="n">
        <f aca="false">G24*'Itens de Contrato'!F24</f>
        <v>0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</row>
    <row r="25" customFormat="false" ht="12.8" hidden="false" customHeight="false" outlineLevel="0" collapsed="false">
      <c r="A25" s="37" t="n">
        <f aca="false">'Itens de Contrato'!A25</f>
        <v>0</v>
      </c>
      <c r="B25" s="37" t="n">
        <f aca="false">'Itens de Contrato'!B25</f>
        <v>0</v>
      </c>
      <c r="C25" s="37" t="e">
        <f aca="false">VLOOKUP(B25,'Itens de Contrato'!B$5:G$151,2,0)</f>
        <v>#N/A</v>
      </c>
      <c r="D25" s="52"/>
      <c r="E25" s="63" t="n">
        <f aca="false">D25*'Itens de Contrato'!F25</f>
        <v>0</v>
      </c>
      <c r="F25" s="62" t="n">
        <f aca="false">'Medição 07'!F25-'Medição 07'!G25</f>
        <v>0</v>
      </c>
      <c r="G25" s="52"/>
      <c r="H25" s="64" t="e">
        <f aca="false">G25/D25</f>
        <v>#DIV/0!</v>
      </c>
      <c r="I25" s="63" t="n">
        <f aca="false">G25*'Itens de Contrato'!F25</f>
        <v>0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</row>
    <row r="26" customFormat="false" ht="12.8" hidden="false" customHeight="false" outlineLevel="0" collapsed="false">
      <c r="A26" s="37" t="n">
        <f aca="false">'Itens de Contrato'!A26</f>
        <v>0</v>
      </c>
      <c r="B26" s="37" t="n">
        <f aca="false">'Itens de Contrato'!B26</f>
        <v>0</v>
      </c>
      <c r="C26" s="37" t="e">
        <f aca="false">VLOOKUP(B26,'Itens de Contrato'!B$5:G$151,2,0)</f>
        <v>#N/A</v>
      </c>
      <c r="D26" s="52"/>
      <c r="E26" s="63" t="n">
        <f aca="false">D26*'Itens de Contrato'!F26</f>
        <v>0</v>
      </c>
      <c r="F26" s="62" t="n">
        <f aca="false">'Medição 07'!F26-'Medição 07'!G26</f>
        <v>0</v>
      </c>
      <c r="G26" s="52"/>
      <c r="H26" s="64" t="e">
        <f aca="false">G26/D26</f>
        <v>#DIV/0!</v>
      </c>
      <c r="I26" s="63" t="n">
        <f aca="false">G26*'Itens de Contrato'!F26</f>
        <v>0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</row>
    <row r="27" customFormat="false" ht="12.8" hidden="false" customHeight="false" outlineLevel="0" collapsed="false">
      <c r="A27" s="37" t="n">
        <f aca="false">'Itens de Contrato'!A27</f>
        <v>0</v>
      </c>
      <c r="B27" s="37" t="n">
        <f aca="false">'Itens de Contrato'!B27</f>
        <v>0</v>
      </c>
      <c r="C27" s="37" t="e">
        <f aca="false">VLOOKUP(B27,'Itens de Contrato'!B$5:G$151,2,0)</f>
        <v>#N/A</v>
      </c>
      <c r="D27" s="52"/>
      <c r="E27" s="63" t="n">
        <f aca="false">D27*'Itens de Contrato'!F27</f>
        <v>0</v>
      </c>
      <c r="F27" s="62" t="n">
        <f aca="false">'Medição 07'!F27-'Medição 07'!G27</f>
        <v>0</v>
      </c>
      <c r="G27" s="52"/>
      <c r="H27" s="64" t="e">
        <f aca="false">G27/D27</f>
        <v>#DIV/0!</v>
      </c>
      <c r="I27" s="63" t="n">
        <f aca="false">G27*'Itens de Contrato'!F27</f>
        <v>0</v>
      </c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</row>
    <row r="28" customFormat="false" ht="12.8" hidden="false" customHeight="false" outlineLevel="0" collapsed="false">
      <c r="A28" s="37" t="n">
        <f aca="false">'Itens de Contrato'!A28</f>
        <v>0</v>
      </c>
      <c r="B28" s="37" t="n">
        <f aca="false">'Itens de Contrato'!B28</f>
        <v>0</v>
      </c>
      <c r="C28" s="37" t="e">
        <f aca="false">VLOOKUP(B28,'Itens de Contrato'!B$5:G$151,2,0)</f>
        <v>#N/A</v>
      </c>
      <c r="D28" s="52"/>
      <c r="E28" s="63" t="n">
        <f aca="false">D28*'Itens de Contrato'!F28</f>
        <v>0</v>
      </c>
      <c r="F28" s="62" t="n">
        <f aca="false">'Medição 07'!F28-'Medição 07'!G28</f>
        <v>0</v>
      </c>
      <c r="G28" s="52"/>
      <c r="H28" s="64" t="e">
        <f aca="false">G28/D28</f>
        <v>#DIV/0!</v>
      </c>
      <c r="I28" s="63" t="n">
        <f aca="false">G28*'Itens de Contrato'!F28</f>
        <v>0</v>
      </c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customFormat="false" ht="12.8" hidden="false" customHeight="false" outlineLevel="0" collapsed="false">
      <c r="A29" s="37" t="n">
        <f aca="false">'Itens de Contrato'!A29</f>
        <v>0</v>
      </c>
      <c r="B29" s="37" t="n">
        <f aca="false">'Itens de Contrato'!B29</f>
        <v>0</v>
      </c>
      <c r="C29" s="37" t="e">
        <f aca="false">VLOOKUP(B29,'Itens de Contrato'!B$5:G$151,2,0)</f>
        <v>#N/A</v>
      </c>
      <c r="D29" s="52"/>
      <c r="E29" s="63" t="n">
        <f aca="false">D29*'Itens de Contrato'!F29</f>
        <v>0</v>
      </c>
      <c r="F29" s="62" t="n">
        <f aca="false">'Medição 07'!F29-'Medição 07'!G29</f>
        <v>0</v>
      </c>
      <c r="G29" s="52"/>
      <c r="H29" s="64" t="e">
        <f aca="false">G29/D29</f>
        <v>#DIV/0!</v>
      </c>
      <c r="I29" s="63" t="n">
        <f aca="false">G29*'Itens de Contrato'!F29</f>
        <v>0</v>
      </c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</row>
    <row r="30" customFormat="false" ht="12.8" hidden="false" customHeight="false" outlineLevel="0" collapsed="false">
      <c r="A30" s="37" t="n">
        <f aca="false">'Itens de Contrato'!A30</f>
        <v>0</v>
      </c>
      <c r="B30" s="37" t="n">
        <f aca="false">'Itens de Contrato'!B30</f>
        <v>0</v>
      </c>
      <c r="C30" s="37" t="e">
        <f aca="false">VLOOKUP(B30,'Itens de Contrato'!B$5:G$151,2,0)</f>
        <v>#N/A</v>
      </c>
      <c r="D30" s="52"/>
      <c r="E30" s="63" t="n">
        <f aca="false">D30*'Itens de Contrato'!F30</f>
        <v>0</v>
      </c>
      <c r="F30" s="62" t="n">
        <f aca="false">'Medição 07'!F30-'Medição 07'!G30</f>
        <v>0</v>
      </c>
      <c r="G30" s="52"/>
      <c r="H30" s="64" t="e">
        <f aca="false">G30/D30</f>
        <v>#DIV/0!</v>
      </c>
      <c r="I30" s="63" t="n">
        <f aca="false">G30*'Itens de Contrato'!F30</f>
        <v>0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</row>
    <row r="31" customFormat="false" ht="12.8" hidden="false" customHeight="false" outlineLevel="0" collapsed="false">
      <c r="A31" s="37" t="n">
        <f aca="false">'Itens de Contrato'!A31</f>
        <v>0</v>
      </c>
      <c r="B31" s="37" t="n">
        <f aca="false">'Itens de Contrato'!B31</f>
        <v>0</v>
      </c>
      <c r="C31" s="37" t="e">
        <f aca="false">VLOOKUP(B31,'Itens de Contrato'!B$5:G$151,2,0)</f>
        <v>#N/A</v>
      </c>
      <c r="D31" s="52"/>
      <c r="E31" s="63" t="n">
        <f aca="false">D31*'Itens de Contrato'!F31</f>
        <v>0</v>
      </c>
      <c r="F31" s="62" t="n">
        <f aca="false">'Medição 07'!F31-'Medição 07'!G31</f>
        <v>0</v>
      </c>
      <c r="G31" s="52"/>
      <c r="H31" s="64" t="e">
        <f aca="false">G31/D31</f>
        <v>#DIV/0!</v>
      </c>
      <c r="I31" s="63" t="n">
        <f aca="false">G31*'Itens de Contrato'!F31</f>
        <v>0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customFormat="false" ht="12.8" hidden="false" customHeight="false" outlineLevel="0" collapsed="false">
      <c r="A32" s="37" t="n">
        <f aca="false">'Itens de Contrato'!A32</f>
        <v>0</v>
      </c>
      <c r="B32" s="37" t="n">
        <f aca="false">'Itens de Contrato'!B32</f>
        <v>0</v>
      </c>
      <c r="C32" s="37" t="e">
        <f aca="false">VLOOKUP(B32,'Itens de Contrato'!B$5:G$151,2,0)</f>
        <v>#N/A</v>
      </c>
      <c r="D32" s="52"/>
      <c r="E32" s="63" t="n">
        <f aca="false">D32*'Itens de Contrato'!F32</f>
        <v>0</v>
      </c>
      <c r="F32" s="62" t="n">
        <f aca="false">'Medição 07'!F32-'Medição 07'!G32</f>
        <v>0</v>
      </c>
      <c r="G32" s="52"/>
      <c r="H32" s="64" t="e">
        <f aca="false">G32/D32</f>
        <v>#DIV/0!</v>
      </c>
      <c r="I32" s="63" t="n">
        <f aca="false">G32*'Itens de Contrato'!F32</f>
        <v>0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customFormat="false" ht="12.8" hidden="false" customHeight="false" outlineLevel="0" collapsed="false">
      <c r="A33" s="37" t="n">
        <f aca="false">'Itens de Contrato'!A33</f>
        <v>0</v>
      </c>
      <c r="B33" s="37" t="n">
        <f aca="false">'Itens de Contrato'!B33</f>
        <v>0</v>
      </c>
      <c r="C33" s="37" t="e">
        <f aca="false">VLOOKUP(B33,'Itens de Contrato'!B$5:G$151,2,0)</f>
        <v>#N/A</v>
      </c>
      <c r="D33" s="52"/>
      <c r="E33" s="63" t="n">
        <f aca="false">D33*'Itens de Contrato'!F33</f>
        <v>0</v>
      </c>
      <c r="F33" s="62" t="n">
        <f aca="false">'Medição 07'!F33-'Medição 07'!G33</f>
        <v>0</v>
      </c>
      <c r="G33" s="52"/>
      <c r="H33" s="64" t="e">
        <f aca="false">G33/D33</f>
        <v>#DIV/0!</v>
      </c>
      <c r="I33" s="63" t="n">
        <f aca="false">G33*'Itens de Contrato'!F33</f>
        <v>0</v>
      </c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customFormat="false" ht="12.8" hidden="false" customHeight="false" outlineLevel="0" collapsed="false">
      <c r="A34" s="37" t="n">
        <f aca="false">'Itens de Contrato'!A34</f>
        <v>0</v>
      </c>
      <c r="B34" s="37" t="n">
        <f aca="false">'Itens de Contrato'!B34</f>
        <v>0</v>
      </c>
      <c r="C34" s="37" t="e">
        <f aca="false">VLOOKUP(B34,'Itens de Contrato'!B$5:G$151,2,0)</f>
        <v>#N/A</v>
      </c>
      <c r="D34" s="52"/>
      <c r="E34" s="63" t="n">
        <f aca="false">D34*'Itens de Contrato'!F34</f>
        <v>0</v>
      </c>
      <c r="F34" s="62" t="n">
        <f aca="false">'Medição 07'!F34-'Medição 07'!G34</f>
        <v>0</v>
      </c>
      <c r="G34" s="52"/>
      <c r="H34" s="64" t="e">
        <f aca="false">G34/D34</f>
        <v>#DIV/0!</v>
      </c>
      <c r="I34" s="63" t="n">
        <f aca="false">G34*'Itens de Contrato'!F34</f>
        <v>0</v>
      </c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</row>
    <row r="35" customFormat="false" ht="12.8" hidden="false" customHeight="false" outlineLevel="0" collapsed="false">
      <c r="A35" s="37" t="n">
        <f aca="false">'Itens de Contrato'!A35</f>
        <v>0</v>
      </c>
      <c r="B35" s="37" t="n">
        <f aca="false">'Itens de Contrato'!B35</f>
        <v>0</v>
      </c>
      <c r="C35" s="37" t="e">
        <f aca="false">VLOOKUP(B35,'Itens de Contrato'!B$5:G$151,2,0)</f>
        <v>#N/A</v>
      </c>
      <c r="D35" s="52"/>
      <c r="E35" s="63" t="n">
        <f aca="false">D35*'Itens de Contrato'!F35</f>
        <v>0</v>
      </c>
      <c r="F35" s="62" t="n">
        <f aca="false">'Medição 07'!F35-'Medição 07'!G35</f>
        <v>0</v>
      </c>
      <c r="G35" s="52"/>
      <c r="H35" s="64" t="e">
        <f aca="false">G35/D35</f>
        <v>#DIV/0!</v>
      </c>
      <c r="I35" s="63" t="n">
        <f aca="false">G35*'Itens de Contrato'!F35</f>
        <v>0</v>
      </c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</row>
    <row r="36" customFormat="false" ht="12.8" hidden="false" customHeight="false" outlineLevel="0" collapsed="false">
      <c r="A36" s="37" t="n">
        <f aca="false">'Itens de Contrato'!A36</f>
        <v>0</v>
      </c>
      <c r="B36" s="37" t="n">
        <f aca="false">'Itens de Contrato'!B36</f>
        <v>0</v>
      </c>
      <c r="C36" s="37" t="e">
        <f aca="false">VLOOKUP(B36,'Itens de Contrato'!B$5:G$151,2,0)</f>
        <v>#N/A</v>
      </c>
      <c r="D36" s="52"/>
      <c r="E36" s="63" t="n">
        <f aca="false">D36*'Itens de Contrato'!F36</f>
        <v>0</v>
      </c>
      <c r="F36" s="62" t="n">
        <f aca="false">'Medição 07'!F36-'Medição 07'!G36</f>
        <v>0</v>
      </c>
      <c r="G36" s="52"/>
      <c r="H36" s="64" t="e">
        <f aca="false">G36/D36</f>
        <v>#DIV/0!</v>
      </c>
      <c r="I36" s="63" t="n">
        <f aca="false">G36*'Itens de Contrato'!F36</f>
        <v>0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customFormat="false" ht="12.8" hidden="false" customHeight="false" outlineLevel="0" collapsed="false">
      <c r="A37" s="37" t="n">
        <f aca="false">'Itens de Contrato'!A37</f>
        <v>0</v>
      </c>
      <c r="B37" s="37" t="n">
        <f aca="false">'Itens de Contrato'!B37</f>
        <v>0</v>
      </c>
      <c r="C37" s="37" t="e">
        <f aca="false">VLOOKUP(B37,'Itens de Contrato'!B$5:G$151,2,0)</f>
        <v>#N/A</v>
      </c>
      <c r="D37" s="52"/>
      <c r="E37" s="63" t="n">
        <f aca="false">D37*'Itens de Contrato'!F37</f>
        <v>0</v>
      </c>
      <c r="F37" s="62" t="n">
        <f aca="false">'Medição 07'!F37-'Medição 07'!G37</f>
        <v>0</v>
      </c>
      <c r="G37" s="52"/>
      <c r="H37" s="64" t="e">
        <f aca="false">G37/D37</f>
        <v>#DIV/0!</v>
      </c>
      <c r="I37" s="63" t="n">
        <f aca="false">G37*'Itens de Contrato'!F37</f>
        <v>0</v>
      </c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customFormat="false" ht="12.8" hidden="false" customHeight="false" outlineLevel="0" collapsed="false">
      <c r="A38" s="37" t="n">
        <f aca="false">'Itens de Contrato'!A38</f>
        <v>0</v>
      </c>
      <c r="B38" s="37" t="n">
        <f aca="false">'Itens de Contrato'!B38</f>
        <v>0</v>
      </c>
      <c r="C38" s="37" t="e">
        <f aca="false">VLOOKUP(B38,'Itens de Contrato'!B$5:G$151,2,0)</f>
        <v>#N/A</v>
      </c>
      <c r="D38" s="52"/>
      <c r="E38" s="63" t="n">
        <f aca="false">D38*'Itens de Contrato'!F38</f>
        <v>0</v>
      </c>
      <c r="F38" s="62" t="n">
        <f aca="false">'Medição 07'!F38-'Medição 07'!G38</f>
        <v>0</v>
      </c>
      <c r="G38" s="52"/>
      <c r="H38" s="64" t="e">
        <f aca="false">G38/D38</f>
        <v>#DIV/0!</v>
      </c>
      <c r="I38" s="63" t="n">
        <f aca="false">G38*'Itens de Contrato'!F38</f>
        <v>0</v>
      </c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customFormat="false" ht="12.8" hidden="false" customHeight="false" outlineLevel="0" collapsed="false">
      <c r="A39" s="37" t="n">
        <f aca="false">'Itens de Contrato'!A39</f>
        <v>0</v>
      </c>
      <c r="B39" s="37" t="n">
        <f aca="false">'Itens de Contrato'!B39</f>
        <v>0</v>
      </c>
      <c r="C39" s="37" t="e">
        <f aca="false">VLOOKUP(B39,'Itens de Contrato'!B$5:G$151,2,0)</f>
        <v>#N/A</v>
      </c>
      <c r="D39" s="52"/>
      <c r="E39" s="63" t="n">
        <f aca="false">D39*'Itens de Contrato'!F39</f>
        <v>0</v>
      </c>
      <c r="F39" s="62" t="n">
        <f aca="false">'Medição 07'!F39-'Medição 07'!G39</f>
        <v>0</v>
      </c>
      <c r="G39" s="52"/>
      <c r="H39" s="64" t="e">
        <f aca="false">G39/D39</f>
        <v>#DIV/0!</v>
      </c>
      <c r="I39" s="63" t="n">
        <f aca="false">G39*'Itens de Contrato'!F39</f>
        <v>0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customFormat="false" ht="12.8" hidden="false" customHeight="false" outlineLevel="0" collapsed="false">
      <c r="A40" s="37" t="n">
        <f aca="false">'Itens de Contrato'!A40</f>
        <v>0</v>
      </c>
      <c r="B40" s="37" t="n">
        <f aca="false">'Itens de Contrato'!B40</f>
        <v>0</v>
      </c>
      <c r="C40" s="37" t="e">
        <f aca="false">VLOOKUP(B40,'Itens de Contrato'!B$5:G$151,2,0)</f>
        <v>#N/A</v>
      </c>
      <c r="D40" s="52"/>
      <c r="E40" s="63" t="n">
        <f aca="false">D40*'Itens de Contrato'!F40</f>
        <v>0</v>
      </c>
      <c r="F40" s="62" t="n">
        <f aca="false">'Medição 07'!F40-'Medição 07'!G40</f>
        <v>0</v>
      </c>
      <c r="G40" s="52"/>
      <c r="H40" s="64" t="e">
        <f aca="false">G40/D40</f>
        <v>#DIV/0!</v>
      </c>
      <c r="I40" s="63" t="n">
        <f aca="false">G40*'Itens de Contrato'!F40</f>
        <v>0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customFormat="false" ht="12.8" hidden="false" customHeight="false" outlineLevel="0" collapsed="false">
      <c r="A41" s="37" t="n">
        <f aca="false">'Itens de Contrato'!A41</f>
        <v>0</v>
      </c>
      <c r="B41" s="37" t="n">
        <f aca="false">'Itens de Contrato'!B41</f>
        <v>0</v>
      </c>
      <c r="C41" s="37" t="e">
        <f aca="false">VLOOKUP(B41,'Itens de Contrato'!B$5:G$151,2,0)</f>
        <v>#N/A</v>
      </c>
      <c r="D41" s="52"/>
      <c r="E41" s="63" t="n">
        <f aca="false">D41*'Itens de Contrato'!F41</f>
        <v>0</v>
      </c>
      <c r="F41" s="62" t="n">
        <f aca="false">'Medição 07'!F41-'Medição 07'!G41</f>
        <v>0</v>
      </c>
      <c r="G41" s="52"/>
      <c r="H41" s="64" t="e">
        <f aca="false">G41/D41</f>
        <v>#DIV/0!</v>
      </c>
      <c r="I41" s="63" t="n">
        <f aca="false">G41*'Itens de Contrato'!F41</f>
        <v>0</v>
      </c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customFormat="false" ht="12.8" hidden="false" customHeight="false" outlineLevel="0" collapsed="false">
      <c r="A42" s="37" t="n">
        <f aca="false">'Itens de Contrato'!A42</f>
        <v>0</v>
      </c>
      <c r="B42" s="37" t="n">
        <f aca="false">'Itens de Contrato'!B42</f>
        <v>0</v>
      </c>
      <c r="C42" s="37" t="e">
        <f aca="false">VLOOKUP(B42,'Itens de Contrato'!B$5:G$151,2,0)</f>
        <v>#N/A</v>
      </c>
      <c r="D42" s="52"/>
      <c r="E42" s="63" t="n">
        <f aca="false">D42*'Itens de Contrato'!F42</f>
        <v>0</v>
      </c>
      <c r="F42" s="62" t="n">
        <f aca="false">'Medição 07'!F42-'Medição 07'!G42</f>
        <v>0</v>
      </c>
      <c r="G42" s="52"/>
      <c r="H42" s="64" t="e">
        <f aca="false">G42/D42</f>
        <v>#DIV/0!</v>
      </c>
      <c r="I42" s="63" t="n">
        <f aca="false">G42*'Itens de Contrato'!F42</f>
        <v>0</v>
      </c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customFormat="false" ht="12.8" hidden="false" customHeight="false" outlineLevel="0" collapsed="false">
      <c r="A43" s="37" t="n">
        <f aca="false">'Itens de Contrato'!A43</f>
        <v>0</v>
      </c>
      <c r="B43" s="37" t="n">
        <f aca="false">'Itens de Contrato'!B43</f>
        <v>0</v>
      </c>
      <c r="C43" s="37" t="e">
        <f aca="false">VLOOKUP(B43,'Itens de Contrato'!B$5:G$151,2,0)</f>
        <v>#N/A</v>
      </c>
      <c r="D43" s="52"/>
      <c r="E43" s="63" t="n">
        <f aca="false">D43*'Itens de Contrato'!F43</f>
        <v>0</v>
      </c>
      <c r="F43" s="62" t="n">
        <f aca="false">'Medição 07'!F43-'Medição 07'!G43</f>
        <v>0</v>
      </c>
      <c r="G43" s="52"/>
      <c r="H43" s="64" t="e">
        <f aca="false">G43/D43</f>
        <v>#DIV/0!</v>
      </c>
      <c r="I43" s="63" t="n">
        <f aca="false">G43*'Itens de Contrato'!F43</f>
        <v>0</v>
      </c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customFormat="false" ht="12.8" hidden="false" customHeight="false" outlineLevel="0" collapsed="false">
      <c r="A44" s="37" t="n">
        <f aca="false">'Itens de Contrato'!A44</f>
        <v>0</v>
      </c>
      <c r="B44" s="37" t="n">
        <f aca="false">'Itens de Contrato'!B44</f>
        <v>0</v>
      </c>
      <c r="C44" s="37" t="e">
        <f aca="false">VLOOKUP(B44,'Itens de Contrato'!B$5:G$151,2,0)</f>
        <v>#N/A</v>
      </c>
      <c r="D44" s="52"/>
      <c r="E44" s="63" t="n">
        <f aca="false">D44*'Itens de Contrato'!F44</f>
        <v>0</v>
      </c>
      <c r="F44" s="62" t="n">
        <f aca="false">'Medição 07'!F44-'Medição 07'!G44</f>
        <v>0</v>
      </c>
      <c r="G44" s="52"/>
      <c r="H44" s="64" t="e">
        <f aca="false">G44/D44</f>
        <v>#DIV/0!</v>
      </c>
      <c r="I44" s="63" t="n">
        <f aca="false">G44*'Itens de Contrato'!F44</f>
        <v>0</v>
      </c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customFormat="false" ht="12.8" hidden="false" customHeight="false" outlineLevel="0" collapsed="false">
      <c r="A45" s="37" t="n">
        <f aca="false">'Itens de Contrato'!A45</f>
        <v>0</v>
      </c>
      <c r="B45" s="37" t="n">
        <f aca="false">'Itens de Contrato'!B45</f>
        <v>0</v>
      </c>
      <c r="C45" s="37" t="e">
        <f aca="false">VLOOKUP(B45,'Itens de Contrato'!B$5:G$151,2,0)</f>
        <v>#N/A</v>
      </c>
      <c r="D45" s="52"/>
      <c r="E45" s="63" t="n">
        <f aca="false">D45*'Itens de Contrato'!F45</f>
        <v>0</v>
      </c>
      <c r="F45" s="62" t="n">
        <f aca="false">'Medição 07'!F45-'Medição 07'!G45</f>
        <v>0</v>
      </c>
      <c r="G45" s="52"/>
      <c r="H45" s="64" t="e">
        <f aca="false">G45/D45</f>
        <v>#DIV/0!</v>
      </c>
      <c r="I45" s="63" t="n">
        <f aca="false">G45*'Itens de Contrato'!F45</f>
        <v>0</v>
      </c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customFormat="false" ht="12.8" hidden="false" customHeight="false" outlineLevel="0" collapsed="false">
      <c r="A46" s="37" t="n">
        <f aca="false">'Itens de Contrato'!A46</f>
        <v>0</v>
      </c>
      <c r="B46" s="37" t="n">
        <f aca="false">'Itens de Contrato'!B46</f>
        <v>0</v>
      </c>
      <c r="C46" s="37" t="e">
        <f aca="false">VLOOKUP(B46,'Itens de Contrato'!B$5:G$151,2,0)</f>
        <v>#N/A</v>
      </c>
      <c r="D46" s="52"/>
      <c r="E46" s="63" t="n">
        <f aca="false">D46*'Itens de Contrato'!F46</f>
        <v>0</v>
      </c>
      <c r="F46" s="62" t="n">
        <f aca="false">'Medição 07'!F46-'Medição 07'!G46</f>
        <v>0</v>
      </c>
      <c r="G46" s="52"/>
      <c r="H46" s="64" t="e">
        <f aca="false">G46/D46</f>
        <v>#DIV/0!</v>
      </c>
      <c r="I46" s="63" t="n">
        <f aca="false">G46*'Itens de Contrato'!F46</f>
        <v>0</v>
      </c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customFormat="false" ht="12.8" hidden="false" customHeight="false" outlineLevel="0" collapsed="false">
      <c r="A47" s="37" t="n">
        <f aca="false">'Itens de Contrato'!A47</f>
        <v>0</v>
      </c>
      <c r="B47" s="37" t="n">
        <f aca="false">'Itens de Contrato'!B47</f>
        <v>0</v>
      </c>
      <c r="C47" s="37" t="e">
        <f aca="false">VLOOKUP(B47,'Itens de Contrato'!B$5:G$151,2,0)</f>
        <v>#N/A</v>
      </c>
      <c r="D47" s="52"/>
      <c r="E47" s="63" t="n">
        <f aca="false">D47*'Itens de Contrato'!F47</f>
        <v>0</v>
      </c>
      <c r="F47" s="62" t="n">
        <f aca="false">'Medição 07'!F47-'Medição 07'!G47</f>
        <v>0</v>
      </c>
      <c r="G47" s="52"/>
      <c r="H47" s="64" t="e">
        <f aca="false">G47/D47</f>
        <v>#DIV/0!</v>
      </c>
      <c r="I47" s="63" t="n">
        <f aca="false">G47*'Itens de Contrato'!F47</f>
        <v>0</v>
      </c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customFormat="false" ht="12.8" hidden="false" customHeight="false" outlineLevel="0" collapsed="false">
      <c r="A48" s="37" t="n">
        <f aca="false">'Itens de Contrato'!A48</f>
        <v>0</v>
      </c>
      <c r="B48" s="37" t="n">
        <f aca="false">'Itens de Contrato'!B48</f>
        <v>0</v>
      </c>
      <c r="C48" s="37" t="e">
        <f aca="false">VLOOKUP(B48,'Itens de Contrato'!B$5:G$151,2,0)</f>
        <v>#N/A</v>
      </c>
      <c r="D48" s="52"/>
      <c r="E48" s="63" t="n">
        <f aca="false">D48*'Itens de Contrato'!F48</f>
        <v>0</v>
      </c>
      <c r="F48" s="62" t="n">
        <f aca="false">'Medição 07'!F48-'Medição 07'!G48</f>
        <v>0</v>
      </c>
      <c r="G48" s="52"/>
      <c r="H48" s="64" t="e">
        <f aca="false">G48/D48</f>
        <v>#DIV/0!</v>
      </c>
      <c r="I48" s="63" t="n">
        <f aca="false">G48*'Itens de Contrato'!F48</f>
        <v>0</v>
      </c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customFormat="false" ht="12.8" hidden="false" customHeight="false" outlineLevel="0" collapsed="false">
      <c r="A49" s="37" t="n">
        <f aca="false">'Itens de Contrato'!A49</f>
        <v>0</v>
      </c>
      <c r="B49" s="37" t="n">
        <f aca="false">'Itens de Contrato'!B49</f>
        <v>0</v>
      </c>
      <c r="C49" s="37" t="e">
        <f aca="false">VLOOKUP(B49,'Itens de Contrato'!B$5:G$151,2,0)</f>
        <v>#N/A</v>
      </c>
      <c r="D49" s="52"/>
      <c r="E49" s="63" t="n">
        <f aca="false">D49*'Itens de Contrato'!F49</f>
        <v>0</v>
      </c>
      <c r="F49" s="62" t="n">
        <f aca="false">'Medição 07'!F49-'Medição 07'!G49</f>
        <v>0</v>
      </c>
      <c r="G49" s="52"/>
      <c r="H49" s="64" t="e">
        <f aca="false">G49/D49</f>
        <v>#DIV/0!</v>
      </c>
      <c r="I49" s="63" t="n">
        <f aca="false">G49*'Itens de Contrato'!F49</f>
        <v>0</v>
      </c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customFormat="false" ht="12.8" hidden="false" customHeight="false" outlineLevel="0" collapsed="false">
      <c r="A50" s="37" t="n">
        <f aca="false">'Itens de Contrato'!A50</f>
        <v>0</v>
      </c>
      <c r="B50" s="37" t="n">
        <f aca="false">'Itens de Contrato'!B50</f>
        <v>0</v>
      </c>
      <c r="C50" s="37" t="e">
        <f aca="false">VLOOKUP(B50,'Itens de Contrato'!B$5:G$151,2,0)</f>
        <v>#N/A</v>
      </c>
      <c r="D50" s="52"/>
      <c r="E50" s="63" t="n">
        <f aca="false">D50*'Itens de Contrato'!F50</f>
        <v>0</v>
      </c>
      <c r="F50" s="62" t="n">
        <f aca="false">'Medição 07'!F50-'Medição 07'!G50</f>
        <v>0</v>
      </c>
      <c r="G50" s="52"/>
      <c r="H50" s="64" t="e">
        <f aca="false">G50/D50</f>
        <v>#DIV/0!</v>
      </c>
      <c r="I50" s="63" t="n">
        <f aca="false">G50*'Itens de Contrato'!F50</f>
        <v>0</v>
      </c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customFormat="false" ht="12.8" hidden="false" customHeight="false" outlineLevel="0" collapsed="false">
      <c r="A51" s="37" t="n">
        <f aca="false">'Itens de Contrato'!A51</f>
        <v>0</v>
      </c>
      <c r="B51" s="37" t="n">
        <f aca="false">'Itens de Contrato'!B51</f>
        <v>0</v>
      </c>
      <c r="C51" s="37" t="e">
        <f aca="false">VLOOKUP(B51,'Itens de Contrato'!B$5:G$151,2,0)</f>
        <v>#N/A</v>
      </c>
      <c r="D51" s="52"/>
      <c r="E51" s="63" t="n">
        <f aca="false">D51*'Itens de Contrato'!F51</f>
        <v>0</v>
      </c>
      <c r="F51" s="62" t="n">
        <f aca="false">'Medição 07'!F51-'Medição 07'!G51</f>
        <v>0</v>
      </c>
      <c r="G51" s="52"/>
      <c r="H51" s="64" t="e">
        <f aca="false">G51/D51</f>
        <v>#DIV/0!</v>
      </c>
      <c r="I51" s="63" t="n">
        <f aca="false">G51*'Itens de Contrato'!F51</f>
        <v>0</v>
      </c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customFormat="false" ht="12.8" hidden="false" customHeight="false" outlineLevel="0" collapsed="false">
      <c r="A52" s="37" t="n">
        <f aca="false">'Itens de Contrato'!A52</f>
        <v>0</v>
      </c>
      <c r="B52" s="37" t="n">
        <f aca="false">'Itens de Contrato'!B52</f>
        <v>0</v>
      </c>
      <c r="C52" s="37" t="e">
        <f aca="false">VLOOKUP(B52,'Itens de Contrato'!B$5:G$151,2,0)</f>
        <v>#N/A</v>
      </c>
      <c r="D52" s="52"/>
      <c r="E52" s="63" t="n">
        <f aca="false">D52*'Itens de Contrato'!F52</f>
        <v>0</v>
      </c>
      <c r="F52" s="62" t="n">
        <f aca="false">'Medição 07'!F52-'Medição 07'!G52</f>
        <v>0</v>
      </c>
      <c r="G52" s="52"/>
      <c r="H52" s="64" t="e">
        <f aca="false">G52/D52</f>
        <v>#DIV/0!</v>
      </c>
      <c r="I52" s="63" t="n">
        <f aca="false">G52*'Itens de Contrato'!F52</f>
        <v>0</v>
      </c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customFormat="false" ht="12.8" hidden="false" customHeight="false" outlineLevel="0" collapsed="false">
      <c r="A53" s="37" t="n">
        <f aca="false">'Itens de Contrato'!A53</f>
        <v>0</v>
      </c>
      <c r="B53" s="37" t="n">
        <f aca="false">'Itens de Contrato'!B53</f>
        <v>0</v>
      </c>
      <c r="C53" s="37" t="e">
        <f aca="false">VLOOKUP(B53,'Itens de Contrato'!B$5:G$151,2,0)</f>
        <v>#N/A</v>
      </c>
      <c r="D53" s="52"/>
      <c r="E53" s="63" t="n">
        <f aca="false">D53*'Itens de Contrato'!F53</f>
        <v>0</v>
      </c>
      <c r="F53" s="62" t="n">
        <f aca="false">'Medição 07'!F53-'Medição 07'!G53</f>
        <v>0</v>
      </c>
      <c r="G53" s="52"/>
      <c r="H53" s="64" t="e">
        <f aca="false">G53/D53</f>
        <v>#DIV/0!</v>
      </c>
      <c r="I53" s="63" t="n">
        <f aca="false">G53*'Itens de Contrato'!F53</f>
        <v>0</v>
      </c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customFormat="false" ht="12.8" hidden="false" customHeight="false" outlineLevel="0" collapsed="false">
      <c r="A54" s="37" t="n">
        <f aca="false">'Itens de Contrato'!A54</f>
        <v>0</v>
      </c>
      <c r="B54" s="37" t="n">
        <f aca="false">'Itens de Contrato'!B54</f>
        <v>0</v>
      </c>
      <c r="C54" s="37" t="e">
        <f aca="false">VLOOKUP(B54,'Itens de Contrato'!B$5:G$151,2,0)</f>
        <v>#N/A</v>
      </c>
      <c r="D54" s="52"/>
      <c r="E54" s="63" t="n">
        <f aca="false">D54*'Itens de Contrato'!F54</f>
        <v>0</v>
      </c>
      <c r="F54" s="62" t="n">
        <f aca="false">'Medição 07'!F54-'Medição 07'!G54</f>
        <v>0</v>
      </c>
      <c r="G54" s="52"/>
      <c r="H54" s="64" t="e">
        <f aca="false">G54/D54</f>
        <v>#DIV/0!</v>
      </c>
      <c r="I54" s="63" t="n">
        <f aca="false">G54*'Itens de Contrato'!F54</f>
        <v>0</v>
      </c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customFormat="false" ht="12.8" hidden="false" customHeight="false" outlineLevel="0" collapsed="false">
      <c r="A55" s="37" t="n">
        <f aca="false">'Itens de Contrato'!A55</f>
        <v>0</v>
      </c>
      <c r="B55" s="37" t="n">
        <f aca="false">'Itens de Contrato'!B55</f>
        <v>0</v>
      </c>
      <c r="C55" s="37" t="e">
        <f aca="false">VLOOKUP(B55,'Itens de Contrato'!B$5:G$151,2,0)</f>
        <v>#N/A</v>
      </c>
      <c r="D55" s="52"/>
      <c r="E55" s="63" t="n">
        <f aca="false">D55*'Itens de Contrato'!F55</f>
        <v>0</v>
      </c>
      <c r="F55" s="62" t="n">
        <f aca="false">'Medição 07'!F55-'Medição 07'!G55</f>
        <v>0</v>
      </c>
      <c r="G55" s="52"/>
      <c r="H55" s="64" t="e">
        <f aca="false">G55/D55</f>
        <v>#DIV/0!</v>
      </c>
      <c r="I55" s="63" t="n">
        <f aca="false">G55*'Itens de Contrato'!F55</f>
        <v>0</v>
      </c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customFormat="false" ht="12.8" hidden="false" customHeight="false" outlineLevel="0" collapsed="false">
      <c r="A56" s="37" t="n">
        <f aca="false">'Itens de Contrato'!A56</f>
        <v>0</v>
      </c>
      <c r="B56" s="37" t="n">
        <f aca="false">'Itens de Contrato'!B56</f>
        <v>0</v>
      </c>
      <c r="C56" s="37" t="e">
        <f aca="false">VLOOKUP(B56,'Itens de Contrato'!B$5:G$151,2,0)</f>
        <v>#N/A</v>
      </c>
      <c r="D56" s="52"/>
      <c r="E56" s="63" t="n">
        <f aca="false">D56*'Itens de Contrato'!F56</f>
        <v>0</v>
      </c>
      <c r="F56" s="62" t="n">
        <f aca="false">'Medição 07'!F56-'Medição 07'!G56</f>
        <v>0</v>
      </c>
      <c r="G56" s="52"/>
      <c r="H56" s="64" t="e">
        <f aca="false">G56/D56</f>
        <v>#DIV/0!</v>
      </c>
      <c r="I56" s="63" t="n">
        <f aca="false">G56*'Itens de Contrato'!F56</f>
        <v>0</v>
      </c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customFormat="false" ht="12.8" hidden="false" customHeight="false" outlineLevel="0" collapsed="false">
      <c r="A57" s="37" t="n">
        <f aca="false">'Itens de Contrato'!A57</f>
        <v>0</v>
      </c>
      <c r="B57" s="37" t="n">
        <f aca="false">'Itens de Contrato'!B57</f>
        <v>0</v>
      </c>
      <c r="C57" s="37" t="e">
        <f aca="false">VLOOKUP(B57,'Itens de Contrato'!B$5:G$151,2,0)</f>
        <v>#N/A</v>
      </c>
      <c r="D57" s="52"/>
      <c r="E57" s="63" t="n">
        <f aca="false">D57*'Itens de Contrato'!F57</f>
        <v>0</v>
      </c>
      <c r="F57" s="62" t="n">
        <f aca="false">'Medição 07'!F57-'Medição 07'!G57</f>
        <v>0</v>
      </c>
      <c r="G57" s="52"/>
      <c r="H57" s="64" t="e">
        <f aca="false">G57/D57</f>
        <v>#DIV/0!</v>
      </c>
      <c r="I57" s="63" t="n">
        <f aca="false">G57*'Itens de Contrato'!F57</f>
        <v>0</v>
      </c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customFormat="false" ht="12.8" hidden="false" customHeight="false" outlineLevel="0" collapsed="false">
      <c r="A58" s="37" t="n">
        <f aca="false">'Itens de Contrato'!A58</f>
        <v>0</v>
      </c>
      <c r="B58" s="37" t="n">
        <f aca="false">'Itens de Contrato'!B58</f>
        <v>0</v>
      </c>
      <c r="C58" s="37" t="e">
        <f aca="false">VLOOKUP(B58,'Itens de Contrato'!B$5:G$151,2,0)</f>
        <v>#N/A</v>
      </c>
      <c r="D58" s="52"/>
      <c r="E58" s="63" t="n">
        <f aca="false">D58*'Itens de Contrato'!F58</f>
        <v>0</v>
      </c>
      <c r="F58" s="62" t="n">
        <f aca="false">'Medição 07'!F58-'Medição 07'!G58</f>
        <v>0</v>
      </c>
      <c r="G58" s="52"/>
      <c r="H58" s="64" t="e">
        <f aca="false">G58/D58</f>
        <v>#DIV/0!</v>
      </c>
      <c r="I58" s="63" t="n">
        <f aca="false">G58*'Itens de Contrato'!F58</f>
        <v>0</v>
      </c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customFormat="false" ht="12.8" hidden="false" customHeight="false" outlineLevel="0" collapsed="false">
      <c r="A59" s="37" t="n">
        <f aca="false">'Itens de Contrato'!A59</f>
        <v>0</v>
      </c>
      <c r="B59" s="37" t="n">
        <f aca="false">'Itens de Contrato'!B59</f>
        <v>0</v>
      </c>
      <c r="C59" s="37" t="e">
        <f aca="false">VLOOKUP(B59,'Itens de Contrato'!B$5:G$151,2,0)</f>
        <v>#N/A</v>
      </c>
      <c r="D59" s="52"/>
      <c r="E59" s="63" t="n">
        <f aca="false">D59*'Itens de Contrato'!F59</f>
        <v>0</v>
      </c>
      <c r="F59" s="62" t="n">
        <f aca="false">'Medição 07'!F59-'Medição 07'!G59</f>
        <v>0</v>
      </c>
      <c r="G59" s="52"/>
      <c r="H59" s="64" t="e">
        <f aca="false">G59/D59</f>
        <v>#DIV/0!</v>
      </c>
      <c r="I59" s="63" t="n">
        <f aca="false">G59*'Itens de Contrato'!F59</f>
        <v>0</v>
      </c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</row>
    <row r="60" customFormat="false" ht="12.8" hidden="false" customHeight="false" outlineLevel="0" collapsed="false">
      <c r="A60" s="37" t="n">
        <f aca="false">'Itens de Contrato'!A60</f>
        <v>0</v>
      </c>
      <c r="B60" s="37" t="n">
        <f aca="false">'Itens de Contrato'!B60</f>
        <v>0</v>
      </c>
      <c r="C60" s="37" t="e">
        <f aca="false">VLOOKUP(B60,'Itens de Contrato'!B$5:G$151,2,0)</f>
        <v>#N/A</v>
      </c>
      <c r="D60" s="52"/>
      <c r="E60" s="63" t="n">
        <f aca="false">D60*'Itens de Contrato'!F60</f>
        <v>0</v>
      </c>
      <c r="F60" s="62" t="n">
        <f aca="false">'Medição 07'!F60-'Medição 07'!G60</f>
        <v>0</v>
      </c>
      <c r="G60" s="52"/>
      <c r="H60" s="64" t="e">
        <f aca="false">G60/D60</f>
        <v>#DIV/0!</v>
      </c>
      <c r="I60" s="63" t="n">
        <f aca="false">G60*'Itens de Contrato'!F60</f>
        <v>0</v>
      </c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customFormat="false" ht="12.8" hidden="false" customHeight="false" outlineLevel="0" collapsed="false">
      <c r="A61" s="37" t="n">
        <f aca="false">'Itens de Contrato'!A61</f>
        <v>0</v>
      </c>
      <c r="B61" s="37" t="n">
        <f aca="false">'Itens de Contrato'!B61</f>
        <v>0</v>
      </c>
      <c r="C61" s="37" t="e">
        <f aca="false">VLOOKUP(B61,'Itens de Contrato'!B$5:G$151,2,0)</f>
        <v>#N/A</v>
      </c>
      <c r="D61" s="52"/>
      <c r="E61" s="63" t="n">
        <f aca="false">D61*'Itens de Contrato'!F61</f>
        <v>0</v>
      </c>
      <c r="F61" s="62" t="n">
        <f aca="false">'Medição 07'!F61-'Medição 07'!G61</f>
        <v>0</v>
      </c>
      <c r="G61" s="52"/>
      <c r="H61" s="64" t="e">
        <f aca="false">G61/D61</f>
        <v>#DIV/0!</v>
      </c>
      <c r="I61" s="63" t="n">
        <f aca="false">G61*'Itens de Contrato'!F61</f>
        <v>0</v>
      </c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customFormat="false" ht="12.8" hidden="false" customHeight="false" outlineLevel="0" collapsed="false">
      <c r="A62" s="37" t="n">
        <f aca="false">'Itens de Contrato'!A62</f>
        <v>0</v>
      </c>
      <c r="B62" s="37" t="n">
        <f aca="false">'Itens de Contrato'!B62</f>
        <v>0</v>
      </c>
      <c r="C62" s="37" t="e">
        <f aca="false">VLOOKUP(B62,'Itens de Contrato'!B$5:G$151,2,0)</f>
        <v>#N/A</v>
      </c>
      <c r="D62" s="52"/>
      <c r="E62" s="63" t="n">
        <f aca="false">D62*'Itens de Contrato'!F62</f>
        <v>0</v>
      </c>
      <c r="F62" s="62" t="n">
        <f aca="false">'Medição 07'!F62-'Medição 07'!G62</f>
        <v>0</v>
      </c>
      <c r="G62" s="52"/>
      <c r="H62" s="64" t="e">
        <f aca="false">G62/D62</f>
        <v>#DIV/0!</v>
      </c>
      <c r="I62" s="63" t="n">
        <f aca="false">G62*'Itens de Contrato'!F62</f>
        <v>0</v>
      </c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customFormat="false" ht="12.8" hidden="false" customHeight="false" outlineLevel="0" collapsed="false">
      <c r="A63" s="37" t="n">
        <f aca="false">'Itens de Contrato'!A63</f>
        <v>0</v>
      </c>
      <c r="B63" s="37" t="n">
        <f aca="false">'Itens de Contrato'!B63</f>
        <v>0</v>
      </c>
      <c r="C63" s="37" t="e">
        <f aca="false">VLOOKUP(B63,'Itens de Contrato'!B$5:G$151,2,0)</f>
        <v>#N/A</v>
      </c>
      <c r="D63" s="52"/>
      <c r="E63" s="63" t="n">
        <f aca="false">D63*'Itens de Contrato'!F63</f>
        <v>0</v>
      </c>
      <c r="F63" s="62" t="n">
        <f aca="false">'Medição 07'!F63-'Medição 07'!G63</f>
        <v>0</v>
      </c>
      <c r="G63" s="52"/>
      <c r="H63" s="64" t="e">
        <f aca="false">G63/D63</f>
        <v>#DIV/0!</v>
      </c>
      <c r="I63" s="63" t="n">
        <f aca="false">G63*'Itens de Contrato'!F63</f>
        <v>0</v>
      </c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customFormat="false" ht="12.8" hidden="false" customHeight="false" outlineLevel="0" collapsed="false">
      <c r="A64" s="37" t="n">
        <f aca="false">'Itens de Contrato'!A64</f>
        <v>0</v>
      </c>
      <c r="B64" s="37" t="n">
        <f aca="false">'Itens de Contrato'!B64</f>
        <v>0</v>
      </c>
      <c r="C64" s="37" t="e">
        <f aca="false">VLOOKUP(B64,'Itens de Contrato'!B$5:G$151,2,0)</f>
        <v>#N/A</v>
      </c>
      <c r="D64" s="52"/>
      <c r="E64" s="63" t="n">
        <f aca="false">D64*'Itens de Contrato'!F64</f>
        <v>0</v>
      </c>
      <c r="F64" s="62" t="n">
        <f aca="false">'Medição 07'!F64-'Medição 07'!G64</f>
        <v>0</v>
      </c>
      <c r="G64" s="52"/>
      <c r="H64" s="64" t="e">
        <f aca="false">G64/D64</f>
        <v>#DIV/0!</v>
      </c>
      <c r="I64" s="63" t="n">
        <f aca="false">G64*'Itens de Contrato'!F64</f>
        <v>0</v>
      </c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customFormat="false" ht="12.8" hidden="false" customHeight="false" outlineLevel="0" collapsed="false">
      <c r="A65" s="37" t="n">
        <f aca="false">'Itens de Contrato'!A65</f>
        <v>0</v>
      </c>
      <c r="B65" s="37" t="n">
        <f aca="false">'Itens de Contrato'!B65</f>
        <v>0</v>
      </c>
      <c r="C65" s="37" t="e">
        <f aca="false">VLOOKUP(B65,'Itens de Contrato'!B$5:G$151,2,0)</f>
        <v>#N/A</v>
      </c>
      <c r="D65" s="52"/>
      <c r="E65" s="63" t="n">
        <f aca="false">D65*'Itens de Contrato'!F65</f>
        <v>0</v>
      </c>
      <c r="F65" s="62" t="n">
        <f aca="false">'Medição 07'!F65-'Medição 07'!G65</f>
        <v>0</v>
      </c>
      <c r="G65" s="52"/>
      <c r="H65" s="64" t="e">
        <f aca="false">G65/D65</f>
        <v>#DIV/0!</v>
      </c>
      <c r="I65" s="63" t="n">
        <f aca="false">G65*'Itens de Contrato'!F65</f>
        <v>0</v>
      </c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customFormat="false" ht="12.8" hidden="false" customHeight="false" outlineLevel="0" collapsed="false">
      <c r="A66" s="37" t="n">
        <f aca="false">'Itens de Contrato'!A66</f>
        <v>0</v>
      </c>
      <c r="B66" s="37" t="n">
        <f aca="false">'Itens de Contrato'!B66</f>
        <v>0</v>
      </c>
      <c r="C66" s="37" t="e">
        <f aca="false">VLOOKUP(B66,'Itens de Contrato'!B$5:G$151,2,0)</f>
        <v>#N/A</v>
      </c>
      <c r="D66" s="52"/>
      <c r="E66" s="63" t="n">
        <f aca="false">D66*'Itens de Contrato'!F66</f>
        <v>0</v>
      </c>
      <c r="F66" s="62" t="n">
        <f aca="false">'Medição 07'!F66-'Medição 07'!G66</f>
        <v>0</v>
      </c>
      <c r="G66" s="52"/>
      <c r="H66" s="64" t="e">
        <f aca="false">G66/D66</f>
        <v>#DIV/0!</v>
      </c>
      <c r="I66" s="63" t="n">
        <f aca="false">G66*'Itens de Contrato'!F66</f>
        <v>0</v>
      </c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customFormat="false" ht="12.8" hidden="false" customHeight="false" outlineLevel="0" collapsed="false">
      <c r="A67" s="37" t="n">
        <f aca="false">'Itens de Contrato'!A67</f>
        <v>0</v>
      </c>
      <c r="B67" s="37" t="n">
        <f aca="false">'Itens de Contrato'!B67</f>
        <v>0</v>
      </c>
      <c r="C67" s="37" t="e">
        <f aca="false">VLOOKUP(B67,'Itens de Contrato'!B$5:G$151,2,0)</f>
        <v>#N/A</v>
      </c>
      <c r="D67" s="52"/>
      <c r="E67" s="63" t="n">
        <f aca="false">D67*'Itens de Contrato'!F67</f>
        <v>0</v>
      </c>
      <c r="F67" s="62" t="n">
        <f aca="false">'Medição 07'!F67-'Medição 07'!G67</f>
        <v>0</v>
      </c>
      <c r="G67" s="52"/>
      <c r="H67" s="64" t="e">
        <f aca="false">G67/D67</f>
        <v>#DIV/0!</v>
      </c>
      <c r="I67" s="63" t="n">
        <f aca="false">G67*'Itens de Contrato'!F67</f>
        <v>0</v>
      </c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customFormat="false" ht="12.8" hidden="false" customHeight="false" outlineLevel="0" collapsed="false">
      <c r="A68" s="37" t="n">
        <f aca="false">'Itens de Contrato'!A68</f>
        <v>0</v>
      </c>
      <c r="B68" s="37" t="n">
        <f aca="false">'Itens de Contrato'!B68</f>
        <v>0</v>
      </c>
      <c r="C68" s="37" t="e">
        <f aca="false">VLOOKUP(B68,'Itens de Contrato'!B$5:G$151,2,0)</f>
        <v>#N/A</v>
      </c>
      <c r="D68" s="52"/>
      <c r="E68" s="63" t="n">
        <f aca="false">D68*'Itens de Contrato'!F68</f>
        <v>0</v>
      </c>
      <c r="F68" s="62" t="n">
        <f aca="false">'Medição 07'!F68-'Medição 07'!G68</f>
        <v>0</v>
      </c>
      <c r="G68" s="52"/>
      <c r="H68" s="64" t="e">
        <f aca="false">G68/D68</f>
        <v>#DIV/0!</v>
      </c>
      <c r="I68" s="63" t="n">
        <f aca="false">G68*'Itens de Contrato'!F68</f>
        <v>0</v>
      </c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</row>
    <row r="69" customFormat="false" ht="12.8" hidden="false" customHeight="false" outlineLevel="0" collapsed="false">
      <c r="A69" s="37" t="n">
        <f aca="false">'Itens de Contrato'!A69</f>
        <v>0</v>
      </c>
      <c r="B69" s="37" t="n">
        <f aca="false">'Itens de Contrato'!B69</f>
        <v>0</v>
      </c>
      <c r="C69" s="37" t="e">
        <f aca="false">VLOOKUP(B69,'Itens de Contrato'!B$5:G$151,2,0)</f>
        <v>#N/A</v>
      </c>
      <c r="D69" s="52"/>
      <c r="E69" s="63" t="n">
        <f aca="false">D69*'Itens de Contrato'!F69</f>
        <v>0</v>
      </c>
      <c r="F69" s="62" t="n">
        <f aca="false">'Medição 07'!F69-'Medição 07'!G69</f>
        <v>0</v>
      </c>
      <c r="G69" s="52"/>
      <c r="H69" s="64" t="e">
        <f aca="false">G69/D69</f>
        <v>#DIV/0!</v>
      </c>
      <c r="I69" s="63" t="n">
        <f aca="false">G69*'Itens de Contrato'!F69</f>
        <v>0</v>
      </c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</row>
    <row r="70" customFormat="false" ht="12.8" hidden="false" customHeight="false" outlineLevel="0" collapsed="false">
      <c r="A70" s="37" t="n">
        <f aca="false">'Itens de Contrato'!A70</f>
        <v>0</v>
      </c>
      <c r="B70" s="37" t="n">
        <f aca="false">'Itens de Contrato'!B70</f>
        <v>0</v>
      </c>
      <c r="C70" s="37" t="e">
        <f aca="false">VLOOKUP(B70,'Itens de Contrato'!B$5:G$151,2,0)</f>
        <v>#N/A</v>
      </c>
      <c r="D70" s="52"/>
      <c r="E70" s="63" t="n">
        <f aca="false">D70*'Itens de Contrato'!F70</f>
        <v>0</v>
      </c>
      <c r="F70" s="62" t="n">
        <f aca="false">'Medição 07'!F70-'Medição 07'!G70</f>
        <v>0</v>
      </c>
      <c r="G70" s="52"/>
      <c r="H70" s="64" t="e">
        <f aca="false">G70/D70</f>
        <v>#DIV/0!</v>
      </c>
      <c r="I70" s="63" t="n">
        <f aca="false">G70*'Itens de Contrato'!F70</f>
        <v>0</v>
      </c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</row>
    <row r="71" customFormat="false" ht="12.8" hidden="false" customHeight="false" outlineLevel="0" collapsed="false">
      <c r="A71" s="37" t="n">
        <f aca="false">'Itens de Contrato'!A71</f>
        <v>0</v>
      </c>
      <c r="B71" s="37" t="n">
        <f aca="false">'Itens de Contrato'!B71</f>
        <v>0</v>
      </c>
      <c r="C71" s="37" t="e">
        <f aca="false">VLOOKUP(B71,'Itens de Contrato'!B$5:G$151,2,0)</f>
        <v>#N/A</v>
      </c>
      <c r="D71" s="52"/>
      <c r="E71" s="63" t="n">
        <f aca="false">D71*'Itens de Contrato'!F71</f>
        <v>0</v>
      </c>
      <c r="F71" s="62" t="n">
        <f aca="false">'Medição 07'!F71-'Medição 07'!G71</f>
        <v>0</v>
      </c>
      <c r="G71" s="52"/>
      <c r="H71" s="64" t="e">
        <f aca="false">G71/D71</f>
        <v>#DIV/0!</v>
      </c>
      <c r="I71" s="63" t="n">
        <f aca="false">G71*'Itens de Contrato'!F71</f>
        <v>0</v>
      </c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</row>
    <row r="72" customFormat="false" ht="12.8" hidden="false" customHeight="false" outlineLevel="0" collapsed="false">
      <c r="A72" s="37" t="n">
        <f aca="false">'Itens de Contrato'!A72</f>
        <v>0</v>
      </c>
      <c r="B72" s="37" t="n">
        <f aca="false">'Itens de Contrato'!B72</f>
        <v>0</v>
      </c>
      <c r="C72" s="37" t="e">
        <f aca="false">VLOOKUP(B72,'Itens de Contrato'!B$5:G$151,2,0)</f>
        <v>#N/A</v>
      </c>
      <c r="D72" s="52"/>
      <c r="E72" s="63" t="n">
        <f aca="false">D72*'Itens de Contrato'!F72</f>
        <v>0</v>
      </c>
      <c r="F72" s="62" t="n">
        <f aca="false">'Medição 07'!F72-'Medição 07'!G72</f>
        <v>0</v>
      </c>
      <c r="G72" s="52"/>
      <c r="H72" s="64" t="e">
        <f aca="false">G72/D72</f>
        <v>#DIV/0!</v>
      </c>
      <c r="I72" s="63" t="n">
        <f aca="false">G72*'Itens de Contrato'!F72</f>
        <v>0</v>
      </c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</row>
    <row r="73" customFormat="false" ht="12.8" hidden="false" customHeight="false" outlineLevel="0" collapsed="false">
      <c r="A73" s="37" t="n">
        <f aca="false">'Itens de Contrato'!A73</f>
        <v>0</v>
      </c>
      <c r="B73" s="37" t="n">
        <f aca="false">'Itens de Contrato'!B73</f>
        <v>0</v>
      </c>
      <c r="C73" s="37" t="e">
        <f aca="false">VLOOKUP(B73,'Itens de Contrato'!B$5:G$151,2,0)</f>
        <v>#N/A</v>
      </c>
      <c r="D73" s="52"/>
      <c r="E73" s="63" t="n">
        <f aca="false">D73*'Itens de Contrato'!F73</f>
        <v>0</v>
      </c>
      <c r="F73" s="62" t="n">
        <f aca="false">'Medição 07'!F73-'Medição 07'!G73</f>
        <v>0</v>
      </c>
      <c r="G73" s="52"/>
      <c r="H73" s="64" t="e">
        <f aca="false">G73/D73</f>
        <v>#DIV/0!</v>
      </c>
      <c r="I73" s="63" t="n">
        <f aca="false">G73*'Itens de Contrato'!F73</f>
        <v>0</v>
      </c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</row>
    <row r="74" customFormat="false" ht="12.8" hidden="false" customHeight="false" outlineLevel="0" collapsed="false">
      <c r="A74" s="37" t="n">
        <f aca="false">'Itens de Contrato'!A74</f>
        <v>0</v>
      </c>
      <c r="B74" s="37" t="n">
        <f aca="false">'Itens de Contrato'!B74</f>
        <v>0</v>
      </c>
      <c r="C74" s="37" t="e">
        <f aca="false">VLOOKUP(B74,'Itens de Contrato'!B$5:G$151,2,0)</f>
        <v>#N/A</v>
      </c>
      <c r="D74" s="52"/>
      <c r="E74" s="63" t="n">
        <f aca="false">D74*'Itens de Contrato'!F74</f>
        <v>0</v>
      </c>
      <c r="F74" s="62" t="n">
        <f aca="false">'Medição 07'!F74-'Medição 07'!G74</f>
        <v>0</v>
      </c>
      <c r="G74" s="52"/>
      <c r="H74" s="64" t="e">
        <f aca="false">G74/D74</f>
        <v>#DIV/0!</v>
      </c>
      <c r="I74" s="63" t="n">
        <f aca="false">G74*'Itens de Contrato'!F74</f>
        <v>0</v>
      </c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</row>
    <row r="75" customFormat="false" ht="12.8" hidden="false" customHeight="false" outlineLevel="0" collapsed="false">
      <c r="A75" s="37" t="n">
        <f aca="false">'Itens de Contrato'!A75</f>
        <v>0</v>
      </c>
      <c r="B75" s="37" t="n">
        <f aca="false">'Itens de Contrato'!B75</f>
        <v>0</v>
      </c>
      <c r="C75" s="37" t="e">
        <f aca="false">VLOOKUP(B75,'Itens de Contrato'!B$5:G$151,2,0)</f>
        <v>#N/A</v>
      </c>
      <c r="D75" s="52"/>
      <c r="E75" s="63" t="n">
        <f aca="false">D75*'Itens de Contrato'!F75</f>
        <v>0</v>
      </c>
      <c r="F75" s="62" t="n">
        <f aca="false">'Medição 07'!F75-'Medição 07'!G75</f>
        <v>0</v>
      </c>
      <c r="G75" s="52"/>
      <c r="H75" s="64" t="e">
        <f aca="false">G75/D75</f>
        <v>#DIV/0!</v>
      </c>
      <c r="I75" s="63" t="n">
        <f aca="false">G75*'Itens de Contrato'!F75</f>
        <v>0</v>
      </c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</row>
    <row r="76" customFormat="false" ht="12.8" hidden="false" customHeight="false" outlineLevel="0" collapsed="false">
      <c r="A76" s="37" t="n">
        <f aca="false">'Itens de Contrato'!A76</f>
        <v>0</v>
      </c>
      <c r="B76" s="37" t="n">
        <f aca="false">'Itens de Contrato'!B76</f>
        <v>0</v>
      </c>
      <c r="C76" s="37" t="e">
        <f aca="false">VLOOKUP(B76,'Itens de Contrato'!B$5:G$151,2,0)</f>
        <v>#N/A</v>
      </c>
      <c r="D76" s="52"/>
      <c r="E76" s="63" t="n">
        <f aca="false">D76*'Itens de Contrato'!F76</f>
        <v>0</v>
      </c>
      <c r="F76" s="62" t="n">
        <f aca="false">'Medição 07'!F76-'Medição 07'!G76</f>
        <v>0</v>
      </c>
      <c r="G76" s="52"/>
      <c r="H76" s="64" t="e">
        <f aca="false">G76/D76</f>
        <v>#DIV/0!</v>
      </c>
      <c r="I76" s="63" t="n">
        <f aca="false">G76*'Itens de Contrato'!F76</f>
        <v>0</v>
      </c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</row>
    <row r="77" customFormat="false" ht="12.8" hidden="false" customHeight="false" outlineLevel="0" collapsed="false">
      <c r="A77" s="37" t="n">
        <f aca="false">'Itens de Contrato'!A77</f>
        <v>0</v>
      </c>
      <c r="B77" s="37" t="n">
        <f aca="false">'Itens de Contrato'!B77</f>
        <v>0</v>
      </c>
      <c r="C77" s="37" t="e">
        <f aca="false">VLOOKUP(B77,'Itens de Contrato'!B$5:G$151,2,0)</f>
        <v>#N/A</v>
      </c>
      <c r="D77" s="52"/>
      <c r="E77" s="63" t="n">
        <f aca="false">D77*'Itens de Contrato'!F77</f>
        <v>0</v>
      </c>
      <c r="F77" s="62" t="n">
        <f aca="false">'Medição 07'!F77-'Medição 07'!G77</f>
        <v>0</v>
      </c>
      <c r="G77" s="52"/>
      <c r="H77" s="64" t="e">
        <f aca="false">G77/D77</f>
        <v>#DIV/0!</v>
      </c>
      <c r="I77" s="63" t="n">
        <f aca="false">G77*'Itens de Contrato'!F77</f>
        <v>0</v>
      </c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</row>
    <row r="78" customFormat="false" ht="12.8" hidden="false" customHeight="false" outlineLevel="0" collapsed="false">
      <c r="A78" s="37" t="n">
        <f aca="false">'Itens de Contrato'!A78</f>
        <v>0</v>
      </c>
      <c r="B78" s="37" t="n">
        <f aca="false">'Itens de Contrato'!B78</f>
        <v>0</v>
      </c>
      <c r="C78" s="37" t="e">
        <f aca="false">VLOOKUP(B78,'Itens de Contrato'!B$5:G$151,2,0)</f>
        <v>#N/A</v>
      </c>
      <c r="D78" s="52"/>
      <c r="E78" s="63" t="n">
        <f aca="false">D78*'Itens de Contrato'!F78</f>
        <v>0</v>
      </c>
      <c r="F78" s="62" t="n">
        <f aca="false">'Medição 07'!F78-'Medição 07'!G78</f>
        <v>0</v>
      </c>
      <c r="G78" s="52"/>
      <c r="H78" s="64" t="e">
        <f aca="false">G78/D78</f>
        <v>#DIV/0!</v>
      </c>
      <c r="I78" s="63" t="n">
        <f aca="false">G78*'Itens de Contrato'!F78</f>
        <v>0</v>
      </c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</row>
    <row r="79" customFormat="false" ht="12.8" hidden="false" customHeight="false" outlineLevel="0" collapsed="false">
      <c r="A79" s="37" t="n">
        <f aca="false">'Itens de Contrato'!A79</f>
        <v>0</v>
      </c>
      <c r="B79" s="37" t="n">
        <f aca="false">'Itens de Contrato'!B79</f>
        <v>0</v>
      </c>
      <c r="C79" s="37" t="e">
        <f aca="false">VLOOKUP(B79,'Itens de Contrato'!B$5:G$151,2,0)</f>
        <v>#N/A</v>
      </c>
      <c r="D79" s="52"/>
      <c r="E79" s="63" t="n">
        <f aca="false">D79*'Itens de Contrato'!F79</f>
        <v>0</v>
      </c>
      <c r="F79" s="62" t="n">
        <f aca="false">'Medição 07'!F79-'Medição 07'!G79</f>
        <v>0</v>
      </c>
      <c r="G79" s="52"/>
      <c r="H79" s="64" t="e">
        <f aca="false">G79/D79</f>
        <v>#DIV/0!</v>
      </c>
      <c r="I79" s="63" t="n">
        <f aca="false">G79*'Itens de Contrato'!F79</f>
        <v>0</v>
      </c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</row>
    <row r="80" customFormat="false" ht="12.8" hidden="false" customHeight="false" outlineLevel="0" collapsed="false">
      <c r="A80" s="37" t="n">
        <f aca="false">'Itens de Contrato'!A80</f>
        <v>0</v>
      </c>
      <c r="B80" s="37" t="n">
        <f aca="false">'Itens de Contrato'!B80</f>
        <v>0</v>
      </c>
      <c r="C80" s="37" t="e">
        <f aca="false">VLOOKUP(B80,'Itens de Contrato'!B$5:G$151,2,0)</f>
        <v>#N/A</v>
      </c>
      <c r="D80" s="52"/>
      <c r="E80" s="63" t="n">
        <f aca="false">D80*'Itens de Contrato'!F80</f>
        <v>0</v>
      </c>
      <c r="F80" s="62" t="n">
        <f aca="false">'Medição 07'!F80-'Medição 07'!G80</f>
        <v>0</v>
      </c>
      <c r="G80" s="52"/>
      <c r="H80" s="64" t="e">
        <f aca="false">G80/D80</f>
        <v>#DIV/0!</v>
      </c>
      <c r="I80" s="63" t="n">
        <f aca="false">G80*'Itens de Contrato'!F80</f>
        <v>0</v>
      </c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</row>
    <row r="81" customFormat="false" ht="12.8" hidden="false" customHeight="false" outlineLevel="0" collapsed="false">
      <c r="A81" s="37" t="n">
        <f aca="false">'Itens de Contrato'!A81</f>
        <v>0</v>
      </c>
      <c r="B81" s="37" t="n">
        <f aca="false">'Itens de Contrato'!B81</f>
        <v>0</v>
      </c>
      <c r="C81" s="37" t="e">
        <f aca="false">VLOOKUP(B81,'Itens de Contrato'!B$5:G$151,2,0)</f>
        <v>#N/A</v>
      </c>
      <c r="D81" s="52"/>
      <c r="E81" s="63" t="n">
        <f aca="false">D81*'Itens de Contrato'!F81</f>
        <v>0</v>
      </c>
      <c r="F81" s="62" t="n">
        <f aca="false">'Medição 07'!F81-'Medição 07'!G81</f>
        <v>0</v>
      </c>
      <c r="G81" s="52"/>
      <c r="H81" s="64" t="e">
        <f aca="false">G81/D81</f>
        <v>#DIV/0!</v>
      </c>
      <c r="I81" s="63" t="n">
        <f aca="false">G81*'Itens de Contrato'!F81</f>
        <v>0</v>
      </c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</row>
    <row r="82" customFormat="false" ht="12.8" hidden="false" customHeight="false" outlineLevel="0" collapsed="false">
      <c r="A82" s="37" t="n">
        <f aca="false">'Itens de Contrato'!A82</f>
        <v>0</v>
      </c>
      <c r="B82" s="37" t="n">
        <f aca="false">'Itens de Contrato'!B82</f>
        <v>0</v>
      </c>
      <c r="C82" s="37" t="e">
        <f aca="false">VLOOKUP(B82,'Itens de Contrato'!B$5:G$151,2,0)</f>
        <v>#N/A</v>
      </c>
      <c r="D82" s="52"/>
      <c r="E82" s="63" t="n">
        <f aca="false">D82*'Itens de Contrato'!F82</f>
        <v>0</v>
      </c>
      <c r="F82" s="62" t="n">
        <f aca="false">'Medição 07'!F82-'Medição 07'!G82</f>
        <v>0</v>
      </c>
      <c r="G82" s="52"/>
      <c r="H82" s="64" t="e">
        <f aca="false">G82/D82</f>
        <v>#DIV/0!</v>
      </c>
      <c r="I82" s="63" t="n">
        <f aca="false">G82*'Itens de Contrato'!F82</f>
        <v>0</v>
      </c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</row>
    <row r="83" customFormat="false" ht="12.8" hidden="false" customHeight="false" outlineLevel="0" collapsed="false">
      <c r="A83" s="37" t="n">
        <f aca="false">'Itens de Contrato'!A83</f>
        <v>0</v>
      </c>
      <c r="B83" s="37" t="n">
        <f aca="false">'Itens de Contrato'!B83</f>
        <v>0</v>
      </c>
      <c r="C83" s="37" t="e">
        <f aca="false">VLOOKUP(B83,'Itens de Contrato'!B$5:G$151,2,0)</f>
        <v>#N/A</v>
      </c>
      <c r="D83" s="52"/>
      <c r="E83" s="63" t="n">
        <f aca="false">D83*'Itens de Contrato'!F83</f>
        <v>0</v>
      </c>
      <c r="F83" s="62" t="n">
        <f aca="false">'Medição 07'!F83-'Medição 07'!G83</f>
        <v>0</v>
      </c>
      <c r="G83" s="52"/>
      <c r="H83" s="64" t="e">
        <f aca="false">G83/D83</f>
        <v>#DIV/0!</v>
      </c>
      <c r="I83" s="63" t="n">
        <f aca="false">G83*'Itens de Contrato'!F83</f>
        <v>0</v>
      </c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</row>
    <row r="84" customFormat="false" ht="12.8" hidden="false" customHeight="false" outlineLevel="0" collapsed="false">
      <c r="A84" s="37" t="n">
        <f aca="false">'Itens de Contrato'!A84</f>
        <v>0</v>
      </c>
      <c r="B84" s="37" t="n">
        <f aca="false">'Itens de Contrato'!B84</f>
        <v>0</v>
      </c>
      <c r="C84" s="37" t="e">
        <f aca="false">VLOOKUP(B84,'Itens de Contrato'!B$5:G$151,2,0)</f>
        <v>#N/A</v>
      </c>
      <c r="D84" s="52"/>
      <c r="E84" s="63" t="n">
        <f aca="false">D84*'Itens de Contrato'!F84</f>
        <v>0</v>
      </c>
      <c r="F84" s="62" t="n">
        <f aca="false">'Medição 07'!F84-'Medição 07'!G84</f>
        <v>0</v>
      </c>
      <c r="G84" s="52"/>
      <c r="H84" s="64" t="e">
        <f aca="false">G84/D84</f>
        <v>#DIV/0!</v>
      </c>
      <c r="I84" s="63" t="n">
        <f aca="false">G84*'Itens de Contrato'!F84</f>
        <v>0</v>
      </c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</row>
    <row r="85" customFormat="false" ht="12.8" hidden="false" customHeight="false" outlineLevel="0" collapsed="false">
      <c r="A85" s="37" t="n">
        <f aca="false">'Itens de Contrato'!A85</f>
        <v>0</v>
      </c>
      <c r="B85" s="37" t="n">
        <f aca="false">'Itens de Contrato'!B85</f>
        <v>0</v>
      </c>
      <c r="C85" s="37" t="e">
        <f aca="false">VLOOKUP(B85,'Itens de Contrato'!B$5:G$151,2,0)</f>
        <v>#N/A</v>
      </c>
      <c r="D85" s="52"/>
      <c r="E85" s="63" t="n">
        <f aca="false">D85*'Itens de Contrato'!F85</f>
        <v>0</v>
      </c>
      <c r="F85" s="62" t="n">
        <f aca="false">'Medição 07'!F85-'Medição 07'!G85</f>
        <v>0</v>
      </c>
      <c r="G85" s="52"/>
      <c r="H85" s="64" t="e">
        <f aca="false">G85/D85</f>
        <v>#DIV/0!</v>
      </c>
      <c r="I85" s="63" t="n">
        <f aca="false">G85*'Itens de Contrato'!F85</f>
        <v>0</v>
      </c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</row>
    <row r="86" customFormat="false" ht="12.8" hidden="false" customHeight="false" outlineLevel="0" collapsed="false">
      <c r="A86" s="37" t="n">
        <f aca="false">'Itens de Contrato'!A86</f>
        <v>0</v>
      </c>
      <c r="B86" s="37" t="n">
        <f aca="false">'Itens de Contrato'!B86</f>
        <v>0</v>
      </c>
      <c r="C86" s="37" t="e">
        <f aca="false">VLOOKUP(B86,'Itens de Contrato'!B$5:G$151,2,0)</f>
        <v>#N/A</v>
      </c>
      <c r="D86" s="52"/>
      <c r="E86" s="63" t="n">
        <f aca="false">D86*'Itens de Contrato'!F86</f>
        <v>0</v>
      </c>
      <c r="F86" s="62" t="n">
        <f aca="false">'Medição 07'!F86-'Medição 07'!G86</f>
        <v>0</v>
      </c>
      <c r="G86" s="52"/>
      <c r="H86" s="64" t="e">
        <f aca="false">G86/D86</f>
        <v>#DIV/0!</v>
      </c>
      <c r="I86" s="63" t="n">
        <f aca="false">G86*'Itens de Contrato'!F86</f>
        <v>0</v>
      </c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</row>
    <row r="87" customFormat="false" ht="12.8" hidden="false" customHeight="false" outlineLevel="0" collapsed="false">
      <c r="A87" s="37" t="n">
        <f aca="false">'Itens de Contrato'!A87</f>
        <v>0</v>
      </c>
      <c r="B87" s="37" t="n">
        <f aca="false">'Itens de Contrato'!B87</f>
        <v>0</v>
      </c>
      <c r="C87" s="37" t="e">
        <f aca="false">VLOOKUP(B87,'Itens de Contrato'!B$5:G$151,2,0)</f>
        <v>#N/A</v>
      </c>
      <c r="D87" s="52"/>
      <c r="E87" s="63" t="n">
        <f aca="false">D87*'Itens de Contrato'!F87</f>
        <v>0</v>
      </c>
      <c r="F87" s="62" t="n">
        <f aca="false">'Medição 07'!F87-'Medição 07'!G87</f>
        <v>0</v>
      </c>
      <c r="G87" s="52"/>
      <c r="H87" s="64" t="e">
        <f aca="false">G87/D87</f>
        <v>#DIV/0!</v>
      </c>
      <c r="I87" s="63" t="n">
        <f aca="false">G87*'Itens de Contrato'!F87</f>
        <v>0</v>
      </c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</row>
    <row r="88" customFormat="false" ht="12.8" hidden="false" customHeight="false" outlineLevel="0" collapsed="false">
      <c r="A88" s="37" t="n">
        <f aca="false">'Itens de Contrato'!A88</f>
        <v>0</v>
      </c>
      <c r="B88" s="37" t="n">
        <f aca="false">'Itens de Contrato'!B88</f>
        <v>0</v>
      </c>
      <c r="C88" s="37" t="e">
        <f aca="false">VLOOKUP(B88,'Itens de Contrato'!B$5:G$151,2,0)</f>
        <v>#N/A</v>
      </c>
      <c r="D88" s="52"/>
      <c r="E88" s="63" t="n">
        <f aca="false">D88*'Itens de Contrato'!F88</f>
        <v>0</v>
      </c>
      <c r="F88" s="62" t="n">
        <f aca="false">'Medição 07'!F88-'Medição 07'!G88</f>
        <v>0</v>
      </c>
      <c r="G88" s="52"/>
      <c r="H88" s="64" t="e">
        <f aca="false">G88/D88</f>
        <v>#DIV/0!</v>
      </c>
      <c r="I88" s="63" t="n">
        <f aca="false">G88*'Itens de Contrato'!F88</f>
        <v>0</v>
      </c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</row>
    <row r="89" customFormat="false" ht="12.8" hidden="false" customHeight="false" outlineLevel="0" collapsed="false">
      <c r="A89" s="37" t="n">
        <f aca="false">'Itens de Contrato'!A89</f>
        <v>0</v>
      </c>
      <c r="B89" s="37" t="n">
        <f aca="false">'Itens de Contrato'!B89</f>
        <v>0</v>
      </c>
      <c r="C89" s="37" t="e">
        <f aca="false">VLOOKUP(B89,'Itens de Contrato'!B$5:G$151,2,0)</f>
        <v>#N/A</v>
      </c>
      <c r="D89" s="52"/>
      <c r="E89" s="63" t="n">
        <f aca="false">D89*'Itens de Contrato'!F89</f>
        <v>0</v>
      </c>
      <c r="F89" s="62" t="n">
        <f aca="false">'Medição 07'!F89-'Medição 07'!G89</f>
        <v>0</v>
      </c>
      <c r="G89" s="52"/>
      <c r="H89" s="64" t="e">
        <f aca="false">G89/D89</f>
        <v>#DIV/0!</v>
      </c>
      <c r="I89" s="63" t="n">
        <f aca="false">G89*'Itens de Contrato'!F89</f>
        <v>0</v>
      </c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</row>
    <row r="90" customFormat="false" ht="12.8" hidden="false" customHeight="false" outlineLevel="0" collapsed="false">
      <c r="A90" s="37" t="n">
        <f aca="false">'Itens de Contrato'!A90</f>
        <v>0</v>
      </c>
      <c r="B90" s="37" t="n">
        <f aca="false">'Itens de Contrato'!B90</f>
        <v>0</v>
      </c>
      <c r="C90" s="37" t="e">
        <f aca="false">VLOOKUP(B90,'Itens de Contrato'!B$5:G$151,2,0)</f>
        <v>#N/A</v>
      </c>
      <c r="D90" s="52"/>
      <c r="E90" s="63" t="n">
        <f aca="false">D90*'Itens de Contrato'!F90</f>
        <v>0</v>
      </c>
      <c r="F90" s="62" t="n">
        <f aca="false">'Medição 07'!F90-'Medição 07'!G90</f>
        <v>0</v>
      </c>
      <c r="G90" s="52"/>
      <c r="H90" s="64" t="e">
        <f aca="false">G90/D90</f>
        <v>#DIV/0!</v>
      </c>
      <c r="I90" s="63" t="n">
        <f aca="false">G90*'Itens de Contrato'!F90</f>
        <v>0</v>
      </c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</row>
    <row r="91" customFormat="false" ht="12.8" hidden="false" customHeight="false" outlineLevel="0" collapsed="false">
      <c r="A91" s="37" t="n">
        <f aca="false">'Itens de Contrato'!A91</f>
        <v>0</v>
      </c>
      <c r="B91" s="37" t="n">
        <f aca="false">'Itens de Contrato'!B91</f>
        <v>0</v>
      </c>
      <c r="C91" s="37" t="e">
        <f aca="false">VLOOKUP(B91,'Itens de Contrato'!B$5:G$151,2,0)</f>
        <v>#N/A</v>
      </c>
      <c r="D91" s="52"/>
      <c r="E91" s="63" t="n">
        <f aca="false">D91*'Itens de Contrato'!F91</f>
        <v>0</v>
      </c>
      <c r="F91" s="62" t="n">
        <f aca="false">'Medição 07'!F91-'Medição 07'!G91</f>
        <v>0</v>
      </c>
      <c r="G91" s="52"/>
      <c r="H91" s="64" t="e">
        <f aca="false">G91/D91</f>
        <v>#DIV/0!</v>
      </c>
      <c r="I91" s="63" t="n">
        <f aca="false">G91*'Itens de Contrato'!F91</f>
        <v>0</v>
      </c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customFormat="false" ht="12.8" hidden="false" customHeight="false" outlineLevel="0" collapsed="false">
      <c r="A92" s="37" t="n">
        <f aca="false">'Itens de Contrato'!A92</f>
        <v>0</v>
      </c>
      <c r="B92" s="37" t="n">
        <f aca="false">'Itens de Contrato'!B92</f>
        <v>0</v>
      </c>
      <c r="C92" s="37" t="e">
        <f aca="false">VLOOKUP(B92,'Itens de Contrato'!B$5:G$151,2,0)</f>
        <v>#N/A</v>
      </c>
      <c r="D92" s="52"/>
      <c r="E92" s="63" t="n">
        <f aca="false">D92*'Itens de Contrato'!F92</f>
        <v>0</v>
      </c>
      <c r="F92" s="62" t="n">
        <f aca="false">'Medição 07'!F92-'Medição 07'!G92</f>
        <v>0</v>
      </c>
      <c r="G92" s="52"/>
      <c r="H92" s="64" t="e">
        <f aca="false">G92/D92</f>
        <v>#DIV/0!</v>
      </c>
      <c r="I92" s="63" t="n">
        <f aca="false">G92*'Itens de Contrato'!F92</f>
        <v>0</v>
      </c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</row>
    <row r="93" customFormat="false" ht="12.8" hidden="false" customHeight="false" outlineLevel="0" collapsed="false">
      <c r="A93" s="37" t="n">
        <f aca="false">'Itens de Contrato'!A93</f>
        <v>0</v>
      </c>
      <c r="B93" s="37" t="n">
        <f aca="false">'Itens de Contrato'!B93</f>
        <v>0</v>
      </c>
      <c r="C93" s="37" t="e">
        <f aca="false">VLOOKUP(B93,'Itens de Contrato'!B$5:G$151,2,0)</f>
        <v>#N/A</v>
      </c>
      <c r="D93" s="52"/>
      <c r="E93" s="63" t="n">
        <f aca="false">D93*'Itens de Contrato'!F93</f>
        <v>0</v>
      </c>
      <c r="F93" s="62" t="n">
        <f aca="false">'Medição 07'!F93-'Medição 07'!G93</f>
        <v>0</v>
      </c>
      <c r="G93" s="52"/>
      <c r="H93" s="64" t="e">
        <f aca="false">G93/D93</f>
        <v>#DIV/0!</v>
      </c>
      <c r="I93" s="63" t="n">
        <f aca="false">G93*'Itens de Contrato'!F93</f>
        <v>0</v>
      </c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</row>
    <row r="94" customFormat="false" ht="12.8" hidden="false" customHeight="false" outlineLevel="0" collapsed="false">
      <c r="A94" s="37" t="n">
        <f aca="false">'Itens de Contrato'!A94</f>
        <v>0</v>
      </c>
      <c r="B94" s="37" t="n">
        <f aca="false">'Itens de Contrato'!B94</f>
        <v>0</v>
      </c>
      <c r="C94" s="37" t="e">
        <f aca="false">VLOOKUP(B94,'Itens de Contrato'!B$5:G$151,2,0)</f>
        <v>#N/A</v>
      </c>
      <c r="D94" s="52"/>
      <c r="E94" s="63" t="n">
        <f aca="false">D94*'Itens de Contrato'!F94</f>
        <v>0</v>
      </c>
      <c r="F94" s="62" t="n">
        <f aca="false">'Medição 07'!F94-'Medição 07'!G94</f>
        <v>0</v>
      </c>
      <c r="G94" s="52"/>
      <c r="H94" s="64" t="e">
        <f aca="false">G94/D94</f>
        <v>#DIV/0!</v>
      </c>
      <c r="I94" s="63" t="n">
        <f aca="false">G94*'Itens de Contrato'!F94</f>
        <v>0</v>
      </c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</row>
    <row r="95" customFormat="false" ht="12.8" hidden="false" customHeight="false" outlineLevel="0" collapsed="false">
      <c r="A95" s="37" t="n">
        <f aca="false">'Itens de Contrato'!A95</f>
        <v>0</v>
      </c>
      <c r="B95" s="37" t="n">
        <f aca="false">'Itens de Contrato'!B95</f>
        <v>0</v>
      </c>
      <c r="C95" s="37" t="e">
        <f aca="false">VLOOKUP(B95,'Itens de Contrato'!B$5:G$151,2,0)</f>
        <v>#N/A</v>
      </c>
      <c r="D95" s="52"/>
      <c r="E95" s="63" t="n">
        <f aca="false">D95*'Itens de Contrato'!F95</f>
        <v>0</v>
      </c>
      <c r="F95" s="62" t="n">
        <f aca="false">'Medição 07'!F95-'Medição 07'!G95</f>
        <v>0</v>
      </c>
      <c r="G95" s="52"/>
      <c r="H95" s="64" t="e">
        <f aca="false">G95/D95</f>
        <v>#DIV/0!</v>
      </c>
      <c r="I95" s="63" t="n">
        <f aca="false">G95*'Itens de Contrato'!F95</f>
        <v>0</v>
      </c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</row>
    <row r="96" customFormat="false" ht="12.8" hidden="false" customHeight="false" outlineLevel="0" collapsed="false">
      <c r="A96" s="37" t="n">
        <f aca="false">'Itens de Contrato'!A96</f>
        <v>0</v>
      </c>
      <c r="B96" s="37" t="n">
        <f aca="false">'Itens de Contrato'!B96</f>
        <v>0</v>
      </c>
      <c r="C96" s="37" t="e">
        <f aca="false">VLOOKUP(B96,'Itens de Contrato'!B$5:G$151,2,0)</f>
        <v>#N/A</v>
      </c>
      <c r="D96" s="52"/>
      <c r="E96" s="63" t="n">
        <f aca="false">D96*'Itens de Contrato'!F96</f>
        <v>0</v>
      </c>
      <c r="F96" s="62" t="n">
        <f aca="false">'Medição 07'!F96-'Medição 07'!G96</f>
        <v>0</v>
      </c>
      <c r="G96" s="52"/>
      <c r="H96" s="64" t="e">
        <f aca="false">G96/D96</f>
        <v>#DIV/0!</v>
      </c>
      <c r="I96" s="63" t="n">
        <f aca="false">G96*'Itens de Contrato'!F96</f>
        <v>0</v>
      </c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</row>
    <row r="97" customFormat="false" ht="12.8" hidden="false" customHeight="false" outlineLevel="0" collapsed="false">
      <c r="A97" s="37" t="n">
        <f aca="false">'Itens de Contrato'!A97</f>
        <v>0</v>
      </c>
      <c r="B97" s="37" t="n">
        <f aca="false">'Itens de Contrato'!B97</f>
        <v>0</v>
      </c>
      <c r="C97" s="37" t="e">
        <f aca="false">VLOOKUP(B97,'Itens de Contrato'!B$5:G$151,2,0)</f>
        <v>#N/A</v>
      </c>
      <c r="D97" s="52"/>
      <c r="E97" s="63" t="n">
        <f aca="false">D97*'Itens de Contrato'!F97</f>
        <v>0</v>
      </c>
      <c r="F97" s="62" t="n">
        <f aca="false">'Medição 07'!F97-'Medição 07'!G97</f>
        <v>0</v>
      </c>
      <c r="G97" s="52"/>
      <c r="H97" s="64" t="e">
        <f aca="false">G97/D97</f>
        <v>#DIV/0!</v>
      </c>
      <c r="I97" s="63" t="n">
        <f aca="false">G97*'Itens de Contrato'!F97</f>
        <v>0</v>
      </c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</row>
    <row r="98" customFormat="false" ht="12.8" hidden="false" customHeight="false" outlineLevel="0" collapsed="false">
      <c r="A98" s="37" t="n">
        <f aca="false">'Itens de Contrato'!A98</f>
        <v>0</v>
      </c>
      <c r="B98" s="37" t="n">
        <f aca="false">'Itens de Contrato'!B98</f>
        <v>0</v>
      </c>
      <c r="C98" s="37" t="e">
        <f aca="false">VLOOKUP(B98,'Itens de Contrato'!B$5:G$151,2,0)</f>
        <v>#N/A</v>
      </c>
      <c r="D98" s="52"/>
      <c r="E98" s="63" t="n">
        <f aca="false">D98*'Itens de Contrato'!F98</f>
        <v>0</v>
      </c>
      <c r="F98" s="62" t="n">
        <f aca="false">'Medição 07'!F98-'Medição 07'!G98</f>
        <v>0</v>
      </c>
      <c r="G98" s="52"/>
      <c r="H98" s="64" t="e">
        <f aca="false">G98/D98</f>
        <v>#DIV/0!</v>
      </c>
      <c r="I98" s="63" t="n">
        <f aca="false">G98*'Itens de Contrato'!F98</f>
        <v>0</v>
      </c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</row>
    <row r="99" customFormat="false" ht="12.8" hidden="false" customHeight="false" outlineLevel="0" collapsed="false">
      <c r="A99" s="37" t="n">
        <f aca="false">'Itens de Contrato'!A99</f>
        <v>0</v>
      </c>
      <c r="B99" s="37" t="n">
        <f aca="false">'Itens de Contrato'!B99</f>
        <v>0</v>
      </c>
      <c r="C99" s="37" t="e">
        <f aca="false">VLOOKUP(B99,'Itens de Contrato'!B$5:G$151,2,0)</f>
        <v>#N/A</v>
      </c>
      <c r="D99" s="52"/>
      <c r="E99" s="63" t="n">
        <f aca="false">D99*'Itens de Contrato'!F99</f>
        <v>0</v>
      </c>
      <c r="F99" s="62" t="n">
        <f aca="false">'Medição 07'!F99-'Medição 07'!G99</f>
        <v>0</v>
      </c>
      <c r="G99" s="52"/>
      <c r="H99" s="64" t="e">
        <f aca="false">G99/D99</f>
        <v>#DIV/0!</v>
      </c>
      <c r="I99" s="63" t="n">
        <f aca="false">G99*'Itens de Contrato'!F99</f>
        <v>0</v>
      </c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</row>
    <row r="100" customFormat="false" ht="12.8" hidden="false" customHeight="false" outlineLevel="0" collapsed="false">
      <c r="A100" s="37" t="n">
        <f aca="false">'Itens de Contrato'!A100</f>
        <v>0</v>
      </c>
      <c r="B100" s="37" t="n">
        <f aca="false">'Itens de Contrato'!B100</f>
        <v>0</v>
      </c>
      <c r="C100" s="37" t="e">
        <f aca="false">VLOOKUP(B100,'Itens de Contrato'!B$5:G$151,2,0)</f>
        <v>#N/A</v>
      </c>
      <c r="D100" s="52"/>
      <c r="E100" s="63" t="n">
        <f aca="false">D100*'Itens de Contrato'!F100</f>
        <v>0</v>
      </c>
      <c r="F100" s="62" t="n">
        <f aca="false">'Medição 07'!F100-'Medição 07'!G100</f>
        <v>0</v>
      </c>
      <c r="G100" s="52"/>
      <c r="H100" s="64" t="e">
        <f aca="false">G100/D100</f>
        <v>#DIV/0!</v>
      </c>
      <c r="I100" s="63" t="n">
        <f aca="false">G100*'Itens de Contrato'!F100</f>
        <v>0</v>
      </c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customFormat="false" ht="12.8" hidden="false" customHeight="false" outlineLevel="0" collapsed="false">
      <c r="A101" s="37" t="n">
        <f aca="false">'Itens de Contrato'!A101</f>
        <v>0</v>
      </c>
      <c r="B101" s="37" t="n">
        <f aca="false">'Itens de Contrato'!B101</f>
        <v>0</v>
      </c>
      <c r="C101" s="37" t="e">
        <f aca="false">VLOOKUP(B101,'Itens de Contrato'!B$5:G$151,2,0)</f>
        <v>#N/A</v>
      </c>
      <c r="D101" s="52"/>
      <c r="E101" s="63" t="n">
        <f aca="false">D101*'Itens de Contrato'!F101</f>
        <v>0</v>
      </c>
      <c r="F101" s="62" t="n">
        <f aca="false">'Medição 07'!F101-'Medição 07'!G101</f>
        <v>0</v>
      </c>
      <c r="G101" s="52"/>
      <c r="H101" s="64" t="e">
        <f aca="false">G101/D101</f>
        <v>#DIV/0!</v>
      </c>
      <c r="I101" s="63" t="n">
        <f aca="false">G101*'Itens de Contrato'!F101</f>
        <v>0</v>
      </c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customFormat="false" ht="12.8" hidden="false" customHeight="false" outlineLevel="0" collapsed="false">
      <c r="A102" s="37" t="n">
        <f aca="false">'Itens de Contrato'!A102</f>
        <v>0</v>
      </c>
      <c r="B102" s="37" t="n">
        <f aca="false">'Itens de Contrato'!B102</f>
        <v>0</v>
      </c>
      <c r="C102" s="37" t="e">
        <f aca="false">VLOOKUP(B102,'Itens de Contrato'!B$5:G$151,2,0)</f>
        <v>#N/A</v>
      </c>
      <c r="D102" s="52"/>
      <c r="E102" s="63" t="n">
        <f aca="false">D102*'Itens de Contrato'!F102</f>
        <v>0</v>
      </c>
      <c r="F102" s="62" t="n">
        <f aca="false">'Medição 07'!F102-'Medição 07'!G102</f>
        <v>0</v>
      </c>
      <c r="G102" s="52"/>
      <c r="H102" s="64" t="e">
        <f aca="false">G102/D102</f>
        <v>#DIV/0!</v>
      </c>
      <c r="I102" s="63" t="n">
        <f aca="false">G102*'Itens de Contrato'!F102</f>
        <v>0</v>
      </c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</row>
    <row r="103" customFormat="false" ht="12.8" hidden="false" customHeight="false" outlineLevel="0" collapsed="false">
      <c r="A103" s="37" t="n">
        <f aca="false">'Itens de Contrato'!A103</f>
        <v>0</v>
      </c>
      <c r="B103" s="37" t="n">
        <f aca="false">'Itens de Contrato'!B103</f>
        <v>0</v>
      </c>
      <c r="C103" s="37" t="e">
        <f aca="false">VLOOKUP(B103,'Itens de Contrato'!B$5:G$151,2,0)</f>
        <v>#N/A</v>
      </c>
      <c r="D103" s="52"/>
      <c r="E103" s="63" t="n">
        <f aca="false">D103*'Itens de Contrato'!F103</f>
        <v>0</v>
      </c>
      <c r="F103" s="62" t="n">
        <f aca="false">'Medição 07'!F103-'Medição 07'!G103</f>
        <v>0</v>
      </c>
      <c r="G103" s="52"/>
      <c r="H103" s="64" t="e">
        <f aca="false">G103/D103</f>
        <v>#DIV/0!</v>
      </c>
      <c r="I103" s="63" t="n">
        <f aca="false">G103*'Itens de Contrato'!F103</f>
        <v>0</v>
      </c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</row>
    <row r="104" customFormat="false" ht="12.8" hidden="false" customHeight="false" outlineLevel="0" collapsed="false">
      <c r="A104" s="37" t="n">
        <f aca="false">'Itens de Contrato'!A104</f>
        <v>0</v>
      </c>
      <c r="B104" s="37" t="n">
        <f aca="false">'Itens de Contrato'!B104</f>
        <v>0</v>
      </c>
      <c r="C104" s="37" t="e">
        <f aca="false">VLOOKUP(B104,'Itens de Contrato'!B$5:G$151,2,0)</f>
        <v>#N/A</v>
      </c>
      <c r="D104" s="52"/>
      <c r="E104" s="63" t="n">
        <f aca="false">D104*'Itens de Contrato'!F104</f>
        <v>0</v>
      </c>
      <c r="F104" s="62" t="n">
        <f aca="false">'Medição 07'!F104-'Medição 07'!G104</f>
        <v>0</v>
      </c>
      <c r="G104" s="52"/>
      <c r="H104" s="64" t="e">
        <f aca="false">G104/D104</f>
        <v>#DIV/0!</v>
      </c>
      <c r="I104" s="63" t="n">
        <f aca="false">G104*'Itens de Contrato'!F104</f>
        <v>0</v>
      </c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</row>
    <row r="105" customFormat="false" ht="12.8" hidden="false" customHeight="false" outlineLevel="0" collapsed="false">
      <c r="A105" s="37" t="n">
        <f aca="false">'Itens de Contrato'!A105</f>
        <v>0</v>
      </c>
      <c r="B105" s="37" t="n">
        <f aca="false">'Itens de Contrato'!B105</f>
        <v>0</v>
      </c>
      <c r="C105" s="37" t="e">
        <f aca="false">VLOOKUP(B105,'Itens de Contrato'!B$5:G$151,2,0)</f>
        <v>#N/A</v>
      </c>
      <c r="D105" s="52"/>
      <c r="E105" s="63" t="n">
        <f aca="false">D105*'Itens de Contrato'!F105</f>
        <v>0</v>
      </c>
      <c r="F105" s="62" t="n">
        <f aca="false">'Medição 07'!F105-'Medição 07'!G105</f>
        <v>0</v>
      </c>
      <c r="G105" s="52"/>
      <c r="H105" s="64" t="e">
        <f aca="false">G105/D105</f>
        <v>#DIV/0!</v>
      </c>
      <c r="I105" s="63" t="n">
        <f aca="false">G105*'Itens de Contrato'!F105</f>
        <v>0</v>
      </c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</row>
    <row r="106" customFormat="false" ht="12.8" hidden="false" customHeight="false" outlineLevel="0" collapsed="false">
      <c r="A106" s="37" t="n">
        <f aca="false">'Itens de Contrato'!A106</f>
        <v>0</v>
      </c>
      <c r="B106" s="37" t="n">
        <f aca="false">'Itens de Contrato'!B106</f>
        <v>0</v>
      </c>
      <c r="C106" s="37" t="e">
        <f aca="false">VLOOKUP(B106,'Itens de Contrato'!B$5:G$151,2,0)</f>
        <v>#N/A</v>
      </c>
      <c r="D106" s="52"/>
      <c r="E106" s="63" t="n">
        <f aca="false">D106*'Itens de Contrato'!F106</f>
        <v>0</v>
      </c>
      <c r="F106" s="62" t="n">
        <f aca="false">'Medição 07'!F106-'Medição 07'!G106</f>
        <v>0</v>
      </c>
      <c r="G106" s="52"/>
      <c r="H106" s="64" t="e">
        <f aca="false">G106/D106</f>
        <v>#DIV/0!</v>
      </c>
      <c r="I106" s="63" t="n">
        <f aca="false">G106*'Itens de Contrato'!F106</f>
        <v>0</v>
      </c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</row>
    <row r="107" customFormat="false" ht="12.8" hidden="false" customHeight="false" outlineLevel="0" collapsed="false">
      <c r="A107" s="37" t="n">
        <f aca="false">'Itens de Contrato'!A107</f>
        <v>0</v>
      </c>
      <c r="B107" s="37" t="n">
        <f aca="false">'Itens de Contrato'!B107</f>
        <v>0</v>
      </c>
      <c r="C107" s="37" t="e">
        <f aca="false">VLOOKUP(B107,'Itens de Contrato'!B$5:G$151,2,0)</f>
        <v>#N/A</v>
      </c>
      <c r="D107" s="52"/>
      <c r="E107" s="63" t="n">
        <f aca="false">D107*'Itens de Contrato'!F107</f>
        <v>0</v>
      </c>
      <c r="F107" s="62" t="n">
        <f aca="false">'Medição 07'!F107-'Medição 07'!G107</f>
        <v>0</v>
      </c>
      <c r="G107" s="52"/>
      <c r="H107" s="64" t="e">
        <f aca="false">G107/D107</f>
        <v>#DIV/0!</v>
      </c>
      <c r="I107" s="63" t="n">
        <f aca="false">G107*'Itens de Contrato'!F107</f>
        <v>0</v>
      </c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</row>
    <row r="108" customFormat="false" ht="12.8" hidden="false" customHeight="false" outlineLevel="0" collapsed="false">
      <c r="A108" s="37" t="n">
        <f aca="false">'Itens de Contrato'!A108</f>
        <v>0</v>
      </c>
      <c r="B108" s="37" t="n">
        <f aca="false">'Itens de Contrato'!B108</f>
        <v>0</v>
      </c>
      <c r="C108" s="37" t="e">
        <f aca="false">VLOOKUP(B108,'Itens de Contrato'!B$5:G$151,2,0)</f>
        <v>#N/A</v>
      </c>
      <c r="D108" s="52"/>
      <c r="E108" s="63" t="n">
        <f aca="false">D108*'Itens de Contrato'!F108</f>
        <v>0</v>
      </c>
      <c r="F108" s="62" t="n">
        <f aca="false">'Medição 07'!F108-'Medição 07'!G108</f>
        <v>0</v>
      </c>
      <c r="G108" s="52"/>
      <c r="H108" s="64" t="e">
        <f aca="false">G108/D108</f>
        <v>#DIV/0!</v>
      </c>
      <c r="I108" s="63" t="n">
        <f aca="false">G108*'Itens de Contrato'!F108</f>
        <v>0</v>
      </c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</row>
    <row r="109" customFormat="false" ht="12.8" hidden="false" customHeight="false" outlineLevel="0" collapsed="false">
      <c r="A109" s="37" t="n">
        <f aca="false">'Itens de Contrato'!A109</f>
        <v>0</v>
      </c>
      <c r="B109" s="37" t="n">
        <f aca="false">'Itens de Contrato'!B109</f>
        <v>0</v>
      </c>
      <c r="C109" s="37" t="e">
        <f aca="false">VLOOKUP(B109,'Itens de Contrato'!B$5:G$151,2,0)</f>
        <v>#N/A</v>
      </c>
      <c r="D109" s="52"/>
      <c r="E109" s="63" t="n">
        <f aca="false">D109*'Itens de Contrato'!F109</f>
        <v>0</v>
      </c>
      <c r="F109" s="62" t="n">
        <f aca="false">'Medição 07'!F109-'Medição 07'!G109</f>
        <v>0</v>
      </c>
      <c r="G109" s="52"/>
      <c r="H109" s="64" t="e">
        <f aca="false">G109/D109</f>
        <v>#DIV/0!</v>
      </c>
      <c r="I109" s="63" t="n">
        <f aca="false">G109*'Itens de Contrato'!F109</f>
        <v>0</v>
      </c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</row>
    <row r="110" customFormat="false" ht="12.8" hidden="false" customHeight="false" outlineLevel="0" collapsed="false">
      <c r="A110" s="37" t="n">
        <f aca="false">'Itens de Contrato'!A110</f>
        <v>0</v>
      </c>
      <c r="B110" s="37" t="n">
        <f aca="false">'Itens de Contrato'!B110</f>
        <v>0</v>
      </c>
      <c r="C110" s="37" t="e">
        <f aca="false">VLOOKUP(B110,'Itens de Contrato'!B$5:G$151,2,0)</f>
        <v>#N/A</v>
      </c>
      <c r="D110" s="52"/>
      <c r="E110" s="63" t="n">
        <f aca="false">D110*'Itens de Contrato'!F110</f>
        <v>0</v>
      </c>
      <c r="F110" s="62" t="n">
        <f aca="false">'Medição 07'!F110-'Medição 07'!G110</f>
        <v>0</v>
      </c>
      <c r="G110" s="52"/>
      <c r="H110" s="64" t="e">
        <f aca="false">G110/D110</f>
        <v>#DIV/0!</v>
      </c>
      <c r="I110" s="63" t="n">
        <f aca="false">G110*'Itens de Contrato'!F110</f>
        <v>0</v>
      </c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</row>
    <row r="111" customFormat="false" ht="12.8" hidden="false" customHeight="false" outlineLevel="0" collapsed="false">
      <c r="A111" s="37" t="n">
        <f aca="false">'Itens de Contrato'!A111</f>
        <v>0</v>
      </c>
      <c r="B111" s="37" t="n">
        <f aca="false">'Itens de Contrato'!B111</f>
        <v>0</v>
      </c>
      <c r="C111" s="37" t="e">
        <f aca="false">VLOOKUP(B111,'Itens de Contrato'!B$5:G$151,2,0)</f>
        <v>#N/A</v>
      </c>
      <c r="D111" s="52"/>
      <c r="E111" s="63" t="n">
        <f aca="false">D111*'Itens de Contrato'!F111</f>
        <v>0</v>
      </c>
      <c r="F111" s="62" t="n">
        <f aca="false">'Medição 07'!F111-'Medição 07'!G111</f>
        <v>0</v>
      </c>
      <c r="G111" s="52"/>
      <c r="H111" s="64" t="e">
        <f aca="false">G111/D111</f>
        <v>#DIV/0!</v>
      </c>
      <c r="I111" s="63" t="n">
        <f aca="false">G111*'Itens de Contrato'!F111</f>
        <v>0</v>
      </c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</row>
    <row r="112" customFormat="false" ht="12.8" hidden="false" customHeight="false" outlineLevel="0" collapsed="false">
      <c r="A112" s="37" t="n">
        <f aca="false">'Itens de Contrato'!A112</f>
        <v>0</v>
      </c>
      <c r="B112" s="37" t="n">
        <f aca="false">'Itens de Contrato'!B112</f>
        <v>0</v>
      </c>
      <c r="C112" s="37" t="e">
        <f aca="false">VLOOKUP(B112,'Itens de Contrato'!B$5:G$151,2,0)</f>
        <v>#N/A</v>
      </c>
      <c r="D112" s="52"/>
      <c r="E112" s="63" t="n">
        <f aca="false">D112*'Itens de Contrato'!F112</f>
        <v>0</v>
      </c>
      <c r="F112" s="62" t="n">
        <f aca="false">'Medição 07'!F112-'Medição 07'!G112</f>
        <v>0</v>
      </c>
      <c r="G112" s="52"/>
      <c r="H112" s="64" t="e">
        <f aca="false">G112/D112</f>
        <v>#DIV/0!</v>
      </c>
      <c r="I112" s="63" t="n">
        <f aca="false">G112*'Itens de Contrato'!F112</f>
        <v>0</v>
      </c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</row>
    <row r="113" customFormat="false" ht="12.8" hidden="false" customHeight="false" outlineLevel="0" collapsed="false">
      <c r="A113" s="37" t="n">
        <f aca="false">'Itens de Contrato'!A113</f>
        <v>0</v>
      </c>
      <c r="B113" s="37" t="n">
        <f aca="false">'Itens de Contrato'!B113</f>
        <v>0</v>
      </c>
      <c r="C113" s="37" t="e">
        <f aca="false">VLOOKUP(B113,'Itens de Contrato'!B$5:G$151,2,0)</f>
        <v>#N/A</v>
      </c>
      <c r="D113" s="52"/>
      <c r="E113" s="63" t="n">
        <f aca="false">D113*'Itens de Contrato'!F113</f>
        <v>0</v>
      </c>
      <c r="F113" s="62" t="n">
        <f aca="false">'Medição 07'!F113-'Medição 07'!G113</f>
        <v>0</v>
      </c>
      <c r="G113" s="52"/>
      <c r="H113" s="64" t="e">
        <f aca="false">G113/D113</f>
        <v>#DIV/0!</v>
      </c>
      <c r="I113" s="63" t="n">
        <f aca="false">G113*'Itens de Contrato'!F113</f>
        <v>0</v>
      </c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</row>
    <row r="114" customFormat="false" ht="12.8" hidden="false" customHeight="false" outlineLevel="0" collapsed="false">
      <c r="A114" s="37" t="n">
        <f aca="false">'Itens de Contrato'!A114</f>
        <v>0</v>
      </c>
      <c r="B114" s="37" t="n">
        <f aca="false">'Itens de Contrato'!B114</f>
        <v>0</v>
      </c>
      <c r="C114" s="37" t="e">
        <f aca="false">VLOOKUP(B114,'Itens de Contrato'!B$5:G$151,2,0)</f>
        <v>#N/A</v>
      </c>
      <c r="D114" s="52"/>
      <c r="E114" s="63" t="n">
        <f aca="false">D114*'Itens de Contrato'!F114</f>
        <v>0</v>
      </c>
      <c r="F114" s="62" t="n">
        <f aca="false">'Medição 07'!F114-'Medição 07'!G114</f>
        <v>0</v>
      </c>
      <c r="G114" s="52"/>
      <c r="H114" s="64" t="e">
        <f aca="false">G114/D114</f>
        <v>#DIV/0!</v>
      </c>
      <c r="I114" s="63" t="n">
        <f aca="false">G114*'Itens de Contrato'!F114</f>
        <v>0</v>
      </c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</row>
    <row r="115" customFormat="false" ht="12.8" hidden="false" customHeight="false" outlineLevel="0" collapsed="false">
      <c r="A115" s="37" t="n">
        <f aca="false">'Itens de Contrato'!A115</f>
        <v>0</v>
      </c>
      <c r="B115" s="37" t="n">
        <f aca="false">'Itens de Contrato'!B115</f>
        <v>0</v>
      </c>
      <c r="C115" s="37" t="e">
        <f aca="false">VLOOKUP(B115,'Itens de Contrato'!B$5:G$151,2,0)</f>
        <v>#N/A</v>
      </c>
      <c r="D115" s="52"/>
      <c r="E115" s="63" t="n">
        <f aca="false">D115*'Itens de Contrato'!F115</f>
        <v>0</v>
      </c>
      <c r="F115" s="62" t="n">
        <f aca="false">'Medição 07'!F115-'Medição 07'!G115</f>
        <v>0</v>
      </c>
      <c r="G115" s="52"/>
      <c r="H115" s="64" t="e">
        <f aca="false">G115/D115</f>
        <v>#DIV/0!</v>
      </c>
      <c r="I115" s="63" t="n">
        <f aca="false">G115*'Itens de Contrato'!F115</f>
        <v>0</v>
      </c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</row>
    <row r="116" customFormat="false" ht="12.8" hidden="false" customHeight="false" outlineLevel="0" collapsed="false">
      <c r="A116" s="37" t="n">
        <f aca="false">'Itens de Contrato'!A116</f>
        <v>0</v>
      </c>
      <c r="B116" s="37" t="n">
        <f aca="false">'Itens de Contrato'!B116</f>
        <v>0</v>
      </c>
      <c r="C116" s="37" t="e">
        <f aca="false">VLOOKUP(B116,'Itens de Contrato'!B$5:G$151,2,0)</f>
        <v>#N/A</v>
      </c>
      <c r="D116" s="52"/>
      <c r="E116" s="63" t="n">
        <f aca="false">D116*'Itens de Contrato'!F116</f>
        <v>0</v>
      </c>
      <c r="F116" s="62" t="n">
        <f aca="false">'Medição 07'!F116-'Medição 07'!G116</f>
        <v>0</v>
      </c>
      <c r="G116" s="52"/>
      <c r="H116" s="64" t="e">
        <f aca="false">G116/D116</f>
        <v>#DIV/0!</v>
      </c>
      <c r="I116" s="63" t="n">
        <f aca="false">G116*'Itens de Contrato'!F116</f>
        <v>0</v>
      </c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</row>
    <row r="117" customFormat="false" ht="12.8" hidden="false" customHeight="false" outlineLevel="0" collapsed="false">
      <c r="A117" s="37" t="n">
        <f aca="false">'Itens de Contrato'!A117</f>
        <v>0</v>
      </c>
      <c r="B117" s="37" t="n">
        <f aca="false">'Itens de Contrato'!B117</f>
        <v>0</v>
      </c>
      <c r="C117" s="37" t="e">
        <f aca="false">VLOOKUP(B117,'Itens de Contrato'!B$5:G$151,2,0)</f>
        <v>#N/A</v>
      </c>
      <c r="D117" s="52"/>
      <c r="E117" s="63" t="n">
        <f aca="false">D117*'Itens de Contrato'!F117</f>
        <v>0</v>
      </c>
      <c r="F117" s="62" t="n">
        <f aca="false">'Medição 07'!F117-'Medição 07'!G117</f>
        <v>0</v>
      </c>
      <c r="G117" s="52"/>
      <c r="H117" s="64" t="e">
        <f aca="false">G117/D117</f>
        <v>#DIV/0!</v>
      </c>
      <c r="I117" s="63" t="n">
        <f aca="false">G117*'Itens de Contrato'!F117</f>
        <v>0</v>
      </c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</row>
    <row r="118" customFormat="false" ht="12.8" hidden="false" customHeight="false" outlineLevel="0" collapsed="false">
      <c r="A118" s="37" t="n">
        <f aca="false">'Itens de Contrato'!A118</f>
        <v>0</v>
      </c>
      <c r="B118" s="37" t="n">
        <f aca="false">'Itens de Contrato'!B118</f>
        <v>0</v>
      </c>
      <c r="C118" s="37" t="e">
        <f aca="false">VLOOKUP(B118,'Itens de Contrato'!B$5:G$151,2,0)</f>
        <v>#N/A</v>
      </c>
      <c r="D118" s="52"/>
      <c r="E118" s="63" t="n">
        <f aca="false">D118*'Itens de Contrato'!F118</f>
        <v>0</v>
      </c>
      <c r="F118" s="62" t="n">
        <f aca="false">'Medição 07'!F118-'Medição 07'!G118</f>
        <v>0</v>
      </c>
      <c r="G118" s="52"/>
      <c r="H118" s="64" t="e">
        <f aca="false">G118/D118</f>
        <v>#DIV/0!</v>
      </c>
      <c r="I118" s="63" t="n">
        <f aca="false">G118*'Itens de Contrato'!F118</f>
        <v>0</v>
      </c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</row>
    <row r="119" customFormat="false" ht="12.8" hidden="false" customHeight="false" outlineLevel="0" collapsed="false">
      <c r="A119" s="37" t="n">
        <f aca="false">'Itens de Contrato'!A119</f>
        <v>0</v>
      </c>
      <c r="B119" s="37" t="n">
        <f aca="false">'Itens de Contrato'!B119</f>
        <v>0</v>
      </c>
      <c r="C119" s="37" t="e">
        <f aca="false">VLOOKUP(B119,'Itens de Contrato'!B$5:G$151,2,0)</f>
        <v>#N/A</v>
      </c>
      <c r="D119" s="52"/>
      <c r="E119" s="63" t="n">
        <f aca="false">D119*'Itens de Contrato'!F119</f>
        <v>0</v>
      </c>
      <c r="F119" s="62" t="n">
        <f aca="false">'Medição 07'!F119-'Medição 07'!G119</f>
        <v>0</v>
      </c>
      <c r="G119" s="52"/>
      <c r="H119" s="64" t="e">
        <f aca="false">G119/D119</f>
        <v>#DIV/0!</v>
      </c>
      <c r="I119" s="63" t="n">
        <f aca="false">G119*'Itens de Contrato'!F119</f>
        <v>0</v>
      </c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</row>
    <row r="120" customFormat="false" ht="12.8" hidden="false" customHeight="false" outlineLevel="0" collapsed="false">
      <c r="A120" s="37" t="n">
        <f aca="false">'Itens de Contrato'!A120</f>
        <v>0</v>
      </c>
      <c r="B120" s="37" t="n">
        <f aca="false">'Itens de Contrato'!B120</f>
        <v>0</v>
      </c>
      <c r="C120" s="37" t="e">
        <f aca="false">VLOOKUP(B120,'Itens de Contrato'!B$5:G$151,2,0)</f>
        <v>#N/A</v>
      </c>
      <c r="D120" s="52"/>
      <c r="E120" s="63" t="n">
        <f aca="false">D120*'Itens de Contrato'!F120</f>
        <v>0</v>
      </c>
      <c r="F120" s="62" t="n">
        <f aca="false">'Medição 07'!F120-'Medição 07'!G120</f>
        <v>0</v>
      </c>
      <c r="G120" s="52"/>
      <c r="H120" s="64" t="e">
        <f aca="false">G120/D120</f>
        <v>#DIV/0!</v>
      </c>
      <c r="I120" s="63" t="n">
        <f aca="false">G120*'Itens de Contrato'!F120</f>
        <v>0</v>
      </c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</row>
    <row r="121" customFormat="false" ht="12.8" hidden="false" customHeight="false" outlineLevel="0" collapsed="false">
      <c r="A121" s="37" t="n">
        <f aca="false">'Itens de Contrato'!A121</f>
        <v>0</v>
      </c>
      <c r="B121" s="37" t="n">
        <f aca="false">'Itens de Contrato'!B121</f>
        <v>0</v>
      </c>
      <c r="C121" s="37" t="e">
        <f aca="false">VLOOKUP(B121,'Itens de Contrato'!B$5:G$151,2,0)</f>
        <v>#N/A</v>
      </c>
      <c r="D121" s="52"/>
      <c r="E121" s="63" t="n">
        <f aca="false">D121*'Itens de Contrato'!F121</f>
        <v>0</v>
      </c>
      <c r="F121" s="62" t="n">
        <f aca="false">'Medição 07'!F121-'Medição 07'!G121</f>
        <v>0</v>
      </c>
      <c r="G121" s="52"/>
      <c r="H121" s="64" t="e">
        <f aca="false">G121/D121</f>
        <v>#DIV/0!</v>
      </c>
      <c r="I121" s="63" t="n">
        <f aca="false">G121*'Itens de Contrato'!F121</f>
        <v>0</v>
      </c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</row>
    <row r="122" customFormat="false" ht="12.8" hidden="false" customHeight="false" outlineLevel="0" collapsed="false">
      <c r="A122" s="37" t="n">
        <f aca="false">'Itens de Contrato'!A122</f>
        <v>0</v>
      </c>
      <c r="B122" s="37" t="n">
        <f aca="false">'Itens de Contrato'!B122</f>
        <v>0</v>
      </c>
      <c r="C122" s="37" t="e">
        <f aca="false">VLOOKUP(B122,'Itens de Contrato'!B$5:G$151,2,0)</f>
        <v>#N/A</v>
      </c>
      <c r="D122" s="52"/>
      <c r="E122" s="63" t="n">
        <f aca="false">D122*'Itens de Contrato'!F122</f>
        <v>0</v>
      </c>
      <c r="F122" s="62" t="n">
        <f aca="false">'Medição 07'!F122-'Medição 07'!G122</f>
        <v>0</v>
      </c>
      <c r="G122" s="52"/>
      <c r="H122" s="64" t="e">
        <f aca="false">G122/D122</f>
        <v>#DIV/0!</v>
      </c>
      <c r="I122" s="63" t="n">
        <f aca="false">G122*'Itens de Contrato'!F122</f>
        <v>0</v>
      </c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</row>
    <row r="123" customFormat="false" ht="12.8" hidden="false" customHeight="false" outlineLevel="0" collapsed="false">
      <c r="A123" s="37" t="n">
        <f aca="false">'Itens de Contrato'!A123</f>
        <v>0</v>
      </c>
      <c r="B123" s="37" t="n">
        <f aca="false">'Itens de Contrato'!B123</f>
        <v>0</v>
      </c>
      <c r="C123" s="37" t="e">
        <f aca="false">VLOOKUP(B123,'Itens de Contrato'!B$5:G$151,2,0)</f>
        <v>#N/A</v>
      </c>
      <c r="D123" s="52"/>
      <c r="E123" s="63" t="n">
        <f aca="false">D123*'Itens de Contrato'!F123</f>
        <v>0</v>
      </c>
      <c r="F123" s="62" t="n">
        <f aca="false">'Medição 07'!F123-'Medição 07'!G123</f>
        <v>0</v>
      </c>
      <c r="G123" s="52"/>
      <c r="H123" s="64" t="e">
        <f aca="false">G123/D123</f>
        <v>#DIV/0!</v>
      </c>
      <c r="I123" s="63" t="n">
        <f aca="false">G123*'Itens de Contrato'!F123</f>
        <v>0</v>
      </c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</row>
    <row r="124" customFormat="false" ht="12.8" hidden="false" customHeight="false" outlineLevel="0" collapsed="false">
      <c r="A124" s="37" t="n">
        <f aca="false">'Itens de Contrato'!A124</f>
        <v>0</v>
      </c>
      <c r="B124" s="37" t="n">
        <f aca="false">'Itens de Contrato'!B124</f>
        <v>0</v>
      </c>
      <c r="C124" s="37" t="e">
        <f aca="false">VLOOKUP(B124,'Itens de Contrato'!B$5:G$151,2,0)</f>
        <v>#N/A</v>
      </c>
      <c r="D124" s="52"/>
      <c r="E124" s="63" t="n">
        <f aca="false">D124*'Itens de Contrato'!F124</f>
        <v>0</v>
      </c>
      <c r="F124" s="62" t="n">
        <f aca="false">'Medição 07'!F124-'Medição 07'!G124</f>
        <v>0</v>
      </c>
      <c r="G124" s="52"/>
      <c r="H124" s="64" t="e">
        <f aca="false">G124/D124</f>
        <v>#DIV/0!</v>
      </c>
      <c r="I124" s="63" t="n">
        <f aca="false">G124*'Itens de Contrato'!F124</f>
        <v>0</v>
      </c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</row>
    <row r="125" customFormat="false" ht="12.8" hidden="false" customHeight="false" outlineLevel="0" collapsed="false">
      <c r="A125" s="37" t="n">
        <f aca="false">'Itens de Contrato'!A125</f>
        <v>0</v>
      </c>
      <c r="B125" s="37" t="n">
        <f aca="false">'Itens de Contrato'!B125</f>
        <v>0</v>
      </c>
      <c r="C125" s="37" t="e">
        <f aca="false">VLOOKUP(B125,'Itens de Contrato'!B$5:G$151,2,0)</f>
        <v>#N/A</v>
      </c>
      <c r="D125" s="52"/>
      <c r="E125" s="63" t="n">
        <f aca="false">D125*'Itens de Contrato'!F125</f>
        <v>0</v>
      </c>
      <c r="F125" s="62" t="n">
        <f aca="false">'Medição 07'!F125-'Medição 07'!G125</f>
        <v>0</v>
      </c>
      <c r="G125" s="52"/>
      <c r="H125" s="64" t="e">
        <f aca="false">G125/D125</f>
        <v>#DIV/0!</v>
      </c>
      <c r="I125" s="63" t="n">
        <f aca="false">G125*'Itens de Contrato'!F125</f>
        <v>0</v>
      </c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</row>
    <row r="126" customFormat="false" ht="12.8" hidden="false" customHeight="false" outlineLevel="0" collapsed="false">
      <c r="A126" s="37" t="n">
        <f aca="false">'Itens de Contrato'!A126</f>
        <v>0</v>
      </c>
      <c r="B126" s="37" t="n">
        <f aca="false">'Itens de Contrato'!B126</f>
        <v>0</v>
      </c>
      <c r="C126" s="37" t="e">
        <f aca="false">VLOOKUP(B126,'Itens de Contrato'!B$5:G$151,2,0)</f>
        <v>#N/A</v>
      </c>
      <c r="D126" s="52"/>
      <c r="E126" s="63" t="n">
        <f aca="false">D126*'Itens de Contrato'!F126</f>
        <v>0</v>
      </c>
      <c r="F126" s="62" t="n">
        <f aca="false">'Medição 07'!F126-'Medição 07'!G126</f>
        <v>0</v>
      </c>
      <c r="G126" s="52"/>
      <c r="H126" s="64" t="e">
        <f aca="false">G126/D126</f>
        <v>#DIV/0!</v>
      </c>
      <c r="I126" s="63" t="n">
        <f aca="false">G126*'Itens de Contrato'!F126</f>
        <v>0</v>
      </c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</row>
    <row r="127" customFormat="false" ht="12.8" hidden="false" customHeight="false" outlineLevel="0" collapsed="false">
      <c r="A127" s="37" t="n">
        <f aca="false">'Itens de Contrato'!A127</f>
        <v>0</v>
      </c>
      <c r="B127" s="37" t="n">
        <f aca="false">'Itens de Contrato'!B127</f>
        <v>0</v>
      </c>
      <c r="C127" s="37" t="e">
        <f aca="false">VLOOKUP(B127,'Itens de Contrato'!B$5:G$151,2,0)</f>
        <v>#N/A</v>
      </c>
      <c r="D127" s="52"/>
      <c r="E127" s="63" t="n">
        <f aca="false">D127*'Itens de Contrato'!F127</f>
        <v>0</v>
      </c>
      <c r="F127" s="62" t="n">
        <f aca="false">'Medição 07'!F127-'Medição 07'!G127</f>
        <v>0</v>
      </c>
      <c r="G127" s="52"/>
      <c r="H127" s="64" t="e">
        <f aca="false">G127/D127</f>
        <v>#DIV/0!</v>
      </c>
      <c r="I127" s="63" t="n">
        <f aca="false">G127*'Itens de Contrato'!F127</f>
        <v>0</v>
      </c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</row>
    <row r="128" customFormat="false" ht="12.8" hidden="false" customHeight="false" outlineLevel="0" collapsed="false">
      <c r="A128" s="37" t="n">
        <f aca="false">'Itens de Contrato'!A128</f>
        <v>0</v>
      </c>
      <c r="B128" s="37" t="n">
        <f aca="false">'Itens de Contrato'!B128</f>
        <v>0</v>
      </c>
      <c r="C128" s="37" t="e">
        <f aca="false">VLOOKUP(B128,'Itens de Contrato'!B$5:G$151,2,0)</f>
        <v>#N/A</v>
      </c>
      <c r="D128" s="52"/>
      <c r="E128" s="63" t="n">
        <f aca="false">D128*'Itens de Contrato'!F128</f>
        <v>0</v>
      </c>
      <c r="F128" s="62" t="n">
        <f aca="false">'Medição 07'!F128-'Medição 07'!G128</f>
        <v>0</v>
      </c>
      <c r="G128" s="52"/>
      <c r="H128" s="64" t="e">
        <f aca="false">G128/D128</f>
        <v>#DIV/0!</v>
      </c>
      <c r="I128" s="63" t="n">
        <f aca="false">G128*'Itens de Contrato'!F128</f>
        <v>0</v>
      </c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</row>
    <row r="129" customFormat="false" ht="12.8" hidden="false" customHeight="false" outlineLevel="0" collapsed="false">
      <c r="A129" s="37" t="n">
        <f aca="false">'Itens de Contrato'!A129</f>
        <v>0</v>
      </c>
      <c r="B129" s="37" t="n">
        <f aca="false">'Itens de Contrato'!B129</f>
        <v>0</v>
      </c>
      <c r="C129" s="37" t="e">
        <f aca="false">VLOOKUP(B129,'Itens de Contrato'!B$5:G$151,2,0)</f>
        <v>#N/A</v>
      </c>
      <c r="D129" s="52"/>
      <c r="E129" s="63" t="n">
        <f aca="false">D129*'Itens de Contrato'!F129</f>
        <v>0</v>
      </c>
      <c r="F129" s="62" t="n">
        <f aca="false">'Medição 07'!F129-'Medição 07'!G129</f>
        <v>0</v>
      </c>
      <c r="G129" s="52"/>
      <c r="H129" s="64" t="e">
        <f aca="false">G129/D129</f>
        <v>#DIV/0!</v>
      </c>
      <c r="I129" s="63" t="n">
        <f aca="false">G129*'Itens de Contrato'!F129</f>
        <v>0</v>
      </c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</row>
    <row r="130" customFormat="false" ht="12.8" hidden="false" customHeight="false" outlineLevel="0" collapsed="false">
      <c r="A130" s="37" t="n">
        <f aca="false">'Itens de Contrato'!A130</f>
        <v>0</v>
      </c>
      <c r="B130" s="37" t="n">
        <f aca="false">'Itens de Contrato'!B130</f>
        <v>0</v>
      </c>
      <c r="C130" s="37" t="e">
        <f aca="false">VLOOKUP(B130,'Itens de Contrato'!B$5:G$151,2,0)</f>
        <v>#N/A</v>
      </c>
      <c r="D130" s="52"/>
      <c r="E130" s="63" t="n">
        <f aca="false">D130*'Itens de Contrato'!F130</f>
        <v>0</v>
      </c>
      <c r="F130" s="62" t="n">
        <f aca="false">'Medição 07'!F130-'Medição 07'!G130</f>
        <v>0</v>
      </c>
      <c r="G130" s="52"/>
      <c r="H130" s="64" t="e">
        <f aca="false">G130/D130</f>
        <v>#DIV/0!</v>
      </c>
      <c r="I130" s="63" t="n">
        <f aca="false">G130*'Itens de Contrato'!F130</f>
        <v>0</v>
      </c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</row>
    <row r="131" customFormat="false" ht="12.8" hidden="false" customHeight="false" outlineLevel="0" collapsed="false">
      <c r="A131" s="37" t="n">
        <f aca="false">'Itens de Contrato'!A131</f>
        <v>0</v>
      </c>
      <c r="B131" s="37" t="n">
        <f aca="false">'Itens de Contrato'!B131</f>
        <v>0</v>
      </c>
      <c r="C131" s="37" t="e">
        <f aca="false">VLOOKUP(B131,'Itens de Contrato'!B$5:G$151,2,0)</f>
        <v>#N/A</v>
      </c>
      <c r="D131" s="52"/>
      <c r="E131" s="63" t="n">
        <f aca="false">D131*'Itens de Contrato'!F131</f>
        <v>0</v>
      </c>
      <c r="F131" s="62" t="n">
        <f aca="false">'Medição 07'!F131-'Medição 07'!G131</f>
        <v>0</v>
      </c>
      <c r="G131" s="52"/>
      <c r="H131" s="64" t="e">
        <f aca="false">G131/D131</f>
        <v>#DIV/0!</v>
      </c>
      <c r="I131" s="63" t="n">
        <f aca="false">G131*'Itens de Contrato'!F131</f>
        <v>0</v>
      </c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</row>
    <row r="132" customFormat="false" ht="12.8" hidden="false" customHeight="false" outlineLevel="0" collapsed="false">
      <c r="A132" s="37" t="n">
        <f aca="false">'Itens de Contrato'!A132</f>
        <v>0</v>
      </c>
      <c r="B132" s="37" t="n">
        <f aca="false">'Itens de Contrato'!B132</f>
        <v>0</v>
      </c>
      <c r="C132" s="37" t="e">
        <f aca="false">VLOOKUP(B132,'Itens de Contrato'!B$5:G$151,2,0)</f>
        <v>#N/A</v>
      </c>
      <c r="D132" s="52"/>
      <c r="E132" s="63" t="n">
        <f aca="false">D132*'Itens de Contrato'!F132</f>
        <v>0</v>
      </c>
      <c r="F132" s="62" t="n">
        <f aca="false">'Medição 07'!F132-'Medição 07'!G132</f>
        <v>0</v>
      </c>
      <c r="G132" s="52"/>
      <c r="H132" s="64" t="e">
        <f aca="false">G132/D132</f>
        <v>#DIV/0!</v>
      </c>
      <c r="I132" s="63" t="n">
        <f aca="false">G132*'Itens de Contrato'!F132</f>
        <v>0</v>
      </c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</row>
    <row r="133" customFormat="false" ht="12.8" hidden="false" customHeight="false" outlineLevel="0" collapsed="false">
      <c r="A133" s="37" t="n">
        <f aca="false">'Itens de Contrato'!A133</f>
        <v>0</v>
      </c>
      <c r="B133" s="37" t="n">
        <f aca="false">'Itens de Contrato'!B133</f>
        <v>0</v>
      </c>
      <c r="C133" s="37" t="e">
        <f aca="false">VLOOKUP(B133,'Itens de Contrato'!B$5:G$151,2,0)</f>
        <v>#N/A</v>
      </c>
      <c r="D133" s="52"/>
      <c r="E133" s="63" t="n">
        <f aca="false">D133*'Itens de Contrato'!F133</f>
        <v>0</v>
      </c>
      <c r="F133" s="62" t="n">
        <f aca="false">'Medição 07'!F133-'Medição 07'!G133</f>
        <v>0</v>
      </c>
      <c r="G133" s="52"/>
      <c r="H133" s="64" t="e">
        <f aca="false">G133/D133</f>
        <v>#DIV/0!</v>
      </c>
      <c r="I133" s="63" t="n">
        <f aca="false">G133*'Itens de Contrato'!F133</f>
        <v>0</v>
      </c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</row>
    <row r="134" customFormat="false" ht="12.8" hidden="false" customHeight="false" outlineLevel="0" collapsed="false">
      <c r="A134" s="37" t="n">
        <f aca="false">'Itens de Contrato'!A134</f>
        <v>0</v>
      </c>
      <c r="B134" s="37" t="n">
        <f aca="false">'Itens de Contrato'!B134</f>
        <v>0</v>
      </c>
      <c r="C134" s="37" t="e">
        <f aca="false">VLOOKUP(B134,'Itens de Contrato'!B$5:G$151,2,0)</f>
        <v>#N/A</v>
      </c>
      <c r="D134" s="52"/>
      <c r="E134" s="63" t="n">
        <f aca="false">D134*'Itens de Contrato'!F134</f>
        <v>0</v>
      </c>
      <c r="F134" s="62" t="n">
        <f aca="false">'Medição 07'!F134-'Medição 07'!G134</f>
        <v>0</v>
      </c>
      <c r="G134" s="52"/>
      <c r="H134" s="64" t="e">
        <f aca="false">G134/D134</f>
        <v>#DIV/0!</v>
      </c>
      <c r="I134" s="63" t="n">
        <f aca="false">G134*'Itens de Contrato'!F134</f>
        <v>0</v>
      </c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</row>
    <row r="135" customFormat="false" ht="12.8" hidden="false" customHeight="false" outlineLevel="0" collapsed="false">
      <c r="A135" s="37" t="n">
        <f aca="false">'Itens de Contrato'!A135</f>
        <v>0</v>
      </c>
      <c r="B135" s="37" t="n">
        <f aca="false">'Itens de Contrato'!B135</f>
        <v>0</v>
      </c>
      <c r="C135" s="37" t="e">
        <f aca="false">VLOOKUP(B135,'Itens de Contrato'!B$5:G$151,2,0)</f>
        <v>#N/A</v>
      </c>
      <c r="D135" s="52"/>
      <c r="E135" s="63" t="n">
        <f aca="false">D135*'Itens de Contrato'!F135</f>
        <v>0</v>
      </c>
      <c r="F135" s="62" t="n">
        <f aca="false">'Medição 07'!F135-'Medição 07'!G135</f>
        <v>0</v>
      </c>
      <c r="G135" s="52"/>
      <c r="H135" s="64" t="e">
        <f aca="false">G135/D135</f>
        <v>#DIV/0!</v>
      </c>
      <c r="I135" s="63" t="n">
        <f aca="false">G135*'Itens de Contrato'!F135</f>
        <v>0</v>
      </c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</row>
    <row r="136" customFormat="false" ht="12.8" hidden="false" customHeight="false" outlineLevel="0" collapsed="false">
      <c r="A136" s="37" t="n">
        <f aca="false">'Itens de Contrato'!A136</f>
        <v>0</v>
      </c>
      <c r="B136" s="37" t="n">
        <f aca="false">'Itens de Contrato'!B136</f>
        <v>0</v>
      </c>
      <c r="C136" s="37" t="e">
        <f aca="false">VLOOKUP(B136,'Itens de Contrato'!B$5:G$151,2,0)</f>
        <v>#N/A</v>
      </c>
      <c r="D136" s="52"/>
      <c r="E136" s="63" t="n">
        <f aca="false">D136*'Itens de Contrato'!F136</f>
        <v>0</v>
      </c>
      <c r="F136" s="62" t="n">
        <f aca="false">'Medição 07'!F136-'Medição 07'!G136</f>
        <v>0</v>
      </c>
      <c r="G136" s="52"/>
      <c r="H136" s="64" t="e">
        <f aca="false">G136/D136</f>
        <v>#DIV/0!</v>
      </c>
      <c r="I136" s="63" t="n">
        <f aca="false">G136*'Itens de Contrato'!F136</f>
        <v>0</v>
      </c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</row>
    <row r="137" customFormat="false" ht="12.8" hidden="false" customHeight="false" outlineLevel="0" collapsed="false">
      <c r="A137" s="37" t="n">
        <f aca="false">'Itens de Contrato'!A137</f>
        <v>0</v>
      </c>
      <c r="B137" s="37" t="n">
        <f aca="false">'Itens de Contrato'!B137</f>
        <v>0</v>
      </c>
      <c r="C137" s="37" t="e">
        <f aca="false">VLOOKUP(B137,'Itens de Contrato'!B$5:G$151,2,0)</f>
        <v>#N/A</v>
      </c>
      <c r="D137" s="52"/>
      <c r="E137" s="63" t="n">
        <f aca="false">D137*'Itens de Contrato'!F137</f>
        <v>0</v>
      </c>
      <c r="F137" s="62" t="n">
        <f aca="false">'Medição 07'!F137-'Medição 07'!G137</f>
        <v>0</v>
      </c>
      <c r="G137" s="52"/>
      <c r="H137" s="64" t="e">
        <f aca="false">G137/D137</f>
        <v>#DIV/0!</v>
      </c>
      <c r="I137" s="63" t="n">
        <f aca="false">G137*'Itens de Contrato'!F137</f>
        <v>0</v>
      </c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</row>
    <row r="138" customFormat="false" ht="12.8" hidden="false" customHeight="false" outlineLevel="0" collapsed="false">
      <c r="A138" s="37" t="n">
        <f aca="false">'Itens de Contrato'!A138</f>
        <v>0</v>
      </c>
      <c r="B138" s="37" t="n">
        <f aca="false">'Itens de Contrato'!B138</f>
        <v>0</v>
      </c>
      <c r="C138" s="37" t="e">
        <f aca="false">VLOOKUP(B138,'Itens de Contrato'!B$5:G$151,2,0)</f>
        <v>#N/A</v>
      </c>
      <c r="D138" s="52"/>
      <c r="E138" s="63" t="n">
        <f aca="false">D138*'Itens de Contrato'!F138</f>
        <v>0</v>
      </c>
      <c r="F138" s="62" t="n">
        <f aca="false">'Medição 07'!F138-'Medição 07'!G138</f>
        <v>0</v>
      </c>
      <c r="G138" s="52"/>
      <c r="H138" s="64" t="e">
        <f aca="false">G138/D138</f>
        <v>#DIV/0!</v>
      </c>
      <c r="I138" s="63" t="n">
        <f aca="false">G138*'Itens de Contrato'!F138</f>
        <v>0</v>
      </c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</row>
    <row r="139" customFormat="false" ht="12.8" hidden="false" customHeight="false" outlineLevel="0" collapsed="false">
      <c r="A139" s="37" t="n">
        <f aca="false">'Itens de Contrato'!A139</f>
        <v>0</v>
      </c>
      <c r="B139" s="37" t="n">
        <f aca="false">'Itens de Contrato'!B139</f>
        <v>0</v>
      </c>
      <c r="C139" s="37" t="e">
        <f aca="false">VLOOKUP(B139,'Itens de Contrato'!B$5:G$151,2,0)</f>
        <v>#N/A</v>
      </c>
      <c r="D139" s="52"/>
      <c r="E139" s="63" t="n">
        <f aca="false">D139*'Itens de Contrato'!F139</f>
        <v>0</v>
      </c>
      <c r="F139" s="62" t="n">
        <f aca="false">'Medição 07'!F139-'Medição 07'!G139</f>
        <v>0</v>
      </c>
      <c r="G139" s="52"/>
      <c r="H139" s="64" t="e">
        <f aca="false">G139/D139</f>
        <v>#DIV/0!</v>
      </c>
      <c r="I139" s="63" t="n">
        <f aca="false">G139*'Itens de Contrato'!F139</f>
        <v>0</v>
      </c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</row>
    <row r="140" customFormat="false" ht="12.8" hidden="false" customHeight="false" outlineLevel="0" collapsed="false">
      <c r="A140" s="37" t="n">
        <f aca="false">'Itens de Contrato'!A140</f>
        <v>0</v>
      </c>
      <c r="B140" s="37" t="n">
        <f aca="false">'Itens de Contrato'!B140</f>
        <v>0</v>
      </c>
      <c r="C140" s="37" t="e">
        <f aca="false">VLOOKUP(B140,'Itens de Contrato'!B$5:G$151,2,0)</f>
        <v>#N/A</v>
      </c>
      <c r="D140" s="52"/>
      <c r="E140" s="63" t="n">
        <f aca="false">D140*'Itens de Contrato'!F140</f>
        <v>0</v>
      </c>
      <c r="F140" s="62" t="n">
        <f aca="false">'Medição 07'!F140-'Medição 07'!G140</f>
        <v>0</v>
      </c>
      <c r="G140" s="52"/>
      <c r="H140" s="64" t="e">
        <f aca="false">G140/D140</f>
        <v>#DIV/0!</v>
      </c>
      <c r="I140" s="63" t="n">
        <f aca="false">G140*'Itens de Contrato'!F140</f>
        <v>0</v>
      </c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</row>
    <row r="141" customFormat="false" ht="12.8" hidden="false" customHeight="false" outlineLevel="0" collapsed="false">
      <c r="A141" s="37" t="n">
        <f aca="false">'Itens de Contrato'!A141</f>
        <v>0</v>
      </c>
      <c r="B141" s="37" t="n">
        <f aca="false">'Itens de Contrato'!B141</f>
        <v>0</v>
      </c>
      <c r="C141" s="37" t="e">
        <f aca="false">VLOOKUP(B141,'Itens de Contrato'!B$5:G$151,2,0)</f>
        <v>#N/A</v>
      </c>
      <c r="D141" s="52"/>
      <c r="E141" s="63" t="n">
        <f aca="false">D141*'Itens de Contrato'!F141</f>
        <v>0</v>
      </c>
      <c r="F141" s="62" t="n">
        <f aca="false">'Medição 07'!F141-'Medição 07'!G141</f>
        <v>0</v>
      </c>
      <c r="G141" s="52"/>
      <c r="H141" s="64" t="e">
        <f aca="false">G141/D141</f>
        <v>#DIV/0!</v>
      </c>
      <c r="I141" s="63" t="n">
        <f aca="false">G141*'Itens de Contrato'!F141</f>
        <v>0</v>
      </c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</row>
    <row r="142" customFormat="false" ht="12.8" hidden="false" customHeight="false" outlineLevel="0" collapsed="false">
      <c r="A142" s="37" t="n">
        <f aca="false">'Itens de Contrato'!A142</f>
        <v>0</v>
      </c>
      <c r="B142" s="37" t="n">
        <f aca="false">'Itens de Contrato'!B142</f>
        <v>0</v>
      </c>
      <c r="C142" s="37" t="e">
        <f aca="false">VLOOKUP(B142,'Itens de Contrato'!B$5:G$151,2,0)</f>
        <v>#N/A</v>
      </c>
      <c r="D142" s="52"/>
      <c r="E142" s="63" t="n">
        <f aca="false">D142*'Itens de Contrato'!F142</f>
        <v>0</v>
      </c>
      <c r="F142" s="62" t="n">
        <f aca="false">'Medição 07'!F142-'Medição 07'!G142</f>
        <v>0</v>
      </c>
      <c r="G142" s="52"/>
      <c r="H142" s="64" t="e">
        <f aca="false">G142/D142</f>
        <v>#DIV/0!</v>
      </c>
      <c r="I142" s="63" t="n">
        <f aca="false">G142*'Itens de Contrato'!F142</f>
        <v>0</v>
      </c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</row>
    <row r="143" customFormat="false" ht="12.8" hidden="false" customHeight="false" outlineLevel="0" collapsed="false">
      <c r="A143" s="37" t="n">
        <f aca="false">'Itens de Contrato'!A143</f>
        <v>0</v>
      </c>
      <c r="B143" s="37" t="n">
        <f aca="false">'Itens de Contrato'!B143</f>
        <v>0</v>
      </c>
      <c r="C143" s="37" t="e">
        <f aca="false">VLOOKUP(B143,'Itens de Contrato'!B$5:G$151,2,0)</f>
        <v>#N/A</v>
      </c>
      <c r="D143" s="52"/>
      <c r="E143" s="63" t="n">
        <f aca="false">D143*'Itens de Contrato'!F143</f>
        <v>0</v>
      </c>
      <c r="F143" s="62" t="n">
        <f aca="false">'Medição 07'!F143-'Medição 07'!G143</f>
        <v>0</v>
      </c>
      <c r="G143" s="52"/>
      <c r="H143" s="64" t="e">
        <f aca="false">G143/D143</f>
        <v>#DIV/0!</v>
      </c>
      <c r="I143" s="63" t="n">
        <f aca="false">G143*'Itens de Contrato'!F143</f>
        <v>0</v>
      </c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</row>
    <row r="144" customFormat="false" ht="12.8" hidden="false" customHeight="false" outlineLevel="0" collapsed="false">
      <c r="A144" s="37" t="n">
        <f aca="false">'Itens de Contrato'!A144</f>
        <v>0</v>
      </c>
      <c r="B144" s="37" t="n">
        <f aca="false">'Itens de Contrato'!B144</f>
        <v>0</v>
      </c>
      <c r="C144" s="37" t="e">
        <f aca="false">VLOOKUP(B144,'Itens de Contrato'!B$5:G$151,2,0)</f>
        <v>#N/A</v>
      </c>
      <c r="D144" s="52"/>
      <c r="E144" s="63" t="n">
        <f aca="false">D144*'Itens de Contrato'!F144</f>
        <v>0</v>
      </c>
      <c r="F144" s="62" t="n">
        <f aca="false">'Medição 07'!F144-'Medição 07'!G144</f>
        <v>0</v>
      </c>
      <c r="G144" s="52"/>
      <c r="H144" s="64" t="e">
        <f aca="false">G144/D144</f>
        <v>#DIV/0!</v>
      </c>
      <c r="I144" s="63" t="n">
        <f aca="false">G144*'Itens de Contrato'!F144</f>
        <v>0</v>
      </c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</row>
    <row r="145" customFormat="false" ht="12.8" hidden="false" customHeight="false" outlineLevel="0" collapsed="false">
      <c r="A145" s="37" t="n">
        <f aca="false">'Itens de Contrato'!A145</f>
        <v>0</v>
      </c>
      <c r="B145" s="37" t="n">
        <f aca="false">'Itens de Contrato'!B145</f>
        <v>0</v>
      </c>
      <c r="C145" s="37" t="e">
        <f aca="false">VLOOKUP(B145,'Itens de Contrato'!B$5:G$151,2,0)</f>
        <v>#N/A</v>
      </c>
      <c r="D145" s="52"/>
      <c r="E145" s="63" t="n">
        <f aca="false">D145*'Itens de Contrato'!F145</f>
        <v>0</v>
      </c>
      <c r="F145" s="62" t="n">
        <f aca="false">'Medição 07'!F145-'Medição 07'!G145</f>
        <v>0</v>
      </c>
      <c r="G145" s="52"/>
      <c r="H145" s="64" t="e">
        <f aca="false">G145/D145</f>
        <v>#DIV/0!</v>
      </c>
      <c r="I145" s="63" t="n">
        <f aca="false">G145*'Itens de Contrato'!F145</f>
        <v>0</v>
      </c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</row>
    <row r="146" customFormat="false" ht="12.8" hidden="false" customHeight="false" outlineLevel="0" collapsed="false">
      <c r="A146" s="37" t="n">
        <f aca="false">'Itens de Contrato'!A146</f>
        <v>0</v>
      </c>
      <c r="B146" s="37" t="n">
        <f aca="false">'Itens de Contrato'!B146</f>
        <v>0</v>
      </c>
      <c r="C146" s="37" t="e">
        <f aca="false">VLOOKUP(B146,'Itens de Contrato'!B$5:G$151,2,0)</f>
        <v>#N/A</v>
      </c>
      <c r="D146" s="52"/>
      <c r="E146" s="63" t="n">
        <f aca="false">D146*'Itens de Contrato'!F146</f>
        <v>0</v>
      </c>
      <c r="F146" s="62" t="n">
        <f aca="false">'Medição 07'!F146-'Medição 07'!G146</f>
        <v>0</v>
      </c>
      <c r="G146" s="52"/>
      <c r="H146" s="64" t="e">
        <f aca="false">G146/D146</f>
        <v>#DIV/0!</v>
      </c>
      <c r="I146" s="63" t="n">
        <f aca="false">G146*'Itens de Contrato'!F146</f>
        <v>0</v>
      </c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</row>
    <row r="147" customFormat="false" ht="12.8" hidden="false" customHeight="false" outlineLevel="0" collapsed="false">
      <c r="A147" s="37" t="n">
        <f aca="false">'Itens de Contrato'!A147</f>
        <v>0</v>
      </c>
      <c r="B147" s="37" t="n">
        <f aca="false">'Itens de Contrato'!B147</f>
        <v>0</v>
      </c>
      <c r="C147" s="37" t="e">
        <f aca="false">VLOOKUP(B147,'Itens de Contrato'!B$5:G$151,2,0)</f>
        <v>#N/A</v>
      </c>
      <c r="D147" s="52"/>
      <c r="E147" s="63" t="n">
        <f aca="false">D147*'Itens de Contrato'!F147</f>
        <v>0</v>
      </c>
      <c r="F147" s="62" t="n">
        <f aca="false">'Medição 07'!F147-'Medição 07'!G147</f>
        <v>0</v>
      </c>
      <c r="G147" s="52"/>
      <c r="H147" s="64" t="e">
        <f aca="false">G147/D147</f>
        <v>#DIV/0!</v>
      </c>
      <c r="I147" s="63" t="n">
        <f aca="false">G147*'Itens de Contrato'!F147</f>
        <v>0</v>
      </c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</row>
    <row r="148" customFormat="false" ht="12.8" hidden="false" customHeight="false" outlineLevel="0" collapsed="false">
      <c r="A148" s="37" t="n">
        <f aca="false">'Itens de Contrato'!A148</f>
        <v>0</v>
      </c>
      <c r="B148" s="37" t="n">
        <f aca="false">'Itens de Contrato'!B148</f>
        <v>0</v>
      </c>
      <c r="C148" s="37" t="e">
        <f aca="false">VLOOKUP(B148,'Itens de Contrato'!B$5:G$151,2,0)</f>
        <v>#N/A</v>
      </c>
      <c r="D148" s="52"/>
      <c r="E148" s="63" t="n">
        <f aca="false">D148*'Itens de Contrato'!F148</f>
        <v>0</v>
      </c>
      <c r="F148" s="62" t="n">
        <f aca="false">'Medição 07'!F148-'Medição 07'!G148</f>
        <v>0</v>
      </c>
      <c r="G148" s="52"/>
      <c r="H148" s="64" t="e">
        <f aca="false">G148/D148</f>
        <v>#DIV/0!</v>
      </c>
      <c r="I148" s="63" t="n">
        <f aca="false">G148*'Itens de Contrato'!F148</f>
        <v>0</v>
      </c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</row>
    <row r="149" customFormat="false" ht="12.8" hidden="false" customHeight="false" outlineLevel="0" collapsed="false">
      <c r="A149" s="37" t="n">
        <f aca="false">'Itens de Contrato'!A149</f>
        <v>0</v>
      </c>
      <c r="B149" s="37" t="n">
        <f aca="false">'Itens de Contrato'!B149</f>
        <v>0</v>
      </c>
      <c r="C149" s="37" t="e">
        <f aca="false">VLOOKUP(B149,'Itens de Contrato'!B$5:G$151,2,0)</f>
        <v>#N/A</v>
      </c>
      <c r="D149" s="52"/>
      <c r="E149" s="63" t="n">
        <f aca="false">D149*'Itens de Contrato'!F149</f>
        <v>0</v>
      </c>
      <c r="F149" s="62" t="n">
        <f aca="false">'Medição 07'!F149-'Medição 07'!G149</f>
        <v>0</v>
      </c>
      <c r="G149" s="52"/>
      <c r="H149" s="64" t="e">
        <f aca="false">G149/D149</f>
        <v>#DIV/0!</v>
      </c>
      <c r="I149" s="63" t="n">
        <f aca="false">G149*'Itens de Contrato'!F149</f>
        <v>0</v>
      </c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</row>
    <row r="150" customFormat="false" ht="12.8" hidden="false" customHeight="false" outlineLevel="0" collapsed="false">
      <c r="A150" s="37" t="n">
        <f aca="false">'Itens de Contrato'!A150</f>
        <v>0</v>
      </c>
      <c r="B150" s="37" t="n">
        <f aca="false">'Itens de Contrato'!B150</f>
        <v>0</v>
      </c>
      <c r="C150" s="37" t="e">
        <f aca="false">VLOOKUP(B150,'Itens de Contrato'!B$5:G$151,2,0)</f>
        <v>#N/A</v>
      </c>
      <c r="D150" s="52"/>
      <c r="E150" s="63" t="n">
        <f aca="false">D150*'Itens de Contrato'!F150</f>
        <v>0</v>
      </c>
      <c r="F150" s="62" t="n">
        <f aca="false">'Medição 07'!F150-'Medição 07'!G150</f>
        <v>0</v>
      </c>
      <c r="G150" s="52"/>
      <c r="H150" s="64" t="e">
        <f aca="false">G150/D150</f>
        <v>#DIV/0!</v>
      </c>
      <c r="I150" s="63" t="n">
        <f aca="false">G150*'Itens de Contrato'!F150</f>
        <v>0</v>
      </c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</row>
    <row r="151" customFormat="false" ht="12.8" hidden="false" customHeight="false" outlineLevel="0" collapsed="false">
      <c r="A151" s="37" t="n">
        <f aca="false">'Itens de Contrato'!A151</f>
        <v>0</v>
      </c>
      <c r="B151" s="37" t="n">
        <f aca="false">'Itens de Contrato'!B151</f>
        <v>0</v>
      </c>
      <c r="C151" s="37" t="e">
        <f aca="false">VLOOKUP(B151,'Itens de Contrato'!B$5:G$151,2,0)</f>
        <v>#N/A</v>
      </c>
      <c r="D151" s="52"/>
      <c r="E151" s="63" t="n">
        <f aca="false">D151*'Itens de Contrato'!F151</f>
        <v>0</v>
      </c>
      <c r="F151" s="62" t="n">
        <f aca="false">'Medição 07'!F151-'Medição 07'!G151</f>
        <v>0</v>
      </c>
      <c r="G151" s="52"/>
      <c r="H151" s="64" t="e">
        <f aca="false">G151/D151</f>
        <v>#DIV/0!</v>
      </c>
      <c r="I151" s="63" t="n">
        <f aca="false">G151*'Itens de Contrato'!F151</f>
        <v>0</v>
      </c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</row>
    <row r="152" customFormat="false" ht="12.75" hidden="false" customHeight="false" outlineLevel="0" collapsed="false"/>
    <row r="153" customFormat="false" ht="12.75" hidden="false" customHeight="false" outlineLevel="0" collapsed="false"/>
    <row r="154" customFormat="false" ht="12.75" hidden="false" customHeight="false" outlineLevel="0" collapsed="false"/>
    <row r="155" customFormat="false" ht="12.75" hidden="false" customHeight="false" outlineLevel="0" collapsed="false"/>
    <row r="156" customFormat="false" ht="12.75" hidden="false" customHeight="false" outlineLevel="0" collapsed="false"/>
    <row r="157" customFormat="false" ht="12.75" hidden="false" customHeight="false" outlineLevel="0" collapsed="false"/>
    <row r="158" customFormat="false" ht="12.75" hidden="false" customHeight="false" outlineLevel="0" collapsed="false"/>
    <row r="159" customFormat="false" ht="12.75" hidden="false" customHeight="false" outlineLevel="0" collapsed="false"/>
    <row r="160" customFormat="false" ht="12.75" hidden="false" customHeight="false" outlineLevel="0" collapsed="false"/>
    <row r="161" customFormat="false" ht="12.75" hidden="false" customHeight="false" outlineLevel="0" collapsed="false"/>
    <row r="162" customFormat="false" ht="12.75" hidden="false" customHeight="false" outlineLevel="0" collapsed="false"/>
    <row r="163" customFormat="false" ht="12.75" hidden="false" customHeight="false" outlineLevel="0" collapsed="false"/>
    <row r="164" customFormat="false" ht="12.75" hidden="false" customHeight="false" outlineLevel="0" collapsed="false"/>
    <row r="165" customFormat="false" ht="12.75" hidden="false" customHeight="false" outlineLevel="0" collapsed="false"/>
    <row r="166" customFormat="false" ht="12.75" hidden="false" customHeight="false" outlineLevel="0" collapsed="false"/>
    <row r="167" customFormat="false" ht="12.75" hidden="false" customHeight="false" outlineLevel="0" collapsed="false"/>
    <row r="168" customFormat="false" ht="12.75" hidden="false" customHeight="false" outlineLevel="0" collapsed="false"/>
    <row r="169" customFormat="false" ht="12.75" hidden="false" customHeight="false" outlineLevel="0" collapsed="false"/>
    <row r="170" customFormat="false" ht="12.75" hidden="false" customHeight="false" outlineLevel="0" collapsed="false"/>
    <row r="171" customFormat="false" ht="12.75" hidden="false" customHeight="false" outlineLevel="0" collapsed="false"/>
    <row r="172" customFormat="false" ht="12.75" hidden="false" customHeight="false" outlineLevel="0" collapsed="false"/>
    <row r="173" customFormat="false" ht="12.75" hidden="false" customHeight="false" outlineLevel="0" collapsed="false"/>
    <row r="174" customFormat="false" ht="12.75" hidden="false" customHeight="false" outlineLevel="0" collapsed="false"/>
    <row r="175" customFormat="false" ht="12.75" hidden="false" customHeight="false" outlineLevel="0" collapsed="false"/>
    <row r="176" customFormat="false" ht="12.75" hidden="false" customHeight="false" outlineLevel="0" collapsed="false"/>
    <row r="177" customFormat="false" ht="12.75" hidden="false" customHeight="false" outlineLevel="0" collapsed="false"/>
    <row r="178" customFormat="false" ht="12.75" hidden="false" customHeight="false" outlineLevel="0" collapsed="false"/>
    <row r="179" customFormat="false" ht="12.75" hidden="false" customHeight="false" outlineLevel="0" collapsed="false"/>
    <row r="180" customFormat="false" ht="12.75" hidden="false" customHeight="false" outlineLevel="0" collapsed="false"/>
    <row r="181" customFormat="false" ht="12.75" hidden="false" customHeight="false" outlineLevel="0" collapsed="false"/>
    <row r="182" customFormat="false" ht="12.75" hidden="false" customHeight="false" outlineLevel="0" collapsed="false"/>
    <row r="183" customFormat="false" ht="12.75" hidden="false" customHeight="false" outlineLevel="0" collapsed="false"/>
    <row r="184" customFormat="false" ht="12.75" hidden="false" customHeight="false" outlineLevel="0" collapsed="false"/>
    <row r="185" customFormat="false" ht="12.75" hidden="false" customHeight="false" outlineLevel="0" collapsed="false"/>
    <row r="186" customFormat="false" ht="12.75" hidden="false" customHeight="false" outlineLevel="0" collapsed="false"/>
    <row r="187" customFormat="false" ht="12.75" hidden="false" customHeight="false" outlineLevel="0" collapsed="false"/>
    <row r="188" customFormat="false" ht="12.75" hidden="false" customHeight="false" outlineLevel="0" collapsed="false"/>
    <row r="189" customFormat="false" ht="12.75" hidden="false" customHeight="false" outlineLevel="0" collapsed="false"/>
    <row r="190" customFormat="false" ht="12.75" hidden="false" customHeight="false" outlineLevel="0" collapsed="false"/>
    <row r="191" customFormat="false" ht="12.75" hidden="false" customHeight="false" outlineLevel="0" collapsed="false"/>
    <row r="192" customFormat="false" ht="12.75" hidden="false" customHeight="false" outlineLevel="0" collapsed="false"/>
    <row r="193" customFormat="false" ht="12.75" hidden="false" customHeight="false" outlineLevel="0" collapsed="false"/>
    <row r="194" customFormat="false" ht="12.75" hidden="false" customHeight="false" outlineLevel="0" collapsed="false"/>
    <row r="195" customFormat="false" ht="12.75" hidden="false" customHeight="false" outlineLevel="0" collapsed="false"/>
    <row r="196" customFormat="false" ht="12.75" hidden="false" customHeight="false" outlineLevel="0" collapsed="false"/>
    <row r="197" customFormat="false" ht="12.75" hidden="false" customHeight="false" outlineLevel="0" collapsed="false"/>
    <row r="198" customFormat="false" ht="12.75" hidden="false" customHeight="false" outlineLevel="0" collapsed="false"/>
    <row r="199" customFormat="false" ht="12.75" hidden="false" customHeight="false" outlineLevel="0" collapsed="false"/>
    <row r="200" customFormat="false" ht="12.75" hidden="false" customHeight="false" outlineLevel="0" collapsed="false"/>
    <row r="201" customFormat="false" ht="12.75" hidden="false" customHeight="false" outlineLevel="0" collapsed="false"/>
    <row r="202" customFormat="false" ht="12.75" hidden="false" customHeight="false" outlineLevel="0" collapsed="false"/>
    <row r="203" customFormat="false" ht="12.75" hidden="false" customHeight="false" outlineLevel="0" collapsed="false"/>
    <row r="204" customFormat="false" ht="12.75" hidden="false" customHeight="false" outlineLevel="0" collapsed="false"/>
    <row r="205" customFormat="false" ht="12.75" hidden="false" customHeight="false" outlineLevel="0" collapsed="false"/>
    <row r="206" customFormat="false" ht="12.75" hidden="false" customHeight="false" outlineLevel="0" collapsed="false"/>
    <row r="207" customFormat="false" ht="12.75" hidden="false" customHeight="false" outlineLevel="0" collapsed="false"/>
    <row r="208" customFormat="false" ht="12.75" hidden="false" customHeight="false" outlineLevel="0" collapsed="false"/>
    <row r="209" customFormat="false" ht="12.75" hidden="false" customHeight="false" outlineLevel="0" collapsed="false"/>
    <row r="210" customFormat="false" ht="12.75" hidden="false" customHeight="false" outlineLevel="0" collapsed="false"/>
    <row r="211" customFormat="false" ht="12.75" hidden="false" customHeight="false" outlineLevel="0" collapsed="false"/>
    <row r="212" customFormat="false" ht="12.75" hidden="false" customHeight="false" outlineLevel="0" collapsed="false"/>
    <row r="213" customFormat="false" ht="12.75" hidden="false" customHeight="false" outlineLevel="0" collapsed="false"/>
    <row r="214" customFormat="false" ht="12.75" hidden="false" customHeight="false" outlineLevel="0" collapsed="false"/>
    <row r="215" customFormat="false" ht="12.75" hidden="false" customHeight="false" outlineLevel="0" collapsed="false"/>
    <row r="216" customFormat="false" ht="12.75" hidden="false" customHeight="false" outlineLevel="0" collapsed="false"/>
    <row r="217" customFormat="false" ht="12.75" hidden="false" customHeight="false" outlineLevel="0" collapsed="false"/>
    <row r="218" customFormat="false" ht="12.75" hidden="false" customHeight="false" outlineLevel="0" collapsed="false"/>
    <row r="219" customFormat="false" ht="12.75" hidden="false" customHeight="false" outlineLevel="0" collapsed="false"/>
    <row r="220" customFormat="false" ht="12.75" hidden="false" customHeight="false" outlineLevel="0" collapsed="false"/>
    <row r="221" customFormat="false" ht="12.75" hidden="false" customHeight="false" outlineLevel="0" collapsed="false"/>
    <row r="222" customFormat="false" ht="12.75" hidden="false" customHeight="false" outlineLevel="0" collapsed="false"/>
    <row r="223" customFormat="false" ht="12.75" hidden="false" customHeight="false" outlineLevel="0" collapsed="false"/>
    <row r="224" customFormat="false" ht="12.75" hidden="false" customHeight="false" outlineLevel="0" collapsed="false"/>
    <row r="225" customFormat="false" ht="12.75" hidden="false" customHeight="false" outlineLevel="0" collapsed="false"/>
    <row r="226" customFormat="false" ht="12.75" hidden="false" customHeight="false" outlineLevel="0" collapsed="false"/>
    <row r="227" customFormat="false" ht="12.75" hidden="false" customHeight="false" outlineLevel="0" collapsed="false"/>
    <row r="228" customFormat="false" ht="12.75" hidden="false" customHeight="false" outlineLevel="0" collapsed="false"/>
    <row r="229" customFormat="false" ht="12.75" hidden="false" customHeight="false" outlineLevel="0" collapsed="false"/>
    <row r="230" customFormat="false" ht="12.75" hidden="false" customHeight="false" outlineLevel="0" collapsed="false"/>
    <row r="231" customFormat="false" ht="12.75" hidden="false" customHeight="false" outlineLevel="0" collapsed="false"/>
    <row r="232" customFormat="false" ht="12.75" hidden="false" customHeight="false" outlineLevel="0" collapsed="false"/>
    <row r="233" customFormat="false" ht="12.75" hidden="false" customHeight="false" outlineLevel="0" collapsed="false"/>
    <row r="234" customFormat="false" ht="12.75" hidden="false" customHeight="false" outlineLevel="0" collapsed="false"/>
    <row r="235" customFormat="false" ht="12.75" hidden="false" customHeight="false" outlineLevel="0" collapsed="false"/>
    <row r="236" customFormat="false" ht="12.75" hidden="false" customHeight="false" outlineLevel="0" collapsed="false"/>
    <row r="237" customFormat="false" ht="12.75" hidden="false" customHeight="false" outlineLevel="0" collapsed="false"/>
    <row r="238" customFormat="false" ht="12.75" hidden="false" customHeight="false" outlineLevel="0" collapsed="false"/>
    <row r="239" customFormat="false" ht="12.75" hidden="false" customHeight="false" outlineLevel="0" collapsed="false"/>
    <row r="240" customFormat="false" ht="12.75" hidden="false" customHeight="false" outlineLevel="0" collapsed="false"/>
    <row r="241" customFormat="false" ht="12.75" hidden="false" customHeight="false" outlineLevel="0" collapsed="false"/>
    <row r="242" customFormat="false" ht="12.75" hidden="false" customHeight="false" outlineLevel="0" collapsed="false"/>
    <row r="243" customFormat="false" ht="12.75" hidden="false" customHeight="false" outlineLevel="0" collapsed="false"/>
    <row r="244" customFormat="false" ht="12.75" hidden="false" customHeight="false" outlineLevel="0" collapsed="false"/>
    <row r="245" customFormat="false" ht="12.75" hidden="false" customHeight="false" outlineLevel="0" collapsed="false"/>
    <row r="246" customFormat="false" ht="12.75" hidden="false" customHeight="false" outlineLevel="0" collapsed="false"/>
    <row r="247" customFormat="false" ht="12.75" hidden="false" customHeight="false" outlineLevel="0" collapsed="false"/>
    <row r="248" customFormat="false" ht="12.75" hidden="false" customHeight="false" outlineLevel="0" collapsed="false"/>
    <row r="249" customFormat="false" ht="12.75" hidden="false" customHeight="false" outlineLevel="0" collapsed="false"/>
    <row r="250" customFormat="false" ht="12.75" hidden="false" customHeight="false" outlineLevel="0" collapsed="false"/>
    <row r="251" customFormat="false" ht="12.75" hidden="false" customHeight="false" outlineLevel="0" collapsed="false"/>
    <row r="252" customFormat="false" ht="12.75" hidden="false" customHeight="false" outlineLevel="0" collapsed="false"/>
    <row r="253" customFormat="false" ht="12.75" hidden="false" customHeight="false" outlineLevel="0" collapsed="false"/>
    <row r="254" customFormat="false" ht="12.75" hidden="false" customHeight="false" outlineLevel="0" collapsed="false"/>
    <row r="255" customFormat="false" ht="12.75" hidden="false" customHeight="false" outlineLevel="0" collapsed="false"/>
    <row r="256" customFormat="false" ht="12.75" hidden="false" customHeight="false" outlineLevel="0" collapsed="false"/>
    <row r="257" customFormat="false" ht="12.75" hidden="false" customHeight="false" outlineLevel="0" collapsed="false"/>
    <row r="258" customFormat="false" ht="12.75" hidden="false" customHeight="false" outlineLevel="0" collapsed="false"/>
    <row r="259" customFormat="false" ht="12.75" hidden="false" customHeight="false" outlineLevel="0" collapsed="false"/>
    <row r="260" customFormat="false" ht="12.75" hidden="false" customHeight="false" outlineLevel="0" collapsed="false"/>
    <row r="261" customFormat="false" ht="12.75" hidden="false" customHeight="false" outlineLevel="0" collapsed="false"/>
    <row r="262" customFormat="false" ht="12.75" hidden="false" customHeight="false" outlineLevel="0" collapsed="false"/>
    <row r="263" customFormat="false" ht="12.75" hidden="false" customHeight="false" outlineLevel="0" collapsed="false"/>
    <row r="264" customFormat="false" ht="12.75" hidden="false" customHeight="false" outlineLevel="0" collapsed="false"/>
    <row r="265" customFormat="false" ht="12.75" hidden="false" customHeight="false" outlineLevel="0" collapsed="false"/>
    <row r="266" customFormat="false" ht="12.75" hidden="false" customHeight="false" outlineLevel="0" collapsed="false"/>
    <row r="267" customFormat="false" ht="12.75" hidden="false" customHeight="false" outlineLevel="0" collapsed="false"/>
    <row r="268" customFormat="false" ht="12.75" hidden="false" customHeight="false" outlineLevel="0" collapsed="false"/>
    <row r="269" customFormat="false" ht="12.75" hidden="false" customHeight="false" outlineLevel="0" collapsed="false"/>
    <row r="270" customFormat="false" ht="12.75" hidden="false" customHeight="false" outlineLevel="0" collapsed="false"/>
    <row r="271" customFormat="false" ht="12.75" hidden="false" customHeight="false" outlineLevel="0" collapsed="false"/>
    <row r="272" customFormat="false" ht="12.75" hidden="false" customHeight="false" outlineLevel="0" collapsed="false"/>
    <row r="273" customFormat="false" ht="12.75" hidden="false" customHeight="fals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12.75" hidden="false" customHeight="false" outlineLevel="0" collapsed="false"/>
    <row r="283" customFormat="false" ht="12.75" hidden="false" customHeight="false" outlineLevel="0" collapsed="false"/>
    <row r="284" customFormat="false" ht="12.75" hidden="false" customHeight="fals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12.75" hidden="false" customHeight="false" outlineLevel="0" collapsed="false"/>
    <row r="291" customFormat="false" ht="12.75" hidden="false" customHeight="false" outlineLevel="0" collapsed="false"/>
    <row r="292" customFormat="false" ht="12.75" hidden="false" customHeight="false" outlineLevel="0" collapsed="false"/>
    <row r="293" customFormat="false" ht="12.75" hidden="false" customHeight="false" outlineLevel="0" collapsed="false"/>
    <row r="294" customFormat="false" ht="12.75" hidden="false" customHeight="false" outlineLevel="0" collapsed="false"/>
    <row r="295" customFormat="false" ht="12.75" hidden="false" customHeight="fals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12.75" hidden="false" customHeight="false" outlineLevel="0" collapsed="false"/>
    <row r="299" customFormat="false" ht="12.75" hidden="false" customHeight="false" outlineLevel="0" collapsed="false"/>
    <row r="300" customFormat="false" ht="12.75" hidden="false" customHeight="fals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12.75" hidden="false" customHeight="false" outlineLevel="0" collapsed="false"/>
    <row r="308" customFormat="false" ht="12.75" hidden="false" customHeight="false" outlineLevel="0" collapsed="false"/>
    <row r="309" customFormat="false" ht="12.75" hidden="false" customHeight="false" outlineLevel="0" collapsed="false"/>
    <row r="310" customFormat="false" ht="12.75" hidden="false" customHeight="false" outlineLevel="0" collapsed="false"/>
    <row r="311" customFormat="false" ht="12.75" hidden="false" customHeight="false" outlineLevel="0" collapsed="false"/>
    <row r="312" customFormat="false" ht="12.75" hidden="false" customHeight="false" outlineLevel="0" collapsed="false"/>
    <row r="313" customFormat="false" ht="12.75" hidden="false" customHeight="false" outlineLevel="0" collapsed="false"/>
    <row r="314" customFormat="false" ht="12.75" hidden="false" customHeight="fals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12.75" hidden="false" customHeight="fals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  <row r="344" customFormat="false" ht="12.75" hidden="false" customHeight="false" outlineLevel="0" collapsed="false"/>
    <row r="345" customFormat="false" ht="12.75" hidden="false" customHeight="false" outlineLevel="0" collapsed="false"/>
    <row r="346" customFormat="false" ht="12.75" hidden="false" customHeight="false" outlineLevel="0" collapsed="false"/>
    <row r="347" customFormat="false" ht="12.75" hidden="false" customHeight="false" outlineLevel="0" collapsed="false"/>
    <row r="348" customFormat="false" ht="12.75" hidden="false" customHeight="false" outlineLevel="0" collapsed="false"/>
    <row r="349" customFormat="false" ht="12.75" hidden="false" customHeight="false" outlineLevel="0" collapsed="false"/>
    <row r="350" customFormat="false" ht="12.75" hidden="false" customHeight="false" outlineLevel="0" collapsed="false"/>
    <row r="351" customFormat="false" ht="12.75" hidden="false" customHeight="false" outlineLevel="0" collapsed="false"/>
    <row r="352" customFormat="false" ht="12.75" hidden="false" customHeight="false" outlineLevel="0" collapsed="false"/>
    <row r="353" customFormat="false" ht="12.75" hidden="false" customHeight="false" outlineLevel="0" collapsed="false"/>
    <row r="354" customFormat="false" ht="12.75" hidden="false" customHeight="false" outlineLevel="0" collapsed="false"/>
    <row r="355" customFormat="false" ht="12.75" hidden="false" customHeight="false" outlineLevel="0" collapsed="false"/>
    <row r="356" customFormat="false" ht="12.75" hidden="false" customHeight="false" outlineLevel="0" collapsed="false"/>
    <row r="357" customFormat="false" ht="12.75" hidden="false" customHeight="false" outlineLevel="0" collapsed="false"/>
    <row r="358" customFormat="false" ht="12.75" hidden="false" customHeight="false" outlineLevel="0" collapsed="false"/>
    <row r="359" customFormat="false" ht="12.75" hidden="false" customHeight="false" outlineLevel="0" collapsed="false"/>
    <row r="360" customFormat="false" ht="12.75" hidden="false" customHeight="false" outlineLevel="0" collapsed="false"/>
    <row r="361" customFormat="false" ht="12.75" hidden="false" customHeight="false" outlineLevel="0" collapsed="false"/>
    <row r="362" customFormat="false" ht="12.75" hidden="false" customHeight="false" outlineLevel="0" collapsed="false"/>
    <row r="363" customFormat="false" ht="12.75" hidden="false" customHeight="false" outlineLevel="0" collapsed="false"/>
    <row r="364" customFormat="false" ht="12.75" hidden="false" customHeight="false" outlineLevel="0" collapsed="false"/>
    <row r="365" customFormat="false" ht="12.75" hidden="false" customHeight="false" outlineLevel="0" collapsed="false"/>
    <row r="366" customFormat="false" ht="12.75" hidden="false" customHeight="false" outlineLevel="0" collapsed="false"/>
    <row r="367" customFormat="false" ht="12.75" hidden="false" customHeight="false" outlineLevel="0" collapsed="false"/>
    <row r="368" customFormat="false" ht="12.75" hidden="false" customHeight="false" outlineLevel="0" collapsed="false"/>
    <row r="369" customFormat="false" ht="12.75" hidden="false" customHeight="false" outlineLevel="0" collapsed="false"/>
    <row r="370" customFormat="false" ht="12.75" hidden="false" customHeight="false" outlineLevel="0" collapsed="false"/>
    <row r="371" customFormat="false" ht="12.75" hidden="false" customHeight="false" outlineLevel="0" collapsed="false"/>
    <row r="372" customFormat="false" ht="12.75" hidden="false" customHeight="false" outlineLevel="0" collapsed="false"/>
    <row r="373" customFormat="false" ht="12.75" hidden="false" customHeight="false" outlineLevel="0" collapsed="false"/>
    <row r="374" customFormat="false" ht="12.75" hidden="false" customHeight="false" outlineLevel="0" collapsed="false"/>
    <row r="375" customFormat="false" ht="12.75" hidden="false" customHeight="false" outlineLevel="0" collapsed="false"/>
    <row r="376" customFormat="false" ht="12.75" hidden="false" customHeight="false" outlineLevel="0" collapsed="false"/>
    <row r="377" customFormat="false" ht="12.75" hidden="false" customHeight="false" outlineLevel="0" collapsed="false"/>
    <row r="378" customFormat="false" ht="12.75" hidden="false" customHeight="false" outlineLevel="0" collapsed="false"/>
    <row r="379" customFormat="false" ht="12.75" hidden="false" customHeight="false" outlineLevel="0" collapsed="false"/>
    <row r="380" customFormat="false" ht="12.75" hidden="false" customHeight="false" outlineLevel="0" collapsed="false"/>
    <row r="381" customFormat="false" ht="12.75" hidden="false" customHeight="false" outlineLevel="0" collapsed="false"/>
    <row r="382" customFormat="false" ht="12.75" hidden="false" customHeight="false" outlineLevel="0" collapsed="false"/>
    <row r="383" customFormat="false" ht="12.75" hidden="false" customHeight="false" outlineLevel="0" collapsed="false"/>
    <row r="384" customFormat="false" ht="12.75" hidden="false" customHeight="false" outlineLevel="0" collapsed="false"/>
    <row r="385" customFormat="false" ht="12.75" hidden="false" customHeight="false" outlineLevel="0" collapsed="false"/>
    <row r="386" customFormat="false" ht="12.75" hidden="false" customHeight="false" outlineLevel="0" collapsed="false"/>
    <row r="387" customFormat="false" ht="12.75" hidden="false" customHeight="false" outlineLevel="0" collapsed="false"/>
    <row r="388" customFormat="false" ht="12.75" hidden="false" customHeight="false" outlineLevel="0" collapsed="false"/>
    <row r="389" customFormat="false" ht="12.75" hidden="false" customHeight="false" outlineLevel="0" collapsed="false"/>
    <row r="390" customFormat="false" ht="12.75" hidden="false" customHeight="false" outlineLevel="0" collapsed="false"/>
    <row r="391" customFormat="false" ht="12.75" hidden="false" customHeight="false" outlineLevel="0" collapsed="false"/>
    <row r="392" customFormat="false" ht="12.75" hidden="false" customHeight="false" outlineLevel="0" collapsed="false"/>
    <row r="393" customFormat="false" ht="12.75" hidden="false" customHeight="false" outlineLevel="0" collapsed="false"/>
    <row r="394" customFormat="false" ht="12.75" hidden="false" customHeight="false" outlineLevel="0" collapsed="false"/>
    <row r="395" customFormat="false" ht="12.75" hidden="false" customHeight="false" outlineLevel="0" collapsed="false"/>
    <row r="396" customFormat="false" ht="12.75" hidden="false" customHeight="false" outlineLevel="0" collapsed="false"/>
    <row r="397" customFormat="false" ht="12.75" hidden="false" customHeight="false" outlineLevel="0" collapsed="false"/>
    <row r="398" customFormat="false" ht="12.75" hidden="false" customHeight="false" outlineLevel="0" collapsed="false"/>
    <row r="399" customFormat="false" ht="12.75" hidden="false" customHeight="false" outlineLevel="0" collapsed="false"/>
    <row r="400" customFormat="false" ht="12.75" hidden="false" customHeight="false" outlineLevel="0" collapsed="false"/>
    <row r="401" customFormat="false" ht="12.75" hidden="false" customHeight="false" outlineLevel="0" collapsed="false"/>
    <row r="402" customFormat="false" ht="12.75" hidden="false" customHeight="false" outlineLevel="0" collapsed="false"/>
    <row r="403" customFormat="false" ht="12.75" hidden="false" customHeight="false" outlineLevel="0" collapsed="false"/>
    <row r="404" customFormat="false" ht="12.75" hidden="false" customHeight="false" outlineLevel="0" collapsed="false"/>
    <row r="405" customFormat="false" ht="12.75" hidden="false" customHeight="false" outlineLevel="0" collapsed="false"/>
    <row r="406" customFormat="false" ht="12.75" hidden="false" customHeight="false" outlineLevel="0" collapsed="false"/>
    <row r="407" customFormat="false" ht="12.75" hidden="false" customHeight="false" outlineLevel="0" collapsed="false"/>
    <row r="408" customFormat="false" ht="12.75" hidden="false" customHeight="false" outlineLevel="0" collapsed="false"/>
    <row r="409" customFormat="false" ht="12.75" hidden="false" customHeight="false" outlineLevel="0" collapsed="false"/>
    <row r="410" customFormat="false" ht="12.75" hidden="false" customHeight="false" outlineLevel="0" collapsed="false"/>
    <row r="411" customFormat="false" ht="12.75" hidden="false" customHeight="false" outlineLevel="0" collapsed="false"/>
    <row r="412" customFormat="false" ht="12.75" hidden="false" customHeight="false" outlineLevel="0" collapsed="false"/>
    <row r="413" customFormat="false" ht="12.75" hidden="false" customHeight="false" outlineLevel="0" collapsed="false"/>
    <row r="414" customFormat="false" ht="12.75" hidden="false" customHeight="false" outlineLevel="0" collapsed="false"/>
    <row r="415" customFormat="false" ht="12.75" hidden="false" customHeight="false" outlineLevel="0" collapsed="false"/>
    <row r="416" customFormat="false" ht="12.75" hidden="false" customHeight="false" outlineLevel="0" collapsed="false"/>
    <row r="417" customFormat="false" ht="12.75" hidden="false" customHeight="false" outlineLevel="0" collapsed="false"/>
    <row r="418" customFormat="false" ht="12.75" hidden="false" customHeight="false" outlineLevel="0" collapsed="false"/>
    <row r="419" customFormat="false" ht="12.75" hidden="false" customHeight="false" outlineLevel="0" collapsed="false"/>
    <row r="420" customFormat="false" ht="12.75" hidden="false" customHeight="false" outlineLevel="0" collapsed="false"/>
    <row r="421" customFormat="false" ht="12.75" hidden="false" customHeight="false" outlineLevel="0" collapsed="false"/>
    <row r="422" customFormat="false" ht="12.75" hidden="false" customHeight="false" outlineLevel="0" collapsed="false"/>
    <row r="423" customFormat="false" ht="12.75" hidden="false" customHeight="false" outlineLevel="0" collapsed="false"/>
    <row r="424" customFormat="false" ht="12.75" hidden="false" customHeight="false" outlineLevel="0" collapsed="false"/>
    <row r="425" customFormat="false" ht="12.75" hidden="false" customHeight="false" outlineLevel="0" collapsed="false"/>
    <row r="426" customFormat="false" ht="12.75" hidden="false" customHeight="false" outlineLevel="0" collapsed="false"/>
    <row r="427" customFormat="false" ht="12.75" hidden="false" customHeight="false" outlineLevel="0" collapsed="false"/>
    <row r="428" customFormat="false" ht="12.75" hidden="false" customHeight="false" outlineLevel="0" collapsed="false"/>
    <row r="429" customFormat="false" ht="12.75" hidden="false" customHeight="false" outlineLevel="0" collapsed="false"/>
    <row r="430" customFormat="false" ht="12.75" hidden="false" customHeight="false" outlineLevel="0" collapsed="false"/>
    <row r="431" customFormat="false" ht="12.75" hidden="false" customHeight="false" outlineLevel="0" collapsed="false"/>
    <row r="432" customFormat="false" ht="12.75" hidden="false" customHeight="false" outlineLevel="0" collapsed="false"/>
    <row r="433" customFormat="false" ht="12.75" hidden="false" customHeight="false" outlineLevel="0" collapsed="false"/>
    <row r="434" customFormat="false" ht="12.75" hidden="false" customHeight="false" outlineLevel="0" collapsed="false"/>
    <row r="435" customFormat="false" ht="12.75" hidden="false" customHeight="false" outlineLevel="0" collapsed="false"/>
    <row r="436" customFormat="false" ht="12.75" hidden="false" customHeight="false" outlineLevel="0" collapsed="false"/>
    <row r="437" customFormat="false" ht="12.75" hidden="false" customHeight="false" outlineLevel="0" collapsed="false"/>
    <row r="438" customFormat="false" ht="12.75" hidden="false" customHeight="false" outlineLevel="0" collapsed="false"/>
    <row r="439" customFormat="false" ht="12.75" hidden="false" customHeight="false" outlineLevel="0" collapsed="false"/>
    <row r="440" customFormat="false" ht="12.75" hidden="false" customHeight="false" outlineLevel="0" collapsed="false"/>
    <row r="441" customFormat="false" ht="12.75" hidden="false" customHeight="false" outlineLevel="0" collapsed="false"/>
    <row r="442" customFormat="false" ht="12.75" hidden="false" customHeight="false" outlineLevel="0" collapsed="false"/>
    <row r="443" customFormat="false" ht="12.75" hidden="false" customHeight="false" outlineLevel="0" collapsed="false"/>
    <row r="444" customFormat="false" ht="12.75" hidden="false" customHeight="false" outlineLevel="0" collapsed="false"/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/>
    <row r="455" customFormat="false" ht="12.75" hidden="false" customHeight="false" outlineLevel="0" collapsed="false"/>
    <row r="456" customFormat="false" ht="12.75" hidden="false" customHeight="false" outlineLevel="0" collapsed="false"/>
    <row r="457" customFormat="false" ht="12.75" hidden="false" customHeight="false" outlineLevel="0" collapsed="false"/>
    <row r="458" customFormat="false" ht="12.75" hidden="false" customHeight="false" outlineLevel="0" collapsed="false"/>
    <row r="459" customFormat="false" ht="12.75" hidden="false" customHeight="false" outlineLevel="0" collapsed="false"/>
    <row r="460" customFormat="false" ht="12.75" hidden="false" customHeight="false" outlineLevel="0" collapsed="false"/>
    <row r="461" customFormat="false" ht="12.75" hidden="false" customHeight="false" outlineLevel="0" collapsed="false"/>
    <row r="462" customFormat="false" ht="12.75" hidden="false" customHeight="false" outlineLevel="0" collapsed="false"/>
    <row r="463" customFormat="false" ht="12.75" hidden="false" customHeight="false" outlineLevel="0" collapsed="false"/>
    <row r="464" customFormat="false" ht="12.75" hidden="false" customHeight="false" outlineLevel="0" collapsed="false"/>
    <row r="465" customFormat="false" ht="12.75" hidden="false" customHeight="false" outlineLevel="0" collapsed="false"/>
    <row r="466" customFormat="false" ht="12.75" hidden="false" customHeight="false" outlineLevel="0" collapsed="false"/>
    <row r="467" customFormat="false" ht="12.75" hidden="false" customHeight="false" outlineLevel="0" collapsed="false"/>
    <row r="468" customFormat="false" ht="12.75" hidden="false" customHeight="false" outlineLevel="0" collapsed="false"/>
    <row r="469" customFormat="false" ht="12.75" hidden="false" customHeight="false" outlineLevel="0" collapsed="false"/>
    <row r="470" customFormat="false" ht="12.75" hidden="false" customHeight="false" outlineLevel="0" collapsed="false"/>
    <row r="471" customFormat="false" ht="12.75" hidden="false" customHeight="false" outlineLevel="0" collapsed="false"/>
    <row r="472" customFormat="false" ht="12.75" hidden="false" customHeight="false" outlineLevel="0" collapsed="false"/>
    <row r="473" customFormat="false" ht="12.75" hidden="false" customHeight="false" outlineLevel="0" collapsed="false"/>
    <row r="474" customFormat="false" ht="12.75" hidden="false" customHeight="false" outlineLevel="0" collapsed="false"/>
    <row r="475" customFormat="false" ht="12.75" hidden="false" customHeight="false" outlineLevel="0" collapsed="false"/>
    <row r="476" customFormat="false" ht="12.75" hidden="false" customHeight="false" outlineLevel="0" collapsed="false"/>
    <row r="477" customFormat="false" ht="12.75" hidden="false" customHeight="false" outlineLevel="0" collapsed="false"/>
    <row r="478" customFormat="false" ht="12.75" hidden="false" customHeight="false" outlineLevel="0" collapsed="false"/>
    <row r="479" customFormat="false" ht="12.75" hidden="false" customHeight="false" outlineLevel="0" collapsed="false"/>
    <row r="480" customFormat="false" ht="12.75" hidden="false" customHeight="false" outlineLevel="0" collapsed="false"/>
    <row r="481" customFormat="false" ht="12.75" hidden="false" customHeight="false" outlineLevel="0" collapsed="false"/>
    <row r="482" customFormat="false" ht="12.75" hidden="false" customHeight="false" outlineLevel="0" collapsed="false"/>
    <row r="483" customFormat="false" ht="12.75" hidden="false" customHeight="false" outlineLevel="0" collapsed="false"/>
    <row r="484" customFormat="false" ht="12.75" hidden="false" customHeight="false" outlineLevel="0" collapsed="false"/>
    <row r="485" customFormat="false" ht="12.75" hidden="false" customHeight="false" outlineLevel="0" collapsed="false"/>
    <row r="486" customFormat="false" ht="12.75" hidden="false" customHeight="false" outlineLevel="0" collapsed="false"/>
    <row r="487" customFormat="false" ht="12.75" hidden="false" customHeight="false" outlineLevel="0" collapsed="false"/>
    <row r="488" customFormat="false" ht="12.75" hidden="false" customHeight="false" outlineLevel="0" collapsed="false"/>
    <row r="489" customFormat="false" ht="12.75" hidden="false" customHeight="false" outlineLevel="0" collapsed="false"/>
    <row r="490" customFormat="false" ht="12.75" hidden="false" customHeight="false" outlineLevel="0" collapsed="false"/>
    <row r="491" customFormat="false" ht="12.75" hidden="false" customHeight="false" outlineLevel="0" collapsed="false"/>
    <row r="492" customFormat="false" ht="12.75" hidden="false" customHeight="false" outlineLevel="0" collapsed="false"/>
    <row r="493" customFormat="false" ht="12.75" hidden="false" customHeight="false" outlineLevel="0" collapsed="false"/>
    <row r="494" customFormat="false" ht="12.75" hidden="false" customHeight="false" outlineLevel="0" collapsed="false"/>
    <row r="495" customFormat="false" ht="12.75" hidden="false" customHeight="false" outlineLevel="0" collapsed="false"/>
    <row r="496" customFormat="false" ht="12.75" hidden="false" customHeight="false" outlineLevel="0" collapsed="false"/>
    <row r="497" customFormat="false" ht="12.75" hidden="false" customHeight="false" outlineLevel="0" collapsed="false"/>
    <row r="498" customFormat="false" ht="12.75" hidden="false" customHeight="false" outlineLevel="0" collapsed="false"/>
    <row r="499" customFormat="false" ht="12.75" hidden="false" customHeight="false" outlineLevel="0" collapsed="false"/>
    <row r="500" customFormat="false" ht="12.75" hidden="false" customHeight="false" outlineLevel="0" collapsed="false"/>
    <row r="501" customFormat="false" ht="12.75" hidden="false" customHeight="false" outlineLevel="0" collapsed="false"/>
    <row r="502" customFormat="false" ht="12.75" hidden="false" customHeight="false" outlineLevel="0" collapsed="false"/>
    <row r="503" customFormat="false" ht="12.75" hidden="false" customHeight="false" outlineLevel="0" collapsed="false"/>
    <row r="504" customFormat="false" ht="12.75" hidden="false" customHeight="false" outlineLevel="0" collapsed="false"/>
    <row r="505" customFormat="false" ht="12.75" hidden="false" customHeight="false" outlineLevel="0" collapsed="false"/>
    <row r="506" customFormat="false" ht="12.75" hidden="false" customHeight="false" outlineLevel="0" collapsed="false"/>
    <row r="507" customFormat="false" ht="12.75" hidden="false" customHeight="false" outlineLevel="0" collapsed="false"/>
    <row r="508" customFormat="false" ht="12.75" hidden="false" customHeight="false" outlineLevel="0" collapsed="false"/>
    <row r="509" customFormat="false" ht="12.75" hidden="false" customHeight="false" outlineLevel="0" collapsed="false"/>
    <row r="510" customFormat="false" ht="12.75" hidden="false" customHeight="false" outlineLevel="0" collapsed="false"/>
    <row r="511" customFormat="false" ht="12.75" hidden="false" customHeight="false" outlineLevel="0" collapsed="false"/>
    <row r="512" customFormat="false" ht="12.75" hidden="false" customHeight="false" outlineLevel="0" collapsed="false"/>
    <row r="513" customFormat="false" ht="12.75" hidden="false" customHeight="false" outlineLevel="0" collapsed="false"/>
    <row r="514" customFormat="false" ht="12.75" hidden="false" customHeight="false" outlineLevel="0" collapsed="false"/>
    <row r="515" customFormat="false" ht="12.75" hidden="false" customHeight="false" outlineLevel="0" collapsed="false"/>
    <row r="516" customFormat="false" ht="12.75" hidden="false" customHeight="false" outlineLevel="0" collapsed="false"/>
    <row r="517" customFormat="false" ht="12.75" hidden="false" customHeight="false" outlineLevel="0" collapsed="false"/>
    <row r="518" customFormat="false" ht="12.75" hidden="false" customHeight="false" outlineLevel="0" collapsed="false"/>
    <row r="519" customFormat="false" ht="12.75" hidden="false" customHeight="false" outlineLevel="0" collapsed="false"/>
    <row r="520" customFormat="false" ht="12.75" hidden="false" customHeight="false" outlineLevel="0" collapsed="false"/>
    <row r="521" customFormat="false" ht="12.75" hidden="false" customHeight="false" outlineLevel="0" collapsed="false"/>
    <row r="522" customFormat="false" ht="12.75" hidden="false" customHeight="false" outlineLevel="0" collapsed="false"/>
    <row r="523" customFormat="false" ht="12.75" hidden="false" customHeight="false" outlineLevel="0" collapsed="false"/>
    <row r="524" customFormat="false" ht="12.75" hidden="false" customHeight="false" outlineLevel="0" collapsed="false"/>
    <row r="525" customFormat="false" ht="12.75" hidden="false" customHeight="false" outlineLevel="0" collapsed="false"/>
    <row r="526" customFormat="false" ht="12.75" hidden="false" customHeight="false" outlineLevel="0" collapsed="false"/>
    <row r="527" customFormat="false" ht="12.75" hidden="false" customHeight="false" outlineLevel="0" collapsed="false"/>
    <row r="528" customFormat="false" ht="12.75" hidden="false" customHeight="false" outlineLevel="0" collapsed="false"/>
    <row r="529" customFormat="false" ht="12.75" hidden="false" customHeight="false" outlineLevel="0" collapsed="false"/>
    <row r="530" customFormat="false" ht="12.75" hidden="false" customHeight="false" outlineLevel="0" collapsed="false"/>
    <row r="531" customFormat="false" ht="12.75" hidden="false" customHeight="false" outlineLevel="0" collapsed="false"/>
    <row r="532" customFormat="false" ht="12.75" hidden="false" customHeight="false" outlineLevel="0" collapsed="false"/>
    <row r="533" customFormat="false" ht="12.75" hidden="false" customHeight="false" outlineLevel="0" collapsed="false"/>
    <row r="534" customFormat="false" ht="12.75" hidden="false" customHeight="false" outlineLevel="0" collapsed="false"/>
    <row r="535" customFormat="false" ht="12.75" hidden="false" customHeight="false" outlineLevel="0" collapsed="false"/>
    <row r="536" customFormat="false" ht="12.75" hidden="false" customHeight="false" outlineLevel="0" collapsed="false"/>
    <row r="537" customFormat="false" ht="12.75" hidden="false" customHeight="false" outlineLevel="0" collapsed="false"/>
    <row r="538" customFormat="false" ht="12.75" hidden="false" customHeight="false" outlineLevel="0" collapsed="false"/>
    <row r="539" customFormat="false" ht="12.75" hidden="false" customHeight="false" outlineLevel="0" collapsed="false"/>
    <row r="540" customFormat="false" ht="12.75" hidden="false" customHeight="false" outlineLevel="0" collapsed="false"/>
    <row r="541" customFormat="false" ht="12.75" hidden="false" customHeight="false" outlineLevel="0" collapsed="false"/>
    <row r="542" customFormat="false" ht="12.75" hidden="false" customHeight="false" outlineLevel="0" collapsed="false"/>
    <row r="543" customFormat="false" ht="12.75" hidden="false" customHeight="false" outlineLevel="0" collapsed="false"/>
    <row r="544" customFormat="false" ht="12.75" hidden="false" customHeight="false" outlineLevel="0" collapsed="false"/>
    <row r="545" customFormat="false" ht="12.75" hidden="false" customHeight="false" outlineLevel="0" collapsed="false"/>
    <row r="546" customFormat="false" ht="12.75" hidden="false" customHeight="false" outlineLevel="0" collapsed="false"/>
    <row r="547" customFormat="false" ht="12.75" hidden="false" customHeight="false" outlineLevel="0" collapsed="false"/>
    <row r="548" customFormat="false" ht="12.75" hidden="false" customHeight="false" outlineLevel="0" collapsed="false"/>
    <row r="549" customFormat="false" ht="12.75" hidden="false" customHeight="false" outlineLevel="0" collapsed="false"/>
    <row r="550" customFormat="false" ht="12.75" hidden="false" customHeight="false" outlineLevel="0" collapsed="false"/>
    <row r="551" customFormat="false" ht="12.75" hidden="false" customHeight="false" outlineLevel="0" collapsed="false"/>
    <row r="552" customFormat="false" ht="12.75" hidden="false" customHeight="false" outlineLevel="0" collapsed="false"/>
    <row r="553" customFormat="false" ht="12.75" hidden="false" customHeight="false" outlineLevel="0" collapsed="false"/>
    <row r="554" customFormat="false" ht="12.75" hidden="false" customHeight="false" outlineLevel="0" collapsed="false"/>
    <row r="555" customFormat="false" ht="12.75" hidden="false" customHeight="false" outlineLevel="0" collapsed="false"/>
    <row r="556" customFormat="false" ht="12.75" hidden="false" customHeight="false" outlineLevel="0" collapsed="false"/>
    <row r="557" customFormat="false" ht="12.75" hidden="false" customHeight="false" outlineLevel="0" collapsed="false"/>
    <row r="558" customFormat="false" ht="12.75" hidden="false" customHeight="false" outlineLevel="0" collapsed="false"/>
    <row r="559" customFormat="false" ht="12.75" hidden="false" customHeight="false" outlineLevel="0" collapsed="false"/>
    <row r="560" customFormat="false" ht="12.75" hidden="false" customHeight="false" outlineLevel="0" collapsed="false"/>
    <row r="561" customFormat="false" ht="12.75" hidden="false" customHeight="false" outlineLevel="0" collapsed="false"/>
    <row r="562" customFormat="false" ht="12.75" hidden="false" customHeight="false" outlineLevel="0" collapsed="false"/>
    <row r="563" customFormat="false" ht="12.75" hidden="false" customHeight="false" outlineLevel="0" collapsed="false"/>
    <row r="564" customFormat="false" ht="12.75" hidden="false" customHeight="false" outlineLevel="0" collapsed="false"/>
    <row r="565" customFormat="false" ht="12.75" hidden="false" customHeight="false" outlineLevel="0" collapsed="false"/>
    <row r="566" customFormat="false" ht="12.75" hidden="false" customHeight="false" outlineLevel="0" collapsed="false"/>
    <row r="567" customFormat="false" ht="12.75" hidden="false" customHeight="false" outlineLevel="0" collapsed="false"/>
    <row r="568" customFormat="false" ht="12.75" hidden="false" customHeight="false" outlineLevel="0" collapsed="false"/>
    <row r="569" customFormat="false" ht="12.75" hidden="false" customHeight="false" outlineLevel="0" collapsed="false"/>
    <row r="570" customFormat="false" ht="12.75" hidden="false" customHeight="false" outlineLevel="0" collapsed="false"/>
    <row r="571" customFormat="false" ht="12.75" hidden="false" customHeight="false" outlineLevel="0" collapsed="false"/>
    <row r="572" customFormat="false" ht="12.75" hidden="false" customHeight="false" outlineLevel="0" collapsed="false"/>
    <row r="573" customFormat="false" ht="12.75" hidden="false" customHeight="false" outlineLevel="0" collapsed="false"/>
    <row r="574" customFormat="false" ht="12.75" hidden="false" customHeight="false" outlineLevel="0" collapsed="false"/>
    <row r="575" customFormat="false" ht="12.75" hidden="false" customHeight="false" outlineLevel="0" collapsed="false"/>
    <row r="576" customFormat="false" ht="12.75" hidden="false" customHeight="false" outlineLevel="0" collapsed="false"/>
    <row r="577" customFormat="false" ht="12.75" hidden="false" customHeight="false" outlineLevel="0" collapsed="false"/>
    <row r="578" customFormat="false" ht="12.75" hidden="false" customHeight="false" outlineLevel="0" collapsed="false"/>
    <row r="579" customFormat="false" ht="12.75" hidden="false" customHeight="false" outlineLevel="0" collapsed="false"/>
    <row r="580" customFormat="false" ht="12.75" hidden="false" customHeight="false" outlineLevel="0" collapsed="false"/>
    <row r="581" customFormat="false" ht="12.75" hidden="false" customHeight="false" outlineLevel="0" collapsed="false"/>
    <row r="582" customFormat="false" ht="12.75" hidden="false" customHeight="false" outlineLevel="0" collapsed="false"/>
    <row r="583" customFormat="false" ht="12.75" hidden="false" customHeight="false" outlineLevel="0" collapsed="false"/>
    <row r="584" customFormat="false" ht="12.75" hidden="false" customHeight="false" outlineLevel="0" collapsed="false"/>
    <row r="585" customFormat="false" ht="12.75" hidden="false" customHeight="false" outlineLevel="0" collapsed="false"/>
    <row r="586" customFormat="false" ht="12.75" hidden="false" customHeight="false" outlineLevel="0" collapsed="false"/>
    <row r="587" customFormat="false" ht="12.75" hidden="false" customHeight="false" outlineLevel="0" collapsed="false"/>
    <row r="588" customFormat="false" ht="12.75" hidden="false" customHeight="false" outlineLevel="0" collapsed="false"/>
    <row r="589" customFormat="false" ht="12.75" hidden="false" customHeight="false" outlineLevel="0" collapsed="false"/>
    <row r="590" customFormat="false" ht="12.75" hidden="false" customHeight="false" outlineLevel="0" collapsed="false"/>
    <row r="591" customFormat="false" ht="12.75" hidden="false" customHeight="false" outlineLevel="0" collapsed="false"/>
    <row r="592" customFormat="false" ht="12.75" hidden="false" customHeight="false" outlineLevel="0" collapsed="false"/>
    <row r="593" customFormat="false" ht="12.75" hidden="false" customHeight="false" outlineLevel="0" collapsed="false"/>
    <row r="594" customFormat="false" ht="12.75" hidden="false" customHeight="false" outlineLevel="0" collapsed="false"/>
    <row r="595" customFormat="false" ht="12.75" hidden="false" customHeight="false" outlineLevel="0" collapsed="false"/>
    <row r="596" customFormat="false" ht="12.75" hidden="false" customHeight="false" outlineLevel="0" collapsed="false"/>
    <row r="597" customFormat="false" ht="12.75" hidden="false" customHeight="false" outlineLevel="0" collapsed="false"/>
    <row r="598" customFormat="false" ht="12.75" hidden="false" customHeight="false" outlineLevel="0" collapsed="false"/>
    <row r="599" customFormat="false" ht="12.75" hidden="false" customHeight="false" outlineLevel="0" collapsed="false"/>
    <row r="600" customFormat="false" ht="12.75" hidden="false" customHeight="false" outlineLevel="0" collapsed="false"/>
    <row r="601" customFormat="false" ht="12.75" hidden="false" customHeight="false" outlineLevel="0" collapsed="false"/>
    <row r="602" customFormat="false" ht="12.75" hidden="false" customHeight="false" outlineLevel="0" collapsed="false"/>
    <row r="603" customFormat="false" ht="12.75" hidden="false" customHeight="false" outlineLevel="0" collapsed="false"/>
    <row r="604" customFormat="false" ht="12.75" hidden="false" customHeight="false" outlineLevel="0" collapsed="false"/>
    <row r="605" customFormat="false" ht="12.75" hidden="false" customHeight="false" outlineLevel="0" collapsed="false"/>
    <row r="606" customFormat="false" ht="12.75" hidden="false" customHeight="false" outlineLevel="0" collapsed="false"/>
    <row r="607" customFormat="false" ht="12.75" hidden="false" customHeight="false" outlineLevel="0" collapsed="false"/>
    <row r="608" customFormat="false" ht="12.75" hidden="false" customHeight="false" outlineLevel="0" collapsed="false"/>
    <row r="609" customFormat="false" ht="12.75" hidden="false" customHeight="false" outlineLevel="0" collapsed="false"/>
    <row r="610" customFormat="false" ht="12.75" hidden="false" customHeight="false" outlineLevel="0" collapsed="false"/>
    <row r="611" customFormat="false" ht="12.75" hidden="false" customHeight="false" outlineLevel="0" collapsed="false"/>
    <row r="612" customFormat="false" ht="12.75" hidden="false" customHeight="false" outlineLevel="0" collapsed="false"/>
    <row r="613" customFormat="false" ht="12.75" hidden="false" customHeight="false" outlineLevel="0" collapsed="false"/>
    <row r="614" customFormat="false" ht="12.75" hidden="false" customHeight="false" outlineLevel="0" collapsed="false"/>
    <row r="615" customFormat="false" ht="12.75" hidden="false" customHeight="false" outlineLevel="0" collapsed="false"/>
    <row r="616" customFormat="false" ht="12.75" hidden="false" customHeight="false" outlineLevel="0" collapsed="false"/>
    <row r="617" customFormat="false" ht="12.75" hidden="false" customHeight="false" outlineLevel="0" collapsed="false"/>
    <row r="618" customFormat="false" ht="12.75" hidden="false" customHeight="false" outlineLevel="0" collapsed="false"/>
    <row r="619" customFormat="false" ht="12.75" hidden="false" customHeight="false" outlineLevel="0" collapsed="false"/>
    <row r="620" customFormat="false" ht="12.75" hidden="false" customHeight="false" outlineLevel="0" collapsed="false"/>
    <row r="621" customFormat="false" ht="12.75" hidden="false" customHeight="false" outlineLevel="0" collapsed="false"/>
    <row r="622" customFormat="false" ht="12.75" hidden="false" customHeight="false" outlineLevel="0" collapsed="false"/>
    <row r="623" customFormat="false" ht="12.75" hidden="false" customHeight="false" outlineLevel="0" collapsed="false"/>
    <row r="624" customFormat="false" ht="12.75" hidden="false" customHeight="false" outlineLevel="0" collapsed="false"/>
    <row r="625" customFormat="false" ht="12.75" hidden="false" customHeight="false" outlineLevel="0" collapsed="false"/>
    <row r="626" customFormat="false" ht="12.75" hidden="false" customHeight="false" outlineLevel="0" collapsed="false"/>
    <row r="627" customFormat="false" ht="12.75" hidden="false" customHeight="false" outlineLevel="0" collapsed="false"/>
    <row r="628" customFormat="false" ht="12.75" hidden="false" customHeight="false" outlineLevel="0" collapsed="false"/>
    <row r="629" customFormat="false" ht="12.75" hidden="false" customHeight="false" outlineLevel="0" collapsed="false"/>
    <row r="630" customFormat="false" ht="12.75" hidden="false" customHeight="false" outlineLevel="0" collapsed="false"/>
    <row r="631" customFormat="false" ht="12.75" hidden="false" customHeight="false" outlineLevel="0" collapsed="false"/>
    <row r="632" customFormat="false" ht="12.75" hidden="false" customHeight="false" outlineLevel="0" collapsed="false"/>
    <row r="633" customFormat="false" ht="12.75" hidden="false" customHeight="false" outlineLevel="0" collapsed="false"/>
    <row r="634" customFormat="false" ht="12.75" hidden="false" customHeight="false" outlineLevel="0" collapsed="false"/>
    <row r="635" customFormat="false" ht="12.75" hidden="false" customHeight="false" outlineLevel="0" collapsed="false"/>
    <row r="636" customFormat="false" ht="12.75" hidden="false" customHeight="false" outlineLevel="0" collapsed="false"/>
    <row r="637" customFormat="false" ht="12.75" hidden="false" customHeight="false" outlineLevel="0" collapsed="false"/>
    <row r="638" customFormat="false" ht="12.75" hidden="false" customHeight="false" outlineLevel="0" collapsed="false"/>
    <row r="639" customFormat="false" ht="12.75" hidden="false" customHeight="false" outlineLevel="0" collapsed="false"/>
    <row r="640" customFormat="false" ht="12.75" hidden="false" customHeight="false" outlineLevel="0" collapsed="false"/>
    <row r="641" customFormat="false" ht="12.75" hidden="false" customHeight="false" outlineLevel="0" collapsed="false"/>
    <row r="642" customFormat="false" ht="12.75" hidden="false" customHeight="false" outlineLevel="0" collapsed="false"/>
    <row r="643" customFormat="false" ht="12.75" hidden="false" customHeight="false" outlineLevel="0" collapsed="false"/>
    <row r="644" customFormat="false" ht="12.75" hidden="false" customHeight="false" outlineLevel="0" collapsed="false"/>
    <row r="645" customFormat="false" ht="12.75" hidden="false" customHeight="false" outlineLevel="0" collapsed="false"/>
    <row r="646" customFormat="false" ht="12.75" hidden="false" customHeight="false" outlineLevel="0" collapsed="false"/>
    <row r="647" customFormat="false" ht="12.75" hidden="false" customHeight="false" outlineLevel="0" collapsed="false"/>
    <row r="648" customFormat="false" ht="12.75" hidden="false" customHeight="false" outlineLevel="0" collapsed="false"/>
    <row r="649" customFormat="false" ht="12.75" hidden="false" customHeight="false" outlineLevel="0" collapsed="false"/>
    <row r="650" customFormat="false" ht="12.75" hidden="false" customHeight="false" outlineLevel="0" collapsed="false"/>
    <row r="651" customFormat="false" ht="12.75" hidden="false" customHeight="false" outlineLevel="0" collapsed="false"/>
    <row r="652" customFormat="false" ht="12.75" hidden="false" customHeight="false" outlineLevel="0" collapsed="false"/>
    <row r="653" customFormat="false" ht="12.75" hidden="false" customHeight="false" outlineLevel="0" collapsed="false"/>
    <row r="654" customFormat="false" ht="12.75" hidden="false" customHeight="false" outlineLevel="0" collapsed="false"/>
    <row r="655" customFormat="false" ht="12.75" hidden="false" customHeight="false" outlineLevel="0" collapsed="false"/>
    <row r="656" customFormat="false" ht="12.75" hidden="false" customHeight="false" outlineLevel="0" collapsed="false"/>
    <row r="657" customFormat="false" ht="12.75" hidden="false" customHeight="false" outlineLevel="0" collapsed="false"/>
    <row r="658" customFormat="false" ht="12.75" hidden="false" customHeight="false" outlineLevel="0" collapsed="false"/>
    <row r="659" customFormat="false" ht="12.75" hidden="false" customHeight="false" outlineLevel="0" collapsed="false"/>
    <row r="660" customFormat="false" ht="12.75" hidden="false" customHeight="false" outlineLevel="0" collapsed="false"/>
    <row r="661" customFormat="false" ht="12.75" hidden="false" customHeight="false" outlineLevel="0" collapsed="false"/>
    <row r="662" customFormat="false" ht="12.75" hidden="false" customHeight="false" outlineLevel="0" collapsed="false"/>
    <row r="663" customFormat="false" ht="12.75" hidden="false" customHeight="false" outlineLevel="0" collapsed="false"/>
    <row r="664" customFormat="false" ht="12.75" hidden="false" customHeight="false" outlineLevel="0" collapsed="false"/>
    <row r="665" customFormat="false" ht="12.75" hidden="false" customHeight="false" outlineLevel="0" collapsed="false"/>
    <row r="666" customFormat="false" ht="12.75" hidden="false" customHeight="false" outlineLevel="0" collapsed="false"/>
    <row r="667" customFormat="false" ht="12.75" hidden="false" customHeight="false" outlineLevel="0" collapsed="false"/>
    <row r="668" customFormat="false" ht="12.75" hidden="false" customHeight="false" outlineLevel="0" collapsed="false"/>
    <row r="669" customFormat="false" ht="12.75" hidden="false" customHeight="false" outlineLevel="0" collapsed="false"/>
    <row r="670" customFormat="false" ht="12.75" hidden="false" customHeight="false" outlineLevel="0" collapsed="false"/>
    <row r="671" customFormat="false" ht="12.75" hidden="false" customHeight="false" outlineLevel="0" collapsed="false"/>
    <row r="672" customFormat="false" ht="12.75" hidden="false" customHeight="false" outlineLevel="0" collapsed="false"/>
    <row r="673" customFormat="false" ht="12.75" hidden="false" customHeight="false" outlineLevel="0" collapsed="false"/>
    <row r="674" customFormat="false" ht="12.75" hidden="false" customHeight="false" outlineLevel="0" collapsed="false"/>
    <row r="675" customFormat="false" ht="12.75" hidden="false" customHeight="false" outlineLevel="0" collapsed="false"/>
    <row r="676" customFormat="false" ht="12.75" hidden="false" customHeight="false" outlineLevel="0" collapsed="false"/>
    <row r="677" customFormat="false" ht="12.75" hidden="false" customHeight="false" outlineLevel="0" collapsed="false"/>
    <row r="678" customFormat="false" ht="12.75" hidden="false" customHeight="false" outlineLevel="0" collapsed="false"/>
    <row r="679" customFormat="false" ht="12.75" hidden="false" customHeight="false" outlineLevel="0" collapsed="false"/>
    <row r="680" customFormat="false" ht="12.75" hidden="false" customHeight="false" outlineLevel="0" collapsed="false"/>
    <row r="681" customFormat="false" ht="12.75" hidden="false" customHeight="false" outlineLevel="0" collapsed="false"/>
    <row r="682" customFormat="false" ht="12.75" hidden="false" customHeight="false" outlineLevel="0" collapsed="false"/>
    <row r="683" customFormat="false" ht="12.75" hidden="false" customHeight="false" outlineLevel="0" collapsed="false"/>
    <row r="684" customFormat="false" ht="12.75" hidden="false" customHeight="false" outlineLevel="0" collapsed="false"/>
    <row r="685" customFormat="false" ht="12.75" hidden="false" customHeight="false" outlineLevel="0" collapsed="false"/>
    <row r="686" customFormat="false" ht="12.75" hidden="false" customHeight="false" outlineLevel="0" collapsed="false"/>
    <row r="687" customFormat="false" ht="12.75" hidden="false" customHeight="false" outlineLevel="0" collapsed="false"/>
    <row r="688" customFormat="false" ht="12.75" hidden="false" customHeight="false" outlineLevel="0" collapsed="false"/>
    <row r="689" customFormat="false" ht="12.75" hidden="false" customHeight="false" outlineLevel="0" collapsed="false"/>
    <row r="690" customFormat="false" ht="12.75" hidden="false" customHeight="false" outlineLevel="0" collapsed="false"/>
    <row r="691" customFormat="false" ht="12.75" hidden="false" customHeight="false" outlineLevel="0" collapsed="false"/>
    <row r="692" customFormat="false" ht="12.75" hidden="false" customHeight="false" outlineLevel="0" collapsed="false"/>
    <row r="693" customFormat="false" ht="12.75" hidden="false" customHeight="false" outlineLevel="0" collapsed="false"/>
    <row r="694" customFormat="false" ht="12.75" hidden="false" customHeight="false" outlineLevel="0" collapsed="false"/>
    <row r="695" customFormat="false" ht="12.75" hidden="false" customHeight="false" outlineLevel="0" collapsed="false"/>
    <row r="696" customFormat="false" ht="12.75" hidden="false" customHeight="false" outlineLevel="0" collapsed="false"/>
    <row r="697" customFormat="false" ht="12.75" hidden="false" customHeight="false" outlineLevel="0" collapsed="false"/>
    <row r="698" customFormat="false" ht="12.75" hidden="false" customHeight="false" outlineLevel="0" collapsed="false"/>
    <row r="699" customFormat="false" ht="12.75" hidden="false" customHeight="false" outlineLevel="0" collapsed="false"/>
    <row r="700" customFormat="false" ht="12.75" hidden="false" customHeight="false" outlineLevel="0" collapsed="false"/>
    <row r="701" customFormat="false" ht="12.75" hidden="false" customHeight="false" outlineLevel="0" collapsed="false"/>
    <row r="702" customFormat="false" ht="12.75" hidden="false" customHeight="false" outlineLevel="0" collapsed="false"/>
    <row r="703" customFormat="false" ht="12.75" hidden="false" customHeight="false" outlineLevel="0" collapsed="false"/>
    <row r="704" customFormat="false" ht="12.75" hidden="false" customHeight="false" outlineLevel="0" collapsed="false"/>
    <row r="705" customFormat="false" ht="12.75" hidden="false" customHeight="false" outlineLevel="0" collapsed="false"/>
    <row r="706" customFormat="false" ht="12.75" hidden="false" customHeight="false" outlineLevel="0" collapsed="false"/>
    <row r="707" customFormat="false" ht="12.75" hidden="false" customHeight="false" outlineLevel="0" collapsed="false"/>
    <row r="708" customFormat="false" ht="12.75" hidden="false" customHeight="false" outlineLevel="0" collapsed="false"/>
    <row r="709" customFormat="false" ht="12.75" hidden="false" customHeight="false" outlineLevel="0" collapsed="false"/>
    <row r="710" customFormat="false" ht="12.75" hidden="false" customHeight="false" outlineLevel="0" collapsed="false"/>
    <row r="711" customFormat="false" ht="12.75" hidden="false" customHeight="false" outlineLevel="0" collapsed="false"/>
    <row r="712" customFormat="false" ht="12.75" hidden="false" customHeight="false" outlineLevel="0" collapsed="false"/>
    <row r="713" customFormat="false" ht="12.75" hidden="false" customHeight="false" outlineLevel="0" collapsed="false"/>
    <row r="714" customFormat="false" ht="12.75" hidden="false" customHeight="false" outlineLevel="0" collapsed="false"/>
    <row r="715" customFormat="false" ht="12.75" hidden="false" customHeight="false" outlineLevel="0" collapsed="false"/>
    <row r="716" customFormat="false" ht="12.75" hidden="false" customHeight="false" outlineLevel="0" collapsed="false"/>
    <row r="717" customFormat="false" ht="12.75" hidden="false" customHeight="false" outlineLevel="0" collapsed="false"/>
    <row r="718" customFormat="false" ht="12.75" hidden="false" customHeight="false" outlineLevel="0" collapsed="false"/>
    <row r="719" customFormat="false" ht="12.75" hidden="false" customHeight="false" outlineLevel="0" collapsed="false"/>
    <row r="720" customFormat="false" ht="12.75" hidden="false" customHeight="false" outlineLevel="0" collapsed="false"/>
    <row r="721" customFormat="false" ht="12.75" hidden="false" customHeight="false" outlineLevel="0" collapsed="false"/>
    <row r="722" customFormat="false" ht="12.75" hidden="false" customHeight="false" outlineLevel="0" collapsed="false"/>
    <row r="723" customFormat="false" ht="12.75" hidden="false" customHeight="false" outlineLevel="0" collapsed="false"/>
    <row r="724" customFormat="false" ht="12.75" hidden="false" customHeight="false" outlineLevel="0" collapsed="false"/>
    <row r="725" customFormat="false" ht="12.75" hidden="false" customHeight="false" outlineLevel="0" collapsed="false"/>
    <row r="726" customFormat="false" ht="12.75" hidden="false" customHeight="false" outlineLevel="0" collapsed="false"/>
    <row r="727" customFormat="false" ht="12.75" hidden="false" customHeight="false" outlineLevel="0" collapsed="false"/>
    <row r="728" customFormat="false" ht="12.75" hidden="false" customHeight="false" outlineLevel="0" collapsed="false"/>
    <row r="729" customFormat="false" ht="12.75" hidden="false" customHeight="false" outlineLevel="0" collapsed="false"/>
    <row r="730" customFormat="false" ht="12.75" hidden="false" customHeight="false" outlineLevel="0" collapsed="false"/>
    <row r="731" customFormat="false" ht="12.75" hidden="false" customHeight="false" outlineLevel="0" collapsed="false"/>
    <row r="732" customFormat="false" ht="12.75" hidden="false" customHeight="false" outlineLevel="0" collapsed="false"/>
    <row r="733" customFormat="false" ht="12.75" hidden="false" customHeight="false" outlineLevel="0" collapsed="false"/>
    <row r="734" customFormat="false" ht="12.75" hidden="false" customHeight="false" outlineLevel="0" collapsed="false"/>
    <row r="735" customFormat="false" ht="12.75" hidden="false" customHeight="false" outlineLevel="0" collapsed="false"/>
    <row r="736" customFormat="false" ht="12.75" hidden="false" customHeight="false" outlineLevel="0" collapsed="false"/>
    <row r="737" customFormat="false" ht="12.75" hidden="false" customHeight="false" outlineLevel="0" collapsed="false"/>
    <row r="738" customFormat="false" ht="12.75" hidden="false" customHeight="false" outlineLevel="0" collapsed="false"/>
    <row r="739" customFormat="false" ht="12.75" hidden="false" customHeight="false" outlineLevel="0" collapsed="false"/>
    <row r="740" customFormat="false" ht="12.75" hidden="false" customHeight="false" outlineLevel="0" collapsed="false"/>
    <row r="741" customFormat="false" ht="12.75" hidden="false" customHeight="false" outlineLevel="0" collapsed="false"/>
    <row r="742" customFormat="false" ht="12.75" hidden="false" customHeight="false" outlineLevel="0" collapsed="false"/>
    <row r="743" customFormat="false" ht="12.75" hidden="false" customHeight="false" outlineLevel="0" collapsed="false"/>
    <row r="744" customFormat="false" ht="12.75" hidden="false" customHeight="false" outlineLevel="0" collapsed="false"/>
    <row r="745" customFormat="false" ht="12.75" hidden="false" customHeight="false" outlineLevel="0" collapsed="false"/>
    <row r="746" customFormat="false" ht="12.75" hidden="false" customHeight="false" outlineLevel="0" collapsed="false"/>
    <row r="747" customFormat="false" ht="12.75" hidden="false" customHeight="false" outlineLevel="0" collapsed="false"/>
    <row r="748" customFormat="false" ht="12.75" hidden="false" customHeight="false" outlineLevel="0" collapsed="false"/>
    <row r="749" customFormat="false" ht="12.75" hidden="false" customHeight="false" outlineLevel="0" collapsed="false"/>
    <row r="750" customFormat="false" ht="12.75" hidden="false" customHeight="false" outlineLevel="0" collapsed="false"/>
    <row r="751" customFormat="false" ht="12.75" hidden="false" customHeight="false" outlineLevel="0" collapsed="false"/>
    <row r="752" customFormat="false" ht="12.75" hidden="false" customHeight="false" outlineLevel="0" collapsed="false"/>
    <row r="753" customFormat="false" ht="12.75" hidden="false" customHeight="false" outlineLevel="0" collapsed="false"/>
    <row r="754" customFormat="false" ht="12.75" hidden="false" customHeight="false" outlineLevel="0" collapsed="false"/>
    <row r="755" customFormat="false" ht="12.75" hidden="false" customHeight="false" outlineLevel="0" collapsed="false"/>
    <row r="756" customFormat="false" ht="12.75" hidden="false" customHeight="false" outlineLevel="0" collapsed="false"/>
    <row r="757" customFormat="false" ht="12.75" hidden="false" customHeight="false" outlineLevel="0" collapsed="false"/>
    <row r="758" customFormat="false" ht="12.75" hidden="false" customHeight="false" outlineLevel="0" collapsed="false"/>
    <row r="759" customFormat="false" ht="12.75" hidden="false" customHeight="false" outlineLevel="0" collapsed="false"/>
    <row r="760" customFormat="false" ht="12.75" hidden="false" customHeight="false" outlineLevel="0" collapsed="false"/>
    <row r="761" customFormat="false" ht="12.75" hidden="false" customHeight="false" outlineLevel="0" collapsed="false"/>
    <row r="762" customFormat="false" ht="12.75" hidden="false" customHeight="false" outlineLevel="0" collapsed="false"/>
    <row r="763" customFormat="false" ht="12.75" hidden="false" customHeight="false" outlineLevel="0" collapsed="false"/>
    <row r="764" customFormat="false" ht="12.75" hidden="false" customHeight="false" outlineLevel="0" collapsed="false"/>
    <row r="765" customFormat="false" ht="12.75" hidden="false" customHeight="false" outlineLevel="0" collapsed="false"/>
    <row r="766" customFormat="false" ht="12.75" hidden="false" customHeight="false" outlineLevel="0" collapsed="false"/>
    <row r="767" customFormat="false" ht="12.75" hidden="false" customHeight="false" outlineLevel="0" collapsed="false"/>
    <row r="768" customFormat="false" ht="12.75" hidden="false" customHeight="false" outlineLevel="0" collapsed="false"/>
    <row r="769" customFormat="false" ht="12.75" hidden="false" customHeight="false" outlineLevel="0" collapsed="false"/>
    <row r="770" customFormat="false" ht="12.75" hidden="false" customHeight="false" outlineLevel="0" collapsed="false"/>
    <row r="771" customFormat="false" ht="12.75" hidden="false" customHeight="false" outlineLevel="0" collapsed="false"/>
    <row r="772" customFormat="false" ht="12.75" hidden="false" customHeight="false" outlineLevel="0" collapsed="false"/>
    <row r="773" customFormat="false" ht="12.75" hidden="false" customHeight="false" outlineLevel="0" collapsed="false"/>
    <row r="774" customFormat="false" ht="12.75" hidden="false" customHeight="false" outlineLevel="0" collapsed="false"/>
    <row r="775" customFormat="false" ht="12.75" hidden="false" customHeight="false" outlineLevel="0" collapsed="false"/>
    <row r="776" customFormat="false" ht="12.75" hidden="false" customHeight="false" outlineLevel="0" collapsed="false"/>
    <row r="777" customFormat="false" ht="12.75" hidden="false" customHeight="false" outlineLevel="0" collapsed="false"/>
    <row r="778" customFormat="false" ht="12.75" hidden="false" customHeight="false" outlineLevel="0" collapsed="false"/>
    <row r="779" customFormat="false" ht="12.75" hidden="false" customHeight="false" outlineLevel="0" collapsed="false"/>
    <row r="780" customFormat="false" ht="12.75" hidden="false" customHeight="false" outlineLevel="0" collapsed="false"/>
    <row r="781" customFormat="false" ht="12.75" hidden="false" customHeight="false" outlineLevel="0" collapsed="false"/>
    <row r="782" customFormat="false" ht="12.75" hidden="false" customHeight="false" outlineLevel="0" collapsed="false"/>
    <row r="783" customFormat="false" ht="12.75" hidden="false" customHeight="false" outlineLevel="0" collapsed="false"/>
    <row r="784" customFormat="false" ht="12.75" hidden="false" customHeight="false" outlineLevel="0" collapsed="false"/>
    <row r="785" customFormat="false" ht="12.75" hidden="false" customHeight="false" outlineLevel="0" collapsed="false"/>
    <row r="786" customFormat="false" ht="12.75" hidden="false" customHeight="false" outlineLevel="0" collapsed="false"/>
    <row r="787" customFormat="false" ht="12.75" hidden="false" customHeight="false" outlineLevel="0" collapsed="false"/>
    <row r="788" customFormat="false" ht="12.75" hidden="false" customHeight="false" outlineLevel="0" collapsed="false"/>
    <row r="789" customFormat="false" ht="12.75" hidden="false" customHeight="false" outlineLevel="0" collapsed="false"/>
    <row r="790" customFormat="false" ht="12.75" hidden="false" customHeight="false" outlineLevel="0" collapsed="false"/>
    <row r="791" customFormat="false" ht="12.75" hidden="false" customHeight="false" outlineLevel="0" collapsed="false"/>
    <row r="792" customFormat="false" ht="12.75" hidden="false" customHeight="false" outlineLevel="0" collapsed="false"/>
    <row r="793" customFormat="false" ht="12.75" hidden="false" customHeight="false" outlineLevel="0" collapsed="false"/>
    <row r="794" customFormat="false" ht="12.75" hidden="false" customHeight="false" outlineLevel="0" collapsed="false"/>
    <row r="795" customFormat="false" ht="12.75" hidden="false" customHeight="false" outlineLevel="0" collapsed="false"/>
    <row r="796" customFormat="false" ht="12.75" hidden="false" customHeight="false" outlineLevel="0" collapsed="false"/>
    <row r="797" customFormat="false" ht="12.75" hidden="false" customHeight="false" outlineLevel="0" collapsed="false"/>
    <row r="798" customFormat="false" ht="12.75" hidden="false" customHeight="false" outlineLevel="0" collapsed="false"/>
    <row r="799" customFormat="false" ht="12.75" hidden="false" customHeight="false" outlineLevel="0" collapsed="false"/>
    <row r="800" customFormat="false" ht="12.75" hidden="false" customHeight="false" outlineLevel="0" collapsed="false"/>
    <row r="801" customFormat="false" ht="12.75" hidden="false" customHeight="false" outlineLevel="0" collapsed="false"/>
    <row r="802" customFormat="false" ht="12.75" hidden="false" customHeight="false" outlineLevel="0" collapsed="false"/>
    <row r="803" customFormat="false" ht="12.75" hidden="false" customHeight="false" outlineLevel="0" collapsed="false"/>
    <row r="804" customFormat="false" ht="12.75" hidden="false" customHeight="false" outlineLevel="0" collapsed="false"/>
    <row r="805" customFormat="false" ht="12.75" hidden="false" customHeight="false" outlineLevel="0" collapsed="false"/>
    <row r="806" customFormat="false" ht="12.75" hidden="false" customHeight="false" outlineLevel="0" collapsed="false"/>
    <row r="807" customFormat="false" ht="12.75" hidden="false" customHeight="false" outlineLevel="0" collapsed="false"/>
    <row r="808" customFormat="false" ht="12.75" hidden="false" customHeight="false" outlineLevel="0" collapsed="false"/>
    <row r="809" customFormat="false" ht="12.75" hidden="false" customHeight="false" outlineLevel="0" collapsed="false"/>
    <row r="810" customFormat="false" ht="12.75" hidden="false" customHeight="false" outlineLevel="0" collapsed="false"/>
    <row r="811" customFormat="false" ht="12.75" hidden="false" customHeight="false" outlineLevel="0" collapsed="false"/>
    <row r="812" customFormat="false" ht="12.75" hidden="false" customHeight="false" outlineLevel="0" collapsed="false"/>
    <row r="813" customFormat="false" ht="12.75" hidden="false" customHeight="false" outlineLevel="0" collapsed="false"/>
    <row r="814" customFormat="false" ht="12.75" hidden="false" customHeight="false" outlineLevel="0" collapsed="false"/>
    <row r="815" customFormat="false" ht="12.75" hidden="false" customHeight="false" outlineLevel="0" collapsed="false"/>
    <row r="816" customFormat="false" ht="12.75" hidden="false" customHeight="false" outlineLevel="0" collapsed="false"/>
    <row r="817" customFormat="false" ht="12.75" hidden="false" customHeight="false" outlineLevel="0" collapsed="false"/>
    <row r="818" customFormat="false" ht="12.75" hidden="false" customHeight="false" outlineLevel="0" collapsed="false"/>
    <row r="819" customFormat="false" ht="12.75" hidden="false" customHeight="false" outlineLevel="0" collapsed="false"/>
    <row r="820" customFormat="false" ht="12.75" hidden="false" customHeight="false" outlineLevel="0" collapsed="false"/>
    <row r="821" customFormat="false" ht="12.75" hidden="false" customHeight="false" outlineLevel="0" collapsed="false"/>
    <row r="822" customFormat="false" ht="12.75" hidden="false" customHeight="false" outlineLevel="0" collapsed="false"/>
    <row r="823" customFormat="false" ht="12.75" hidden="false" customHeight="false" outlineLevel="0" collapsed="false"/>
    <row r="824" customFormat="false" ht="12.75" hidden="false" customHeight="false" outlineLevel="0" collapsed="false"/>
    <row r="825" customFormat="false" ht="12.75" hidden="false" customHeight="false" outlineLevel="0" collapsed="false"/>
    <row r="826" customFormat="false" ht="12.75" hidden="false" customHeight="false" outlineLevel="0" collapsed="false"/>
    <row r="827" customFormat="false" ht="12.75" hidden="false" customHeight="false" outlineLevel="0" collapsed="false"/>
    <row r="828" customFormat="false" ht="12.75" hidden="false" customHeight="false" outlineLevel="0" collapsed="false"/>
    <row r="829" customFormat="false" ht="12.75" hidden="false" customHeight="false" outlineLevel="0" collapsed="false"/>
    <row r="830" customFormat="false" ht="12.75" hidden="false" customHeight="false" outlineLevel="0" collapsed="false"/>
    <row r="831" customFormat="false" ht="12.75" hidden="false" customHeight="false" outlineLevel="0" collapsed="false"/>
    <row r="832" customFormat="false" ht="12.75" hidden="false" customHeight="false" outlineLevel="0" collapsed="false"/>
    <row r="833" customFormat="false" ht="12.75" hidden="false" customHeight="false" outlineLevel="0" collapsed="false"/>
    <row r="834" customFormat="false" ht="12.75" hidden="false" customHeight="false" outlineLevel="0" collapsed="false"/>
    <row r="835" customFormat="false" ht="12.75" hidden="false" customHeight="false" outlineLevel="0" collapsed="false"/>
    <row r="836" customFormat="false" ht="12.75" hidden="false" customHeight="false" outlineLevel="0" collapsed="false"/>
    <row r="837" customFormat="false" ht="12.75" hidden="false" customHeight="false" outlineLevel="0" collapsed="false"/>
    <row r="838" customFormat="false" ht="12.75" hidden="false" customHeight="false" outlineLevel="0" collapsed="false"/>
    <row r="839" customFormat="false" ht="12.75" hidden="false" customHeight="false" outlineLevel="0" collapsed="false"/>
    <row r="840" customFormat="false" ht="12.75" hidden="false" customHeight="false" outlineLevel="0" collapsed="false"/>
    <row r="841" customFormat="false" ht="12.75" hidden="false" customHeight="false" outlineLevel="0" collapsed="false"/>
    <row r="842" customFormat="false" ht="12.75" hidden="false" customHeight="false" outlineLevel="0" collapsed="false"/>
    <row r="843" customFormat="false" ht="12.75" hidden="false" customHeight="false" outlineLevel="0" collapsed="false"/>
    <row r="844" customFormat="false" ht="12.75" hidden="false" customHeight="false" outlineLevel="0" collapsed="false"/>
    <row r="845" customFormat="false" ht="12.75" hidden="false" customHeight="false" outlineLevel="0" collapsed="false"/>
    <row r="846" customFormat="false" ht="12.75" hidden="false" customHeight="false" outlineLevel="0" collapsed="false"/>
    <row r="847" customFormat="false" ht="12.75" hidden="false" customHeight="false" outlineLevel="0" collapsed="false"/>
    <row r="848" customFormat="false" ht="12.75" hidden="false" customHeight="false" outlineLevel="0" collapsed="false"/>
    <row r="849" customFormat="false" ht="12.75" hidden="false" customHeight="false" outlineLevel="0" collapsed="false"/>
    <row r="850" customFormat="false" ht="12.75" hidden="false" customHeight="false" outlineLevel="0" collapsed="false"/>
    <row r="851" customFormat="false" ht="12.75" hidden="false" customHeight="false" outlineLevel="0" collapsed="false"/>
    <row r="852" customFormat="false" ht="12.75" hidden="false" customHeight="false" outlineLevel="0" collapsed="false"/>
    <row r="853" customFormat="false" ht="12.75" hidden="false" customHeight="false" outlineLevel="0" collapsed="false"/>
    <row r="854" customFormat="false" ht="12.75" hidden="false" customHeight="false" outlineLevel="0" collapsed="false"/>
    <row r="855" customFormat="false" ht="12.75" hidden="false" customHeight="false" outlineLevel="0" collapsed="false"/>
    <row r="856" customFormat="false" ht="12.75" hidden="false" customHeight="false" outlineLevel="0" collapsed="false"/>
    <row r="857" customFormat="false" ht="12.75" hidden="false" customHeight="false" outlineLevel="0" collapsed="false"/>
    <row r="858" customFormat="false" ht="12.75" hidden="false" customHeight="false" outlineLevel="0" collapsed="false"/>
    <row r="859" customFormat="false" ht="12.75" hidden="false" customHeight="false" outlineLevel="0" collapsed="false"/>
    <row r="860" customFormat="false" ht="12.75" hidden="false" customHeight="false" outlineLevel="0" collapsed="false"/>
    <row r="861" customFormat="false" ht="12.75" hidden="false" customHeight="false" outlineLevel="0" collapsed="false"/>
    <row r="862" customFormat="false" ht="12.75" hidden="false" customHeight="false" outlineLevel="0" collapsed="false"/>
    <row r="863" customFormat="false" ht="12.75" hidden="false" customHeight="false" outlineLevel="0" collapsed="false"/>
    <row r="864" customFormat="false" ht="12.75" hidden="false" customHeight="false" outlineLevel="0" collapsed="false"/>
    <row r="865" customFormat="false" ht="12.75" hidden="false" customHeight="false" outlineLevel="0" collapsed="false"/>
    <row r="866" customFormat="false" ht="12.75" hidden="false" customHeight="false" outlineLevel="0" collapsed="false"/>
    <row r="867" customFormat="false" ht="12.75" hidden="false" customHeight="false" outlineLevel="0" collapsed="false"/>
    <row r="868" customFormat="false" ht="12.75" hidden="false" customHeight="false" outlineLevel="0" collapsed="false"/>
    <row r="869" customFormat="false" ht="12.75" hidden="false" customHeight="false" outlineLevel="0" collapsed="false"/>
    <row r="870" customFormat="false" ht="12.75" hidden="false" customHeight="false" outlineLevel="0" collapsed="false"/>
    <row r="871" customFormat="false" ht="12.75" hidden="false" customHeight="false" outlineLevel="0" collapsed="false"/>
    <row r="872" customFormat="false" ht="12.75" hidden="false" customHeight="false" outlineLevel="0" collapsed="false"/>
    <row r="873" customFormat="false" ht="12.75" hidden="false" customHeight="false" outlineLevel="0" collapsed="false"/>
    <row r="874" customFormat="false" ht="12.75" hidden="false" customHeight="false" outlineLevel="0" collapsed="false"/>
    <row r="875" customFormat="false" ht="12.75" hidden="false" customHeight="false" outlineLevel="0" collapsed="false"/>
    <row r="876" customFormat="false" ht="12.75" hidden="false" customHeight="false" outlineLevel="0" collapsed="false"/>
    <row r="877" customFormat="false" ht="12.75" hidden="false" customHeight="false" outlineLevel="0" collapsed="false"/>
    <row r="878" customFormat="false" ht="12.75" hidden="false" customHeight="false" outlineLevel="0" collapsed="false"/>
    <row r="879" customFormat="false" ht="12.75" hidden="false" customHeight="false" outlineLevel="0" collapsed="false"/>
    <row r="880" customFormat="false" ht="12.75" hidden="false" customHeight="false" outlineLevel="0" collapsed="false"/>
    <row r="881" customFormat="false" ht="12.75" hidden="false" customHeight="false" outlineLevel="0" collapsed="false"/>
    <row r="882" customFormat="false" ht="12.75" hidden="false" customHeight="false" outlineLevel="0" collapsed="false"/>
    <row r="883" customFormat="false" ht="12.75" hidden="false" customHeight="false" outlineLevel="0" collapsed="false"/>
    <row r="884" customFormat="false" ht="12.75" hidden="false" customHeight="false" outlineLevel="0" collapsed="false"/>
    <row r="885" customFormat="false" ht="12.75" hidden="false" customHeight="false" outlineLevel="0" collapsed="false"/>
    <row r="886" customFormat="false" ht="12.75" hidden="false" customHeight="false" outlineLevel="0" collapsed="false"/>
    <row r="887" customFormat="false" ht="12.75" hidden="false" customHeight="false" outlineLevel="0" collapsed="false"/>
    <row r="888" customFormat="false" ht="12.75" hidden="false" customHeight="false" outlineLevel="0" collapsed="false"/>
    <row r="889" customFormat="false" ht="12.75" hidden="false" customHeight="false" outlineLevel="0" collapsed="false"/>
    <row r="890" customFormat="false" ht="12.75" hidden="false" customHeight="false" outlineLevel="0" collapsed="false"/>
    <row r="891" customFormat="false" ht="12.75" hidden="false" customHeight="false" outlineLevel="0" collapsed="false"/>
    <row r="892" customFormat="false" ht="12.75" hidden="false" customHeight="false" outlineLevel="0" collapsed="false"/>
    <row r="893" customFormat="false" ht="12.75" hidden="false" customHeight="false" outlineLevel="0" collapsed="false"/>
    <row r="894" customFormat="false" ht="12.75" hidden="false" customHeight="false" outlineLevel="0" collapsed="false"/>
    <row r="895" customFormat="false" ht="12.75" hidden="false" customHeight="false" outlineLevel="0" collapsed="false"/>
    <row r="896" customFormat="false" ht="12.75" hidden="false" customHeight="false" outlineLevel="0" collapsed="false"/>
    <row r="897" customFormat="false" ht="12.75" hidden="false" customHeight="false" outlineLevel="0" collapsed="false"/>
    <row r="898" customFormat="false" ht="12.75" hidden="false" customHeight="false" outlineLevel="0" collapsed="false"/>
    <row r="899" customFormat="false" ht="12.75" hidden="false" customHeight="false" outlineLevel="0" collapsed="false"/>
    <row r="900" customFormat="false" ht="12.75" hidden="false" customHeight="false" outlineLevel="0" collapsed="false"/>
    <row r="901" customFormat="false" ht="12.75" hidden="false" customHeight="false" outlineLevel="0" collapsed="false"/>
    <row r="902" customFormat="false" ht="12.75" hidden="false" customHeight="false" outlineLevel="0" collapsed="false"/>
    <row r="903" customFormat="false" ht="12.75" hidden="false" customHeight="false" outlineLevel="0" collapsed="false"/>
    <row r="904" customFormat="false" ht="12.75" hidden="false" customHeight="false" outlineLevel="0" collapsed="false"/>
    <row r="905" customFormat="false" ht="12.75" hidden="false" customHeight="false" outlineLevel="0" collapsed="false"/>
    <row r="906" customFormat="false" ht="12.75" hidden="false" customHeight="false" outlineLevel="0" collapsed="false"/>
    <row r="907" customFormat="false" ht="12.75" hidden="false" customHeight="false" outlineLevel="0" collapsed="false"/>
    <row r="908" customFormat="false" ht="12.75" hidden="false" customHeight="false" outlineLevel="0" collapsed="false"/>
    <row r="909" customFormat="false" ht="12.75" hidden="false" customHeight="false" outlineLevel="0" collapsed="false"/>
    <row r="910" customFormat="false" ht="12.75" hidden="false" customHeight="false" outlineLevel="0" collapsed="false"/>
    <row r="911" customFormat="false" ht="12.75" hidden="false" customHeight="false" outlineLevel="0" collapsed="false"/>
    <row r="912" customFormat="false" ht="12.75" hidden="false" customHeight="false" outlineLevel="0" collapsed="false"/>
    <row r="913" customFormat="false" ht="12.75" hidden="false" customHeight="false" outlineLevel="0" collapsed="false"/>
    <row r="914" customFormat="false" ht="12.75" hidden="false" customHeight="false" outlineLevel="0" collapsed="false"/>
    <row r="915" customFormat="false" ht="12.75" hidden="false" customHeight="false" outlineLevel="0" collapsed="false"/>
    <row r="916" customFormat="false" ht="12.75" hidden="false" customHeight="false" outlineLevel="0" collapsed="false"/>
    <row r="917" customFormat="false" ht="12.75" hidden="false" customHeight="false" outlineLevel="0" collapsed="false"/>
    <row r="918" customFormat="false" ht="12.75" hidden="false" customHeight="false" outlineLevel="0" collapsed="false"/>
    <row r="919" customFormat="false" ht="12.75" hidden="false" customHeight="false" outlineLevel="0" collapsed="false"/>
    <row r="920" customFormat="false" ht="12.75" hidden="false" customHeight="false" outlineLevel="0" collapsed="false"/>
    <row r="921" customFormat="false" ht="12.75" hidden="false" customHeight="false" outlineLevel="0" collapsed="false"/>
    <row r="922" customFormat="false" ht="12.75" hidden="false" customHeight="false" outlineLevel="0" collapsed="false"/>
    <row r="923" customFormat="false" ht="12.75" hidden="false" customHeight="false" outlineLevel="0" collapsed="false"/>
    <row r="924" customFormat="false" ht="12.75" hidden="false" customHeight="false" outlineLevel="0" collapsed="false"/>
    <row r="925" customFormat="false" ht="12.75" hidden="false" customHeight="false" outlineLevel="0" collapsed="false"/>
    <row r="926" customFormat="false" ht="12.75" hidden="false" customHeight="false" outlineLevel="0" collapsed="false"/>
    <row r="927" customFormat="false" ht="12.75" hidden="false" customHeight="false" outlineLevel="0" collapsed="false"/>
    <row r="928" customFormat="false" ht="12.75" hidden="false" customHeight="false" outlineLevel="0" collapsed="false"/>
    <row r="929" customFormat="false" ht="12.75" hidden="false" customHeight="false" outlineLevel="0" collapsed="false"/>
    <row r="930" customFormat="false" ht="12.75" hidden="false" customHeight="false" outlineLevel="0" collapsed="false"/>
    <row r="931" customFormat="false" ht="12.75" hidden="false" customHeight="false" outlineLevel="0" collapsed="false"/>
    <row r="932" customFormat="false" ht="12.75" hidden="false" customHeight="false" outlineLevel="0" collapsed="false"/>
    <row r="933" customFormat="false" ht="12.75" hidden="false" customHeight="false" outlineLevel="0" collapsed="false"/>
    <row r="934" customFormat="false" ht="12.75" hidden="false" customHeight="false" outlineLevel="0" collapsed="false"/>
    <row r="935" customFormat="false" ht="12.75" hidden="false" customHeight="false" outlineLevel="0" collapsed="false"/>
    <row r="936" customFormat="false" ht="12.75" hidden="false" customHeight="false" outlineLevel="0" collapsed="false"/>
    <row r="937" customFormat="false" ht="12.75" hidden="false" customHeight="false" outlineLevel="0" collapsed="false"/>
    <row r="938" customFormat="false" ht="12.75" hidden="false" customHeight="false" outlineLevel="0" collapsed="false"/>
    <row r="939" customFormat="false" ht="12.75" hidden="false" customHeight="false" outlineLevel="0" collapsed="false"/>
    <row r="940" customFormat="false" ht="12.75" hidden="false" customHeight="false" outlineLevel="0" collapsed="false"/>
    <row r="941" customFormat="false" ht="12.75" hidden="false" customHeight="false" outlineLevel="0" collapsed="false"/>
    <row r="942" customFormat="false" ht="12.75" hidden="false" customHeight="false" outlineLevel="0" collapsed="false"/>
    <row r="943" customFormat="false" ht="12.75" hidden="false" customHeight="false" outlineLevel="0" collapsed="false"/>
    <row r="944" customFormat="false" ht="12.75" hidden="false" customHeight="false" outlineLevel="0" collapsed="false"/>
    <row r="945" customFormat="false" ht="12.75" hidden="false" customHeight="false" outlineLevel="0" collapsed="false"/>
    <row r="946" customFormat="false" ht="12.75" hidden="false" customHeight="false" outlineLevel="0" collapsed="false"/>
    <row r="947" customFormat="false" ht="12.75" hidden="false" customHeight="false" outlineLevel="0" collapsed="false"/>
    <row r="948" customFormat="false" ht="12.75" hidden="false" customHeight="false" outlineLevel="0" collapsed="false"/>
    <row r="949" customFormat="false" ht="12.75" hidden="false" customHeight="false" outlineLevel="0" collapsed="false"/>
    <row r="950" customFormat="false" ht="12.75" hidden="false" customHeight="false" outlineLevel="0" collapsed="false"/>
    <row r="951" customFormat="false" ht="12.75" hidden="false" customHeight="false" outlineLevel="0" collapsed="false"/>
    <row r="952" customFormat="false" ht="12.75" hidden="false" customHeight="false" outlineLevel="0" collapsed="false"/>
    <row r="953" customFormat="false" ht="12.75" hidden="false" customHeight="false" outlineLevel="0" collapsed="false"/>
    <row r="954" customFormat="false" ht="12.75" hidden="false" customHeight="false" outlineLevel="0" collapsed="false"/>
    <row r="955" customFormat="false" ht="12.75" hidden="false" customHeight="false" outlineLevel="0" collapsed="false"/>
    <row r="956" customFormat="false" ht="12.75" hidden="false" customHeight="false" outlineLevel="0" collapsed="false"/>
    <row r="957" customFormat="false" ht="12.75" hidden="false" customHeight="false" outlineLevel="0" collapsed="false"/>
    <row r="958" customFormat="false" ht="12.75" hidden="false" customHeight="false" outlineLevel="0" collapsed="false"/>
    <row r="959" customFormat="false" ht="12.75" hidden="false" customHeight="false" outlineLevel="0" collapsed="false"/>
    <row r="960" customFormat="false" ht="12.75" hidden="false" customHeight="false" outlineLevel="0" collapsed="false"/>
    <row r="961" customFormat="false" ht="12.75" hidden="false" customHeight="false" outlineLevel="0" collapsed="false"/>
    <row r="962" customFormat="false" ht="12.75" hidden="false" customHeight="false" outlineLevel="0" collapsed="false"/>
    <row r="963" customFormat="false" ht="12.75" hidden="false" customHeight="false" outlineLevel="0" collapsed="false"/>
    <row r="964" customFormat="false" ht="12.75" hidden="false" customHeight="false" outlineLevel="0" collapsed="false"/>
    <row r="965" customFormat="false" ht="12.75" hidden="false" customHeight="false" outlineLevel="0" collapsed="false"/>
    <row r="966" customFormat="false" ht="12.75" hidden="false" customHeight="false" outlineLevel="0" collapsed="false"/>
    <row r="967" customFormat="false" ht="12.75" hidden="false" customHeight="false" outlineLevel="0" collapsed="false"/>
    <row r="968" customFormat="false" ht="12.75" hidden="false" customHeight="false" outlineLevel="0" collapsed="false"/>
    <row r="969" customFormat="false" ht="12.75" hidden="false" customHeight="false" outlineLevel="0" collapsed="false"/>
    <row r="970" customFormat="false" ht="12.75" hidden="false" customHeight="false" outlineLevel="0" collapsed="false"/>
    <row r="971" customFormat="false" ht="12.75" hidden="false" customHeight="false" outlineLevel="0" collapsed="false"/>
    <row r="972" customFormat="false" ht="12.75" hidden="false" customHeight="false" outlineLevel="0" collapsed="false"/>
    <row r="973" customFormat="false" ht="12.75" hidden="false" customHeight="false" outlineLevel="0" collapsed="false"/>
    <row r="974" customFormat="false" ht="12.75" hidden="false" customHeight="false" outlineLevel="0" collapsed="false"/>
    <row r="975" customFormat="false" ht="12.75" hidden="false" customHeight="false" outlineLevel="0" collapsed="false"/>
    <row r="976" customFormat="false" ht="12.75" hidden="false" customHeight="false" outlineLevel="0" collapsed="false"/>
    <row r="977" customFormat="false" ht="12.75" hidden="false" customHeight="false" outlineLevel="0" collapsed="false"/>
    <row r="978" customFormat="false" ht="12.75" hidden="false" customHeight="false" outlineLevel="0" collapsed="false"/>
    <row r="979" customFormat="false" ht="12.75" hidden="false" customHeight="false" outlineLevel="0" collapsed="false"/>
    <row r="980" customFormat="false" ht="12.75" hidden="false" customHeight="false" outlineLevel="0" collapsed="false"/>
    <row r="981" customFormat="false" ht="12.75" hidden="false" customHeight="false" outlineLevel="0" collapsed="false"/>
    <row r="982" customFormat="false" ht="12.75" hidden="false" customHeight="false" outlineLevel="0" collapsed="false"/>
    <row r="983" customFormat="false" ht="12.75" hidden="false" customHeight="false" outlineLevel="0" collapsed="false"/>
    <row r="984" customFormat="false" ht="12.75" hidden="false" customHeight="false" outlineLevel="0" collapsed="false"/>
    <row r="985" customFormat="false" ht="12.75" hidden="false" customHeight="false" outlineLevel="0" collapsed="false"/>
    <row r="986" customFormat="false" ht="12.75" hidden="false" customHeight="false" outlineLevel="0" collapsed="false"/>
    <row r="987" customFormat="false" ht="12.75" hidden="false" customHeight="false" outlineLevel="0" collapsed="false"/>
    <row r="988" customFormat="false" ht="12.75" hidden="false" customHeight="false" outlineLevel="0" collapsed="false"/>
    <row r="989" customFormat="false" ht="12.75" hidden="false" customHeight="false" outlineLevel="0" collapsed="false"/>
    <row r="990" customFormat="false" ht="12.75" hidden="false" customHeight="false" outlineLevel="0" collapsed="false"/>
    <row r="991" customFormat="false" ht="12.75" hidden="false" customHeight="false" outlineLevel="0" collapsed="false"/>
    <row r="992" customFormat="false" ht="12.75" hidden="false" customHeight="false" outlineLevel="0" collapsed="false"/>
    <row r="993" customFormat="false" ht="12.75" hidden="false" customHeight="false" outlineLevel="0" collapsed="false"/>
    <row r="994" customFormat="false" ht="12.75" hidden="false" customHeight="false" outlineLevel="0" collapsed="false"/>
    <row r="995" customFormat="false" ht="12.75" hidden="false" customHeight="false" outlineLevel="0" collapsed="false"/>
    <row r="996" customFormat="false" ht="12.75" hidden="false" customHeight="false" outlineLevel="0" collapsed="false"/>
    <row r="997" customFormat="false" ht="12.75" hidden="false" customHeight="false" outlineLevel="0" collapsed="false"/>
    <row r="998" customFormat="false" ht="12.75" hidden="false" customHeight="false" outlineLevel="0" collapsed="false"/>
    <row r="999" customFormat="false" ht="12.75" hidden="false" customHeight="false" outlineLevel="0" collapsed="false"/>
    <row r="1000" customFormat="false" ht="12.75" hidden="false" customHeight="false" outlineLevel="0" collapsed="false"/>
    <row r="1001" customFormat="false" ht="12.75" hidden="false" customHeight="false" outlineLevel="0" collapsed="false"/>
  </sheetData>
  <mergeCells count="2">
    <mergeCell ref="H1:I1"/>
    <mergeCell ref="K5:M6"/>
  </mergeCells>
  <conditionalFormatting sqref="H6:H1001">
    <cfRule type="cellIs" priority="2" operator="between" aboveAverage="0" equalAverage="0" bottom="0" percent="0" rank="0" text="" dxfId="0">
      <formula>0</formula>
      <formula>0.5</formula>
    </cfRule>
  </conditionalFormatting>
  <conditionalFormatting sqref="H6:H1001">
    <cfRule type="cellIs" priority="3" operator="between" aboveAverage="0" equalAverage="0" bottom="0" percent="0" rank="0" text="" dxfId="1">
      <formula>0.51</formula>
      <formula>0.99</formula>
    </cfRule>
  </conditionalFormatting>
  <conditionalFormatting sqref="H6:H1001">
    <cfRule type="cellIs" priority="4" operator="greaterThanOrEqual" aboveAverage="0" equalAverage="0" bottom="0" percent="0" rank="0" text="" dxfId="2">
      <formula>1</formula>
    </cfRule>
  </conditionalFormatting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152"/>
  <sheetViews>
    <sheetView showFormulas="false" showGridLines="false" showRowColHeaders="true" showZeros="true" rightToLeft="false" tabSelected="false" showOutlineSymbols="true" defaultGridColor="true" view="normal" topLeftCell="A143" colorId="64" zoomScale="100" zoomScaleNormal="100" zoomScalePageLayoutView="100" workbookViewId="0">
      <selection pane="topLeft" activeCell="C144" activeCellId="0" sqref="C144"/>
    </sheetView>
  </sheetViews>
  <sheetFormatPr defaultRowHeight="15.75" zeroHeight="false" outlineLevelRow="0" outlineLevelCol="0"/>
  <cols>
    <col collapsed="false" customWidth="true" hidden="false" outlineLevel="0" max="2" min="1" style="0" width="14.43"/>
    <col collapsed="false" customWidth="true" hidden="false" outlineLevel="0" max="3" min="3" style="0" width="22.43"/>
    <col collapsed="false" customWidth="true" hidden="false" outlineLevel="0" max="1025" min="4" style="0" width="14.43"/>
  </cols>
  <sheetData>
    <row r="1" s="26" customFormat="true" ht="48" hidden="false" customHeight="true" outlineLevel="0" collapsed="false">
      <c r="A1" s="23"/>
      <c r="B1" s="23"/>
      <c r="C1" s="23"/>
      <c r="D1" s="23"/>
      <c r="E1" s="24" t="s">
        <v>20</v>
      </c>
      <c r="F1" s="24" t="n">
        <f aca="false">'Cadastro Institucional'!D$6</f>
        <v>0</v>
      </c>
      <c r="G1" s="25" t="n">
        <f aca="false">'Cadastro Institucional'!D$7</f>
        <v>0</v>
      </c>
      <c r="H1" s="41"/>
      <c r="I1" s="41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customFormat="false" ht="12.75" hidden="false" customHeight="false" outlineLevel="0" collapsed="false">
      <c r="A2" s="27" t="s">
        <v>14</v>
      </c>
      <c r="B2" s="27" t="s">
        <v>13</v>
      </c>
      <c r="C2" s="27" t="s">
        <v>15</v>
      </c>
      <c r="D2" s="27" t="s">
        <v>16</v>
      </c>
      <c r="E2" s="27" t="s">
        <v>17</v>
      </c>
      <c r="F2" s="27" t="s">
        <v>18</v>
      </c>
      <c r="G2" s="27" t="s">
        <v>19</v>
      </c>
      <c r="H2" s="69" t="s">
        <v>35</v>
      </c>
      <c r="I2" s="69" t="s">
        <v>36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customFormat="false" ht="12.75" hidden="false" customHeight="false" outlineLevel="0" collapsed="false">
      <c r="A3" s="30" t="n">
        <f aca="false">'Cadastro Institucional'!D$10</f>
        <v>0</v>
      </c>
      <c r="B3" s="31" t="n">
        <f aca="false">'Cadastro Institucional'!D$9</f>
        <v>0</v>
      </c>
      <c r="C3" s="31" t="n">
        <f aca="false">'Cadastro Institucional'!D$11</f>
        <v>0</v>
      </c>
      <c r="D3" s="32" t="n">
        <f aca="false">'Cadastro Institucional'!D$12</f>
        <v>0</v>
      </c>
      <c r="E3" s="31" t="n">
        <f aca="false">'Cadastro Institucional'!D$13</f>
        <v>0</v>
      </c>
      <c r="F3" s="31" t="n">
        <f aca="false">'Cadastro Institucional'!D$14</f>
        <v>0</v>
      </c>
      <c r="G3" s="33" t="n">
        <f aca="false">'Cadastro Institucional'!D$15</f>
        <v>0</v>
      </c>
      <c r="H3" s="70"/>
      <c r="I3" s="70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customFormat="false" ht="12.75" hidden="false" customHeight="false" outlineLevel="0" collapsed="false">
      <c r="A4" s="29"/>
      <c r="B4" s="29"/>
      <c r="C4" s="29"/>
      <c r="D4" s="29"/>
      <c r="E4" s="29"/>
      <c r="F4" s="29"/>
      <c r="G4" s="29"/>
      <c r="H4" s="29"/>
      <c r="I4" s="29"/>
      <c r="J4" s="29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 customFormat="false" ht="25.5" hidden="false" customHeight="true" outlineLevel="0" collapsed="false">
      <c r="A5" s="56" t="s">
        <v>21</v>
      </c>
      <c r="B5" s="56" t="s">
        <v>23</v>
      </c>
      <c r="C5" s="56" t="s">
        <v>22</v>
      </c>
      <c r="D5" s="56" t="s">
        <v>28</v>
      </c>
      <c r="E5" s="56" t="s">
        <v>29</v>
      </c>
      <c r="F5" s="56" t="s">
        <v>30</v>
      </c>
      <c r="G5" s="56" t="s">
        <v>31</v>
      </c>
      <c r="H5" s="56" t="s">
        <v>32</v>
      </c>
      <c r="I5" s="56" t="s">
        <v>33</v>
      </c>
      <c r="J5" s="58"/>
      <c r="K5" s="20" t="s">
        <v>8</v>
      </c>
      <c r="L5" s="20"/>
      <c r="M5" s="20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</row>
    <row r="6" customFormat="false" ht="12.75" hidden="false" customHeight="true" outlineLevel="0" collapsed="false">
      <c r="A6" s="37" t="n">
        <f aca="false">'Itens de Contrato'!A6</f>
        <v>0</v>
      </c>
      <c r="B6" s="37" t="n">
        <f aca="false">'Itens de Contrato'!B6</f>
        <v>0</v>
      </c>
      <c r="C6" s="37" t="e">
        <f aca="false">VLOOKUP(B6,'Itens de Contrato'!B$5:G$151,2,0)</f>
        <v>#N/A</v>
      </c>
      <c r="D6" s="52"/>
      <c r="E6" s="63" t="n">
        <f aca="false">D6*'Itens de Contrato'!F6</f>
        <v>0</v>
      </c>
      <c r="F6" s="62" t="n">
        <f aca="false">'Medição 08'!F6-'Medição 08'!G6</f>
        <v>0</v>
      </c>
      <c r="G6" s="52"/>
      <c r="H6" s="64" t="e">
        <f aca="false">G6/D6</f>
        <v>#DIV/0!</v>
      </c>
      <c r="I6" s="63" t="n">
        <f aca="false">G6*'Itens de Contrato'!F6</f>
        <v>0</v>
      </c>
      <c r="J6" s="37"/>
      <c r="K6" s="20"/>
      <c r="L6" s="20"/>
      <c r="M6" s="20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customFormat="false" ht="12.8" hidden="false" customHeight="false" outlineLevel="0" collapsed="false">
      <c r="A7" s="37" t="n">
        <f aca="false">'Itens de Contrato'!A7</f>
        <v>0</v>
      </c>
      <c r="B7" s="37" t="n">
        <f aca="false">'Itens de Contrato'!B7</f>
        <v>0</v>
      </c>
      <c r="C7" s="37" t="e">
        <f aca="false">VLOOKUP(B7,'Itens de Contrato'!B$5:G$151,2,0)</f>
        <v>#N/A</v>
      </c>
      <c r="D7" s="52"/>
      <c r="E7" s="63" t="n">
        <f aca="false">D7*'Itens de Contrato'!F7</f>
        <v>0</v>
      </c>
      <c r="F7" s="62" t="n">
        <f aca="false">'Medição 08'!F7-'Medição 08'!G7</f>
        <v>0</v>
      </c>
      <c r="G7" s="52"/>
      <c r="H7" s="64" t="e">
        <f aca="false">G7/D7</f>
        <v>#DIV/0!</v>
      </c>
      <c r="I7" s="63" t="n">
        <f aca="false">G7*'Itens de Contrato'!F7</f>
        <v>0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customFormat="false" ht="12.8" hidden="false" customHeight="false" outlineLevel="0" collapsed="false">
      <c r="A8" s="37" t="n">
        <f aca="false">'Itens de Contrato'!A8</f>
        <v>0</v>
      </c>
      <c r="B8" s="37" t="n">
        <f aca="false">'Itens de Contrato'!B8</f>
        <v>0</v>
      </c>
      <c r="C8" s="37" t="e">
        <f aca="false">VLOOKUP(B8,'Itens de Contrato'!B$5:G$151,2,0)</f>
        <v>#N/A</v>
      </c>
      <c r="D8" s="52"/>
      <c r="E8" s="63" t="n">
        <f aca="false">D8*'Itens de Contrato'!F8</f>
        <v>0</v>
      </c>
      <c r="F8" s="62" t="n">
        <f aca="false">'Medição 08'!F8-'Medição 08'!G8</f>
        <v>0</v>
      </c>
      <c r="G8" s="52"/>
      <c r="H8" s="64" t="e">
        <f aca="false">G8/D8</f>
        <v>#DIV/0!</v>
      </c>
      <c r="I8" s="63" t="n">
        <f aca="false">G8*'Itens de Contrato'!F8</f>
        <v>0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customFormat="false" ht="12.8" hidden="false" customHeight="false" outlineLevel="0" collapsed="false">
      <c r="A9" s="37" t="n">
        <f aca="false">'Itens de Contrato'!A9</f>
        <v>0</v>
      </c>
      <c r="B9" s="37" t="n">
        <f aca="false">'Itens de Contrato'!B9</f>
        <v>0</v>
      </c>
      <c r="C9" s="37" t="e">
        <f aca="false">VLOOKUP(B9,'Itens de Contrato'!B$5:G$151,2,0)</f>
        <v>#N/A</v>
      </c>
      <c r="D9" s="52"/>
      <c r="E9" s="63" t="n">
        <f aca="false">D9*'Itens de Contrato'!F9</f>
        <v>0</v>
      </c>
      <c r="F9" s="62" t="n">
        <f aca="false">'Medição 08'!F9-'Medição 08'!G9</f>
        <v>0</v>
      </c>
      <c r="G9" s="52"/>
      <c r="H9" s="64" t="e">
        <f aca="false">G9/D9</f>
        <v>#DIV/0!</v>
      </c>
      <c r="I9" s="63" t="n">
        <f aca="false">G9*'Itens de Contrato'!F9</f>
        <v>0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 customFormat="false" ht="12.8" hidden="false" customHeight="false" outlineLevel="0" collapsed="false">
      <c r="A10" s="37" t="n">
        <f aca="false">'Itens de Contrato'!A10</f>
        <v>0</v>
      </c>
      <c r="B10" s="37" t="n">
        <f aca="false">'Itens de Contrato'!B10</f>
        <v>0</v>
      </c>
      <c r="C10" s="37" t="e">
        <f aca="false">VLOOKUP(B10,'Itens de Contrato'!B$5:G$151,2,0)</f>
        <v>#N/A</v>
      </c>
      <c r="D10" s="52"/>
      <c r="E10" s="63" t="n">
        <f aca="false">D10*'Itens de Contrato'!F10</f>
        <v>0</v>
      </c>
      <c r="F10" s="62" t="n">
        <f aca="false">'Medição 08'!F10-'Medição 08'!G10</f>
        <v>0</v>
      </c>
      <c r="G10" s="52"/>
      <c r="H10" s="64" t="e">
        <f aca="false">G10/D10</f>
        <v>#DIV/0!</v>
      </c>
      <c r="I10" s="63" t="n">
        <f aca="false">G10*'Itens de Contrato'!F10</f>
        <v>0</v>
      </c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 customFormat="false" ht="12.8" hidden="false" customHeight="false" outlineLevel="0" collapsed="false">
      <c r="A11" s="37" t="n">
        <f aca="false">'Itens de Contrato'!A11</f>
        <v>0</v>
      </c>
      <c r="B11" s="37" t="n">
        <f aca="false">'Itens de Contrato'!B11</f>
        <v>0</v>
      </c>
      <c r="C11" s="37" t="e">
        <f aca="false">VLOOKUP(B11,'Itens de Contrato'!B$5:G$151,2,0)</f>
        <v>#N/A</v>
      </c>
      <c r="D11" s="52"/>
      <c r="E11" s="63" t="n">
        <f aca="false">D11*'Itens de Contrato'!F11</f>
        <v>0</v>
      </c>
      <c r="F11" s="62" t="n">
        <f aca="false">'Medição 08'!F11-'Medição 08'!G11</f>
        <v>0</v>
      </c>
      <c r="G11" s="52"/>
      <c r="H11" s="64" t="e">
        <f aca="false">G11/D11</f>
        <v>#DIV/0!</v>
      </c>
      <c r="I11" s="63" t="n">
        <f aca="false">G11*'Itens de Contrato'!F11</f>
        <v>0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 customFormat="false" ht="12.8" hidden="false" customHeight="false" outlineLevel="0" collapsed="false">
      <c r="A12" s="37" t="n">
        <f aca="false">'Itens de Contrato'!A12</f>
        <v>0</v>
      </c>
      <c r="B12" s="37" t="n">
        <f aca="false">'Itens de Contrato'!B12</f>
        <v>0</v>
      </c>
      <c r="C12" s="37" t="e">
        <f aca="false">VLOOKUP(B12,'Itens de Contrato'!B$5:G$151,2,0)</f>
        <v>#N/A</v>
      </c>
      <c r="D12" s="52"/>
      <c r="E12" s="63" t="n">
        <f aca="false">D12*'Itens de Contrato'!F12</f>
        <v>0</v>
      </c>
      <c r="F12" s="62" t="n">
        <f aca="false">'Medição 08'!F12-'Medição 08'!G12</f>
        <v>0</v>
      </c>
      <c r="G12" s="52"/>
      <c r="H12" s="64" t="e">
        <f aca="false">G12/D12</f>
        <v>#DIV/0!</v>
      </c>
      <c r="I12" s="63" t="n">
        <f aca="false">G12*'Itens de Contrato'!F12</f>
        <v>0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 customFormat="false" ht="12.8" hidden="false" customHeight="false" outlineLevel="0" collapsed="false">
      <c r="A13" s="37" t="n">
        <f aca="false">'Itens de Contrato'!A13</f>
        <v>0</v>
      </c>
      <c r="B13" s="37" t="n">
        <f aca="false">'Itens de Contrato'!B13</f>
        <v>0</v>
      </c>
      <c r="C13" s="37" t="e">
        <f aca="false">VLOOKUP(B13,'Itens de Contrato'!B$5:G$151,2,0)</f>
        <v>#N/A</v>
      </c>
      <c r="D13" s="52"/>
      <c r="E13" s="63" t="n">
        <f aca="false">D13*'Itens de Contrato'!F13</f>
        <v>0</v>
      </c>
      <c r="F13" s="62" t="n">
        <f aca="false">'Medição 08'!F13-'Medição 08'!G13</f>
        <v>0</v>
      </c>
      <c r="G13" s="52"/>
      <c r="H13" s="64" t="e">
        <f aca="false">G13/D13</f>
        <v>#DIV/0!</v>
      </c>
      <c r="I13" s="63" t="n">
        <f aca="false">G13*'Itens de Contrato'!F13</f>
        <v>0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customFormat="false" ht="12.8" hidden="false" customHeight="false" outlineLevel="0" collapsed="false">
      <c r="A14" s="37" t="n">
        <f aca="false">'Itens de Contrato'!A14</f>
        <v>0</v>
      </c>
      <c r="B14" s="37" t="n">
        <f aca="false">'Itens de Contrato'!B14</f>
        <v>0</v>
      </c>
      <c r="C14" s="37" t="e">
        <f aca="false">VLOOKUP(B14,'Itens de Contrato'!B$5:G$151,2,0)</f>
        <v>#N/A</v>
      </c>
      <c r="D14" s="52"/>
      <c r="E14" s="63" t="n">
        <f aca="false">D14*'Itens de Contrato'!F14</f>
        <v>0</v>
      </c>
      <c r="F14" s="62" t="n">
        <f aca="false">'Medição 08'!F14-'Medição 08'!G14</f>
        <v>0</v>
      </c>
      <c r="G14" s="52"/>
      <c r="H14" s="64" t="e">
        <f aca="false">G14/D14</f>
        <v>#DIV/0!</v>
      </c>
      <c r="I14" s="63" t="n">
        <f aca="false">G14*'Itens de Contrato'!F14</f>
        <v>0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 customFormat="false" ht="12.8" hidden="false" customHeight="false" outlineLevel="0" collapsed="false">
      <c r="A15" s="37" t="n">
        <f aca="false">'Itens de Contrato'!A15</f>
        <v>0</v>
      </c>
      <c r="B15" s="37" t="n">
        <f aca="false">'Itens de Contrato'!B15</f>
        <v>0</v>
      </c>
      <c r="C15" s="37" t="e">
        <f aca="false">VLOOKUP(B15,'Itens de Contrato'!B$5:G$151,2,0)</f>
        <v>#N/A</v>
      </c>
      <c r="D15" s="52"/>
      <c r="E15" s="63" t="n">
        <f aca="false">D15*'Itens de Contrato'!F15</f>
        <v>0</v>
      </c>
      <c r="F15" s="62" t="n">
        <f aca="false">'Medição 08'!F15-'Medição 08'!G15</f>
        <v>0</v>
      </c>
      <c r="G15" s="52"/>
      <c r="H15" s="64" t="e">
        <f aca="false">G15/D15</f>
        <v>#DIV/0!</v>
      </c>
      <c r="I15" s="63" t="n">
        <f aca="false">G15*'Itens de Contrato'!F15</f>
        <v>0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customFormat="false" ht="12.8" hidden="false" customHeight="false" outlineLevel="0" collapsed="false">
      <c r="A16" s="37" t="n">
        <f aca="false">'Itens de Contrato'!A16</f>
        <v>0</v>
      </c>
      <c r="B16" s="37" t="n">
        <f aca="false">'Itens de Contrato'!B16</f>
        <v>0</v>
      </c>
      <c r="C16" s="37" t="e">
        <f aca="false">VLOOKUP(B16,'Itens de Contrato'!B$5:G$151,2,0)</f>
        <v>#N/A</v>
      </c>
      <c r="D16" s="52"/>
      <c r="E16" s="63" t="n">
        <f aca="false">D16*'Itens de Contrato'!F16</f>
        <v>0</v>
      </c>
      <c r="F16" s="62" t="n">
        <f aca="false">'Medição 08'!F16-'Medição 08'!G16</f>
        <v>0</v>
      </c>
      <c r="G16" s="52"/>
      <c r="H16" s="64" t="e">
        <f aca="false">G16/D16</f>
        <v>#DIV/0!</v>
      </c>
      <c r="I16" s="63" t="n">
        <f aca="false">G16*'Itens de Contrato'!F16</f>
        <v>0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7" customFormat="false" ht="12.8" hidden="false" customHeight="false" outlineLevel="0" collapsed="false">
      <c r="A17" s="37" t="n">
        <f aca="false">'Itens de Contrato'!A17</f>
        <v>0</v>
      </c>
      <c r="B17" s="37" t="n">
        <f aca="false">'Itens de Contrato'!B17</f>
        <v>0</v>
      </c>
      <c r="C17" s="37" t="e">
        <f aca="false">VLOOKUP(B17,'Itens de Contrato'!B$5:G$151,2,0)</f>
        <v>#N/A</v>
      </c>
      <c r="D17" s="52"/>
      <c r="E17" s="63" t="n">
        <f aca="false">D17*'Itens de Contrato'!F17</f>
        <v>0</v>
      </c>
      <c r="F17" s="62" t="n">
        <f aca="false">'Medição 08'!F17-'Medição 08'!G17</f>
        <v>0</v>
      </c>
      <c r="G17" s="52"/>
      <c r="H17" s="64" t="e">
        <f aca="false">G17/D17</f>
        <v>#DIV/0!</v>
      </c>
      <c r="I17" s="63" t="n">
        <f aca="false">G17*'Itens de Contrato'!F17</f>
        <v>0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</row>
    <row r="18" customFormat="false" ht="12.8" hidden="false" customHeight="false" outlineLevel="0" collapsed="false">
      <c r="A18" s="37" t="n">
        <f aca="false">'Itens de Contrato'!A18</f>
        <v>0</v>
      </c>
      <c r="B18" s="37" t="n">
        <f aca="false">'Itens de Contrato'!B18</f>
        <v>0</v>
      </c>
      <c r="C18" s="37" t="e">
        <f aca="false">VLOOKUP(B18,'Itens de Contrato'!B$5:G$151,2,0)</f>
        <v>#N/A</v>
      </c>
      <c r="D18" s="52"/>
      <c r="E18" s="63" t="n">
        <f aca="false">D18*'Itens de Contrato'!F18</f>
        <v>0</v>
      </c>
      <c r="F18" s="62" t="n">
        <f aca="false">'Medição 08'!F18-'Medição 08'!G18</f>
        <v>0</v>
      </c>
      <c r="G18" s="52"/>
      <c r="H18" s="64" t="e">
        <f aca="false">G18/D18</f>
        <v>#DIV/0!</v>
      </c>
      <c r="I18" s="63" t="n">
        <f aca="false">G18*'Itens de Contrato'!F18</f>
        <v>0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</row>
    <row r="19" customFormat="false" ht="12.8" hidden="false" customHeight="false" outlineLevel="0" collapsed="false">
      <c r="A19" s="37" t="n">
        <f aca="false">'Itens de Contrato'!A19</f>
        <v>0</v>
      </c>
      <c r="B19" s="37" t="n">
        <f aca="false">'Itens de Contrato'!B19</f>
        <v>0</v>
      </c>
      <c r="C19" s="37" t="e">
        <f aca="false">VLOOKUP(B19,'Itens de Contrato'!B$5:G$151,2,0)</f>
        <v>#N/A</v>
      </c>
      <c r="D19" s="52"/>
      <c r="E19" s="63" t="n">
        <f aca="false">D19*'Itens de Contrato'!F19</f>
        <v>0</v>
      </c>
      <c r="F19" s="62" t="n">
        <f aca="false">'Medição 08'!F19-'Medição 08'!G19</f>
        <v>0</v>
      </c>
      <c r="G19" s="52"/>
      <c r="H19" s="64" t="e">
        <f aca="false">G19/D19</f>
        <v>#DIV/0!</v>
      </c>
      <c r="I19" s="63" t="n">
        <f aca="false">G19*'Itens de Contrato'!F19</f>
        <v>0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</row>
    <row r="20" customFormat="false" ht="12.8" hidden="false" customHeight="false" outlineLevel="0" collapsed="false">
      <c r="A20" s="37" t="n">
        <f aca="false">'Itens de Contrato'!A20</f>
        <v>0</v>
      </c>
      <c r="B20" s="37" t="n">
        <f aca="false">'Itens de Contrato'!B20</f>
        <v>0</v>
      </c>
      <c r="C20" s="37" t="e">
        <f aca="false">VLOOKUP(B20,'Itens de Contrato'!B$5:G$151,2,0)</f>
        <v>#N/A</v>
      </c>
      <c r="D20" s="52"/>
      <c r="E20" s="63" t="n">
        <f aca="false">D20*'Itens de Contrato'!F20</f>
        <v>0</v>
      </c>
      <c r="F20" s="62" t="n">
        <f aca="false">'Medição 08'!F20-'Medição 08'!G20</f>
        <v>0</v>
      </c>
      <c r="G20" s="52"/>
      <c r="H20" s="64" t="e">
        <f aca="false">G20/D20</f>
        <v>#DIV/0!</v>
      </c>
      <c r="I20" s="63" t="n">
        <f aca="false">G20*'Itens de Contrato'!F20</f>
        <v>0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</row>
    <row r="21" customFormat="false" ht="12.8" hidden="false" customHeight="false" outlineLevel="0" collapsed="false">
      <c r="A21" s="37" t="n">
        <f aca="false">'Itens de Contrato'!A21</f>
        <v>0</v>
      </c>
      <c r="B21" s="37" t="n">
        <f aca="false">'Itens de Contrato'!B21</f>
        <v>0</v>
      </c>
      <c r="C21" s="37" t="e">
        <f aca="false">VLOOKUP(B21,'Itens de Contrato'!B$5:G$151,2,0)</f>
        <v>#N/A</v>
      </c>
      <c r="D21" s="52"/>
      <c r="E21" s="63" t="n">
        <f aca="false">D21*'Itens de Contrato'!F21</f>
        <v>0</v>
      </c>
      <c r="F21" s="62" t="n">
        <f aca="false">'Medição 08'!F21-'Medição 08'!G21</f>
        <v>0</v>
      </c>
      <c r="G21" s="52"/>
      <c r="H21" s="64" t="e">
        <f aca="false">G21/D21</f>
        <v>#DIV/0!</v>
      </c>
      <c r="I21" s="63" t="n">
        <f aca="false">G21*'Itens de Contrato'!F21</f>
        <v>0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customFormat="false" ht="12.8" hidden="false" customHeight="false" outlineLevel="0" collapsed="false">
      <c r="A22" s="37" t="n">
        <f aca="false">'Itens de Contrato'!A22</f>
        <v>0</v>
      </c>
      <c r="B22" s="37" t="n">
        <f aca="false">'Itens de Contrato'!B22</f>
        <v>0</v>
      </c>
      <c r="C22" s="37" t="e">
        <f aca="false">VLOOKUP(B22,'Itens de Contrato'!B$5:G$151,2,0)</f>
        <v>#N/A</v>
      </c>
      <c r="D22" s="52"/>
      <c r="E22" s="63" t="n">
        <f aca="false">D22*'Itens de Contrato'!F22</f>
        <v>0</v>
      </c>
      <c r="F22" s="62" t="n">
        <f aca="false">'Medição 08'!F22-'Medição 08'!G22</f>
        <v>0</v>
      </c>
      <c r="G22" s="52"/>
      <c r="H22" s="64" t="e">
        <f aca="false">G22/D22</f>
        <v>#DIV/0!</v>
      </c>
      <c r="I22" s="63" t="n">
        <f aca="false">G22*'Itens de Contrato'!F22</f>
        <v>0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  <row r="23" customFormat="false" ht="12.8" hidden="false" customHeight="false" outlineLevel="0" collapsed="false">
      <c r="A23" s="37" t="n">
        <f aca="false">'Itens de Contrato'!A23</f>
        <v>0</v>
      </c>
      <c r="B23" s="37" t="n">
        <f aca="false">'Itens de Contrato'!B23</f>
        <v>0</v>
      </c>
      <c r="C23" s="37" t="e">
        <f aca="false">VLOOKUP(B23,'Itens de Contrato'!B$5:G$151,2,0)</f>
        <v>#N/A</v>
      </c>
      <c r="D23" s="52"/>
      <c r="E23" s="63" t="n">
        <f aca="false">D23*'Itens de Contrato'!F23</f>
        <v>0</v>
      </c>
      <c r="F23" s="62" t="n">
        <f aca="false">'Medição 08'!F23-'Medição 08'!G23</f>
        <v>0</v>
      </c>
      <c r="G23" s="52"/>
      <c r="H23" s="64" t="e">
        <f aca="false">G23/D23</f>
        <v>#DIV/0!</v>
      </c>
      <c r="I23" s="63" t="n">
        <f aca="false">G23*'Itens de Contrato'!F23</f>
        <v>0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</row>
    <row r="24" customFormat="false" ht="12.8" hidden="false" customHeight="false" outlineLevel="0" collapsed="false">
      <c r="A24" s="37" t="n">
        <f aca="false">'Itens de Contrato'!A24</f>
        <v>0</v>
      </c>
      <c r="B24" s="37" t="n">
        <f aca="false">'Itens de Contrato'!B24</f>
        <v>0</v>
      </c>
      <c r="C24" s="37" t="e">
        <f aca="false">VLOOKUP(B24,'Itens de Contrato'!B$5:G$151,2,0)</f>
        <v>#N/A</v>
      </c>
      <c r="D24" s="52"/>
      <c r="E24" s="63" t="n">
        <f aca="false">D24*'Itens de Contrato'!F24</f>
        <v>0</v>
      </c>
      <c r="F24" s="62" t="n">
        <f aca="false">'Medição 08'!F24-'Medição 08'!G24</f>
        <v>0</v>
      </c>
      <c r="G24" s="52"/>
      <c r="H24" s="64" t="e">
        <f aca="false">G24/D24</f>
        <v>#DIV/0!</v>
      </c>
      <c r="I24" s="63" t="n">
        <f aca="false">G24*'Itens de Contrato'!F24</f>
        <v>0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</row>
    <row r="25" customFormat="false" ht="12.8" hidden="false" customHeight="false" outlineLevel="0" collapsed="false">
      <c r="A25" s="37" t="n">
        <f aca="false">'Itens de Contrato'!A25</f>
        <v>0</v>
      </c>
      <c r="B25" s="37" t="n">
        <f aca="false">'Itens de Contrato'!B25</f>
        <v>0</v>
      </c>
      <c r="C25" s="37" t="e">
        <f aca="false">VLOOKUP(B25,'Itens de Contrato'!B$5:G$151,2,0)</f>
        <v>#N/A</v>
      </c>
      <c r="D25" s="52"/>
      <c r="E25" s="63" t="n">
        <f aca="false">D25*'Itens de Contrato'!F25</f>
        <v>0</v>
      </c>
      <c r="F25" s="62" t="n">
        <f aca="false">'Medição 08'!F25-'Medição 08'!G25</f>
        <v>0</v>
      </c>
      <c r="G25" s="52"/>
      <c r="H25" s="64" t="e">
        <f aca="false">G25/D25</f>
        <v>#DIV/0!</v>
      </c>
      <c r="I25" s="63" t="n">
        <f aca="false">G25*'Itens de Contrato'!F25</f>
        <v>0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</row>
    <row r="26" customFormat="false" ht="12.8" hidden="false" customHeight="false" outlineLevel="0" collapsed="false">
      <c r="A26" s="37" t="n">
        <f aca="false">'Itens de Contrato'!A26</f>
        <v>0</v>
      </c>
      <c r="B26" s="37" t="n">
        <f aca="false">'Itens de Contrato'!B26</f>
        <v>0</v>
      </c>
      <c r="C26" s="37" t="e">
        <f aca="false">VLOOKUP(B26,'Itens de Contrato'!B$5:G$151,2,0)</f>
        <v>#N/A</v>
      </c>
      <c r="D26" s="52"/>
      <c r="E26" s="63" t="n">
        <f aca="false">D26*'Itens de Contrato'!F26</f>
        <v>0</v>
      </c>
      <c r="F26" s="62" t="n">
        <f aca="false">'Medição 08'!F26-'Medição 08'!G26</f>
        <v>0</v>
      </c>
      <c r="G26" s="52"/>
      <c r="H26" s="64" t="e">
        <f aca="false">G26/D26</f>
        <v>#DIV/0!</v>
      </c>
      <c r="I26" s="63" t="n">
        <f aca="false">G26*'Itens de Contrato'!F26</f>
        <v>0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</row>
    <row r="27" customFormat="false" ht="12.8" hidden="false" customHeight="false" outlineLevel="0" collapsed="false">
      <c r="A27" s="37" t="n">
        <f aca="false">'Itens de Contrato'!A27</f>
        <v>0</v>
      </c>
      <c r="B27" s="37" t="n">
        <f aca="false">'Itens de Contrato'!B27</f>
        <v>0</v>
      </c>
      <c r="C27" s="37" t="e">
        <f aca="false">VLOOKUP(B27,'Itens de Contrato'!B$5:G$151,2,0)</f>
        <v>#N/A</v>
      </c>
      <c r="D27" s="52"/>
      <c r="E27" s="63" t="n">
        <f aca="false">D27*'Itens de Contrato'!F27</f>
        <v>0</v>
      </c>
      <c r="F27" s="62" t="n">
        <f aca="false">'Medição 08'!F27-'Medição 08'!G27</f>
        <v>0</v>
      </c>
      <c r="G27" s="52"/>
      <c r="H27" s="64" t="e">
        <f aca="false">G27/D27</f>
        <v>#DIV/0!</v>
      </c>
      <c r="I27" s="63" t="n">
        <f aca="false">G27*'Itens de Contrato'!F27</f>
        <v>0</v>
      </c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</row>
    <row r="28" customFormat="false" ht="12.8" hidden="false" customHeight="false" outlineLevel="0" collapsed="false">
      <c r="A28" s="37" t="n">
        <f aca="false">'Itens de Contrato'!A28</f>
        <v>0</v>
      </c>
      <c r="B28" s="37" t="n">
        <f aca="false">'Itens de Contrato'!B28</f>
        <v>0</v>
      </c>
      <c r="C28" s="37" t="e">
        <f aca="false">VLOOKUP(B28,'Itens de Contrato'!B$5:G$151,2,0)</f>
        <v>#N/A</v>
      </c>
      <c r="D28" s="52"/>
      <c r="E28" s="63" t="n">
        <f aca="false">D28*'Itens de Contrato'!F28</f>
        <v>0</v>
      </c>
      <c r="F28" s="62" t="n">
        <f aca="false">'Medição 08'!F28-'Medição 08'!G28</f>
        <v>0</v>
      </c>
      <c r="G28" s="52"/>
      <c r="H28" s="64" t="e">
        <f aca="false">G28/D28</f>
        <v>#DIV/0!</v>
      </c>
      <c r="I28" s="63" t="n">
        <f aca="false">G28*'Itens de Contrato'!F28</f>
        <v>0</v>
      </c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customFormat="false" ht="12.8" hidden="false" customHeight="false" outlineLevel="0" collapsed="false">
      <c r="A29" s="37" t="n">
        <f aca="false">'Itens de Contrato'!A29</f>
        <v>0</v>
      </c>
      <c r="B29" s="37" t="n">
        <f aca="false">'Itens de Contrato'!B29</f>
        <v>0</v>
      </c>
      <c r="C29" s="37" t="e">
        <f aca="false">VLOOKUP(B29,'Itens de Contrato'!B$5:G$151,2,0)</f>
        <v>#N/A</v>
      </c>
      <c r="D29" s="52"/>
      <c r="E29" s="63" t="n">
        <f aca="false">D29*'Itens de Contrato'!F29</f>
        <v>0</v>
      </c>
      <c r="F29" s="62" t="n">
        <f aca="false">'Medição 08'!F29-'Medição 08'!G29</f>
        <v>0</v>
      </c>
      <c r="G29" s="52"/>
      <c r="H29" s="64" t="e">
        <f aca="false">G29/D29</f>
        <v>#DIV/0!</v>
      </c>
      <c r="I29" s="63" t="n">
        <f aca="false">G29*'Itens de Contrato'!F29</f>
        <v>0</v>
      </c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</row>
    <row r="30" customFormat="false" ht="12.8" hidden="false" customHeight="false" outlineLevel="0" collapsed="false">
      <c r="A30" s="37" t="n">
        <f aca="false">'Itens de Contrato'!A30</f>
        <v>0</v>
      </c>
      <c r="B30" s="37" t="n">
        <f aca="false">'Itens de Contrato'!B30</f>
        <v>0</v>
      </c>
      <c r="C30" s="37" t="e">
        <f aca="false">VLOOKUP(B30,'Itens de Contrato'!B$5:G$151,2,0)</f>
        <v>#N/A</v>
      </c>
      <c r="D30" s="52"/>
      <c r="E30" s="63" t="n">
        <f aca="false">D30*'Itens de Contrato'!F30</f>
        <v>0</v>
      </c>
      <c r="F30" s="62" t="n">
        <f aca="false">'Medição 08'!F30-'Medição 08'!G30</f>
        <v>0</v>
      </c>
      <c r="G30" s="52"/>
      <c r="H30" s="64" t="e">
        <f aca="false">G30/D30</f>
        <v>#DIV/0!</v>
      </c>
      <c r="I30" s="63" t="n">
        <f aca="false">G30*'Itens de Contrato'!F30</f>
        <v>0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</row>
    <row r="31" customFormat="false" ht="12.8" hidden="false" customHeight="false" outlineLevel="0" collapsed="false">
      <c r="A31" s="37" t="n">
        <f aca="false">'Itens de Contrato'!A31</f>
        <v>0</v>
      </c>
      <c r="B31" s="37" t="n">
        <f aca="false">'Itens de Contrato'!B31</f>
        <v>0</v>
      </c>
      <c r="C31" s="37" t="e">
        <f aca="false">VLOOKUP(B31,'Itens de Contrato'!B$5:G$151,2,0)</f>
        <v>#N/A</v>
      </c>
      <c r="D31" s="52"/>
      <c r="E31" s="63" t="n">
        <f aca="false">D31*'Itens de Contrato'!F31</f>
        <v>0</v>
      </c>
      <c r="F31" s="62" t="n">
        <f aca="false">'Medição 08'!F31-'Medição 08'!G31</f>
        <v>0</v>
      </c>
      <c r="G31" s="52"/>
      <c r="H31" s="64" t="e">
        <f aca="false">G31/D31</f>
        <v>#DIV/0!</v>
      </c>
      <c r="I31" s="63" t="n">
        <f aca="false">G31*'Itens de Contrato'!F31</f>
        <v>0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customFormat="false" ht="12.8" hidden="false" customHeight="false" outlineLevel="0" collapsed="false">
      <c r="A32" s="37" t="n">
        <f aca="false">'Itens de Contrato'!A32</f>
        <v>0</v>
      </c>
      <c r="B32" s="37" t="n">
        <f aca="false">'Itens de Contrato'!B32</f>
        <v>0</v>
      </c>
      <c r="C32" s="37" t="e">
        <f aca="false">VLOOKUP(B32,'Itens de Contrato'!B$5:G$151,2,0)</f>
        <v>#N/A</v>
      </c>
      <c r="D32" s="52"/>
      <c r="E32" s="63" t="n">
        <f aca="false">D32*'Itens de Contrato'!F32</f>
        <v>0</v>
      </c>
      <c r="F32" s="62" t="n">
        <f aca="false">'Medição 08'!F32-'Medição 08'!G32</f>
        <v>0</v>
      </c>
      <c r="G32" s="52"/>
      <c r="H32" s="64" t="e">
        <f aca="false">G32/D32</f>
        <v>#DIV/0!</v>
      </c>
      <c r="I32" s="63" t="n">
        <f aca="false">G32*'Itens de Contrato'!F32</f>
        <v>0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customFormat="false" ht="12.8" hidden="false" customHeight="false" outlineLevel="0" collapsed="false">
      <c r="A33" s="37" t="n">
        <f aca="false">'Itens de Contrato'!A33</f>
        <v>0</v>
      </c>
      <c r="B33" s="37" t="n">
        <f aca="false">'Itens de Contrato'!B33</f>
        <v>0</v>
      </c>
      <c r="C33" s="37" t="e">
        <f aca="false">VLOOKUP(B33,'Itens de Contrato'!B$5:G$151,2,0)</f>
        <v>#N/A</v>
      </c>
      <c r="D33" s="52"/>
      <c r="E33" s="63" t="n">
        <f aca="false">D33*'Itens de Contrato'!F33</f>
        <v>0</v>
      </c>
      <c r="F33" s="62" t="n">
        <f aca="false">'Medição 08'!F33-'Medição 08'!G33</f>
        <v>0</v>
      </c>
      <c r="G33" s="52"/>
      <c r="H33" s="64" t="e">
        <f aca="false">G33/D33</f>
        <v>#DIV/0!</v>
      </c>
      <c r="I33" s="63" t="n">
        <f aca="false">G33*'Itens de Contrato'!F33</f>
        <v>0</v>
      </c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customFormat="false" ht="12.8" hidden="false" customHeight="false" outlineLevel="0" collapsed="false">
      <c r="A34" s="37" t="n">
        <f aca="false">'Itens de Contrato'!A34</f>
        <v>0</v>
      </c>
      <c r="B34" s="37" t="n">
        <f aca="false">'Itens de Contrato'!B34</f>
        <v>0</v>
      </c>
      <c r="C34" s="37" t="e">
        <f aca="false">VLOOKUP(B34,'Itens de Contrato'!B$5:G$151,2,0)</f>
        <v>#N/A</v>
      </c>
      <c r="D34" s="52"/>
      <c r="E34" s="63" t="n">
        <f aca="false">D34*'Itens de Contrato'!F34</f>
        <v>0</v>
      </c>
      <c r="F34" s="62" t="n">
        <f aca="false">'Medição 08'!F34-'Medição 08'!G34</f>
        <v>0</v>
      </c>
      <c r="G34" s="52"/>
      <c r="H34" s="64" t="e">
        <f aca="false">G34/D34</f>
        <v>#DIV/0!</v>
      </c>
      <c r="I34" s="63" t="n">
        <f aca="false">G34*'Itens de Contrato'!F34</f>
        <v>0</v>
      </c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</row>
    <row r="35" customFormat="false" ht="12.8" hidden="false" customHeight="false" outlineLevel="0" collapsed="false">
      <c r="A35" s="37" t="n">
        <f aca="false">'Itens de Contrato'!A35</f>
        <v>0</v>
      </c>
      <c r="B35" s="37" t="n">
        <f aca="false">'Itens de Contrato'!B35</f>
        <v>0</v>
      </c>
      <c r="C35" s="37" t="e">
        <f aca="false">VLOOKUP(B35,'Itens de Contrato'!B$5:G$151,2,0)</f>
        <v>#N/A</v>
      </c>
      <c r="D35" s="52"/>
      <c r="E35" s="63" t="n">
        <f aca="false">D35*'Itens de Contrato'!F35</f>
        <v>0</v>
      </c>
      <c r="F35" s="62" t="n">
        <f aca="false">'Medição 08'!F35-'Medição 08'!G35</f>
        <v>0</v>
      </c>
      <c r="G35" s="52"/>
      <c r="H35" s="64" t="e">
        <f aca="false">G35/D35</f>
        <v>#DIV/0!</v>
      </c>
      <c r="I35" s="63" t="n">
        <f aca="false">G35*'Itens de Contrato'!F35</f>
        <v>0</v>
      </c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</row>
    <row r="36" customFormat="false" ht="12.8" hidden="false" customHeight="false" outlineLevel="0" collapsed="false">
      <c r="A36" s="37" t="n">
        <f aca="false">'Itens de Contrato'!A36</f>
        <v>0</v>
      </c>
      <c r="B36" s="37" t="n">
        <f aca="false">'Itens de Contrato'!B36</f>
        <v>0</v>
      </c>
      <c r="C36" s="37" t="e">
        <f aca="false">VLOOKUP(B36,'Itens de Contrato'!B$5:G$151,2,0)</f>
        <v>#N/A</v>
      </c>
      <c r="D36" s="52"/>
      <c r="E36" s="63" t="n">
        <f aca="false">D36*'Itens de Contrato'!F36</f>
        <v>0</v>
      </c>
      <c r="F36" s="62" t="n">
        <f aca="false">'Medição 08'!F36-'Medição 08'!G36</f>
        <v>0</v>
      </c>
      <c r="G36" s="52"/>
      <c r="H36" s="64" t="e">
        <f aca="false">G36/D36</f>
        <v>#DIV/0!</v>
      </c>
      <c r="I36" s="63" t="n">
        <f aca="false">G36*'Itens de Contrato'!F36</f>
        <v>0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customFormat="false" ht="12.8" hidden="false" customHeight="false" outlineLevel="0" collapsed="false">
      <c r="A37" s="37" t="n">
        <f aca="false">'Itens de Contrato'!A37</f>
        <v>0</v>
      </c>
      <c r="B37" s="37" t="n">
        <f aca="false">'Itens de Contrato'!B37</f>
        <v>0</v>
      </c>
      <c r="C37" s="37" t="e">
        <f aca="false">VLOOKUP(B37,'Itens de Contrato'!B$5:G$151,2,0)</f>
        <v>#N/A</v>
      </c>
      <c r="D37" s="52"/>
      <c r="E37" s="63" t="n">
        <f aca="false">D37*'Itens de Contrato'!F37</f>
        <v>0</v>
      </c>
      <c r="F37" s="62" t="n">
        <f aca="false">'Medição 08'!F37-'Medição 08'!G37</f>
        <v>0</v>
      </c>
      <c r="G37" s="52"/>
      <c r="H37" s="64" t="e">
        <f aca="false">G37/D37</f>
        <v>#DIV/0!</v>
      </c>
      <c r="I37" s="63" t="n">
        <f aca="false">G37*'Itens de Contrato'!F37</f>
        <v>0</v>
      </c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customFormat="false" ht="12.8" hidden="false" customHeight="false" outlineLevel="0" collapsed="false">
      <c r="A38" s="37" t="n">
        <f aca="false">'Itens de Contrato'!A38</f>
        <v>0</v>
      </c>
      <c r="B38" s="37" t="n">
        <f aca="false">'Itens de Contrato'!B38</f>
        <v>0</v>
      </c>
      <c r="C38" s="37" t="e">
        <f aca="false">VLOOKUP(B38,'Itens de Contrato'!B$5:G$151,2,0)</f>
        <v>#N/A</v>
      </c>
      <c r="D38" s="52"/>
      <c r="E38" s="63" t="n">
        <f aca="false">D38*'Itens de Contrato'!F38</f>
        <v>0</v>
      </c>
      <c r="F38" s="62" t="n">
        <f aca="false">'Medição 08'!F38-'Medição 08'!G38</f>
        <v>0</v>
      </c>
      <c r="G38" s="52"/>
      <c r="H38" s="64" t="e">
        <f aca="false">G38/D38</f>
        <v>#DIV/0!</v>
      </c>
      <c r="I38" s="63" t="n">
        <f aca="false">G38*'Itens de Contrato'!F38</f>
        <v>0</v>
      </c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customFormat="false" ht="12.8" hidden="false" customHeight="false" outlineLevel="0" collapsed="false">
      <c r="A39" s="37" t="n">
        <f aca="false">'Itens de Contrato'!A39</f>
        <v>0</v>
      </c>
      <c r="B39" s="37" t="n">
        <f aca="false">'Itens de Contrato'!B39</f>
        <v>0</v>
      </c>
      <c r="C39" s="37" t="e">
        <f aca="false">VLOOKUP(B39,'Itens de Contrato'!B$5:G$151,2,0)</f>
        <v>#N/A</v>
      </c>
      <c r="D39" s="52"/>
      <c r="E39" s="63" t="n">
        <f aca="false">D39*'Itens de Contrato'!F39</f>
        <v>0</v>
      </c>
      <c r="F39" s="62" t="n">
        <f aca="false">'Medição 08'!F39-'Medição 08'!G39</f>
        <v>0</v>
      </c>
      <c r="G39" s="52"/>
      <c r="H39" s="64" t="e">
        <f aca="false">G39/D39</f>
        <v>#DIV/0!</v>
      </c>
      <c r="I39" s="63" t="n">
        <f aca="false">G39*'Itens de Contrato'!F39</f>
        <v>0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customFormat="false" ht="12.8" hidden="false" customHeight="false" outlineLevel="0" collapsed="false">
      <c r="A40" s="37" t="n">
        <f aca="false">'Itens de Contrato'!A40</f>
        <v>0</v>
      </c>
      <c r="B40" s="37" t="n">
        <f aca="false">'Itens de Contrato'!B40</f>
        <v>0</v>
      </c>
      <c r="C40" s="37" t="e">
        <f aca="false">VLOOKUP(B40,'Itens de Contrato'!B$5:G$151,2,0)</f>
        <v>#N/A</v>
      </c>
      <c r="D40" s="52"/>
      <c r="E40" s="63" t="n">
        <f aca="false">D40*'Itens de Contrato'!F40</f>
        <v>0</v>
      </c>
      <c r="F40" s="62" t="n">
        <f aca="false">'Medição 08'!F40-'Medição 08'!G40</f>
        <v>0</v>
      </c>
      <c r="G40" s="52"/>
      <c r="H40" s="64" t="e">
        <f aca="false">G40/D40</f>
        <v>#DIV/0!</v>
      </c>
      <c r="I40" s="63" t="n">
        <f aca="false">G40*'Itens de Contrato'!F40</f>
        <v>0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customFormat="false" ht="12.8" hidden="false" customHeight="false" outlineLevel="0" collapsed="false">
      <c r="A41" s="37" t="n">
        <f aca="false">'Itens de Contrato'!A41</f>
        <v>0</v>
      </c>
      <c r="B41" s="37" t="n">
        <f aca="false">'Itens de Contrato'!B41</f>
        <v>0</v>
      </c>
      <c r="C41" s="37" t="e">
        <f aca="false">VLOOKUP(B41,'Itens de Contrato'!B$5:G$151,2,0)</f>
        <v>#N/A</v>
      </c>
      <c r="D41" s="52"/>
      <c r="E41" s="63" t="n">
        <f aca="false">D41*'Itens de Contrato'!F41</f>
        <v>0</v>
      </c>
      <c r="F41" s="62" t="n">
        <f aca="false">'Medição 08'!F41-'Medição 08'!G41</f>
        <v>0</v>
      </c>
      <c r="G41" s="52"/>
      <c r="H41" s="64" t="e">
        <f aca="false">G41/D41</f>
        <v>#DIV/0!</v>
      </c>
      <c r="I41" s="63" t="n">
        <f aca="false">G41*'Itens de Contrato'!F41</f>
        <v>0</v>
      </c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customFormat="false" ht="12.8" hidden="false" customHeight="false" outlineLevel="0" collapsed="false">
      <c r="A42" s="37" t="n">
        <f aca="false">'Itens de Contrato'!A42</f>
        <v>0</v>
      </c>
      <c r="B42" s="37" t="n">
        <f aca="false">'Itens de Contrato'!B42</f>
        <v>0</v>
      </c>
      <c r="C42" s="37" t="e">
        <f aca="false">VLOOKUP(B42,'Itens de Contrato'!B$5:G$151,2,0)</f>
        <v>#N/A</v>
      </c>
      <c r="D42" s="52"/>
      <c r="E42" s="63" t="n">
        <f aca="false">D42*'Itens de Contrato'!F42</f>
        <v>0</v>
      </c>
      <c r="F42" s="62" t="n">
        <f aca="false">'Medição 08'!F42-'Medição 08'!G42</f>
        <v>0</v>
      </c>
      <c r="G42" s="52"/>
      <c r="H42" s="64" t="e">
        <f aca="false">G42/D42</f>
        <v>#DIV/0!</v>
      </c>
      <c r="I42" s="63" t="n">
        <f aca="false">G42*'Itens de Contrato'!F42</f>
        <v>0</v>
      </c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customFormat="false" ht="12.8" hidden="false" customHeight="false" outlineLevel="0" collapsed="false">
      <c r="A43" s="37" t="n">
        <f aca="false">'Itens de Contrato'!A43</f>
        <v>0</v>
      </c>
      <c r="B43" s="37" t="n">
        <f aca="false">'Itens de Contrato'!B43</f>
        <v>0</v>
      </c>
      <c r="C43" s="37" t="e">
        <f aca="false">VLOOKUP(B43,'Itens de Contrato'!B$5:G$151,2,0)</f>
        <v>#N/A</v>
      </c>
      <c r="D43" s="52"/>
      <c r="E43" s="63" t="n">
        <f aca="false">D43*'Itens de Contrato'!F43</f>
        <v>0</v>
      </c>
      <c r="F43" s="62" t="n">
        <f aca="false">'Medição 08'!F43-'Medição 08'!G43</f>
        <v>0</v>
      </c>
      <c r="G43" s="52"/>
      <c r="H43" s="64" t="e">
        <f aca="false">G43/D43</f>
        <v>#DIV/0!</v>
      </c>
      <c r="I43" s="63" t="n">
        <f aca="false">G43*'Itens de Contrato'!F43</f>
        <v>0</v>
      </c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customFormat="false" ht="12.8" hidden="false" customHeight="false" outlineLevel="0" collapsed="false">
      <c r="A44" s="37" t="n">
        <f aca="false">'Itens de Contrato'!A44</f>
        <v>0</v>
      </c>
      <c r="B44" s="37" t="n">
        <f aca="false">'Itens de Contrato'!B44</f>
        <v>0</v>
      </c>
      <c r="C44" s="37" t="e">
        <f aca="false">VLOOKUP(B44,'Itens de Contrato'!B$5:G$151,2,0)</f>
        <v>#N/A</v>
      </c>
      <c r="D44" s="52"/>
      <c r="E44" s="63" t="n">
        <f aca="false">D44*'Itens de Contrato'!F44</f>
        <v>0</v>
      </c>
      <c r="F44" s="62" t="n">
        <f aca="false">'Medição 08'!F44-'Medição 08'!G44</f>
        <v>0</v>
      </c>
      <c r="G44" s="52"/>
      <c r="H44" s="64" t="e">
        <f aca="false">G44/D44</f>
        <v>#DIV/0!</v>
      </c>
      <c r="I44" s="63" t="n">
        <f aca="false">G44*'Itens de Contrato'!F44</f>
        <v>0</v>
      </c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customFormat="false" ht="12.8" hidden="false" customHeight="false" outlineLevel="0" collapsed="false">
      <c r="A45" s="37" t="n">
        <f aca="false">'Itens de Contrato'!A45</f>
        <v>0</v>
      </c>
      <c r="B45" s="37" t="n">
        <f aca="false">'Itens de Contrato'!B45</f>
        <v>0</v>
      </c>
      <c r="C45" s="37" t="e">
        <f aca="false">VLOOKUP(B45,'Itens de Contrato'!B$5:G$151,2,0)</f>
        <v>#N/A</v>
      </c>
      <c r="D45" s="52"/>
      <c r="E45" s="63" t="n">
        <f aca="false">D45*'Itens de Contrato'!F45</f>
        <v>0</v>
      </c>
      <c r="F45" s="62" t="n">
        <f aca="false">'Medição 08'!F45-'Medição 08'!G45</f>
        <v>0</v>
      </c>
      <c r="G45" s="52"/>
      <c r="H45" s="64" t="e">
        <f aca="false">G45/D45</f>
        <v>#DIV/0!</v>
      </c>
      <c r="I45" s="63" t="n">
        <f aca="false">G45*'Itens de Contrato'!F45</f>
        <v>0</v>
      </c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customFormat="false" ht="12.8" hidden="false" customHeight="false" outlineLevel="0" collapsed="false">
      <c r="A46" s="37" t="n">
        <f aca="false">'Itens de Contrato'!A46</f>
        <v>0</v>
      </c>
      <c r="B46" s="37" t="n">
        <f aca="false">'Itens de Contrato'!B46</f>
        <v>0</v>
      </c>
      <c r="C46" s="37" t="e">
        <f aca="false">VLOOKUP(B46,'Itens de Contrato'!B$5:G$151,2,0)</f>
        <v>#N/A</v>
      </c>
      <c r="D46" s="52"/>
      <c r="E46" s="63" t="n">
        <f aca="false">D46*'Itens de Contrato'!F46</f>
        <v>0</v>
      </c>
      <c r="F46" s="62" t="n">
        <f aca="false">'Medição 08'!F46-'Medição 08'!G46</f>
        <v>0</v>
      </c>
      <c r="G46" s="52"/>
      <c r="H46" s="64" t="e">
        <f aca="false">G46/D46</f>
        <v>#DIV/0!</v>
      </c>
      <c r="I46" s="63" t="n">
        <f aca="false">G46*'Itens de Contrato'!F46</f>
        <v>0</v>
      </c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customFormat="false" ht="12.8" hidden="false" customHeight="false" outlineLevel="0" collapsed="false">
      <c r="A47" s="37" t="n">
        <f aca="false">'Itens de Contrato'!A47</f>
        <v>0</v>
      </c>
      <c r="B47" s="37" t="n">
        <f aca="false">'Itens de Contrato'!B47</f>
        <v>0</v>
      </c>
      <c r="C47" s="37" t="e">
        <f aca="false">VLOOKUP(B47,'Itens de Contrato'!B$5:G$151,2,0)</f>
        <v>#N/A</v>
      </c>
      <c r="D47" s="52"/>
      <c r="E47" s="63" t="n">
        <f aca="false">D47*'Itens de Contrato'!F47</f>
        <v>0</v>
      </c>
      <c r="F47" s="62" t="n">
        <f aca="false">'Medição 08'!F47-'Medição 08'!G47</f>
        <v>0</v>
      </c>
      <c r="G47" s="52"/>
      <c r="H47" s="64" t="e">
        <f aca="false">G47/D47</f>
        <v>#DIV/0!</v>
      </c>
      <c r="I47" s="63" t="n">
        <f aca="false">G47*'Itens de Contrato'!F47</f>
        <v>0</v>
      </c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customFormat="false" ht="12.8" hidden="false" customHeight="false" outlineLevel="0" collapsed="false">
      <c r="A48" s="37" t="n">
        <f aca="false">'Itens de Contrato'!A48</f>
        <v>0</v>
      </c>
      <c r="B48" s="37" t="n">
        <f aca="false">'Itens de Contrato'!B48</f>
        <v>0</v>
      </c>
      <c r="C48" s="37" t="e">
        <f aca="false">VLOOKUP(B48,'Itens de Contrato'!B$5:G$151,2,0)</f>
        <v>#N/A</v>
      </c>
      <c r="D48" s="52"/>
      <c r="E48" s="63" t="n">
        <f aca="false">D48*'Itens de Contrato'!F48</f>
        <v>0</v>
      </c>
      <c r="F48" s="62" t="n">
        <f aca="false">'Medição 08'!F48-'Medição 08'!G48</f>
        <v>0</v>
      </c>
      <c r="G48" s="52"/>
      <c r="H48" s="64" t="e">
        <f aca="false">G48/D48</f>
        <v>#DIV/0!</v>
      </c>
      <c r="I48" s="63" t="n">
        <f aca="false">G48*'Itens de Contrato'!F48</f>
        <v>0</v>
      </c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customFormat="false" ht="12.8" hidden="false" customHeight="false" outlineLevel="0" collapsed="false">
      <c r="A49" s="37" t="n">
        <f aca="false">'Itens de Contrato'!A49</f>
        <v>0</v>
      </c>
      <c r="B49" s="37" t="n">
        <f aca="false">'Itens de Contrato'!B49</f>
        <v>0</v>
      </c>
      <c r="C49" s="37" t="e">
        <f aca="false">VLOOKUP(B49,'Itens de Contrato'!B$5:G$151,2,0)</f>
        <v>#N/A</v>
      </c>
      <c r="D49" s="52"/>
      <c r="E49" s="63" t="n">
        <f aca="false">D49*'Itens de Contrato'!F49</f>
        <v>0</v>
      </c>
      <c r="F49" s="62" t="n">
        <f aca="false">'Medição 08'!F49-'Medição 08'!G49</f>
        <v>0</v>
      </c>
      <c r="G49" s="52"/>
      <c r="H49" s="64" t="e">
        <f aca="false">G49/D49</f>
        <v>#DIV/0!</v>
      </c>
      <c r="I49" s="63" t="n">
        <f aca="false">G49*'Itens de Contrato'!F49</f>
        <v>0</v>
      </c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customFormat="false" ht="12.8" hidden="false" customHeight="false" outlineLevel="0" collapsed="false">
      <c r="A50" s="37" t="n">
        <f aca="false">'Itens de Contrato'!A50</f>
        <v>0</v>
      </c>
      <c r="B50" s="37" t="n">
        <f aca="false">'Itens de Contrato'!B50</f>
        <v>0</v>
      </c>
      <c r="C50" s="37" t="e">
        <f aca="false">VLOOKUP(B50,'Itens de Contrato'!B$5:G$151,2,0)</f>
        <v>#N/A</v>
      </c>
      <c r="D50" s="52"/>
      <c r="E50" s="63" t="n">
        <f aca="false">D50*'Itens de Contrato'!F50</f>
        <v>0</v>
      </c>
      <c r="F50" s="62" t="n">
        <f aca="false">'Medição 08'!F50-'Medição 08'!G50</f>
        <v>0</v>
      </c>
      <c r="G50" s="52"/>
      <c r="H50" s="64" t="e">
        <f aca="false">G50/D50</f>
        <v>#DIV/0!</v>
      </c>
      <c r="I50" s="63" t="n">
        <f aca="false">G50*'Itens de Contrato'!F50</f>
        <v>0</v>
      </c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customFormat="false" ht="12.8" hidden="false" customHeight="false" outlineLevel="0" collapsed="false">
      <c r="A51" s="37" t="n">
        <f aca="false">'Itens de Contrato'!A51</f>
        <v>0</v>
      </c>
      <c r="B51" s="37" t="n">
        <f aca="false">'Itens de Contrato'!B51</f>
        <v>0</v>
      </c>
      <c r="C51" s="37" t="e">
        <f aca="false">VLOOKUP(B51,'Itens de Contrato'!B$5:G$151,2,0)</f>
        <v>#N/A</v>
      </c>
      <c r="D51" s="52"/>
      <c r="E51" s="63" t="n">
        <f aca="false">D51*'Itens de Contrato'!F51</f>
        <v>0</v>
      </c>
      <c r="F51" s="62" t="n">
        <f aca="false">'Medição 08'!F51-'Medição 08'!G51</f>
        <v>0</v>
      </c>
      <c r="G51" s="52"/>
      <c r="H51" s="64" t="e">
        <f aca="false">G51/D51</f>
        <v>#DIV/0!</v>
      </c>
      <c r="I51" s="63" t="n">
        <f aca="false">G51*'Itens de Contrato'!F51</f>
        <v>0</v>
      </c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customFormat="false" ht="12.8" hidden="false" customHeight="false" outlineLevel="0" collapsed="false">
      <c r="A52" s="37" t="n">
        <f aca="false">'Itens de Contrato'!A52</f>
        <v>0</v>
      </c>
      <c r="B52" s="37" t="n">
        <f aca="false">'Itens de Contrato'!B52</f>
        <v>0</v>
      </c>
      <c r="C52" s="37" t="e">
        <f aca="false">VLOOKUP(B52,'Itens de Contrato'!B$5:G$151,2,0)</f>
        <v>#N/A</v>
      </c>
      <c r="D52" s="52"/>
      <c r="E52" s="63" t="n">
        <f aca="false">D52*'Itens de Contrato'!F52</f>
        <v>0</v>
      </c>
      <c r="F52" s="62" t="n">
        <f aca="false">'Medição 08'!F52-'Medição 08'!G52</f>
        <v>0</v>
      </c>
      <c r="G52" s="52"/>
      <c r="H52" s="64" t="e">
        <f aca="false">G52/D52</f>
        <v>#DIV/0!</v>
      </c>
      <c r="I52" s="63" t="n">
        <f aca="false">G52*'Itens de Contrato'!F52</f>
        <v>0</v>
      </c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customFormat="false" ht="12.8" hidden="false" customHeight="false" outlineLevel="0" collapsed="false">
      <c r="A53" s="37" t="n">
        <f aca="false">'Itens de Contrato'!A53</f>
        <v>0</v>
      </c>
      <c r="B53" s="37" t="n">
        <f aca="false">'Itens de Contrato'!B53</f>
        <v>0</v>
      </c>
      <c r="C53" s="37" t="e">
        <f aca="false">VLOOKUP(B53,'Itens de Contrato'!B$5:G$151,2,0)</f>
        <v>#N/A</v>
      </c>
      <c r="D53" s="52"/>
      <c r="E53" s="63" t="n">
        <f aca="false">D53*'Itens de Contrato'!F53</f>
        <v>0</v>
      </c>
      <c r="F53" s="62" t="n">
        <f aca="false">'Medição 08'!F53-'Medição 08'!G53</f>
        <v>0</v>
      </c>
      <c r="G53" s="52"/>
      <c r="H53" s="64" t="e">
        <f aca="false">G53/D53</f>
        <v>#DIV/0!</v>
      </c>
      <c r="I53" s="63" t="n">
        <f aca="false">G53*'Itens de Contrato'!F53</f>
        <v>0</v>
      </c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customFormat="false" ht="12.8" hidden="false" customHeight="false" outlineLevel="0" collapsed="false">
      <c r="A54" s="37" t="n">
        <f aca="false">'Itens de Contrato'!A54</f>
        <v>0</v>
      </c>
      <c r="B54" s="37" t="n">
        <f aca="false">'Itens de Contrato'!B54</f>
        <v>0</v>
      </c>
      <c r="C54" s="37" t="e">
        <f aca="false">VLOOKUP(B54,'Itens de Contrato'!B$5:G$151,2,0)</f>
        <v>#N/A</v>
      </c>
      <c r="D54" s="52"/>
      <c r="E54" s="63" t="n">
        <f aca="false">D54*'Itens de Contrato'!F54</f>
        <v>0</v>
      </c>
      <c r="F54" s="62" t="n">
        <f aca="false">'Medição 08'!F54-'Medição 08'!G54</f>
        <v>0</v>
      </c>
      <c r="G54" s="52"/>
      <c r="H54" s="64" t="e">
        <f aca="false">G54/D54</f>
        <v>#DIV/0!</v>
      </c>
      <c r="I54" s="63" t="n">
        <f aca="false">G54*'Itens de Contrato'!F54</f>
        <v>0</v>
      </c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customFormat="false" ht="12.8" hidden="false" customHeight="false" outlineLevel="0" collapsed="false">
      <c r="A55" s="37" t="n">
        <f aca="false">'Itens de Contrato'!A55</f>
        <v>0</v>
      </c>
      <c r="B55" s="37" t="n">
        <f aca="false">'Itens de Contrato'!B55</f>
        <v>0</v>
      </c>
      <c r="C55" s="37" t="e">
        <f aca="false">VLOOKUP(B55,'Itens de Contrato'!B$5:G$151,2,0)</f>
        <v>#N/A</v>
      </c>
      <c r="D55" s="52"/>
      <c r="E55" s="63" t="n">
        <f aca="false">D55*'Itens de Contrato'!F55</f>
        <v>0</v>
      </c>
      <c r="F55" s="62" t="n">
        <f aca="false">'Medição 08'!F55-'Medição 08'!G55</f>
        <v>0</v>
      </c>
      <c r="G55" s="52"/>
      <c r="H55" s="64" t="e">
        <f aca="false">G55/D55</f>
        <v>#DIV/0!</v>
      </c>
      <c r="I55" s="63" t="n">
        <f aca="false">G55*'Itens de Contrato'!F55</f>
        <v>0</v>
      </c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customFormat="false" ht="12.8" hidden="false" customHeight="false" outlineLevel="0" collapsed="false">
      <c r="A56" s="37" t="n">
        <f aca="false">'Itens de Contrato'!A56</f>
        <v>0</v>
      </c>
      <c r="B56" s="37" t="n">
        <f aca="false">'Itens de Contrato'!B56</f>
        <v>0</v>
      </c>
      <c r="C56" s="37" t="e">
        <f aca="false">VLOOKUP(B56,'Itens de Contrato'!B$5:G$151,2,0)</f>
        <v>#N/A</v>
      </c>
      <c r="D56" s="52"/>
      <c r="E56" s="63" t="n">
        <f aca="false">D56*'Itens de Contrato'!F56</f>
        <v>0</v>
      </c>
      <c r="F56" s="62" t="n">
        <f aca="false">'Medição 08'!F56-'Medição 08'!G56</f>
        <v>0</v>
      </c>
      <c r="G56" s="52"/>
      <c r="H56" s="64" t="e">
        <f aca="false">G56/D56</f>
        <v>#DIV/0!</v>
      </c>
      <c r="I56" s="63" t="n">
        <f aca="false">G56*'Itens de Contrato'!F56</f>
        <v>0</v>
      </c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customFormat="false" ht="12.8" hidden="false" customHeight="false" outlineLevel="0" collapsed="false">
      <c r="A57" s="37" t="n">
        <f aca="false">'Itens de Contrato'!A57</f>
        <v>0</v>
      </c>
      <c r="B57" s="37" t="n">
        <f aca="false">'Itens de Contrato'!B57</f>
        <v>0</v>
      </c>
      <c r="C57" s="37" t="e">
        <f aca="false">VLOOKUP(B57,'Itens de Contrato'!B$5:G$151,2,0)</f>
        <v>#N/A</v>
      </c>
      <c r="D57" s="52"/>
      <c r="E57" s="63" t="n">
        <f aca="false">D57*'Itens de Contrato'!F57</f>
        <v>0</v>
      </c>
      <c r="F57" s="62" t="n">
        <f aca="false">'Medição 08'!F57-'Medição 08'!G57</f>
        <v>0</v>
      </c>
      <c r="G57" s="52"/>
      <c r="H57" s="64" t="e">
        <f aca="false">G57/D57</f>
        <v>#DIV/0!</v>
      </c>
      <c r="I57" s="63" t="n">
        <f aca="false">G57*'Itens de Contrato'!F57</f>
        <v>0</v>
      </c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customFormat="false" ht="12.8" hidden="false" customHeight="false" outlineLevel="0" collapsed="false">
      <c r="A58" s="37" t="n">
        <f aca="false">'Itens de Contrato'!A58</f>
        <v>0</v>
      </c>
      <c r="B58" s="37" t="n">
        <f aca="false">'Itens de Contrato'!B58</f>
        <v>0</v>
      </c>
      <c r="C58" s="37" t="e">
        <f aca="false">VLOOKUP(B58,'Itens de Contrato'!B$5:G$151,2,0)</f>
        <v>#N/A</v>
      </c>
      <c r="D58" s="52"/>
      <c r="E58" s="63" t="n">
        <f aca="false">D58*'Itens de Contrato'!F58</f>
        <v>0</v>
      </c>
      <c r="F58" s="62" t="n">
        <f aca="false">'Medição 08'!F58-'Medição 08'!G58</f>
        <v>0</v>
      </c>
      <c r="G58" s="52"/>
      <c r="H58" s="64" t="e">
        <f aca="false">G58/D58</f>
        <v>#DIV/0!</v>
      </c>
      <c r="I58" s="63" t="n">
        <f aca="false">G58*'Itens de Contrato'!F58</f>
        <v>0</v>
      </c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customFormat="false" ht="12.8" hidden="false" customHeight="false" outlineLevel="0" collapsed="false">
      <c r="A59" s="37" t="n">
        <f aca="false">'Itens de Contrato'!A59</f>
        <v>0</v>
      </c>
      <c r="B59" s="37" t="n">
        <f aca="false">'Itens de Contrato'!B59</f>
        <v>0</v>
      </c>
      <c r="C59" s="37" t="e">
        <f aca="false">VLOOKUP(B59,'Itens de Contrato'!B$5:G$151,2,0)</f>
        <v>#N/A</v>
      </c>
      <c r="D59" s="52"/>
      <c r="E59" s="63" t="n">
        <f aca="false">D59*'Itens de Contrato'!F59</f>
        <v>0</v>
      </c>
      <c r="F59" s="62" t="n">
        <f aca="false">'Medição 08'!F59-'Medição 08'!G59</f>
        <v>0</v>
      </c>
      <c r="G59" s="52"/>
      <c r="H59" s="64" t="e">
        <f aca="false">G59/D59</f>
        <v>#DIV/0!</v>
      </c>
      <c r="I59" s="63" t="n">
        <f aca="false">G59*'Itens de Contrato'!F59</f>
        <v>0</v>
      </c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</row>
    <row r="60" customFormat="false" ht="12.8" hidden="false" customHeight="false" outlineLevel="0" collapsed="false">
      <c r="A60" s="37" t="n">
        <f aca="false">'Itens de Contrato'!A60</f>
        <v>0</v>
      </c>
      <c r="B60" s="37" t="n">
        <f aca="false">'Itens de Contrato'!B60</f>
        <v>0</v>
      </c>
      <c r="C60" s="37" t="e">
        <f aca="false">VLOOKUP(B60,'Itens de Contrato'!B$5:G$151,2,0)</f>
        <v>#N/A</v>
      </c>
      <c r="D60" s="52"/>
      <c r="E60" s="63" t="n">
        <f aca="false">D60*'Itens de Contrato'!F60</f>
        <v>0</v>
      </c>
      <c r="F60" s="62" t="n">
        <f aca="false">'Medição 08'!F60-'Medição 08'!G60</f>
        <v>0</v>
      </c>
      <c r="G60" s="52"/>
      <c r="H60" s="64" t="e">
        <f aca="false">G60/D60</f>
        <v>#DIV/0!</v>
      </c>
      <c r="I60" s="63" t="n">
        <f aca="false">G60*'Itens de Contrato'!F60</f>
        <v>0</v>
      </c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customFormat="false" ht="12.8" hidden="false" customHeight="false" outlineLevel="0" collapsed="false">
      <c r="A61" s="37" t="n">
        <f aca="false">'Itens de Contrato'!A61</f>
        <v>0</v>
      </c>
      <c r="B61" s="37" t="n">
        <f aca="false">'Itens de Contrato'!B61</f>
        <v>0</v>
      </c>
      <c r="C61" s="37" t="e">
        <f aca="false">VLOOKUP(B61,'Itens de Contrato'!B$5:G$151,2,0)</f>
        <v>#N/A</v>
      </c>
      <c r="D61" s="52"/>
      <c r="E61" s="63" t="n">
        <f aca="false">D61*'Itens de Contrato'!F61</f>
        <v>0</v>
      </c>
      <c r="F61" s="62" t="n">
        <f aca="false">'Medição 08'!F61-'Medição 08'!G61</f>
        <v>0</v>
      </c>
      <c r="G61" s="52"/>
      <c r="H61" s="64" t="e">
        <f aca="false">G61/D61</f>
        <v>#DIV/0!</v>
      </c>
      <c r="I61" s="63" t="n">
        <f aca="false">G61*'Itens de Contrato'!F61</f>
        <v>0</v>
      </c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customFormat="false" ht="12.8" hidden="false" customHeight="false" outlineLevel="0" collapsed="false">
      <c r="A62" s="37" t="n">
        <f aca="false">'Itens de Contrato'!A62</f>
        <v>0</v>
      </c>
      <c r="B62" s="37" t="n">
        <f aca="false">'Itens de Contrato'!B62</f>
        <v>0</v>
      </c>
      <c r="C62" s="37" t="e">
        <f aca="false">VLOOKUP(B62,'Itens de Contrato'!B$5:G$151,2,0)</f>
        <v>#N/A</v>
      </c>
      <c r="D62" s="52"/>
      <c r="E62" s="63" t="n">
        <f aca="false">D62*'Itens de Contrato'!F62</f>
        <v>0</v>
      </c>
      <c r="F62" s="62" t="n">
        <f aca="false">'Medição 08'!F62-'Medição 08'!G62</f>
        <v>0</v>
      </c>
      <c r="G62" s="52"/>
      <c r="H62" s="64" t="e">
        <f aca="false">G62/D62</f>
        <v>#DIV/0!</v>
      </c>
      <c r="I62" s="63" t="n">
        <f aca="false">G62*'Itens de Contrato'!F62</f>
        <v>0</v>
      </c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customFormat="false" ht="12.8" hidden="false" customHeight="false" outlineLevel="0" collapsed="false">
      <c r="A63" s="37" t="n">
        <f aca="false">'Itens de Contrato'!A63</f>
        <v>0</v>
      </c>
      <c r="B63" s="37" t="n">
        <f aca="false">'Itens de Contrato'!B63</f>
        <v>0</v>
      </c>
      <c r="C63" s="37" t="e">
        <f aca="false">VLOOKUP(B63,'Itens de Contrato'!B$5:G$151,2,0)</f>
        <v>#N/A</v>
      </c>
      <c r="D63" s="52"/>
      <c r="E63" s="63" t="n">
        <f aca="false">D63*'Itens de Contrato'!F63</f>
        <v>0</v>
      </c>
      <c r="F63" s="62" t="n">
        <f aca="false">'Medição 08'!F63-'Medição 08'!G63</f>
        <v>0</v>
      </c>
      <c r="G63" s="52"/>
      <c r="H63" s="64" t="e">
        <f aca="false">G63/D63</f>
        <v>#DIV/0!</v>
      </c>
      <c r="I63" s="63" t="n">
        <f aca="false">G63*'Itens de Contrato'!F63</f>
        <v>0</v>
      </c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customFormat="false" ht="12.8" hidden="false" customHeight="false" outlineLevel="0" collapsed="false">
      <c r="A64" s="37" t="n">
        <f aca="false">'Itens de Contrato'!A64</f>
        <v>0</v>
      </c>
      <c r="B64" s="37" t="n">
        <f aca="false">'Itens de Contrato'!B64</f>
        <v>0</v>
      </c>
      <c r="C64" s="37" t="e">
        <f aca="false">VLOOKUP(B64,'Itens de Contrato'!B$5:G$151,2,0)</f>
        <v>#N/A</v>
      </c>
      <c r="D64" s="52"/>
      <c r="E64" s="63" t="n">
        <f aca="false">D64*'Itens de Contrato'!F64</f>
        <v>0</v>
      </c>
      <c r="F64" s="62" t="n">
        <f aca="false">'Medição 08'!F64-'Medição 08'!G64</f>
        <v>0</v>
      </c>
      <c r="G64" s="52"/>
      <c r="H64" s="64" t="e">
        <f aca="false">G64/D64</f>
        <v>#DIV/0!</v>
      </c>
      <c r="I64" s="63" t="n">
        <f aca="false">G64*'Itens de Contrato'!F64</f>
        <v>0</v>
      </c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customFormat="false" ht="12.8" hidden="false" customHeight="false" outlineLevel="0" collapsed="false">
      <c r="A65" s="37" t="n">
        <f aca="false">'Itens de Contrato'!A65</f>
        <v>0</v>
      </c>
      <c r="B65" s="37" t="n">
        <f aca="false">'Itens de Contrato'!B65</f>
        <v>0</v>
      </c>
      <c r="C65" s="37" t="e">
        <f aca="false">VLOOKUP(B65,'Itens de Contrato'!B$5:G$151,2,0)</f>
        <v>#N/A</v>
      </c>
      <c r="D65" s="52"/>
      <c r="E65" s="63" t="n">
        <f aca="false">D65*'Itens de Contrato'!F65</f>
        <v>0</v>
      </c>
      <c r="F65" s="62" t="n">
        <f aca="false">'Medição 08'!F65-'Medição 08'!G65</f>
        <v>0</v>
      </c>
      <c r="G65" s="52"/>
      <c r="H65" s="64" t="e">
        <f aca="false">G65/D65</f>
        <v>#DIV/0!</v>
      </c>
      <c r="I65" s="63" t="n">
        <f aca="false">G65*'Itens de Contrato'!F65</f>
        <v>0</v>
      </c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customFormat="false" ht="12.8" hidden="false" customHeight="false" outlineLevel="0" collapsed="false">
      <c r="A66" s="37" t="n">
        <f aca="false">'Itens de Contrato'!A66</f>
        <v>0</v>
      </c>
      <c r="B66" s="37" t="n">
        <f aca="false">'Itens de Contrato'!B66</f>
        <v>0</v>
      </c>
      <c r="C66" s="37" t="e">
        <f aca="false">VLOOKUP(B66,'Itens de Contrato'!B$5:G$151,2,0)</f>
        <v>#N/A</v>
      </c>
      <c r="D66" s="52"/>
      <c r="E66" s="63" t="n">
        <f aca="false">D66*'Itens de Contrato'!F66</f>
        <v>0</v>
      </c>
      <c r="F66" s="62" t="n">
        <f aca="false">'Medição 08'!F66-'Medição 08'!G66</f>
        <v>0</v>
      </c>
      <c r="G66" s="52"/>
      <c r="H66" s="64" t="e">
        <f aca="false">G66/D66</f>
        <v>#DIV/0!</v>
      </c>
      <c r="I66" s="63" t="n">
        <f aca="false">G66*'Itens de Contrato'!F66</f>
        <v>0</v>
      </c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customFormat="false" ht="12.8" hidden="false" customHeight="false" outlineLevel="0" collapsed="false">
      <c r="A67" s="37" t="n">
        <f aca="false">'Itens de Contrato'!A67</f>
        <v>0</v>
      </c>
      <c r="B67" s="37" t="n">
        <f aca="false">'Itens de Contrato'!B67</f>
        <v>0</v>
      </c>
      <c r="C67" s="37" t="e">
        <f aca="false">VLOOKUP(B67,'Itens de Contrato'!B$5:G$151,2,0)</f>
        <v>#N/A</v>
      </c>
      <c r="D67" s="52"/>
      <c r="E67" s="63" t="n">
        <f aca="false">D67*'Itens de Contrato'!F67</f>
        <v>0</v>
      </c>
      <c r="F67" s="62" t="n">
        <f aca="false">'Medição 08'!F67-'Medição 08'!G67</f>
        <v>0</v>
      </c>
      <c r="G67" s="52"/>
      <c r="H67" s="64" t="e">
        <f aca="false">G67/D67</f>
        <v>#DIV/0!</v>
      </c>
      <c r="I67" s="63" t="n">
        <f aca="false">G67*'Itens de Contrato'!F67</f>
        <v>0</v>
      </c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customFormat="false" ht="12.8" hidden="false" customHeight="false" outlineLevel="0" collapsed="false">
      <c r="A68" s="37" t="n">
        <f aca="false">'Itens de Contrato'!A68</f>
        <v>0</v>
      </c>
      <c r="B68" s="37" t="n">
        <f aca="false">'Itens de Contrato'!B68</f>
        <v>0</v>
      </c>
      <c r="C68" s="37" t="e">
        <f aca="false">VLOOKUP(B68,'Itens de Contrato'!B$5:G$151,2,0)</f>
        <v>#N/A</v>
      </c>
      <c r="D68" s="52"/>
      <c r="E68" s="63" t="n">
        <f aca="false">D68*'Itens de Contrato'!F68</f>
        <v>0</v>
      </c>
      <c r="F68" s="62" t="n">
        <f aca="false">'Medição 08'!F68-'Medição 08'!G68</f>
        <v>0</v>
      </c>
      <c r="G68" s="52"/>
      <c r="H68" s="64" t="e">
        <f aca="false">G68/D68</f>
        <v>#DIV/0!</v>
      </c>
      <c r="I68" s="63" t="n">
        <f aca="false">G68*'Itens de Contrato'!F68</f>
        <v>0</v>
      </c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</row>
    <row r="69" customFormat="false" ht="12.8" hidden="false" customHeight="false" outlineLevel="0" collapsed="false">
      <c r="A69" s="37" t="n">
        <f aca="false">'Itens de Contrato'!A69</f>
        <v>0</v>
      </c>
      <c r="B69" s="37" t="n">
        <f aca="false">'Itens de Contrato'!B69</f>
        <v>0</v>
      </c>
      <c r="C69" s="37" t="e">
        <f aca="false">VLOOKUP(B69,'Itens de Contrato'!B$5:G$151,2,0)</f>
        <v>#N/A</v>
      </c>
      <c r="D69" s="52"/>
      <c r="E69" s="63" t="n">
        <f aca="false">D69*'Itens de Contrato'!F69</f>
        <v>0</v>
      </c>
      <c r="F69" s="62" t="n">
        <f aca="false">'Medição 08'!F69-'Medição 08'!G69</f>
        <v>0</v>
      </c>
      <c r="G69" s="52"/>
      <c r="H69" s="64" t="e">
        <f aca="false">G69/D69</f>
        <v>#DIV/0!</v>
      </c>
      <c r="I69" s="63" t="n">
        <f aca="false">G69*'Itens de Contrato'!F69</f>
        <v>0</v>
      </c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</row>
    <row r="70" customFormat="false" ht="12.8" hidden="false" customHeight="false" outlineLevel="0" collapsed="false">
      <c r="A70" s="37" t="n">
        <f aca="false">'Itens de Contrato'!A70</f>
        <v>0</v>
      </c>
      <c r="B70" s="37" t="n">
        <f aca="false">'Itens de Contrato'!B70</f>
        <v>0</v>
      </c>
      <c r="C70" s="37" t="e">
        <f aca="false">VLOOKUP(B70,'Itens de Contrato'!B$5:G$151,2,0)</f>
        <v>#N/A</v>
      </c>
      <c r="D70" s="52"/>
      <c r="E70" s="63" t="n">
        <f aca="false">D70*'Itens de Contrato'!F70</f>
        <v>0</v>
      </c>
      <c r="F70" s="62" t="n">
        <f aca="false">'Medição 08'!F70-'Medição 08'!G70</f>
        <v>0</v>
      </c>
      <c r="G70" s="52"/>
      <c r="H70" s="64" t="e">
        <f aca="false">G70/D70</f>
        <v>#DIV/0!</v>
      </c>
      <c r="I70" s="63" t="n">
        <f aca="false">G70*'Itens de Contrato'!F70</f>
        <v>0</v>
      </c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</row>
    <row r="71" customFormat="false" ht="12.8" hidden="false" customHeight="false" outlineLevel="0" collapsed="false">
      <c r="A71" s="37" t="n">
        <f aca="false">'Itens de Contrato'!A71</f>
        <v>0</v>
      </c>
      <c r="B71" s="37" t="n">
        <f aca="false">'Itens de Contrato'!B71</f>
        <v>0</v>
      </c>
      <c r="C71" s="37" t="e">
        <f aca="false">VLOOKUP(B71,'Itens de Contrato'!B$5:G$151,2,0)</f>
        <v>#N/A</v>
      </c>
      <c r="D71" s="52"/>
      <c r="E71" s="63" t="n">
        <f aca="false">D71*'Itens de Contrato'!F71</f>
        <v>0</v>
      </c>
      <c r="F71" s="62" t="n">
        <f aca="false">'Medição 08'!F71-'Medição 08'!G71</f>
        <v>0</v>
      </c>
      <c r="G71" s="52"/>
      <c r="H71" s="64" t="e">
        <f aca="false">G71/D71</f>
        <v>#DIV/0!</v>
      </c>
      <c r="I71" s="63" t="n">
        <f aca="false">G71*'Itens de Contrato'!F71</f>
        <v>0</v>
      </c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</row>
    <row r="72" customFormat="false" ht="12.8" hidden="false" customHeight="false" outlineLevel="0" collapsed="false">
      <c r="A72" s="37" t="n">
        <f aca="false">'Itens de Contrato'!A72</f>
        <v>0</v>
      </c>
      <c r="B72" s="37" t="n">
        <f aca="false">'Itens de Contrato'!B72</f>
        <v>0</v>
      </c>
      <c r="C72" s="37" t="e">
        <f aca="false">VLOOKUP(B72,'Itens de Contrato'!B$5:G$151,2,0)</f>
        <v>#N/A</v>
      </c>
      <c r="D72" s="52"/>
      <c r="E72" s="63" t="n">
        <f aca="false">D72*'Itens de Contrato'!F72</f>
        <v>0</v>
      </c>
      <c r="F72" s="62" t="n">
        <f aca="false">'Medição 08'!F72-'Medição 08'!G72</f>
        <v>0</v>
      </c>
      <c r="G72" s="52"/>
      <c r="H72" s="64" t="e">
        <f aca="false">G72/D72</f>
        <v>#DIV/0!</v>
      </c>
      <c r="I72" s="63" t="n">
        <f aca="false">G72*'Itens de Contrato'!F72</f>
        <v>0</v>
      </c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</row>
    <row r="73" customFormat="false" ht="12.8" hidden="false" customHeight="false" outlineLevel="0" collapsed="false">
      <c r="A73" s="37" t="n">
        <f aca="false">'Itens de Contrato'!A73</f>
        <v>0</v>
      </c>
      <c r="B73" s="37" t="n">
        <f aca="false">'Itens de Contrato'!B73</f>
        <v>0</v>
      </c>
      <c r="C73" s="37" t="e">
        <f aca="false">VLOOKUP(B73,'Itens de Contrato'!B$5:G$151,2,0)</f>
        <v>#N/A</v>
      </c>
      <c r="D73" s="52"/>
      <c r="E73" s="63" t="n">
        <f aca="false">D73*'Itens de Contrato'!F73</f>
        <v>0</v>
      </c>
      <c r="F73" s="62" t="n">
        <f aca="false">'Medição 08'!F73-'Medição 08'!G73</f>
        <v>0</v>
      </c>
      <c r="G73" s="52"/>
      <c r="H73" s="64" t="e">
        <f aca="false">G73/D73</f>
        <v>#DIV/0!</v>
      </c>
      <c r="I73" s="63" t="n">
        <f aca="false">G73*'Itens de Contrato'!F73</f>
        <v>0</v>
      </c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</row>
    <row r="74" customFormat="false" ht="12.8" hidden="false" customHeight="false" outlineLevel="0" collapsed="false">
      <c r="A74" s="37" t="n">
        <f aca="false">'Itens de Contrato'!A74</f>
        <v>0</v>
      </c>
      <c r="B74" s="37" t="n">
        <f aca="false">'Itens de Contrato'!B74</f>
        <v>0</v>
      </c>
      <c r="C74" s="37" t="e">
        <f aca="false">VLOOKUP(B74,'Itens de Contrato'!B$5:G$151,2,0)</f>
        <v>#N/A</v>
      </c>
      <c r="D74" s="52"/>
      <c r="E74" s="63" t="n">
        <f aca="false">D74*'Itens de Contrato'!F74</f>
        <v>0</v>
      </c>
      <c r="F74" s="62" t="n">
        <f aca="false">'Medição 08'!F74-'Medição 08'!G74</f>
        <v>0</v>
      </c>
      <c r="G74" s="52"/>
      <c r="H74" s="64" t="e">
        <f aca="false">G74/D74</f>
        <v>#DIV/0!</v>
      </c>
      <c r="I74" s="63" t="n">
        <f aca="false">G74*'Itens de Contrato'!F74</f>
        <v>0</v>
      </c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</row>
    <row r="75" customFormat="false" ht="12.8" hidden="false" customHeight="false" outlineLevel="0" collapsed="false">
      <c r="A75" s="37" t="n">
        <f aca="false">'Itens de Contrato'!A75</f>
        <v>0</v>
      </c>
      <c r="B75" s="37" t="n">
        <f aca="false">'Itens de Contrato'!B75</f>
        <v>0</v>
      </c>
      <c r="C75" s="37" t="e">
        <f aca="false">VLOOKUP(B75,'Itens de Contrato'!B$5:G$151,2,0)</f>
        <v>#N/A</v>
      </c>
      <c r="D75" s="52"/>
      <c r="E75" s="63" t="n">
        <f aca="false">D75*'Itens de Contrato'!F75</f>
        <v>0</v>
      </c>
      <c r="F75" s="62" t="n">
        <f aca="false">'Medição 08'!F75-'Medição 08'!G75</f>
        <v>0</v>
      </c>
      <c r="G75" s="52"/>
      <c r="H75" s="64" t="e">
        <f aca="false">G75/D75</f>
        <v>#DIV/0!</v>
      </c>
      <c r="I75" s="63" t="n">
        <f aca="false">G75*'Itens de Contrato'!F75</f>
        <v>0</v>
      </c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</row>
    <row r="76" customFormat="false" ht="12.8" hidden="false" customHeight="false" outlineLevel="0" collapsed="false">
      <c r="A76" s="37" t="n">
        <f aca="false">'Itens de Contrato'!A76</f>
        <v>0</v>
      </c>
      <c r="B76" s="37" t="n">
        <f aca="false">'Itens de Contrato'!B76</f>
        <v>0</v>
      </c>
      <c r="C76" s="37" t="e">
        <f aca="false">VLOOKUP(B76,'Itens de Contrato'!B$5:G$151,2,0)</f>
        <v>#N/A</v>
      </c>
      <c r="D76" s="52"/>
      <c r="E76" s="63" t="n">
        <f aca="false">D76*'Itens de Contrato'!F76</f>
        <v>0</v>
      </c>
      <c r="F76" s="62" t="n">
        <f aca="false">'Medição 08'!F76-'Medição 08'!G76</f>
        <v>0</v>
      </c>
      <c r="G76" s="52"/>
      <c r="H76" s="64" t="e">
        <f aca="false">G76/D76</f>
        <v>#DIV/0!</v>
      </c>
      <c r="I76" s="63" t="n">
        <f aca="false">G76*'Itens de Contrato'!F76</f>
        <v>0</v>
      </c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</row>
    <row r="77" customFormat="false" ht="12.8" hidden="false" customHeight="false" outlineLevel="0" collapsed="false">
      <c r="A77" s="37" t="n">
        <f aca="false">'Itens de Contrato'!A77</f>
        <v>0</v>
      </c>
      <c r="B77" s="37" t="n">
        <f aca="false">'Itens de Contrato'!B77</f>
        <v>0</v>
      </c>
      <c r="C77" s="37" t="e">
        <f aca="false">VLOOKUP(B77,'Itens de Contrato'!B$5:G$151,2,0)</f>
        <v>#N/A</v>
      </c>
      <c r="D77" s="52"/>
      <c r="E77" s="63" t="n">
        <f aca="false">D77*'Itens de Contrato'!F77</f>
        <v>0</v>
      </c>
      <c r="F77" s="62" t="n">
        <f aca="false">'Medição 08'!F77-'Medição 08'!G77</f>
        <v>0</v>
      </c>
      <c r="G77" s="52"/>
      <c r="H77" s="64" t="e">
        <f aca="false">G77/D77</f>
        <v>#DIV/0!</v>
      </c>
      <c r="I77" s="63" t="n">
        <f aca="false">G77*'Itens de Contrato'!F77</f>
        <v>0</v>
      </c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</row>
    <row r="78" customFormat="false" ht="12.8" hidden="false" customHeight="false" outlineLevel="0" collapsed="false">
      <c r="A78" s="37" t="n">
        <f aca="false">'Itens de Contrato'!A78</f>
        <v>0</v>
      </c>
      <c r="B78" s="37" t="n">
        <f aca="false">'Itens de Contrato'!B78</f>
        <v>0</v>
      </c>
      <c r="C78" s="37" t="e">
        <f aca="false">VLOOKUP(B78,'Itens de Contrato'!B$5:G$151,2,0)</f>
        <v>#N/A</v>
      </c>
      <c r="D78" s="52"/>
      <c r="E78" s="63" t="n">
        <f aca="false">D78*'Itens de Contrato'!F78</f>
        <v>0</v>
      </c>
      <c r="F78" s="62" t="n">
        <f aca="false">'Medição 08'!F78-'Medição 08'!G78</f>
        <v>0</v>
      </c>
      <c r="G78" s="52"/>
      <c r="H78" s="64" t="e">
        <f aca="false">G78/D78</f>
        <v>#DIV/0!</v>
      </c>
      <c r="I78" s="63" t="n">
        <f aca="false">G78*'Itens de Contrato'!F78</f>
        <v>0</v>
      </c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</row>
    <row r="79" customFormat="false" ht="12.8" hidden="false" customHeight="false" outlineLevel="0" collapsed="false">
      <c r="A79" s="37" t="n">
        <f aca="false">'Itens de Contrato'!A79</f>
        <v>0</v>
      </c>
      <c r="B79" s="37" t="n">
        <f aca="false">'Itens de Contrato'!B79</f>
        <v>0</v>
      </c>
      <c r="C79" s="37" t="e">
        <f aca="false">VLOOKUP(B79,'Itens de Contrato'!B$5:G$151,2,0)</f>
        <v>#N/A</v>
      </c>
      <c r="D79" s="52"/>
      <c r="E79" s="63" t="n">
        <f aca="false">D79*'Itens de Contrato'!F79</f>
        <v>0</v>
      </c>
      <c r="F79" s="62" t="n">
        <f aca="false">'Medição 08'!F79-'Medição 08'!G79</f>
        <v>0</v>
      </c>
      <c r="G79" s="52"/>
      <c r="H79" s="64" t="e">
        <f aca="false">G79/D79</f>
        <v>#DIV/0!</v>
      </c>
      <c r="I79" s="63" t="n">
        <f aca="false">G79*'Itens de Contrato'!F79</f>
        <v>0</v>
      </c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</row>
    <row r="80" customFormat="false" ht="12.8" hidden="false" customHeight="false" outlineLevel="0" collapsed="false">
      <c r="A80" s="37" t="n">
        <f aca="false">'Itens de Contrato'!A80</f>
        <v>0</v>
      </c>
      <c r="B80" s="37" t="n">
        <f aca="false">'Itens de Contrato'!B80</f>
        <v>0</v>
      </c>
      <c r="C80" s="37" t="e">
        <f aca="false">VLOOKUP(B80,'Itens de Contrato'!B$5:G$151,2,0)</f>
        <v>#N/A</v>
      </c>
      <c r="D80" s="52"/>
      <c r="E80" s="63" t="n">
        <f aca="false">D80*'Itens de Contrato'!F80</f>
        <v>0</v>
      </c>
      <c r="F80" s="62" t="n">
        <f aca="false">'Medição 08'!F80-'Medição 08'!G80</f>
        <v>0</v>
      </c>
      <c r="G80" s="52"/>
      <c r="H80" s="64" t="e">
        <f aca="false">G80/D80</f>
        <v>#DIV/0!</v>
      </c>
      <c r="I80" s="63" t="n">
        <f aca="false">G80*'Itens de Contrato'!F80</f>
        <v>0</v>
      </c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</row>
    <row r="81" customFormat="false" ht="12.8" hidden="false" customHeight="false" outlineLevel="0" collapsed="false">
      <c r="A81" s="37" t="n">
        <f aca="false">'Itens de Contrato'!A81</f>
        <v>0</v>
      </c>
      <c r="B81" s="37" t="n">
        <f aca="false">'Itens de Contrato'!B81</f>
        <v>0</v>
      </c>
      <c r="C81" s="37" t="e">
        <f aca="false">VLOOKUP(B81,'Itens de Contrato'!B$5:G$151,2,0)</f>
        <v>#N/A</v>
      </c>
      <c r="D81" s="52"/>
      <c r="E81" s="63" t="n">
        <f aca="false">D81*'Itens de Contrato'!F81</f>
        <v>0</v>
      </c>
      <c r="F81" s="62" t="n">
        <f aca="false">'Medição 08'!F81-'Medição 08'!G81</f>
        <v>0</v>
      </c>
      <c r="G81" s="52"/>
      <c r="H81" s="64" t="e">
        <f aca="false">G81/D81</f>
        <v>#DIV/0!</v>
      </c>
      <c r="I81" s="63" t="n">
        <f aca="false">G81*'Itens de Contrato'!F81</f>
        <v>0</v>
      </c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</row>
    <row r="82" customFormat="false" ht="12.8" hidden="false" customHeight="false" outlineLevel="0" collapsed="false">
      <c r="A82" s="37" t="n">
        <f aca="false">'Itens de Contrato'!A82</f>
        <v>0</v>
      </c>
      <c r="B82" s="37" t="n">
        <f aca="false">'Itens de Contrato'!B82</f>
        <v>0</v>
      </c>
      <c r="C82" s="37" t="e">
        <f aca="false">VLOOKUP(B82,'Itens de Contrato'!B$5:G$151,2,0)</f>
        <v>#N/A</v>
      </c>
      <c r="D82" s="52"/>
      <c r="E82" s="63" t="n">
        <f aca="false">D82*'Itens de Contrato'!F82</f>
        <v>0</v>
      </c>
      <c r="F82" s="62" t="n">
        <f aca="false">'Medição 08'!F82-'Medição 08'!G82</f>
        <v>0</v>
      </c>
      <c r="G82" s="52"/>
      <c r="H82" s="64" t="e">
        <f aca="false">G82/D82</f>
        <v>#DIV/0!</v>
      </c>
      <c r="I82" s="63" t="n">
        <f aca="false">G82*'Itens de Contrato'!F82</f>
        <v>0</v>
      </c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</row>
    <row r="83" customFormat="false" ht="12.8" hidden="false" customHeight="false" outlineLevel="0" collapsed="false">
      <c r="A83" s="37" t="n">
        <f aca="false">'Itens de Contrato'!A83</f>
        <v>0</v>
      </c>
      <c r="B83" s="37" t="n">
        <f aca="false">'Itens de Contrato'!B83</f>
        <v>0</v>
      </c>
      <c r="C83" s="37" t="e">
        <f aca="false">VLOOKUP(B83,'Itens de Contrato'!B$5:G$151,2,0)</f>
        <v>#N/A</v>
      </c>
      <c r="D83" s="52"/>
      <c r="E83" s="63" t="n">
        <f aca="false">D83*'Itens de Contrato'!F83</f>
        <v>0</v>
      </c>
      <c r="F83" s="62" t="n">
        <f aca="false">'Medição 08'!F83-'Medição 08'!G83</f>
        <v>0</v>
      </c>
      <c r="G83" s="52"/>
      <c r="H83" s="64" t="e">
        <f aca="false">G83/D83</f>
        <v>#DIV/0!</v>
      </c>
      <c r="I83" s="63" t="n">
        <f aca="false">G83*'Itens de Contrato'!F83</f>
        <v>0</v>
      </c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</row>
    <row r="84" customFormat="false" ht="12.8" hidden="false" customHeight="false" outlineLevel="0" collapsed="false">
      <c r="A84" s="37" t="n">
        <f aca="false">'Itens de Contrato'!A84</f>
        <v>0</v>
      </c>
      <c r="B84" s="37" t="n">
        <f aca="false">'Itens de Contrato'!B84</f>
        <v>0</v>
      </c>
      <c r="C84" s="37" t="e">
        <f aca="false">VLOOKUP(B84,'Itens de Contrato'!B$5:G$151,2,0)</f>
        <v>#N/A</v>
      </c>
      <c r="D84" s="52"/>
      <c r="E84" s="63" t="n">
        <f aca="false">D84*'Itens de Contrato'!F84</f>
        <v>0</v>
      </c>
      <c r="F84" s="62" t="n">
        <f aca="false">'Medição 08'!F84-'Medição 08'!G84</f>
        <v>0</v>
      </c>
      <c r="G84" s="52"/>
      <c r="H84" s="64" t="e">
        <f aca="false">G84/D84</f>
        <v>#DIV/0!</v>
      </c>
      <c r="I84" s="63" t="n">
        <f aca="false">G84*'Itens de Contrato'!F84</f>
        <v>0</v>
      </c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</row>
    <row r="85" customFormat="false" ht="12.8" hidden="false" customHeight="false" outlineLevel="0" collapsed="false">
      <c r="A85" s="37" t="n">
        <f aca="false">'Itens de Contrato'!A85</f>
        <v>0</v>
      </c>
      <c r="B85" s="37" t="n">
        <f aca="false">'Itens de Contrato'!B85</f>
        <v>0</v>
      </c>
      <c r="C85" s="37" t="e">
        <f aca="false">VLOOKUP(B85,'Itens de Contrato'!B$5:G$151,2,0)</f>
        <v>#N/A</v>
      </c>
      <c r="D85" s="52"/>
      <c r="E85" s="63" t="n">
        <f aca="false">D85*'Itens de Contrato'!F85</f>
        <v>0</v>
      </c>
      <c r="F85" s="62" t="n">
        <f aca="false">'Medição 08'!F85-'Medição 08'!G85</f>
        <v>0</v>
      </c>
      <c r="G85" s="52"/>
      <c r="H85" s="64" t="e">
        <f aca="false">G85/D85</f>
        <v>#DIV/0!</v>
      </c>
      <c r="I85" s="63" t="n">
        <f aca="false">G85*'Itens de Contrato'!F85</f>
        <v>0</v>
      </c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</row>
    <row r="86" customFormat="false" ht="12.8" hidden="false" customHeight="false" outlineLevel="0" collapsed="false">
      <c r="A86" s="37" t="n">
        <f aca="false">'Itens de Contrato'!A86</f>
        <v>0</v>
      </c>
      <c r="B86" s="37" t="n">
        <f aca="false">'Itens de Contrato'!B86</f>
        <v>0</v>
      </c>
      <c r="C86" s="37" t="e">
        <f aca="false">VLOOKUP(B86,'Itens de Contrato'!B$5:G$151,2,0)</f>
        <v>#N/A</v>
      </c>
      <c r="D86" s="52"/>
      <c r="E86" s="63" t="n">
        <f aca="false">D86*'Itens de Contrato'!F86</f>
        <v>0</v>
      </c>
      <c r="F86" s="62" t="n">
        <f aca="false">'Medição 08'!F86-'Medição 08'!G86</f>
        <v>0</v>
      </c>
      <c r="G86" s="52"/>
      <c r="H86" s="64" t="e">
        <f aca="false">G86/D86</f>
        <v>#DIV/0!</v>
      </c>
      <c r="I86" s="63" t="n">
        <f aca="false">G86*'Itens de Contrato'!F86</f>
        <v>0</v>
      </c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</row>
    <row r="87" customFormat="false" ht="12.8" hidden="false" customHeight="false" outlineLevel="0" collapsed="false">
      <c r="A87" s="37" t="n">
        <f aca="false">'Itens de Contrato'!A87</f>
        <v>0</v>
      </c>
      <c r="B87" s="37" t="n">
        <f aca="false">'Itens de Contrato'!B87</f>
        <v>0</v>
      </c>
      <c r="C87" s="37" t="e">
        <f aca="false">VLOOKUP(B87,'Itens de Contrato'!B$5:G$151,2,0)</f>
        <v>#N/A</v>
      </c>
      <c r="D87" s="52"/>
      <c r="E87" s="63" t="n">
        <f aca="false">D87*'Itens de Contrato'!F87</f>
        <v>0</v>
      </c>
      <c r="F87" s="62" t="n">
        <f aca="false">'Medição 08'!F87-'Medição 08'!G87</f>
        <v>0</v>
      </c>
      <c r="G87" s="52"/>
      <c r="H87" s="64" t="e">
        <f aca="false">G87/D87</f>
        <v>#DIV/0!</v>
      </c>
      <c r="I87" s="63" t="n">
        <f aca="false">G87*'Itens de Contrato'!F87</f>
        <v>0</v>
      </c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</row>
    <row r="88" customFormat="false" ht="12.8" hidden="false" customHeight="false" outlineLevel="0" collapsed="false">
      <c r="A88" s="37" t="n">
        <f aca="false">'Itens de Contrato'!A88</f>
        <v>0</v>
      </c>
      <c r="B88" s="37" t="n">
        <f aca="false">'Itens de Contrato'!B88</f>
        <v>0</v>
      </c>
      <c r="C88" s="37" t="e">
        <f aca="false">VLOOKUP(B88,'Itens de Contrato'!B$5:G$151,2,0)</f>
        <v>#N/A</v>
      </c>
      <c r="D88" s="52"/>
      <c r="E88" s="63" t="n">
        <f aca="false">D88*'Itens de Contrato'!F88</f>
        <v>0</v>
      </c>
      <c r="F88" s="62" t="n">
        <f aca="false">'Medição 08'!F88-'Medição 08'!G88</f>
        <v>0</v>
      </c>
      <c r="G88" s="52"/>
      <c r="H88" s="64" t="e">
        <f aca="false">G88/D88</f>
        <v>#DIV/0!</v>
      </c>
      <c r="I88" s="63" t="n">
        <f aca="false">G88*'Itens de Contrato'!F88</f>
        <v>0</v>
      </c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</row>
    <row r="89" customFormat="false" ht="12.8" hidden="false" customHeight="false" outlineLevel="0" collapsed="false">
      <c r="A89" s="37" t="n">
        <f aca="false">'Itens de Contrato'!A89</f>
        <v>0</v>
      </c>
      <c r="B89" s="37" t="n">
        <f aca="false">'Itens de Contrato'!B89</f>
        <v>0</v>
      </c>
      <c r="C89" s="37" t="e">
        <f aca="false">VLOOKUP(B89,'Itens de Contrato'!B$5:G$151,2,0)</f>
        <v>#N/A</v>
      </c>
      <c r="D89" s="52"/>
      <c r="E89" s="63" t="n">
        <f aca="false">D89*'Itens de Contrato'!F89</f>
        <v>0</v>
      </c>
      <c r="F89" s="62" t="n">
        <f aca="false">'Medição 08'!F89-'Medição 08'!G89</f>
        <v>0</v>
      </c>
      <c r="G89" s="52"/>
      <c r="H89" s="64" t="e">
        <f aca="false">G89/D89</f>
        <v>#DIV/0!</v>
      </c>
      <c r="I89" s="63" t="n">
        <f aca="false">G89*'Itens de Contrato'!F89</f>
        <v>0</v>
      </c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</row>
    <row r="90" customFormat="false" ht="12.8" hidden="false" customHeight="false" outlineLevel="0" collapsed="false">
      <c r="A90" s="37" t="n">
        <f aca="false">'Itens de Contrato'!A90</f>
        <v>0</v>
      </c>
      <c r="B90" s="37" t="n">
        <f aca="false">'Itens de Contrato'!B90</f>
        <v>0</v>
      </c>
      <c r="C90" s="37" t="e">
        <f aca="false">VLOOKUP(B90,'Itens de Contrato'!B$5:G$151,2,0)</f>
        <v>#N/A</v>
      </c>
      <c r="D90" s="52"/>
      <c r="E90" s="63" t="n">
        <f aca="false">D90*'Itens de Contrato'!F90</f>
        <v>0</v>
      </c>
      <c r="F90" s="62" t="n">
        <f aca="false">'Medição 08'!F90-'Medição 08'!G90</f>
        <v>0</v>
      </c>
      <c r="G90" s="52"/>
      <c r="H90" s="64" t="e">
        <f aca="false">G90/D90</f>
        <v>#DIV/0!</v>
      </c>
      <c r="I90" s="63" t="n">
        <f aca="false">G90*'Itens de Contrato'!F90</f>
        <v>0</v>
      </c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</row>
    <row r="91" customFormat="false" ht="12.8" hidden="false" customHeight="false" outlineLevel="0" collapsed="false">
      <c r="A91" s="37" t="n">
        <f aca="false">'Itens de Contrato'!A91</f>
        <v>0</v>
      </c>
      <c r="B91" s="37" t="n">
        <f aca="false">'Itens de Contrato'!B91</f>
        <v>0</v>
      </c>
      <c r="C91" s="37" t="e">
        <f aca="false">VLOOKUP(B91,'Itens de Contrato'!B$5:G$151,2,0)</f>
        <v>#N/A</v>
      </c>
      <c r="D91" s="52"/>
      <c r="E91" s="63" t="n">
        <f aca="false">D91*'Itens de Contrato'!F91</f>
        <v>0</v>
      </c>
      <c r="F91" s="62" t="n">
        <f aca="false">'Medição 08'!F91-'Medição 08'!G91</f>
        <v>0</v>
      </c>
      <c r="G91" s="52"/>
      <c r="H91" s="64" t="e">
        <f aca="false">G91/D91</f>
        <v>#DIV/0!</v>
      </c>
      <c r="I91" s="63" t="n">
        <f aca="false">G91*'Itens de Contrato'!F91</f>
        <v>0</v>
      </c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customFormat="false" ht="12.8" hidden="false" customHeight="false" outlineLevel="0" collapsed="false">
      <c r="A92" s="37" t="n">
        <f aca="false">'Itens de Contrato'!A92</f>
        <v>0</v>
      </c>
      <c r="B92" s="37" t="n">
        <f aca="false">'Itens de Contrato'!B92</f>
        <v>0</v>
      </c>
      <c r="C92" s="37" t="e">
        <f aca="false">VLOOKUP(B92,'Itens de Contrato'!B$5:G$151,2,0)</f>
        <v>#N/A</v>
      </c>
      <c r="D92" s="52"/>
      <c r="E92" s="63" t="n">
        <f aca="false">D92*'Itens de Contrato'!F92</f>
        <v>0</v>
      </c>
      <c r="F92" s="62" t="n">
        <f aca="false">'Medição 08'!F92-'Medição 08'!G92</f>
        <v>0</v>
      </c>
      <c r="G92" s="52"/>
      <c r="H92" s="64" t="e">
        <f aca="false">G92/D92</f>
        <v>#DIV/0!</v>
      </c>
      <c r="I92" s="63" t="n">
        <f aca="false">G92*'Itens de Contrato'!F92</f>
        <v>0</v>
      </c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</row>
    <row r="93" customFormat="false" ht="12.8" hidden="false" customHeight="false" outlineLevel="0" collapsed="false">
      <c r="A93" s="37" t="n">
        <f aca="false">'Itens de Contrato'!A93</f>
        <v>0</v>
      </c>
      <c r="B93" s="37" t="n">
        <f aca="false">'Itens de Contrato'!B93</f>
        <v>0</v>
      </c>
      <c r="C93" s="37" t="e">
        <f aca="false">VLOOKUP(B93,'Itens de Contrato'!B$5:G$151,2,0)</f>
        <v>#N/A</v>
      </c>
      <c r="D93" s="52"/>
      <c r="E93" s="63" t="n">
        <f aca="false">D93*'Itens de Contrato'!F93</f>
        <v>0</v>
      </c>
      <c r="F93" s="62" t="n">
        <f aca="false">'Medição 08'!F93-'Medição 08'!G93</f>
        <v>0</v>
      </c>
      <c r="G93" s="52"/>
      <c r="H93" s="64" t="e">
        <f aca="false">G93/D93</f>
        <v>#DIV/0!</v>
      </c>
      <c r="I93" s="63" t="n">
        <f aca="false">G93*'Itens de Contrato'!F93</f>
        <v>0</v>
      </c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</row>
    <row r="94" customFormat="false" ht="12.8" hidden="false" customHeight="false" outlineLevel="0" collapsed="false">
      <c r="A94" s="37" t="n">
        <f aca="false">'Itens de Contrato'!A94</f>
        <v>0</v>
      </c>
      <c r="B94" s="37" t="n">
        <f aca="false">'Itens de Contrato'!B94</f>
        <v>0</v>
      </c>
      <c r="C94" s="37" t="e">
        <f aca="false">VLOOKUP(B94,'Itens de Contrato'!B$5:G$151,2,0)</f>
        <v>#N/A</v>
      </c>
      <c r="D94" s="52"/>
      <c r="E94" s="63" t="n">
        <f aca="false">D94*'Itens de Contrato'!F94</f>
        <v>0</v>
      </c>
      <c r="F94" s="62" t="n">
        <f aca="false">'Medição 08'!F94-'Medição 08'!G94</f>
        <v>0</v>
      </c>
      <c r="G94" s="52"/>
      <c r="H94" s="64" t="e">
        <f aca="false">G94/D94</f>
        <v>#DIV/0!</v>
      </c>
      <c r="I94" s="63" t="n">
        <f aca="false">G94*'Itens de Contrato'!F94</f>
        <v>0</v>
      </c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</row>
    <row r="95" customFormat="false" ht="12.8" hidden="false" customHeight="false" outlineLevel="0" collapsed="false">
      <c r="A95" s="37" t="n">
        <f aca="false">'Itens de Contrato'!A95</f>
        <v>0</v>
      </c>
      <c r="B95" s="37" t="n">
        <f aca="false">'Itens de Contrato'!B95</f>
        <v>0</v>
      </c>
      <c r="C95" s="37" t="e">
        <f aca="false">VLOOKUP(B95,'Itens de Contrato'!B$5:G$151,2,0)</f>
        <v>#N/A</v>
      </c>
      <c r="D95" s="52"/>
      <c r="E95" s="63" t="n">
        <f aca="false">D95*'Itens de Contrato'!F95</f>
        <v>0</v>
      </c>
      <c r="F95" s="62" t="n">
        <f aca="false">'Medição 08'!F95-'Medição 08'!G95</f>
        <v>0</v>
      </c>
      <c r="G95" s="52"/>
      <c r="H95" s="64" t="e">
        <f aca="false">G95/D95</f>
        <v>#DIV/0!</v>
      </c>
      <c r="I95" s="63" t="n">
        <f aca="false">G95*'Itens de Contrato'!F95</f>
        <v>0</v>
      </c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</row>
    <row r="96" customFormat="false" ht="12.8" hidden="false" customHeight="false" outlineLevel="0" collapsed="false">
      <c r="A96" s="37" t="n">
        <f aca="false">'Itens de Contrato'!A96</f>
        <v>0</v>
      </c>
      <c r="B96" s="37" t="n">
        <f aca="false">'Itens de Contrato'!B96</f>
        <v>0</v>
      </c>
      <c r="C96" s="37" t="e">
        <f aca="false">VLOOKUP(B96,'Itens de Contrato'!B$5:G$151,2,0)</f>
        <v>#N/A</v>
      </c>
      <c r="D96" s="52"/>
      <c r="E96" s="63" t="n">
        <f aca="false">D96*'Itens de Contrato'!F96</f>
        <v>0</v>
      </c>
      <c r="F96" s="62" t="n">
        <f aca="false">'Medição 08'!F96-'Medição 08'!G96</f>
        <v>0</v>
      </c>
      <c r="G96" s="52"/>
      <c r="H96" s="64" t="e">
        <f aca="false">G96/D96</f>
        <v>#DIV/0!</v>
      </c>
      <c r="I96" s="63" t="n">
        <f aca="false">G96*'Itens de Contrato'!F96</f>
        <v>0</v>
      </c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</row>
    <row r="97" customFormat="false" ht="12.8" hidden="false" customHeight="false" outlineLevel="0" collapsed="false">
      <c r="A97" s="37" t="n">
        <f aca="false">'Itens de Contrato'!A97</f>
        <v>0</v>
      </c>
      <c r="B97" s="37" t="n">
        <f aca="false">'Itens de Contrato'!B97</f>
        <v>0</v>
      </c>
      <c r="C97" s="37" t="e">
        <f aca="false">VLOOKUP(B97,'Itens de Contrato'!B$5:G$151,2,0)</f>
        <v>#N/A</v>
      </c>
      <c r="D97" s="52"/>
      <c r="E97" s="63" t="n">
        <f aca="false">D97*'Itens de Contrato'!F97</f>
        <v>0</v>
      </c>
      <c r="F97" s="62" t="n">
        <f aca="false">'Medição 08'!F97-'Medição 08'!G97</f>
        <v>0</v>
      </c>
      <c r="G97" s="52"/>
      <c r="H97" s="64" t="e">
        <f aca="false">G97/D97</f>
        <v>#DIV/0!</v>
      </c>
      <c r="I97" s="63" t="n">
        <f aca="false">G97*'Itens de Contrato'!F97</f>
        <v>0</v>
      </c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</row>
    <row r="98" customFormat="false" ht="12.8" hidden="false" customHeight="false" outlineLevel="0" collapsed="false">
      <c r="A98" s="37" t="n">
        <f aca="false">'Itens de Contrato'!A98</f>
        <v>0</v>
      </c>
      <c r="B98" s="37" t="n">
        <f aca="false">'Itens de Contrato'!B98</f>
        <v>0</v>
      </c>
      <c r="C98" s="37" t="e">
        <f aca="false">VLOOKUP(B98,'Itens de Contrato'!B$5:G$151,2,0)</f>
        <v>#N/A</v>
      </c>
      <c r="D98" s="52"/>
      <c r="E98" s="63" t="n">
        <f aca="false">D98*'Itens de Contrato'!F98</f>
        <v>0</v>
      </c>
      <c r="F98" s="62" t="n">
        <f aca="false">'Medição 08'!F98-'Medição 08'!G98</f>
        <v>0</v>
      </c>
      <c r="G98" s="52"/>
      <c r="H98" s="64" t="e">
        <f aca="false">G98/D98</f>
        <v>#DIV/0!</v>
      </c>
      <c r="I98" s="63" t="n">
        <f aca="false">G98*'Itens de Contrato'!F98</f>
        <v>0</v>
      </c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</row>
    <row r="99" customFormat="false" ht="12.8" hidden="false" customHeight="false" outlineLevel="0" collapsed="false">
      <c r="A99" s="37" t="n">
        <f aca="false">'Itens de Contrato'!A99</f>
        <v>0</v>
      </c>
      <c r="B99" s="37" t="n">
        <f aca="false">'Itens de Contrato'!B99</f>
        <v>0</v>
      </c>
      <c r="C99" s="37" t="e">
        <f aca="false">VLOOKUP(B99,'Itens de Contrato'!B$5:G$151,2,0)</f>
        <v>#N/A</v>
      </c>
      <c r="D99" s="52"/>
      <c r="E99" s="63" t="n">
        <f aca="false">D99*'Itens de Contrato'!F99</f>
        <v>0</v>
      </c>
      <c r="F99" s="62" t="n">
        <f aca="false">'Medição 08'!F99-'Medição 08'!G99</f>
        <v>0</v>
      </c>
      <c r="G99" s="52"/>
      <c r="H99" s="64" t="e">
        <f aca="false">G99/D99</f>
        <v>#DIV/0!</v>
      </c>
      <c r="I99" s="63" t="n">
        <f aca="false">G99*'Itens de Contrato'!F99</f>
        <v>0</v>
      </c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</row>
    <row r="100" customFormat="false" ht="12.8" hidden="false" customHeight="false" outlineLevel="0" collapsed="false">
      <c r="A100" s="37" t="n">
        <f aca="false">'Itens de Contrato'!A100</f>
        <v>0</v>
      </c>
      <c r="B100" s="37" t="n">
        <f aca="false">'Itens de Contrato'!B100</f>
        <v>0</v>
      </c>
      <c r="C100" s="37" t="e">
        <f aca="false">VLOOKUP(B100,'Itens de Contrato'!B$5:G$151,2,0)</f>
        <v>#N/A</v>
      </c>
      <c r="D100" s="52"/>
      <c r="E100" s="63" t="n">
        <f aca="false">D100*'Itens de Contrato'!F100</f>
        <v>0</v>
      </c>
      <c r="F100" s="62" t="n">
        <f aca="false">'Medição 08'!F100-'Medição 08'!G100</f>
        <v>0</v>
      </c>
      <c r="G100" s="52"/>
      <c r="H100" s="64" t="e">
        <f aca="false">G100/D100</f>
        <v>#DIV/0!</v>
      </c>
      <c r="I100" s="63" t="n">
        <f aca="false">G100*'Itens de Contrato'!F100</f>
        <v>0</v>
      </c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customFormat="false" ht="12.8" hidden="false" customHeight="false" outlineLevel="0" collapsed="false">
      <c r="A101" s="37" t="n">
        <f aca="false">'Itens de Contrato'!A101</f>
        <v>0</v>
      </c>
      <c r="B101" s="37" t="n">
        <f aca="false">'Itens de Contrato'!B101</f>
        <v>0</v>
      </c>
      <c r="C101" s="37" t="e">
        <f aca="false">VLOOKUP(B101,'Itens de Contrato'!B$5:G$151,2,0)</f>
        <v>#N/A</v>
      </c>
      <c r="D101" s="52"/>
      <c r="E101" s="63" t="n">
        <f aca="false">D101*'Itens de Contrato'!F101</f>
        <v>0</v>
      </c>
      <c r="F101" s="62" t="n">
        <f aca="false">'Medição 08'!F101-'Medição 08'!G101</f>
        <v>0</v>
      </c>
      <c r="G101" s="52"/>
      <c r="H101" s="64" t="e">
        <f aca="false">G101/D101</f>
        <v>#DIV/0!</v>
      </c>
      <c r="I101" s="63" t="n">
        <f aca="false">G101*'Itens de Contrato'!F101</f>
        <v>0</v>
      </c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customFormat="false" ht="12.8" hidden="false" customHeight="false" outlineLevel="0" collapsed="false">
      <c r="A102" s="37" t="n">
        <f aca="false">'Itens de Contrato'!A102</f>
        <v>0</v>
      </c>
      <c r="B102" s="37" t="n">
        <f aca="false">'Itens de Contrato'!B102</f>
        <v>0</v>
      </c>
      <c r="C102" s="37" t="e">
        <f aca="false">VLOOKUP(B102,'Itens de Contrato'!B$5:G$151,2,0)</f>
        <v>#N/A</v>
      </c>
      <c r="D102" s="52"/>
      <c r="E102" s="63" t="n">
        <f aca="false">D102*'Itens de Contrato'!F102</f>
        <v>0</v>
      </c>
      <c r="F102" s="62" t="n">
        <f aca="false">'Medição 08'!F102-'Medição 08'!G102</f>
        <v>0</v>
      </c>
      <c r="G102" s="52"/>
      <c r="H102" s="64" t="e">
        <f aca="false">G102/D102</f>
        <v>#DIV/0!</v>
      </c>
      <c r="I102" s="63" t="n">
        <f aca="false">G102*'Itens de Contrato'!F102</f>
        <v>0</v>
      </c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</row>
    <row r="103" customFormat="false" ht="12.8" hidden="false" customHeight="false" outlineLevel="0" collapsed="false">
      <c r="A103" s="37" t="n">
        <f aca="false">'Itens de Contrato'!A103</f>
        <v>0</v>
      </c>
      <c r="B103" s="37" t="n">
        <f aca="false">'Itens de Contrato'!B103</f>
        <v>0</v>
      </c>
      <c r="C103" s="37" t="e">
        <f aca="false">VLOOKUP(B103,'Itens de Contrato'!B$5:G$151,2,0)</f>
        <v>#N/A</v>
      </c>
      <c r="D103" s="52"/>
      <c r="E103" s="63" t="n">
        <f aca="false">D103*'Itens de Contrato'!F103</f>
        <v>0</v>
      </c>
      <c r="F103" s="62" t="n">
        <f aca="false">'Medição 08'!F103-'Medição 08'!G103</f>
        <v>0</v>
      </c>
      <c r="G103" s="52"/>
      <c r="H103" s="64" t="e">
        <f aca="false">G103/D103</f>
        <v>#DIV/0!</v>
      </c>
      <c r="I103" s="63" t="n">
        <f aca="false">G103*'Itens de Contrato'!F103</f>
        <v>0</v>
      </c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</row>
    <row r="104" customFormat="false" ht="12.8" hidden="false" customHeight="false" outlineLevel="0" collapsed="false">
      <c r="A104" s="37" t="n">
        <f aca="false">'Itens de Contrato'!A104</f>
        <v>0</v>
      </c>
      <c r="B104" s="37" t="n">
        <f aca="false">'Itens de Contrato'!B104</f>
        <v>0</v>
      </c>
      <c r="C104" s="37" t="e">
        <f aca="false">VLOOKUP(B104,'Itens de Contrato'!B$5:G$151,2,0)</f>
        <v>#N/A</v>
      </c>
      <c r="D104" s="52"/>
      <c r="E104" s="63" t="n">
        <f aca="false">D104*'Itens de Contrato'!F104</f>
        <v>0</v>
      </c>
      <c r="F104" s="62" t="n">
        <f aca="false">'Medição 08'!F104-'Medição 08'!G104</f>
        <v>0</v>
      </c>
      <c r="G104" s="52"/>
      <c r="H104" s="64" t="e">
        <f aca="false">G104/D104</f>
        <v>#DIV/0!</v>
      </c>
      <c r="I104" s="63" t="n">
        <f aca="false">G104*'Itens de Contrato'!F104</f>
        <v>0</v>
      </c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</row>
    <row r="105" customFormat="false" ht="12.8" hidden="false" customHeight="false" outlineLevel="0" collapsed="false">
      <c r="A105" s="37" t="n">
        <f aca="false">'Itens de Contrato'!A105</f>
        <v>0</v>
      </c>
      <c r="B105" s="37" t="n">
        <f aca="false">'Itens de Contrato'!B105</f>
        <v>0</v>
      </c>
      <c r="C105" s="37" t="e">
        <f aca="false">VLOOKUP(B105,'Itens de Contrato'!B$5:G$151,2,0)</f>
        <v>#N/A</v>
      </c>
      <c r="D105" s="52"/>
      <c r="E105" s="63" t="n">
        <f aca="false">D105*'Itens de Contrato'!F105</f>
        <v>0</v>
      </c>
      <c r="F105" s="62" t="n">
        <f aca="false">'Medição 08'!F105-'Medição 08'!G105</f>
        <v>0</v>
      </c>
      <c r="G105" s="52"/>
      <c r="H105" s="64" t="e">
        <f aca="false">G105/D105</f>
        <v>#DIV/0!</v>
      </c>
      <c r="I105" s="63" t="n">
        <f aca="false">G105*'Itens de Contrato'!F105</f>
        <v>0</v>
      </c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</row>
    <row r="106" customFormat="false" ht="12.8" hidden="false" customHeight="false" outlineLevel="0" collapsed="false">
      <c r="A106" s="37" t="n">
        <f aca="false">'Itens de Contrato'!A106</f>
        <v>0</v>
      </c>
      <c r="B106" s="37" t="n">
        <f aca="false">'Itens de Contrato'!B106</f>
        <v>0</v>
      </c>
      <c r="C106" s="37" t="e">
        <f aca="false">VLOOKUP(B106,'Itens de Contrato'!B$5:G$151,2,0)</f>
        <v>#N/A</v>
      </c>
      <c r="D106" s="52"/>
      <c r="E106" s="63" t="n">
        <f aca="false">D106*'Itens de Contrato'!F106</f>
        <v>0</v>
      </c>
      <c r="F106" s="62" t="n">
        <f aca="false">'Medição 08'!F106-'Medição 08'!G106</f>
        <v>0</v>
      </c>
      <c r="G106" s="52"/>
      <c r="H106" s="64" t="e">
        <f aca="false">G106/D106</f>
        <v>#DIV/0!</v>
      </c>
      <c r="I106" s="63" t="n">
        <f aca="false">G106*'Itens de Contrato'!F106</f>
        <v>0</v>
      </c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</row>
    <row r="107" customFormat="false" ht="12.8" hidden="false" customHeight="false" outlineLevel="0" collapsed="false">
      <c r="A107" s="37" t="n">
        <f aca="false">'Itens de Contrato'!A107</f>
        <v>0</v>
      </c>
      <c r="B107" s="37" t="n">
        <f aca="false">'Itens de Contrato'!B107</f>
        <v>0</v>
      </c>
      <c r="C107" s="37" t="e">
        <f aca="false">VLOOKUP(B107,'Itens de Contrato'!B$5:G$151,2,0)</f>
        <v>#N/A</v>
      </c>
      <c r="D107" s="52"/>
      <c r="E107" s="63" t="n">
        <f aca="false">D107*'Itens de Contrato'!F107</f>
        <v>0</v>
      </c>
      <c r="F107" s="62" t="n">
        <f aca="false">'Medição 08'!F107-'Medição 08'!G107</f>
        <v>0</v>
      </c>
      <c r="G107" s="52"/>
      <c r="H107" s="64" t="e">
        <f aca="false">G107/D107</f>
        <v>#DIV/0!</v>
      </c>
      <c r="I107" s="63" t="n">
        <f aca="false">G107*'Itens de Contrato'!F107</f>
        <v>0</v>
      </c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</row>
    <row r="108" customFormat="false" ht="12.8" hidden="false" customHeight="false" outlineLevel="0" collapsed="false">
      <c r="A108" s="37" t="n">
        <f aca="false">'Itens de Contrato'!A108</f>
        <v>0</v>
      </c>
      <c r="B108" s="37" t="n">
        <f aca="false">'Itens de Contrato'!B108</f>
        <v>0</v>
      </c>
      <c r="C108" s="37" t="e">
        <f aca="false">VLOOKUP(B108,'Itens de Contrato'!B$5:G$151,2,0)</f>
        <v>#N/A</v>
      </c>
      <c r="D108" s="52"/>
      <c r="E108" s="63" t="n">
        <f aca="false">D108*'Itens de Contrato'!F108</f>
        <v>0</v>
      </c>
      <c r="F108" s="62" t="n">
        <f aca="false">'Medição 08'!F108-'Medição 08'!G108</f>
        <v>0</v>
      </c>
      <c r="G108" s="52"/>
      <c r="H108" s="64" t="e">
        <f aca="false">G108/D108</f>
        <v>#DIV/0!</v>
      </c>
      <c r="I108" s="63" t="n">
        <f aca="false">G108*'Itens de Contrato'!F108</f>
        <v>0</v>
      </c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</row>
    <row r="109" customFormat="false" ht="12.8" hidden="false" customHeight="false" outlineLevel="0" collapsed="false">
      <c r="A109" s="37" t="n">
        <f aca="false">'Itens de Contrato'!A109</f>
        <v>0</v>
      </c>
      <c r="B109" s="37" t="n">
        <f aca="false">'Itens de Contrato'!B109</f>
        <v>0</v>
      </c>
      <c r="C109" s="37" t="e">
        <f aca="false">VLOOKUP(B109,'Itens de Contrato'!B$5:G$151,2,0)</f>
        <v>#N/A</v>
      </c>
      <c r="D109" s="52"/>
      <c r="E109" s="63" t="n">
        <f aca="false">D109*'Itens de Contrato'!F109</f>
        <v>0</v>
      </c>
      <c r="F109" s="62" t="n">
        <f aca="false">'Medição 08'!F109-'Medição 08'!G109</f>
        <v>0</v>
      </c>
      <c r="G109" s="52"/>
      <c r="H109" s="64" t="e">
        <f aca="false">G109/D109</f>
        <v>#DIV/0!</v>
      </c>
      <c r="I109" s="63" t="n">
        <f aca="false">G109*'Itens de Contrato'!F109</f>
        <v>0</v>
      </c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</row>
    <row r="110" customFormat="false" ht="12.8" hidden="false" customHeight="false" outlineLevel="0" collapsed="false">
      <c r="A110" s="37" t="n">
        <f aca="false">'Itens de Contrato'!A110</f>
        <v>0</v>
      </c>
      <c r="B110" s="37" t="n">
        <f aca="false">'Itens de Contrato'!B110</f>
        <v>0</v>
      </c>
      <c r="C110" s="37" t="e">
        <f aca="false">VLOOKUP(B110,'Itens de Contrato'!B$5:G$151,2,0)</f>
        <v>#N/A</v>
      </c>
      <c r="D110" s="52"/>
      <c r="E110" s="63" t="n">
        <f aca="false">D110*'Itens de Contrato'!F110</f>
        <v>0</v>
      </c>
      <c r="F110" s="62" t="n">
        <f aca="false">'Medição 08'!F110-'Medição 08'!G110</f>
        <v>0</v>
      </c>
      <c r="G110" s="52"/>
      <c r="H110" s="64" t="e">
        <f aca="false">G110/D110</f>
        <v>#DIV/0!</v>
      </c>
      <c r="I110" s="63" t="n">
        <f aca="false">G110*'Itens de Contrato'!F110</f>
        <v>0</v>
      </c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</row>
    <row r="111" customFormat="false" ht="12.8" hidden="false" customHeight="false" outlineLevel="0" collapsed="false">
      <c r="A111" s="37" t="n">
        <f aca="false">'Itens de Contrato'!A111</f>
        <v>0</v>
      </c>
      <c r="B111" s="37" t="n">
        <f aca="false">'Itens de Contrato'!B111</f>
        <v>0</v>
      </c>
      <c r="C111" s="37" t="e">
        <f aca="false">VLOOKUP(B111,'Itens de Contrato'!B$5:G$151,2,0)</f>
        <v>#N/A</v>
      </c>
      <c r="D111" s="52"/>
      <c r="E111" s="63" t="n">
        <f aca="false">D111*'Itens de Contrato'!F111</f>
        <v>0</v>
      </c>
      <c r="F111" s="62" t="n">
        <f aca="false">'Medição 08'!F111-'Medição 08'!G111</f>
        <v>0</v>
      </c>
      <c r="G111" s="52"/>
      <c r="H111" s="64" t="e">
        <f aca="false">G111/D111</f>
        <v>#DIV/0!</v>
      </c>
      <c r="I111" s="63" t="n">
        <f aca="false">G111*'Itens de Contrato'!F111</f>
        <v>0</v>
      </c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</row>
    <row r="112" customFormat="false" ht="12.8" hidden="false" customHeight="false" outlineLevel="0" collapsed="false">
      <c r="A112" s="37" t="n">
        <f aca="false">'Itens de Contrato'!A112</f>
        <v>0</v>
      </c>
      <c r="B112" s="37" t="n">
        <f aca="false">'Itens de Contrato'!B112</f>
        <v>0</v>
      </c>
      <c r="C112" s="37" t="e">
        <f aca="false">VLOOKUP(B112,'Itens de Contrato'!B$5:G$151,2,0)</f>
        <v>#N/A</v>
      </c>
      <c r="D112" s="52"/>
      <c r="E112" s="63" t="n">
        <f aca="false">D112*'Itens de Contrato'!F112</f>
        <v>0</v>
      </c>
      <c r="F112" s="62" t="n">
        <f aca="false">'Medição 08'!F112-'Medição 08'!G112</f>
        <v>0</v>
      </c>
      <c r="G112" s="52"/>
      <c r="H112" s="64" t="e">
        <f aca="false">G112/D112</f>
        <v>#DIV/0!</v>
      </c>
      <c r="I112" s="63" t="n">
        <f aca="false">G112*'Itens de Contrato'!F112</f>
        <v>0</v>
      </c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</row>
    <row r="113" customFormat="false" ht="12.8" hidden="false" customHeight="false" outlineLevel="0" collapsed="false">
      <c r="A113" s="37" t="n">
        <f aca="false">'Itens de Contrato'!A113</f>
        <v>0</v>
      </c>
      <c r="B113" s="37" t="n">
        <f aca="false">'Itens de Contrato'!B113</f>
        <v>0</v>
      </c>
      <c r="C113" s="37" t="e">
        <f aca="false">VLOOKUP(B113,'Itens de Contrato'!B$5:G$151,2,0)</f>
        <v>#N/A</v>
      </c>
      <c r="D113" s="52"/>
      <c r="E113" s="63" t="n">
        <f aca="false">D113*'Itens de Contrato'!F113</f>
        <v>0</v>
      </c>
      <c r="F113" s="62" t="n">
        <f aca="false">'Medição 08'!F113-'Medição 08'!G113</f>
        <v>0</v>
      </c>
      <c r="G113" s="52"/>
      <c r="H113" s="64" t="e">
        <f aca="false">G113/D113</f>
        <v>#DIV/0!</v>
      </c>
      <c r="I113" s="63" t="n">
        <f aca="false">G113*'Itens de Contrato'!F113</f>
        <v>0</v>
      </c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</row>
    <row r="114" customFormat="false" ht="12.8" hidden="false" customHeight="false" outlineLevel="0" collapsed="false">
      <c r="A114" s="37" t="n">
        <f aca="false">'Itens de Contrato'!A114</f>
        <v>0</v>
      </c>
      <c r="B114" s="37" t="n">
        <f aca="false">'Itens de Contrato'!B114</f>
        <v>0</v>
      </c>
      <c r="C114" s="37" t="e">
        <f aca="false">VLOOKUP(B114,'Itens de Contrato'!B$5:G$151,2,0)</f>
        <v>#N/A</v>
      </c>
      <c r="D114" s="52"/>
      <c r="E114" s="63" t="n">
        <f aca="false">D114*'Itens de Contrato'!F114</f>
        <v>0</v>
      </c>
      <c r="F114" s="62" t="n">
        <f aca="false">'Medição 08'!F114-'Medição 08'!G114</f>
        <v>0</v>
      </c>
      <c r="G114" s="52"/>
      <c r="H114" s="64" t="e">
        <f aca="false">G114/D114</f>
        <v>#DIV/0!</v>
      </c>
      <c r="I114" s="63" t="n">
        <f aca="false">G114*'Itens de Contrato'!F114</f>
        <v>0</v>
      </c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</row>
    <row r="115" customFormat="false" ht="12.8" hidden="false" customHeight="false" outlineLevel="0" collapsed="false">
      <c r="A115" s="37" t="n">
        <f aca="false">'Itens de Contrato'!A115</f>
        <v>0</v>
      </c>
      <c r="B115" s="37" t="n">
        <f aca="false">'Itens de Contrato'!B115</f>
        <v>0</v>
      </c>
      <c r="C115" s="37" t="e">
        <f aca="false">VLOOKUP(B115,'Itens de Contrato'!B$5:G$151,2,0)</f>
        <v>#N/A</v>
      </c>
      <c r="D115" s="52"/>
      <c r="E115" s="63" t="n">
        <f aca="false">D115*'Itens de Contrato'!F115</f>
        <v>0</v>
      </c>
      <c r="F115" s="62" t="n">
        <f aca="false">'Medição 08'!F115-'Medição 08'!G115</f>
        <v>0</v>
      </c>
      <c r="G115" s="52"/>
      <c r="H115" s="64" t="e">
        <f aca="false">G115/D115</f>
        <v>#DIV/0!</v>
      </c>
      <c r="I115" s="63" t="n">
        <f aca="false">G115*'Itens de Contrato'!F115</f>
        <v>0</v>
      </c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</row>
    <row r="116" customFormat="false" ht="12.8" hidden="false" customHeight="false" outlineLevel="0" collapsed="false">
      <c r="A116" s="37" t="n">
        <f aca="false">'Itens de Contrato'!A116</f>
        <v>0</v>
      </c>
      <c r="B116" s="37" t="n">
        <f aca="false">'Itens de Contrato'!B116</f>
        <v>0</v>
      </c>
      <c r="C116" s="37" t="e">
        <f aca="false">VLOOKUP(B116,'Itens de Contrato'!B$5:G$151,2,0)</f>
        <v>#N/A</v>
      </c>
      <c r="D116" s="52"/>
      <c r="E116" s="63" t="n">
        <f aca="false">D116*'Itens de Contrato'!F116</f>
        <v>0</v>
      </c>
      <c r="F116" s="62" t="n">
        <f aca="false">'Medição 08'!F116-'Medição 08'!G116</f>
        <v>0</v>
      </c>
      <c r="G116" s="52"/>
      <c r="H116" s="64" t="e">
        <f aca="false">G116/D116</f>
        <v>#DIV/0!</v>
      </c>
      <c r="I116" s="63" t="n">
        <f aca="false">G116*'Itens de Contrato'!F116</f>
        <v>0</v>
      </c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</row>
    <row r="117" customFormat="false" ht="12.8" hidden="false" customHeight="false" outlineLevel="0" collapsed="false">
      <c r="A117" s="37" t="n">
        <f aca="false">'Itens de Contrato'!A117</f>
        <v>0</v>
      </c>
      <c r="B117" s="37" t="n">
        <f aca="false">'Itens de Contrato'!B117</f>
        <v>0</v>
      </c>
      <c r="C117" s="37" t="e">
        <f aca="false">VLOOKUP(B117,'Itens de Contrato'!B$5:G$151,2,0)</f>
        <v>#N/A</v>
      </c>
      <c r="D117" s="52"/>
      <c r="E117" s="63" t="n">
        <f aca="false">D117*'Itens de Contrato'!F117</f>
        <v>0</v>
      </c>
      <c r="F117" s="62" t="n">
        <f aca="false">'Medição 08'!F117-'Medição 08'!G117</f>
        <v>0</v>
      </c>
      <c r="G117" s="52"/>
      <c r="H117" s="64" t="e">
        <f aca="false">G117/D117</f>
        <v>#DIV/0!</v>
      </c>
      <c r="I117" s="63" t="n">
        <f aca="false">G117*'Itens de Contrato'!F117</f>
        <v>0</v>
      </c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</row>
    <row r="118" customFormat="false" ht="12.8" hidden="false" customHeight="false" outlineLevel="0" collapsed="false">
      <c r="A118" s="37" t="n">
        <f aca="false">'Itens de Contrato'!A118</f>
        <v>0</v>
      </c>
      <c r="B118" s="37" t="n">
        <f aca="false">'Itens de Contrato'!B118</f>
        <v>0</v>
      </c>
      <c r="C118" s="37" t="e">
        <f aca="false">VLOOKUP(B118,'Itens de Contrato'!B$5:G$151,2,0)</f>
        <v>#N/A</v>
      </c>
      <c r="D118" s="52"/>
      <c r="E118" s="63" t="n">
        <f aca="false">D118*'Itens de Contrato'!F118</f>
        <v>0</v>
      </c>
      <c r="F118" s="62" t="n">
        <f aca="false">'Medição 08'!F118-'Medição 08'!G118</f>
        <v>0</v>
      </c>
      <c r="G118" s="52"/>
      <c r="H118" s="64" t="e">
        <f aca="false">G118/D118</f>
        <v>#DIV/0!</v>
      </c>
      <c r="I118" s="63" t="n">
        <f aca="false">G118*'Itens de Contrato'!F118</f>
        <v>0</v>
      </c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</row>
    <row r="119" customFormat="false" ht="12.8" hidden="false" customHeight="false" outlineLevel="0" collapsed="false">
      <c r="A119" s="37" t="n">
        <f aca="false">'Itens de Contrato'!A119</f>
        <v>0</v>
      </c>
      <c r="B119" s="37" t="n">
        <f aca="false">'Itens de Contrato'!B119</f>
        <v>0</v>
      </c>
      <c r="C119" s="37" t="e">
        <f aca="false">VLOOKUP(B119,'Itens de Contrato'!B$5:G$151,2,0)</f>
        <v>#N/A</v>
      </c>
      <c r="D119" s="52"/>
      <c r="E119" s="63" t="n">
        <f aca="false">D119*'Itens de Contrato'!F119</f>
        <v>0</v>
      </c>
      <c r="F119" s="62" t="n">
        <f aca="false">'Medição 08'!F119-'Medição 08'!G119</f>
        <v>0</v>
      </c>
      <c r="G119" s="52"/>
      <c r="H119" s="64" t="e">
        <f aca="false">G119/D119</f>
        <v>#DIV/0!</v>
      </c>
      <c r="I119" s="63" t="n">
        <f aca="false">G119*'Itens de Contrato'!F119</f>
        <v>0</v>
      </c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</row>
    <row r="120" customFormat="false" ht="12.8" hidden="false" customHeight="false" outlineLevel="0" collapsed="false">
      <c r="A120" s="37" t="n">
        <f aca="false">'Itens de Contrato'!A120</f>
        <v>0</v>
      </c>
      <c r="B120" s="37" t="n">
        <f aca="false">'Itens de Contrato'!B120</f>
        <v>0</v>
      </c>
      <c r="C120" s="37" t="e">
        <f aca="false">VLOOKUP(B120,'Itens de Contrato'!B$5:G$151,2,0)</f>
        <v>#N/A</v>
      </c>
      <c r="D120" s="52"/>
      <c r="E120" s="63" t="n">
        <f aca="false">D120*'Itens de Contrato'!F120</f>
        <v>0</v>
      </c>
      <c r="F120" s="62" t="n">
        <f aca="false">'Medição 08'!F120-'Medição 08'!G120</f>
        <v>0</v>
      </c>
      <c r="G120" s="52"/>
      <c r="H120" s="64" t="e">
        <f aca="false">G120/D120</f>
        <v>#DIV/0!</v>
      </c>
      <c r="I120" s="63" t="n">
        <f aca="false">G120*'Itens de Contrato'!F120</f>
        <v>0</v>
      </c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</row>
    <row r="121" customFormat="false" ht="12.8" hidden="false" customHeight="false" outlineLevel="0" collapsed="false">
      <c r="A121" s="37" t="n">
        <f aca="false">'Itens de Contrato'!A121</f>
        <v>0</v>
      </c>
      <c r="B121" s="37" t="n">
        <f aca="false">'Itens de Contrato'!B121</f>
        <v>0</v>
      </c>
      <c r="C121" s="37" t="e">
        <f aca="false">VLOOKUP(B121,'Itens de Contrato'!B$5:G$151,2,0)</f>
        <v>#N/A</v>
      </c>
      <c r="D121" s="52"/>
      <c r="E121" s="63" t="n">
        <f aca="false">D121*'Itens de Contrato'!F121</f>
        <v>0</v>
      </c>
      <c r="F121" s="62" t="n">
        <f aca="false">'Medição 08'!F121-'Medição 08'!G121</f>
        <v>0</v>
      </c>
      <c r="G121" s="52"/>
      <c r="H121" s="64" t="e">
        <f aca="false">G121/D121</f>
        <v>#DIV/0!</v>
      </c>
      <c r="I121" s="63" t="n">
        <f aca="false">G121*'Itens de Contrato'!F121</f>
        <v>0</v>
      </c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</row>
    <row r="122" customFormat="false" ht="12.8" hidden="false" customHeight="false" outlineLevel="0" collapsed="false">
      <c r="A122" s="37" t="n">
        <f aca="false">'Itens de Contrato'!A122</f>
        <v>0</v>
      </c>
      <c r="B122" s="37" t="n">
        <f aca="false">'Itens de Contrato'!B122</f>
        <v>0</v>
      </c>
      <c r="C122" s="37" t="e">
        <f aca="false">VLOOKUP(B122,'Itens de Contrato'!B$5:G$151,2,0)</f>
        <v>#N/A</v>
      </c>
      <c r="D122" s="52"/>
      <c r="E122" s="63" t="n">
        <f aca="false">D122*'Itens de Contrato'!F122</f>
        <v>0</v>
      </c>
      <c r="F122" s="62" t="n">
        <f aca="false">'Medição 08'!F122-'Medição 08'!G122</f>
        <v>0</v>
      </c>
      <c r="G122" s="52"/>
      <c r="H122" s="64" t="e">
        <f aca="false">G122/D122</f>
        <v>#DIV/0!</v>
      </c>
      <c r="I122" s="63" t="n">
        <f aca="false">G122*'Itens de Contrato'!F122</f>
        <v>0</v>
      </c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</row>
    <row r="123" customFormat="false" ht="12.8" hidden="false" customHeight="false" outlineLevel="0" collapsed="false">
      <c r="A123" s="37" t="n">
        <f aca="false">'Itens de Contrato'!A123</f>
        <v>0</v>
      </c>
      <c r="B123" s="37" t="n">
        <f aca="false">'Itens de Contrato'!B123</f>
        <v>0</v>
      </c>
      <c r="C123" s="37" t="e">
        <f aca="false">VLOOKUP(B123,'Itens de Contrato'!B$5:G$151,2,0)</f>
        <v>#N/A</v>
      </c>
      <c r="D123" s="52"/>
      <c r="E123" s="63" t="n">
        <f aca="false">D123*'Itens de Contrato'!F123</f>
        <v>0</v>
      </c>
      <c r="F123" s="62" t="n">
        <f aca="false">'Medição 08'!F123-'Medição 08'!G123</f>
        <v>0</v>
      </c>
      <c r="G123" s="52"/>
      <c r="H123" s="64" t="e">
        <f aca="false">G123/D123</f>
        <v>#DIV/0!</v>
      </c>
      <c r="I123" s="63" t="n">
        <f aca="false">G123*'Itens de Contrato'!F123</f>
        <v>0</v>
      </c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</row>
    <row r="124" customFormat="false" ht="12.8" hidden="false" customHeight="false" outlineLevel="0" collapsed="false">
      <c r="A124" s="37" t="n">
        <f aca="false">'Itens de Contrato'!A124</f>
        <v>0</v>
      </c>
      <c r="B124" s="37" t="n">
        <f aca="false">'Itens de Contrato'!B124</f>
        <v>0</v>
      </c>
      <c r="C124" s="37" t="e">
        <f aca="false">VLOOKUP(B124,'Itens de Contrato'!B$5:G$151,2,0)</f>
        <v>#N/A</v>
      </c>
      <c r="D124" s="52"/>
      <c r="E124" s="63" t="n">
        <f aca="false">D124*'Itens de Contrato'!F124</f>
        <v>0</v>
      </c>
      <c r="F124" s="62" t="n">
        <f aca="false">'Medição 08'!F124-'Medição 08'!G124</f>
        <v>0</v>
      </c>
      <c r="G124" s="52"/>
      <c r="H124" s="64" t="e">
        <f aca="false">G124/D124</f>
        <v>#DIV/0!</v>
      </c>
      <c r="I124" s="63" t="n">
        <f aca="false">G124*'Itens de Contrato'!F124</f>
        <v>0</v>
      </c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</row>
    <row r="125" customFormat="false" ht="12.8" hidden="false" customHeight="false" outlineLevel="0" collapsed="false">
      <c r="A125" s="37" t="n">
        <f aca="false">'Itens de Contrato'!A125</f>
        <v>0</v>
      </c>
      <c r="B125" s="37" t="n">
        <f aca="false">'Itens de Contrato'!B125</f>
        <v>0</v>
      </c>
      <c r="C125" s="37" t="e">
        <f aca="false">VLOOKUP(B125,'Itens de Contrato'!B$5:G$151,2,0)</f>
        <v>#N/A</v>
      </c>
      <c r="D125" s="52"/>
      <c r="E125" s="63" t="n">
        <f aca="false">D125*'Itens de Contrato'!F125</f>
        <v>0</v>
      </c>
      <c r="F125" s="62" t="n">
        <f aca="false">'Medição 08'!F125-'Medição 08'!G125</f>
        <v>0</v>
      </c>
      <c r="G125" s="52"/>
      <c r="H125" s="64" t="e">
        <f aca="false">G125/D125</f>
        <v>#DIV/0!</v>
      </c>
      <c r="I125" s="63" t="n">
        <f aca="false">G125*'Itens de Contrato'!F125</f>
        <v>0</v>
      </c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</row>
    <row r="126" customFormat="false" ht="12.8" hidden="false" customHeight="false" outlineLevel="0" collapsed="false">
      <c r="A126" s="37" t="n">
        <f aca="false">'Itens de Contrato'!A126</f>
        <v>0</v>
      </c>
      <c r="B126" s="37" t="n">
        <f aca="false">'Itens de Contrato'!B126</f>
        <v>0</v>
      </c>
      <c r="C126" s="37" t="e">
        <f aca="false">VLOOKUP(B126,'Itens de Contrato'!B$5:G$151,2,0)</f>
        <v>#N/A</v>
      </c>
      <c r="D126" s="52"/>
      <c r="E126" s="63" t="n">
        <f aca="false">D126*'Itens de Contrato'!F126</f>
        <v>0</v>
      </c>
      <c r="F126" s="62" t="n">
        <f aca="false">'Medição 08'!F126-'Medição 08'!G126</f>
        <v>0</v>
      </c>
      <c r="G126" s="52"/>
      <c r="H126" s="64" t="e">
        <f aca="false">G126/D126</f>
        <v>#DIV/0!</v>
      </c>
      <c r="I126" s="63" t="n">
        <f aca="false">G126*'Itens de Contrato'!F126</f>
        <v>0</v>
      </c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</row>
    <row r="127" customFormat="false" ht="12.8" hidden="false" customHeight="false" outlineLevel="0" collapsed="false">
      <c r="A127" s="37" t="n">
        <f aca="false">'Itens de Contrato'!A127</f>
        <v>0</v>
      </c>
      <c r="B127" s="37" t="n">
        <f aca="false">'Itens de Contrato'!B127</f>
        <v>0</v>
      </c>
      <c r="C127" s="37" t="e">
        <f aca="false">VLOOKUP(B127,'Itens de Contrato'!B$5:G$151,2,0)</f>
        <v>#N/A</v>
      </c>
      <c r="D127" s="52"/>
      <c r="E127" s="63" t="n">
        <f aca="false">D127*'Itens de Contrato'!F127</f>
        <v>0</v>
      </c>
      <c r="F127" s="62" t="n">
        <f aca="false">'Medição 08'!F127-'Medição 08'!G127</f>
        <v>0</v>
      </c>
      <c r="G127" s="52"/>
      <c r="H127" s="64" t="e">
        <f aca="false">G127/D127</f>
        <v>#DIV/0!</v>
      </c>
      <c r="I127" s="63" t="n">
        <f aca="false">G127*'Itens de Contrato'!F127</f>
        <v>0</v>
      </c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</row>
    <row r="128" customFormat="false" ht="12.8" hidden="false" customHeight="false" outlineLevel="0" collapsed="false">
      <c r="A128" s="37" t="n">
        <f aca="false">'Itens de Contrato'!A128</f>
        <v>0</v>
      </c>
      <c r="B128" s="37" t="n">
        <f aca="false">'Itens de Contrato'!B128</f>
        <v>0</v>
      </c>
      <c r="C128" s="37" t="e">
        <f aca="false">VLOOKUP(B128,'Itens de Contrato'!B$5:G$151,2,0)</f>
        <v>#N/A</v>
      </c>
      <c r="D128" s="52"/>
      <c r="E128" s="63" t="n">
        <f aca="false">D128*'Itens de Contrato'!F128</f>
        <v>0</v>
      </c>
      <c r="F128" s="62" t="n">
        <f aca="false">'Medição 08'!F128-'Medição 08'!G128</f>
        <v>0</v>
      </c>
      <c r="G128" s="52"/>
      <c r="H128" s="64" t="e">
        <f aca="false">G128/D128</f>
        <v>#DIV/0!</v>
      </c>
      <c r="I128" s="63" t="n">
        <f aca="false">G128*'Itens de Contrato'!F128</f>
        <v>0</v>
      </c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</row>
    <row r="129" customFormat="false" ht="12.8" hidden="false" customHeight="false" outlineLevel="0" collapsed="false">
      <c r="A129" s="37" t="n">
        <f aca="false">'Itens de Contrato'!A129</f>
        <v>0</v>
      </c>
      <c r="B129" s="37" t="n">
        <f aca="false">'Itens de Contrato'!B129</f>
        <v>0</v>
      </c>
      <c r="C129" s="37" t="e">
        <f aca="false">VLOOKUP(B129,'Itens de Contrato'!B$5:G$151,2,0)</f>
        <v>#N/A</v>
      </c>
      <c r="D129" s="52"/>
      <c r="E129" s="63" t="n">
        <f aca="false">D129*'Itens de Contrato'!F129</f>
        <v>0</v>
      </c>
      <c r="F129" s="62" t="n">
        <f aca="false">'Medição 08'!F129-'Medição 08'!G129</f>
        <v>0</v>
      </c>
      <c r="G129" s="52"/>
      <c r="H129" s="64" t="e">
        <f aca="false">G129/D129</f>
        <v>#DIV/0!</v>
      </c>
      <c r="I129" s="63" t="n">
        <f aca="false">G129*'Itens de Contrato'!F129</f>
        <v>0</v>
      </c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</row>
    <row r="130" customFormat="false" ht="12.8" hidden="false" customHeight="false" outlineLevel="0" collapsed="false">
      <c r="A130" s="37" t="n">
        <f aca="false">'Itens de Contrato'!A130</f>
        <v>0</v>
      </c>
      <c r="B130" s="37" t="n">
        <f aca="false">'Itens de Contrato'!B130</f>
        <v>0</v>
      </c>
      <c r="C130" s="37" t="e">
        <f aca="false">VLOOKUP(B130,'Itens de Contrato'!B$5:G$151,2,0)</f>
        <v>#N/A</v>
      </c>
      <c r="D130" s="52"/>
      <c r="E130" s="63" t="n">
        <f aca="false">D130*'Itens de Contrato'!F130</f>
        <v>0</v>
      </c>
      <c r="F130" s="62" t="n">
        <f aca="false">'Medição 08'!F130-'Medição 08'!G130</f>
        <v>0</v>
      </c>
      <c r="G130" s="52"/>
      <c r="H130" s="64" t="e">
        <f aca="false">G130/D130</f>
        <v>#DIV/0!</v>
      </c>
      <c r="I130" s="63" t="n">
        <f aca="false">G130*'Itens de Contrato'!F130</f>
        <v>0</v>
      </c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</row>
    <row r="131" customFormat="false" ht="12.8" hidden="false" customHeight="false" outlineLevel="0" collapsed="false">
      <c r="A131" s="37" t="n">
        <f aca="false">'Itens de Contrato'!A131</f>
        <v>0</v>
      </c>
      <c r="B131" s="37" t="n">
        <f aca="false">'Itens de Contrato'!B131</f>
        <v>0</v>
      </c>
      <c r="C131" s="37" t="e">
        <f aca="false">VLOOKUP(B131,'Itens de Contrato'!B$5:G$151,2,0)</f>
        <v>#N/A</v>
      </c>
      <c r="D131" s="52"/>
      <c r="E131" s="63" t="n">
        <f aca="false">D131*'Itens de Contrato'!F131</f>
        <v>0</v>
      </c>
      <c r="F131" s="62" t="n">
        <f aca="false">'Medição 08'!F131-'Medição 08'!G131</f>
        <v>0</v>
      </c>
      <c r="G131" s="52"/>
      <c r="H131" s="64" t="e">
        <f aca="false">G131/D131</f>
        <v>#DIV/0!</v>
      </c>
      <c r="I131" s="63" t="n">
        <f aca="false">G131*'Itens de Contrato'!F131</f>
        <v>0</v>
      </c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</row>
    <row r="132" customFormat="false" ht="12.8" hidden="false" customHeight="false" outlineLevel="0" collapsed="false">
      <c r="A132" s="37" t="n">
        <f aca="false">'Itens de Contrato'!A132</f>
        <v>0</v>
      </c>
      <c r="B132" s="37" t="n">
        <f aca="false">'Itens de Contrato'!B132</f>
        <v>0</v>
      </c>
      <c r="C132" s="37" t="e">
        <f aca="false">VLOOKUP(B132,'Itens de Contrato'!B$5:G$151,2,0)</f>
        <v>#N/A</v>
      </c>
      <c r="D132" s="52"/>
      <c r="E132" s="63" t="n">
        <f aca="false">D132*'Itens de Contrato'!F132</f>
        <v>0</v>
      </c>
      <c r="F132" s="62" t="n">
        <f aca="false">'Medição 08'!F132-'Medição 08'!G132</f>
        <v>0</v>
      </c>
      <c r="G132" s="52"/>
      <c r="H132" s="64" t="e">
        <f aca="false">G132/D132</f>
        <v>#DIV/0!</v>
      </c>
      <c r="I132" s="63" t="n">
        <f aca="false">G132*'Itens de Contrato'!F132</f>
        <v>0</v>
      </c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</row>
    <row r="133" customFormat="false" ht="12.8" hidden="false" customHeight="false" outlineLevel="0" collapsed="false">
      <c r="A133" s="37" t="n">
        <f aca="false">'Itens de Contrato'!A133</f>
        <v>0</v>
      </c>
      <c r="B133" s="37" t="n">
        <f aca="false">'Itens de Contrato'!B133</f>
        <v>0</v>
      </c>
      <c r="C133" s="37" t="e">
        <f aca="false">VLOOKUP(B133,'Itens de Contrato'!B$5:G$151,2,0)</f>
        <v>#N/A</v>
      </c>
      <c r="D133" s="52"/>
      <c r="E133" s="63" t="n">
        <f aca="false">D133*'Itens de Contrato'!F133</f>
        <v>0</v>
      </c>
      <c r="F133" s="62" t="n">
        <f aca="false">'Medição 08'!F133-'Medição 08'!G133</f>
        <v>0</v>
      </c>
      <c r="G133" s="52"/>
      <c r="H133" s="64" t="e">
        <f aca="false">G133/D133</f>
        <v>#DIV/0!</v>
      </c>
      <c r="I133" s="63" t="n">
        <f aca="false">G133*'Itens de Contrato'!F133</f>
        <v>0</v>
      </c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</row>
    <row r="134" customFormat="false" ht="12.8" hidden="false" customHeight="false" outlineLevel="0" collapsed="false">
      <c r="A134" s="37" t="n">
        <f aca="false">'Itens de Contrato'!A134</f>
        <v>0</v>
      </c>
      <c r="B134" s="37" t="n">
        <f aca="false">'Itens de Contrato'!B134</f>
        <v>0</v>
      </c>
      <c r="C134" s="37" t="e">
        <f aca="false">VLOOKUP(B134,'Itens de Contrato'!B$5:G$151,2,0)</f>
        <v>#N/A</v>
      </c>
      <c r="D134" s="52"/>
      <c r="E134" s="63" t="n">
        <f aca="false">D134*'Itens de Contrato'!F134</f>
        <v>0</v>
      </c>
      <c r="F134" s="62" t="n">
        <f aca="false">'Medição 08'!F134-'Medição 08'!G134</f>
        <v>0</v>
      </c>
      <c r="G134" s="52"/>
      <c r="H134" s="64" t="e">
        <f aca="false">G134/D134</f>
        <v>#DIV/0!</v>
      </c>
      <c r="I134" s="63" t="n">
        <f aca="false">G134*'Itens de Contrato'!F134</f>
        <v>0</v>
      </c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</row>
    <row r="135" customFormat="false" ht="12.8" hidden="false" customHeight="false" outlineLevel="0" collapsed="false">
      <c r="A135" s="37" t="n">
        <f aca="false">'Itens de Contrato'!A135</f>
        <v>0</v>
      </c>
      <c r="B135" s="37" t="n">
        <f aca="false">'Itens de Contrato'!B135</f>
        <v>0</v>
      </c>
      <c r="C135" s="37" t="e">
        <f aca="false">VLOOKUP(B135,'Itens de Contrato'!B$5:G$151,2,0)</f>
        <v>#N/A</v>
      </c>
      <c r="D135" s="52"/>
      <c r="E135" s="63" t="n">
        <f aca="false">D135*'Itens de Contrato'!F135</f>
        <v>0</v>
      </c>
      <c r="F135" s="62" t="n">
        <f aca="false">'Medição 08'!F135-'Medição 08'!G135</f>
        <v>0</v>
      </c>
      <c r="G135" s="52"/>
      <c r="H135" s="64" t="e">
        <f aca="false">G135/D135</f>
        <v>#DIV/0!</v>
      </c>
      <c r="I135" s="63" t="n">
        <f aca="false">G135*'Itens de Contrato'!F135</f>
        <v>0</v>
      </c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</row>
    <row r="136" customFormat="false" ht="12.8" hidden="false" customHeight="false" outlineLevel="0" collapsed="false">
      <c r="A136" s="37" t="n">
        <f aca="false">'Itens de Contrato'!A136</f>
        <v>0</v>
      </c>
      <c r="B136" s="37" t="n">
        <f aca="false">'Itens de Contrato'!B136</f>
        <v>0</v>
      </c>
      <c r="C136" s="37" t="e">
        <f aca="false">VLOOKUP(B136,'Itens de Contrato'!B$5:G$151,2,0)</f>
        <v>#N/A</v>
      </c>
      <c r="D136" s="52"/>
      <c r="E136" s="63" t="n">
        <f aca="false">D136*'Itens de Contrato'!F136</f>
        <v>0</v>
      </c>
      <c r="F136" s="62" t="n">
        <f aca="false">'Medição 08'!F136-'Medição 08'!G136</f>
        <v>0</v>
      </c>
      <c r="G136" s="52"/>
      <c r="H136" s="64" t="e">
        <f aca="false">G136/D136</f>
        <v>#DIV/0!</v>
      </c>
      <c r="I136" s="63" t="n">
        <f aca="false">G136*'Itens de Contrato'!F136</f>
        <v>0</v>
      </c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</row>
    <row r="137" customFormat="false" ht="12.8" hidden="false" customHeight="false" outlineLevel="0" collapsed="false">
      <c r="A137" s="37" t="n">
        <f aca="false">'Itens de Contrato'!A137</f>
        <v>0</v>
      </c>
      <c r="B137" s="37" t="n">
        <f aca="false">'Itens de Contrato'!B137</f>
        <v>0</v>
      </c>
      <c r="C137" s="37" t="e">
        <f aca="false">VLOOKUP(B137,'Itens de Contrato'!B$5:G$151,2,0)</f>
        <v>#N/A</v>
      </c>
      <c r="D137" s="52"/>
      <c r="E137" s="63" t="n">
        <f aca="false">D137*'Itens de Contrato'!F137</f>
        <v>0</v>
      </c>
      <c r="F137" s="62" t="n">
        <f aca="false">'Medição 08'!F137-'Medição 08'!G137</f>
        <v>0</v>
      </c>
      <c r="G137" s="52"/>
      <c r="H137" s="64" t="e">
        <f aca="false">G137/D137</f>
        <v>#DIV/0!</v>
      </c>
      <c r="I137" s="63" t="n">
        <f aca="false">G137*'Itens de Contrato'!F137</f>
        <v>0</v>
      </c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</row>
    <row r="138" customFormat="false" ht="12.8" hidden="false" customHeight="false" outlineLevel="0" collapsed="false">
      <c r="A138" s="37" t="n">
        <f aca="false">'Itens de Contrato'!A138</f>
        <v>0</v>
      </c>
      <c r="B138" s="37" t="n">
        <f aca="false">'Itens de Contrato'!B138</f>
        <v>0</v>
      </c>
      <c r="C138" s="37" t="e">
        <f aca="false">VLOOKUP(B138,'Itens de Contrato'!B$5:G$151,2,0)</f>
        <v>#N/A</v>
      </c>
      <c r="D138" s="52"/>
      <c r="E138" s="63" t="n">
        <f aca="false">D138*'Itens de Contrato'!F138</f>
        <v>0</v>
      </c>
      <c r="F138" s="62" t="n">
        <f aca="false">'Medição 08'!F138-'Medição 08'!G138</f>
        <v>0</v>
      </c>
      <c r="G138" s="52"/>
      <c r="H138" s="64" t="e">
        <f aca="false">G138/D138</f>
        <v>#DIV/0!</v>
      </c>
      <c r="I138" s="63" t="n">
        <f aca="false">G138*'Itens de Contrato'!F138</f>
        <v>0</v>
      </c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</row>
    <row r="139" customFormat="false" ht="12.8" hidden="false" customHeight="false" outlineLevel="0" collapsed="false">
      <c r="A139" s="37" t="n">
        <f aca="false">'Itens de Contrato'!A139</f>
        <v>0</v>
      </c>
      <c r="B139" s="37" t="n">
        <f aca="false">'Itens de Contrato'!B139</f>
        <v>0</v>
      </c>
      <c r="C139" s="37" t="e">
        <f aca="false">VLOOKUP(B139,'Itens de Contrato'!B$5:G$151,2,0)</f>
        <v>#N/A</v>
      </c>
      <c r="D139" s="52"/>
      <c r="E139" s="63" t="n">
        <f aca="false">D139*'Itens de Contrato'!F139</f>
        <v>0</v>
      </c>
      <c r="F139" s="62" t="n">
        <f aca="false">'Medição 08'!F139-'Medição 08'!G139</f>
        <v>0</v>
      </c>
      <c r="G139" s="52"/>
      <c r="H139" s="64" t="e">
        <f aca="false">G139/D139</f>
        <v>#DIV/0!</v>
      </c>
      <c r="I139" s="63" t="n">
        <f aca="false">G139*'Itens de Contrato'!F139</f>
        <v>0</v>
      </c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</row>
    <row r="140" customFormat="false" ht="12.8" hidden="false" customHeight="false" outlineLevel="0" collapsed="false">
      <c r="A140" s="37" t="n">
        <f aca="false">'Itens de Contrato'!A140</f>
        <v>0</v>
      </c>
      <c r="B140" s="37" t="n">
        <f aca="false">'Itens de Contrato'!B140</f>
        <v>0</v>
      </c>
      <c r="C140" s="37" t="e">
        <f aca="false">VLOOKUP(B140,'Itens de Contrato'!B$5:G$151,2,0)</f>
        <v>#N/A</v>
      </c>
      <c r="D140" s="52"/>
      <c r="E140" s="63" t="n">
        <f aca="false">D140*'Itens de Contrato'!F140</f>
        <v>0</v>
      </c>
      <c r="F140" s="62" t="n">
        <f aca="false">'Medição 08'!F140-'Medição 08'!G140</f>
        <v>0</v>
      </c>
      <c r="G140" s="52"/>
      <c r="H140" s="64" t="e">
        <f aca="false">G140/D140</f>
        <v>#DIV/0!</v>
      </c>
      <c r="I140" s="63" t="n">
        <f aca="false">G140*'Itens de Contrato'!F140</f>
        <v>0</v>
      </c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</row>
    <row r="141" customFormat="false" ht="12.8" hidden="false" customHeight="false" outlineLevel="0" collapsed="false">
      <c r="A141" s="37" t="n">
        <f aca="false">'Itens de Contrato'!A141</f>
        <v>0</v>
      </c>
      <c r="B141" s="37" t="n">
        <f aca="false">'Itens de Contrato'!B141</f>
        <v>0</v>
      </c>
      <c r="C141" s="37" t="e">
        <f aca="false">VLOOKUP(B141,'Itens de Contrato'!B$5:G$151,2,0)</f>
        <v>#N/A</v>
      </c>
      <c r="D141" s="52"/>
      <c r="E141" s="63" t="n">
        <f aca="false">D141*'Itens de Contrato'!F141</f>
        <v>0</v>
      </c>
      <c r="F141" s="62" t="n">
        <f aca="false">'Medição 08'!F141-'Medição 08'!G141</f>
        <v>0</v>
      </c>
      <c r="G141" s="52"/>
      <c r="H141" s="64" t="e">
        <f aca="false">G141/D141</f>
        <v>#DIV/0!</v>
      </c>
      <c r="I141" s="63" t="n">
        <f aca="false">G141*'Itens de Contrato'!F141</f>
        <v>0</v>
      </c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</row>
    <row r="142" customFormat="false" ht="12.8" hidden="false" customHeight="false" outlineLevel="0" collapsed="false">
      <c r="A142" s="37" t="n">
        <f aca="false">'Itens de Contrato'!A142</f>
        <v>0</v>
      </c>
      <c r="B142" s="37" t="n">
        <f aca="false">'Itens de Contrato'!B142</f>
        <v>0</v>
      </c>
      <c r="C142" s="37" t="e">
        <f aca="false">VLOOKUP(B142,'Itens de Contrato'!B$5:G$151,2,0)</f>
        <v>#N/A</v>
      </c>
      <c r="D142" s="52"/>
      <c r="E142" s="63" t="n">
        <f aca="false">D142*'Itens de Contrato'!F142</f>
        <v>0</v>
      </c>
      <c r="F142" s="62" t="n">
        <f aca="false">'Medição 08'!F142-'Medição 08'!G142</f>
        <v>0</v>
      </c>
      <c r="G142" s="52"/>
      <c r="H142" s="64" t="e">
        <f aca="false">G142/D142</f>
        <v>#DIV/0!</v>
      </c>
      <c r="I142" s="63" t="n">
        <f aca="false">G142*'Itens de Contrato'!F142</f>
        <v>0</v>
      </c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</row>
    <row r="143" customFormat="false" ht="12.8" hidden="false" customHeight="false" outlineLevel="0" collapsed="false">
      <c r="A143" s="37" t="n">
        <f aca="false">'Itens de Contrato'!A143</f>
        <v>0</v>
      </c>
      <c r="B143" s="37" t="n">
        <f aca="false">'Itens de Contrato'!B143</f>
        <v>0</v>
      </c>
      <c r="C143" s="37" t="e">
        <f aca="false">VLOOKUP(B143,'Itens de Contrato'!B$5:G$151,2,0)</f>
        <v>#N/A</v>
      </c>
      <c r="D143" s="52"/>
      <c r="E143" s="63" t="n">
        <f aca="false">D143*'Itens de Contrato'!F143</f>
        <v>0</v>
      </c>
      <c r="F143" s="62" t="n">
        <f aca="false">'Medição 08'!F143-'Medição 08'!G143</f>
        <v>0</v>
      </c>
      <c r="G143" s="52"/>
      <c r="H143" s="64" t="e">
        <f aca="false">G143/D143</f>
        <v>#DIV/0!</v>
      </c>
      <c r="I143" s="63" t="n">
        <f aca="false">G143*'Itens de Contrato'!F143</f>
        <v>0</v>
      </c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</row>
    <row r="144" customFormat="false" ht="12.8" hidden="false" customHeight="false" outlineLevel="0" collapsed="false">
      <c r="A144" s="37" t="n">
        <f aca="false">'Itens de Contrato'!A144</f>
        <v>0</v>
      </c>
      <c r="B144" s="37" t="n">
        <f aca="false">'Itens de Contrato'!B144</f>
        <v>0</v>
      </c>
      <c r="C144" s="37" t="e">
        <f aca="false">VLOOKUP(B144,'Itens de Contrato'!B$5:G$151,2,0)</f>
        <v>#N/A</v>
      </c>
      <c r="D144" s="52"/>
      <c r="E144" s="63" t="n">
        <f aca="false">D144*'Itens de Contrato'!F144</f>
        <v>0</v>
      </c>
      <c r="F144" s="62" t="n">
        <f aca="false">'Medição 08'!F144-'Medição 08'!G144</f>
        <v>0</v>
      </c>
      <c r="G144" s="52"/>
      <c r="H144" s="64" t="e">
        <f aca="false">G144/D144</f>
        <v>#DIV/0!</v>
      </c>
      <c r="I144" s="63" t="n">
        <f aca="false">G144*'Itens de Contrato'!F144</f>
        <v>0</v>
      </c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</row>
    <row r="145" customFormat="false" ht="12.8" hidden="false" customHeight="false" outlineLevel="0" collapsed="false">
      <c r="A145" s="37" t="n">
        <f aca="false">'Itens de Contrato'!A145</f>
        <v>0</v>
      </c>
      <c r="B145" s="37" t="n">
        <f aca="false">'Itens de Contrato'!B145</f>
        <v>0</v>
      </c>
      <c r="C145" s="37" t="e">
        <f aca="false">VLOOKUP(B145,'Itens de Contrato'!B$5:G$151,2,0)</f>
        <v>#N/A</v>
      </c>
      <c r="D145" s="52"/>
      <c r="E145" s="63" t="n">
        <f aca="false">D145*'Itens de Contrato'!F145</f>
        <v>0</v>
      </c>
      <c r="F145" s="62" t="n">
        <f aca="false">'Medição 08'!F145-'Medição 08'!G145</f>
        <v>0</v>
      </c>
      <c r="G145" s="52"/>
      <c r="H145" s="64" t="e">
        <f aca="false">G145/D145</f>
        <v>#DIV/0!</v>
      </c>
      <c r="I145" s="63" t="n">
        <f aca="false">G145*'Itens de Contrato'!F145</f>
        <v>0</v>
      </c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</row>
    <row r="146" customFormat="false" ht="12.8" hidden="false" customHeight="false" outlineLevel="0" collapsed="false">
      <c r="A146" s="37" t="n">
        <f aca="false">'Itens de Contrato'!A146</f>
        <v>0</v>
      </c>
      <c r="B146" s="37" t="n">
        <f aca="false">'Itens de Contrato'!B146</f>
        <v>0</v>
      </c>
      <c r="C146" s="37" t="e">
        <f aca="false">VLOOKUP(B146,'Itens de Contrato'!B$5:G$151,2,0)</f>
        <v>#N/A</v>
      </c>
      <c r="D146" s="52"/>
      <c r="E146" s="63" t="n">
        <f aca="false">D146*'Itens de Contrato'!F146</f>
        <v>0</v>
      </c>
      <c r="F146" s="62" t="n">
        <f aca="false">'Medição 08'!F146-'Medição 08'!G146</f>
        <v>0</v>
      </c>
      <c r="G146" s="52"/>
      <c r="H146" s="64" t="e">
        <f aca="false">G146/D146</f>
        <v>#DIV/0!</v>
      </c>
      <c r="I146" s="63" t="n">
        <f aca="false">G146*'Itens de Contrato'!F146</f>
        <v>0</v>
      </c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</row>
    <row r="147" customFormat="false" ht="12.8" hidden="false" customHeight="false" outlineLevel="0" collapsed="false">
      <c r="A147" s="37" t="n">
        <f aca="false">'Itens de Contrato'!A147</f>
        <v>0</v>
      </c>
      <c r="B147" s="37" t="n">
        <f aca="false">'Itens de Contrato'!B147</f>
        <v>0</v>
      </c>
      <c r="C147" s="37" t="e">
        <f aca="false">VLOOKUP(B147,'Itens de Contrato'!B$5:G$151,2,0)</f>
        <v>#N/A</v>
      </c>
      <c r="D147" s="52"/>
      <c r="E147" s="63" t="n">
        <f aca="false">D147*'Itens de Contrato'!F147</f>
        <v>0</v>
      </c>
      <c r="F147" s="62" t="n">
        <f aca="false">'Medição 08'!F147-'Medição 08'!G147</f>
        <v>0</v>
      </c>
      <c r="G147" s="52"/>
      <c r="H147" s="64" t="e">
        <f aca="false">G147/D147</f>
        <v>#DIV/0!</v>
      </c>
      <c r="I147" s="63" t="n">
        <f aca="false">G147*'Itens de Contrato'!F147</f>
        <v>0</v>
      </c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</row>
    <row r="148" customFormat="false" ht="12.8" hidden="false" customHeight="false" outlineLevel="0" collapsed="false">
      <c r="A148" s="37" t="n">
        <f aca="false">'Itens de Contrato'!A148</f>
        <v>0</v>
      </c>
      <c r="B148" s="37" t="n">
        <f aca="false">'Itens de Contrato'!B148</f>
        <v>0</v>
      </c>
      <c r="C148" s="37" t="e">
        <f aca="false">VLOOKUP(B148,'Itens de Contrato'!B$5:G$151,2,0)</f>
        <v>#N/A</v>
      </c>
      <c r="D148" s="52"/>
      <c r="E148" s="63" t="n">
        <f aca="false">D148*'Itens de Contrato'!F148</f>
        <v>0</v>
      </c>
      <c r="F148" s="62" t="n">
        <f aca="false">'Medição 08'!F148-'Medição 08'!G148</f>
        <v>0</v>
      </c>
      <c r="G148" s="52"/>
      <c r="H148" s="64" t="e">
        <f aca="false">G148/D148</f>
        <v>#DIV/0!</v>
      </c>
      <c r="I148" s="63" t="n">
        <f aca="false">G148*'Itens de Contrato'!F148</f>
        <v>0</v>
      </c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</row>
    <row r="149" customFormat="false" ht="12.8" hidden="false" customHeight="false" outlineLevel="0" collapsed="false">
      <c r="A149" s="37" t="n">
        <f aca="false">'Itens de Contrato'!A149</f>
        <v>0</v>
      </c>
      <c r="B149" s="37" t="n">
        <f aca="false">'Itens de Contrato'!B149</f>
        <v>0</v>
      </c>
      <c r="C149" s="37" t="e">
        <f aca="false">VLOOKUP(B149,'Itens de Contrato'!B$5:G$151,2,0)</f>
        <v>#N/A</v>
      </c>
      <c r="D149" s="52"/>
      <c r="E149" s="63" t="n">
        <f aca="false">D149*'Itens de Contrato'!F149</f>
        <v>0</v>
      </c>
      <c r="F149" s="62" t="n">
        <f aca="false">'Medição 08'!F149-'Medição 08'!G149</f>
        <v>0</v>
      </c>
      <c r="G149" s="52"/>
      <c r="H149" s="64" t="e">
        <f aca="false">G149/D149</f>
        <v>#DIV/0!</v>
      </c>
      <c r="I149" s="63" t="n">
        <f aca="false">G149*'Itens de Contrato'!F149</f>
        <v>0</v>
      </c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</row>
    <row r="150" customFormat="false" ht="12.8" hidden="false" customHeight="false" outlineLevel="0" collapsed="false">
      <c r="A150" s="37" t="n">
        <f aca="false">'Itens de Contrato'!A150</f>
        <v>0</v>
      </c>
      <c r="B150" s="37" t="n">
        <f aca="false">'Itens de Contrato'!B150</f>
        <v>0</v>
      </c>
      <c r="C150" s="37" t="e">
        <f aca="false">VLOOKUP(B150,'Itens de Contrato'!B$5:G$151,2,0)</f>
        <v>#N/A</v>
      </c>
      <c r="D150" s="52"/>
      <c r="E150" s="63" t="n">
        <f aca="false">D150*'Itens de Contrato'!F150</f>
        <v>0</v>
      </c>
      <c r="F150" s="62" t="n">
        <f aca="false">'Medição 08'!F150-'Medição 08'!G150</f>
        <v>0</v>
      </c>
      <c r="G150" s="52"/>
      <c r="H150" s="64" t="e">
        <f aca="false">G150/D150</f>
        <v>#DIV/0!</v>
      </c>
      <c r="I150" s="63" t="n">
        <f aca="false">G150*'Itens de Contrato'!F150</f>
        <v>0</v>
      </c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</row>
    <row r="151" customFormat="false" ht="12.8" hidden="false" customHeight="false" outlineLevel="0" collapsed="false">
      <c r="A151" s="37" t="n">
        <f aca="false">'Itens de Contrato'!A151</f>
        <v>0</v>
      </c>
      <c r="B151" s="37" t="n">
        <f aca="false">'Itens de Contrato'!B151</f>
        <v>0</v>
      </c>
      <c r="C151" s="37" t="e">
        <f aca="false">VLOOKUP(B151,'Itens de Contrato'!B$5:G$151,2,0)</f>
        <v>#N/A</v>
      </c>
      <c r="D151" s="52"/>
      <c r="E151" s="63" t="n">
        <f aca="false">D151*'Itens de Contrato'!F151</f>
        <v>0</v>
      </c>
      <c r="F151" s="62" t="n">
        <f aca="false">'Medição 08'!F151-'Medição 08'!G151</f>
        <v>0</v>
      </c>
      <c r="G151" s="52"/>
      <c r="H151" s="64" t="e">
        <f aca="false">G151/D151</f>
        <v>#DIV/0!</v>
      </c>
      <c r="I151" s="63" t="n">
        <f aca="false">G151*'Itens de Contrato'!F151</f>
        <v>0</v>
      </c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</row>
    <row r="152" customFormat="false" ht="12.75" hidden="false" customHeight="false" outlineLevel="0" collapsed="false"/>
    <row r="153" customFormat="false" ht="12.75" hidden="false" customHeight="false" outlineLevel="0" collapsed="false"/>
    <row r="154" customFormat="false" ht="12.75" hidden="false" customHeight="false" outlineLevel="0" collapsed="false"/>
    <row r="155" customFormat="false" ht="12.75" hidden="false" customHeight="false" outlineLevel="0" collapsed="false"/>
    <row r="156" customFormat="false" ht="12.75" hidden="false" customHeight="false" outlineLevel="0" collapsed="false"/>
    <row r="157" customFormat="false" ht="12.75" hidden="false" customHeight="false" outlineLevel="0" collapsed="false"/>
    <row r="158" customFormat="false" ht="12.75" hidden="false" customHeight="false" outlineLevel="0" collapsed="false"/>
    <row r="159" customFormat="false" ht="12.75" hidden="false" customHeight="false" outlineLevel="0" collapsed="false"/>
    <row r="160" customFormat="false" ht="12.75" hidden="false" customHeight="false" outlineLevel="0" collapsed="false"/>
    <row r="161" customFormat="false" ht="12.75" hidden="false" customHeight="false" outlineLevel="0" collapsed="false"/>
    <row r="162" customFormat="false" ht="12.75" hidden="false" customHeight="false" outlineLevel="0" collapsed="false"/>
    <row r="163" customFormat="false" ht="12.75" hidden="false" customHeight="false" outlineLevel="0" collapsed="false"/>
    <row r="164" customFormat="false" ht="12.75" hidden="false" customHeight="false" outlineLevel="0" collapsed="false"/>
    <row r="165" customFormat="false" ht="12.75" hidden="false" customHeight="false" outlineLevel="0" collapsed="false"/>
    <row r="166" customFormat="false" ht="12.75" hidden="false" customHeight="false" outlineLevel="0" collapsed="false"/>
    <row r="167" customFormat="false" ht="12.75" hidden="false" customHeight="false" outlineLevel="0" collapsed="false"/>
    <row r="168" customFormat="false" ht="12.75" hidden="false" customHeight="false" outlineLevel="0" collapsed="false"/>
    <row r="169" customFormat="false" ht="12.75" hidden="false" customHeight="false" outlineLevel="0" collapsed="false"/>
    <row r="170" customFormat="false" ht="12.75" hidden="false" customHeight="false" outlineLevel="0" collapsed="false"/>
    <row r="171" customFormat="false" ht="12.75" hidden="false" customHeight="false" outlineLevel="0" collapsed="false"/>
    <row r="172" customFormat="false" ht="12.75" hidden="false" customHeight="false" outlineLevel="0" collapsed="false"/>
    <row r="173" customFormat="false" ht="12.75" hidden="false" customHeight="false" outlineLevel="0" collapsed="false"/>
    <row r="174" customFormat="false" ht="12.75" hidden="false" customHeight="false" outlineLevel="0" collapsed="false"/>
    <row r="175" customFormat="false" ht="12.75" hidden="false" customHeight="false" outlineLevel="0" collapsed="false"/>
    <row r="176" customFormat="false" ht="12.75" hidden="false" customHeight="false" outlineLevel="0" collapsed="false"/>
    <row r="177" customFormat="false" ht="12.75" hidden="false" customHeight="false" outlineLevel="0" collapsed="false"/>
    <row r="178" customFormat="false" ht="12.75" hidden="false" customHeight="false" outlineLevel="0" collapsed="false"/>
    <row r="179" customFormat="false" ht="12.75" hidden="false" customHeight="false" outlineLevel="0" collapsed="false"/>
    <row r="180" customFormat="false" ht="12.75" hidden="false" customHeight="false" outlineLevel="0" collapsed="false"/>
    <row r="181" customFormat="false" ht="12.75" hidden="false" customHeight="false" outlineLevel="0" collapsed="false"/>
    <row r="182" customFormat="false" ht="12.75" hidden="false" customHeight="false" outlineLevel="0" collapsed="false"/>
    <row r="183" customFormat="false" ht="12.75" hidden="false" customHeight="false" outlineLevel="0" collapsed="false"/>
    <row r="184" customFormat="false" ht="12.75" hidden="false" customHeight="false" outlineLevel="0" collapsed="false"/>
    <row r="185" customFormat="false" ht="12.75" hidden="false" customHeight="false" outlineLevel="0" collapsed="false"/>
    <row r="186" customFormat="false" ht="12.75" hidden="false" customHeight="false" outlineLevel="0" collapsed="false"/>
    <row r="187" customFormat="false" ht="12.75" hidden="false" customHeight="false" outlineLevel="0" collapsed="false"/>
    <row r="188" customFormat="false" ht="12.75" hidden="false" customHeight="false" outlineLevel="0" collapsed="false"/>
    <row r="189" customFormat="false" ht="12.75" hidden="false" customHeight="false" outlineLevel="0" collapsed="false"/>
    <row r="190" customFormat="false" ht="12.75" hidden="false" customHeight="false" outlineLevel="0" collapsed="false"/>
    <row r="191" customFormat="false" ht="12.75" hidden="false" customHeight="false" outlineLevel="0" collapsed="false"/>
    <row r="192" customFormat="false" ht="12.75" hidden="false" customHeight="false" outlineLevel="0" collapsed="false"/>
    <row r="193" customFormat="false" ht="12.75" hidden="false" customHeight="false" outlineLevel="0" collapsed="false"/>
    <row r="194" customFormat="false" ht="12.75" hidden="false" customHeight="false" outlineLevel="0" collapsed="false"/>
    <row r="195" customFormat="false" ht="12.75" hidden="false" customHeight="false" outlineLevel="0" collapsed="false"/>
    <row r="196" customFormat="false" ht="12.75" hidden="false" customHeight="false" outlineLevel="0" collapsed="false"/>
    <row r="197" customFormat="false" ht="12.75" hidden="false" customHeight="false" outlineLevel="0" collapsed="false"/>
    <row r="198" customFormat="false" ht="12.75" hidden="false" customHeight="false" outlineLevel="0" collapsed="false"/>
    <row r="199" customFormat="false" ht="12.75" hidden="false" customHeight="false" outlineLevel="0" collapsed="false"/>
    <row r="200" customFormat="false" ht="12.75" hidden="false" customHeight="false" outlineLevel="0" collapsed="false"/>
    <row r="201" customFormat="false" ht="12.75" hidden="false" customHeight="false" outlineLevel="0" collapsed="false"/>
    <row r="202" customFormat="false" ht="12.75" hidden="false" customHeight="false" outlineLevel="0" collapsed="false"/>
    <row r="203" customFormat="false" ht="12.75" hidden="false" customHeight="false" outlineLevel="0" collapsed="false"/>
    <row r="204" customFormat="false" ht="12.75" hidden="false" customHeight="false" outlineLevel="0" collapsed="false"/>
    <row r="205" customFormat="false" ht="12.75" hidden="false" customHeight="false" outlineLevel="0" collapsed="false"/>
    <row r="206" customFormat="false" ht="12.75" hidden="false" customHeight="false" outlineLevel="0" collapsed="false"/>
    <row r="207" customFormat="false" ht="12.75" hidden="false" customHeight="false" outlineLevel="0" collapsed="false"/>
    <row r="208" customFormat="false" ht="12.75" hidden="false" customHeight="false" outlineLevel="0" collapsed="false"/>
    <row r="209" customFormat="false" ht="12.75" hidden="false" customHeight="false" outlineLevel="0" collapsed="false"/>
    <row r="210" customFormat="false" ht="12.75" hidden="false" customHeight="false" outlineLevel="0" collapsed="false"/>
    <row r="211" customFormat="false" ht="12.75" hidden="false" customHeight="false" outlineLevel="0" collapsed="false"/>
    <row r="212" customFormat="false" ht="12.75" hidden="false" customHeight="false" outlineLevel="0" collapsed="false"/>
    <row r="213" customFormat="false" ht="12.75" hidden="false" customHeight="false" outlineLevel="0" collapsed="false"/>
    <row r="214" customFormat="false" ht="12.75" hidden="false" customHeight="false" outlineLevel="0" collapsed="false"/>
    <row r="215" customFormat="false" ht="12.75" hidden="false" customHeight="false" outlineLevel="0" collapsed="false"/>
    <row r="216" customFormat="false" ht="12.75" hidden="false" customHeight="false" outlineLevel="0" collapsed="false"/>
    <row r="217" customFormat="false" ht="12.75" hidden="false" customHeight="false" outlineLevel="0" collapsed="false"/>
    <row r="218" customFormat="false" ht="12.75" hidden="false" customHeight="false" outlineLevel="0" collapsed="false"/>
    <row r="219" customFormat="false" ht="12.75" hidden="false" customHeight="false" outlineLevel="0" collapsed="false"/>
    <row r="220" customFormat="false" ht="12.75" hidden="false" customHeight="false" outlineLevel="0" collapsed="false"/>
    <row r="221" customFormat="false" ht="12.75" hidden="false" customHeight="false" outlineLevel="0" collapsed="false"/>
    <row r="222" customFormat="false" ht="12.75" hidden="false" customHeight="false" outlineLevel="0" collapsed="false"/>
    <row r="223" customFormat="false" ht="12.75" hidden="false" customHeight="false" outlineLevel="0" collapsed="false"/>
    <row r="224" customFormat="false" ht="12.75" hidden="false" customHeight="false" outlineLevel="0" collapsed="false"/>
    <row r="225" customFormat="false" ht="12.75" hidden="false" customHeight="false" outlineLevel="0" collapsed="false"/>
    <row r="226" customFormat="false" ht="12.75" hidden="false" customHeight="false" outlineLevel="0" collapsed="false"/>
    <row r="227" customFormat="false" ht="12.75" hidden="false" customHeight="false" outlineLevel="0" collapsed="false"/>
    <row r="228" customFormat="false" ht="12.75" hidden="false" customHeight="false" outlineLevel="0" collapsed="false"/>
    <row r="229" customFormat="false" ht="12.75" hidden="false" customHeight="false" outlineLevel="0" collapsed="false"/>
    <row r="230" customFormat="false" ht="12.75" hidden="false" customHeight="false" outlineLevel="0" collapsed="false"/>
    <row r="231" customFormat="false" ht="12.75" hidden="false" customHeight="false" outlineLevel="0" collapsed="false"/>
    <row r="232" customFormat="false" ht="12.75" hidden="false" customHeight="false" outlineLevel="0" collapsed="false"/>
    <row r="233" customFormat="false" ht="12.75" hidden="false" customHeight="false" outlineLevel="0" collapsed="false"/>
    <row r="234" customFormat="false" ht="12.75" hidden="false" customHeight="false" outlineLevel="0" collapsed="false"/>
    <row r="235" customFormat="false" ht="12.75" hidden="false" customHeight="false" outlineLevel="0" collapsed="false"/>
    <row r="236" customFormat="false" ht="12.75" hidden="false" customHeight="false" outlineLevel="0" collapsed="false"/>
    <row r="237" customFormat="false" ht="12.75" hidden="false" customHeight="false" outlineLevel="0" collapsed="false"/>
    <row r="238" customFormat="false" ht="12.75" hidden="false" customHeight="false" outlineLevel="0" collapsed="false"/>
    <row r="239" customFormat="false" ht="12.75" hidden="false" customHeight="false" outlineLevel="0" collapsed="false"/>
    <row r="240" customFormat="false" ht="12.75" hidden="false" customHeight="false" outlineLevel="0" collapsed="false"/>
    <row r="241" customFormat="false" ht="12.75" hidden="false" customHeight="false" outlineLevel="0" collapsed="false"/>
    <row r="242" customFormat="false" ht="12.75" hidden="false" customHeight="false" outlineLevel="0" collapsed="false"/>
    <row r="243" customFormat="false" ht="12.75" hidden="false" customHeight="false" outlineLevel="0" collapsed="false"/>
    <row r="244" customFormat="false" ht="12.75" hidden="false" customHeight="false" outlineLevel="0" collapsed="false"/>
    <row r="245" customFormat="false" ht="12.75" hidden="false" customHeight="false" outlineLevel="0" collapsed="false"/>
    <row r="246" customFormat="false" ht="12.75" hidden="false" customHeight="false" outlineLevel="0" collapsed="false"/>
    <row r="247" customFormat="false" ht="12.75" hidden="false" customHeight="false" outlineLevel="0" collapsed="false"/>
    <row r="248" customFormat="false" ht="12.75" hidden="false" customHeight="false" outlineLevel="0" collapsed="false"/>
    <row r="249" customFormat="false" ht="12.75" hidden="false" customHeight="false" outlineLevel="0" collapsed="false"/>
    <row r="250" customFormat="false" ht="12.75" hidden="false" customHeight="false" outlineLevel="0" collapsed="false"/>
    <row r="251" customFormat="false" ht="12.75" hidden="false" customHeight="false" outlineLevel="0" collapsed="false"/>
    <row r="252" customFormat="false" ht="12.75" hidden="false" customHeight="false" outlineLevel="0" collapsed="false"/>
    <row r="253" customFormat="false" ht="12.75" hidden="false" customHeight="false" outlineLevel="0" collapsed="false"/>
    <row r="254" customFormat="false" ht="12.75" hidden="false" customHeight="false" outlineLevel="0" collapsed="false"/>
    <row r="255" customFormat="false" ht="12.75" hidden="false" customHeight="false" outlineLevel="0" collapsed="false"/>
    <row r="256" customFormat="false" ht="12.75" hidden="false" customHeight="false" outlineLevel="0" collapsed="false"/>
    <row r="257" customFormat="false" ht="12.75" hidden="false" customHeight="false" outlineLevel="0" collapsed="false"/>
    <row r="258" customFormat="false" ht="12.75" hidden="false" customHeight="false" outlineLevel="0" collapsed="false"/>
    <row r="259" customFormat="false" ht="12.75" hidden="false" customHeight="false" outlineLevel="0" collapsed="false"/>
    <row r="260" customFormat="false" ht="12.75" hidden="false" customHeight="false" outlineLevel="0" collapsed="false"/>
    <row r="261" customFormat="false" ht="12.75" hidden="false" customHeight="false" outlineLevel="0" collapsed="false"/>
    <row r="262" customFormat="false" ht="12.75" hidden="false" customHeight="false" outlineLevel="0" collapsed="false"/>
    <row r="263" customFormat="false" ht="12.75" hidden="false" customHeight="false" outlineLevel="0" collapsed="false"/>
    <row r="264" customFormat="false" ht="12.75" hidden="false" customHeight="false" outlineLevel="0" collapsed="false"/>
    <row r="265" customFormat="false" ht="12.75" hidden="false" customHeight="false" outlineLevel="0" collapsed="false"/>
    <row r="266" customFormat="false" ht="12.75" hidden="false" customHeight="false" outlineLevel="0" collapsed="false"/>
    <row r="267" customFormat="false" ht="12.75" hidden="false" customHeight="false" outlineLevel="0" collapsed="false"/>
    <row r="268" customFormat="false" ht="12.75" hidden="false" customHeight="false" outlineLevel="0" collapsed="false"/>
    <row r="269" customFormat="false" ht="12.75" hidden="false" customHeight="false" outlineLevel="0" collapsed="false"/>
    <row r="270" customFormat="false" ht="12.75" hidden="false" customHeight="false" outlineLevel="0" collapsed="false"/>
    <row r="271" customFormat="false" ht="12.75" hidden="false" customHeight="false" outlineLevel="0" collapsed="false"/>
    <row r="272" customFormat="false" ht="12.75" hidden="false" customHeight="false" outlineLevel="0" collapsed="false"/>
    <row r="273" customFormat="false" ht="12.75" hidden="false" customHeight="fals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12.75" hidden="false" customHeight="false" outlineLevel="0" collapsed="false"/>
    <row r="283" customFormat="false" ht="12.75" hidden="false" customHeight="false" outlineLevel="0" collapsed="false"/>
    <row r="284" customFormat="false" ht="12.75" hidden="false" customHeight="fals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12.75" hidden="false" customHeight="false" outlineLevel="0" collapsed="false"/>
    <row r="291" customFormat="false" ht="12.75" hidden="false" customHeight="false" outlineLevel="0" collapsed="false"/>
    <row r="292" customFormat="false" ht="12.75" hidden="false" customHeight="false" outlineLevel="0" collapsed="false"/>
    <row r="293" customFormat="false" ht="12.75" hidden="false" customHeight="false" outlineLevel="0" collapsed="false"/>
    <row r="294" customFormat="false" ht="12.75" hidden="false" customHeight="false" outlineLevel="0" collapsed="false"/>
    <row r="295" customFormat="false" ht="12.75" hidden="false" customHeight="fals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12.75" hidden="false" customHeight="false" outlineLevel="0" collapsed="false"/>
    <row r="299" customFormat="false" ht="12.75" hidden="false" customHeight="false" outlineLevel="0" collapsed="false"/>
    <row r="300" customFormat="false" ht="12.75" hidden="false" customHeight="fals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12.75" hidden="false" customHeight="false" outlineLevel="0" collapsed="false"/>
    <row r="308" customFormat="false" ht="12.75" hidden="false" customHeight="false" outlineLevel="0" collapsed="false"/>
    <row r="309" customFormat="false" ht="12.75" hidden="false" customHeight="false" outlineLevel="0" collapsed="false"/>
    <row r="310" customFormat="false" ht="12.75" hidden="false" customHeight="false" outlineLevel="0" collapsed="false"/>
    <row r="311" customFormat="false" ht="12.75" hidden="false" customHeight="false" outlineLevel="0" collapsed="false"/>
    <row r="312" customFormat="false" ht="12.75" hidden="false" customHeight="false" outlineLevel="0" collapsed="false"/>
    <row r="313" customFormat="false" ht="12.75" hidden="false" customHeight="false" outlineLevel="0" collapsed="false"/>
    <row r="314" customFormat="false" ht="12.75" hidden="false" customHeight="fals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12.75" hidden="false" customHeight="fals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  <row r="344" customFormat="false" ht="12.75" hidden="false" customHeight="false" outlineLevel="0" collapsed="false"/>
    <row r="345" customFormat="false" ht="12.75" hidden="false" customHeight="false" outlineLevel="0" collapsed="false"/>
    <row r="346" customFormat="false" ht="12.75" hidden="false" customHeight="false" outlineLevel="0" collapsed="false"/>
    <row r="347" customFormat="false" ht="12.75" hidden="false" customHeight="false" outlineLevel="0" collapsed="false"/>
    <row r="348" customFormat="false" ht="12.75" hidden="false" customHeight="false" outlineLevel="0" collapsed="false"/>
    <row r="349" customFormat="false" ht="12.75" hidden="false" customHeight="false" outlineLevel="0" collapsed="false"/>
    <row r="350" customFormat="false" ht="12.75" hidden="false" customHeight="false" outlineLevel="0" collapsed="false"/>
    <row r="351" customFormat="false" ht="12.75" hidden="false" customHeight="false" outlineLevel="0" collapsed="false"/>
    <row r="352" customFormat="false" ht="12.75" hidden="false" customHeight="false" outlineLevel="0" collapsed="false"/>
    <row r="353" customFormat="false" ht="12.75" hidden="false" customHeight="false" outlineLevel="0" collapsed="false"/>
    <row r="354" customFormat="false" ht="12.75" hidden="false" customHeight="false" outlineLevel="0" collapsed="false"/>
    <row r="355" customFormat="false" ht="12.75" hidden="false" customHeight="false" outlineLevel="0" collapsed="false"/>
    <row r="356" customFormat="false" ht="12.75" hidden="false" customHeight="false" outlineLevel="0" collapsed="false"/>
    <row r="357" customFormat="false" ht="12.75" hidden="false" customHeight="false" outlineLevel="0" collapsed="false"/>
    <row r="358" customFormat="false" ht="12.75" hidden="false" customHeight="false" outlineLevel="0" collapsed="false"/>
    <row r="359" customFormat="false" ht="12.75" hidden="false" customHeight="false" outlineLevel="0" collapsed="false"/>
    <row r="360" customFormat="false" ht="12.75" hidden="false" customHeight="false" outlineLevel="0" collapsed="false"/>
    <row r="361" customFormat="false" ht="12.75" hidden="false" customHeight="false" outlineLevel="0" collapsed="false"/>
    <row r="362" customFormat="false" ht="12.75" hidden="false" customHeight="false" outlineLevel="0" collapsed="false"/>
    <row r="363" customFormat="false" ht="12.75" hidden="false" customHeight="false" outlineLevel="0" collapsed="false"/>
    <row r="364" customFormat="false" ht="12.75" hidden="false" customHeight="false" outlineLevel="0" collapsed="false"/>
    <row r="365" customFormat="false" ht="12.75" hidden="false" customHeight="false" outlineLevel="0" collapsed="false"/>
    <row r="366" customFormat="false" ht="12.75" hidden="false" customHeight="false" outlineLevel="0" collapsed="false"/>
    <row r="367" customFormat="false" ht="12.75" hidden="false" customHeight="false" outlineLevel="0" collapsed="false"/>
    <row r="368" customFormat="false" ht="12.75" hidden="false" customHeight="false" outlineLevel="0" collapsed="false"/>
    <row r="369" customFormat="false" ht="12.75" hidden="false" customHeight="false" outlineLevel="0" collapsed="false"/>
    <row r="370" customFormat="false" ht="12.75" hidden="false" customHeight="false" outlineLevel="0" collapsed="false"/>
    <row r="371" customFormat="false" ht="12.75" hidden="false" customHeight="false" outlineLevel="0" collapsed="false"/>
    <row r="372" customFormat="false" ht="12.75" hidden="false" customHeight="false" outlineLevel="0" collapsed="false"/>
    <row r="373" customFormat="false" ht="12.75" hidden="false" customHeight="false" outlineLevel="0" collapsed="false"/>
    <row r="374" customFormat="false" ht="12.75" hidden="false" customHeight="false" outlineLevel="0" collapsed="false"/>
    <row r="375" customFormat="false" ht="12.75" hidden="false" customHeight="false" outlineLevel="0" collapsed="false"/>
    <row r="376" customFormat="false" ht="12.75" hidden="false" customHeight="false" outlineLevel="0" collapsed="false"/>
    <row r="377" customFormat="false" ht="12.75" hidden="false" customHeight="false" outlineLevel="0" collapsed="false"/>
    <row r="378" customFormat="false" ht="12.75" hidden="false" customHeight="false" outlineLevel="0" collapsed="false"/>
    <row r="379" customFormat="false" ht="12.75" hidden="false" customHeight="false" outlineLevel="0" collapsed="false"/>
    <row r="380" customFormat="false" ht="12.75" hidden="false" customHeight="false" outlineLevel="0" collapsed="false"/>
    <row r="381" customFormat="false" ht="12.75" hidden="false" customHeight="false" outlineLevel="0" collapsed="false"/>
    <row r="382" customFormat="false" ht="12.75" hidden="false" customHeight="false" outlineLevel="0" collapsed="false"/>
    <row r="383" customFormat="false" ht="12.75" hidden="false" customHeight="false" outlineLevel="0" collapsed="false"/>
    <row r="384" customFormat="false" ht="12.75" hidden="false" customHeight="false" outlineLevel="0" collapsed="false"/>
    <row r="385" customFormat="false" ht="12.75" hidden="false" customHeight="false" outlineLevel="0" collapsed="false"/>
    <row r="386" customFormat="false" ht="12.75" hidden="false" customHeight="false" outlineLevel="0" collapsed="false"/>
    <row r="387" customFormat="false" ht="12.75" hidden="false" customHeight="false" outlineLevel="0" collapsed="false"/>
    <row r="388" customFormat="false" ht="12.75" hidden="false" customHeight="false" outlineLevel="0" collapsed="false"/>
    <row r="389" customFormat="false" ht="12.75" hidden="false" customHeight="false" outlineLevel="0" collapsed="false"/>
    <row r="390" customFormat="false" ht="12.75" hidden="false" customHeight="false" outlineLevel="0" collapsed="false"/>
    <row r="391" customFormat="false" ht="12.75" hidden="false" customHeight="false" outlineLevel="0" collapsed="false"/>
    <row r="392" customFormat="false" ht="12.75" hidden="false" customHeight="false" outlineLevel="0" collapsed="false"/>
    <row r="393" customFormat="false" ht="12.75" hidden="false" customHeight="false" outlineLevel="0" collapsed="false"/>
    <row r="394" customFormat="false" ht="12.75" hidden="false" customHeight="false" outlineLevel="0" collapsed="false"/>
    <row r="395" customFormat="false" ht="12.75" hidden="false" customHeight="false" outlineLevel="0" collapsed="false"/>
    <row r="396" customFormat="false" ht="12.75" hidden="false" customHeight="false" outlineLevel="0" collapsed="false"/>
    <row r="397" customFormat="false" ht="12.75" hidden="false" customHeight="false" outlineLevel="0" collapsed="false"/>
    <row r="398" customFormat="false" ht="12.75" hidden="false" customHeight="false" outlineLevel="0" collapsed="false"/>
    <row r="399" customFormat="false" ht="12.75" hidden="false" customHeight="false" outlineLevel="0" collapsed="false"/>
    <row r="400" customFormat="false" ht="12.75" hidden="false" customHeight="false" outlineLevel="0" collapsed="false"/>
    <row r="401" customFormat="false" ht="12.75" hidden="false" customHeight="false" outlineLevel="0" collapsed="false"/>
    <row r="402" customFormat="false" ht="12.75" hidden="false" customHeight="false" outlineLevel="0" collapsed="false"/>
    <row r="403" customFormat="false" ht="12.75" hidden="false" customHeight="false" outlineLevel="0" collapsed="false"/>
    <row r="404" customFormat="false" ht="12.75" hidden="false" customHeight="false" outlineLevel="0" collapsed="false"/>
    <row r="405" customFormat="false" ht="12.75" hidden="false" customHeight="false" outlineLevel="0" collapsed="false"/>
    <row r="406" customFormat="false" ht="12.75" hidden="false" customHeight="false" outlineLevel="0" collapsed="false"/>
    <row r="407" customFormat="false" ht="12.75" hidden="false" customHeight="false" outlineLevel="0" collapsed="false"/>
    <row r="408" customFormat="false" ht="12.75" hidden="false" customHeight="false" outlineLevel="0" collapsed="false"/>
    <row r="409" customFormat="false" ht="12.75" hidden="false" customHeight="false" outlineLevel="0" collapsed="false"/>
    <row r="410" customFormat="false" ht="12.75" hidden="false" customHeight="false" outlineLevel="0" collapsed="false"/>
    <row r="411" customFormat="false" ht="12.75" hidden="false" customHeight="false" outlineLevel="0" collapsed="false"/>
    <row r="412" customFormat="false" ht="12.75" hidden="false" customHeight="false" outlineLevel="0" collapsed="false"/>
    <row r="413" customFormat="false" ht="12.75" hidden="false" customHeight="false" outlineLevel="0" collapsed="false"/>
    <row r="414" customFormat="false" ht="12.75" hidden="false" customHeight="false" outlineLevel="0" collapsed="false"/>
    <row r="415" customFormat="false" ht="12.75" hidden="false" customHeight="false" outlineLevel="0" collapsed="false"/>
    <row r="416" customFormat="false" ht="12.75" hidden="false" customHeight="false" outlineLevel="0" collapsed="false"/>
    <row r="417" customFormat="false" ht="12.75" hidden="false" customHeight="false" outlineLevel="0" collapsed="false"/>
    <row r="418" customFormat="false" ht="12.75" hidden="false" customHeight="false" outlineLevel="0" collapsed="false"/>
    <row r="419" customFormat="false" ht="12.75" hidden="false" customHeight="false" outlineLevel="0" collapsed="false"/>
    <row r="420" customFormat="false" ht="12.75" hidden="false" customHeight="false" outlineLevel="0" collapsed="false"/>
    <row r="421" customFormat="false" ht="12.75" hidden="false" customHeight="false" outlineLevel="0" collapsed="false"/>
    <row r="422" customFormat="false" ht="12.75" hidden="false" customHeight="false" outlineLevel="0" collapsed="false"/>
    <row r="423" customFormat="false" ht="12.75" hidden="false" customHeight="false" outlineLevel="0" collapsed="false"/>
    <row r="424" customFormat="false" ht="12.75" hidden="false" customHeight="false" outlineLevel="0" collapsed="false"/>
    <row r="425" customFormat="false" ht="12.75" hidden="false" customHeight="false" outlineLevel="0" collapsed="false"/>
    <row r="426" customFormat="false" ht="12.75" hidden="false" customHeight="false" outlineLevel="0" collapsed="false"/>
    <row r="427" customFormat="false" ht="12.75" hidden="false" customHeight="false" outlineLevel="0" collapsed="false"/>
    <row r="428" customFormat="false" ht="12.75" hidden="false" customHeight="false" outlineLevel="0" collapsed="false"/>
    <row r="429" customFormat="false" ht="12.75" hidden="false" customHeight="false" outlineLevel="0" collapsed="false"/>
    <row r="430" customFormat="false" ht="12.75" hidden="false" customHeight="false" outlineLevel="0" collapsed="false"/>
    <row r="431" customFormat="false" ht="12.75" hidden="false" customHeight="false" outlineLevel="0" collapsed="false"/>
    <row r="432" customFormat="false" ht="12.75" hidden="false" customHeight="false" outlineLevel="0" collapsed="false"/>
    <row r="433" customFormat="false" ht="12.75" hidden="false" customHeight="false" outlineLevel="0" collapsed="false"/>
    <row r="434" customFormat="false" ht="12.75" hidden="false" customHeight="false" outlineLevel="0" collapsed="false"/>
    <row r="435" customFormat="false" ht="12.75" hidden="false" customHeight="false" outlineLevel="0" collapsed="false"/>
    <row r="436" customFormat="false" ht="12.75" hidden="false" customHeight="false" outlineLevel="0" collapsed="false"/>
    <row r="437" customFormat="false" ht="12.75" hidden="false" customHeight="false" outlineLevel="0" collapsed="false"/>
    <row r="438" customFormat="false" ht="12.75" hidden="false" customHeight="false" outlineLevel="0" collapsed="false"/>
    <row r="439" customFormat="false" ht="12.75" hidden="false" customHeight="false" outlineLevel="0" collapsed="false"/>
    <row r="440" customFormat="false" ht="12.75" hidden="false" customHeight="false" outlineLevel="0" collapsed="false"/>
    <row r="441" customFormat="false" ht="12.75" hidden="false" customHeight="false" outlineLevel="0" collapsed="false"/>
    <row r="442" customFormat="false" ht="12.75" hidden="false" customHeight="false" outlineLevel="0" collapsed="false"/>
    <row r="443" customFormat="false" ht="12.75" hidden="false" customHeight="false" outlineLevel="0" collapsed="false"/>
    <row r="444" customFormat="false" ht="12.75" hidden="false" customHeight="false" outlineLevel="0" collapsed="false"/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/>
    <row r="455" customFormat="false" ht="12.75" hidden="false" customHeight="false" outlineLevel="0" collapsed="false"/>
    <row r="456" customFormat="false" ht="12.75" hidden="false" customHeight="false" outlineLevel="0" collapsed="false"/>
    <row r="457" customFormat="false" ht="12.75" hidden="false" customHeight="false" outlineLevel="0" collapsed="false"/>
    <row r="458" customFormat="false" ht="12.75" hidden="false" customHeight="false" outlineLevel="0" collapsed="false"/>
    <row r="459" customFormat="false" ht="12.75" hidden="false" customHeight="false" outlineLevel="0" collapsed="false"/>
    <row r="460" customFormat="false" ht="12.75" hidden="false" customHeight="false" outlineLevel="0" collapsed="false"/>
    <row r="461" customFormat="false" ht="12.75" hidden="false" customHeight="false" outlineLevel="0" collapsed="false"/>
    <row r="462" customFormat="false" ht="12.75" hidden="false" customHeight="false" outlineLevel="0" collapsed="false"/>
    <row r="463" customFormat="false" ht="12.75" hidden="false" customHeight="false" outlineLevel="0" collapsed="false"/>
    <row r="464" customFormat="false" ht="12.75" hidden="false" customHeight="false" outlineLevel="0" collapsed="false"/>
    <row r="465" customFormat="false" ht="12.75" hidden="false" customHeight="false" outlineLevel="0" collapsed="false"/>
    <row r="466" customFormat="false" ht="12.75" hidden="false" customHeight="false" outlineLevel="0" collapsed="false"/>
    <row r="467" customFormat="false" ht="12.75" hidden="false" customHeight="false" outlineLevel="0" collapsed="false"/>
    <row r="468" customFormat="false" ht="12.75" hidden="false" customHeight="false" outlineLevel="0" collapsed="false"/>
    <row r="469" customFormat="false" ht="12.75" hidden="false" customHeight="false" outlineLevel="0" collapsed="false"/>
    <row r="470" customFormat="false" ht="12.75" hidden="false" customHeight="false" outlineLevel="0" collapsed="false"/>
    <row r="471" customFormat="false" ht="12.75" hidden="false" customHeight="false" outlineLevel="0" collapsed="false"/>
    <row r="472" customFormat="false" ht="12.75" hidden="false" customHeight="false" outlineLevel="0" collapsed="false"/>
    <row r="473" customFormat="false" ht="12.75" hidden="false" customHeight="false" outlineLevel="0" collapsed="false"/>
    <row r="474" customFormat="false" ht="12.75" hidden="false" customHeight="false" outlineLevel="0" collapsed="false"/>
    <row r="475" customFormat="false" ht="12.75" hidden="false" customHeight="false" outlineLevel="0" collapsed="false"/>
    <row r="476" customFormat="false" ht="12.75" hidden="false" customHeight="false" outlineLevel="0" collapsed="false"/>
    <row r="477" customFormat="false" ht="12.75" hidden="false" customHeight="false" outlineLevel="0" collapsed="false"/>
    <row r="478" customFormat="false" ht="12.75" hidden="false" customHeight="false" outlineLevel="0" collapsed="false"/>
    <row r="479" customFormat="false" ht="12.75" hidden="false" customHeight="false" outlineLevel="0" collapsed="false"/>
    <row r="480" customFormat="false" ht="12.75" hidden="false" customHeight="false" outlineLevel="0" collapsed="false"/>
    <row r="481" customFormat="false" ht="12.75" hidden="false" customHeight="false" outlineLevel="0" collapsed="false"/>
    <row r="482" customFormat="false" ht="12.75" hidden="false" customHeight="false" outlineLevel="0" collapsed="false"/>
    <row r="483" customFormat="false" ht="12.75" hidden="false" customHeight="false" outlineLevel="0" collapsed="false"/>
    <row r="484" customFormat="false" ht="12.75" hidden="false" customHeight="false" outlineLevel="0" collapsed="false"/>
    <row r="485" customFormat="false" ht="12.75" hidden="false" customHeight="false" outlineLevel="0" collapsed="false"/>
    <row r="486" customFormat="false" ht="12.75" hidden="false" customHeight="false" outlineLevel="0" collapsed="false"/>
    <row r="487" customFormat="false" ht="12.75" hidden="false" customHeight="false" outlineLevel="0" collapsed="false"/>
    <row r="488" customFormat="false" ht="12.75" hidden="false" customHeight="false" outlineLevel="0" collapsed="false"/>
    <row r="489" customFormat="false" ht="12.75" hidden="false" customHeight="false" outlineLevel="0" collapsed="false"/>
    <row r="490" customFormat="false" ht="12.75" hidden="false" customHeight="false" outlineLevel="0" collapsed="false"/>
    <row r="491" customFormat="false" ht="12.75" hidden="false" customHeight="false" outlineLevel="0" collapsed="false"/>
    <row r="492" customFormat="false" ht="12.75" hidden="false" customHeight="false" outlineLevel="0" collapsed="false"/>
    <row r="493" customFormat="false" ht="12.75" hidden="false" customHeight="false" outlineLevel="0" collapsed="false"/>
    <row r="494" customFormat="false" ht="12.75" hidden="false" customHeight="false" outlineLevel="0" collapsed="false"/>
    <row r="495" customFormat="false" ht="12.75" hidden="false" customHeight="false" outlineLevel="0" collapsed="false"/>
    <row r="496" customFormat="false" ht="12.75" hidden="false" customHeight="false" outlineLevel="0" collapsed="false"/>
    <row r="497" customFormat="false" ht="12.75" hidden="false" customHeight="false" outlineLevel="0" collapsed="false"/>
    <row r="498" customFormat="false" ht="12.75" hidden="false" customHeight="false" outlineLevel="0" collapsed="false"/>
    <row r="499" customFormat="false" ht="12.75" hidden="false" customHeight="false" outlineLevel="0" collapsed="false"/>
    <row r="500" customFormat="false" ht="12.75" hidden="false" customHeight="false" outlineLevel="0" collapsed="false"/>
    <row r="501" customFormat="false" ht="12.75" hidden="false" customHeight="false" outlineLevel="0" collapsed="false"/>
    <row r="502" customFormat="false" ht="12.75" hidden="false" customHeight="false" outlineLevel="0" collapsed="false"/>
    <row r="503" customFormat="false" ht="12.75" hidden="false" customHeight="false" outlineLevel="0" collapsed="false"/>
    <row r="504" customFormat="false" ht="12.75" hidden="false" customHeight="false" outlineLevel="0" collapsed="false"/>
    <row r="505" customFormat="false" ht="12.75" hidden="false" customHeight="false" outlineLevel="0" collapsed="false"/>
    <row r="506" customFormat="false" ht="12.75" hidden="false" customHeight="false" outlineLevel="0" collapsed="false"/>
    <row r="507" customFormat="false" ht="12.75" hidden="false" customHeight="false" outlineLevel="0" collapsed="false"/>
    <row r="508" customFormat="false" ht="12.75" hidden="false" customHeight="false" outlineLevel="0" collapsed="false"/>
    <row r="509" customFormat="false" ht="12.75" hidden="false" customHeight="false" outlineLevel="0" collapsed="false"/>
    <row r="510" customFormat="false" ht="12.75" hidden="false" customHeight="false" outlineLevel="0" collapsed="false"/>
    <row r="511" customFormat="false" ht="12.75" hidden="false" customHeight="false" outlineLevel="0" collapsed="false"/>
    <row r="512" customFormat="false" ht="12.75" hidden="false" customHeight="false" outlineLevel="0" collapsed="false"/>
    <row r="513" customFormat="false" ht="12.75" hidden="false" customHeight="false" outlineLevel="0" collapsed="false"/>
    <row r="514" customFormat="false" ht="12.75" hidden="false" customHeight="false" outlineLevel="0" collapsed="false"/>
    <row r="515" customFormat="false" ht="12.75" hidden="false" customHeight="false" outlineLevel="0" collapsed="false"/>
    <row r="516" customFormat="false" ht="12.75" hidden="false" customHeight="false" outlineLevel="0" collapsed="false"/>
    <row r="517" customFormat="false" ht="12.75" hidden="false" customHeight="false" outlineLevel="0" collapsed="false"/>
    <row r="518" customFormat="false" ht="12.75" hidden="false" customHeight="false" outlineLevel="0" collapsed="false"/>
    <row r="519" customFormat="false" ht="12.75" hidden="false" customHeight="false" outlineLevel="0" collapsed="false"/>
    <row r="520" customFormat="false" ht="12.75" hidden="false" customHeight="false" outlineLevel="0" collapsed="false"/>
    <row r="521" customFormat="false" ht="12.75" hidden="false" customHeight="false" outlineLevel="0" collapsed="false"/>
    <row r="522" customFormat="false" ht="12.75" hidden="false" customHeight="false" outlineLevel="0" collapsed="false"/>
    <row r="523" customFormat="false" ht="12.75" hidden="false" customHeight="false" outlineLevel="0" collapsed="false"/>
    <row r="524" customFormat="false" ht="12.75" hidden="false" customHeight="false" outlineLevel="0" collapsed="false"/>
    <row r="525" customFormat="false" ht="12.75" hidden="false" customHeight="false" outlineLevel="0" collapsed="false"/>
    <row r="526" customFormat="false" ht="12.75" hidden="false" customHeight="false" outlineLevel="0" collapsed="false"/>
    <row r="527" customFormat="false" ht="12.75" hidden="false" customHeight="false" outlineLevel="0" collapsed="false"/>
    <row r="528" customFormat="false" ht="12.75" hidden="false" customHeight="false" outlineLevel="0" collapsed="false"/>
    <row r="529" customFormat="false" ht="12.75" hidden="false" customHeight="false" outlineLevel="0" collapsed="false"/>
    <row r="530" customFormat="false" ht="12.75" hidden="false" customHeight="false" outlineLevel="0" collapsed="false"/>
    <row r="531" customFormat="false" ht="12.75" hidden="false" customHeight="false" outlineLevel="0" collapsed="false"/>
    <row r="532" customFormat="false" ht="12.75" hidden="false" customHeight="false" outlineLevel="0" collapsed="false"/>
    <row r="533" customFormat="false" ht="12.75" hidden="false" customHeight="false" outlineLevel="0" collapsed="false"/>
    <row r="534" customFormat="false" ht="12.75" hidden="false" customHeight="false" outlineLevel="0" collapsed="false"/>
    <row r="535" customFormat="false" ht="12.75" hidden="false" customHeight="false" outlineLevel="0" collapsed="false"/>
    <row r="536" customFormat="false" ht="12.75" hidden="false" customHeight="false" outlineLevel="0" collapsed="false"/>
    <row r="537" customFormat="false" ht="12.75" hidden="false" customHeight="false" outlineLevel="0" collapsed="false"/>
    <row r="538" customFormat="false" ht="12.75" hidden="false" customHeight="false" outlineLevel="0" collapsed="false"/>
    <row r="539" customFormat="false" ht="12.75" hidden="false" customHeight="false" outlineLevel="0" collapsed="false"/>
    <row r="540" customFormat="false" ht="12.75" hidden="false" customHeight="false" outlineLevel="0" collapsed="false"/>
    <row r="541" customFormat="false" ht="12.75" hidden="false" customHeight="false" outlineLevel="0" collapsed="false"/>
    <row r="542" customFormat="false" ht="12.75" hidden="false" customHeight="false" outlineLevel="0" collapsed="false"/>
    <row r="543" customFormat="false" ht="12.75" hidden="false" customHeight="false" outlineLevel="0" collapsed="false"/>
    <row r="544" customFormat="false" ht="12.75" hidden="false" customHeight="false" outlineLevel="0" collapsed="false"/>
    <row r="545" customFormat="false" ht="12.75" hidden="false" customHeight="false" outlineLevel="0" collapsed="false"/>
    <row r="546" customFormat="false" ht="12.75" hidden="false" customHeight="false" outlineLevel="0" collapsed="false"/>
    <row r="547" customFormat="false" ht="12.75" hidden="false" customHeight="false" outlineLevel="0" collapsed="false"/>
    <row r="548" customFormat="false" ht="12.75" hidden="false" customHeight="false" outlineLevel="0" collapsed="false"/>
    <row r="549" customFormat="false" ht="12.75" hidden="false" customHeight="false" outlineLevel="0" collapsed="false"/>
    <row r="550" customFormat="false" ht="12.75" hidden="false" customHeight="false" outlineLevel="0" collapsed="false"/>
    <row r="551" customFormat="false" ht="12.75" hidden="false" customHeight="false" outlineLevel="0" collapsed="false"/>
    <row r="552" customFormat="false" ht="12.75" hidden="false" customHeight="false" outlineLevel="0" collapsed="false"/>
    <row r="553" customFormat="false" ht="12.75" hidden="false" customHeight="false" outlineLevel="0" collapsed="false"/>
    <row r="554" customFormat="false" ht="12.75" hidden="false" customHeight="false" outlineLevel="0" collapsed="false"/>
    <row r="555" customFormat="false" ht="12.75" hidden="false" customHeight="false" outlineLevel="0" collapsed="false"/>
    <row r="556" customFormat="false" ht="12.75" hidden="false" customHeight="false" outlineLevel="0" collapsed="false"/>
    <row r="557" customFormat="false" ht="12.75" hidden="false" customHeight="false" outlineLevel="0" collapsed="false"/>
    <row r="558" customFormat="false" ht="12.75" hidden="false" customHeight="false" outlineLevel="0" collapsed="false"/>
    <row r="559" customFormat="false" ht="12.75" hidden="false" customHeight="false" outlineLevel="0" collapsed="false"/>
    <row r="560" customFormat="false" ht="12.75" hidden="false" customHeight="false" outlineLevel="0" collapsed="false"/>
    <row r="561" customFormat="false" ht="12.75" hidden="false" customHeight="false" outlineLevel="0" collapsed="false"/>
    <row r="562" customFormat="false" ht="12.75" hidden="false" customHeight="false" outlineLevel="0" collapsed="false"/>
    <row r="563" customFormat="false" ht="12.75" hidden="false" customHeight="false" outlineLevel="0" collapsed="false"/>
    <row r="564" customFormat="false" ht="12.75" hidden="false" customHeight="false" outlineLevel="0" collapsed="false"/>
    <row r="565" customFormat="false" ht="12.75" hidden="false" customHeight="false" outlineLevel="0" collapsed="false"/>
    <row r="566" customFormat="false" ht="12.75" hidden="false" customHeight="false" outlineLevel="0" collapsed="false"/>
    <row r="567" customFormat="false" ht="12.75" hidden="false" customHeight="false" outlineLevel="0" collapsed="false"/>
    <row r="568" customFormat="false" ht="12.75" hidden="false" customHeight="false" outlineLevel="0" collapsed="false"/>
    <row r="569" customFormat="false" ht="12.75" hidden="false" customHeight="false" outlineLevel="0" collapsed="false"/>
    <row r="570" customFormat="false" ht="12.75" hidden="false" customHeight="false" outlineLevel="0" collapsed="false"/>
    <row r="571" customFormat="false" ht="12.75" hidden="false" customHeight="false" outlineLevel="0" collapsed="false"/>
    <row r="572" customFormat="false" ht="12.75" hidden="false" customHeight="false" outlineLevel="0" collapsed="false"/>
    <row r="573" customFormat="false" ht="12.75" hidden="false" customHeight="false" outlineLevel="0" collapsed="false"/>
    <row r="574" customFormat="false" ht="12.75" hidden="false" customHeight="false" outlineLevel="0" collapsed="false"/>
    <row r="575" customFormat="false" ht="12.75" hidden="false" customHeight="false" outlineLevel="0" collapsed="false"/>
    <row r="576" customFormat="false" ht="12.75" hidden="false" customHeight="false" outlineLevel="0" collapsed="false"/>
    <row r="577" customFormat="false" ht="12.75" hidden="false" customHeight="false" outlineLevel="0" collapsed="false"/>
    <row r="578" customFormat="false" ht="12.75" hidden="false" customHeight="false" outlineLevel="0" collapsed="false"/>
    <row r="579" customFormat="false" ht="12.75" hidden="false" customHeight="false" outlineLevel="0" collapsed="false"/>
    <row r="580" customFormat="false" ht="12.75" hidden="false" customHeight="false" outlineLevel="0" collapsed="false"/>
    <row r="581" customFormat="false" ht="12.75" hidden="false" customHeight="false" outlineLevel="0" collapsed="false"/>
    <row r="582" customFormat="false" ht="12.75" hidden="false" customHeight="false" outlineLevel="0" collapsed="false"/>
    <row r="583" customFormat="false" ht="12.75" hidden="false" customHeight="false" outlineLevel="0" collapsed="false"/>
    <row r="584" customFormat="false" ht="12.75" hidden="false" customHeight="false" outlineLevel="0" collapsed="false"/>
    <row r="585" customFormat="false" ht="12.75" hidden="false" customHeight="false" outlineLevel="0" collapsed="false"/>
    <row r="586" customFormat="false" ht="12.75" hidden="false" customHeight="false" outlineLevel="0" collapsed="false"/>
    <row r="587" customFormat="false" ht="12.75" hidden="false" customHeight="false" outlineLevel="0" collapsed="false"/>
    <row r="588" customFormat="false" ht="12.75" hidden="false" customHeight="false" outlineLevel="0" collapsed="false"/>
    <row r="589" customFormat="false" ht="12.75" hidden="false" customHeight="false" outlineLevel="0" collapsed="false"/>
    <row r="590" customFormat="false" ht="12.75" hidden="false" customHeight="false" outlineLevel="0" collapsed="false"/>
    <row r="591" customFormat="false" ht="12.75" hidden="false" customHeight="false" outlineLevel="0" collapsed="false"/>
    <row r="592" customFormat="false" ht="12.75" hidden="false" customHeight="false" outlineLevel="0" collapsed="false"/>
    <row r="593" customFormat="false" ht="12.75" hidden="false" customHeight="false" outlineLevel="0" collapsed="false"/>
    <row r="594" customFormat="false" ht="12.75" hidden="false" customHeight="false" outlineLevel="0" collapsed="false"/>
    <row r="595" customFormat="false" ht="12.75" hidden="false" customHeight="false" outlineLevel="0" collapsed="false"/>
    <row r="596" customFormat="false" ht="12.75" hidden="false" customHeight="false" outlineLevel="0" collapsed="false"/>
    <row r="597" customFormat="false" ht="12.75" hidden="false" customHeight="false" outlineLevel="0" collapsed="false"/>
    <row r="598" customFormat="false" ht="12.75" hidden="false" customHeight="false" outlineLevel="0" collapsed="false"/>
    <row r="599" customFormat="false" ht="12.75" hidden="false" customHeight="false" outlineLevel="0" collapsed="false"/>
    <row r="600" customFormat="false" ht="12.75" hidden="false" customHeight="false" outlineLevel="0" collapsed="false"/>
    <row r="601" customFormat="false" ht="12.75" hidden="false" customHeight="false" outlineLevel="0" collapsed="false"/>
    <row r="602" customFormat="false" ht="12.75" hidden="false" customHeight="false" outlineLevel="0" collapsed="false"/>
    <row r="603" customFormat="false" ht="12.75" hidden="false" customHeight="false" outlineLevel="0" collapsed="false"/>
    <row r="604" customFormat="false" ht="12.75" hidden="false" customHeight="false" outlineLevel="0" collapsed="false"/>
    <row r="605" customFormat="false" ht="12.75" hidden="false" customHeight="false" outlineLevel="0" collapsed="false"/>
    <row r="606" customFormat="false" ht="12.75" hidden="false" customHeight="false" outlineLevel="0" collapsed="false"/>
    <row r="607" customFormat="false" ht="12.75" hidden="false" customHeight="false" outlineLevel="0" collapsed="false"/>
    <row r="608" customFormat="false" ht="12.75" hidden="false" customHeight="false" outlineLevel="0" collapsed="false"/>
    <row r="609" customFormat="false" ht="12.75" hidden="false" customHeight="false" outlineLevel="0" collapsed="false"/>
    <row r="610" customFormat="false" ht="12.75" hidden="false" customHeight="false" outlineLevel="0" collapsed="false"/>
    <row r="611" customFormat="false" ht="12.75" hidden="false" customHeight="false" outlineLevel="0" collapsed="false"/>
    <row r="612" customFormat="false" ht="12.75" hidden="false" customHeight="false" outlineLevel="0" collapsed="false"/>
    <row r="613" customFormat="false" ht="12.75" hidden="false" customHeight="false" outlineLevel="0" collapsed="false"/>
    <row r="614" customFormat="false" ht="12.75" hidden="false" customHeight="false" outlineLevel="0" collapsed="false"/>
    <row r="615" customFormat="false" ht="12.75" hidden="false" customHeight="false" outlineLevel="0" collapsed="false"/>
    <row r="616" customFormat="false" ht="12.75" hidden="false" customHeight="false" outlineLevel="0" collapsed="false"/>
    <row r="617" customFormat="false" ht="12.75" hidden="false" customHeight="false" outlineLevel="0" collapsed="false"/>
    <row r="618" customFormat="false" ht="12.75" hidden="false" customHeight="false" outlineLevel="0" collapsed="false"/>
    <row r="619" customFormat="false" ht="12.75" hidden="false" customHeight="false" outlineLevel="0" collapsed="false"/>
    <row r="620" customFormat="false" ht="12.75" hidden="false" customHeight="false" outlineLevel="0" collapsed="false"/>
    <row r="621" customFormat="false" ht="12.75" hidden="false" customHeight="false" outlineLevel="0" collapsed="false"/>
    <row r="622" customFormat="false" ht="12.75" hidden="false" customHeight="false" outlineLevel="0" collapsed="false"/>
    <row r="623" customFormat="false" ht="12.75" hidden="false" customHeight="false" outlineLevel="0" collapsed="false"/>
    <row r="624" customFormat="false" ht="12.75" hidden="false" customHeight="false" outlineLevel="0" collapsed="false"/>
    <row r="625" customFormat="false" ht="12.75" hidden="false" customHeight="false" outlineLevel="0" collapsed="false"/>
    <row r="626" customFormat="false" ht="12.75" hidden="false" customHeight="false" outlineLevel="0" collapsed="false"/>
    <row r="627" customFormat="false" ht="12.75" hidden="false" customHeight="false" outlineLevel="0" collapsed="false"/>
    <row r="628" customFormat="false" ht="12.75" hidden="false" customHeight="false" outlineLevel="0" collapsed="false"/>
    <row r="629" customFormat="false" ht="12.75" hidden="false" customHeight="false" outlineLevel="0" collapsed="false"/>
    <row r="630" customFormat="false" ht="12.75" hidden="false" customHeight="false" outlineLevel="0" collapsed="false"/>
    <row r="631" customFormat="false" ht="12.75" hidden="false" customHeight="false" outlineLevel="0" collapsed="false"/>
    <row r="632" customFormat="false" ht="12.75" hidden="false" customHeight="false" outlineLevel="0" collapsed="false"/>
    <row r="633" customFormat="false" ht="12.75" hidden="false" customHeight="false" outlineLevel="0" collapsed="false"/>
    <row r="634" customFormat="false" ht="12.75" hidden="false" customHeight="false" outlineLevel="0" collapsed="false"/>
    <row r="635" customFormat="false" ht="12.75" hidden="false" customHeight="false" outlineLevel="0" collapsed="false"/>
    <row r="636" customFormat="false" ht="12.75" hidden="false" customHeight="false" outlineLevel="0" collapsed="false"/>
    <row r="637" customFormat="false" ht="12.75" hidden="false" customHeight="false" outlineLevel="0" collapsed="false"/>
    <row r="638" customFormat="false" ht="12.75" hidden="false" customHeight="false" outlineLevel="0" collapsed="false"/>
    <row r="639" customFormat="false" ht="12.75" hidden="false" customHeight="false" outlineLevel="0" collapsed="false"/>
    <row r="640" customFormat="false" ht="12.75" hidden="false" customHeight="false" outlineLevel="0" collapsed="false"/>
    <row r="641" customFormat="false" ht="12.75" hidden="false" customHeight="false" outlineLevel="0" collapsed="false"/>
    <row r="642" customFormat="false" ht="12.75" hidden="false" customHeight="false" outlineLevel="0" collapsed="false"/>
    <row r="643" customFormat="false" ht="12.75" hidden="false" customHeight="false" outlineLevel="0" collapsed="false"/>
    <row r="644" customFormat="false" ht="12.75" hidden="false" customHeight="false" outlineLevel="0" collapsed="false"/>
    <row r="645" customFormat="false" ht="12.75" hidden="false" customHeight="false" outlineLevel="0" collapsed="false"/>
    <row r="646" customFormat="false" ht="12.75" hidden="false" customHeight="false" outlineLevel="0" collapsed="false"/>
    <row r="647" customFormat="false" ht="12.75" hidden="false" customHeight="false" outlineLevel="0" collapsed="false"/>
    <row r="648" customFormat="false" ht="12.75" hidden="false" customHeight="false" outlineLevel="0" collapsed="false"/>
    <row r="649" customFormat="false" ht="12.75" hidden="false" customHeight="false" outlineLevel="0" collapsed="false"/>
    <row r="650" customFormat="false" ht="12.75" hidden="false" customHeight="false" outlineLevel="0" collapsed="false"/>
    <row r="651" customFormat="false" ht="12.75" hidden="false" customHeight="false" outlineLevel="0" collapsed="false"/>
    <row r="652" customFormat="false" ht="12.75" hidden="false" customHeight="false" outlineLevel="0" collapsed="false"/>
    <row r="653" customFormat="false" ht="12.75" hidden="false" customHeight="false" outlineLevel="0" collapsed="false"/>
    <row r="654" customFormat="false" ht="12.75" hidden="false" customHeight="false" outlineLevel="0" collapsed="false"/>
    <row r="655" customFormat="false" ht="12.75" hidden="false" customHeight="false" outlineLevel="0" collapsed="false"/>
    <row r="656" customFormat="false" ht="12.75" hidden="false" customHeight="false" outlineLevel="0" collapsed="false"/>
    <row r="657" customFormat="false" ht="12.75" hidden="false" customHeight="false" outlineLevel="0" collapsed="false"/>
    <row r="658" customFormat="false" ht="12.75" hidden="false" customHeight="false" outlineLevel="0" collapsed="false"/>
    <row r="659" customFormat="false" ht="12.75" hidden="false" customHeight="false" outlineLevel="0" collapsed="false"/>
    <row r="660" customFormat="false" ht="12.75" hidden="false" customHeight="false" outlineLevel="0" collapsed="false"/>
    <row r="661" customFormat="false" ht="12.75" hidden="false" customHeight="false" outlineLevel="0" collapsed="false"/>
    <row r="662" customFormat="false" ht="12.75" hidden="false" customHeight="false" outlineLevel="0" collapsed="false"/>
    <row r="663" customFormat="false" ht="12.75" hidden="false" customHeight="false" outlineLevel="0" collapsed="false"/>
    <row r="664" customFormat="false" ht="12.75" hidden="false" customHeight="false" outlineLevel="0" collapsed="false"/>
    <row r="665" customFormat="false" ht="12.75" hidden="false" customHeight="false" outlineLevel="0" collapsed="false"/>
    <row r="666" customFormat="false" ht="12.75" hidden="false" customHeight="false" outlineLevel="0" collapsed="false"/>
    <row r="667" customFormat="false" ht="12.75" hidden="false" customHeight="false" outlineLevel="0" collapsed="false"/>
    <row r="668" customFormat="false" ht="12.75" hidden="false" customHeight="false" outlineLevel="0" collapsed="false"/>
    <row r="669" customFormat="false" ht="12.75" hidden="false" customHeight="false" outlineLevel="0" collapsed="false"/>
    <row r="670" customFormat="false" ht="12.75" hidden="false" customHeight="false" outlineLevel="0" collapsed="false"/>
    <row r="671" customFormat="false" ht="12.75" hidden="false" customHeight="false" outlineLevel="0" collapsed="false"/>
    <row r="672" customFormat="false" ht="12.75" hidden="false" customHeight="false" outlineLevel="0" collapsed="false"/>
    <row r="673" customFormat="false" ht="12.75" hidden="false" customHeight="false" outlineLevel="0" collapsed="false"/>
    <row r="674" customFormat="false" ht="12.75" hidden="false" customHeight="false" outlineLevel="0" collapsed="false"/>
    <row r="675" customFormat="false" ht="12.75" hidden="false" customHeight="false" outlineLevel="0" collapsed="false"/>
    <row r="676" customFormat="false" ht="12.75" hidden="false" customHeight="false" outlineLevel="0" collapsed="false"/>
    <row r="677" customFormat="false" ht="12.75" hidden="false" customHeight="false" outlineLevel="0" collapsed="false"/>
    <row r="678" customFormat="false" ht="12.75" hidden="false" customHeight="false" outlineLevel="0" collapsed="false"/>
    <row r="679" customFormat="false" ht="12.75" hidden="false" customHeight="false" outlineLevel="0" collapsed="false"/>
    <row r="680" customFormat="false" ht="12.75" hidden="false" customHeight="false" outlineLevel="0" collapsed="false"/>
    <row r="681" customFormat="false" ht="12.75" hidden="false" customHeight="false" outlineLevel="0" collapsed="false"/>
    <row r="682" customFormat="false" ht="12.75" hidden="false" customHeight="false" outlineLevel="0" collapsed="false"/>
    <row r="683" customFormat="false" ht="12.75" hidden="false" customHeight="false" outlineLevel="0" collapsed="false"/>
    <row r="684" customFormat="false" ht="12.75" hidden="false" customHeight="false" outlineLevel="0" collapsed="false"/>
    <row r="685" customFormat="false" ht="12.75" hidden="false" customHeight="false" outlineLevel="0" collapsed="false"/>
    <row r="686" customFormat="false" ht="12.75" hidden="false" customHeight="false" outlineLevel="0" collapsed="false"/>
    <row r="687" customFormat="false" ht="12.75" hidden="false" customHeight="false" outlineLevel="0" collapsed="false"/>
    <row r="688" customFormat="false" ht="12.75" hidden="false" customHeight="false" outlineLevel="0" collapsed="false"/>
    <row r="689" customFormat="false" ht="12.75" hidden="false" customHeight="false" outlineLevel="0" collapsed="false"/>
    <row r="690" customFormat="false" ht="12.75" hidden="false" customHeight="false" outlineLevel="0" collapsed="false"/>
    <row r="691" customFormat="false" ht="12.75" hidden="false" customHeight="false" outlineLevel="0" collapsed="false"/>
    <row r="692" customFormat="false" ht="12.75" hidden="false" customHeight="false" outlineLevel="0" collapsed="false"/>
    <row r="693" customFormat="false" ht="12.75" hidden="false" customHeight="false" outlineLevel="0" collapsed="false"/>
    <row r="694" customFormat="false" ht="12.75" hidden="false" customHeight="false" outlineLevel="0" collapsed="false"/>
    <row r="695" customFormat="false" ht="12.75" hidden="false" customHeight="false" outlineLevel="0" collapsed="false"/>
    <row r="696" customFormat="false" ht="12.75" hidden="false" customHeight="false" outlineLevel="0" collapsed="false"/>
    <row r="697" customFormat="false" ht="12.75" hidden="false" customHeight="false" outlineLevel="0" collapsed="false"/>
    <row r="698" customFormat="false" ht="12.75" hidden="false" customHeight="false" outlineLevel="0" collapsed="false"/>
    <row r="699" customFormat="false" ht="12.75" hidden="false" customHeight="false" outlineLevel="0" collapsed="false"/>
    <row r="700" customFormat="false" ht="12.75" hidden="false" customHeight="false" outlineLevel="0" collapsed="false"/>
    <row r="701" customFormat="false" ht="12.75" hidden="false" customHeight="false" outlineLevel="0" collapsed="false"/>
    <row r="702" customFormat="false" ht="12.75" hidden="false" customHeight="false" outlineLevel="0" collapsed="false"/>
    <row r="703" customFormat="false" ht="12.75" hidden="false" customHeight="false" outlineLevel="0" collapsed="false"/>
    <row r="704" customFormat="false" ht="12.75" hidden="false" customHeight="false" outlineLevel="0" collapsed="false"/>
    <row r="705" customFormat="false" ht="12.75" hidden="false" customHeight="false" outlineLevel="0" collapsed="false"/>
    <row r="706" customFormat="false" ht="12.75" hidden="false" customHeight="false" outlineLevel="0" collapsed="false"/>
    <row r="707" customFormat="false" ht="12.75" hidden="false" customHeight="false" outlineLevel="0" collapsed="false"/>
    <row r="708" customFormat="false" ht="12.75" hidden="false" customHeight="false" outlineLevel="0" collapsed="false"/>
    <row r="709" customFormat="false" ht="12.75" hidden="false" customHeight="false" outlineLevel="0" collapsed="false"/>
    <row r="710" customFormat="false" ht="12.75" hidden="false" customHeight="false" outlineLevel="0" collapsed="false"/>
    <row r="711" customFormat="false" ht="12.75" hidden="false" customHeight="false" outlineLevel="0" collapsed="false"/>
    <row r="712" customFormat="false" ht="12.75" hidden="false" customHeight="false" outlineLevel="0" collapsed="false"/>
    <row r="713" customFormat="false" ht="12.75" hidden="false" customHeight="false" outlineLevel="0" collapsed="false"/>
    <row r="714" customFormat="false" ht="12.75" hidden="false" customHeight="false" outlineLevel="0" collapsed="false"/>
    <row r="715" customFormat="false" ht="12.75" hidden="false" customHeight="false" outlineLevel="0" collapsed="false"/>
    <row r="716" customFormat="false" ht="12.75" hidden="false" customHeight="false" outlineLevel="0" collapsed="false"/>
    <row r="717" customFormat="false" ht="12.75" hidden="false" customHeight="false" outlineLevel="0" collapsed="false"/>
    <row r="718" customFormat="false" ht="12.75" hidden="false" customHeight="false" outlineLevel="0" collapsed="false"/>
    <row r="719" customFormat="false" ht="12.75" hidden="false" customHeight="false" outlineLevel="0" collapsed="false"/>
    <row r="720" customFormat="false" ht="12.75" hidden="false" customHeight="false" outlineLevel="0" collapsed="false"/>
    <row r="721" customFormat="false" ht="12.75" hidden="false" customHeight="false" outlineLevel="0" collapsed="false"/>
    <row r="722" customFormat="false" ht="12.75" hidden="false" customHeight="false" outlineLevel="0" collapsed="false"/>
    <row r="723" customFormat="false" ht="12.75" hidden="false" customHeight="false" outlineLevel="0" collapsed="false"/>
    <row r="724" customFormat="false" ht="12.75" hidden="false" customHeight="false" outlineLevel="0" collapsed="false"/>
    <row r="725" customFormat="false" ht="12.75" hidden="false" customHeight="false" outlineLevel="0" collapsed="false"/>
    <row r="726" customFormat="false" ht="12.75" hidden="false" customHeight="false" outlineLevel="0" collapsed="false"/>
    <row r="727" customFormat="false" ht="12.75" hidden="false" customHeight="false" outlineLevel="0" collapsed="false"/>
    <row r="728" customFormat="false" ht="12.75" hidden="false" customHeight="false" outlineLevel="0" collapsed="false"/>
    <row r="729" customFormat="false" ht="12.75" hidden="false" customHeight="false" outlineLevel="0" collapsed="false"/>
    <row r="730" customFormat="false" ht="12.75" hidden="false" customHeight="false" outlineLevel="0" collapsed="false"/>
    <row r="731" customFormat="false" ht="12.75" hidden="false" customHeight="false" outlineLevel="0" collapsed="false"/>
    <row r="732" customFormat="false" ht="12.75" hidden="false" customHeight="false" outlineLevel="0" collapsed="false"/>
    <row r="733" customFormat="false" ht="12.75" hidden="false" customHeight="false" outlineLevel="0" collapsed="false"/>
    <row r="734" customFormat="false" ht="12.75" hidden="false" customHeight="false" outlineLevel="0" collapsed="false"/>
    <row r="735" customFormat="false" ht="12.75" hidden="false" customHeight="false" outlineLevel="0" collapsed="false"/>
    <row r="736" customFormat="false" ht="12.75" hidden="false" customHeight="false" outlineLevel="0" collapsed="false"/>
    <row r="737" customFormat="false" ht="12.75" hidden="false" customHeight="false" outlineLevel="0" collapsed="false"/>
    <row r="738" customFormat="false" ht="12.75" hidden="false" customHeight="false" outlineLevel="0" collapsed="false"/>
    <row r="739" customFormat="false" ht="12.75" hidden="false" customHeight="false" outlineLevel="0" collapsed="false"/>
    <row r="740" customFormat="false" ht="12.75" hidden="false" customHeight="false" outlineLevel="0" collapsed="false"/>
    <row r="741" customFormat="false" ht="12.75" hidden="false" customHeight="false" outlineLevel="0" collapsed="false"/>
    <row r="742" customFormat="false" ht="12.75" hidden="false" customHeight="false" outlineLevel="0" collapsed="false"/>
    <row r="743" customFormat="false" ht="12.75" hidden="false" customHeight="false" outlineLevel="0" collapsed="false"/>
    <row r="744" customFormat="false" ht="12.75" hidden="false" customHeight="false" outlineLevel="0" collapsed="false"/>
    <row r="745" customFormat="false" ht="12.75" hidden="false" customHeight="false" outlineLevel="0" collapsed="false"/>
    <row r="746" customFormat="false" ht="12.75" hidden="false" customHeight="false" outlineLevel="0" collapsed="false"/>
    <row r="747" customFormat="false" ht="12.75" hidden="false" customHeight="false" outlineLevel="0" collapsed="false"/>
    <row r="748" customFormat="false" ht="12.75" hidden="false" customHeight="false" outlineLevel="0" collapsed="false"/>
    <row r="749" customFormat="false" ht="12.75" hidden="false" customHeight="false" outlineLevel="0" collapsed="false"/>
    <row r="750" customFormat="false" ht="12.75" hidden="false" customHeight="false" outlineLevel="0" collapsed="false"/>
    <row r="751" customFormat="false" ht="12.75" hidden="false" customHeight="false" outlineLevel="0" collapsed="false"/>
    <row r="752" customFormat="false" ht="12.75" hidden="false" customHeight="false" outlineLevel="0" collapsed="false"/>
    <row r="753" customFormat="false" ht="12.75" hidden="false" customHeight="false" outlineLevel="0" collapsed="false"/>
    <row r="754" customFormat="false" ht="12.75" hidden="false" customHeight="false" outlineLevel="0" collapsed="false"/>
    <row r="755" customFormat="false" ht="12.75" hidden="false" customHeight="false" outlineLevel="0" collapsed="false"/>
    <row r="756" customFormat="false" ht="12.75" hidden="false" customHeight="false" outlineLevel="0" collapsed="false"/>
    <row r="757" customFormat="false" ht="12.75" hidden="false" customHeight="false" outlineLevel="0" collapsed="false"/>
    <row r="758" customFormat="false" ht="12.75" hidden="false" customHeight="false" outlineLevel="0" collapsed="false"/>
    <row r="759" customFormat="false" ht="12.75" hidden="false" customHeight="false" outlineLevel="0" collapsed="false"/>
    <row r="760" customFormat="false" ht="12.75" hidden="false" customHeight="false" outlineLevel="0" collapsed="false"/>
    <row r="761" customFormat="false" ht="12.75" hidden="false" customHeight="false" outlineLevel="0" collapsed="false"/>
    <row r="762" customFormat="false" ht="12.75" hidden="false" customHeight="false" outlineLevel="0" collapsed="false"/>
    <row r="763" customFormat="false" ht="12.75" hidden="false" customHeight="false" outlineLevel="0" collapsed="false"/>
    <row r="764" customFormat="false" ht="12.75" hidden="false" customHeight="false" outlineLevel="0" collapsed="false"/>
    <row r="765" customFormat="false" ht="12.75" hidden="false" customHeight="false" outlineLevel="0" collapsed="false"/>
    <row r="766" customFormat="false" ht="12.75" hidden="false" customHeight="false" outlineLevel="0" collapsed="false"/>
    <row r="767" customFormat="false" ht="12.75" hidden="false" customHeight="false" outlineLevel="0" collapsed="false"/>
    <row r="768" customFormat="false" ht="12.75" hidden="false" customHeight="false" outlineLevel="0" collapsed="false"/>
    <row r="769" customFormat="false" ht="12.75" hidden="false" customHeight="false" outlineLevel="0" collapsed="false"/>
    <row r="770" customFormat="false" ht="12.75" hidden="false" customHeight="false" outlineLevel="0" collapsed="false"/>
    <row r="771" customFormat="false" ht="12.75" hidden="false" customHeight="false" outlineLevel="0" collapsed="false"/>
    <row r="772" customFormat="false" ht="12.75" hidden="false" customHeight="false" outlineLevel="0" collapsed="false"/>
    <row r="773" customFormat="false" ht="12.75" hidden="false" customHeight="false" outlineLevel="0" collapsed="false"/>
    <row r="774" customFormat="false" ht="12.75" hidden="false" customHeight="false" outlineLevel="0" collapsed="false"/>
    <row r="775" customFormat="false" ht="12.75" hidden="false" customHeight="false" outlineLevel="0" collapsed="false"/>
    <row r="776" customFormat="false" ht="12.75" hidden="false" customHeight="false" outlineLevel="0" collapsed="false"/>
    <row r="777" customFormat="false" ht="12.75" hidden="false" customHeight="false" outlineLevel="0" collapsed="false"/>
    <row r="778" customFormat="false" ht="12.75" hidden="false" customHeight="false" outlineLevel="0" collapsed="false"/>
    <row r="779" customFormat="false" ht="12.75" hidden="false" customHeight="false" outlineLevel="0" collapsed="false"/>
    <row r="780" customFormat="false" ht="12.75" hidden="false" customHeight="false" outlineLevel="0" collapsed="false"/>
    <row r="781" customFormat="false" ht="12.75" hidden="false" customHeight="false" outlineLevel="0" collapsed="false"/>
    <row r="782" customFormat="false" ht="12.75" hidden="false" customHeight="false" outlineLevel="0" collapsed="false"/>
    <row r="783" customFormat="false" ht="12.75" hidden="false" customHeight="false" outlineLevel="0" collapsed="false"/>
    <row r="784" customFormat="false" ht="12.75" hidden="false" customHeight="false" outlineLevel="0" collapsed="false"/>
    <row r="785" customFormat="false" ht="12.75" hidden="false" customHeight="false" outlineLevel="0" collapsed="false"/>
    <row r="786" customFormat="false" ht="12.75" hidden="false" customHeight="false" outlineLevel="0" collapsed="false"/>
    <row r="787" customFormat="false" ht="12.75" hidden="false" customHeight="false" outlineLevel="0" collapsed="false"/>
    <row r="788" customFormat="false" ht="12.75" hidden="false" customHeight="false" outlineLevel="0" collapsed="false"/>
    <row r="789" customFormat="false" ht="12.75" hidden="false" customHeight="false" outlineLevel="0" collapsed="false"/>
    <row r="790" customFormat="false" ht="12.75" hidden="false" customHeight="false" outlineLevel="0" collapsed="false"/>
    <row r="791" customFormat="false" ht="12.75" hidden="false" customHeight="false" outlineLevel="0" collapsed="false"/>
    <row r="792" customFormat="false" ht="12.75" hidden="false" customHeight="false" outlineLevel="0" collapsed="false"/>
    <row r="793" customFormat="false" ht="12.75" hidden="false" customHeight="false" outlineLevel="0" collapsed="false"/>
    <row r="794" customFormat="false" ht="12.75" hidden="false" customHeight="false" outlineLevel="0" collapsed="false"/>
    <row r="795" customFormat="false" ht="12.75" hidden="false" customHeight="false" outlineLevel="0" collapsed="false"/>
    <row r="796" customFormat="false" ht="12.75" hidden="false" customHeight="false" outlineLevel="0" collapsed="false"/>
    <row r="797" customFormat="false" ht="12.75" hidden="false" customHeight="false" outlineLevel="0" collapsed="false"/>
    <row r="798" customFormat="false" ht="12.75" hidden="false" customHeight="false" outlineLevel="0" collapsed="false"/>
    <row r="799" customFormat="false" ht="12.75" hidden="false" customHeight="false" outlineLevel="0" collapsed="false"/>
    <row r="800" customFormat="false" ht="12.75" hidden="false" customHeight="false" outlineLevel="0" collapsed="false"/>
    <row r="801" customFormat="false" ht="12.75" hidden="false" customHeight="false" outlineLevel="0" collapsed="false"/>
    <row r="802" customFormat="false" ht="12.75" hidden="false" customHeight="false" outlineLevel="0" collapsed="false"/>
    <row r="803" customFormat="false" ht="12.75" hidden="false" customHeight="false" outlineLevel="0" collapsed="false"/>
    <row r="804" customFormat="false" ht="12.75" hidden="false" customHeight="false" outlineLevel="0" collapsed="false"/>
    <row r="805" customFormat="false" ht="12.75" hidden="false" customHeight="false" outlineLevel="0" collapsed="false"/>
    <row r="806" customFormat="false" ht="12.75" hidden="false" customHeight="false" outlineLevel="0" collapsed="false"/>
    <row r="807" customFormat="false" ht="12.75" hidden="false" customHeight="false" outlineLevel="0" collapsed="false"/>
    <row r="808" customFormat="false" ht="12.75" hidden="false" customHeight="false" outlineLevel="0" collapsed="false"/>
    <row r="809" customFormat="false" ht="12.75" hidden="false" customHeight="false" outlineLevel="0" collapsed="false"/>
    <row r="810" customFormat="false" ht="12.75" hidden="false" customHeight="false" outlineLevel="0" collapsed="false"/>
    <row r="811" customFormat="false" ht="12.75" hidden="false" customHeight="false" outlineLevel="0" collapsed="false"/>
    <row r="812" customFormat="false" ht="12.75" hidden="false" customHeight="false" outlineLevel="0" collapsed="false"/>
    <row r="813" customFormat="false" ht="12.75" hidden="false" customHeight="false" outlineLevel="0" collapsed="false"/>
    <row r="814" customFormat="false" ht="12.75" hidden="false" customHeight="false" outlineLevel="0" collapsed="false"/>
    <row r="815" customFormat="false" ht="12.75" hidden="false" customHeight="false" outlineLevel="0" collapsed="false"/>
    <row r="816" customFormat="false" ht="12.75" hidden="false" customHeight="false" outlineLevel="0" collapsed="false"/>
    <row r="817" customFormat="false" ht="12.75" hidden="false" customHeight="false" outlineLevel="0" collapsed="false"/>
    <row r="818" customFormat="false" ht="12.75" hidden="false" customHeight="false" outlineLevel="0" collapsed="false"/>
    <row r="819" customFormat="false" ht="12.75" hidden="false" customHeight="false" outlineLevel="0" collapsed="false"/>
    <row r="820" customFormat="false" ht="12.75" hidden="false" customHeight="false" outlineLevel="0" collapsed="false"/>
    <row r="821" customFormat="false" ht="12.75" hidden="false" customHeight="false" outlineLevel="0" collapsed="false"/>
    <row r="822" customFormat="false" ht="12.75" hidden="false" customHeight="false" outlineLevel="0" collapsed="false"/>
    <row r="823" customFormat="false" ht="12.75" hidden="false" customHeight="false" outlineLevel="0" collapsed="false"/>
    <row r="824" customFormat="false" ht="12.75" hidden="false" customHeight="false" outlineLevel="0" collapsed="false"/>
    <row r="825" customFormat="false" ht="12.75" hidden="false" customHeight="false" outlineLevel="0" collapsed="false"/>
    <row r="826" customFormat="false" ht="12.75" hidden="false" customHeight="false" outlineLevel="0" collapsed="false"/>
    <row r="827" customFormat="false" ht="12.75" hidden="false" customHeight="false" outlineLevel="0" collapsed="false"/>
    <row r="828" customFormat="false" ht="12.75" hidden="false" customHeight="false" outlineLevel="0" collapsed="false"/>
    <row r="829" customFormat="false" ht="12.75" hidden="false" customHeight="false" outlineLevel="0" collapsed="false"/>
    <row r="830" customFormat="false" ht="12.75" hidden="false" customHeight="false" outlineLevel="0" collapsed="false"/>
    <row r="831" customFormat="false" ht="12.75" hidden="false" customHeight="false" outlineLevel="0" collapsed="false"/>
    <row r="832" customFormat="false" ht="12.75" hidden="false" customHeight="false" outlineLevel="0" collapsed="false"/>
    <row r="833" customFormat="false" ht="12.75" hidden="false" customHeight="false" outlineLevel="0" collapsed="false"/>
    <row r="834" customFormat="false" ht="12.75" hidden="false" customHeight="false" outlineLevel="0" collapsed="false"/>
    <row r="835" customFormat="false" ht="12.75" hidden="false" customHeight="false" outlineLevel="0" collapsed="false"/>
    <row r="836" customFormat="false" ht="12.75" hidden="false" customHeight="false" outlineLevel="0" collapsed="false"/>
    <row r="837" customFormat="false" ht="12.75" hidden="false" customHeight="false" outlineLevel="0" collapsed="false"/>
    <row r="838" customFormat="false" ht="12.75" hidden="false" customHeight="false" outlineLevel="0" collapsed="false"/>
    <row r="839" customFormat="false" ht="12.75" hidden="false" customHeight="false" outlineLevel="0" collapsed="false"/>
    <row r="840" customFormat="false" ht="12.75" hidden="false" customHeight="false" outlineLevel="0" collapsed="false"/>
    <row r="841" customFormat="false" ht="12.75" hidden="false" customHeight="false" outlineLevel="0" collapsed="false"/>
    <row r="842" customFormat="false" ht="12.75" hidden="false" customHeight="false" outlineLevel="0" collapsed="false"/>
    <row r="843" customFormat="false" ht="12.75" hidden="false" customHeight="false" outlineLevel="0" collapsed="false"/>
    <row r="844" customFormat="false" ht="12.75" hidden="false" customHeight="false" outlineLevel="0" collapsed="false"/>
    <row r="845" customFormat="false" ht="12.75" hidden="false" customHeight="false" outlineLevel="0" collapsed="false"/>
    <row r="846" customFormat="false" ht="12.75" hidden="false" customHeight="false" outlineLevel="0" collapsed="false"/>
    <row r="847" customFormat="false" ht="12.75" hidden="false" customHeight="false" outlineLevel="0" collapsed="false"/>
    <row r="848" customFormat="false" ht="12.75" hidden="false" customHeight="false" outlineLevel="0" collapsed="false"/>
    <row r="849" customFormat="false" ht="12.75" hidden="false" customHeight="false" outlineLevel="0" collapsed="false"/>
    <row r="850" customFormat="false" ht="12.75" hidden="false" customHeight="false" outlineLevel="0" collapsed="false"/>
    <row r="851" customFormat="false" ht="12.75" hidden="false" customHeight="false" outlineLevel="0" collapsed="false"/>
    <row r="852" customFormat="false" ht="12.75" hidden="false" customHeight="false" outlineLevel="0" collapsed="false"/>
    <row r="853" customFormat="false" ht="12.75" hidden="false" customHeight="false" outlineLevel="0" collapsed="false"/>
    <row r="854" customFormat="false" ht="12.75" hidden="false" customHeight="false" outlineLevel="0" collapsed="false"/>
    <row r="855" customFormat="false" ht="12.75" hidden="false" customHeight="false" outlineLevel="0" collapsed="false"/>
    <row r="856" customFormat="false" ht="12.75" hidden="false" customHeight="false" outlineLevel="0" collapsed="false"/>
    <row r="857" customFormat="false" ht="12.75" hidden="false" customHeight="false" outlineLevel="0" collapsed="false"/>
    <row r="858" customFormat="false" ht="12.75" hidden="false" customHeight="false" outlineLevel="0" collapsed="false"/>
    <row r="859" customFormat="false" ht="12.75" hidden="false" customHeight="false" outlineLevel="0" collapsed="false"/>
    <row r="860" customFormat="false" ht="12.75" hidden="false" customHeight="false" outlineLevel="0" collapsed="false"/>
    <row r="861" customFormat="false" ht="12.75" hidden="false" customHeight="false" outlineLevel="0" collapsed="false"/>
    <row r="862" customFormat="false" ht="12.75" hidden="false" customHeight="false" outlineLevel="0" collapsed="false"/>
    <row r="863" customFormat="false" ht="12.75" hidden="false" customHeight="false" outlineLevel="0" collapsed="false"/>
    <row r="864" customFormat="false" ht="12.75" hidden="false" customHeight="false" outlineLevel="0" collapsed="false"/>
    <row r="865" customFormat="false" ht="12.75" hidden="false" customHeight="false" outlineLevel="0" collapsed="false"/>
    <row r="866" customFormat="false" ht="12.75" hidden="false" customHeight="false" outlineLevel="0" collapsed="false"/>
    <row r="867" customFormat="false" ht="12.75" hidden="false" customHeight="false" outlineLevel="0" collapsed="false"/>
    <row r="868" customFormat="false" ht="12.75" hidden="false" customHeight="false" outlineLevel="0" collapsed="false"/>
    <row r="869" customFormat="false" ht="12.75" hidden="false" customHeight="false" outlineLevel="0" collapsed="false"/>
    <row r="870" customFormat="false" ht="12.75" hidden="false" customHeight="false" outlineLevel="0" collapsed="false"/>
    <row r="871" customFormat="false" ht="12.75" hidden="false" customHeight="false" outlineLevel="0" collapsed="false"/>
    <row r="872" customFormat="false" ht="12.75" hidden="false" customHeight="false" outlineLevel="0" collapsed="false"/>
    <row r="873" customFormat="false" ht="12.75" hidden="false" customHeight="false" outlineLevel="0" collapsed="false"/>
    <row r="874" customFormat="false" ht="12.75" hidden="false" customHeight="false" outlineLevel="0" collapsed="false"/>
    <row r="875" customFormat="false" ht="12.75" hidden="false" customHeight="false" outlineLevel="0" collapsed="false"/>
    <row r="876" customFormat="false" ht="12.75" hidden="false" customHeight="false" outlineLevel="0" collapsed="false"/>
    <row r="877" customFormat="false" ht="12.75" hidden="false" customHeight="false" outlineLevel="0" collapsed="false"/>
    <row r="878" customFormat="false" ht="12.75" hidden="false" customHeight="false" outlineLevel="0" collapsed="false"/>
    <row r="879" customFormat="false" ht="12.75" hidden="false" customHeight="false" outlineLevel="0" collapsed="false"/>
    <row r="880" customFormat="false" ht="12.75" hidden="false" customHeight="false" outlineLevel="0" collapsed="false"/>
    <row r="881" customFormat="false" ht="12.75" hidden="false" customHeight="false" outlineLevel="0" collapsed="false"/>
    <row r="882" customFormat="false" ht="12.75" hidden="false" customHeight="false" outlineLevel="0" collapsed="false"/>
    <row r="883" customFormat="false" ht="12.75" hidden="false" customHeight="false" outlineLevel="0" collapsed="false"/>
    <row r="884" customFormat="false" ht="12.75" hidden="false" customHeight="false" outlineLevel="0" collapsed="false"/>
    <row r="885" customFormat="false" ht="12.75" hidden="false" customHeight="false" outlineLevel="0" collapsed="false"/>
    <row r="886" customFormat="false" ht="12.75" hidden="false" customHeight="false" outlineLevel="0" collapsed="false"/>
    <row r="887" customFormat="false" ht="12.75" hidden="false" customHeight="false" outlineLevel="0" collapsed="false"/>
    <row r="888" customFormat="false" ht="12.75" hidden="false" customHeight="false" outlineLevel="0" collapsed="false"/>
    <row r="889" customFormat="false" ht="12.75" hidden="false" customHeight="false" outlineLevel="0" collapsed="false"/>
    <row r="890" customFormat="false" ht="12.75" hidden="false" customHeight="false" outlineLevel="0" collapsed="false"/>
    <row r="891" customFormat="false" ht="12.75" hidden="false" customHeight="false" outlineLevel="0" collapsed="false"/>
    <row r="892" customFormat="false" ht="12.75" hidden="false" customHeight="false" outlineLevel="0" collapsed="false"/>
    <row r="893" customFormat="false" ht="12.75" hidden="false" customHeight="false" outlineLevel="0" collapsed="false"/>
    <row r="894" customFormat="false" ht="12.75" hidden="false" customHeight="false" outlineLevel="0" collapsed="false"/>
    <row r="895" customFormat="false" ht="12.75" hidden="false" customHeight="false" outlineLevel="0" collapsed="false"/>
    <row r="896" customFormat="false" ht="12.75" hidden="false" customHeight="false" outlineLevel="0" collapsed="false"/>
    <row r="897" customFormat="false" ht="12.75" hidden="false" customHeight="false" outlineLevel="0" collapsed="false"/>
    <row r="898" customFormat="false" ht="12.75" hidden="false" customHeight="false" outlineLevel="0" collapsed="false"/>
    <row r="899" customFormat="false" ht="12.75" hidden="false" customHeight="false" outlineLevel="0" collapsed="false"/>
    <row r="900" customFormat="false" ht="12.75" hidden="false" customHeight="false" outlineLevel="0" collapsed="false"/>
    <row r="901" customFormat="false" ht="12.75" hidden="false" customHeight="false" outlineLevel="0" collapsed="false"/>
    <row r="902" customFormat="false" ht="12.75" hidden="false" customHeight="false" outlineLevel="0" collapsed="false"/>
    <row r="903" customFormat="false" ht="12.75" hidden="false" customHeight="false" outlineLevel="0" collapsed="false"/>
    <row r="904" customFormat="false" ht="12.75" hidden="false" customHeight="false" outlineLevel="0" collapsed="false"/>
    <row r="905" customFormat="false" ht="12.75" hidden="false" customHeight="false" outlineLevel="0" collapsed="false"/>
    <row r="906" customFormat="false" ht="12.75" hidden="false" customHeight="false" outlineLevel="0" collapsed="false"/>
    <row r="907" customFormat="false" ht="12.75" hidden="false" customHeight="false" outlineLevel="0" collapsed="false"/>
    <row r="908" customFormat="false" ht="12.75" hidden="false" customHeight="false" outlineLevel="0" collapsed="false"/>
    <row r="909" customFormat="false" ht="12.75" hidden="false" customHeight="false" outlineLevel="0" collapsed="false"/>
    <row r="910" customFormat="false" ht="12.75" hidden="false" customHeight="false" outlineLevel="0" collapsed="false"/>
    <row r="911" customFormat="false" ht="12.75" hidden="false" customHeight="false" outlineLevel="0" collapsed="false"/>
    <row r="912" customFormat="false" ht="12.75" hidden="false" customHeight="false" outlineLevel="0" collapsed="false"/>
    <row r="913" customFormat="false" ht="12.75" hidden="false" customHeight="false" outlineLevel="0" collapsed="false"/>
    <row r="914" customFormat="false" ht="12.75" hidden="false" customHeight="false" outlineLevel="0" collapsed="false"/>
    <row r="915" customFormat="false" ht="12.75" hidden="false" customHeight="false" outlineLevel="0" collapsed="false"/>
    <row r="916" customFormat="false" ht="12.75" hidden="false" customHeight="false" outlineLevel="0" collapsed="false"/>
    <row r="917" customFormat="false" ht="12.75" hidden="false" customHeight="false" outlineLevel="0" collapsed="false"/>
    <row r="918" customFormat="false" ht="12.75" hidden="false" customHeight="false" outlineLevel="0" collapsed="false"/>
    <row r="919" customFormat="false" ht="12.75" hidden="false" customHeight="false" outlineLevel="0" collapsed="false"/>
    <row r="920" customFormat="false" ht="12.75" hidden="false" customHeight="false" outlineLevel="0" collapsed="false"/>
    <row r="921" customFormat="false" ht="12.75" hidden="false" customHeight="false" outlineLevel="0" collapsed="false"/>
    <row r="922" customFormat="false" ht="12.75" hidden="false" customHeight="false" outlineLevel="0" collapsed="false"/>
    <row r="923" customFormat="false" ht="12.75" hidden="false" customHeight="false" outlineLevel="0" collapsed="false"/>
    <row r="924" customFormat="false" ht="12.75" hidden="false" customHeight="false" outlineLevel="0" collapsed="false"/>
    <row r="925" customFormat="false" ht="12.75" hidden="false" customHeight="false" outlineLevel="0" collapsed="false"/>
    <row r="926" customFormat="false" ht="12.75" hidden="false" customHeight="false" outlineLevel="0" collapsed="false"/>
    <row r="927" customFormat="false" ht="12.75" hidden="false" customHeight="false" outlineLevel="0" collapsed="false"/>
    <row r="928" customFormat="false" ht="12.75" hidden="false" customHeight="false" outlineLevel="0" collapsed="false"/>
    <row r="929" customFormat="false" ht="12.75" hidden="false" customHeight="false" outlineLevel="0" collapsed="false"/>
    <row r="930" customFormat="false" ht="12.75" hidden="false" customHeight="false" outlineLevel="0" collapsed="false"/>
    <row r="931" customFormat="false" ht="12.75" hidden="false" customHeight="false" outlineLevel="0" collapsed="false"/>
    <row r="932" customFormat="false" ht="12.75" hidden="false" customHeight="false" outlineLevel="0" collapsed="false"/>
    <row r="933" customFormat="false" ht="12.75" hidden="false" customHeight="false" outlineLevel="0" collapsed="false"/>
    <row r="934" customFormat="false" ht="12.75" hidden="false" customHeight="false" outlineLevel="0" collapsed="false"/>
    <row r="935" customFormat="false" ht="12.75" hidden="false" customHeight="false" outlineLevel="0" collapsed="false"/>
    <row r="936" customFormat="false" ht="12.75" hidden="false" customHeight="false" outlineLevel="0" collapsed="false"/>
    <row r="937" customFormat="false" ht="12.75" hidden="false" customHeight="false" outlineLevel="0" collapsed="false"/>
    <row r="938" customFormat="false" ht="12.75" hidden="false" customHeight="false" outlineLevel="0" collapsed="false"/>
    <row r="939" customFormat="false" ht="12.75" hidden="false" customHeight="false" outlineLevel="0" collapsed="false"/>
    <row r="940" customFormat="false" ht="12.75" hidden="false" customHeight="false" outlineLevel="0" collapsed="false"/>
    <row r="941" customFormat="false" ht="12.75" hidden="false" customHeight="false" outlineLevel="0" collapsed="false"/>
    <row r="942" customFormat="false" ht="12.75" hidden="false" customHeight="false" outlineLevel="0" collapsed="false"/>
    <row r="943" customFormat="false" ht="12.75" hidden="false" customHeight="false" outlineLevel="0" collapsed="false"/>
    <row r="944" customFormat="false" ht="12.75" hidden="false" customHeight="false" outlineLevel="0" collapsed="false"/>
    <row r="945" customFormat="false" ht="12.75" hidden="false" customHeight="false" outlineLevel="0" collapsed="false"/>
    <row r="946" customFormat="false" ht="12.75" hidden="false" customHeight="false" outlineLevel="0" collapsed="false"/>
    <row r="947" customFormat="false" ht="12.75" hidden="false" customHeight="false" outlineLevel="0" collapsed="false"/>
    <row r="948" customFormat="false" ht="12.75" hidden="false" customHeight="false" outlineLevel="0" collapsed="false"/>
    <row r="949" customFormat="false" ht="12.75" hidden="false" customHeight="false" outlineLevel="0" collapsed="false"/>
    <row r="950" customFormat="false" ht="12.75" hidden="false" customHeight="false" outlineLevel="0" collapsed="false"/>
    <row r="951" customFormat="false" ht="12.75" hidden="false" customHeight="false" outlineLevel="0" collapsed="false"/>
    <row r="952" customFormat="false" ht="12.75" hidden="false" customHeight="false" outlineLevel="0" collapsed="false"/>
    <row r="953" customFormat="false" ht="12.75" hidden="false" customHeight="false" outlineLevel="0" collapsed="false"/>
    <row r="954" customFormat="false" ht="12.75" hidden="false" customHeight="false" outlineLevel="0" collapsed="false"/>
    <row r="955" customFormat="false" ht="12.75" hidden="false" customHeight="false" outlineLevel="0" collapsed="false"/>
    <row r="956" customFormat="false" ht="12.75" hidden="false" customHeight="false" outlineLevel="0" collapsed="false"/>
    <row r="957" customFormat="false" ht="12.75" hidden="false" customHeight="false" outlineLevel="0" collapsed="false"/>
    <row r="958" customFormat="false" ht="12.75" hidden="false" customHeight="false" outlineLevel="0" collapsed="false"/>
    <row r="959" customFormat="false" ht="12.75" hidden="false" customHeight="false" outlineLevel="0" collapsed="false"/>
    <row r="960" customFormat="false" ht="12.75" hidden="false" customHeight="false" outlineLevel="0" collapsed="false"/>
    <row r="961" customFormat="false" ht="12.75" hidden="false" customHeight="false" outlineLevel="0" collapsed="false"/>
    <row r="962" customFormat="false" ht="12.75" hidden="false" customHeight="false" outlineLevel="0" collapsed="false"/>
    <row r="963" customFormat="false" ht="12.75" hidden="false" customHeight="false" outlineLevel="0" collapsed="false"/>
    <row r="964" customFormat="false" ht="12.75" hidden="false" customHeight="false" outlineLevel="0" collapsed="false"/>
    <row r="965" customFormat="false" ht="12.75" hidden="false" customHeight="false" outlineLevel="0" collapsed="false"/>
    <row r="966" customFormat="false" ht="12.75" hidden="false" customHeight="false" outlineLevel="0" collapsed="false"/>
    <row r="967" customFormat="false" ht="12.75" hidden="false" customHeight="false" outlineLevel="0" collapsed="false"/>
    <row r="968" customFormat="false" ht="12.75" hidden="false" customHeight="false" outlineLevel="0" collapsed="false"/>
    <row r="969" customFormat="false" ht="12.75" hidden="false" customHeight="false" outlineLevel="0" collapsed="false"/>
    <row r="970" customFormat="false" ht="12.75" hidden="false" customHeight="false" outlineLevel="0" collapsed="false"/>
    <row r="971" customFormat="false" ht="12.75" hidden="false" customHeight="false" outlineLevel="0" collapsed="false"/>
    <row r="972" customFormat="false" ht="12.75" hidden="false" customHeight="false" outlineLevel="0" collapsed="false"/>
    <row r="973" customFormat="false" ht="12.75" hidden="false" customHeight="false" outlineLevel="0" collapsed="false"/>
    <row r="974" customFormat="false" ht="12.75" hidden="false" customHeight="false" outlineLevel="0" collapsed="false"/>
    <row r="975" customFormat="false" ht="12.75" hidden="false" customHeight="false" outlineLevel="0" collapsed="false"/>
    <row r="976" customFormat="false" ht="12.75" hidden="false" customHeight="false" outlineLevel="0" collapsed="false"/>
    <row r="977" customFormat="false" ht="12.75" hidden="false" customHeight="false" outlineLevel="0" collapsed="false"/>
    <row r="978" customFormat="false" ht="12.75" hidden="false" customHeight="false" outlineLevel="0" collapsed="false"/>
    <row r="979" customFormat="false" ht="12.75" hidden="false" customHeight="false" outlineLevel="0" collapsed="false"/>
    <row r="980" customFormat="false" ht="12.75" hidden="false" customHeight="false" outlineLevel="0" collapsed="false"/>
    <row r="981" customFormat="false" ht="12.75" hidden="false" customHeight="false" outlineLevel="0" collapsed="false"/>
    <row r="982" customFormat="false" ht="12.75" hidden="false" customHeight="false" outlineLevel="0" collapsed="false"/>
    <row r="983" customFormat="false" ht="12.75" hidden="false" customHeight="false" outlineLevel="0" collapsed="false"/>
    <row r="984" customFormat="false" ht="12.75" hidden="false" customHeight="false" outlineLevel="0" collapsed="false"/>
    <row r="985" customFormat="false" ht="12.75" hidden="false" customHeight="false" outlineLevel="0" collapsed="false"/>
    <row r="986" customFormat="false" ht="12.75" hidden="false" customHeight="false" outlineLevel="0" collapsed="false"/>
    <row r="987" customFormat="false" ht="12.75" hidden="false" customHeight="false" outlineLevel="0" collapsed="false"/>
    <row r="988" customFormat="false" ht="12.75" hidden="false" customHeight="false" outlineLevel="0" collapsed="false"/>
    <row r="989" customFormat="false" ht="12.75" hidden="false" customHeight="false" outlineLevel="0" collapsed="false"/>
    <row r="990" customFormat="false" ht="12.75" hidden="false" customHeight="false" outlineLevel="0" collapsed="false"/>
    <row r="991" customFormat="false" ht="12.75" hidden="false" customHeight="false" outlineLevel="0" collapsed="false"/>
    <row r="992" customFormat="false" ht="12.75" hidden="false" customHeight="false" outlineLevel="0" collapsed="false"/>
    <row r="993" customFormat="false" ht="12.75" hidden="false" customHeight="false" outlineLevel="0" collapsed="false"/>
    <row r="994" customFormat="false" ht="12.75" hidden="false" customHeight="false" outlineLevel="0" collapsed="false"/>
    <row r="995" customFormat="false" ht="12.75" hidden="false" customHeight="false" outlineLevel="0" collapsed="false"/>
    <row r="996" customFormat="false" ht="12.75" hidden="false" customHeight="false" outlineLevel="0" collapsed="false"/>
    <row r="997" customFormat="false" ht="12.75" hidden="false" customHeight="false" outlineLevel="0" collapsed="false"/>
    <row r="998" customFormat="false" ht="12.75" hidden="false" customHeight="false" outlineLevel="0" collapsed="false"/>
    <row r="999" customFormat="false" ht="12.75" hidden="false" customHeight="false" outlineLevel="0" collapsed="false"/>
    <row r="1000" customFormat="false" ht="12.75" hidden="false" customHeight="false" outlineLevel="0" collapsed="false"/>
    <row r="1001" customFormat="false" ht="12.75" hidden="false" customHeight="false" outlineLevel="0" collapsed="false"/>
  </sheetData>
  <mergeCells count="2">
    <mergeCell ref="H1:I1"/>
    <mergeCell ref="K5:M6"/>
  </mergeCells>
  <conditionalFormatting sqref="H6:H1001">
    <cfRule type="cellIs" priority="2" operator="between" aboveAverage="0" equalAverage="0" bottom="0" percent="0" rank="0" text="" dxfId="0">
      <formula>0</formula>
      <formula>0.5</formula>
    </cfRule>
  </conditionalFormatting>
  <conditionalFormatting sqref="H6:H1001">
    <cfRule type="cellIs" priority="3" operator="between" aboveAverage="0" equalAverage="0" bottom="0" percent="0" rank="0" text="" dxfId="1">
      <formula>0.51</formula>
      <formula>0.99</formula>
    </cfRule>
  </conditionalFormatting>
  <conditionalFormatting sqref="H6:H1001">
    <cfRule type="cellIs" priority="4" operator="greaterThanOrEqual" aboveAverage="0" equalAverage="0" bottom="0" percent="0" rank="0" text="" dxfId="2">
      <formula>1</formula>
    </cfRule>
  </conditionalFormatting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152"/>
  <sheetViews>
    <sheetView showFormulas="false" showGridLines="false" showRowColHeaders="true" showZeros="true" rightToLeft="false" tabSelected="false" showOutlineSymbols="true" defaultGridColor="true" view="normal" topLeftCell="A134" colorId="64" zoomScale="100" zoomScaleNormal="100" zoomScalePageLayoutView="100" workbookViewId="0">
      <selection pane="topLeft" activeCell="C6" activeCellId="0" sqref="C6"/>
    </sheetView>
  </sheetViews>
  <sheetFormatPr defaultRowHeight="15.75" zeroHeight="false" outlineLevelRow="0" outlineLevelCol="0"/>
  <cols>
    <col collapsed="false" customWidth="true" hidden="false" outlineLevel="0" max="2" min="1" style="0" width="14.43"/>
    <col collapsed="false" customWidth="true" hidden="false" outlineLevel="0" max="3" min="3" style="0" width="22.43"/>
    <col collapsed="false" customWidth="true" hidden="false" outlineLevel="0" max="1025" min="4" style="0" width="14.43"/>
  </cols>
  <sheetData>
    <row r="1" s="26" customFormat="true" ht="48" hidden="false" customHeight="true" outlineLevel="0" collapsed="false">
      <c r="A1" s="23"/>
      <c r="B1" s="23"/>
      <c r="C1" s="23"/>
      <c r="D1" s="23"/>
      <c r="E1" s="24" t="s">
        <v>20</v>
      </c>
      <c r="F1" s="24" t="n">
        <f aca="false">'Cadastro Institucional'!D$6</f>
        <v>0</v>
      </c>
      <c r="G1" s="25" t="n">
        <f aca="false">'Cadastro Institucional'!D$7</f>
        <v>0</v>
      </c>
      <c r="H1" s="41"/>
      <c r="I1" s="41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customFormat="false" ht="12.75" hidden="false" customHeight="false" outlineLevel="0" collapsed="false">
      <c r="A2" s="27" t="s">
        <v>14</v>
      </c>
      <c r="B2" s="27" t="s">
        <v>13</v>
      </c>
      <c r="C2" s="27" t="s">
        <v>15</v>
      </c>
      <c r="D2" s="27" t="s">
        <v>16</v>
      </c>
      <c r="E2" s="27" t="s">
        <v>17</v>
      </c>
      <c r="F2" s="27" t="s">
        <v>18</v>
      </c>
      <c r="G2" s="27" t="s">
        <v>19</v>
      </c>
      <c r="H2" s="69" t="s">
        <v>35</v>
      </c>
      <c r="I2" s="69" t="s">
        <v>36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customFormat="false" ht="12.75" hidden="false" customHeight="false" outlineLevel="0" collapsed="false">
      <c r="A3" s="30" t="n">
        <f aca="false">'Cadastro Institucional'!D$10</f>
        <v>0</v>
      </c>
      <c r="B3" s="31" t="n">
        <f aca="false">'Cadastro Institucional'!D$9</f>
        <v>0</v>
      </c>
      <c r="C3" s="31" t="n">
        <f aca="false">'Cadastro Institucional'!D$11</f>
        <v>0</v>
      </c>
      <c r="D3" s="32" t="n">
        <f aca="false">'Cadastro Institucional'!D$12</f>
        <v>0</v>
      </c>
      <c r="E3" s="31" t="n">
        <f aca="false">'Cadastro Institucional'!D$13</f>
        <v>0</v>
      </c>
      <c r="F3" s="31" t="n">
        <f aca="false">'Cadastro Institucional'!D$14</f>
        <v>0</v>
      </c>
      <c r="G3" s="33" t="n">
        <f aca="false">'Cadastro Institucional'!D$15</f>
        <v>0</v>
      </c>
      <c r="H3" s="70"/>
      <c r="I3" s="70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customFormat="false" ht="12.75" hidden="false" customHeight="false" outlineLevel="0" collapsed="false">
      <c r="A4" s="29"/>
      <c r="B4" s="29"/>
      <c r="C4" s="29"/>
      <c r="D4" s="29"/>
      <c r="E4" s="29"/>
      <c r="F4" s="29"/>
      <c r="G4" s="29"/>
      <c r="H4" s="29"/>
      <c r="I4" s="29"/>
      <c r="J4" s="29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 customFormat="false" ht="25.5" hidden="false" customHeight="true" outlineLevel="0" collapsed="false">
      <c r="A5" s="56" t="s">
        <v>21</v>
      </c>
      <c r="B5" s="56" t="s">
        <v>23</v>
      </c>
      <c r="C5" s="56" t="s">
        <v>22</v>
      </c>
      <c r="D5" s="56" t="s">
        <v>28</v>
      </c>
      <c r="E5" s="56" t="s">
        <v>29</v>
      </c>
      <c r="F5" s="56" t="s">
        <v>30</v>
      </c>
      <c r="G5" s="56" t="s">
        <v>31</v>
      </c>
      <c r="H5" s="56" t="s">
        <v>32</v>
      </c>
      <c r="I5" s="56" t="s">
        <v>33</v>
      </c>
      <c r="J5" s="58"/>
      <c r="K5" s="20" t="s">
        <v>8</v>
      </c>
      <c r="L5" s="20"/>
      <c r="M5" s="20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</row>
    <row r="6" customFormat="false" ht="12.75" hidden="false" customHeight="true" outlineLevel="0" collapsed="false">
      <c r="A6" s="37" t="n">
        <f aca="false">'Itens de Contrato'!A6</f>
        <v>0</v>
      </c>
      <c r="B6" s="37" t="n">
        <f aca="false">'Itens de Contrato'!B6</f>
        <v>0</v>
      </c>
      <c r="C6" s="37" t="e">
        <f aca="false">VLOOKUP(B6,'Itens de Contrato'!B$5:G$151,2,0)</f>
        <v>#N/A</v>
      </c>
      <c r="D6" s="52"/>
      <c r="E6" s="63" t="n">
        <f aca="false">D6*'Itens de Contrato'!F6</f>
        <v>0</v>
      </c>
      <c r="F6" s="62" t="n">
        <f aca="false">'Medição 09'!F6-'Medição 09'!G6</f>
        <v>0</v>
      </c>
      <c r="G6" s="52"/>
      <c r="H6" s="64" t="e">
        <f aca="false">G6/D6</f>
        <v>#DIV/0!</v>
      </c>
      <c r="I6" s="63" t="n">
        <f aca="false">G6*'Itens de Contrato'!F6</f>
        <v>0</v>
      </c>
      <c r="J6" s="37"/>
      <c r="K6" s="20"/>
      <c r="L6" s="20"/>
      <c r="M6" s="20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customFormat="false" ht="12.8" hidden="false" customHeight="false" outlineLevel="0" collapsed="false">
      <c r="A7" s="37" t="n">
        <f aca="false">'Itens de Contrato'!A7</f>
        <v>0</v>
      </c>
      <c r="B7" s="37" t="n">
        <f aca="false">'Itens de Contrato'!B7</f>
        <v>0</v>
      </c>
      <c r="C7" s="37" t="e">
        <f aca="false">VLOOKUP(B7,'Itens de Contrato'!B$5:G$151,2,0)</f>
        <v>#N/A</v>
      </c>
      <c r="D7" s="52"/>
      <c r="E7" s="63" t="n">
        <f aca="false">D7*'Itens de Contrato'!F7</f>
        <v>0</v>
      </c>
      <c r="F7" s="62" t="n">
        <f aca="false">'Medição 09'!F7-'Medição 09'!G7</f>
        <v>0</v>
      </c>
      <c r="G7" s="52"/>
      <c r="H7" s="64" t="e">
        <f aca="false">G7/D7</f>
        <v>#DIV/0!</v>
      </c>
      <c r="I7" s="63" t="n">
        <f aca="false">G7*'Itens de Contrato'!F7</f>
        <v>0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customFormat="false" ht="12.8" hidden="false" customHeight="false" outlineLevel="0" collapsed="false">
      <c r="A8" s="37" t="n">
        <f aca="false">'Itens de Contrato'!A8</f>
        <v>0</v>
      </c>
      <c r="B8" s="37" t="n">
        <f aca="false">'Itens de Contrato'!B8</f>
        <v>0</v>
      </c>
      <c r="C8" s="37" t="e">
        <f aca="false">VLOOKUP(B8,'Itens de Contrato'!B$5:G$151,2,0)</f>
        <v>#N/A</v>
      </c>
      <c r="D8" s="52"/>
      <c r="E8" s="63" t="n">
        <f aca="false">D8*'Itens de Contrato'!F8</f>
        <v>0</v>
      </c>
      <c r="F8" s="62" t="n">
        <f aca="false">'Medição 09'!F8-'Medição 09'!G8</f>
        <v>0</v>
      </c>
      <c r="G8" s="52"/>
      <c r="H8" s="64" t="e">
        <f aca="false">G8/D8</f>
        <v>#DIV/0!</v>
      </c>
      <c r="I8" s="63" t="n">
        <f aca="false">G8*'Itens de Contrato'!F8</f>
        <v>0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customFormat="false" ht="12.8" hidden="false" customHeight="false" outlineLevel="0" collapsed="false">
      <c r="A9" s="37" t="n">
        <f aca="false">'Itens de Contrato'!A9</f>
        <v>0</v>
      </c>
      <c r="B9" s="37" t="n">
        <f aca="false">'Itens de Contrato'!B9</f>
        <v>0</v>
      </c>
      <c r="C9" s="37" t="e">
        <f aca="false">VLOOKUP(B9,'Itens de Contrato'!B$5:G$151,2,0)</f>
        <v>#N/A</v>
      </c>
      <c r="D9" s="52"/>
      <c r="E9" s="63" t="n">
        <f aca="false">D9*'Itens de Contrato'!F9</f>
        <v>0</v>
      </c>
      <c r="F9" s="62" t="n">
        <f aca="false">'Medição 09'!F9-'Medição 09'!G9</f>
        <v>0</v>
      </c>
      <c r="G9" s="52"/>
      <c r="H9" s="64" t="e">
        <f aca="false">G9/D9</f>
        <v>#DIV/0!</v>
      </c>
      <c r="I9" s="63" t="n">
        <f aca="false">G9*'Itens de Contrato'!F9</f>
        <v>0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 customFormat="false" ht="12.8" hidden="false" customHeight="false" outlineLevel="0" collapsed="false">
      <c r="A10" s="37" t="n">
        <f aca="false">'Itens de Contrato'!A10</f>
        <v>0</v>
      </c>
      <c r="B10" s="37" t="n">
        <f aca="false">'Itens de Contrato'!B10</f>
        <v>0</v>
      </c>
      <c r="C10" s="37" t="e">
        <f aca="false">VLOOKUP(B10,'Itens de Contrato'!B$5:G$151,2,0)</f>
        <v>#N/A</v>
      </c>
      <c r="D10" s="52"/>
      <c r="E10" s="63" t="n">
        <f aca="false">D10*'Itens de Contrato'!F10</f>
        <v>0</v>
      </c>
      <c r="F10" s="62" t="n">
        <f aca="false">'Medição 09'!F10-'Medição 09'!G10</f>
        <v>0</v>
      </c>
      <c r="G10" s="52"/>
      <c r="H10" s="64" t="e">
        <f aca="false">G10/D10</f>
        <v>#DIV/0!</v>
      </c>
      <c r="I10" s="63" t="n">
        <f aca="false">G10*'Itens de Contrato'!F10</f>
        <v>0</v>
      </c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 customFormat="false" ht="12.8" hidden="false" customHeight="false" outlineLevel="0" collapsed="false">
      <c r="A11" s="37" t="n">
        <f aca="false">'Itens de Contrato'!A11</f>
        <v>0</v>
      </c>
      <c r="B11" s="37" t="n">
        <f aca="false">'Itens de Contrato'!B11</f>
        <v>0</v>
      </c>
      <c r="C11" s="37" t="e">
        <f aca="false">VLOOKUP(B11,'Itens de Contrato'!B$5:G$151,2,0)</f>
        <v>#N/A</v>
      </c>
      <c r="D11" s="52"/>
      <c r="E11" s="63" t="n">
        <f aca="false">D11*'Itens de Contrato'!F11</f>
        <v>0</v>
      </c>
      <c r="F11" s="62" t="n">
        <f aca="false">'Medição 09'!F11-'Medição 09'!G11</f>
        <v>0</v>
      </c>
      <c r="G11" s="52"/>
      <c r="H11" s="64" t="e">
        <f aca="false">G11/D11</f>
        <v>#DIV/0!</v>
      </c>
      <c r="I11" s="63" t="n">
        <f aca="false">G11*'Itens de Contrato'!F11</f>
        <v>0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 customFormat="false" ht="12.8" hidden="false" customHeight="false" outlineLevel="0" collapsed="false">
      <c r="A12" s="37" t="n">
        <f aca="false">'Itens de Contrato'!A12</f>
        <v>0</v>
      </c>
      <c r="B12" s="37" t="n">
        <f aca="false">'Itens de Contrato'!B12</f>
        <v>0</v>
      </c>
      <c r="C12" s="37" t="e">
        <f aca="false">VLOOKUP(B12,'Itens de Contrato'!B$5:G$151,2,0)</f>
        <v>#N/A</v>
      </c>
      <c r="D12" s="52"/>
      <c r="E12" s="63" t="n">
        <f aca="false">D12*'Itens de Contrato'!F12</f>
        <v>0</v>
      </c>
      <c r="F12" s="62" t="n">
        <f aca="false">'Medição 09'!F12-'Medição 09'!G12</f>
        <v>0</v>
      </c>
      <c r="G12" s="52"/>
      <c r="H12" s="64" t="e">
        <f aca="false">G12/D12</f>
        <v>#DIV/0!</v>
      </c>
      <c r="I12" s="63" t="n">
        <f aca="false">G12*'Itens de Contrato'!F12</f>
        <v>0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 customFormat="false" ht="12.8" hidden="false" customHeight="false" outlineLevel="0" collapsed="false">
      <c r="A13" s="37" t="n">
        <f aca="false">'Itens de Contrato'!A13</f>
        <v>0</v>
      </c>
      <c r="B13" s="37" t="n">
        <f aca="false">'Itens de Contrato'!B13</f>
        <v>0</v>
      </c>
      <c r="C13" s="37" t="e">
        <f aca="false">VLOOKUP(B13,'Itens de Contrato'!B$5:G$151,2,0)</f>
        <v>#N/A</v>
      </c>
      <c r="D13" s="52"/>
      <c r="E13" s="63" t="n">
        <f aca="false">D13*'Itens de Contrato'!F13</f>
        <v>0</v>
      </c>
      <c r="F13" s="62" t="n">
        <f aca="false">'Medição 09'!F13-'Medição 09'!G13</f>
        <v>0</v>
      </c>
      <c r="G13" s="52"/>
      <c r="H13" s="64" t="e">
        <f aca="false">G13/D13</f>
        <v>#DIV/0!</v>
      </c>
      <c r="I13" s="63" t="n">
        <f aca="false">G13*'Itens de Contrato'!F13</f>
        <v>0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customFormat="false" ht="12.8" hidden="false" customHeight="false" outlineLevel="0" collapsed="false">
      <c r="A14" s="37" t="n">
        <f aca="false">'Itens de Contrato'!A14</f>
        <v>0</v>
      </c>
      <c r="B14" s="37" t="n">
        <f aca="false">'Itens de Contrato'!B14</f>
        <v>0</v>
      </c>
      <c r="C14" s="37" t="e">
        <f aca="false">VLOOKUP(B14,'Itens de Contrato'!B$5:G$151,2,0)</f>
        <v>#N/A</v>
      </c>
      <c r="D14" s="52"/>
      <c r="E14" s="63" t="n">
        <f aca="false">D14*'Itens de Contrato'!F14</f>
        <v>0</v>
      </c>
      <c r="F14" s="62" t="n">
        <f aca="false">'Medição 09'!F14-'Medição 09'!G14</f>
        <v>0</v>
      </c>
      <c r="G14" s="52"/>
      <c r="H14" s="64" t="e">
        <f aca="false">G14/D14</f>
        <v>#DIV/0!</v>
      </c>
      <c r="I14" s="63" t="n">
        <f aca="false">G14*'Itens de Contrato'!F14</f>
        <v>0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 customFormat="false" ht="12.8" hidden="false" customHeight="false" outlineLevel="0" collapsed="false">
      <c r="A15" s="37" t="n">
        <f aca="false">'Itens de Contrato'!A15</f>
        <v>0</v>
      </c>
      <c r="B15" s="37" t="n">
        <f aca="false">'Itens de Contrato'!B15</f>
        <v>0</v>
      </c>
      <c r="C15" s="37" t="e">
        <f aca="false">VLOOKUP(B15,'Itens de Contrato'!B$5:G$151,2,0)</f>
        <v>#N/A</v>
      </c>
      <c r="D15" s="52"/>
      <c r="E15" s="63" t="n">
        <f aca="false">D15*'Itens de Contrato'!F15</f>
        <v>0</v>
      </c>
      <c r="F15" s="62" t="n">
        <f aca="false">'Medição 09'!F15-'Medição 09'!G15</f>
        <v>0</v>
      </c>
      <c r="G15" s="52"/>
      <c r="H15" s="64" t="e">
        <f aca="false">G15/D15</f>
        <v>#DIV/0!</v>
      </c>
      <c r="I15" s="63" t="n">
        <f aca="false">G15*'Itens de Contrato'!F15</f>
        <v>0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customFormat="false" ht="12.8" hidden="false" customHeight="false" outlineLevel="0" collapsed="false">
      <c r="A16" s="37" t="n">
        <f aca="false">'Itens de Contrato'!A16</f>
        <v>0</v>
      </c>
      <c r="B16" s="37" t="n">
        <f aca="false">'Itens de Contrato'!B16</f>
        <v>0</v>
      </c>
      <c r="C16" s="37" t="e">
        <f aca="false">VLOOKUP(B16,'Itens de Contrato'!B$5:G$151,2,0)</f>
        <v>#N/A</v>
      </c>
      <c r="D16" s="52"/>
      <c r="E16" s="63" t="n">
        <f aca="false">D16*'Itens de Contrato'!F16</f>
        <v>0</v>
      </c>
      <c r="F16" s="62" t="n">
        <f aca="false">'Medição 09'!F16-'Medição 09'!G16</f>
        <v>0</v>
      </c>
      <c r="G16" s="52"/>
      <c r="H16" s="64" t="e">
        <f aca="false">G16/D16</f>
        <v>#DIV/0!</v>
      </c>
      <c r="I16" s="63" t="n">
        <f aca="false">G16*'Itens de Contrato'!F16</f>
        <v>0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7" customFormat="false" ht="12.8" hidden="false" customHeight="false" outlineLevel="0" collapsed="false">
      <c r="A17" s="37" t="n">
        <f aca="false">'Itens de Contrato'!A17</f>
        <v>0</v>
      </c>
      <c r="B17" s="37" t="n">
        <f aca="false">'Itens de Contrato'!B17</f>
        <v>0</v>
      </c>
      <c r="C17" s="37" t="e">
        <f aca="false">VLOOKUP(B17,'Itens de Contrato'!B$5:G$151,2,0)</f>
        <v>#N/A</v>
      </c>
      <c r="D17" s="52"/>
      <c r="E17" s="63" t="n">
        <f aca="false">D17*'Itens de Contrato'!F17</f>
        <v>0</v>
      </c>
      <c r="F17" s="62" t="n">
        <f aca="false">'Medição 09'!F17-'Medição 09'!G17</f>
        <v>0</v>
      </c>
      <c r="G17" s="52"/>
      <c r="H17" s="64" t="e">
        <f aca="false">G17/D17</f>
        <v>#DIV/0!</v>
      </c>
      <c r="I17" s="63" t="n">
        <f aca="false">G17*'Itens de Contrato'!F17</f>
        <v>0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</row>
    <row r="18" customFormat="false" ht="12.8" hidden="false" customHeight="false" outlineLevel="0" collapsed="false">
      <c r="A18" s="37" t="n">
        <f aca="false">'Itens de Contrato'!A18</f>
        <v>0</v>
      </c>
      <c r="B18" s="37" t="n">
        <f aca="false">'Itens de Contrato'!B18</f>
        <v>0</v>
      </c>
      <c r="C18" s="37" t="e">
        <f aca="false">VLOOKUP(B18,'Itens de Contrato'!B$5:G$151,2,0)</f>
        <v>#N/A</v>
      </c>
      <c r="D18" s="52"/>
      <c r="E18" s="63" t="n">
        <f aca="false">D18*'Itens de Contrato'!F18</f>
        <v>0</v>
      </c>
      <c r="F18" s="62" t="n">
        <f aca="false">'Medição 09'!F18-'Medição 09'!G18</f>
        <v>0</v>
      </c>
      <c r="G18" s="52"/>
      <c r="H18" s="64" t="e">
        <f aca="false">G18/D18</f>
        <v>#DIV/0!</v>
      </c>
      <c r="I18" s="63" t="n">
        <f aca="false">G18*'Itens de Contrato'!F18</f>
        <v>0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</row>
    <row r="19" customFormat="false" ht="12.8" hidden="false" customHeight="false" outlineLevel="0" collapsed="false">
      <c r="A19" s="37" t="n">
        <f aca="false">'Itens de Contrato'!A19</f>
        <v>0</v>
      </c>
      <c r="B19" s="37" t="n">
        <f aca="false">'Itens de Contrato'!B19</f>
        <v>0</v>
      </c>
      <c r="C19" s="37" t="e">
        <f aca="false">VLOOKUP(B19,'Itens de Contrato'!B$5:G$151,2,0)</f>
        <v>#N/A</v>
      </c>
      <c r="D19" s="52"/>
      <c r="E19" s="63" t="n">
        <f aca="false">D19*'Itens de Contrato'!F19</f>
        <v>0</v>
      </c>
      <c r="F19" s="62" t="n">
        <f aca="false">'Medição 09'!F19-'Medição 09'!G19</f>
        <v>0</v>
      </c>
      <c r="G19" s="52"/>
      <c r="H19" s="64" t="e">
        <f aca="false">G19/D19</f>
        <v>#DIV/0!</v>
      </c>
      <c r="I19" s="63" t="n">
        <f aca="false">G19*'Itens de Contrato'!F19</f>
        <v>0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</row>
    <row r="20" customFormat="false" ht="12.8" hidden="false" customHeight="false" outlineLevel="0" collapsed="false">
      <c r="A20" s="37" t="n">
        <f aca="false">'Itens de Contrato'!A20</f>
        <v>0</v>
      </c>
      <c r="B20" s="37" t="n">
        <f aca="false">'Itens de Contrato'!B20</f>
        <v>0</v>
      </c>
      <c r="C20" s="37" t="e">
        <f aca="false">VLOOKUP(B20,'Itens de Contrato'!B$5:G$151,2,0)</f>
        <v>#N/A</v>
      </c>
      <c r="D20" s="52"/>
      <c r="E20" s="63" t="n">
        <f aca="false">D20*'Itens de Contrato'!F20</f>
        <v>0</v>
      </c>
      <c r="F20" s="62" t="n">
        <f aca="false">'Medição 09'!F20-'Medição 09'!G20</f>
        <v>0</v>
      </c>
      <c r="G20" s="52"/>
      <c r="H20" s="64" t="e">
        <f aca="false">G20/D20</f>
        <v>#DIV/0!</v>
      </c>
      <c r="I20" s="63" t="n">
        <f aca="false">G20*'Itens de Contrato'!F20</f>
        <v>0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</row>
    <row r="21" customFormat="false" ht="12.8" hidden="false" customHeight="false" outlineLevel="0" collapsed="false">
      <c r="A21" s="37" t="n">
        <f aca="false">'Itens de Contrato'!A21</f>
        <v>0</v>
      </c>
      <c r="B21" s="37" t="n">
        <f aca="false">'Itens de Contrato'!B21</f>
        <v>0</v>
      </c>
      <c r="C21" s="37" t="e">
        <f aca="false">VLOOKUP(B21,'Itens de Contrato'!B$5:G$151,2,0)</f>
        <v>#N/A</v>
      </c>
      <c r="D21" s="52"/>
      <c r="E21" s="63" t="n">
        <f aca="false">D21*'Itens de Contrato'!F21</f>
        <v>0</v>
      </c>
      <c r="F21" s="62" t="n">
        <f aca="false">'Medição 09'!F21-'Medição 09'!G21</f>
        <v>0</v>
      </c>
      <c r="G21" s="52"/>
      <c r="H21" s="64" t="e">
        <f aca="false">G21/D21</f>
        <v>#DIV/0!</v>
      </c>
      <c r="I21" s="63" t="n">
        <f aca="false">G21*'Itens de Contrato'!F21</f>
        <v>0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customFormat="false" ht="12.8" hidden="false" customHeight="false" outlineLevel="0" collapsed="false">
      <c r="A22" s="37" t="n">
        <f aca="false">'Itens de Contrato'!A22</f>
        <v>0</v>
      </c>
      <c r="B22" s="37" t="n">
        <f aca="false">'Itens de Contrato'!B22</f>
        <v>0</v>
      </c>
      <c r="C22" s="37" t="e">
        <f aca="false">VLOOKUP(B22,'Itens de Contrato'!B$5:G$151,2,0)</f>
        <v>#N/A</v>
      </c>
      <c r="D22" s="52"/>
      <c r="E22" s="63" t="n">
        <f aca="false">D22*'Itens de Contrato'!F22</f>
        <v>0</v>
      </c>
      <c r="F22" s="62" t="n">
        <f aca="false">'Medição 09'!F22-'Medição 09'!G22</f>
        <v>0</v>
      </c>
      <c r="G22" s="52"/>
      <c r="H22" s="64" t="e">
        <f aca="false">G22/D22</f>
        <v>#DIV/0!</v>
      </c>
      <c r="I22" s="63" t="n">
        <f aca="false">G22*'Itens de Contrato'!F22</f>
        <v>0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  <row r="23" customFormat="false" ht="12.8" hidden="false" customHeight="false" outlineLevel="0" collapsed="false">
      <c r="A23" s="37" t="n">
        <f aca="false">'Itens de Contrato'!A23</f>
        <v>0</v>
      </c>
      <c r="B23" s="37" t="n">
        <f aca="false">'Itens de Contrato'!B23</f>
        <v>0</v>
      </c>
      <c r="C23" s="37" t="e">
        <f aca="false">VLOOKUP(B23,'Itens de Contrato'!B$5:G$151,2,0)</f>
        <v>#N/A</v>
      </c>
      <c r="D23" s="52"/>
      <c r="E23" s="63" t="n">
        <f aca="false">D23*'Itens de Contrato'!F23</f>
        <v>0</v>
      </c>
      <c r="F23" s="62" t="n">
        <f aca="false">'Medição 09'!F23-'Medição 09'!G23</f>
        <v>0</v>
      </c>
      <c r="G23" s="52"/>
      <c r="H23" s="64" t="e">
        <f aca="false">G23/D23</f>
        <v>#DIV/0!</v>
      </c>
      <c r="I23" s="63" t="n">
        <f aca="false">G23*'Itens de Contrato'!F23</f>
        <v>0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</row>
    <row r="24" customFormat="false" ht="12.8" hidden="false" customHeight="false" outlineLevel="0" collapsed="false">
      <c r="A24" s="37" t="n">
        <f aca="false">'Itens de Contrato'!A24</f>
        <v>0</v>
      </c>
      <c r="B24" s="37" t="n">
        <f aca="false">'Itens de Contrato'!B24</f>
        <v>0</v>
      </c>
      <c r="C24" s="37" t="e">
        <f aca="false">VLOOKUP(B24,'Itens de Contrato'!B$5:G$151,2,0)</f>
        <v>#N/A</v>
      </c>
      <c r="D24" s="52"/>
      <c r="E24" s="63" t="n">
        <f aca="false">D24*'Itens de Contrato'!F24</f>
        <v>0</v>
      </c>
      <c r="F24" s="62" t="n">
        <f aca="false">'Medição 09'!F24-'Medição 09'!G24</f>
        <v>0</v>
      </c>
      <c r="G24" s="52"/>
      <c r="H24" s="64" t="e">
        <f aca="false">G24/D24</f>
        <v>#DIV/0!</v>
      </c>
      <c r="I24" s="63" t="n">
        <f aca="false">G24*'Itens de Contrato'!F24</f>
        <v>0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</row>
    <row r="25" customFormat="false" ht="12.8" hidden="false" customHeight="false" outlineLevel="0" collapsed="false">
      <c r="A25" s="37" t="n">
        <f aca="false">'Itens de Contrato'!A25</f>
        <v>0</v>
      </c>
      <c r="B25" s="37" t="n">
        <f aca="false">'Itens de Contrato'!B25</f>
        <v>0</v>
      </c>
      <c r="C25" s="37" t="e">
        <f aca="false">VLOOKUP(B25,'Itens de Contrato'!B$5:G$151,2,0)</f>
        <v>#N/A</v>
      </c>
      <c r="D25" s="52"/>
      <c r="E25" s="63" t="n">
        <f aca="false">D25*'Itens de Contrato'!F25</f>
        <v>0</v>
      </c>
      <c r="F25" s="62" t="n">
        <f aca="false">'Medição 09'!F25-'Medição 09'!G25</f>
        <v>0</v>
      </c>
      <c r="G25" s="52"/>
      <c r="H25" s="64" t="e">
        <f aca="false">G25/D25</f>
        <v>#DIV/0!</v>
      </c>
      <c r="I25" s="63" t="n">
        <f aca="false">G25*'Itens de Contrato'!F25</f>
        <v>0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</row>
    <row r="26" customFormat="false" ht="12.8" hidden="false" customHeight="false" outlineLevel="0" collapsed="false">
      <c r="A26" s="37" t="n">
        <f aca="false">'Itens de Contrato'!A26</f>
        <v>0</v>
      </c>
      <c r="B26" s="37" t="n">
        <f aca="false">'Itens de Contrato'!B26</f>
        <v>0</v>
      </c>
      <c r="C26" s="37" t="e">
        <f aca="false">VLOOKUP(B26,'Itens de Contrato'!B$5:G$151,2,0)</f>
        <v>#N/A</v>
      </c>
      <c r="D26" s="52"/>
      <c r="E26" s="63" t="n">
        <f aca="false">D26*'Itens de Contrato'!F26</f>
        <v>0</v>
      </c>
      <c r="F26" s="62" t="n">
        <f aca="false">'Medição 09'!F26-'Medição 09'!G26</f>
        <v>0</v>
      </c>
      <c r="G26" s="52"/>
      <c r="H26" s="64" t="e">
        <f aca="false">G26/D26</f>
        <v>#DIV/0!</v>
      </c>
      <c r="I26" s="63" t="n">
        <f aca="false">G26*'Itens de Contrato'!F26</f>
        <v>0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</row>
    <row r="27" customFormat="false" ht="12.8" hidden="false" customHeight="false" outlineLevel="0" collapsed="false">
      <c r="A27" s="37" t="n">
        <f aca="false">'Itens de Contrato'!A27</f>
        <v>0</v>
      </c>
      <c r="B27" s="37" t="n">
        <f aca="false">'Itens de Contrato'!B27</f>
        <v>0</v>
      </c>
      <c r="C27" s="37" t="e">
        <f aca="false">VLOOKUP(B27,'Itens de Contrato'!B$5:G$151,2,0)</f>
        <v>#N/A</v>
      </c>
      <c r="D27" s="52"/>
      <c r="E27" s="63" t="n">
        <f aca="false">D27*'Itens de Contrato'!F27</f>
        <v>0</v>
      </c>
      <c r="F27" s="62" t="n">
        <f aca="false">'Medição 09'!F27-'Medição 09'!G27</f>
        <v>0</v>
      </c>
      <c r="G27" s="52"/>
      <c r="H27" s="64" t="e">
        <f aca="false">G27/D27</f>
        <v>#DIV/0!</v>
      </c>
      <c r="I27" s="63" t="n">
        <f aca="false">G27*'Itens de Contrato'!F27</f>
        <v>0</v>
      </c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</row>
    <row r="28" customFormat="false" ht="12.8" hidden="false" customHeight="false" outlineLevel="0" collapsed="false">
      <c r="A28" s="37" t="n">
        <f aca="false">'Itens de Contrato'!A28</f>
        <v>0</v>
      </c>
      <c r="B28" s="37" t="n">
        <f aca="false">'Itens de Contrato'!B28</f>
        <v>0</v>
      </c>
      <c r="C28" s="37" t="e">
        <f aca="false">VLOOKUP(B28,'Itens de Contrato'!B$5:G$151,2,0)</f>
        <v>#N/A</v>
      </c>
      <c r="D28" s="52"/>
      <c r="E28" s="63" t="n">
        <f aca="false">D28*'Itens de Contrato'!F28</f>
        <v>0</v>
      </c>
      <c r="F28" s="62" t="n">
        <f aca="false">'Medição 09'!F28-'Medição 09'!G28</f>
        <v>0</v>
      </c>
      <c r="G28" s="52"/>
      <c r="H28" s="64" t="e">
        <f aca="false">G28/D28</f>
        <v>#DIV/0!</v>
      </c>
      <c r="I28" s="63" t="n">
        <f aca="false">G28*'Itens de Contrato'!F28</f>
        <v>0</v>
      </c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customFormat="false" ht="12.8" hidden="false" customHeight="false" outlineLevel="0" collapsed="false">
      <c r="A29" s="37" t="n">
        <f aca="false">'Itens de Contrato'!A29</f>
        <v>0</v>
      </c>
      <c r="B29" s="37" t="n">
        <f aca="false">'Itens de Contrato'!B29</f>
        <v>0</v>
      </c>
      <c r="C29" s="37" t="e">
        <f aca="false">VLOOKUP(B29,'Itens de Contrato'!B$5:G$151,2,0)</f>
        <v>#N/A</v>
      </c>
      <c r="D29" s="52"/>
      <c r="E29" s="63" t="n">
        <f aca="false">D29*'Itens de Contrato'!F29</f>
        <v>0</v>
      </c>
      <c r="F29" s="62" t="n">
        <f aca="false">'Medição 09'!F29-'Medição 09'!G29</f>
        <v>0</v>
      </c>
      <c r="G29" s="52"/>
      <c r="H29" s="64" t="e">
        <f aca="false">G29/D29</f>
        <v>#DIV/0!</v>
      </c>
      <c r="I29" s="63" t="n">
        <f aca="false">G29*'Itens de Contrato'!F29</f>
        <v>0</v>
      </c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</row>
    <row r="30" customFormat="false" ht="12.8" hidden="false" customHeight="false" outlineLevel="0" collapsed="false">
      <c r="A30" s="37" t="n">
        <f aca="false">'Itens de Contrato'!A30</f>
        <v>0</v>
      </c>
      <c r="B30" s="37" t="n">
        <f aca="false">'Itens de Contrato'!B30</f>
        <v>0</v>
      </c>
      <c r="C30" s="37" t="e">
        <f aca="false">VLOOKUP(B30,'Itens de Contrato'!B$5:G$151,2,0)</f>
        <v>#N/A</v>
      </c>
      <c r="D30" s="52"/>
      <c r="E30" s="63" t="n">
        <f aca="false">D30*'Itens de Contrato'!F30</f>
        <v>0</v>
      </c>
      <c r="F30" s="62" t="n">
        <f aca="false">'Medição 09'!F30-'Medição 09'!G30</f>
        <v>0</v>
      </c>
      <c r="G30" s="52"/>
      <c r="H30" s="64" t="e">
        <f aca="false">G30/D30</f>
        <v>#DIV/0!</v>
      </c>
      <c r="I30" s="63" t="n">
        <f aca="false">G30*'Itens de Contrato'!F30</f>
        <v>0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</row>
    <row r="31" customFormat="false" ht="12.8" hidden="false" customHeight="false" outlineLevel="0" collapsed="false">
      <c r="A31" s="37" t="n">
        <f aca="false">'Itens de Contrato'!A31</f>
        <v>0</v>
      </c>
      <c r="B31" s="37" t="n">
        <f aca="false">'Itens de Contrato'!B31</f>
        <v>0</v>
      </c>
      <c r="C31" s="37" t="e">
        <f aca="false">VLOOKUP(B31,'Itens de Contrato'!B$5:G$151,2,0)</f>
        <v>#N/A</v>
      </c>
      <c r="D31" s="52"/>
      <c r="E31" s="63" t="n">
        <f aca="false">D31*'Itens de Contrato'!F31</f>
        <v>0</v>
      </c>
      <c r="F31" s="62" t="n">
        <f aca="false">'Medição 09'!F31-'Medição 09'!G31</f>
        <v>0</v>
      </c>
      <c r="G31" s="52"/>
      <c r="H31" s="64" t="e">
        <f aca="false">G31/D31</f>
        <v>#DIV/0!</v>
      </c>
      <c r="I31" s="63" t="n">
        <f aca="false">G31*'Itens de Contrato'!F31</f>
        <v>0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customFormat="false" ht="12.8" hidden="false" customHeight="false" outlineLevel="0" collapsed="false">
      <c r="A32" s="37" t="n">
        <f aca="false">'Itens de Contrato'!A32</f>
        <v>0</v>
      </c>
      <c r="B32" s="37" t="n">
        <f aca="false">'Itens de Contrato'!B32</f>
        <v>0</v>
      </c>
      <c r="C32" s="37" t="e">
        <f aca="false">VLOOKUP(B32,'Itens de Contrato'!B$5:G$151,2,0)</f>
        <v>#N/A</v>
      </c>
      <c r="D32" s="52"/>
      <c r="E32" s="63" t="n">
        <f aca="false">D32*'Itens de Contrato'!F32</f>
        <v>0</v>
      </c>
      <c r="F32" s="62" t="n">
        <f aca="false">'Medição 09'!F32-'Medição 09'!G32</f>
        <v>0</v>
      </c>
      <c r="G32" s="52"/>
      <c r="H32" s="64" t="e">
        <f aca="false">G32/D32</f>
        <v>#DIV/0!</v>
      </c>
      <c r="I32" s="63" t="n">
        <f aca="false">G32*'Itens de Contrato'!F32</f>
        <v>0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customFormat="false" ht="12.8" hidden="false" customHeight="false" outlineLevel="0" collapsed="false">
      <c r="A33" s="37" t="n">
        <f aca="false">'Itens de Contrato'!A33</f>
        <v>0</v>
      </c>
      <c r="B33" s="37" t="n">
        <f aca="false">'Itens de Contrato'!B33</f>
        <v>0</v>
      </c>
      <c r="C33" s="37" t="e">
        <f aca="false">VLOOKUP(B33,'Itens de Contrato'!B$5:G$151,2,0)</f>
        <v>#N/A</v>
      </c>
      <c r="D33" s="52"/>
      <c r="E33" s="63" t="n">
        <f aca="false">D33*'Itens de Contrato'!F33</f>
        <v>0</v>
      </c>
      <c r="F33" s="62" t="n">
        <f aca="false">'Medição 09'!F33-'Medição 09'!G33</f>
        <v>0</v>
      </c>
      <c r="G33" s="52"/>
      <c r="H33" s="64" t="e">
        <f aca="false">G33/D33</f>
        <v>#DIV/0!</v>
      </c>
      <c r="I33" s="63" t="n">
        <f aca="false">G33*'Itens de Contrato'!F33</f>
        <v>0</v>
      </c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customFormat="false" ht="12.8" hidden="false" customHeight="false" outlineLevel="0" collapsed="false">
      <c r="A34" s="37" t="n">
        <f aca="false">'Itens de Contrato'!A34</f>
        <v>0</v>
      </c>
      <c r="B34" s="37" t="n">
        <f aca="false">'Itens de Contrato'!B34</f>
        <v>0</v>
      </c>
      <c r="C34" s="37" t="e">
        <f aca="false">VLOOKUP(B34,'Itens de Contrato'!B$5:G$151,2,0)</f>
        <v>#N/A</v>
      </c>
      <c r="D34" s="52"/>
      <c r="E34" s="63" t="n">
        <f aca="false">D34*'Itens de Contrato'!F34</f>
        <v>0</v>
      </c>
      <c r="F34" s="62" t="n">
        <f aca="false">'Medição 09'!F34-'Medição 09'!G34</f>
        <v>0</v>
      </c>
      <c r="G34" s="52"/>
      <c r="H34" s="64" t="e">
        <f aca="false">G34/D34</f>
        <v>#DIV/0!</v>
      </c>
      <c r="I34" s="63" t="n">
        <f aca="false">G34*'Itens de Contrato'!F34</f>
        <v>0</v>
      </c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</row>
    <row r="35" customFormat="false" ht="12.8" hidden="false" customHeight="false" outlineLevel="0" collapsed="false">
      <c r="A35" s="37" t="n">
        <f aca="false">'Itens de Contrato'!A35</f>
        <v>0</v>
      </c>
      <c r="B35" s="37" t="n">
        <f aca="false">'Itens de Contrato'!B35</f>
        <v>0</v>
      </c>
      <c r="C35" s="37" t="e">
        <f aca="false">VLOOKUP(B35,'Itens de Contrato'!B$5:G$151,2,0)</f>
        <v>#N/A</v>
      </c>
      <c r="D35" s="52"/>
      <c r="E35" s="63" t="n">
        <f aca="false">D35*'Itens de Contrato'!F35</f>
        <v>0</v>
      </c>
      <c r="F35" s="62" t="n">
        <f aca="false">'Medição 09'!F35-'Medição 09'!G35</f>
        <v>0</v>
      </c>
      <c r="G35" s="52"/>
      <c r="H35" s="64" t="e">
        <f aca="false">G35/D35</f>
        <v>#DIV/0!</v>
      </c>
      <c r="I35" s="63" t="n">
        <f aca="false">G35*'Itens de Contrato'!F35</f>
        <v>0</v>
      </c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</row>
    <row r="36" customFormat="false" ht="12.8" hidden="false" customHeight="false" outlineLevel="0" collapsed="false">
      <c r="A36" s="37" t="n">
        <f aca="false">'Itens de Contrato'!A36</f>
        <v>0</v>
      </c>
      <c r="B36" s="37" t="n">
        <f aca="false">'Itens de Contrato'!B36</f>
        <v>0</v>
      </c>
      <c r="C36" s="37" t="e">
        <f aca="false">VLOOKUP(B36,'Itens de Contrato'!B$5:G$151,2,0)</f>
        <v>#N/A</v>
      </c>
      <c r="D36" s="52"/>
      <c r="E36" s="63" t="n">
        <f aca="false">D36*'Itens de Contrato'!F36</f>
        <v>0</v>
      </c>
      <c r="F36" s="62" t="n">
        <f aca="false">'Medição 09'!F36-'Medição 09'!G36</f>
        <v>0</v>
      </c>
      <c r="G36" s="52"/>
      <c r="H36" s="64" t="e">
        <f aca="false">G36/D36</f>
        <v>#DIV/0!</v>
      </c>
      <c r="I36" s="63" t="n">
        <f aca="false">G36*'Itens de Contrato'!F36</f>
        <v>0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customFormat="false" ht="12.8" hidden="false" customHeight="false" outlineLevel="0" collapsed="false">
      <c r="A37" s="37" t="n">
        <f aca="false">'Itens de Contrato'!A37</f>
        <v>0</v>
      </c>
      <c r="B37" s="37" t="n">
        <f aca="false">'Itens de Contrato'!B37</f>
        <v>0</v>
      </c>
      <c r="C37" s="37" t="e">
        <f aca="false">VLOOKUP(B37,'Itens de Contrato'!B$5:G$151,2,0)</f>
        <v>#N/A</v>
      </c>
      <c r="D37" s="52"/>
      <c r="E37" s="63" t="n">
        <f aca="false">D37*'Itens de Contrato'!F37</f>
        <v>0</v>
      </c>
      <c r="F37" s="62" t="n">
        <f aca="false">'Medição 09'!F37-'Medição 09'!G37</f>
        <v>0</v>
      </c>
      <c r="G37" s="52"/>
      <c r="H37" s="64" t="e">
        <f aca="false">G37/D37</f>
        <v>#DIV/0!</v>
      </c>
      <c r="I37" s="63" t="n">
        <f aca="false">G37*'Itens de Contrato'!F37</f>
        <v>0</v>
      </c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customFormat="false" ht="12.8" hidden="false" customHeight="false" outlineLevel="0" collapsed="false">
      <c r="A38" s="37" t="n">
        <f aca="false">'Itens de Contrato'!A38</f>
        <v>0</v>
      </c>
      <c r="B38" s="37" t="n">
        <f aca="false">'Itens de Contrato'!B38</f>
        <v>0</v>
      </c>
      <c r="C38" s="37" t="e">
        <f aca="false">VLOOKUP(B38,'Itens de Contrato'!B$5:G$151,2,0)</f>
        <v>#N/A</v>
      </c>
      <c r="D38" s="52"/>
      <c r="E38" s="63" t="n">
        <f aca="false">D38*'Itens de Contrato'!F38</f>
        <v>0</v>
      </c>
      <c r="F38" s="62" t="n">
        <f aca="false">'Medição 09'!F38-'Medição 09'!G38</f>
        <v>0</v>
      </c>
      <c r="G38" s="52"/>
      <c r="H38" s="64" t="e">
        <f aca="false">G38/D38</f>
        <v>#DIV/0!</v>
      </c>
      <c r="I38" s="63" t="n">
        <f aca="false">G38*'Itens de Contrato'!F38</f>
        <v>0</v>
      </c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customFormat="false" ht="12.8" hidden="false" customHeight="false" outlineLevel="0" collapsed="false">
      <c r="A39" s="37" t="n">
        <f aca="false">'Itens de Contrato'!A39</f>
        <v>0</v>
      </c>
      <c r="B39" s="37" t="n">
        <f aca="false">'Itens de Contrato'!B39</f>
        <v>0</v>
      </c>
      <c r="C39" s="37" t="e">
        <f aca="false">VLOOKUP(B39,'Itens de Contrato'!B$5:G$151,2,0)</f>
        <v>#N/A</v>
      </c>
      <c r="D39" s="52"/>
      <c r="E39" s="63" t="n">
        <f aca="false">D39*'Itens de Contrato'!F39</f>
        <v>0</v>
      </c>
      <c r="F39" s="62" t="n">
        <f aca="false">'Medição 09'!F39-'Medição 09'!G39</f>
        <v>0</v>
      </c>
      <c r="G39" s="52"/>
      <c r="H39" s="64" t="e">
        <f aca="false">G39/D39</f>
        <v>#DIV/0!</v>
      </c>
      <c r="I39" s="63" t="n">
        <f aca="false">G39*'Itens de Contrato'!F39</f>
        <v>0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customFormat="false" ht="12.8" hidden="false" customHeight="false" outlineLevel="0" collapsed="false">
      <c r="A40" s="37" t="n">
        <f aca="false">'Itens de Contrato'!A40</f>
        <v>0</v>
      </c>
      <c r="B40" s="37" t="n">
        <f aca="false">'Itens de Contrato'!B40</f>
        <v>0</v>
      </c>
      <c r="C40" s="37" t="e">
        <f aca="false">VLOOKUP(B40,'Itens de Contrato'!B$5:G$151,2,0)</f>
        <v>#N/A</v>
      </c>
      <c r="D40" s="52"/>
      <c r="E40" s="63" t="n">
        <f aca="false">D40*'Itens de Contrato'!F40</f>
        <v>0</v>
      </c>
      <c r="F40" s="62" t="n">
        <f aca="false">'Medição 09'!F40-'Medição 09'!G40</f>
        <v>0</v>
      </c>
      <c r="G40" s="52"/>
      <c r="H40" s="64" t="e">
        <f aca="false">G40/D40</f>
        <v>#DIV/0!</v>
      </c>
      <c r="I40" s="63" t="n">
        <f aca="false">G40*'Itens de Contrato'!F40</f>
        <v>0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customFormat="false" ht="12.8" hidden="false" customHeight="false" outlineLevel="0" collapsed="false">
      <c r="A41" s="37" t="n">
        <f aca="false">'Itens de Contrato'!A41</f>
        <v>0</v>
      </c>
      <c r="B41" s="37" t="n">
        <f aca="false">'Itens de Contrato'!B41</f>
        <v>0</v>
      </c>
      <c r="C41" s="37" t="e">
        <f aca="false">VLOOKUP(B41,'Itens de Contrato'!B$5:G$151,2,0)</f>
        <v>#N/A</v>
      </c>
      <c r="D41" s="52"/>
      <c r="E41" s="63" t="n">
        <f aca="false">D41*'Itens de Contrato'!F41</f>
        <v>0</v>
      </c>
      <c r="F41" s="62" t="n">
        <f aca="false">'Medição 09'!F41-'Medição 09'!G41</f>
        <v>0</v>
      </c>
      <c r="G41" s="52"/>
      <c r="H41" s="64" t="e">
        <f aca="false">G41/D41</f>
        <v>#DIV/0!</v>
      </c>
      <c r="I41" s="63" t="n">
        <f aca="false">G41*'Itens de Contrato'!F41</f>
        <v>0</v>
      </c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customFormat="false" ht="12.8" hidden="false" customHeight="false" outlineLevel="0" collapsed="false">
      <c r="A42" s="37" t="n">
        <f aca="false">'Itens de Contrato'!A42</f>
        <v>0</v>
      </c>
      <c r="B42" s="37" t="n">
        <f aca="false">'Itens de Contrato'!B42</f>
        <v>0</v>
      </c>
      <c r="C42" s="37" t="e">
        <f aca="false">VLOOKUP(B42,'Itens de Contrato'!B$5:G$151,2,0)</f>
        <v>#N/A</v>
      </c>
      <c r="D42" s="52"/>
      <c r="E42" s="63" t="n">
        <f aca="false">D42*'Itens de Contrato'!F42</f>
        <v>0</v>
      </c>
      <c r="F42" s="62" t="n">
        <f aca="false">'Medição 09'!F42-'Medição 09'!G42</f>
        <v>0</v>
      </c>
      <c r="G42" s="52"/>
      <c r="H42" s="64" t="e">
        <f aca="false">G42/D42</f>
        <v>#DIV/0!</v>
      </c>
      <c r="I42" s="63" t="n">
        <f aca="false">G42*'Itens de Contrato'!F42</f>
        <v>0</v>
      </c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customFormat="false" ht="12.8" hidden="false" customHeight="false" outlineLevel="0" collapsed="false">
      <c r="A43" s="37" t="n">
        <f aca="false">'Itens de Contrato'!A43</f>
        <v>0</v>
      </c>
      <c r="B43" s="37" t="n">
        <f aca="false">'Itens de Contrato'!B43</f>
        <v>0</v>
      </c>
      <c r="C43" s="37" t="e">
        <f aca="false">VLOOKUP(B43,'Itens de Contrato'!B$5:G$151,2,0)</f>
        <v>#N/A</v>
      </c>
      <c r="D43" s="52"/>
      <c r="E43" s="63" t="n">
        <f aca="false">D43*'Itens de Contrato'!F43</f>
        <v>0</v>
      </c>
      <c r="F43" s="62" t="n">
        <f aca="false">'Medição 09'!F43-'Medição 09'!G43</f>
        <v>0</v>
      </c>
      <c r="G43" s="52"/>
      <c r="H43" s="64" t="e">
        <f aca="false">G43/D43</f>
        <v>#DIV/0!</v>
      </c>
      <c r="I43" s="63" t="n">
        <f aca="false">G43*'Itens de Contrato'!F43</f>
        <v>0</v>
      </c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customFormat="false" ht="12.8" hidden="false" customHeight="false" outlineLevel="0" collapsed="false">
      <c r="A44" s="37" t="n">
        <f aca="false">'Itens de Contrato'!A44</f>
        <v>0</v>
      </c>
      <c r="B44" s="37" t="n">
        <f aca="false">'Itens de Contrato'!B44</f>
        <v>0</v>
      </c>
      <c r="C44" s="37" t="e">
        <f aca="false">VLOOKUP(B44,'Itens de Contrato'!B$5:G$151,2,0)</f>
        <v>#N/A</v>
      </c>
      <c r="D44" s="52"/>
      <c r="E44" s="63" t="n">
        <f aca="false">D44*'Itens de Contrato'!F44</f>
        <v>0</v>
      </c>
      <c r="F44" s="62" t="n">
        <f aca="false">'Medição 09'!F44-'Medição 09'!G44</f>
        <v>0</v>
      </c>
      <c r="G44" s="52"/>
      <c r="H44" s="64" t="e">
        <f aca="false">G44/D44</f>
        <v>#DIV/0!</v>
      </c>
      <c r="I44" s="63" t="n">
        <f aca="false">G44*'Itens de Contrato'!F44</f>
        <v>0</v>
      </c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customFormat="false" ht="12.8" hidden="false" customHeight="false" outlineLevel="0" collapsed="false">
      <c r="A45" s="37" t="n">
        <f aca="false">'Itens de Contrato'!A45</f>
        <v>0</v>
      </c>
      <c r="B45" s="37" t="n">
        <f aca="false">'Itens de Contrato'!B45</f>
        <v>0</v>
      </c>
      <c r="C45" s="37" t="e">
        <f aca="false">VLOOKUP(B45,'Itens de Contrato'!B$5:G$151,2,0)</f>
        <v>#N/A</v>
      </c>
      <c r="D45" s="52"/>
      <c r="E45" s="63" t="n">
        <f aca="false">D45*'Itens de Contrato'!F45</f>
        <v>0</v>
      </c>
      <c r="F45" s="62" t="n">
        <f aca="false">'Medição 09'!F45-'Medição 09'!G45</f>
        <v>0</v>
      </c>
      <c r="G45" s="52"/>
      <c r="H45" s="64" t="e">
        <f aca="false">G45/D45</f>
        <v>#DIV/0!</v>
      </c>
      <c r="I45" s="63" t="n">
        <f aca="false">G45*'Itens de Contrato'!F45</f>
        <v>0</v>
      </c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customFormat="false" ht="12.8" hidden="false" customHeight="false" outlineLevel="0" collapsed="false">
      <c r="A46" s="37" t="n">
        <f aca="false">'Itens de Contrato'!A46</f>
        <v>0</v>
      </c>
      <c r="B46" s="37" t="n">
        <f aca="false">'Itens de Contrato'!B46</f>
        <v>0</v>
      </c>
      <c r="C46" s="37" t="e">
        <f aca="false">VLOOKUP(B46,'Itens de Contrato'!B$5:G$151,2,0)</f>
        <v>#N/A</v>
      </c>
      <c r="D46" s="52"/>
      <c r="E46" s="63" t="n">
        <f aca="false">D46*'Itens de Contrato'!F46</f>
        <v>0</v>
      </c>
      <c r="F46" s="62" t="n">
        <f aca="false">'Medição 09'!F46-'Medição 09'!G46</f>
        <v>0</v>
      </c>
      <c r="G46" s="52"/>
      <c r="H46" s="64" t="e">
        <f aca="false">G46/D46</f>
        <v>#DIV/0!</v>
      </c>
      <c r="I46" s="63" t="n">
        <f aca="false">G46*'Itens de Contrato'!F46</f>
        <v>0</v>
      </c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customFormat="false" ht="12.8" hidden="false" customHeight="false" outlineLevel="0" collapsed="false">
      <c r="A47" s="37" t="n">
        <f aca="false">'Itens de Contrato'!A47</f>
        <v>0</v>
      </c>
      <c r="B47" s="37" t="n">
        <f aca="false">'Itens de Contrato'!B47</f>
        <v>0</v>
      </c>
      <c r="C47" s="37" t="e">
        <f aca="false">VLOOKUP(B47,'Itens de Contrato'!B$5:G$151,2,0)</f>
        <v>#N/A</v>
      </c>
      <c r="D47" s="52"/>
      <c r="E47" s="63" t="n">
        <f aca="false">D47*'Itens de Contrato'!F47</f>
        <v>0</v>
      </c>
      <c r="F47" s="62" t="n">
        <f aca="false">'Medição 09'!F47-'Medição 09'!G47</f>
        <v>0</v>
      </c>
      <c r="G47" s="52"/>
      <c r="H47" s="64" t="e">
        <f aca="false">G47/D47</f>
        <v>#DIV/0!</v>
      </c>
      <c r="I47" s="63" t="n">
        <f aca="false">G47*'Itens de Contrato'!F47</f>
        <v>0</v>
      </c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customFormat="false" ht="12.8" hidden="false" customHeight="false" outlineLevel="0" collapsed="false">
      <c r="A48" s="37" t="n">
        <f aca="false">'Itens de Contrato'!A48</f>
        <v>0</v>
      </c>
      <c r="B48" s="37" t="n">
        <f aca="false">'Itens de Contrato'!B48</f>
        <v>0</v>
      </c>
      <c r="C48" s="37" t="e">
        <f aca="false">VLOOKUP(B48,'Itens de Contrato'!B$5:G$151,2,0)</f>
        <v>#N/A</v>
      </c>
      <c r="D48" s="52"/>
      <c r="E48" s="63" t="n">
        <f aca="false">D48*'Itens de Contrato'!F48</f>
        <v>0</v>
      </c>
      <c r="F48" s="62" t="n">
        <f aca="false">'Medição 09'!F48-'Medição 09'!G48</f>
        <v>0</v>
      </c>
      <c r="G48" s="52"/>
      <c r="H48" s="64" t="e">
        <f aca="false">G48/D48</f>
        <v>#DIV/0!</v>
      </c>
      <c r="I48" s="63" t="n">
        <f aca="false">G48*'Itens de Contrato'!F48</f>
        <v>0</v>
      </c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customFormat="false" ht="12.8" hidden="false" customHeight="false" outlineLevel="0" collapsed="false">
      <c r="A49" s="37" t="n">
        <f aca="false">'Itens de Contrato'!A49</f>
        <v>0</v>
      </c>
      <c r="B49" s="37" t="n">
        <f aca="false">'Itens de Contrato'!B49</f>
        <v>0</v>
      </c>
      <c r="C49" s="37" t="e">
        <f aca="false">VLOOKUP(B49,'Itens de Contrato'!B$5:G$151,2,0)</f>
        <v>#N/A</v>
      </c>
      <c r="D49" s="52"/>
      <c r="E49" s="63" t="n">
        <f aca="false">D49*'Itens de Contrato'!F49</f>
        <v>0</v>
      </c>
      <c r="F49" s="62" t="n">
        <f aca="false">'Medição 09'!F49-'Medição 09'!G49</f>
        <v>0</v>
      </c>
      <c r="G49" s="52"/>
      <c r="H49" s="64" t="e">
        <f aca="false">G49/D49</f>
        <v>#DIV/0!</v>
      </c>
      <c r="I49" s="63" t="n">
        <f aca="false">G49*'Itens de Contrato'!F49</f>
        <v>0</v>
      </c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customFormat="false" ht="12.8" hidden="false" customHeight="false" outlineLevel="0" collapsed="false">
      <c r="A50" s="37" t="n">
        <f aca="false">'Itens de Contrato'!A50</f>
        <v>0</v>
      </c>
      <c r="B50" s="37" t="n">
        <f aca="false">'Itens de Contrato'!B50</f>
        <v>0</v>
      </c>
      <c r="C50" s="37" t="e">
        <f aca="false">VLOOKUP(B50,'Itens de Contrato'!B$5:G$151,2,0)</f>
        <v>#N/A</v>
      </c>
      <c r="D50" s="52"/>
      <c r="E50" s="63" t="n">
        <f aca="false">D50*'Itens de Contrato'!F50</f>
        <v>0</v>
      </c>
      <c r="F50" s="62" t="n">
        <f aca="false">'Medição 09'!F50-'Medição 09'!G50</f>
        <v>0</v>
      </c>
      <c r="G50" s="52"/>
      <c r="H50" s="64" t="e">
        <f aca="false">G50/D50</f>
        <v>#DIV/0!</v>
      </c>
      <c r="I50" s="63" t="n">
        <f aca="false">G50*'Itens de Contrato'!F50</f>
        <v>0</v>
      </c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customFormat="false" ht="12.8" hidden="false" customHeight="false" outlineLevel="0" collapsed="false">
      <c r="A51" s="37" t="n">
        <f aca="false">'Itens de Contrato'!A51</f>
        <v>0</v>
      </c>
      <c r="B51" s="37" t="n">
        <f aca="false">'Itens de Contrato'!B51</f>
        <v>0</v>
      </c>
      <c r="C51" s="37" t="e">
        <f aca="false">VLOOKUP(B51,'Itens de Contrato'!B$5:G$151,2,0)</f>
        <v>#N/A</v>
      </c>
      <c r="D51" s="52"/>
      <c r="E51" s="63" t="n">
        <f aca="false">D51*'Itens de Contrato'!F51</f>
        <v>0</v>
      </c>
      <c r="F51" s="62" t="n">
        <f aca="false">'Medição 09'!F51-'Medição 09'!G51</f>
        <v>0</v>
      </c>
      <c r="G51" s="52"/>
      <c r="H51" s="64" t="e">
        <f aca="false">G51/D51</f>
        <v>#DIV/0!</v>
      </c>
      <c r="I51" s="63" t="n">
        <f aca="false">G51*'Itens de Contrato'!F51</f>
        <v>0</v>
      </c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customFormat="false" ht="12.8" hidden="false" customHeight="false" outlineLevel="0" collapsed="false">
      <c r="A52" s="37" t="n">
        <f aca="false">'Itens de Contrato'!A52</f>
        <v>0</v>
      </c>
      <c r="B52" s="37" t="n">
        <f aca="false">'Itens de Contrato'!B52</f>
        <v>0</v>
      </c>
      <c r="C52" s="37" t="e">
        <f aca="false">VLOOKUP(B52,'Itens de Contrato'!B$5:G$151,2,0)</f>
        <v>#N/A</v>
      </c>
      <c r="D52" s="52"/>
      <c r="E52" s="63" t="n">
        <f aca="false">D52*'Itens de Contrato'!F52</f>
        <v>0</v>
      </c>
      <c r="F52" s="62" t="n">
        <f aca="false">'Medição 09'!F52-'Medição 09'!G52</f>
        <v>0</v>
      </c>
      <c r="G52" s="52"/>
      <c r="H52" s="64" t="e">
        <f aca="false">G52/D52</f>
        <v>#DIV/0!</v>
      </c>
      <c r="I52" s="63" t="n">
        <f aca="false">G52*'Itens de Contrato'!F52</f>
        <v>0</v>
      </c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customFormat="false" ht="12.8" hidden="false" customHeight="false" outlineLevel="0" collapsed="false">
      <c r="A53" s="37" t="n">
        <f aca="false">'Itens de Contrato'!A53</f>
        <v>0</v>
      </c>
      <c r="B53" s="37" t="n">
        <f aca="false">'Itens de Contrato'!B53</f>
        <v>0</v>
      </c>
      <c r="C53" s="37" t="e">
        <f aca="false">VLOOKUP(B53,'Itens de Contrato'!B$5:G$151,2,0)</f>
        <v>#N/A</v>
      </c>
      <c r="D53" s="52"/>
      <c r="E53" s="63" t="n">
        <f aca="false">D53*'Itens de Contrato'!F53</f>
        <v>0</v>
      </c>
      <c r="F53" s="62" t="n">
        <f aca="false">'Medição 09'!F53-'Medição 09'!G53</f>
        <v>0</v>
      </c>
      <c r="G53" s="52"/>
      <c r="H53" s="64" t="e">
        <f aca="false">G53/D53</f>
        <v>#DIV/0!</v>
      </c>
      <c r="I53" s="63" t="n">
        <f aca="false">G53*'Itens de Contrato'!F53</f>
        <v>0</v>
      </c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customFormat="false" ht="12.8" hidden="false" customHeight="false" outlineLevel="0" collapsed="false">
      <c r="A54" s="37" t="n">
        <f aca="false">'Itens de Contrato'!A54</f>
        <v>0</v>
      </c>
      <c r="B54" s="37" t="n">
        <f aca="false">'Itens de Contrato'!B54</f>
        <v>0</v>
      </c>
      <c r="C54" s="37" t="e">
        <f aca="false">VLOOKUP(B54,'Itens de Contrato'!B$5:G$151,2,0)</f>
        <v>#N/A</v>
      </c>
      <c r="D54" s="52"/>
      <c r="E54" s="63" t="n">
        <f aca="false">D54*'Itens de Contrato'!F54</f>
        <v>0</v>
      </c>
      <c r="F54" s="62" t="n">
        <f aca="false">'Medição 09'!F54-'Medição 09'!G54</f>
        <v>0</v>
      </c>
      <c r="G54" s="52"/>
      <c r="H54" s="64" t="e">
        <f aca="false">G54/D54</f>
        <v>#DIV/0!</v>
      </c>
      <c r="I54" s="63" t="n">
        <f aca="false">G54*'Itens de Contrato'!F54</f>
        <v>0</v>
      </c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customFormat="false" ht="12.8" hidden="false" customHeight="false" outlineLevel="0" collapsed="false">
      <c r="A55" s="37" t="n">
        <f aca="false">'Itens de Contrato'!A55</f>
        <v>0</v>
      </c>
      <c r="B55" s="37" t="n">
        <f aca="false">'Itens de Contrato'!B55</f>
        <v>0</v>
      </c>
      <c r="C55" s="37" t="e">
        <f aca="false">VLOOKUP(B55,'Itens de Contrato'!B$5:G$151,2,0)</f>
        <v>#N/A</v>
      </c>
      <c r="D55" s="52"/>
      <c r="E55" s="63" t="n">
        <f aca="false">D55*'Itens de Contrato'!F55</f>
        <v>0</v>
      </c>
      <c r="F55" s="62" t="n">
        <f aca="false">'Medição 09'!F55-'Medição 09'!G55</f>
        <v>0</v>
      </c>
      <c r="G55" s="52"/>
      <c r="H55" s="64" t="e">
        <f aca="false">G55/D55</f>
        <v>#DIV/0!</v>
      </c>
      <c r="I55" s="63" t="n">
        <f aca="false">G55*'Itens de Contrato'!F55</f>
        <v>0</v>
      </c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customFormat="false" ht="12.8" hidden="false" customHeight="false" outlineLevel="0" collapsed="false">
      <c r="A56" s="37" t="n">
        <f aca="false">'Itens de Contrato'!A56</f>
        <v>0</v>
      </c>
      <c r="B56" s="37" t="n">
        <f aca="false">'Itens de Contrato'!B56</f>
        <v>0</v>
      </c>
      <c r="C56" s="37" t="e">
        <f aca="false">VLOOKUP(B56,'Itens de Contrato'!B$5:G$151,2,0)</f>
        <v>#N/A</v>
      </c>
      <c r="D56" s="52"/>
      <c r="E56" s="63" t="n">
        <f aca="false">D56*'Itens de Contrato'!F56</f>
        <v>0</v>
      </c>
      <c r="F56" s="62" t="n">
        <f aca="false">'Medição 09'!F56-'Medição 09'!G56</f>
        <v>0</v>
      </c>
      <c r="G56" s="52"/>
      <c r="H56" s="64" t="e">
        <f aca="false">G56/D56</f>
        <v>#DIV/0!</v>
      </c>
      <c r="I56" s="63" t="n">
        <f aca="false">G56*'Itens de Contrato'!F56</f>
        <v>0</v>
      </c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customFormat="false" ht="12.8" hidden="false" customHeight="false" outlineLevel="0" collapsed="false">
      <c r="A57" s="37" t="n">
        <f aca="false">'Itens de Contrato'!A57</f>
        <v>0</v>
      </c>
      <c r="B57" s="37" t="n">
        <f aca="false">'Itens de Contrato'!B57</f>
        <v>0</v>
      </c>
      <c r="C57" s="37" t="e">
        <f aca="false">VLOOKUP(B57,'Itens de Contrato'!B$5:G$151,2,0)</f>
        <v>#N/A</v>
      </c>
      <c r="D57" s="52"/>
      <c r="E57" s="63" t="n">
        <f aca="false">D57*'Itens de Contrato'!F57</f>
        <v>0</v>
      </c>
      <c r="F57" s="62" t="n">
        <f aca="false">'Medição 09'!F57-'Medição 09'!G57</f>
        <v>0</v>
      </c>
      <c r="G57" s="52"/>
      <c r="H57" s="64" t="e">
        <f aca="false">G57/D57</f>
        <v>#DIV/0!</v>
      </c>
      <c r="I57" s="63" t="n">
        <f aca="false">G57*'Itens de Contrato'!F57</f>
        <v>0</v>
      </c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customFormat="false" ht="12.8" hidden="false" customHeight="false" outlineLevel="0" collapsed="false">
      <c r="A58" s="37" t="n">
        <f aca="false">'Itens de Contrato'!A58</f>
        <v>0</v>
      </c>
      <c r="B58" s="37" t="n">
        <f aca="false">'Itens de Contrato'!B58</f>
        <v>0</v>
      </c>
      <c r="C58" s="37" t="e">
        <f aca="false">VLOOKUP(B58,'Itens de Contrato'!B$5:G$151,2,0)</f>
        <v>#N/A</v>
      </c>
      <c r="D58" s="52"/>
      <c r="E58" s="63" t="n">
        <f aca="false">D58*'Itens de Contrato'!F58</f>
        <v>0</v>
      </c>
      <c r="F58" s="62" t="n">
        <f aca="false">'Medição 09'!F58-'Medição 09'!G58</f>
        <v>0</v>
      </c>
      <c r="G58" s="52"/>
      <c r="H58" s="64" t="e">
        <f aca="false">G58/D58</f>
        <v>#DIV/0!</v>
      </c>
      <c r="I58" s="63" t="n">
        <f aca="false">G58*'Itens de Contrato'!F58</f>
        <v>0</v>
      </c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customFormat="false" ht="12.8" hidden="false" customHeight="false" outlineLevel="0" collapsed="false">
      <c r="A59" s="37" t="n">
        <f aca="false">'Itens de Contrato'!A59</f>
        <v>0</v>
      </c>
      <c r="B59" s="37" t="n">
        <f aca="false">'Itens de Contrato'!B59</f>
        <v>0</v>
      </c>
      <c r="C59" s="37" t="e">
        <f aca="false">VLOOKUP(B59,'Itens de Contrato'!B$5:G$151,2,0)</f>
        <v>#N/A</v>
      </c>
      <c r="D59" s="52"/>
      <c r="E59" s="63" t="n">
        <f aca="false">D59*'Itens de Contrato'!F59</f>
        <v>0</v>
      </c>
      <c r="F59" s="62" t="n">
        <f aca="false">'Medição 09'!F59-'Medição 09'!G59</f>
        <v>0</v>
      </c>
      <c r="G59" s="52"/>
      <c r="H59" s="64" t="e">
        <f aca="false">G59/D59</f>
        <v>#DIV/0!</v>
      </c>
      <c r="I59" s="63" t="n">
        <f aca="false">G59*'Itens de Contrato'!F59</f>
        <v>0</v>
      </c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</row>
    <row r="60" customFormat="false" ht="12.8" hidden="false" customHeight="false" outlineLevel="0" collapsed="false">
      <c r="A60" s="37" t="n">
        <f aca="false">'Itens de Contrato'!A60</f>
        <v>0</v>
      </c>
      <c r="B60" s="37" t="n">
        <f aca="false">'Itens de Contrato'!B60</f>
        <v>0</v>
      </c>
      <c r="C60" s="37" t="e">
        <f aca="false">VLOOKUP(B60,'Itens de Contrato'!B$5:G$151,2,0)</f>
        <v>#N/A</v>
      </c>
      <c r="D60" s="52"/>
      <c r="E60" s="63" t="n">
        <f aca="false">D60*'Itens de Contrato'!F60</f>
        <v>0</v>
      </c>
      <c r="F60" s="62" t="n">
        <f aca="false">'Medição 09'!F60-'Medição 09'!G60</f>
        <v>0</v>
      </c>
      <c r="G60" s="52"/>
      <c r="H60" s="64" t="e">
        <f aca="false">G60/D60</f>
        <v>#DIV/0!</v>
      </c>
      <c r="I60" s="63" t="n">
        <f aca="false">G60*'Itens de Contrato'!F60</f>
        <v>0</v>
      </c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customFormat="false" ht="12.8" hidden="false" customHeight="false" outlineLevel="0" collapsed="false">
      <c r="A61" s="37" t="n">
        <f aca="false">'Itens de Contrato'!A61</f>
        <v>0</v>
      </c>
      <c r="B61" s="37" t="n">
        <f aca="false">'Itens de Contrato'!B61</f>
        <v>0</v>
      </c>
      <c r="C61" s="37" t="e">
        <f aca="false">VLOOKUP(B61,'Itens de Contrato'!B$5:G$151,2,0)</f>
        <v>#N/A</v>
      </c>
      <c r="D61" s="52"/>
      <c r="E61" s="63" t="n">
        <f aca="false">D61*'Itens de Contrato'!F61</f>
        <v>0</v>
      </c>
      <c r="F61" s="62" t="n">
        <f aca="false">'Medição 09'!F61-'Medição 09'!G61</f>
        <v>0</v>
      </c>
      <c r="G61" s="52"/>
      <c r="H61" s="64" t="e">
        <f aca="false">G61/D61</f>
        <v>#DIV/0!</v>
      </c>
      <c r="I61" s="63" t="n">
        <f aca="false">G61*'Itens de Contrato'!F61</f>
        <v>0</v>
      </c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customFormat="false" ht="12.8" hidden="false" customHeight="false" outlineLevel="0" collapsed="false">
      <c r="A62" s="37" t="n">
        <f aca="false">'Itens de Contrato'!A62</f>
        <v>0</v>
      </c>
      <c r="B62" s="37" t="n">
        <f aca="false">'Itens de Contrato'!B62</f>
        <v>0</v>
      </c>
      <c r="C62" s="37" t="e">
        <f aca="false">VLOOKUP(B62,'Itens de Contrato'!B$5:G$151,2,0)</f>
        <v>#N/A</v>
      </c>
      <c r="D62" s="52"/>
      <c r="E62" s="63" t="n">
        <f aca="false">D62*'Itens de Contrato'!F62</f>
        <v>0</v>
      </c>
      <c r="F62" s="62" t="n">
        <f aca="false">'Medição 09'!F62-'Medição 09'!G62</f>
        <v>0</v>
      </c>
      <c r="G62" s="52"/>
      <c r="H62" s="64" t="e">
        <f aca="false">G62/D62</f>
        <v>#DIV/0!</v>
      </c>
      <c r="I62" s="63" t="n">
        <f aca="false">G62*'Itens de Contrato'!F62</f>
        <v>0</v>
      </c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customFormat="false" ht="12.8" hidden="false" customHeight="false" outlineLevel="0" collapsed="false">
      <c r="A63" s="37" t="n">
        <f aca="false">'Itens de Contrato'!A63</f>
        <v>0</v>
      </c>
      <c r="B63" s="37" t="n">
        <f aca="false">'Itens de Contrato'!B63</f>
        <v>0</v>
      </c>
      <c r="C63" s="37" t="e">
        <f aca="false">VLOOKUP(B63,'Itens de Contrato'!B$5:G$151,2,0)</f>
        <v>#N/A</v>
      </c>
      <c r="D63" s="52"/>
      <c r="E63" s="63" t="n">
        <f aca="false">D63*'Itens de Contrato'!F63</f>
        <v>0</v>
      </c>
      <c r="F63" s="62" t="n">
        <f aca="false">'Medição 09'!F63-'Medição 09'!G63</f>
        <v>0</v>
      </c>
      <c r="G63" s="52"/>
      <c r="H63" s="64" t="e">
        <f aca="false">G63/D63</f>
        <v>#DIV/0!</v>
      </c>
      <c r="I63" s="63" t="n">
        <f aca="false">G63*'Itens de Contrato'!F63</f>
        <v>0</v>
      </c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customFormat="false" ht="12.8" hidden="false" customHeight="false" outlineLevel="0" collapsed="false">
      <c r="A64" s="37" t="n">
        <f aca="false">'Itens de Contrato'!A64</f>
        <v>0</v>
      </c>
      <c r="B64" s="37" t="n">
        <f aca="false">'Itens de Contrato'!B64</f>
        <v>0</v>
      </c>
      <c r="C64" s="37" t="e">
        <f aca="false">VLOOKUP(B64,'Itens de Contrato'!B$5:G$151,2,0)</f>
        <v>#N/A</v>
      </c>
      <c r="D64" s="52"/>
      <c r="E64" s="63" t="n">
        <f aca="false">D64*'Itens de Contrato'!F64</f>
        <v>0</v>
      </c>
      <c r="F64" s="62" t="n">
        <f aca="false">'Medição 09'!F64-'Medição 09'!G64</f>
        <v>0</v>
      </c>
      <c r="G64" s="52"/>
      <c r="H64" s="64" t="e">
        <f aca="false">G64/D64</f>
        <v>#DIV/0!</v>
      </c>
      <c r="I64" s="63" t="n">
        <f aca="false">G64*'Itens de Contrato'!F64</f>
        <v>0</v>
      </c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customFormat="false" ht="12.8" hidden="false" customHeight="false" outlineLevel="0" collapsed="false">
      <c r="A65" s="37" t="n">
        <f aca="false">'Itens de Contrato'!A65</f>
        <v>0</v>
      </c>
      <c r="B65" s="37" t="n">
        <f aca="false">'Itens de Contrato'!B65</f>
        <v>0</v>
      </c>
      <c r="C65" s="37" t="e">
        <f aca="false">VLOOKUP(B65,'Itens de Contrato'!B$5:G$151,2,0)</f>
        <v>#N/A</v>
      </c>
      <c r="D65" s="52"/>
      <c r="E65" s="63" t="n">
        <f aca="false">D65*'Itens de Contrato'!F65</f>
        <v>0</v>
      </c>
      <c r="F65" s="62" t="n">
        <f aca="false">'Medição 09'!F65-'Medição 09'!G65</f>
        <v>0</v>
      </c>
      <c r="G65" s="52"/>
      <c r="H65" s="64" t="e">
        <f aca="false">G65/D65</f>
        <v>#DIV/0!</v>
      </c>
      <c r="I65" s="63" t="n">
        <f aca="false">G65*'Itens de Contrato'!F65</f>
        <v>0</v>
      </c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customFormat="false" ht="12.8" hidden="false" customHeight="false" outlineLevel="0" collapsed="false">
      <c r="A66" s="37" t="n">
        <f aca="false">'Itens de Contrato'!A66</f>
        <v>0</v>
      </c>
      <c r="B66" s="37" t="n">
        <f aca="false">'Itens de Contrato'!B66</f>
        <v>0</v>
      </c>
      <c r="C66" s="37" t="e">
        <f aca="false">VLOOKUP(B66,'Itens de Contrato'!B$5:G$151,2,0)</f>
        <v>#N/A</v>
      </c>
      <c r="D66" s="52"/>
      <c r="E66" s="63" t="n">
        <f aca="false">D66*'Itens de Contrato'!F66</f>
        <v>0</v>
      </c>
      <c r="F66" s="62" t="n">
        <f aca="false">'Medição 09'!F66-'Medição 09'!G66</f>
        <v>0</v>
      </c>
      <c r="G66" s="52"/>
      <c r="H66" s="64" t="e">
        <f aca="false">G66/D66</f>
        <v>#DIV/0!</v>
      </c>
      <c r="I66" s="63" t="n">
        <f aca="false">G66*'Itens de Contrato'!F66</f>
        <v>0</v>
      </c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customFormat="false" ht="12.8" hidden="false" customHeight="false" outlineLevel="0" collapsed="false">
      <c r="A67" s="37" t="n">
        <f aca="false">'Itens de Contrato'!A67</f>
        <v>0</v>
      </c>
      <c r="B67" s="37" t="n">
        <f aca="false">'Itens de Contrato'!B67</f>
        <v>0</v>
      </c>
      <c r="C67" s="37" t="e">
        <f aca="false">VLOOKUP(B67,'Itens de Contrato'!B$5:G$151,2,0)</f>
        <v>#N/A</v>
      </c>
      <c r="D67" s="52"/>
      <c r="E67" s="63" t="n">
        <f aca="false">D67*'Itens de Contrato'!F67</f>
        <v>0</v>
      </c>
      <c r="F67" s="62" t="n">
        <f aca="false">'Medição 09'!F67-'Medição 09'!G67</f>
        <v>0</v>
      </c>
      <c r="G67" s="52"/>
      <c r="H67" s="64" t="e">
        <f aca="false">G67/D67</f>
        <v>#DIV/0!</v>
      </c>
      <c r="I67" s="63" t="n">
        <f aca="false">G67*'Itens de Contrato'!F67</f>
        <v>0</v>
      </c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customFormat="false" ht="12.8" hidden="false" customHeight="false" outlineLevel="0" collapsed="false">
      <c r="A68" s="37" t="n">
        <f aca="false">'Itens de Contrato'!A68</f>
        <v>0</v>
      </c>
      <c r="B68" s="37" t="n">
        <f aca="false">'Itens de Contrato'!B68</f>
        <v>0</v>
      </c>
      <c r="C68" s="37" t="e">
        <f aca="false">VLOOKUP(B68,'Itens de Contrato'!B$5:G$151,2,0)</f>
        <v>#N/A</v>
      </c>
      <c r="D68" s="52"/>
      <c r="E68" s="63" t="n">
        <f aca="false">D68*'Itens de Contrato'!F68</f>
        <v>0</v>
      </c>
      <c r="F68" s="62" t="n">
        <f aca="false">'Medição 09'!F68-'Medição 09'!G68</f>
        <v>0</v>
      </c>
      <c r="G68" s="52"/>
      <c r="H68" s="64" t="e">
        <f aca="false">G68/D68</f>
        <v>#DIV/0!</v>
      </c>
      <c r="I68" s="63" t="n">
        <f aca="false">G68*'Itens de Contrato'!F68</f>
        <v>0</v>
      </c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</row>
    <row r="69" customFormat="false" ht="12.8" hidden="false" customHeight="false" outlineLevel="0" collapsed="false">
      <c r="A69" s="37" t="n">
        <f aca="false">'Itens de Contrato'!A69</f>
        <v>0</v>
      </c>
      <c r="B69" s="37" t="n">
        <f aca="false">'Itens de Contrato'!B69</f>
        <v>0</v>
      </c>
      <c r="C69" s="37" t="e">
        <f aca="false">VLOOKUP(B69,'Itens de Contrato'!B$5:G$151,2,0)</f>
        <v>#N/A</v>
      </c>
      <c r="D69" s="52"/>
      <c r="E69" s="63" t="n">
        <f aca="false">D69*'Itens de Contrato'!F69</f>
        <v>0</v>
      </c>
      <c r="F69" s="62" t="n">
        <f aca="false">'Medição 09'!F69-'Medição 09'!G69</f>
        <v>0</v>
      </c>
      <c r="G69" s="52"/>
      <c r="H69" s="64" t="e">
        <f aca="false">G69/D69</f>
        <v>#DIV/0!</v>
      </c>
      <c r="I69" s="63" t="n">
        <f aca="false">G69*'Itens de Contrato'!F69</f>
        <v>0</v>
      </c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</row>
    <row r="70" customFormat="false" ht="12.8" hidden="false" customHeight="false" outlineLevel="0" collapsed="false">
      <c r="A70" s="37" t="n">
        <f aca="false">'Itens de Contrato'!A70</f>
        <v>0</v>
      </c>
      <c r="B70" s="37" t="n">
        <f aca="false">'Itens de Contrato'!B70</f>
        <v>0</v>
      </c>
      <c r="C70" s="37" t="e">
        <f aca="false">VLOOKUP(B70,'Itens de Contrato'!B$5:G$151,2,0)</f>
        <v>#N/A</v>
      </c>
      <c r="D70" s="52"/>
      <c r="E70" s="63" t="n">
        <f aca="false">D70*'Itens de Contrato'!F70</f>
        <v>0</v>
      </c>
      <c r="F70" s="62" t="n">
        <f aca="false">'Medição 09'!F70-'Medição 09'!G70</f>
        <v>0</v>
      </c>
      <c r="G70" s="52"/>
      <c r="H70" s="64" t="e">
        <f aca="false">G70/D70</f>
        <v>#DIV/0!</v>
      </c>
      <c r="I70" s="63" t="n">
        <f aca="false">G70*'Itens de Contrato'!F70</f>
        <v>0</v>
      </c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</row>
    <row r="71" customFormat="false" ht="12.8" hidden="false" customHeight="false" outlineLevel="0" collapsed="false">
      <c r="A71" s="37" t="n">
        <f aca="false">'Itens de Contrato'!A71</f>
        <v>0</v>
      </c>
      <c r="B71" s="37" t="n">
        <f aca="false">'Itens de Contrato'!B71</f>
        <v>0</v>
      </c>
      <c r="C71" s="37" t="e">
        <f aca="false">VLOOKUP(B71,'Itens de Contrato'!B$5:G$151,2,0)</f>
        <v>#N/A</v>
      </c>
      <c r="D71" s="52"/>
      <c r="E71" s="63" t="n">
        <f aca="false">D71*'Itens de Contrato'!F71</f>
        <v>0</v>
      </c>
      <c r="F71" s="62" t="n">
        <f aca="false">'Medição 09'!F71-'Medição 09'!G71</f>
        <v>0</v>
      </c>
      <c r="G71" s="52"/>
      <c r="H71" s="64" t="e">
        <f aca="false">G71/D71</f>
        <v>#DIV/0!</v>
      </c>
      <c r="I71" s="63" t="n">
        <f aca="false">G71*'Itens de Contrato'!F71</f>
        <v>0</v>
      </c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</row>
    <row r="72" customFormat="false" ht="12.8" hidden="false" customHeight="false" outlineLevel="0" collapsed="false">
      <c r="A72" s="37" t="n">
        <f aca="false">'Itens de Contrato'!A72</f>
        <v>0</v>
      </c>
      <c r="B72" s="37" t="n">
        <f aca="false">'Itens de Contrato'!B72</f>
        <v>0</v>
      </c>
      <c r="C72" s="37" t="e">
        <f aca="false">VLOOKUP(B72,'Itens de Contrato'!B$5:G$151,2,0)</f>
        <v>#N/A</v>
      </c>
      <c r="D72" s="52"/>
      <c r="E72" s="63" t="n">
        <f aca="false">D72*'Itens de Contrato'!F72</f>
        <v>0</v>
      </c>
      <c r="F72" s="62" t="n">
        <f aca="false">'Medição 09'!F72-'Medição 09'!G72</f>
        <v>0</v>
      </c>
      <c r="G72" s="52"/>
      <c r="H72" s="64" t="e">
        <f aca="false">G72/D72</f>
        <v>#DIV/0!</v>
      </c>
      <c r="I72" s="63" t="n">
        <f aca="false">G72*'Itens de Contrato'!F72</f>
        <v>0</v>
      </c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</row>
    <row r="73" customFormat="false" ht="12.8" hidden="false" customHeight="false" outlineLevel="0" collapsed="false">
      <c r="A73" s="37" t="n">
        <f aca="false">'Itens de Contrato'!A73</f>
        <v>0</v>
      </c>
      <c r="B73" s="37" t="n">
        <f aca="false">'Itens de Contrato'!B73</f>
        <v>0</v>
      </c>
      <c r="C73" s="37" t="e">
        <f aca="false">VLOOKUP(B73,'Itens de Contrato'!B$5:G$151,2,0)</f>
        <v>#N/A</v>
      </c>
      <c r="D73" s="52"/>
      <c r="E73" s="63" t="n">
        <f aca="false">D73*'Itens de Contrato'!F73</f>
        <v>0</v>
      </c>
      <c r="F73" s="62" t="n">
        <f aca="false">'Medição 09'!F73-'Medição 09'!G73</f>
        <v>0</v>
      </c>
      <c r="G73" s="52"/>
      <c r="H73" s="64" t="e">
        <f aca="false">G73/D73</f>
        <v>#DIV/0!</v>
      </c>
      <c r="I73" s="63" t="n">
        <f aca="false">G73*'Itens de Contrato'!F73</f>
        <v>0</v>
      </c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</row>
    <row r="74" customFormat="false" ht="12.8" hidden="false" customHeight="false" outlineLevel="0" collapsed="false">
      <c r="A74" s="37" t="n">
        <f aca="false">'Itens de Contrato'!A74</f>
        <v>0</v>
      </c>
      <c r="B74" s="37" t="n">
        <f aca="false">'Itens de Contrato'!B74</f>
        <v>0</v>
      </c>
      <c r="C74" s="37" t="e">
        <f aca="false">VLOOKUP(B74,'Itens de Contrato'!B$5:G$151,2,0)</f>
        <v>#N/A</v>
      </c>
      <c r="D74" s="52"/>
      <c r="E74" s="63" t="n">
        <f aca="false">D74*'Itens de Contrato'!F74</f>
        <v>0</v>
      </c>
      <c r="F74" s="62" t="n">
        <f aca="false">'Medição 09'!F74-'Medição 09'!G74</f>
        <v>0</v>
      </c>
      <c r="G74" s="52"/>
      <c r="H74" s="64" t="e">
        <f aca="false">G74/D74</f>
        <v>#DIV/0!</v>
      </c>
      <c r="I74" s="63" t="n">
        <f aca="false">G74*'Itens de Contrato'!F74</f>
        <v>0</v>
      </c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</row>
    <row r="75" customFormat="false" ht="12.8" hidden="false" customHeight="false" outlineLevel="0" collapsed="false">
      <c r="A75" s="37" t="n">
        <f aca="false">'Itens de Contrato'!A75</f>
        <v>0</v>
      </c>
      <c r="B75" s="37" t="n">
        <f aca="false">'Itens de Contrato'!B75</f>
        <v>0</v>
      </c>
      <c r="C75" s="37" t="e">
        <f aca="false">VLOOKUP(B75,'Itens de Contrato'!B$5:G$151,2,0)</f>
        <v>#N/A</v>
      </c>
      <c r="D75" s="52"/>
      <c r="E75" s="63" t="n">
        <f aca="false">D75*'Itens de Contrato'!F75</f>
        <v>0</v>
      </c>
      <c r="F75" s="62" t="n">
        <f aca="false">'Medição 09'!F75-'Medição 09'!G75</f>
        <v>0</v>
      </c>
      <c r="G75" s="52"/>
      <c r="H75" s="64" t="e">
        <f aca="false">G75/D75</f>
        <v>#DIV/0!</v>
      </c>
      <c r="I75" s="63" t="n">
        <f aca="false">G75*'Itens de Contrato'!F75</f>
        <v>0</v>
      </c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</row>
    <row r="76" customFormat="false" ht="12.8" hidden="false" customHeight="false" outlineLevel="0" collapsed="false">
      <c r="A76" s="37" t="n">
        <f aca="false">'Itens de Contrato'!A76</f>
        <v>0</v>
      </c>
      <c r="B76" s="37" t="n">
        <f aca="false">'Itens de Contrato'!B76</f>
        <v>0</v>
      </c>
      <c r="C76" s="37" t="e">
        <f aca="false">VLOOKUP(B76,'Itens de Contrato'!B$5:G$151,2,0)</f>
        <v>#N/A</v>
      </c>
      <c r="D76" s="52"/>
      <c r="E76" s="63" t="n">
        <f aca="false">D76*'Itens de Contrato'!F76</f>
        <v>0</v>
      </c>
      <c r="F76" s="62" t="n">
        <f aca="false">'Medição 09'!F76-'Medição 09'!G76</f>
        <v>0</v>
      </c>
      <c r="G76" s="52"/>
      <c r="H76" s="64" t="e">
        <f aca="false">G76/D76</f>
        <v>#DIV/0!</v>
      </c>
      <c r="I76" s="63" t="n">
        <f aca="false">G76*'Itens de Contrato'!F76</f>
        <v>0</v>
      </c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</row>
    <row r="77" customFormat="false" ht="12.8" hidden="false" customHeight="false" outlineLevel="0" collapsed="false">
      <c r="A77" s="37" t="n">
        <f aca="false">'Itens de Contrato'!A77</f>
        <v>0</v>
      </c>
      <c r="B77" s="37" t="n">
        <f aca="false">'Itens de Contrato'!B77</f>
        <v>0</v>
      </c>
      <c r="C77" s="37" t="e">
        <f aca="false">VLOOKUP(B77,'Itens de Contrato'!B$5:G$151,2,0)</f>
        <v>#N/A</v>
      </c>
      <c r="D77" s="52"/>
      <c r="E77" s="63" t="n">
        <f aca="false">D77*'Itens de Contrato'!F77</f>
        <v>0</v>
      </c>
      <c r="F77" s="62" t="n">
        <f aca="false">'Medição 09'!F77-'Medição 09'!G77</f>
        <v>0</v>
      </c>
      <c r="G77" s="52"/>
      <c r="H77" s="64" t="e">
        <f aca="false">G77/D77</f>
        <v>#DIV/0!</v>
      </c>
      <c r="I77" s="63" t="n">
        <f aca="false">G77*'Itens de Contrato'!F77</f>
        <v>0</v>
      </c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</row>
    <row r="78" customFormat="false" ht="12.8" hidden="false" customHeight="false" outlineLevel="0" collapsed="false">
      <c r="A78" s="37" t="n">
        <f aca="false">'Itens de Contrato'!A78</f>
        <v>0</v>
      </c>
      <c r="B78" s="37" t="n">
        <f aca="false">'Itens de Contrato'!B78</f>
        <v>0</v>
      </c>
      <c r="C78" s="37" t="e">
        <f aca="false">VLOOKUP(B78,'Itens de Contrato'!B$5:G$151,2,0)</f>
        <v>#N/A</v>
      </c>
      <c r="D78" s="52"/>
      <c r="E78" s="63" t="n">
        <f aca="false">D78*'Itens de Contrato'!F78</f>
        <v>0</v>
      </c>
      <c r="F78" s="62" t="n">
        <f aca="false">'Medição 09'!F78-'Medição 09'!G78</f>
        <v>0</v>
      </c>
      <c r="G78" s="52"/>
      <c r="H78" s="64" t="e">
        <f aca="false">G78/D78</f>
        <v>#DIV/0!</v>
      </c>
      <c r="I78" s="63" t="n">
        <f aca="false">G78*'Itens de Contrato'!F78</f>
        <v>0</v>
      </c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</row>
    <row r="79" customFormat="false" ht="12.8" hidden="false" customHeight="false" outlineLevel="0" collapsed="false">
      <c r="A79" s="37" t="n">
        <f aca="false">'Itens de Contrato'!A79</f>
        <v>0</v>
      </c>
      <c r="B79" s="37" t="n">
        <f aca="false">'Itens de Contrato'!B79</f>
        <v>0</v>
      </c>
      <c r="C79" s="37" t="e">
        <f aca="false">VLOOKUP(B79,'Itens de Contrato'!B$5:G$151,2,0)</f>
        <v>#N/A</v>
      </c>
      <c r="D79" s="52"/>
      <c r="E79" s="63" t="n">
        <f aca="false">D79*'Itens de Contrato'!F79</f>
        <v>0</v>
      </c>
      <c r="F79" s="62" t="n">
        <f aca="false">'Medição 09'!F79-'Medição 09'!G79</f>
        <v>0</v>
      </c>
      <c r="G79" s="52"/>
      <c r="H79" s="64" t="e">
        <f aca="false">G79/D79</f>
        <v>#DIV/0!</v>
      </c>
      <c r="I79" s="63" t="n">
        <f aca="false">G79*'Itens de Contrato'!F79</f>
        <v>0</v>
      </c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</row>
    <row r="80" customFormat="false" ht="12.8" hidden="false" customHeight="false" outlineLevel="0" collapsed="false">
      <c r="A80" s="37" t="n">
        <f aca="false">'Itens de Contrato'!A80</f>
        <v>0</v>
      </c>
      <c r="B80" s="37" t="n">
        <f aca="false">'Itens de Contrato'!B80</f>
        <v>0</v>
      </c>
      <c r="C80" s="37" t="e">
        <f aca="false">VLOOKUP(B80,'Itens de Contrato'!B$5:G$151,2,0)</f>
        <v>#N/A</v>
      </c>
      <c r="D80" s="52"/>
      <c r="E80" s="63" t="n">
        <f aca="false">D80*'Itens de Contrato'!F80</f>
        <v>0</v>
      </c>
      <c r="F80" s="62" t="n">
        <f aca="false">'Medição 09'!F80-'Medição 09'!G80</f>
        <v>0</v>
      </c>
      <c r="G80" s="52"/>
      <c r="H80" s="64" t="e">
        <f aca="false">G80/D80</f>
        <v>#DIV/0!</v>
      </c>
      <c r="I80" s="63" t="n">
        <f aca="false">G80*'Itens de Contrato'!F80</f>
        <v>0</v>
      </c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</row>
    <row r="81" customFormat="false" ht="12.8" hidden="false" customHeight="false" outlineLevel="0" collapsed="false">
      <c r="A81" s="37" t="n">
        <f aca="false">'Itens de Contrato'!A81</f>
        <v>0</v>
      </c>
      <c r="B81" s="37" t="n">
        <f aca="false">'Itens de Contrato'!B81</f>
        <v>0</v>
      </c>
      <c r="C81" s="37" t="e">
        <f aca="false">VLOOKUP(B81,'Itens de Contrato'!B$5:G$151,2,0)</f>
        <v>#N/A</v>
      </c>
      <c r="D81" s="52"/>
      <c r="E81" s="63" t="n">
        <f aca="false">D81*'Itens de Contrato'!F81</f>
        <v>0</v>
      </c>
      <c r="F81" s="62" t="n">
        <f aca="false">'Medição 09'!F81-'Medição 09'!G81</f>
        <v>0</v>
      </c>
      <c r="G81" s="52"/>
      <c r="H81" s="64" t="e">
        <f aca="false">G81/D81</f>
        <v>#DIV/0!</v>
      </c>
      <c r="I81" s="63" t="n">
        <f aca="false">G81*'Itens de Contrato'!F81</f>
        <v>0</v>
      </c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</row>
    <row r="82" customFormat="false" ht="12.8" hidden="false" customHeight="false" outlineLevel="0" collapsed="false">
      <c r="A82" s="37" t="n">
        <f aca="false">'Itens de Contrato'!A82</f>
        <v>0</v>
      </c>
      <c r="B82" s="37" t="n">
        <f aca="false">'Itens de Contrato'!B82</f>
        <v>0</v>
      </c>
      <c r="C82" s="37" t="e">
        <f aca="false">VLOOKUP(B82,'Itens de Contrato'!B$5:G$151,2,0)</f>
        <v>#N/A</v>
      </c>
      <c r="D82" s="52"/>
      <c r="E82" s="63" t="n">
        <f aca="false">D82*'Itens de Contrato'!F82</f>
        <v>0</v>
      </c>
      <c r="F82" s="62" t="n">
        <f aca="false">'Medição 09'!F82-'Medição 09'!G82</f>
        <v>0</v>
      </c>
      <c r="G82" s="52"/>
      <c r="H82" s="64" t="e">
        <f aca="false">G82/D82</f>
        <v>#DIV/0!</v>
      </c>
      <c r="I82" s="63" t="n">
        <f aca="false">G82*'Itens de Contrato'!F82</f>
        <v>0</v>
      </c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</row>
    <row r="83" customFormat="false" ht="12.8" hidden="false" customHeight="false" outlineLevel="0" collapsed="false">
      <c r="A83" s="37" t="n">
        <f aca="false">'Itens de Contrato'!A83</f>
        <v>0</v>
      </c>
      <c r="B83" s="37" t="n">
        <f aca="false">'Itens de Contrato'!B83</f>
        <v>0</v>
      </c>
      <c r="C83" s="37" t="e">
        <f aca="false">VLOOKUP(B83,'Itens de Contrato'!B$5:G$151,2,0)</f>
        <v>#N/A</v>
      </c>
      <c r="D83" s="52"/>
      <c r="E83" s="63" t="n">
        <f aca="false">D83*'Itens de Contrato'!F83</f>
        <v>0</v>
      </c>
      <c r="F83" s="62" t="n">
        <f aca="false">'Medição 09'!F83-'Medição 09'!G83</f>
        <v>0</v>
      </c>
      <c r="G83" s="52"/>
      <c r="H83" s="64" t="e">
        <f aca="false">G83/D83</f>
        <v>#DIV/0!</v>
      </c>
      <c r="I83" s="63" t="n">
        <f aca="false">G83*'Itens de Contrato'!F83</f>
        <v>0</v>
      </c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</row>
    <row r="84" customFormat="false" ht="12.8" hidden="false" customHeight="false" outlineLevel="0" collapsed="false">
      <c r="A84" s="37" t="n">
        <f aca="false">'Itens de Contrato'!A84</f>
        <v>0</v>
      </c>
      <c r="B84" s="37" t="n">
        <f aca="false">'Itens de Contrato'!B84</f>
        <v>0</v>
      </c>
      <c r="C84" s="37" t="e">
        <f aca="false">VLOOKUP(B84,'Itens de Contrato'!B$5:G$151,2,0)</f>
        <v>#N/A</v>
      </c>
      <c r="D84" s="52"/>
      <c r="E84" s="63" t="n">
        <f aca="false">D84*'Itens de Contrato'!F84</f>
        <v>0</v>
      </c>
      <c r="F84" s="62" t="n">
        <f aca="false">'Medição 09'!F84-'Medição 09'!G84</f>
        <v>0</v>
      </c>
      <c r="G84" s="52"/>
      <c r="H84" s="64" t="e">
        <f aca="false">G84/D84</f>
        <v>#DIV/0!</v>
      </c>
      <c r="I84" s="63" t="n">
        <f aca="false">G84*'Itens de Contrato'!F84</f>
        <v>0</v>
      </c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</row>
    <row r="85" customFormat="false" ht="12.8" hidden="false" customHeight="false" outlineLevel="0" collapsed="false">
      <c r="A85" s="37" t="n">
        <f aca="false">'Itens de Contrato'!A85</f>
        <v>0</v>
      </c>
      <c r="B85" s="37" t="n">
        <f aca="false">'Itens de Contrato'!B85</f>
        <v>0</v>
      </c>
      <c r="C85" s="37" t="e">
        <f aca="false">VLOOKUP(B85,'Itens de Contrato'!B$5:G$151,2,0)</f>
        <v>#N/A</v>
      </c>
      <c r="D85" s="52"/>
      <c r="E85" s="63" t="n">
        <f aca="false">D85*'Itens de Contrato'!F85</f>
        <v>0</v>
      </c>
      <c r="F85" s="62" t="n">
        <f aca="false">'Medição 09'!F85-'Medição 09'!G85</f>
        <v>0</v>
      </c>
      <c r="G85" s="52"/>
      <c r="H85" s="64" t="e">
        <f aca="false">G85/D85</f>
        <v>#DIV/0!</v>
      </c>
      <c r="I85" s="63" t="n">
        <f aca="false">G85*'Itens de Contrato'!F85</f>
        <v>0</v>
      </c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</row>
    <row r="86" customFormat="false" ht="12.8" hidden="false" customHeight="false" outlineLevel="0" collapsed="false">
      <c r="A86" s="37" t="n">
        <f aca="false">'Itens de Contrato'!A86</f>
        <v>0</v>
      </c>
      <c r="B86" s="37" t="n">
        <f aca="false">'Itens de Contrato'!B86</f>
        <v>0</v>
      </c>
      <c r="C86" s="37" t="e">
        <f aca="false">VLOOKUP(B86,'Itens de Contrato'!B$5:G$151,2,0)</f>
        <v>#N/A</v>
      </c>
      <c r="D86" s="52"/>
      <c r="E86" s="63" t="n">
        <f aca="false">D86*'Itens de Contrato'!F86</f>
        <v>0</v>
      </c>
      <c r="F86" s="62" t="n">
        <f aca="false">'Medição 09'!F86-'Medição 09'!G86</f>
        <v>0</v>
      </c>
      <c r="G86" s="52"/>
      <c r="H86" s="64" t="e">
        <f aca="false">G86/D86</f>
        <v>#DIV/0!</v>
      </c>
      <c r="I86" s="63" t="n">
        <f aca="false">G86*'Itens de Contrato'!F86</f>
        <v>0</v>
      </c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</row>
    <row r="87" customFormat="false" ht="12.8" hidden="false" customHeight="false" outlineLevel="0" collapsed="false">
      <c r="A87" s="37" t="n">
        <f aca="false">'Itens de Contrato'!A87</f>
        <v>0</v>
      </c>
      <c r="B87" s="37" t="n">
        <f aca="false">'Itens de Contrato'!B87</f>
        <v>0</v>
      </c>
      <c r="C87" s="37" t="e">
        <f aca="false">VLOOKUP(B87,'Itens de Contrato'!B$5:G$151,2,0)</f>
        <v>#N/A</v>
      </c>
      <c r="D87" s="52"/>
      <c r="E87" s="63" t="n">
        <f aca="false">D87*'Itens de Contrato'!F87</f>
        <v>0</v>
      </c>
      <c r="F87" s="62" t="n">
        <f aca="false">'Medição 09'!F87-'Medição 09'!G87</f>
        <v>0</v>
      </c>
      <c r="G87" s="52"/>
      <c r="H87" s="64" t="e">
        <f aca="false">G87/D87</f>
        <v>#DIV/0!</v>
      </c>
      <c r="I87" s="63" t="n">
        <f aca="false">G87*'Itens de Contrato'!F87</f>
        <v>0</v>
      </c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</row>
    <row r="88" customFormat="false" ht="12.8" hidden="false" customHeight="false" outlineLevel="0" collapsed="false">
      <c r="A88" s="37" t="n">
        <f aca="false">'Itens de Contrato'!A88</f>
        <v>0</v>
      </c>
      <c r="B88" s="37" t="n">
        <f aca="false">'Itens de Contrato'!B88</f>
        <v>0</v>
      </c>
      <c r="C88" s="37" t="e">
        <f aca="false">VLOOKUP(B88,'Itens de Contrato'!B$5:G$151,2,0)</f>
        <v>#N/A</v>
      </c>
      <c r="D88" s="52"/>
      <c r="E88" s="63" t="n">
        <f aca="false">D88*'Itens de Contrato'!F88</f>
        <v>0</v>
      </c>
      <c r="F88" s="62" t="n">
        <f aca="false">'Medição 09'!F88-'Medição 09'!G88</f>
        <v>0</v>
      </c>
      <c r="G88" s="52"/>
      <c r="H88" s="64" t="e">
        <f aca="false">G88/D88</f>
        <v>#DIV/0!</v>
      </c>
      <c r="I88" s="63" t="n">
        <f aca="false">G88*'Itens de Contrato'!F88</f>
        <v>0</v>
      </c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</row>
    <row r="89" customFormat="false" ht="12.8" hidden="false" customHeight="false" outlineLevel="0" collapsed="false">
      <c r="A89" s="37" t="n">
        <f aca="false">'Itens de Contrato'!A89</f>
        <v>0</v>
      </c>
      <c r="B89" s="37" t="n">
        <f aca="false">'Itens de Contrato'!B89</f>
        <v>0</v>
      </c>
      <c r="C89" s="37" t="e">
        <f aca="false">VLOOKUP(B89,'Itens de Contrato'!B$5:G$151,2,0)</f>
        <v>#N/A</v>
      </c>
      <c r="D89" s="52"/>
      <c r="E89" s="63" t="n">
        <f aca="false">D89*'Itens de Contrato'!F89</f>
        <v>0</v>
      </c>
      <c r="F89" s="62" t="n">
        <f aca="false">'Medição 09'!F89-'Medição 09'!G89</f>
        <v>0</v>
      </c>
      <c r="G89" s="52"/>
      <c r="H89" s="64" t="e">
        <f aca="false">G89/D89</f>
        <v>#DIV/0!</v>
      </c>
      <c r="I89" s="63" t="n">
        <f aca="false">G89*'Itens de Contrato'!F89</f>
        <v>0</v>
      </c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</row>
    <row r="90" customFormat="false" ht="12.8" hidden="false" customHeight="false" outlineLevel="0" collapsed="false">
      <c r="A90" s="37" t="n">
        <f aca="false">'Itens de Contrato'!A90</f>
        <v>0</v>
      </c>
      <c r="B90" s="37" t="n">
        <f aca="false">'Itens de Contrato'!B90</f>
        <v>0</v>
      </c>
      <c r="C90" s="37" t="e">
        <f aca="false">VLOOKUP(B90,'Itens de Contrato'!B$5:G$151,2,0)</f>
        <v>#N/A</v>
      </c>
      <c r="D90" s="52"/>
      <c r="E90" s="63" t="n">
        <f aca="false">D90*'Itens de Contrato'!F90</f>
        <v>0</v>
      </c>
      <c r="F90" s="62" t="n">
        <f aca="false">'Medição 09'!F90-'Medição 09'!G90</f>
        <v>0</v>
      </c>
      <c r="G90" s="52"/>
      <c r="H90" s="64" t="e">
        <f aca="false">G90/D90</f>
        <v>#DIV/0!</v>
      </c>
      <c r="I90" s="63" t="n">
        <f aca="false">G90*'Itens de Contrato'!F90</f>
        <v>0</v>
      </c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</row>
    <row r="91" customFormat="false" ht="12.8" hidden="false" customHeight="false" outlineLevel="0" collapsed="false">
      <c r="A91" s="37" t="n">
        <f aca="false">'Itens de Contrato'!A91</f>
        <v>0</v>
      </c>
      <c r="B91" s="37" t="n">
        <f aca="false">'Itens de Contrato'!B91</f>
        <v>0</v>
      </c>
      <c r="C91" s="37" t="e">
        <f aca="false">VLOOKUP(B91,'Itens de Contrato'!B$5:G$151,2,0)</f>
        <v>#N/A</v>
      </c>
      <c r="D91" s="52"/>
      <c r="E91" s="63" t="n">
        <f aca="false">D91*'Itens de Contrato'!F91</f>
        <v>0</v>
      </c>
      <c r="F91" s="62" t="n">
        <f aca="false">'Medição 09'!F91-'Medição 09'!G91</f>
        <v>0</v>
      </c>
      <c r="G91" s="52"/>
      <c r="H91" s="64" t="e">
        <f aca="false">G91/D91</f>
        <v>#DIV/0!</v>
      </c>
      <c r="I91" s="63" t="n">
        <f aca="false">G91*'Itens de Contrato'!F91</f>
        <v>0</v>
      </c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customFormat="false" ht="12.8" hidden="false" customHeight="false" outlineLevel="0" collapsed="false">
      <c r="A92" s="37" t="n">
        <f aca="false">'Itens de Contrato'!A92</f>
        <v>0</v>
      </c>
      <c r="B92" s="37" t="n">
        <f aca="false">'Itens de Contrato'!B92</f>
        <v>0</v>
      </c>
      <c r="C92" s="37" t="e">
        <f aca="false">VLOOKUP(B92,'Itens de Contrato'!B$5:G$151,2,0)</f>
        <v>#N/A</v>
      </c>
      <c r="D92" s="52"/>
      <c r="E92" s="63" t="n">
        <f aca="false">D92*'Itens de Contrato'!F92</f>
        <v>0</v>
      </c>
      <c r="F92" s="62" t="n">
        <f aca="false">'Medição 09'!F92-'Medição 09'!G92</f>
        <v>0</v>
      </c>
      <c r="G92" s="52"/>
      <c r="H92" s="64" t="e">
        <f aca="false">G92/D92</f>
        <v>#DIV/0!</v>
      </c>
      <c r="I92" s="63" t="n">
        <f aca="false">G92*'Itens de Contrato'!F92</f>
        <v>0</v>
      </c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</row>
    <row r="93" customFormat="false" ht="12.8" hidden="false" customHeight="false" outlineLevel="0" collapsed="false">
      <c r="A93" s="37" t="n">
        <f aca="false">'Itens de Contrato'!A93</f>
        <v>0</v>
      </c>
      <c r="B93" s="37" t="n">
        <f aca="false">'Itens de Contrato'!B93</f>
        <v>0</v>
      </c>
      <c r="C93" s="37" t="e">
        <f aca="false">VLOOKUP(B93,'Itens de Contrato'!B$5:G$151,2,0)</f>
        <v>#N/A</v>
      </c>
      <c r="D93" s="52"/>
      <c r="E93" s="63" t="n">
        <f aca="false">D93*'Itens de Contrato'!F93</f>
        <v>0</v>
      </c>
      <c r="F93" s="62" t="n">
        <f aca="false">'Medição 09'!F93-'Medição 09'!G93</f>
        <v>0</v>
      </c>
      <c r="G93" s="52"/>
      <c r="H93" s="64" t="e">
        <f aca="false">G93/D93</f>
        <v>#DIV/0!</v>
      </c>
      <c r="I93" s="63" t="n">
        <f aca="false">G93*'Itens de Contrato'!F93</f>
        <v>0</v>
      </c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</row>
    <row r="94" customFormat="false" ht="12.8" hidden="false" customHeight="false" outlineLevel="0" collapsed="false">
      <c r="A94" s="37" t="n">
        <f aca="false">'Itens de Contrato'!A94</f>
        <v>0</v>
      </c>
      <c r="B94" s="37" t="n">
        <f aca="false">'Itens de Contrato'!B94</f>
        <v>0</v>
      </c>
      <c r="C94" s="37" t="e">
        <f aca="false">VLOOKUP(B94,'Itens de Contrato'!B$5:G$151,2,0)</f>
        <v>#N/A</v>
      </c>
      <c r="D94" s="52"/>
      <c r="E94" s="63" t="n">
        <f aca="false">D94*'Itens de Contrato'!F94</f>
        <v>0</v>
      </c>
      <c r="F94" s="62" t="n">
        <f aca="false">'Medição 09'!F94-'Medição 09'!G94</f>
        <v>0</v>
      </c>
      <c r="G94" s="52"/>
      <c r="H94" s="64" t="e">
        <f aca="false">G94/D94</f>
        <v>#DIV/0!</v>
      </c>
      <c r="I94" s="63" t="n">
        <f aca="false">G94*'Itens de Contrato'!F94</f>
        <v>0</v>
      </c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</row>
    <row r="95" customFormat="false" ht="12.8" hidden="false" customHeight="false" outlineLevel="0" collapsed="false">
      <c r="A95" s="37" t="n">
        <f aca="false">'Itens de Contrato'!A95</f>
        <v>0</v>
      </c>
      <c r="B95" s="37" t="n">
        <f aca="false">'Itens de Contrato'!B95</f>
        <v>0</v>
      </c>
      <c r="C95" s="37" t="e">
        <f aca="false">VLOOKUP(B95,'Itens de Contrato'!B$5:G$151,2,0)</f>
        <v>#N/A</v>
      </c>
      <c r="D95" s="52"/>
      <c r="E95" s="63" t="n">
        <f aca="false">D95*'Itens de Contrato'!F95</f>
        <v>0</v>
      </c>
      <c r="F95" s="62" t="n">
        <f aca="false">'Medição 09'!F95-'Medição 09'!G95</f>
        <v>0</v>
      </c>
      <c r="G95" s="52"/>
      <c r="H95" s="64" t="e">
        <f aca="false">G95/D95</f>
        <v>#DIV/0!</v>
      </c>
      <c r="I95" s="63" t="n">
        <f aca="false">G95*'Itens de Contrato'!F95</f>
        <v>0</v>
      </c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</row>
    <row r="96" customFormat="false" ht="12.8" hidden="false" customHeight="false" outlineLevel="0" collapsed="false">
      <c r="A96" s="37" t="n">
        <f aca="false">'Itens de Contrato'!A96</f>
        <v>0</v>
      </c>
      <c r="B96" s="37" t="n">
        <f aca="false">'Itens de Contrato'!B96</f>
        <v>0</v>
      </c>
      <c r="C96" s="37" t="e">
        <f aca="false">VLOOKUP(B96,'Itens de Contrato'!B$5:G$151,2,0)</f>
        <v>#N/A</v>
      </c>
      <c r="D96" s="52"/>
      <c r="E96" s="63" t="n">
        <f aca="false">D96*'Itens de Contrato'!F96</f>
        <v>0</v>
      </c>
      <c r="F96" s="62" t="n">
        <f aca="false">'Medição 09'!F96-'Medição 09'!G96</f>
        <v>0</v>
      </c>
      <c r="G96" s="52"/>
      <c r="H96" s="64" t="e">
        <f aca="false">G96/D96</f>
        <v>#DIV/0!</v>
      </c>
      <c r="I96" s="63" t="n">
        <f aca="false">G96*'Itens de Contrato'!F96</f>
        <v>0</v>
      </c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</row>
    <row r="97" customFormat="false" ht="12.8" hidden="false" customHeight="false" outlineLevel="0" collapsed="false">
      <c r="A97" s="37" t="n">
        <f aca="false">'Itens de Contrato'!A97</f>
        <v>0</v>
      </c>
      <c r="B97" s="37" t="n">
        <f aca="false">'Itens de Contrato'!B97</f>
        <v>0</v>
      </c>
      <c r="C97" s="37" t="e">
        <f aca="false">VLOOKUP(B97,'Itens de Contrato'!B$5:G$151,2,0)</f>
        <v>#N/A</v>
      </c>
      <c r="D97" s="52"/>
      <c r="E97" s="63" t="n">
        <f aca="false">D97*'Itens de Contrato'!F97</f>
        <v>0</v>
      </c>
      <c r="F97" s="62" t="n">
        <f aca="false">'Medição 09'!F97-'Medição 09'!G97</f>
        <v>0</v>
      </c>
      <c r="G97" s="52"/>
      <c r="H97" s="64" t="e">
        <f aca="false">G97/D97</f>
        <v>#DIV/0!</v>
      </c>
      <c r="I97" s="63" t="n">
        <f aca="false">G97*'Itens de Contrato'!F97</f>
        <v>0</v>
      </c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</row>
    <row r="98" customFormat="false" ht="12.8" hidden="false" customHeight="false" outlineLevel="0" collapsed="false">
      <c r="A98" s="37" t="n">
        <f aca="false">'Itens de Contrato'!A98</f>
        <v>0</v>
      </c>
      <c r="B98" s="37" t="n">
        <f aca="false">'Itens de Contrato'!B98</f>
        <v>0</v>
      </c>
      <c r="C98" s="37" t="e">
        <f aca="false">VLOOKUP(B98,'Itens de Contrato'!B$5:G$151,2,0)</f>
        <v>#N/A</v>
      </c>
      <c r="D98" s="52"/>
      <c r="E98" s="63" t="n">
        <f aca="false">D98*'Itens de Contrato'!F98</f>
        <v>0</v>
      </c>
      <c r="F98" s="62" t="n">
        <f aca="false">'Medição 09'!F98-'Medição 09'!G98</f>
        <v>0</v>
      </c>
      <c r="G98" s="52"/>
      <c r="H98" s="64" t="e">
        <f aca="false">G98/D98</f>
        <v>#DIV/0!</v>
      </c>
      <c r="I98" s="63" t="n">
        <f aca="false">G98*'Itens de Contrato'!F98</f>
        <v>0</v>
      </c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</row>
    <row r="99" customFormat="false" ht="12.8" hidden="false" customHeight="false" outlineLevel="0" collapsed="false">
      <c r="A99" s="37" t="n">
        <f aca="false">'Itens de Contrato'!A99</f>
        <v>0</v>
      </c>
      <c r="B99" s="37" t="n">
        <f aca="false">'Itens de Contrato'!B99</f>
        <v>0</v>
      </c>
      <c r="C99" s="37" t="e">
        <f aca="false">VLOOKUP(B99,'Itens de Contrato'!B$5:G$151,2,0)</f>
        <v>#N/A</v>
      </c>
      <c r="D99" s="52"/>
      <c r="E99" s="63" t="n">
        <f aca="false">D99*'Itens de Contrato'!F99</f>
        <v>0</v>
      </c>
      <c r="F99" s="62" t="n">
        <f aca="false">'Medição 09'!F99-'Medição 09'!G99</f>
        <v>0</v>
      </c>
      <c r="G99" s="52"/>
      <c r="H99" s="64" t="e">
        <f aca="false">G99/D99</f>
        <v>#DIV/0!</v>
      </c>
      <c r="I99" s="63" t="n">
        <f aca="false">G99*'Itens de Contrato'!F99</f>
        <v>0</v>
      </c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</row>
    <row r="100" customFormat="false" ht="12.8" hidden="false" customHeight="false" outlineLevel="0" collapsed="false">
      <c r="A100" s="37" t="n">
        <f aca="false">'Itens de Contrato'!A100</f>
        <v>0</v>
      </c>
      <c r="B100" s="37" t="n">
        <f aca="false">'Itens de Contrato'!B100</f>
        <v>0</v>
      </c>
      <c r="C100" s="37" t="e">
        <f aca="false">VLOOKUP(B100,'Itens de Contrato'!B$5:G$151,2,0)</f>
        <v>#N/A</v>
      </c>
      <c r="D100" s="52"/>
      <c r="E100" s="63" t="n">
        <f aca="false">D100*'Itens de Contrato'!F100</f>
        <v>0</v>
      </c>
      <c r="F100" s="62" t="n">
        <f aca="false">'Medição 09'!F100-'Medição 09'!G100</f>
        <v>0</v>
      </c>
      <c r="G100" s="52"/>
      <c r="H100" s="64" t="e">
        <f aca="false">G100/D100</f>
        <v>#DIV/0!</v>
      </c>
      <c r="I100" s="63" t="n">
        <f aca="false">G100*'Itens de Contrato'!F100</f>
        <v>0</v>
      </c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customFormat="false" ht="12.8" hidden="false" customHeight="false" outlineLevel="0" collapsed="false">
      <c r="A101" s="37" t="n">
        <f aca="false">'Itens de Contrato'!A101</f>
        <v>0</v>
      </c>
      <c r="B101" s="37" t="n">
        <f aca="false">'Itens de Contrato'!B101</f>
        <v>0</v>
      </c>
      <c r="C101" s="37" t="e">
        <f aca="false">VLOOKUP(B101,'Itens de Contrato'!B$5:G$151,2,0)</f>
        <v>#N/A</v>
      </c>
      <c r="D101" s="52"/>
      <c r="E101" s="63" t="n">
        <f aca="false">D101*'Itens de Contrato'!F101</f>
        <v>0</v>
      </c>
      <c r="F101" s="62" t="n">
        <f aca="false">'Medição 09'!F101-'Medição 09'!G101</f>
        <v>0</v>
      </c>
      <c r="G101" s="52"/>
      <c r="H101" s="64" t="e">
        <f aca="false">G101/D101</f>
        <v>#DIV/0!</v>
      </c>
      <c r="I101" s="63" t="n">
        <f aca="false">G101*'Itens de Contrato'!F101</f>
        <v>0</v>
      </c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customFormat="false" ht="12.8" hidden="false" customHeight="false" outlineLevel="0" collapsed="false">
      <c r="A102" s="37" t="n">
        <f aca="false">'Itens de Contrato'!A102</f>
        <v>0</v>
      </c>
      <c r="B102" s="37" t="n">
        <f aca="false">'Itens de Contrato'!B102</f>
        <v>0</v>
      </c>
      <c r="C102" s="37" t="e">
        <f aca="false">VLOOKUP(B102,'Itens de Contrato'!B$5:G$151,2,0)</f>
        <v>#N/A</v>
      </c>
      <c r="D102" s="52"/>
      <c r="E102" s="63" t="n">
        <f aca="false">D102*'Itens de Contrato'!F102</f>
        <v>0</v>
      </c>
      <c r="F102" s="62" t="n">
        <f aca="false">'Medição 09'!F102-'Medição 09'!G102</f>
        <v>0</v>
      </c>
      <c r="G102" s="52"/>
      <c r="H102" s="64" t="e">
        <f aca="false">G102/D102</f>
        <v>#DIV/0!</v>
      </c>
      <c r="I102" s="63" t="n">
        <f aca="false">G102*'Itens de Contrato'!F102</f>
        <v>0</v>
      </c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</row>
    <row r="103" customFormat="false" ht="12.8" hidden="false" customHeight="false" outlineLevel="0" collapsed="false">
      <c r="A103" s="37" t="n">
        <f aca="false">'Itens de Contrato'!A103</f>
        <v>0</v>
      </c>
      <c r="B103" s="37" t="n">
        <f aca="false">'Itens de Contrato'!B103</f>
        <v>0</v>
      </c>
      <c r="C103" s="37" t="e">
        <f aca="false">VLOOKUP(B103,'Itens de Contrato'!B$5:G$151,2,0)</f>
        <v>#N/A</v>
      </c>
      <c r="D103" s="52"/>
      <c r="E103" s="63" t="n">
        <f aca="false">D103*'Itens de Contrato'!F103</f>
        <v>0</v>
      </c>
      <c r="F103" s="62" t="n">
        <f aca="false">'Medição 09'!F103-'Medição 09'!G103</f>
        <v>0</v>
      </c>
      <c r="G103" s="52"/>
      <c r="H103" s="64" t="e">
        <f aca="false">G103/D103</f>
        <v>#DIV/0!</v>
      </c>
      <c r="I103" s="63" t="n">
        <f aca="false">G103*'Itens de Contrato'!F103</f>
        <v>0</v>
      </c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</row>
    <row r="104" customFormat="false" ht="12.8" hidden="false" customHeight="false" outlineLevel="0" collapsed="false">
      <c r="A104" s="37" t="n">
        <f aca="false">'Itens de Contrato'!A104</f>
        <v>0</v>
      </c>
      <c r="B104" s="37" t="n">
        <f aca="false">'Itens de Contrato'!B104</f>
        <v>0</v>
      </c>
      <c r="C104" s="37" t="e">
        <f aca="false">VLOOKUP(B104,'Itens de Contrato'!B$5:G$151,2,0)</f>
        <v>#N/A</v>
      </c>
      <c r="D104" s="52"/>
      <c r="E104" s="63" t="n">
        <f aca="false">D104*'Itens de Contrato'!F104</f>
        <v>0</v>
      </c>
      <c r="F104" s="62" t="n">
        <f aca="false">'Medição 09'!F104-'Medição 09'!G104</f>
        <v>0</v>
      </c>
      <c r="G104" s="52"/>
      <c r="H104" s="64" t="e">
        <f aca="false">G104/D104</f>
        <v>#DIV/0!</v>
      </c>
      <c r="I104" s="63" t="n">
        <f aca="false">G104*'Itens de Contrato'!F104</f>
        <v>0</v>
      </c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</row>
    <row r="105" customFormat="false" ht="12.8" hidden="false" customHeight="false" outlineLevel="0" collapsed="false">
      <c r="A105" s="37" t="n">
        <f aca="false">'Itens de Contrato'!A105</f>
        <v>0</v>
      </c>
      <c r="B105" s="37" t="n">
        <f aca="false">'Itens de Contrato'!B105</f>
        <v>0</v>
      </c>
      <c r="C105" s="37" t="e">
        <f aca="false">VLOOKUP(B105,'Itens de Contrato'!B$5:G$151,2,0)</f>
        <v>#N/A</v>
      </c>
      <c r="D105" s="52"/>
      <c r="E105" s="63" t="n">
        <f aca="false">D105*'Itens de Contrato'!F105</f>
        <v>0</v>
      </c>
      <c r="F105" s="62" t="n">
        <f aca="false">'Medição 09'!F105-'Medição 09'!G105</f>
        <v>0</v>
      </c>
      <c r="G105" s="52"/>
      <c r="H105" s="64" t="e">
        <f aca="false">G105/D105</f>
        <v>#DIV/0!</v>
      </c>
      <c r="I105" s="63" t="n">
        <f aca="false">G105*'Itens de Contrato'!F105</f>
        <v>0</v>
      </c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</row>
    <row r="106" customFormat="false" ht="12.8" hidden="false" customHeight="false" outlineLevel="0" collapsed="false">
      <c r="A106" s="37" t="n">
        <f aca="false">'Itens de Contrato'!A106</f>
        <v>0</v>
      </c>
      <c r="B106" s="37" t="n">
        <f aca="false">'Itens de Contrato'!B106</f>
        <v>0</v>
      </c>
      <c r="C106" s="37" t="e">
        <f aca="false">VLOOKUP(B106,'Itens de Contrato'!B$5:G$151,2,0)</f>
        <v>#N/A</v>
      </c>
      <c r="D106" s="52"/>
      <c r="E106" s="63" t="n">
        <f aca="false">D106*'Itens de Contrato'!F106</f>
        <v>0</v>
      </c>
      <c r="F106" s="62" t="n">
        <f aca="false">'Medição 09'!F106-'Medição 09'!G106</f>
        <v>0</v>
      </c>
      <c r="G106" s="52"/>
      <c r="H106" s="64" t="e">
        <f aca="false">G106/D106</f>
        <v>#DIV/0!</v>
      </c>
      <c r="I106" s="63" t="n">
        <f aca="false">G106*'Itens de Contrato'!F106</f>
        <v>0</v>
      </c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</row>
    <row r="107" customFormat="false" ht="12.8" hidden="false" customHeight="false" outlineLevel="0" collapsed="false">
      <c r="A107" s="37" t="n">
        <f aca="false">'Itens de Contrato'!A107</f>
        <v>0</v>
      </c>
      <c r="B107" s="37" t="n">
        <f aca="false">'Itens de Contrato'!B107</f>
        <v>0</v>
      </c>
      <c r="C107" s="37" t="e">
        <f aca="false">VLOOKUP(B107,'Itens de Contrato'!B$5:G$151,2,0)</f>
        <v>#N/A</v>
      </c>
      <c r="D107" s="52"/>
      <c r="E107" s="63" t="n">
        <f aca="false">D107*'Itens de Contrato'!F107</f>
        <v>0</v>
      </c>
      <c r="F107" s="62" t="n">
        <f aca="false">'Medição 09'!F107-'Medição 09'!G107</f>
        <v>0</v>
      </c>
      <c r="G107" s="52"/>
      <c r="H107" s="64" t="e">
        <f aca="false">G107/D107</f>
        <v>#DIV/0!</v>
      </c>
      <c r="I107" s="63" t="n">
        <f aca="false">G107*'Itens de Contrato'!F107</f>
        <v>0</v>
      </c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</row>
    <row r="108" customFormat="false" ht="12.8" hidden="false" customHeight="false" outlineLevel="0" collapsed="false">
      <c r="A108" s="37" t="n">
        <f aca="false">'Itens de Contrato'!A108</f>
        <v>0</v>
      </c>
      <c r="B108" s="37" t="n">
        <f aca="false">'Itens de Contrato'!B108</f>
        <v>0</v>
      </c>
      <c r="C108" s="37" t="e">
        <f aca="false">VLOOKUP(B108,'Itens de Contrato'!B$5:G$151,2,0)</f>
        <v>#N/A</v>
      </c>
      <c r="D108" s="52"/>
      <c r="E108" s="63" t="n">
        <f aca="false">D108*'Itens de Contrato'!F108</f>
        <v>0</v>
      </c>
      <c r="F108" s="62" t="n">
        <f aca="false">'Medição 09'!F108-'Medição 09'!G108</f>
        <v>0</v>
      </c>
      <c r="G108" s="52"/>
      <c r="H108" s="64" t="e">
        <f aca="false">G108/D108</f>
        <v>#DIV/0!</v>
      </c>
      <c r="I108" s="63" t="n">
        <f aca="false">G108*'Itens de Contrato'!F108</f>
        <v>0</v>
      </c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</row>
    <row r="109" customFormat="false" ht="12.8" hidden="false" customHeight="false" outlineLevel="0" collapsed="false">
      <c r="A109" s="37" t="n">
        <f aca="false">'Itens de Contrato'!A109</f>
        <v>0</v>
      </c>
      <c r="B109" s="37" t="n">
        <f aca="false">'Itens de Contrato'!B109</f>
        <v>0</v>
      </c>
      <c r="C109" s="37" t="e">
        <f aca="false">VLOOKUP(B109,'Itens de Contrato'!B$5:G$151,2,0)</f>
        <v>#N/A</v>
      </c>
      <c r="D109" s="52"/>
      <c r="E109" s="63" t="n">
        <f aca="false">D109*'Itens de Contrato'!F109</f>
        <v>0</v>
      </c>
      <c r="F109" s="62" t="n">
        <f aca="false">'Medição 09'!F109-'Medição 09'!G109</f>
        <v>0</v>
      </c>
      <c r="G109" s="52"/>
      <c r="H109" s="64" t="e">
        <f aca="false">G109/D109</f>
        <v>#DIV/0!</v>
      </c>
      <c r="I109" s="63" t="n">
        <f aca="false">G109*'Itens de Contrato'!F109</f>
        <v>0</v>
      </c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</row>
    <row r="110" customFormat="false" ht="12.8" hidden="false" customHeight="false" outlineLevel="0" collapsed="false">
      <c r="A110" s="37" t="n">
        <f aca="false">'Itens de Contrato'!A110</f>
        <v>0</v>
      </c>
      <c r="B110" s="37" t="n">
        <f aca="false">'Itens de Contrato'!B110</f>
        <v>0</v>
      </c>
      <c r="C110" s="37" t="e">
        <f aca="false">VLOOKUP(B110,'Itens de Contrato'!B$5:G$151,2,0)</f>
        <v>#N/A</v>
      </c>
      <c r="D110" s="52"/>
      <c r="E110" s="63" t="n">
        <f aca="false">D110*'Itens de Contrato'!F110</f>
        <v>0</v>
      </c>
      <c r="F110" s="62" t="n">
        <f aca="false">'Medição 09'!F110-'Medição 09'!G110</f>
        <v>0</v>
      </c>
      <c r="G110" s="52"/>
      <c r="H110" s="64" t="e">
        <f aca="false">G110/D110</f>
        <v>#DIV/0!</v>
      </c>
      <c r="I110" s="63" t="n">
        <f aca="false">G110*'Itens de Contrato'!F110</f>
        <v>0</v>
      </c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</row>
    <row r="111" customFormat="false" ht="12.8" hidden="false" customHeight="false" outlineLevel="0" collapsed="false">
      <c r="A111" s="37" t="n">
        <f aca="false">'Itens de Contrato'!A111</f>
        <v>0</v>
      </c>
      <c r="B111" s="37" t="n">
        <f aca="false">'Itens de Contrato'!B111</f>
        <v>0</v>
      </c>
      <c r="C111" s="37" t="e">
        <f aca="false">VLOOKUP(B111,'Itens de Contrato'!B$5:G$151,2,0)</f>
        <v>#N/A</v>
      </c>
      <c r="D111" s="52"/>
      <c r="E111" s="63" t="n">
        <f aca="false">D111*'Itens de Contrato'!F111</f>
        <v>0</v>
      </c>
      <c r="F111" s="62" t="n">
        <f aca="false">'Medição 09'!F111-'Medição 09'!G111</f>
        <v>0</v>
      </c>
      <c r="G111" s="52"/>
      <c r="H111" s="64" t="e">
        <f aca="false">G111/D111</f>
        <v>#DIV/0!</v>
      </c>
      <c r="I111" s="63" t="n">
        <f aca="false">G111*'Itens de Contrato'!F111</f>
        <v>0</v>
      </c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</row>
    <row r="112" customFormat="false" ht="12.8" hidden="false" customHeight="false" outlineLevel="0" collapsed="false">
      <c r="A112" s="37" t="n">
        <f aca="false">'Itens de Contrato'!A112</f>
        <v>0</v>
      </c>
      <c r="B112" s="37" t="n">
        <f aca="false">'Itens de Contrato'!B112</f>
        <v>0</v>
      </c>
      <c r="C112" s="37" t="e">
        <f aca="false">VLOOKUP(B112,'Itens de Contrato'!B$5:G$151,2,0)</f>
        <v>#N/A</v>
      </c>
      <c r="D112" s="52"/>
      <c r="E112" s="63" t="n">
        <f aca="false">D112*'Itens de Contrato'!F112</f>
        <v>0</v>
      </c>
      <c r="F112" s="62" t="n">
        <f aca="false">'Medição 09'!F112-'Medição 09'!G112</f>
        <v>0</v>
      </c>
      <c r="G112" s="52"/>
      <c r="H112" s="64" t="e">
        <f aca="false">G112/D112</f>
        <v>#DIV/0!</v>
      </c>
      <c r="I112" s="63" t="n">
        <f aca="false">G112*'Itens de Contrato'!F112</f>
        <v>0</v>
      </c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</row>
    <row r="113" customFormat="false" ht="12.8" hidden="false" customHeight="false" outlineLevel="0" collapsed="false">
      <c r="A113" s="37" t="n">
        <f aca="false">'Itens de Contrato'!A113</f>
        <v>0</v>
      </c>
      <c r="B113" s="37" t="n">
        <f aca="false">'Itens de Contrato'!B113</f>
        <v>0</v>
      </c>
      <c r="C113" s="37" t="e">
        <f aca="false">VLOOKUP(B113,'Itens de Contrato'!B$5:G$151,2,0)</f>
        <v>#N/A</v>
      </c>
      <c r="D113" s="52"/>
      <c r="E113" s="63" t="n">
        <f aca="false">D113*'Itens de Contrato'!F113</f>
        <v>0</v>
      </c>
      <c r="F113" s="62" t="n">
        <f aca="false">'Medição 09'!F113-'Medição 09'!G113</f>
        <v>0</v>
      </c>
      <c r="G113" s="52"/>
      <c r="H113" s="64" t="e">
        <f aca="false">G113/D113</f>
        <v>#DIV/0!</v>
      </c>
      <c r="I113" s="63" t="n">
        <f aca="false">G113*'Itens de Contrato'!F113</f>
        <v>0</v>
      </c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</row>
    <row r="114" customFormat="false" ht="12.8" hidden="false" customHeight="false" outlineLevel="0" collapsed="false">
      <c r="A114" s="37" t="n">
        <f aca="false">'Itens de Contrato'!A114</f>
        <v>0</v>
      </c>
      <c r="B114" s="37" t="n">
        <f aca="false">'Itens de Contrato'!B114</f>
        <v>0</v>
      </c>
      <c r="C114" s="37" t="e">
        <f aca="false">VLOOKUP(B114,'Itens de Contrato'!B$5:G$151,2,0)</f>
        <v>#N/A</v>
      </c>
      <c r="D114" s="52"/>
      <c r="E114" s="63" t="n">
        <f aca="false">D114*'Itens de Contrato'!F114</f>
        <v>0</v>
      </c>
      <c r="F114" s="62" t="n">
        <f aca="false">'Medição 09'!F114-'Medição 09'!G114</f>
        <v>0</v>
      </c>
      <c r="G114" s="52"/>
      <c r="H114" s="64" t="e">
        <f aca="false">G114/D114</f>
        <v>#DIV/0!</v>
      </c>
      <c r="I114" s="63" t="n">
        <f aca="false">G114*'Itens de Contrato'!F114</f>
        <v>0</v>
      </c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</row>
    <row r="115" customFormat="false" ht="12.8" hidden="false" customHeight="false" outlineLevel="0" collapsed="false">
      <c r="A115" s="37" t="n">
        <f aca="false">'Itens de Contrato'!A115</f>
        <v>0</v>
      </c>
      <c r="B115" s="37" t="n">
        <f aca="false">'Itens de Contrato'!B115</f>
        <v>0</v>
      </c>
      <c r="C115" s="37" t="e">
        <f aca="false">VLOOKUP(B115,'Itens de Contrato'!B$5:G$151,2,0)</f>
        <v>#N/A</v>
      </c>
      <c r="D115" s="52"/>
      <c r="E115" s="63" t="n">
        <f aca="false">D115*'Itens de Contrato'!F115</f>
        <v>0</v>
      </c>
      <c r="F115" s="62" t="n">
        <f aca="false">'Medição 09'!F115-'Medição 09'!G115</f>
        <v>0</v>
      </c>
      <c r="G115" s="52"/>
      <c r="H115" s="64" t="e">
        <f aca="false">G115/D115</f>
        <v>#DIV/0!</v>
      </c>
      <c r="I115" s="63" t="n">
        <f aca="false">G115*'Itens de Contrato'!F115</f>
        <v>0</v>
      </c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</row>
    <row r="116" customFormat="false" ht="12.8" hidden="false" customHeight="false" outlineLevel="0" collapsed="false">
      <c r="A116" s="37" t="n">
        <f aca="false">'Itens de Contrato'!A116</f>
        <v>0</v>
      </c>
      <c r="B116" s="37" t="n">
        <f aca="false">'Itens de Contrato'!B116</f>
        <v>0</v>
      </c>
      <c r="C116" s="37" t="e">
        <f aca="false">VLOOKUP(B116,'Itens de Contrato'!B$5:G$151,2,0)</f>
        <v>#N/A</v>
      </c>
      <c r="D116" s="52"/>
      <c r="E116" s="63" t="n">
        <f aca="false">D116*'Itens de Contrato'!F116</f>
        <v>0</v>
      </c>
      <c r="F116" s="62" t="n">
        <f aca="false">'Medição 09'!F116-'Medição 09'!G116</f>
        <v>0</v>
      </c>
      <c r="G116" s="52"/>
      <c r="H116" s="64" t="e">
        <f aca="false">G116/D116</f>
        <v>#DIV/0!</v>
      </c>
      <c r="I116" s="63" t="n">
        <f aca="false">G116*'Itens de Contrato'!F116</f>
        <v>0</v>
      </c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</row>
    <row r="117" customFormat="false" ht="12.8" hidden="false" customHeight="false" outlineLevel="0" collapsed="false">
      <c r="A117" s="37" t="n">
        <f aca="false">'Itens de Contrato'!A117</f>
        <v>0</v>
      </c>
      <c r="B117" s="37" t="n">
        <f aca="false">'Itens de Contrato'!B117</f>
        <v>0</v>
      </c>
      <c r="C117" s="37" t="e">
        <f aca="false">VLOOKUP(B117,'Itens de Contrato'!B$5:G$151,2,0)</f>
        <v>#N/A</v>
      </c>
      <c r="D117" s="52"/>
      <c r="E117" s="63" t="n">
        <f aca="false">D117*'Itens de Contrato'!F117</f>
        <v>0</v>
      </c>
      <c r="F117" s="62" t="n">
        <f aca="false">'Medição 09'!F117-'Medição 09'!G117</f>
        <v>0</v>
      </c>
      <c r="G117" s="52"/>
      <c r="H117" s="64" t="e">
        <f aca="false">G117/D117</f>
        <v>#DIV/0!</v>
      </c>
      <c r="I117" s="63" t="n">
        <f aca="false">G117*'Itens de Contrato'!F117</f>
        <v>0</v>
      </c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</row>
    <row r="118" customFormat="false" ht="12.8" hidden="false" customHeight="false" outlineLevel="0" collapsed="false">
      <c r="A118" s="37" t="n">
        <f aca="false">'Itens de Contrato'!A118</f>
        <v>0</v>
      </c>
      <c r="B118" s="37" t="n">
        <f aca="false">'Itens de Contrato'!B118</f>
        <v>0</v>
      </c>
      <c r="C118" s="37" t="e">
        <f aca="false">VLOOKUP(B118,'Itens de Contrato'!B$5:G$151,2,0)</f>
        <v>#N/A</v>
      </c>
      <c r="D118" s="52"/>
      <c r="E118" s="63" t="n">
        <f aca="false">D118*'Itens de Contrato'!F118</f>
        <v>0</v>
      </c>
      <c r="F118" s="62" t="n">
        <f aca="false">'Medição 09'!F118-'Medição 09'!G118</f>
        <v>0</v>
      </c>
      <c r="G118" s="52"/>
      <c r="H118" s="64" t="e">
        <f aca="false">G118/D118</f>
        <v>#DIV/0!</v>
      </c>
      <c r="I118" s="63" t="n">
        <f aca="false">G118*'Itens de Contrato'!F118</f>
        <v>0</v>
      </c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</row>
    <row r="119" customFormat="false" ht="12.8" hidden="false" customHeight="false" outlineLevel="0" collapsed="false">
      <c r="A119" s="37" t="n">
        <f aca="false">'Itens de Contrato'!A119</f>
        <v>0</v>
      </c>
      <c r="B119" s="37" t="n">
        <f aca="false">'Itens de Contrato'!B119</f>
        <v>0</v>
      </c>
      <c r="C119" s="37" t="e">
        <f aca="false">VLOOKUP(B119,'Itens de Contrato'!B$5:G$151,2,0)</f>
        <v>#N/A</v>
      </c>
      <c r="D119" s="52"/>
      <c r="E119" s="63" t="n">
        <f aca="false">D119*'Itens de Contrato'!F119</f>
        <v>0</v>
      </c>
      <c r="F119" s="62" t="n">
        <f aca="false">'Medição 09'!F119-'Medição 09'!G119</f>
        <v>0</v>
      </c>
      <c r="G119" s="52"/>
      <c r="H119" s="64" t="e">
        <f aca="false">G119/D119</f>
        <v>#DIV/0!</v>
      </c>
      <c r="I119" s="63" t="n">
        <f aca="false">G119*'Itens de Contrato'!F119</f>
        <v>0</v>
      </c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</row>
    <row r="120" customFormat="false" ht="12.8" hidden="false" customHeight="false" outlineLevel="0" collapsed="false">
      <c r="A120" s="37" t="n">
        <f aca="false">'Itens de Contrato'!A120</f>
        <v>0</v>
      </c>
      <c r="B120" s="37" t="n">
        <f aca="false">'Itens de Contrato'!B120</f>
        <v>0</v>
      </c>
      <c r="C120" s="37" t="e">
        <f aca="false">VLOOKUP(B120,'Itens de Contrato'!B$5:G$151,2,0)</f>
        <v>#N/A</v>
      </c>
      <c r="D120" s="52"/>
      <c r="E120" s="63" t="n">
        <f aca="false">D120*'Itens de Contrato'!F120</f>
        <v>0</v>
      </c>
      <c r="F120" s="62" t="n">
        <f aca="false">'Medição 09'!F120-'Medição 09'!G120</f>
        <v>0</v>
      </c>
      <c r="G120" s="52"/>
      <c r="H120" s="64" t="e">
        <f aca="false">G120/D120</f>
        <v>#DIV/0!</v>
      </c>
      <c r="I120" s="63" t="n">
        <f aca="false">G120*'Itens de Contrato'!F120</f>
        <v>0</v>
      </c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</row>
    <row r="121" customFormat="false" ht="12.8" hidden="false" customHeight="false" outlineLevel="0" collapsed="false">
      <c r="A121" s="37" t="n">
        <f aca="false">'Itens de Contrato'!A121</f>
        <v>0</v>
      </c>
      <c r="B121" s="37" t="n">
        <f aca="false">'Itens de Contrato'!B121</f>
        <v>0</v>
      </c>
      <c r="C121" s="37" t="e">
        <f aca="false">VLOOKUP(B121,'Itens de Contrato'!B$5:G$151,2,0)</f>
        <v>#N/A</v>
      </c>
      <c r="D121" s="52"/>
      <c r="E121" s="63" t="n">
        <f aca="false">D121*'Itens de Contrato'!F121</f>
        <v>0</v>
      </c>
      <c r="F121" s="62" t="n">
        <f aca="false">'Medição 09'!F121-'Medição 09'!G121</f>
        <v>0</v>
      </c>
      <c r="G121" s="52"/>
      <c r="H121" s="64" t="e">
        <f aca="false">G121/D121</f>
        <v>#DIV/0!</v>
      </c>
      <c r="I121" s="63" t="n">
        <f aca="false">G121*'Itens de Contrato'!F121</f>
        <v>0</v>
      </c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</row>
    <row r="122" customFormat="false" ht="12.8" hidden="false" customHeight="false" outlineLevel="0" collapsed="false">
      <c r="A122" s="37" t="n">
        <f aca="false">'Itens de Contrato'!A122</f>
        <v>0</v>
      </c>
      <c r="B122" s="37" t="n">
        <f aca="false">'Itens de Contrato'!B122</f>
        <v>0</v>
      </c>
      <c r="C122" s="37" t="e">
        <f aca="false">VLOOKUP(B122,'Itens de Contrato'!B$5:G$151,2,0)</f>
        <v>#N/A</v>
      </c>
      <c r="D122" s="52"/>
      <c r="E122" s="63" t="n">
        <f aca="false">D122*'Itens de Contrato'!F122</f>
        <v>0</v>
      </c>
      <c r="F122" s="62" t="n">
        <f aca="false">'Medição 09'!F122-'Medição 09'!G122</f>
        <v>0</v>
      </c>
      <c r="G122" s="52"/>
      <c r="H122" s="64" t="e">
        <f aca="false">G122/D122</f>
        <v>#DIV/0!</v>
      </c>
      <c r="I122" s="63" t="n">
        <f aca="false">G122*'Itens de Contrato'!F122</f>
        <v>0</v>
      </c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</row>
    <row r="123" customFormat="false" ht="12.8" hidden="false" customHeight="false" outlineLevel="0" collapsed="false">
      <c r="A123" s="37" t="n">
        <f aca="false">'Itens de Contrato'!A123</f>
        <v>0</v>
      </c>
      <c r="B123" s="37" t="n">
        <f aca="false">'Itens de Contrato'!B123</f>
        <v>0</v>
      </c>
      <c r="C123" s="37" t="e">
        <f aca="false">VLOOKUP(B123,'Itens de Contrato'!B$5:G$151,2,0)</f>
        <v>#N/A</v>
      </c>
      <c r="D123" s="52"/>
      <c r="E123" s="63" t="n">
        <f aca="false">D123*'Itens de Contrato'!F123</f>
        <v>0</v>
      </c>
      <c r="F123" s="62" t="n">
        <f aca="false">'Medição 09'!F123-'Medição 09'!G123</f>
        <v>0</v>
      </c>
      <c r="G123" s="52"/>
      <c r="H123" s="64" t="e">
        <f aca="false">G123/D123</f>
        <v>#DIV/0!</v>
      </c>
      <c r="I123" s="63" t="n">
        <f aca="false">G123*'Itens de Contrato'!F123</f>
        <v>0</v>
      </c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</row>
    <row r="124" customFormat="false" ht="12.8" hidden="false" customHeight="false" outlineLevel="0" collapsed="false">
      <c r="A124" s="37" t="n">
        <f aca="false">'Itens de Contrato'!A124</f>
        <v>0</v>
      </c>
      <c r="B124" s="37" t="n">
        <f aca="false">'Itens de Contrato'!B124</f>
        <v>0</v>
      </c>
      <c r="C124" s="37" t="e">
        <f aca="false">VLOOKUP(B124,'Itens de Contrato'!B$5:G$151,2,0)</f>
        <v>#N/A</v>
      </c>
      <c r="D124" s="52"/>
      <c r="E124" s="63" t="n">
        <f aca="false">D124*'Itens de Contrato'!F124</f>
        <v>0</v>
      </c>
      <c r="F124" s="62" t="n">
        <f aca="false">'Medição 09'!F124-'Medição 09'!G124</f>
        <v>0</v>
      </c>
      <c r="G124" s="52"/>
      <c r="H124" s="64" t="e">
        <f aca="false">G124/D124</f>
        <v>#DIV/0!</v>
      </c>
      <c r="I124" s="63" t="n">
        <f aca="false">G124*'Itens de Contrato'!F124</f>
        <v>0</v>
      </c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</row>
    <row r="125" customFormat="false" ht="12.8" hidden="false" customHeight="false" outlineLevel="0" collapsed="false">
      <c r="A125" s="37" t="n">
        <f aca="false">'Itens de Contrato'!A125</f>
        <v>0</v>
      </c>
      <c r="B125" s="37" t="n">
        <f aca="false">'Itens de Contrato'!B125</f>
        <v>0</v>
      </c>
      <c r="C125" s="37" t="e">
        <f aca="false">VLOOKUP(B125,'Itens de Contrato'!B$5:G$151,2,0)</f>
        <v>#N/A</v>
      </c>
      <c r="D125" s="52"/>
      <c r="E125" s="63" t="n">
        <f aca="false">D125*'Itens de Contrato'!F125</f>
        <v>0</v>
      </c>
      <c r="F125" s="62" t="n">
        <f aca="false">'Medição 09'!F125-'Medição 09'!G125</f>
        <v>0</v>
      </c>
      <c r="G125" s="52"/>
      <c r="H125" s="64" t="e">
        <f aca="false">G125/D125</f>
        <v>#DIV/0!</v>
      </c>
      <c r="I125" s="63" t="n">
        <f aca="false">G125*'Itens de Contrato'!F125</f>
        <v>0</v>
      </c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</row>
    <row r="126" customFormat="false" ht="12.8" hidden="false" customHeight="false" outlineLevel="0" collapsed="false">
      <c r="A126" s="37" t="n">
        <f aca="false">'Itens de Contrato'!A126</f>
        <v>0</v>
      </c>
      <c r="B126" s="37" t="n">
        <f aca="false">'Itens de Contrato'!B126</f>
        <v>0</v>
      </c>
      <c r="C126" s="37" t="e">
        <f aca="false">VLOOKUP(B126,'Itens de Contrato'!B$5:G$151,2,0)</f>
        <v>#N/A</v>
      </c>
      <c r="D126" s="52"/>
      <c r="E126" s="63" t="n">
        <f aca="false">D126*'Itens de Contrato'!F126</f>
        <v>0</v>
      </c>
      <c r="F126" s="62" t="n">
        <f aca="false">'Medição 09'!F126-'Medição 09'!G126</f>
        <v>0</v>
      </c>
      <c r="G126" s="52"/>
      <c r="H126" s="64" t="e">
        <f aca="false">G126/D126</f>
        <v>#DIV/0!</v>
      </c>
      <c r="I126" s="63" t="n">
        <f aca="false">G126*'Itens de Contrato'!F126</f>
        <v>0</v>
      </c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</row>
    <row r="127" customFormat="false" ht="12.8" hidden="false" customHeight="false" outlineLevel="0" collapsed="false">
      <c r="A127" s="37" t="n">
        <f aca="false">'Itens de Contrato'!A127</f>
        <v>0</v>
      </c>
      <c r="B127" s="37" t="n">
        <f aca="false">'Itens de Contrato'!B127</f>
        <v>0</v>
      </c>
      <c r="C127" s="37" t="e">
        <f aca="false">VLOOKUP(B127,'Itens de Contrato'!B$5:G$151,2,0)</f>
        <v>#N/A</v>
      </c>
      <c r="D127" s="52"/>
      <c r="E127" s="63" t="n">
        <f aca="false">D127*'Itens de Contrato'!F127</f>
        <v>0</v>
      </c>
      <c r="F127" s="62" t="n">
        <f aca="false">'Medição 09'!F127-'Medição 09'!G127</f>
        <v>0</v>
      </c>
      <c r="G127" s="52"/>
      <c r="H127" s="64" t="e">
        <f aca="false">G127/D127</f>
        <v>#DIV/0!</v>
      </c>
      <c r="I127" s="63" t="n">
        <f aca="false">G127*'Itens de Contrato'!F127</f>
        <v>0</v>
      </c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</row>
    <row r="128" customFormat="false" ht="12.8" hidden="false" customHeight="false" outlineLevel="0" collapsed="false">
      <c r="A128" s="37" t="n">
        <f aca="false">'Itens de Contrato'!A128</f>
        <v>0</v>
      </c>
      <c r="B128" s="37" t="n">
        <f aca="false">'Itens de Contrato'!B128</f>
        <v>0</v>
      </c>
      <c r="C128" s="37" t="e">
        <f aca="false">VLOOKUP(B128,'Itens de Contrato'!B$5:G$151,2,0)</f>
        <v>#N/A</v>
      </c>
      <c r="D128" s="52"/>
      <c r="E128" s="63" t="n">
        <f aca="false">D128*'Itens de Contrato'!F128</f>
        <v>0</v>
      </c>
      <c r="F128" s="62" t="n">
        <f aca="false">'Medição 09'!F128-'Medição 09'!G128</f>
        <v>0</v>
      </c>
      <c r="G128" s="52"/>
      <c r="H128" s="64" t="e">
        <f aca="false">G128/D128</f>
        <v>#DIV/0!</v>
      </c>
      <c r="I128" s="63" t="n">
        <f aca="false">G128*'Itens de Contrato'!F128</f>
        <v>0</v>
      </c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</row>
    <row r="129" customFormat="false" ht="12.8" hidden="false" customHeight="false" outlineLevel="0" collapsed="false">
      <c r="A129" s="37" t="n">
        <f aca="false">'Itens de Contrato'!A129</f>
        <v>0</v>
      </c>
      <c r="B129" s="37" t="n">
        <f aca="false">'Itens de Contrato'!B129</f>
        <v>0</v>
      </c>
      <c r="C129" s="37" t="e">
        <f aca="false">VLOOKUP(B129,'Itens de Contrato'!B$5:G$151,2,0)</f>
        <v>#N/A</v>
      </c>
      <c r="D129" s="52"/>
      <c r="E129" s="63" t="n">
        <f aca="false">D129*'Itens de Contrato'!F129</f>
        <v>0</v>
      </c>
      <c r="F129" s="62" t="n">
        <f aca="false">'Medição 09'!F129-'Medição 09'!G129</f>
        <v>0</v>
      </c>
      <c r="G129" s="52"/>
      <c r="H129" s="64" t="e">
        <f aca="false">G129/D129</f>
        <v>#DIV/0!</v>
      </c>
      <c r="I129" s="63" t="n">
        <f aca="false">G129*'Itens de Contrato'!F129</f>
        <v>0</v>
      </c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</row>
    <row r="130" customFormat="false" ht="12.8" hidden="false" customHeight="false" outlineLevel="0" collapsed="false">
      <c r="A130" s="37" t="n">
        <f aca="false">'Itens de Contrato'!A130</f>
        <v>0</v>
      </c>
      <c r="B130" s="37" t="n">
        <f aca="false">'Itens de Contrato'!B130</f>
        <v>0</v>
      </c>
      <c r="C130" s="37" t="e">
        <f aca="false">VLOOKUP(B130,'Itens de Contrato'!B$5:G$151,2,0)</f>
        <v>#N/A</v>
      </c>
      <c r="D130" s="52"/>
      <c r="E130" s="63" t="n">
        <f aca="false">D130*'Itens de Contrato'!F130</f>
        <v>0</v>
      </c>
      <c r="F130" s="62" t="n">
        <f aca="false">'Medição 09'!F130-'Medição 09'!G130</f>
        <v>0</v>
      </c>
      <c r="G130" s="52"/>
      <c r="H130" s="64" t="e">
        <f aca="false">G130/D130</f>
        <v>#DIV/0!</v>
      </c>
      <c r="I130" s="63" t="n">
        <f aca="false">G130*'Itens de Contrato'!F130</f>
        <v>0</v>
      </c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</row>
    <row r="131" customFormat="false" ht="12.8" hidden="false" customHeight="false" outlineLevel="0" collapsed="false">
      <c r="A131" s="37" t="n">
        <f aca="false">'Itens de Contrato'!A131</f>
        <v>0</v>
      </c>
      <c r="B131" s="37" t="n">
        <f aca="false">'Itens de Contrato'!B131</f>
        <v>0</v>
      </c>
      <c r="C131" s="37" t="e">
        <f aca="false">VLOOKUP(B131,'Itens de Contrato'!B$5:G$151,2,0)</f>
        <v>#N/A</v>
      </c>
      <c r="D131" s="52"/>
      <c r="E131" s="63" t="n">
        <f aca="false">D131*'Itens de Contrato'!F131</f>
        <v>0</v>
      </c>
      <c r="F131" s="62" t="n">
        <f aca="false">'Medição 09'!F131-'Medição 09'!G131</f>
        <v>0</v>
      </c>
      <c r="G131" s="52"/>
      <c r="H131" s="64" t="e">
        <f aca="false">G131/D131</f>
        <v>#DIV/0!</v>
      </c>
      <c r="I131" s="63" t="n">
        <f aca="false">G131*'Itens de Contrato'!F131</f>
        <v>0</v>
      </c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</row>
    <row r="132" customFormat="false" ht="12.8" hidden="false" customHeight="false" outlineLevel="0" collapsed="false">
      <c r="A132" s="37" t="n">
        <f aca="false">'Itens de Contrato'!A132</f>
        <v>0</v>
      </c>
      <c r="B132" s="37" t="n">
        <f aca="false">'Itens de Contrato'!B132</f>
        <v>0</v>
      </c>
      <c r="C132" s="37" t="e">
        <f aca="false">VLOOKUP(B132,'Itens de Contrato'!B$5:G$151,2,0)</f>
        <v>#N/A</v>
      </c>
      <c r="D132" s="52"/>
      <c r="E132" s="63" t="n">
        <f aca="false">D132*'Itens de Contrato'!F132</f>
        <v>0</v>
      </c>
      <c r="F132" s="62" t="n">
        <f aca="false">'Medição 09'!F132-'Medição 09'!G132</f>
        <v>0</v>
      </c>
      <c r="G132" s="52"/>
      <c r="H132" s="64" t="e">
        <f aca="false">G132/D132</f>
        <v>#DIV/0!</v>
      </c>
      <c r="I132" s="63" t="n">
        <f aca="false">G132*'Itens de Contrato'!F132</f>
        <v>0</v>
      </c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</row>
    <row r="133" customFormat="false" ht="12.8" hidden="false" customHeight="false" outlineLevel="0" collapsed="false">
      <c r="A133" s="37" t="n">
        <f aca="false">'Itens de Contrato'!A133</f>
        <v>0</v>
      </c>
      <c r="B133" s="37" t="n">
        <f aca="false">'Itens de Contrato'!B133</f>
        <v>0</v>
      </c>
      <c r="C133" s="37" t="e">
        <f aca="false">VLOOKUP(B133,'Itens de Contrato'!B$5:G$151,2,0)</f>
        <v>#N/A</v>
      </c>
      <c r="D133" s="52"/>
      <c r="E133" s="63" t="n">
        <f aca="false">D133*'Itens de Contrato'!F133</f>
        <v>0</v>
      </c>
      <c r="F133" s="62" t="n">
        <f aca="false">'Medição 09'!F133-'Medição 09'!G133</f>
        <v>0</v>
      </c>
      <c r="G133" s="52"/>
      <c r="H133" s="64" t="e">
        <f aca="false">G133/D133</f>
        <v>#DIV/0!</v>
      </c>
      <c r="I133" s="63" t="n">
        <f aca="false">G133*'Itens de Contrato'!F133</f>
        <v>0</v>
      </c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</row>
    <row r="134" customFormat="false" ht="12.8" hidden="false" customHeight="false" outlineLevel="0" collapsed="false">
      <c r="A134" s="37" t="n">
        <f aca="false">'Itens de Contrato'!A134</f>
        <v>0</v>
      </c>
      <c r="B134" s="37" t="n">
        <f aca="false">'Itens de Contrato'!B134</f>
        <v>0</v>
      </c>
      <c r="C134" s="37" t="e">
        <f aca="false">VLOOKUP(B134,'Itens de Contrato'!B$5:G$151,2,0)</f>
        <v>#N/A</v>
      </c>
      <c r="D134" s="52"/>
      <c r="E134" s="63" t="n">
        <f aca="false">D134*'Itens de Contrato'!F134</f>
        <v>0</v>
      </c>
      <c r="F134" s="62" t="n">
        <f aca="false">'Medição 09'!F134-'Medição 09'!G134</f>
        <v>0</v>
      </c>
      <c r="G134" s="52"/>
      <c r="H134" s="64" t="e">
        <f aca="false">G134/D134</f>
        <v>#DIV/0!</v>
      </c>
      <c r="I134" s="63" t="n">
        <f aca="false">G134*'Itens de Contrato'!F134</f>
        <v>0</v>
      </c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</row>
    <row r="135" customFormat="false" ht="12.8" hidden="false" customHeight="false" outlineLevel="0" collapsed="false">
      <c r="A135" s="37" t="n">
        <f aca="false">'Itens de Contrato'!A135</f>
        <v>0</v>
      </c>
      <c r="B135" s="37" t="n">
        <f aca="false">'Itens de Contrato'!B135</f>
        <v>0</v>
      </c>
      <c r="C135" s="37" t="e">
        <f aca="false">VLOOKUP(B135,'Itens de Contrato'!B$5:G$151,2,0)</f>
        <v>#N/A</v>
      </c>
      <c r="D135" s="52"/>
      <c r="E135" s="63" t="n">
        <f aca="false">D135*'Itens de Contrato'!F135</f>
        <v>0</v>
      </c>
      <c r="F135" s="62" t="n">
        <f aca="false">'Medição 09'!F135-'Medição 09'!G135</f>
        <v>0</v>
      </c>
      <c r="G135" s="52"/>
      <c r="H135" s="64" t="e">
        <f aca="false">G135/D135</f>
        <v>#DIV/0!</v>
      </c>
      <c r="I135" s="63" t="n">
        <f aca="false">G135*'Itens de Contrato'!F135</f>
        <v>0</v>
      </c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</row>
    <row r="136" customFormat="false" ht="12.8" hidden="false" customHeight="false" outlineLevel="0" collapsed="false">
      <c r="A136" s="37" t="n">
        <f aca="false">'Itens de Contrato'!A136</f>
        <v>0</v>
      </c>
      <c r="B136" s="37" t="n">
        <f aca="false">'Itens de Contrato'!B136</f>
        <v>0</v>
      </c>
      <c r="C136" s="37" t="e">
        <f aca="false">VLOOKUP(B136,'Itens de Contrato'!B$5:G$151,2,0)</f>
        <v>#N/A</v>
      </c>
      <c r="D136" s="52"/>
      <c r="E136" s="63" t="n">
        <f aca="false">D136*'Itens de Contrato'!F136</f>
        <v>0</v>
      </c>
      <c r="F136" s="62" t="n">
        <f aca="false">'Medição 09'!F136-'Medição 09'!G136</f>
        <v>0</v>
      </c>
      <c r="G136" s="52"/>
      <c r="H136" s="64" t="e">
        <f aca="false">G136/D136</f>
        <v>#DIV/0!</v>
      </c>
      <c r="I136" s="63" t="n">
        <f aca="false">G136*'Itens de Contrato'!F136</f>
        <v>0</v>
      </c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</row>
    <row r="137" customFormat="false" ht="12.8" hidden="false" customHeight="false" outlineLevel="0" collapsed="false">
      <c r="A137" s="37" t="n">
        <f aca="false">'Itens de Contrato'!A137</f>
        <v>0</v>
      </c>
      <c r="B137" s="37" t="n">
        <f aca="false">'Itens de Contrato'!B137</f>
        <v>0</v>
      </c>
      <c r="C137" s="37" t="e">
        <f aca="false">VLOOKUP(B137,'Itens de Contrato'!B$5:G$151,2,0)</f>
        <v>#N/A</v>
      </c>
      <c r="D137" s="52"/>
      <c r="E137" s="63" t="n">
        <f aca="false">D137*'Itens de Contrato'!F137</f>
        <v>0</v>
      </c>
      <c r="F137" s="62" t="n">
        <f aca="false">'Medição 09'!F137-'Medição 09'!G137</f>
        <v>0</v>
      </c>
      <c r="G137" s="52"/>
      <c r="H137" s="64" t="e">
        <f aca="false">G137/D137</f>
        <v>#DIV/0!</v>
      </c>
      <c r="I137" s="63" t="n">
        <f aca="false">G137*'Itens de Contrato'!F137</f>
        <v>0</v>
      </c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</row>
    <row r="138" customFormat="false" ht="12.8" hidden="false" customHeight="false" outlineLevel="0" collapsed="false">
      <c r="A138" s="37" t="n">
        <f aca="false">'Itens de Contrato'!A138</f>
        <v>0</v>
      </c>
      <c r="B138" s="37" t="n">
        <f aca="false">'Itens de Contrato'!B138</f>
        <v>0</v>
      </c>
      <c r="C138" s="37" t="e">
        <f aca="false">VLOOKUP(B138,'Itens de Contrato'!B$5:G$151,2,0)</f>
        <v>#N/A</v>
      </c>
      <c r="D138" s="52"/>
      <c r="E138" s="63" t="n">
        <f aca="false">D138*'Itens de Contrato'!F138</f>
        <v>0</v>
      </c>
      <c r="F138" s="62" t="n">
        <f aca="false">'Medição 09'!F138-'Medição 09'!G138</f>
        <v>0</v>
      </c>
      <c r="G138" s="52"/>
      <c r="H138" s="64" t="e">
        <f aca="false">G138/D138</f>
        <v>#DIV/0!</v>
      </c>
      <c r="I138" s="63" t="n">
        <f aca="false">G138*'Itens de Contrato'!F138</f>
        <v>0</v>
      </c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</row>
    <row r="139" customFormat="false" ht="12.8" hidden="false" customHeight="false" outlineLevel="0" collapsed="false">
      <c r="A139" s="37" t="n">
        <f aca="false">'Itens de Contrato'!A139</f>
        <v>0</v>
      </c>
      <c r="B139" s="37" t="n">
        <f aca="false">'Itens de Contrato'!B139</f>
        <v>0</v>
      </c>
      <c r="C139" s="37" t="e">
        <f aca="false">VLOOKUP(B139,'Itens de Contrato'!B$5:G$151,2,0)</f>
        <v>#N/A</v>
      </c>
      <c r="D139" s="52"/>
      <c r="E139" s="63" t="n">
        <f aca="false">D139*'Itens de Contrato'!F139</f>
        <v>0</v>
      </c>
      <c r="F139" s="62" t="n">
        <f aca="false">'Medição 09'!F139-'Medição 09'!G139</f>
        <v>0</v>
      </c>
      <c r="G139" s="52"/>
      <c r="H139" s="64" t="e">
        <f aca="false">G139/D139</f>
        <v>#DIV/0!</v>
      </c>
      <c r="I139" s="63" t="n">
        <f aca="false">G139*'Itens de Contrato'!F139</f>
        <v>0</v>
      </c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</row>
    <row r="140" customFormat="false" ht="12.8" hidden="false" customHeight="false" outlineLevel="0" collapsed="false">
      <c r="A140" s="37" t="n">
        <f aca="false">'Itens de Contrato'!A140</f>
        <v>0</v>
      </c>
      <c r="B140" s="37" t="n">
        <f aca="false">'Itens de Contrato'!B140</f>
        <v>0</v>
      </c>
      <c r="C140" s="37" t="e">
        <f aca="false">VLOOKUP(B140,'Itens de Contrato'!B$5:G$151,2,0)</f>
        <v>#N/A</v>
      </c>
      <c r="D140" s="52"/>
      <c r="E140" s="63" t="n">
        <f aca="false">D140*'Itens de Contrato'!F140</f>
        <v>0</v>
      </c>
      <c r="F140" s="62" t="n">
        <f aca="false">'Medição 09'!F140-'Medição 09'!G140</f>
        <v>0</v>
      </c>
      <c r="G140" s="52"/>
      <c r="H140" s="64" t="e">
        <f aca="false">G140/D140</f>
        <v>#DIV/0!</v>
      </c>
      <c r="I140" s="63" t="n">
        <f aca="false">G140*'Itens de Contrato'!F140</f>
        <v>0</v>
      </c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</row>
    <row r="141" customFormat="false" ht="12.8" hidden="false" customHeight="false" outlineLevel="0" collapsed="false">
      <c r="A141" s="37" t="n">
        <f aca="false">'Itens de Contrato'!A141</f>
        <v>0</v>
      </c>
      <c r="B141" s="37" t="n">
        <f aca="false">'Itens de Contrato'!B141</f>
        <v>0</v>
      </c>
      <c r="C141" s="37" t="e">
        <f aca="false">VLOOKUP(B141,'Itens de Contrato'!B$5:G$151,2,0)</f>
        <v>#N/A</v>
      </c>
      <c r="D141" s="52"/>
      <c r="E141" s="63" t="n">
        <f aca="false">D141*'Itens de Contrato'!F141</f>
        <v>0</v>
      </c>
      <c r="F141" s="62" t="n">
        <f aca="false">'Medição 09'!F141-'Medição 09'!G141</f>
        <v>0</v>
      </c>
      <c r="G141" s="52"/>
      <c r="H141" s="64" t="e">
        <f aca="false">G141/D141</f>
        <v>#DIV/0!</v>
      </c>
      <c r="I141" s="63" t="n">
        <f aca="false">G141*'Itens de Contrato'!F141</f>
        <v>0</v>
      </c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</row>
    <row r="142" customFormat="false" ht="12.8" hidden="false" customHeight="false" outlineLevel="0" collapsed="false">
      <c r="A142" s="37" t="n">
        <f aca="false">'Itens de Contrato'!A142</f>
        <v>0</v>
      </c>
      <c r="B142" s="37" t="n">
        <f aca="false">'Itens de Contrato'!B142</f>
        <v>0</v>
      </c>
      <c r="C142" s="37" t="e">
        <f aca="false">VLOOKUP(B142,'Itens de Contrato'!B$5:G$151,2,0)</f>
        <v>#N/A</v>
      </c>
      <c r="D142" s="52"/>
      <c r="E142" s="63" t="n">
        <f aca="false">D142*'Itens de Contrato'!F142</f>
        <v>0</v>
      </c>
      <c r="F142" s="62" t="n">
        <f aca="false">'Medição 09'!F142-'Medição 09'!G142</f>
        <v>0</v>
      </c>
      <c r="G142" s="52"/>
      <c r="H142" s="64" t="e">
        <f aca="false">G142/D142</f>
        <v>#DIV/0!</v>
      </c>
      <c r="I142" s="63" t="n">
        <f aca="false">G142*'Itens de Contrato'!F142</f>
        <v>0</v>
      </c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</row>
    <row r="143" customFormat="false" ht="12.8" hidden="false" customHeight="false" outlineLevel="0" collapsed="false">
      <c r="A143" s="37" t="n">
        <f aca="false">'Itens de Contrato'!A143</f>
        <v>0</v>
      </c>
      <c r="B143" s="37" t="n">
        <f aca="false">'Itens de Contrato'!B143</f>
        <v>0</v>
      </c>
      <c r="C143" s="37" t="e">
        <f aca="false">VLOOKUP(B143,'Itens de Contrato'!B$5:G$151,2,0)</f>
        <v>#N/A</v>
      </c>
      <c r="D143" s="52"/>
      <c r="E143" s="63" t="n">
        <f aca="false">D143*'Itens de Contrato'!F143</f>
        <v>0</v>
      </c>
      <c r="F143" s="62" t="n">
        <f aca="false">'Medição 09'!F143-'Medição 09'!G143</f>
        <v>0</v>
      </c>
      <c r="G143" s="52"/>
      <c r="H143" s="64" t="e">
        <f aca="false">G143/D143</f>
        <v>#DIV/0!</v>
      </c>
      <c r="I143" s="63" t="n">
        <f aca="false">G143*'Itens de Contrato'!F143</f>
        <v>0</v>
      </c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</row>
    <row r="144" customFormat="false" ht="12.8" hidden="false" customHeight="false" outlineLevel="0" collapsed="false">
      <c r="A144" s="37" t="n">
        <f aca="false">'Itens de Contrato'!A144</f>
        <v>0</v>
      </c>
      <c r="B144" s="37" t="n">
        <f aca="false">'Itens de Contrato'!B144</f>
        <v>0</v>
      </c>
      <c r="C144" s="37" t="e">
        <f aca="false">VLOOKUP(B144,'Itens de Contrato'!B$5:G$151,2,0)</f>
        <v>#N/A</v>
      </c>
      <c r="D144" s="52"/>
      <c r="E144" s="63" t="n">
        <f aca="false">D144*'Itens de Contrato'!F144</f>
        <v>0</v>
      </c>
      <c r="F144" s="62" t="n">
        <f aca="false">'Medição 09'!F144-'Medição 09'!G144</f>
        <v>0</v>
      </c>
      <c r="G144" s="52"/>
      <c r="H144" s="64" t="e">
        <f aca="false">G144/D144</f>
        <v>#DIV/0!</v>
      </c>
      <c r="I144" s="63" t="n">
        <f aca="false">G144*'Itens de Contrato'!F144</f>
        <v>0</v>
      </c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</row>
    <row r="145" customFormat="false" ht="12.8" hidden="false" customHeight="false" outlineLevel="0" collapsed="false">
      <c r="A145" s="37" t="n">
        <f aca="false">'Itens de Contrato'!A145</f>
        <v>0</v>
      </c>
      <c r="B145" s="37" t="n">
        <f aca="false">'Itens de Contrato'!B145</f>
        <v>0</v>
      </c>
      <c r="C145" s="37" t="e">
        <f aca="false">VLOOKUP(B145,'Itens de Contrato'!B$5:G$151,2,0)</f>
        <v>#N/A</v>
      </c>
      <c r="D145" s="52"/>
      <c r="E145" s="63" t="n">
        <f aca="false">D145*'Itens de Contrato'!F145</f>
        <v>0</v>
      </c>
      <c r="F145" s="62" t="n">
        <f aca="false">'Medição 09'!F145-'Medição 09'!G145</f>
        <v>0</v>
      </c>
      <c r="G145" s="52"/>
      <c r="H145" s="64" t="e">
        <f aca="false">G145/D145</f>
        <v>#DIV/0!</v>
      </c>
      <c r="I145" s="63" t="n">
        <f aca="false">G145*'Itens de Contrato'!F145</f>
        <v>0</v>
      </c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</row>
    <row r="146" customFormat="false" ht="12.8" hidden="false" customHeight="false" outlineLevel="0" collapsed="false">
      <c r="A146" s="37" t="n">
        <f aca="false">'Itens de Contrato'!A146</f>
        <v>0</v>
      </c>
      <c r="B146" s="37" t="n">
        <f aca="false">'Itens de Contrato'!B146</f>
        <v>0</v>
      </c>
      <c r="C146" s="37" t="e">
        <f aca="false">VLOOKUP(B146,'Itens de Contrato'!B$5:G$151,2,0)</f>
        <v>#N/A</v>
      </c>
      <c r="D146" s="52"/>
      <c r="E146" s="63" t="n">
        <f aca="false">D146*'Itens de Contrato'!F146</f>
        <v>0</v>
      </c>
      <c r="F146" s="62" t="n">
        <f aca="false">'Medição 09'!F146-'Medição 09'!G146</f>
        <v>0</v>
      </c>
      <c r="G146" s="52"/>
      <c r="H146" s="64" t="e">
        <f aca="false">G146/D146</f>
        <v>#DIV/0!</v>
      </c>
      <c r="I146" s="63" t="n">
        <f aca="false">G146*'Itens de Contrato'!F146</f>
        <v>0</v>
      </c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</row>
    <row r="147" customFormat="false" ht="12.8" hidden="false" customHeight="false" outlineLevel="0" collapsed="false">
      <c r="A147" s="37" t="n">
        <f aca="false">'Itens de Contrato'!A147</f>
        <v>0</v>
      </c>
      <c r="B147" s="37" t="n">
        <f aca="false">'Itens de Contrato'!B147</f>
        <v>0</v>
      </c>
      <c r="C147" s="37" t="e">
        <f aca="false">VLOOKUP(B147,'Itens de Contrato'!B$5:G$151,2,0)</f>
        <v>#N/A</v>
      </c>
      <c r="D147" s="52"/>
      <c r="E147" s="63" t="n">
        <f aca="false">D147*'Itens de Contrato'!F147</f>
        <v>0</v>
      </c>
      <c r="F147" s="62" t="n">
        <f aca="false">'Medição 09'!F147-'Medição 09'!G147</f>
        <v>0</v>
      </c>
      <c r="G147" s="52"/>
      <c r="H147" s="64" t="e">
        <f aca="false">G147/D147</f>
        <v>#DIV/0!</v>
      </c>
      <c r="I147" s="63" t="n">
        <f aca="false">G147*'Itens de Contrato'!F147</f>
        <v>0</v>
      </c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</row>
    <row r="148" customFormat="false" ht="12.8" hidden="false" customHeight="false" outlineLevel="0" collapsed="false">
      <c r="A148" s="37" t="n">
        <f aca="false">'Itens de Contrato'!A148</f>
        <v>0</v>
      </c>
      <c r="B148" s="37" t="n">
        <f aca="false">'Itens de Contrato'!B148</f>
        <v>0</v>
      </c>
      <c r="C148" s="37" t="e">
        <f aca="false">VLOOKUP(B148,'Itens de Contrato'!B$5:G$151,2,0)</f>
        <v>#N/A</v>
      </c>
      <c r="D148" s="52"/>
      <c r="E148" s="63" t="n">
        <f aca="false">D148*'Itens de Contrato'!F148</f>
        <v>0</v>
      </c>
      <c r="F148" s="62" t="n">
        <f aca="false">'Medição 09'!F148-'Medição 09'!G148</f>
        <v>0</v>
      </c>
      <c r="G148" s="52"/>
      <c r="H148" s="64" t="e">
        <f aca="false">G148/D148</f>
        <v>#DIV/0!</v>
      </c>
      <c r="I148" s="63" t="n">
        <f aca="false">G148*'Itens de Contrato'!F148</f>
        <v>0</v>
      </c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</row>
    <row r="149" customFormat="false" ht="12.8" hidden="false" customHeight="false" outlineLevel="0" collapsed="false">
      <c r="A149" s="37" t="n">
        <f aca="false">'Itens de Contrato'!A149</f>
        <v>0</v>
      </c>
      <c r="B149" s="37" t="n">
        <f aca="false">'Itens de Contrato'!B149</f>
        <v>0</v>
      </c>
      <c r="C149" s="37" t="e">
        <f aca="false">VLOOKUP(B149,'Itens de Contrato'!B$5:G$151,2,0)</f>
        <v>#N/A</v>
      </c>
      <c r="D149" s="52"/>
      <c r="E149" s="63" t="n">
        <f aca="false">D149*'Itens de Contrato'!F149</f>
        <v>0</v>
      </c>
      <c r="F149" s="62" t="n">
        <f aca="false">'Medição 09'!F149-'Medição 09'!G149</f>
        <v>0</v>
      </c>
      <c r="G149" s="52"/>
      <c r="H149" s="64" t="e">
        <f aca="false">G149/D149</f>
        <v>#DIV/0!</v>
      </c>
      <c r="I149" s="63" t="n">
        <f aca="false">G149*'Itens de Contrato'!F149</f>
        <v>0</v>
      </c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</row>
    <row r="150" customFormat="false" ht="12.8" hidden="false" customHeight="false" outlineLevel="0" collapsed="false">
      <c r="A150" s="37" t="n">
        <f aca="false">'Itens de Contrato'!A150</f>
        <v>0</v>
      </c>
      <c r="B150" s="37" t="n">
        <f aca="false">'Itens de Contrato'!B150</f>
        <v>0</v>
      </c>
      <c r="C150" s="37" t="e">
        <f aca="false">VLOOKUP(B150,'Itens de Contrato'!B$5:G$151,2,0)</f>
        <v>#N/A</v>
      </c>
      <c r="D150" s="52"/>
      <c r="E150" s="63" t="n">
        <f aca="false">D150*'Itens de Contrato'!F150</f>
        <v>0</v>
      </c>
      <c r="F150" s="62" t="n">
        <f aca="false">'Medição 09'!F150-'Medição 09'!G150</f>
        <v>0</v>
      </c>
      <c r="G150" s="52"/>
      <c r="H150" s="64" t="e">
        <f aca="false">G150/D150</f>
        <v>#DIV/0!</v>
      </c>
      <c r="I150" s="63" t="n">
        <f aca="false">G150*'Itens de Contrato'!F150</f>
        <v>0</v>
      </c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</row>
    <row r="151" customFormat="false" ht="12.8" hidden="false" customHeight="false" outlineLevel="0" collapsed="false">
      <c r="A151" s="37" t="n">
        <f aca="false">'Itens de Contrato'!A151</f>
        <v>0</v>
      </c>
      <c r="B151" s="37" t="n">
        <f aca="false">'Itens de Contrato'!B151</f>
        <v>0</v>
      </c>
      <c r="C151" s="37" t="e">
        <f aca="false">VLOOKUP(B151,'Itens de Contrato'!B$5:G$151,2,0)</f>
        <v>#N/A</v>
      </c>
      <c r="D151" s="52"/>
      <c r="E151" s="63" t="n">
        <f aca="false">D151*'Itens de Contrato'!F151</f>
        <v>0</v>
      </c>
      <c r="F151" s="62" t="n">
        <f aca="false">'Medição 09'!F151-'Medição 09'!G151</f>
        <v>0</v>
      </c>
      <c r="G151" s="52"/>
      <c r="H151" s="64" t="e">
        <f aca="false">G151/D151</f>
        <v>#DIV/0!</v>
      </c>
      <c r="I151" s="63" t="n">
        <f aca="false">G151*'Itens de Contrato'!F151</f>
        <v>0</v>
      </c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</row>
    <row r="152" customFormat="false" ht="12.75" hidden="false" customHeight="false" outlineLevel="0" collapsed="false"/>
    <row r="153" customFormat="false" ht="12.75" hidden="false" customHeight="false" outlineLevel="0" collapsed="false"/>
    <row r="154" customFormat="false" ht="12.75" hidden="false" customHeight="false" outlineLevel="0" collapsed="false"/>
    <row r="155" customFormat="false" ht="12.75" hidden="false" customHeight="false" outlineLevel="0" collapsed="false"/>
    <row r="156" customFormat="false" ht="12.75" hidden="false" customHeight="false" outlineLevel="0" collapsed="false"/>
    <row r="157" customFormat="false" ht="12.75" hidden="false" customHeight="false" outlineLevel="0" collapsed="false"/>
    <row r="158" customFormat="false" ht="12.75" hidden="false" customHeight="false" outlineLevel="0" collapsed="false"/>
    <row r="159" customFormat="false" ht="12.75" hidden="false" customHeight="false" outlineLevel="0" collapsed="false"/>
    <row r="160" customFormat="false" ht="12.75" hidden="false" customHeight="false" outlineLevel="0" collapsed="false"/>
    <row r="161" customFormat="false" ht="12.75" hidden="false" customHeight="false" outlineLevel="0" collapsed="false"/>
    <row r="162" customFormat="false" ht="12.75" hidden="false" customHeight="false" outlineLevel="0" collapsed="false"/>
    <row r="163" customFormat="false" ht="12.75" hidden="false" customHeight="false" outlineLevel="0" collapsed="false"/>
    <row r="164" customFormat="false" ht="12.75" hidden="false" customHeight="false" outlineLevel="0" collapsed="false"/>
    <row r="165" customFormat="false" ht="12.75" hidden="false" customHeight="false" outlineLevel="0" collapsed="false"/>
    <row r="166" customFormat="false" ht="12.75" hidden="false" customHeight="false" outlineLevel="0" collapsed="false"/>
    <row r="167" customFormat="false" ht="12.75" hidden="false" customHeight="false" outlineLevel="0" collapsed="false"/>
    <row r="168" customFormat="false" ht="12.75" hidden="false" customHeight="false" outlineLevel="0" collapsed="false"/>
    <row r="169" customFormat="false" ht="12.75" hidden="false" customHeight="false" outlineLevel="0" collapsed="false"/>
    <row r="170" customFormat="false" ht="12.75" hidden="false" customHeight="false" outlineLevel="0" collapsed="false"/>
    <row r="171" customFormat="false" ht="12.75" hidden="false" customHeight="false" outlineLevel="0" collapsed="false"/>
    <row r="172" customFormat="false" ht="12.75" hidden="false" customHeight="false" outlineLevel="0" collapsed="false"/>
    <row r="173" customFormat="false" ht="12.75" hidden="false" customHeight="false" outlineLevel="0" collapsed="false"/>
    <row r="174" customFormat="false" ht="12.75" hidden="false" customHeight="false" outlineLevel="0" collapsed="false"/>
    <row r="175" customFormat="false" ht="12.75" hidden="false" customHeight="false" outlineLevel="0" collapsed="false"/>
    <row r="176" customFormat="false" ht="12.75" hidden="false" customHeight="false" outlineLevel="0" collapsed="false"/>
    <row r="177" customFormat="false" ht="12.75" hidden="false" customHeight="false" outlineLevel="0" collapsed="false"/>
    <row r="178" customFormat="false" ht="12.75" hidden="false" customHeight="false" outlineLevel="0" collapsed="false"/>
    <row r="179" customFormat="false" ht="12.75" hidden="false" customHeight="false" outlineLevel="0" collapsed="false"/>
    <row r="180" customFormat="false" ht="12.75" hidden="false" customHeight="false" outlineLevel="0" collapsed="false"/>
    <row r="181" customFormat="false" ht="12.75" hidden="false" customHeight="false" outlineLevel="0" collapsed="false"/>
    <row r="182" customFormat="false" ht="12.75" hidden="false" customHeight="false" outlineLevel="0" collapsed="false"/>
    <row r="183" customFormat="false" ht="12.75" hidden="false" customHeight="false" outlineLevel="0" collapsed="false"/>
    <row r="184" customFormat="false" ht="12.75" hidden="false" customHeight="false" outlineLevel="0" collapsed="false"/>
    <row r="185" customFormat="false" ht="12.75" hidden="false" customHeight="false" outlineLevel="0" collapsed="false"/>
    <row r="186" customFormat="false" ht="12.75" hidden="false" customHeight="false" outlineLevel="0" collapsed="false"/>
    <row r="187" customFormat="false" ht="12.75" hidden="false" customHeight="false" outlineLevel="0" collapsed="false"/>
    <row r="188" customFormat="false" ht="12.75" hidden="false" customHeight="false" outlineLevel="0" collapsed="false"/>
    <row r="189" customFormat="false" ht="12.75" hidden="false" customHeight="false" outlineLevel="0" collapsed="false"/>
    <row r="190" customFormat="false" ht="12.75" hidden="false" customHeight="false" outlineLevel="0" collapsed="false"/>
    <row r="191" customFormat="false" ht="12.75" hidden="false" customHeight="false" outlineLevel="0" collapsed="false"/>
    <row r="192" customFormat="false" ht="12.75" hidden="false" customHeight="false" outlineLevel="0" collapsed="false"/>
    <row r="193" customFormat="false" ht="12.75" hidden="false" customHeight="false" outlineLevel="0" collapsed="false"/>
    <row r="194" customFormat="false" ht="12.75" hidden="false" customHeight="false" outlineLevel="0" collapsed="false"/>
    <row r="195" customFormat="false" ht="12.75" hidden="false" customHeight="false" outlineLevel="0" collapsed="false"/>
    <row r="196" customFormat="false" ht="12.75" hidden="false" customHeight="false" outlineLevel="0" collapsed="false"/>
    <row r="197" customFormat="false" ht="12.75" hidden="false" customHeight="false" outlineLevel="0" collapsed="false"/>
    <row r="198" customFormat="false" ht="12.75" hidden="false" customHeight="false" outlineLevel="0" collapsed="false"/>
    <row r="199" customFormat="false" ht="12.75" hidden="false" customHeight="false" outlineLevel="0" collapsed="false"/>
    <row r="200" customFormat="false" ht="12.75" hidden="false" customHeight="false" outlineLevel="0" collapsed="false"/>
    <row r="201" customFormat="false" ht="12.75" hidden="false" customHeight="false" outlineLevel="0" collapsed="false"/>
    <row r="202" customFormat="false" ht="12.75" hidden="false" customHeight="false" outlineLevel="0" collapsed="false"/>
    <row r="203" customFormat="false" ht="12.75" hidden="false" customHeight="false" outlineLevel="0" collapsed="false"/>
    <row r="204" customFormat="false" ht="12.75" hidden="false" customHeight="false" outlineLevel="0" collapsed="false"/>
    <row r="205" customFormat="false" ht="12.75" hidden="false" customHeight="false" outlineLevel="0" collapsed="false"/>
    <row r="206" customFormat="false" ht="12.75" hidden="false" customHeight="false" outlineLevel="0" collapsed="false"/>
    <row r="207" customFormat="false" ht="12.75" hidden="false" customHeight="false" outlineLevel="0" collapsed="false"/>
    <row r="208" customFormat="false" ht="12.75" hidden="false" customHeight="false" outlineLevel="0" collapsed="false"/>
    <row r="209" customFormat="false" ht="12.75" hidden="false" customHeight="false" outlineLevel="0" collapsed="false"/>
    <row r="210" customFormat="false" ht="12.75" hidden="false" customHeight="false" outlineLevel="0" collapsed="false"/>
    <row r="211" customFormat="false" ht="12.75" hidden="false" customHeight="false" outlineLevel="0" collapsed="false"/>
    <row r="212" customFormat="false" ht="12.75" hidden="false" customHeight="false" outlineLevel="0" collapsed="false"/>
    <row r="213" customFormat="false" ht="12.75" hidden="false" customHeight="false" outlineLevel="0" collapsed="false"/>
    <row r="214" customFormat="false" ht="12.75" hidden="false" customHeight="false" outlineLevel="0" collapsed="false"/>
    <row r="215" customFormat="false" ht="12.75" hidden="false" customHeight="false" outlineLevel="0" collapsed="false"/>
    <row r="216" customFormat="false" ht="12.75" hidden="false" customHeight="false" outlineLevel="0" collapsed="false"/>
    <row r="217" customFormat="false" ht="12.75" hidden="false" customHeight="false" outlineLevel="0" collapsed="false"/>
    <row r="218" customFormat="false" ht="12.75" hidden="false" customHeight="false" outlineLevel="0" collapsed="false"/>
    <row r="219" customFormat="false" ht="12.75" hidden="false" customHeight="false" outlineLevel="0" collapsed="false"/>
    <row r="220" customFormat="false" ht="12.75" hidden="false" customHeight="false" outlineLevel="0" collapsed="false"/>
    <row r="221" customFormat="false" ht="12.75" hidden="false" customHeight="false" outlineLevel="0" collapsed="false"/>
    <row r="222" customFormat="false" ht="12.75" hidden="false" customHeight="false" outlineLevel="0" collapsed="false"/>
    <row r="223" customFormat="false" ht="12.75" hidden="false" customHeight="false" outlineLevel="0" collapsed="false"/>
    <row r="224" customFormat="false" ht="12.75" hidden="false" customHeight="false" outlineLevel="0" collapsed="false"/>
    <row r="225" customFormat="false" ht="12.75" hidden="false" customHeight="false" outlineLevel="0" collapsed="false"/>
    <row r="226" customFormat="false" ht="12.75" hidden="false" customHeight="false" outlineLevel="0" collapsed="false"/>
    <row r="227" customFormat="false" ht="12.75" hidden="false" customHeight="false" outlineLevel="0" collapsed="false"/>
    <row r="228" customFormat="false" ht="12.75" hidden="false" customHeight="false" outlineLevel="0" collapsed="false"/>
    <row r="229" customFormat="false" ht="12.75" hidden="false" customHeight="false" outlineLevel="0" collapsed="false"/>
    <row r="230" customFormat="false" ht="12.75" hidden="false" customHeight="false" outlineLevel="0" collapsed="false"/>
    <row r="231" customFormat="false" ht="12.75" hidden="false" customHeight="false" outlineLevel="0" collapsed="false"/>
    <row r="232" customFormat="false" ht="12.75" hidden="false" customHeight="false" outlineLevel="0" collapsed="false"/>
    <row r="233" customFormat="false" ht="12.75" hidden="false" customHeight="false" outlineLevel="0" collapsed="false"/>
    <row r="234" customFormat="false" ht="12.75" hidden="false" customHeight="false" outlineLevel="0" collapsed="false"/>
    <row r="235" customFormat="false" ht="12.75" hidden="false" customHeight="false" outlineLevel="0" collapsed="false"/>
    <row r="236" customFormat="false" ht="12.75" hidden="false" customHeight="false" outlineLevel="0" collapsed="false"/>
    <row r="237" customFormat="false" ht="12.75" hidden="false" customHeight="false" outlineLevel="0" collapsed="false"/>
    <row r="238" customFormat="false" ht="12.75" hidden="false" customHeight="false" outlineLevel="0" collapsed="false"/>
    <row r="239" customFormat="false" ht="12.75" hidden="false" customHeight="false" outlineLevel="0" collapsed="false"/>
    <row r="240" customFormat="false" ht="12.75" hidden="false" customHeight="false" outlineLevel="0" collapsed="false"/>
    <row r="241" customFormat="false" ht="12.75" hidden="false" customHeight="false" outlineLevel="0" collapsed="false"/>
    <row r="242" customFormat="false" ht="12.75" hidden="false" customHeight="false" outlineLevel="0" collapsed="false"/>
    <row r="243" customFormat="false" ht="12.75" hidden="false" customHeight="false" outlineLevel="0" collapsed="false"/>
    <row r="244" customFormat="false" ht="12.75" hidden="false" customHeight="false" outlineLevel="0" collapsed="false"/>
    <row r="245" customFormat="false" ht="12.75" hidden="false" customHeight="false" outlineLevel="0" collapsed="false"/>
    <row r="246" customFormat="false" ht="12.75" hidden="false" customHeight="false" outlineLevel="0" collapsed="false"/>
    <row r="247" customFormat="false" ht="12.75" hidden="false" customHeight="false" outlineLevel="0" collapsed="false"/>
    <row r="248" customFormat="false" ht="12.75" hidden="false" customHeight="false" outlineLevel="0" collapsed="false"/>
    <row r="249" customFormat="false" ht="12.75" hidden="false" customHeight="false" outlineLevel="0" collapsed="false"/>
    <row r="250" customFormat="false" ht="12.75" hidden="false" customHeight="false" outlineLevel="0" collapsed="false"/>
    <row r="251" customFormat="false" ht="12.75" hidden="false" customHeight="false" outlineLevel="0" collapsed="false"/>
    <row r="252" customFormat="false" ht="12.75" hidden="false" customHeight="false" outlineLevel="0" collapsed="false"/>
    <row r="253" customFormat="false" ht="12.75" hidden="false" customHeight="false" outlineLevel="0" collapsed="false"/>
    <row r="254" customFormat="false" ht="12.75" hidden="false" customHeight="false" outlineLevel="0" collapsed="false"/>
    <row r="255" customFormat="false" ht="12.75" hidden="false" customHeight="false" outlineLevel="0" collapsed="false"/>
    <row r="256" customFormat="false" ht="12.75" hidden="false" customHeight="false" outlineLevel="0" collapsed="false"/>
    <row r="257" customFormat="false" ht="12.75" hidden="false" customHeight="false" outlineLevel="0" collapsed="false"/>
    <row r="258" customFormat="false" ht="12.75" hidden="false" customHeight="false" outlineLevel="0" collapsed="false"/>
    <row r="259" customFormat="false" ht="12.75" hidden="false" customHeight="false" outlineLevel="0" collapsed="false"/>
    <row r="260" customFormat="false" ht="12.75" hidden="false" customHeight="false" outlineLevel="0" collapsed="false"/>
    <row r="261" customFormat="false" ht="12.75" hidden="false" customHeight="false" outlineLevel="0" collapsed="false"/>
    <row r="262" customFormat="false" ht="12.75" hidden="false" customHeight="false" outlineLevel="0" collapsed="false"/>
    <row r="263" customFormat="false" ht="12.75" hidden="false" customHeight="false" outlineLevel="0" collapsed="false"/>
    <row r="264" customFormat="false" ht="12.75" hidden="false" customHeight="false" outlineLevel="0" collapsed="false"/>
    <row r="265" customFormat="false" ht="12.75" hidden="false" customHeight="false" outlineLevel="0" collapsed="false"/>
    <row r="266" customFormat="false" ht="12.75" hidden="false" customHeight="false" outlineLevel="0" collapsed="false"/>
    <row r="267" customFormat="false" ht="12.75" hidden="false" customHeight="false" outlineLevel="0" collapsed="false"/>
    <row r="268" customFormat="false" ht="12.75" hidden="false" customHeight="false" outlineLevel="0" collapsed="false"/>
    <row r="269" customFormat="false" ht="12.75" hidden="false" customHeight="false" outlineLevel="0" collapsed="false"/>
    <row r="270" customFormat="false" ht="12.75" hidden="false" customHeight="false" outlineLevel="0" collapsed="false"/>
    <row r="271" customFormat="false" ht="12.75" hidden="false" customHeight="false" outlineLevel="0" collapsed="false"/>
    <row r="272" customFormat="false" ht="12.75" hidden="false" customHeight="false" outlineLevel="0" collapsed="false"/>
    <row r="273" customFormat="false" ht="12.75" hidden="false" customHeight="fals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12.75" hidden="false" customHeight="false" outlineLevel="0" collapsed="false"/>
    <row r="283" customFormat="false" ht="12.75" hidden="false" customHeight="false" outlineLevel="0" collapsed="false"/>
    <row r="284" customFormat="false" ht="12.75" hidden="false" customHeight="fals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12.75" hidden="false" customHeight="false" outlineLevel="0" collapsed="false"/>
    <row r="291" customFormat="false" ht="12.75" hidden="false" customHeight="false" outlineLevel="0" collapsed="false"/>
    <row r="292" customFormat="false" ht="12.75" hidden="false" customHeight="false" outlineLevel="0" collapsed="false"/>
    <row r="293" customFormat="false" ht="12.75" hidden="false" customHeight="false" outlineLevel="0" collapsed="false"/>
    <row r="294" customFormat="false" ht="12.75" hidden="false" customHeight="false" outlineLevel="0" collapsed="false"/>
    <row r="295" customFormat="false" ht="12.75" hidden="false" customHeight="fals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12.75" hidden="false" customHeight="false" outlineLevel="0" collapsed="false"/>
    <row r="299" customFormat="false" ht="12.75" hidden="false" customHeight="false" outlineLevel="0" collapsed="false"/>
    <row r="300" customFormat="false" ht="12.75" hidden="false" customHeight="fals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12.75" hidden="false" customHeight="false" outlineLevel="0" collapsed="false"/>
    <row r="308" customFormat="false" ht="12.75" hidden="false" customHeight="false" outlineLevel="0" collapsed="false"/>
    <row r="309" customFormat="false" ht="12.75" hidden="false" customHeight="false" outlineLevel="0" collapsed="false"/>
    <row r="310" customFormat="false" ht="12.75" hidden="false" customHeight="false" outlineLevel="0" collapsed="false"/>
    <row r="311" customFormat="false" ht="12.75" hidden="false" customHeight="false" outlineLevel="0" collapsed="false"/>
    <row r="312" customFormat="false" ht="12.75" hidden="false" customHeight="false" outlineLevel="0" collapsed="false"/>
    <row r="313" customFormat="false" ht="12.75" hidden="false" customHeight="false" outlineLevel="0" collapsed="false"/>
    <row r="314" customFormat="false" ht="12.75" hidden="false" customHeight="fals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12.75" hidden="false" customHeight="fals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  <row r="344" customFormat="false" ht="12.75" hidden="false" customHeight="false" outlineLevel="0" collapsed="false"/>
    <row r="345" customFormat="false" ht="12.75" hidden="false" customHeight="false" outlineLevel="0" collapsed="false"/>
    <row r="346" customFormat="false" ht="12.75" hidden="false" customHeight="false" outlineLevel="0" collapsed="false"/>
    <row r="347" customFormat="false" ht="12.75" hidden="false" customHeight="false" outlineLevel="0" collapsed="false"/>
    <row r="348" customFormat="false" ht="12.75" hidden="false" customHeight="false" outlineLevel="0" collapsed="false"/>
    <row r="349" customFormat="false" ht="12.75" hidden="false" customHeight="false" outlineLevel="0" collapsed="false"/>
    <row r="350" customFormat="false" ht="12.75" hidden="false" customHeight="false" outlineLevel="0" collapsed="false"/>
    <row r="351" customFormat="false" ht="12.75" hidden="false" customHeight="false" outlineLevel="0" collapsed="false"/>
    <row r="352" customFormat="false" ht="12.75" hidden="false" customHeight="false" outlineLevel="0" collapsed="false"/>
    <row r="353" customFormat="false" ht="12.75" hidden="false" customHeight="false" outlineLevel="0" collapsed="false"/>
    <row r="354" customFormat="false" ht="12.75" hidden="false" customHeight="false" outlineLevel="0" collapsed="false"/>
    <row r="355" customFormat="false" ht="12.75" hidden="false" customHeight="false" outlineLevel="0" collapsed="false"/>
    <row r="356" customFormat="false" ht="12.75" hidden="false" customHeight="false" outlineLevel="0" collapsed="false"/>
    <row r="357" customFormat="false" ht="12.75" hidden="false" customHeight="false" outlineLevel="0" collapsed="false"/>
    <row r="358" customFormat="false" ht="12.75" hidden="false" customHeight="false" outlineLevel="0" collapsed="false"/>
    <row r="359" customFormat="false" ht="12.75" hidden="false" customHeight="false" outlineLevel="0" collapsed="false"/>
    <row r="360" customFormat="false" ht="12.75" hidden="false" customHeight="false" outlineLevel="0" collapsed="false"/>
    <row r="361" customFormat="false" ht="12.75" hidden="false" customHeight="false" outlineLevel="0" collapsed="false"/>
    <row r="362" customFormat="false" ht="12.75" hidden="false" customHeight="false" outlineLevel="0" collapsed="false"/>
    <row r="363" customFormat="false" ht="12.75" hidden="false" customHeight="false" outlineLevel="0" collapsed="false"/>
    <row r="364" customFormat="false" ht="12.75" hidden="false" customHeight="false" outlineLevel="0" collapsed="false"/>
    <row r="365" customFormat="false" ht="12.75" hidden="false" customHeight="false" outlineLevel="0" collapsed="false"/>
    <row r="366" customFormat="false" ht="12.75" hidden="false" customHeight="false" outlineLevel="0" collapsed="false"/>
    <row r="367" customFormat="false" ht="12.75" hidden="false" customHeight="false" outlineLevel="0" collapsed="false"/>
    <row r="368" customFormat="false" ht="12.75" hidden="false" customHeight="false" outlineLevel="0" collapsed="false"/>
    <row r="369" customFormat="false" ht="12.75" hidden="false" customHeight="false" outlineLevel="0" collapsed="false"/>
    <row r="370" customFormat="false" ht="12.75" hidden="false" customHeight="false" outlineLevel="0" collapsed="false"/>
    <row r="371" customFormat="false" ht="12.75" hidden="false" customHeight="false" outlineLevel="0" collapsed="false"/>
    <row r="372" customFormat="false" ht="12.75" hidden="false" customHeight="false" outlineLevel="0" collapsed="false"/>
    <row r="373" customFormat="false" ht="12.75" hidden="false" customHeight="false" outlineLevel="0" collapsed="false"/>
    <row r="374" customFormat="false" ht="12.75" hidden="false" customHeight="false" outlineLevel="0" collapsed="false"/>
    <row r="375" customFormat="false" ht="12.75" hidden="false" customHeight="false" outlineLevel="0" collapsed="false"/>
    <row r="376" customFormat="false" ht="12.75" hidden="false" customHeight="false" outlineLevel="0" collapsed="false"/>
    <row r="377" customFormat="false" ht="12.75" hidden="false" customHeight="false" outlineLevel="0" collapsed="false"/>
    <row r="378" customFormat="false" ht="12.75" hidden="false" customHeight="false" outlineLevel="0" collapsed="false"/>
    <row r="379" customFormat="false" ht="12.75" hidden="false" customHeight="false" outlineLevel="0" collapsed="false"/>
    <row r="380" customFormat="false" ht="12.75" hidden="false" customHeight="false" outlineLevel="0" collapsed="false"/>
    <row r="381" customFormat="false" ht="12.75" hidden="false" customHeight="false" outlineLevel="0" collapsed="false"/>
    <row r="382" customFormat="false" ht="12.75" hidden="false" customHeight="false" outlineLevel="0" collapsed="false"/>
    <row r="383" customFormat="false" ht="12.75" hidden="false" customHeight="false" outlineLevel="0" collapsed="false"/>
    <row r="384" customFormat="false" ht="12.75" hidden="false" customHeight="false" outlineLevel="0" collapsed="false"/>
    <row r="385" customFormat="false" ht="12.75" hidden="false" customHeight="false" outlineLevel="0" collapsed="false"/>
    <row r="386" customFormat="false" ht="12.75" hidden="false" customHeight="false" outlineLevel="0" collapsed="false"/>
    <row r="387" customFormat="false" ht="12.75" hidden="false" customHeight="false" outlineLevel="0" collapsed="false"/>
    <row r="388" customFormat="false" ht="12.75" hidden="false" customHeight="false" outlineLevel="0" collapsed="false"/>
    <row r="389" customFormat="false" ht="12.75" hidden="false" customHeight="false" outlineLevel="0" collapsed="false"/>
    <row r="390" customFormat="false" ht="12.75" hidden="false" customHeight="false" outlineLevel="0" collapsed="false"/>
    <row r="391" customFormat="false" ht="12.75" hidden="false" customHeight="false" outlineLevel="0" collapsed="false"/>
    <row r="392" customFormat="false" ht="12.75" hidden="false" customHeight="false" outlineLevel="0" collapsed="false"/>
    <row r="393" customFormat="false" ht="12.75" hidden="false" customHeight="false" outlineLevel="0" collapsed="false"/>
    <row r="394" customFormat="false" ht="12.75" hidden="false" customHeight="false" outlineLevel="0" collapsed="false"/>
    <row r="395" customFormat="false" ht="12.75" hidden="false" customHeight="false" outlineLevel="0" collapsed="false"/>
    <row r="396" customFormat="false" ht="12.75" hidden="false" customHeight="false" outlineLevel="0" collapsed="false"/>
    <row r="397" customFormat="false" ht="12.75" hidden="false" customHeight="false" outlineLevel="0" collapsed="false"/>
    <row r="398" customFormat="false" ht="12.75" hidden="false" customHeight="false" outlineLevel="0" collapsed="false"/>
    <row r="399" customFormat="false" ht="12.75" hidden="false" customHeight="false" outlineLevel="0" collapsed="false"/>
    <row r="400" customFormat="false" ht="12.75" hidden="false" customHeight="false" outlineLevel="0" collapsed="false"/>
    <row r="401" customFormat="false" ht="12.75" hidden="false" customHeight="false" outlineLevel="0" collapsed="false"/>
    <row r="402" customFormat="false" ht="12.75" hidden="false" customHeight="false" outlineLevel="0" collapsed="false"/>
    <row r="403" customFormat="false" ht="12.75" hidden="false" customHeight="false" outlineLevel="0" collapsed="false"/>
    <row r="404" customFormat="false" ht="12.75" hidden="false" customHeight="false" outlineLevel="0" collapsed="false"/>
    <row r="405" customFormat="false" ht="12.75" hidden="false" customHeight="false" outlineLevel="0" collapsed="false"/>
    <row r="406" customFormat="false" ht="12.75" hidden="false" customHeight="false" outlineLevel="0" collapsed="false"/>
    <row r="407" customFormat="false" ht="12.75" hidden="false" customHeight="false" outlineLevel="0" collapsed="false"/>
    <row r="408" customFormat="false" ht="12.75" hidden="false" customHeight="false" outlineLevel="0" collapsed="false"/>
    <row r="409" customFormat="false" ht="12.75" hidden="false" customHeight="false" outlineLevel="0" collapsed="false"/>
    <row r="410" customFormat="false" ht="12.75" hidden="false" customHeight="false" outlineLevel="0" collapsed="false"/>
    <row r="411" customFormat="false" ht="12.75" hidden="false" customHeight="false" outlineLevel="0" collapsed="false"/>
    <row r="412" customFormat="false" ht="12.75" hidden="false" customHeight="false" outlineLevel="0" collapsed="false"/>
    <row r="413" customFormat="false" ht="12.75" hidden="false" customHeight="false" outlineLevel="0" collapsed="false"/>
    <row r="414" customFormat="false" ht="12.75" hidden="false" customHeight="false" outlineLevel="0" collapsed="false"/>
    <row r="415" customFormat="false" ht="12.75" hidden="false" customHeight="false" outlineLevel="0" collapsed="false"/>
    <row r="416" customFormat="false" ht="12.75" hidden="false" customHeight="false" outlineLevel="0" collapsed="false"/>
    <row r="417" customFormat="false" ht="12.75" hidden="false" customHeight="false" outlineLevel="0" collapsed="false"/>
    <row r="418" customFormat="false" ht="12.75" hidden="false" customHeight="false" outlineLevel="0" collapsed="false"/>
    <row r="419" customFormat="false" ht="12.75" hidden="false" customHeight="false" outlineLevel="0" collapsed="false"/>
    <row r="420" customFormat="false" ht="12.75" hidden="false" customHeight="false" outlineLevel="0" collapsed="false"/>
    <row r="421" customFormat="false" ht="12.75" hidden="false" customHeight="false" outlineLevel="0" collapsed="false"/>
    <row r="422" customFormat="false" ht="12.75" hidden="false" customHeight="false" outlineLevel="0" collapsed="false"/>
    <row r="423" customFormat="false" ht="12.75" hidden="false" customHeight="false" outlineLevel="0" collapsed="false"/>
    <row r="424" customFormat="false" ht="12.75" hidden="false" customHeight="false" outlineLevel="0" collapsed="false"/>
    <row r="425" customFormat="false" ht="12.75" hidden="false" customHeight="false" outlineLevel="0" collapsed="false"/>
    <row r="426" customFormat="false" ht="12.75" hidden="false" customHeight="false" outlineLevel="0" collapsed="false"/>
    <row r="427" customFormat="false" ht="12.75" hidden="false" customHeight="false" outlineLevel="0" collapsed="false"/>
    <row r="428" customFormat="false" ht="12.75" hidden="false" customHeight="false" outlineLevel="0" collapsed="false"/>
    <row r="429" customFormat="false" ht="12.75" hidden="false" customHeight="false" outlineLevel="0" collapsed="false"/>
    <row r="430" customFormat="false" ht="12.75" hidden="false" customHeight="false" outlineLevel="0" collapsed="false"/>
    <row r="431" customFormat="false" ht="12.75" hidden="false" customHeight="false" outlineLevel="0" collapsed="false"/>
    <row r="432" customFormat="false" ht="12.75" hidden="false" customHeight="false" outlineLevel="0" collapsed="false"/>
    <row r="433" customFormat="false" ht="12.75" hidden="false" customHeight="false" outlineLevel="0" collapsed="false"/>
    <row r="434" customFormat="false" ht="12.75" hidden="false" customHeight="false" outlineLevel="0" collapsed="false"/>
    <row r="435" customFormat="false" ht="12.75" hidden="false" customHeight="false" outlineLevel="0" collapsed="false"/>
    <row r="436" customFormat="false" ht="12.75" hidden="false" customHeight="false" outlineLevel="0" collapsed="false"/>
    <row r="437" customFormat="false" ht="12.75" hidden="false" customHeight="false" outlineLevel="0" collapsed="false"/>
    <row r="438" customFormat="false" ht="12.75" hidden="false" customHeight="false" outlineLevel="0" collapsed="false"/>
    <row r="439" customFormat="false" ht="12.75" hidden="false" customHeight="false" outlineLevel="0" collapsed="false"/>
    <row r="440" customFormat="false" ht="12.75" hidden="false" customHeight="false" outlineLevel="0" collapsed="false"/>
    <row r="441" customFormat="false" ht="12.75" hidden="false" customHeight="false" outlineLevel="0" collapsed="false"/>
    <row r="442" customFormat="false" ht="12.75" hidden="false" customHeight="false" outlineLevel="0" collapsed="false"/>
    <row r="443" customFormat="false" ht="12.75" hidden="false" customHeight="false" outlineLevel="0" collapsed="false"/>
    <row r="444" customFormat="false" ht="12.75" hidden="false" customHeight="false" outlineLevel="0" collapsed="false"/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/>
    <row r="455" customFormat="false" ht="12.75" hidden="false" customHeight="false" outlineLevel="0" collapsed="false"/>
    <row r="456" customFormat="false" ht="12.75" hidden="false" customHeight="false" outlineLevel="0" collapsed="false"/>
    <row r="457" customFormat="false" ht="12.75" hidden="false" customHeight="false" outlineLevel="0" collapsed="false"/>
    <row r="458" customFormat="false" ht="12.75" hidden="false" customHeight="false" outlineLevel="0" collapsed="false"/>
    <row r="459" customFormat="false" ht="12.75" hidden="false" customHeight="false" outlineLevel="0" collapsed="false"/>
    <row r="460" customFormat="false" ht="12.75" hidden="false" customHeight="false" outlineLevel="0" collapsed="false"/>
    <row r="461" customFormat="false" ht="12.75" hidden="false" customHeight="false" outlineLevel="0" collapsed="false"/>
    <row r="462" customFormat="false" ht="12.75" hidden="false" customHeight="false" outlineLevel="0" collapsed="false"/>
    <row r="463" customFormat="false" ht="12.75" hidden="false" customHeight="false" outlineLevel="0" collapsed="false"/>
    <row r="464" customFormat="false" ht="12.75" hidden="false" customHeight="false" outlineLevel="0" collapsed="false"/>
    <row r="465" customFormat="false" ht="12.75" hidden="false" customHeight="false" outlineLevel="0" collapsed="false"/>
    <row r="466" customFormat="false" ht="12.75" hidden="false" customHeight="false" outlineLevel="0" collapsed="false"/>
    <row r="467" customFormat="false" ht="12.75" hidden="false" customHeight="false" outlineLevel="0" collapsed="false"/>
    <row r="468" customFormat="false" ht="12.75" hidden="false" customHeight="false" outlineLevel="0" collapsed="false"/>
    <row r="469" customFormat="false" ht="12.75" hidden="false" customHeight="false" outlineLevel="0" collapsed="false"/>
    <row r="470" customFormat="false" ht="12.75" hidden="false" customHeight="false" outlineLevel="0" collapsed="false"/>
    <row r="471" customFormat="false" ht="12.75" hidden="false" customHeight="false" outlineLevel="0" collapsed="false"/>
    <row r="472" customFormat="false" ht="12.75" hidden="false" customHeight="false" outlineLevel="0" collapsed="false"/>
    <row r="473" customFormat="false" ht="12.75" hidden="false" customHeight="false" outlineLevel="0" collapsed="false"/>
    <row r="474" customFormat="false" ht="12.75" hidden="false" customHeight="false" outlineLevel="0" collapsed="false"/>
    <row r="475" customFormat="false" ht="12.75" hidden="false" customHeight="false" outlineLevel="0" collapsed="false"/>
    <row r="476" customFormat="false" ht="12.75" hidden="false" customHeight="false" outlineLevel="0" collapsed="false"/>
    <row r="477" customFormat="false" ht="12.75" hidden="false" customHeight="false" outlineLevel="0" collapsed="false"/>
    <row r="478" customFormat="false" ht="12.75" hidden="false" customHeight="false" outlineLevel="0" collapsed="false"/>
    <row r="479" customFormat="false" ht="12.75" hidden="false" customHeight="false" outlineLevel="0" collapsed="false"/>
    <row r="480" customFormat="false" ht="12.75" hidden="false" customHeight="false" outlineLevel="0" collapsed="false"/>
    <row r="481" customFormat="false" ht="12.75" hidden="false" customHeight="false" outlineLevel="0" collapsed="false"/>
    <row r="482" customFormat="false" ht="12.75" hidden="false" customHeight="false" outlineLevel="0" collapsed="false"/>
    <row r="483" customFormat="false" ht="12.75" hidden="false" customHeight="false" outlineLevel="0" collapsed="false"/>
    <row r="484" customFormat="false" ht="12.75" hidden="false" customHeight="false" outlineLevel="0" collapsed="false"/>
    <row r="485" customFormat="false" ht="12.75" hidden="false" customHeight="false" outlineLevel="0" collapsed="false"/>
    <row r="486" customFormat="false" ht="12.75" hidden="false" customHeight="false" outlineLevel="0" collapsed="false"/>
    <row r="487" customFormat="false" ht="12.75" hidden="false" customHeight="false" outlineLevel="0" collapsed="false"/>
    <row r="488" customFormat="false" ht="12.75" hidden="false" customHeight="false" outlineLevel="0" collapsed="false"/>
    <row r="489" customFormat="false" ht="12.75" hidden="false" customHeight="false" outlineLevel="0" collapsed="false"/>
    <row r="490" customFormat="false" ht="12.75" hidden="false" customHeight="false" outlineLevel="0" collapsed="false"/>
    <row r="491" customFormat="false" ht="12.75" hidden="false" customHeight="false" outlineLevel="0" collapsed="false"/>
    <row r="492" customFormat="false" ht="12.75" hidden="false" customHeight="false" outlineLevel="0" collapsed="false"/>
    <row r="493" customFormat="false" ht="12.75" hidden="false" customHeight="false" outlineLevel="0" collapsed="false"/>
    <row r="494" customFormat="false" ht="12.75" hidden="false" customHeight="false" outlineLevel="0" collapsed="false"/>
    <row r="495" customFormat="false" ht="12.75" hidden="false" customHeight="false" outlineLevel="0" collapsed="false"/>
    <row r="496" customFormat="false" ht="12.75" hidden="false" customHeight="false" outlineLevel="0" collapsed="false"/>
    <row r="497" customFormat="false" ht="12.75" hidden="false" customHeight="false" outlineLevel="0" collapsed="false"/>
    <row r="498" customFormat="false" ht="12.75" hidden="false" customHeight="false" outlineLevel="0" collapsed="false"/>
    <row r="499" customFormat="false" ht="12.75" hidden="false" customHeight="false" outlineLevel="0" collapsed="false"/>
    <row r="500" customFormat="false" ht="12.75" hidden="false" customHeight="false" outlineLevel="0" collapsed="false"/>
    <row r="501" customFormat="false" ht="12.75" hidden="false" customHeight="false" outlineLevel="0" collapsed="false"/>
    <row r="502" customFormat="false" ht="12.75" hidden="false" customHeight="false" outlineLevel="0" collapsed="false"/>
    <row r="503" customFormat="false" ht="12.75" hidden="false" customHeight="false" outlineLevel="0" collapsed="false"/>
    <row r="504" customFormat="false" ht="12.75" hidden="false" customHeight="false" outlineLevel="0" collapsed="false"/>
    <row r="505" customFormat="false" ht="12.75" hidden="false" customHeight="false" outlineLevel="0" collapsed="false"/>
    <row r="506" customFormat="false" ht="12.75" hidden="false" customHeight="false" outlineLevel="0" collapsed="false"/>
    <row r="507" customFormat="false" ht="12.75" hidden="false" customHeight="false" outlineLevel="0" collapsed="false"/>
    <row r="508" customFormat="false" ht="12.75" hidden="false" customHeight="false" outlineLevel="0" collapsed="false"/>
    <row r="509" customFormat="false" ht="12.75" hidden="false" customHeight="false" outlineLevel="0" collapsed="false"/>
    <row r="510" customFormat="false" ht="12.75" hidden="false" customHeight="false" outlineLevel="0" collapsed="false"/>
    <row r="511" customFormat="false" ht="12.75" hidden="false" customHeight="false" outlineLevel="0" collapsed="false"/>
    <row r="512" customFormat="false" ht="12.75" hidden="false" customHeight="false" outlineLevel="0" collapsed="false"/>
    <row r="513" customFormat="false" ht="12.75" hidden="false" customHeight="false" outlineLevel="0" collapsed="false"/>
    <row r="514" customFormat="false" ht="12.75" hidden="false" customHeight="false" outlineLevel="0" collapsed="false"/>
    <row r="515" customFormat="false" ht="12.75" hidden="false" customHeight="false" outlineLevel="0" collapsed="false"/>
    <row r="516" customFormat="false" ht="12.75" hidden="false" customHeight="false" outlineLevel="0" collapsed="false"/>
    <row r="517" customFormat="false" ht="12.75" hidden="false" customHeight="false" outlineLevel="0" collapsed="false"/>
    <row r="518" customFormat="false" ht="12.75" hidden="false" customHeight="false" outlineLevel="0" collapsed="false"/>
    <row r="519" customFormat="false" ht="12.75" hidden="false" customHeight="false" outlineLevel="0" collapsed="false"/>
    <row r="520" customFormat="false" ht="12.75" hidden="false" customHeight="false" outlineLevel="0" collapsed="false"/>
    <row r="521" customFormat="false" ht="12.75" hidden="false" customHeight="false" outlineLevel="0" collapsed="false"/>
    <row r="522" customFormat="false" ht="12.75" hidden="false" customHeight="false" outlineLevel="0" collapsed="false"/>
    <row r="523" customFormat="false" ht="12.75" hidden="false" customHeight="false" outlineLevel="0" collapsed="false"/>
    <row r="524" customFormat="false" ht="12.75" hidden="false" customHeight="false" outlineLevel="0" collapsed="false"/>
    <row r="525" customFormat="false" ht="12.75" hidden="false" customHeight="false" outlineLevel="0" collapsed="false"/>
    <row r="526" customFormat="false" ht="12.75" hidden="false" customHeight="false" outlineLevel="0" collapsed="false"/>
    <row r="527" customFormat="false" ht="12.75" hidden="false" customHeight="false" outlineLevel="0" collapsed="false"/>
    <row r="528" customFormat="false" ht="12.75" hidden="false" customHeight="false" outlineLevel="0" collapsed="false"/>
    <row r="529" customFormat="false" ht="12.75" hidden="false" customHeight="false" outlineLevel="0" collapsed="false"/>
    <row r="530" customFormat="false" ht="12.75" hidden="false" customHeight="false" outlineLevel="0" collapsed="false"/>
    <row r="531" customFormat="false" ht="12.75" hidden="false" customHeight="false" outlineLevel="0" collapsed="false"/>
    <row r="532" customFormat="false" ht="12.75" hidden="false" customHeight="false" outlineLevel="0" collapsed="false"/>
    <row r="533" customFormat="false" ht="12.75" hidden="false" customHeight="false" outlineLevel="0" collapsed="false"/>
    <row r="534" customFormat="false" ht="12.75" hidden="false" customHeight="false" outlineLevel="0" collapsed="false"/>
    <row r="535" customFormat="false" ht="12.75" hidden="false" customHeight="false" outlineLevel="0" collapsed="false"/>
    <row r="536" customFormat="false" ht="12.75" hidden="false" customHeight="false" outlineLevel="0" collapsed="false"/>
    <row r="537" customFormat="false" ht="12.75" hidden="false" customHeight="false" outlineLevel="0" collapsed="false"/>
    <row r="538" customFormat="false" ht="12.75" hidden="false" customHeight="false" outlineLevel="0" collapsed="false"/>
    <row r="539" customFormat="false" ht="12.75" hidden="false" customHeight="false" outlineLevel="0" collapsed="false"/>
    <row r="540" customFormat="false" ht="12.75" hidden="false" customHeight="false" outlineLevel="0" collapsed="false"/>
    <row r="541" customFormat="false" ht="12.75" hidden="false" customHeight="false" outlineLevel="0" collapsed="false"/>
    <row r="542" customFormat="false" ht="12.75" hidden="false" customHeight="false" outlineLevel="0" collapsed="false"/>
    <row r="543" customFormat="false" ht="12.75" hidden="false" customHeight="false" outlineLevel="0" collapsed="false"/>
    <row r="544" customFormat="false" ht="12.75" hidden="false" customHeight="false" outlineLevel="0" collapsed="false"/>
    <row r="545" customFormat="false" ht="12.75" hidden="false" customHeight="false" outlineLevel="0" collapsed="false"/>
    <row r="546" customFormat="false" ht="12.75" hidden="false" customHeight="false" outlineLevel="0" collapsed="false"/>
    <row r="547" customFormat="false" ht="12.75" hidden="false" customHeight="false" outlineLevel="0" collapsed="false"/>
    <row r="548" customFormat="false" ht="12.75" hidden="false" customHeight="false" outlineLevel="0" collapsed="false"/>
    <row r="549" customFormat="false" ht="12.75" hidden="false" customHeight="false" outlineLevel="0" collapsed="false"/>
    <row r="550" customFormat="false" ht="12.75" hidden="false" customHeight="false" outlineLevel="0" collapsed="false"/>
    <row r="551" customFormat="false" ht="12.75" hidden="false" customHeight="false" outlineLevel="0" collapsed="false"/>
    <row r="552" customFormat="false" ht="12.75" hidden="false" customHeight="false" outlineLevel="0" collapsed="false"/>
    <row r="553" customFormat="false" ht="12.75" hidden="false" customHeight="false" outlineLevel="0" collapsed="false"/>
    <row r="554" customFormat="false" ht="12.75" hidden="false" customHeight="false" outlineLevel="0" collapsed="false"/>
    <row r="555" customFormat="false" ht="12.75" hidden="false" customHeight="false" outlineLevel="0" collapsed="false"/>
    <row r="556" customFormat="false" ht="12.75" hidden="false" customHeight="false" outlineLevel="0" collapsed="false"/>
    <row r="557" customFormat="false" ht="12.75" hidden="false" customHeight="false" outlineLevel="0" collapsed="false"/>
    <row r="558" customFormat="false" ht="12.75" hidden="false" customHeight="false" outlineLevel="0" collapsed="false"/>
    <row r="559" customFormat="false" ht="12.75" hidden="false" customHeight="false" outlineLevel="0" collapsed="false"/>
    <row r="560" customFormat="false" ht="12.75" hidden="false" customHeight="false" outlineLevel="0" collapsed="false"/>
    <row r="561" customFormat="false" ht="12.75" hidden="false" customHeight="false" outlineLevel="0" collapsed="false"/>
    <row r="562" customFormat="false" ht="12.75" hidden="false" customHeight="false" outlineLevel="0" collapsed="false"/>
    <row r="563" customFormat="false" ht="12.75" hidden="false" customHeight="false" outlineLevel="0" collapsed="false"/>
    <row r="564" customFormat="false" ht="12.75" hidden="false" customHeight="false" outlineLevel="0" collapsed="false"/>
    <row r="565" customFormat="false" ht="12.75" hidden="false" customHeight="false" outlineLevel="0" collapsed="false"/>
    <row r="566" customFormat="false" ht="12.75" hidden="false" customHeight="false" outlineLevel="0" collapsed="false"/>
    <row r="567" customFormat="false" ht="12.75" hidden="false" customHeight="false" outlineLevel="0" collapsed="false"/>
    <row r="568" customFormat="false" ht="12.75" hidden="false" customHeight="false" outlineLevel="0" collapsed="false"/>
    <row r="569" customFormat="false" ht="12.75" hidden="false" customHeight="false" outlineLevel="0" collapsed="false"/>
    <row r="570" customFormat="false" ht="12.75" hidden="false" customHeight="false" outlineLevel="0" collapsed="false"/>
    <row r="571" customFormat="false" ht="12.75" hidden="false" customHeight="false" outlineLevel="0" collapsed="false"/>
    <row r="572" customFormat="false" ht="12.75" hidden="false" customHeight="false" outlineLevel="0" collapsed="false"/>
    <row r="573" customFormat="false" ht="12.75" hidden="false" customHeight="false" outlineLevel="0" collapsed="false"/>
    <row r="574" customFormat="false" ht="12.75" hidden="false" customHeight="false" outlineLevel="0" collapsed="false"/>
    <row r="575" customFormat="false" ht="12.75" hidden="false" customHeight="false" outlineLevel="0" collapsed="false"/>
    <row r="576" customFormat="false" ht="12.75" hidden="false" customHeight="false" outlineLevel="0" collapsed="false"/>
    <row r="577" customFormat="false" ht="12.75" hidden="false" customHeight="false" outlineLevel="0" collapsed="false"/>
    <row r="578" customFormat="false" ht="12.75" hidden="false" customHeight="false" outlineLevel="0" collapsed="false"/>
    <row r="579" customFormat="false" ht="12.75" hidden="false" customHeight="false" outlineLevel="0" collapsed="false"/>
    <row r="580" customFormat="false" ht="12.75" hidden="false" customHeight="false" outlineLevel="0" collapsed="false"/>
    <row r="581" customFormat="false" ht="12.75" hidden="false" customHeight="false" outlineLevel="0" collapsed="false"/>
    <row r="582" customFormat="false" ht="12.75" hidden="false" customHeight="false" outlineLevel="0" collapsed="false"/>
    <row r="583" customFormat="false" ht="12.75" hidden="false" customHeight="false" outlineLevel="0" collapsed="false"/>
    <row r="584" customFormat="false" ht="12.75" hidden="false" customHeight="false" outlineLevel="0" collapsed="false"/>
    <row r="585" customFormat="false" ht="12.75" hidden="false" customHeight="false" outlineLevel="0" collapsed="false"/>
    <row r="586" customFormat="false" ht="12.75" hidden="false" customHeight="false" outlineLevel="0" collapsed="false"/>
    <row r="587" customFormat="false" ht="12.75" hidden="false" customHeight="false" outlineLevel="0" collapsed="false"/>
    <row r="588" customFormat="false" ht="12.75" hidden="false" customHeight="false" outlineLevel="0" collapsed="false"/>
    <row r="589" customFormat="false" ht="12.75" hidden="false" customHeight="false" outlineLevel="0" collapsed="false"/>
    <row r="590" customFormat="false" ht="12.75" hidden="false" customHeight="false" outlineLevel="0" collapsed="false"/>
    <row r="591" customFormat="false" ht="12.75" hidden="false" customHeight="false" outlineLevel="0" collapsed="false"/>
    <row r="592" customFormat="false" ht="12.75" hidden="false" customHeight="false" outlineLevel="0" collapsed="false"/>
    <row r="593" customFormat="false" ht="12.75" hidden="false" customHeight="false" outlineLevel="0" collapsed="false"/>
    <row r="594" customFormat="false" ht="12.75" hidden="false" customHeight="false" outlineLevel="0" collapsed="false"/>
    <row r="595" customFormat="false" ht="12.75" hidden="false" customHeight="false" outlineLevel="0" collapsed="false"/>
    <row r="596" customFormat="false" ht="12.75" hidden="false" customHeight="false" outlineLevel="0" collapsed="false"/>
    <row r="597" customFormat="false" ht="12.75" hidden="false" customHeight="false" outlineLevel="0" collapsed="false"/>
    <row r="598" customFormat="false" ht="12.75" hidden="false" customHeight="false" outlineLevel="0" collapsed="false"/>
    <row r="599" customFormat="false" ht="12.75" hidden="false" customHeight="false" outlineLevel="0" collapsed="false"/>
    <row r="600" customFormat="false" ht="12.75" hidden="false" customHeight="false" outlineLevel="0" collapsed="false"/>
    <row r="601" customFormat="false" ht="12.75" hidden="false" customHeight="false" outlineLevel="0" collapsed="false"/>
    <row r="602" customFormat="false" ht="12.75" hidden="false" customHeight="false" outlineLevel="0" collapsed="false"/>
    <row r="603" customFormat="false" ht="12.75" hidden="false" customHeight="false" outlineLevel="0" collapsed="false"/>
    <row r="604" customFormat="false" ht="12.75" hidden="false" customHeight="false" outlineLevel="0" collapsed="false"/>
    <row r="605" customFormat="false" ht="12.75" hidden="false" customHeight="false" outlineLevel="0" collapsed="false"/>
    <row r="606" customFormat="false" ht="12.75" hidden="false" customHeight="false" outlineLevel="0" collapsed="false"/>
    <row r="607" customFormat="false" ht="12.75" hidden="false" customHeight="false" outlineLevel="0" collapsed="false"/>
    <row r="608" customFormat="false" ht="12.75" hidden="false" customHeight="false" outlineLevel="0" collapsed="false"/>
    <row r="609" customFormat="false" ht="12.75" hidden="false" customHeight="false" outlineLevel="0" collapsed="false"/>
    <row r="610" customFormat="false" ht="12.75" hidden="false" customHeight="false" outlineLevel="0" collapsed="false"/>
    <row r="611" customFormat="false" ht="12.75" hidden="false" customHeight="false" outlineLevel="0" collapsed="false"/>
    <row r="612" customFormat="false" ht="12.75" hidden="false" customHeight="false" outlineLevel="0" collapsed="false"/>
    <row r="613" customFormat="false" ht="12.75" hidden="false" customHeight="false" outlineLevel="0" collapsed="false"/>
    <row r="614" customFormat="false" ht="12.75" hidden="false" customHeight="false" outlineLevel="0" collapsed="false"/>
    <row r="615" customFormat="false" ht="12.75" hidden="false" customHeight="false" outlineLevel="0" collapsed="false"/>
    <row r="616" customFormat="false" ht="12.75" hidden="false" customHeight="false" outlineLevel="0" collapsed="false"/>
    <row r="617" customFormat="false" ht="12.75" hidden="false" customHeight="false" outlineLevel="0" collapsed="false"/>
    <row r="618" customFormat="false" ht="12.75" hidden="false" customHeight="false" outlineLevel="0" collapsed="false"/>
    <row r="619" customFormat="false" ht="12.75" hidden="false" customHeight="false" outlineLevel="0" collapsed="false"/>
    <row r="620" customFormat="false" ht="12.75" hidden="false" customHeight="false" outlineLevel="0" collapsed="false"/>
    <row r="621" customFormat="false" ht="12.75" hidden="false" customHeight="false" outlineLevel="0" collapsed="false"/>
    <row r="622" customFormat="false" ht="12.75" hidden="false" customHeight="false" outlineLevel="0" collapsed="false"/>
    <row r="623" customFormat="false" ht="12.75" hidden="false" customHeight="false" outlineLevel="0" collapsed="false"/>
    <row r="624" customFormat="false" ht="12.75" hidden="false" customHeight="false" outlineLevel="0" collapsed="false"/>
    <row r="625" customFormat="false" ht="12.75" hidden="false" customHeight="false" outlineLevel="0" collapsed="false"/>
    <row r="626" customFormat="false" ht="12.75" hidden="false" customHeight="false" outlineLevel="0" collapsed="false"/>
    <row r="627" customFormat="false" ht="12.75" hidden="false" customHeight="false" outlineLevel="0" collapsed="false"/>
    <row r="628" customFormat="false" ht="12.75" hidden="false" customHeight="false" outlineLevel="0" collapsed="false"/>
    <row r="629" customFormat="false" ht="12.75" hidden="false" customHeight="false" outlineLevel="0" collapsed="false"/>
    <row r="630" customFormat="false" ht="12.75" hidden="false" customHeight="false" outlineLevel="0" collapsed="false"/>
    <row r="631" customFormat="false" ht="12.75" hidden="false" customHeight="false" outlineLevel="0" collapsed="false"/>
    <row r="632" customFormat="false" ht="12.75" hidden="false" customHeight="false" outlineLevel="0" collapsed="false"/>
    <row r="633" customFormat="false" ht="12.75" hidden="false" customHeight="false" outlineLevel="0" collapsed="false"/>
    <row r="634" customFormat="false" ht="12.75" hidden="false" customHeight="false" outlineLevel="0" collapsed="false"/>
    <row r="635" customFormat="false" ht="12.75" hidden="false" customHeight="false" outlineLevel="0" collapsed="false"/>
    <row r="636" customFormat="false" ht="12.75" hidden="false" customHeight="false" outlineLevel="0" collapsed="false"/>
    <row r="637" customFormat="false" ht="12.75" hidden="false" customHeight="false" outlineLevel="0" collapsed="false"/>
    <row r="638" customFormat="false" ht="12.75" hidden="false" customHeight="false" outlineLevel="0" collapsed="false"/>
    <row r="639" customFormat="false" ht="12.75" hidden="false" customHeight="false" outlineLevel="0" collapsed="false"/>
    <row r="640" customFormat="false" ht="12.75" hidden="false" customHeight="false" outlineLevel="0" collapsed="false"/>
    <row r="641" customFormat="false" ht="12.75" hidden="false" customHeight="false" outlineLevel="0" collapsed="false"/>
    <row r="642" customFormat="false" ht="12.75" hidden="false" customHeight="false" outlineLevel="0" collapsed="false"/>
    <row r="643" customFormat="false" ht="12.75" hidden="false" customHeight="false" outlineLevel="0" collapsed="false"/>
    <row r="644" customFormat="false" ht="12.75" hidden="false" customHeight="false" outlineLevel="0" collapsed="false"/>
    <row r="645" customFormat="false" ht="12.75" hidden="false" customHeight="false" outlineLevel="0" collapsed="false"/>
    <row r="646" customFormat="false" ht="12.75" hidden="false" customHeight="false" outlineLevel="0" collapsed="false"/>
    <row r="647" customFormat="false" ht="12.75" hidden="false" customHeight="false" outlineLevel="0" collapsed="false"/>
    <row r="648" customFormat="false" ht="12.75" hidden="false" customHeight="false" outlineLevel="0" collapsed="false"/>
    <row r="649" customFormat="false" ht="12.75" hidden="false" customHeight="false" outlineLevel="0" collapsed="false"/>
    <row r="650" customFormat="false" ht="12.75" hidden="false" customHeight="false" outlineLevel="0" collapsed="false"/>
    <row r="651" customFormat="false" ht="12.75" hidden="false" customHeight="false" outlineLevel="0" collapsed="false"/>
    <row r="652" customFormat="false" ht="12.75" hidden="false" customHeight="false" outlineLevel="0" collapsed="false"/>
    <row r="653" customFormat="false" ht="12.75" hidden="false" customHeight="false" outlineLevel="0" collapsed="false"/>
    <row r="654" customFormat="false" ht="12.75" hidden="false" customHeight="false" outlineLevel="0" collapsed="false"/>
    <row r="655" customFormat="false" ht="12.75" hidden="false" customHeight="false" outlineLevel="0" collapsed="false"/>
    <row r="656" customFormat="false" ht="12.75" hidden="false" customHeight="false" outlineLevel="0" collapsed="false"/>
    <row r="657" customFormat="false" ht="12.75" hidden="false" customHeight="false" outlineLevel="0" collapsed="false"/>
    <row r="658" customFormat="false" ht="12.75" hidden="false" customHeight="false" outlineLevel="0" collapsed="false"/>
    <row r="659" customFormat="false" ht="12.75" hidden="false" customHeight="false" outlineLevel="0" collapsed="false"/>
    <row r="660" customFormat="false" ht="12.75" hidden="false" customHeight="false" outlineLevel="0" collapsed="false"/>
    <row r="661" customFormat="false" ht="12.75" hidden="false" customHeight="false" outlineLevel="0" collapsed="false"/>
    <row r="662" customFormat="false" ht="12.75" hidden="false" customHeight="false" outlineLevel="0" collapsed="false"/>
    <row r="663" customFormat="false" ht="12.75" hidden="false" customHeight="false" outlineLevel="0" collapsed="false"/>
    <row r="664" customFormat="false" ht="12.75" hidden="false" customHeight="false" outlineLevel="0" collapsed="false"/>
    <row r="665" customFormat="false" ht="12.75" hidden="false" customHeight="false" outlineLevel="0" collapsed="false"/>
    <row r="666" customFormat="false" ht="12.75" hidden="false" customHeight="false" outlineLevel="0" collapsed="false"/>
    <row r="667" customFormat="false" ht="12.75" hidden="false" customHeight="false" outlineLevel="0" collapsed="false"/>
    <row r="668" customFormat="false" ht="12.75" hidden="false" customHeight="false" outlineLevel="0" collapsed="false"/>
    <row r="669" customFormat="false" ht="12.75" hidden="false" customHeight="false" outlineLevel="0" collapsed="false"/>
    <row r="670" customFormat="false" ht="12.75" hidden="false" customHeight="false" outlineLevel="0" collapsed="false"/>
    <row r="671" customFormat="false" ht="12.75" hidden="false" customHeight="false" outlineLevel="0" collapsed="false"/>
    <row r="672" customFormat="false" ht="12.75" hidden="false" customHeight="false" outlineLevel="0" collapsed="false"/>
    <row r="673" customFormat="false" ht="12.75" hidden="false" customHeight="false" outlineLevel="0" collapsed="false"/>
    <row r="674" customFormat="false" ht="12.75" hidden="false" customHeight="false" outlineLevel="0" collapsed="false"/>
    <row r="675" customFormat="false" ht="12.75" hidden="false" customHeight="false" outlineLevel="0" collapsed="false"/>
    <row r="676" customFormat="false" ht="12.75" hidden="false" customHeight="false" outlineLevel="0" collapsed="false"/>
    <row r="677" customFormat="false" ht="12.75" hidden="false" customHeight="false" outlineLevel="0" collapsed="false"/>
    <row r="678" customFormat="false" ht="12.75" hidden="false" customHeight="false" outlineLevel="0" collapsed="false"/>
    <row r="679" customFormat="false" ht="12.75" hidden="false" customHeight="false" outlineLevel="0" collapsed="false"/>
    <row r="680" customFormat="false" ht="12.75" hidden="false" customHeight="false" outlineLevel="0" collapsed="false"/>
    <row r="681" customFormat="false" ht="12.75" hidden="false" customHeight="false" outlineLevel="0" collapsed="false"/>
    <row r="682" customFormat="false" ht="12.75" hidden="false" customHeight="false" outlineLevel="0" collapsed="false"/>
    <row r="683" customFormat="false" ht="12.75" hidden="false" customHeight="false" outlineLevel="0" collapsed="false"/>
    <row r="684" customFormat="false" ht="12.75" hidden="false" customHeight="false" outlineLevel="0" collapsed="false"/>
    <row r="685" customFormat="false" ht="12.75" hidden="false" customHeight="false" outlineLevel="0" collapsed="false"/>
    <row r="686" customFormat="false" ht="12.75" hidden="false" customHeight="false" outlineLevel="0" collapsed="false"/>
    <row r="687" customFormat="false" ht="12.75" hidden="false" customHeight="false" outlineLevel="0" collapsed="false"/>
    <row r="688" customFormat="false" ht="12.75" hidden="false" customHeight="false" outlineLevel="0" collapsed="false"/>
    <row r="689" customFormat="false" ht="12.75" hidden="false" customHeight="false" outlineLevel="0" collapsed="false"/>
    <row r="690" customFormat="false" ht="12.75" hidden="false" customHeight="false" outlineLevel="0" collapsed="false"/>
    <row r="691" customFormat="false" ht="12.75" hidden="false" customHeight="false" outlineLevel="0" collapsed="false"/>
    <row r="692" customFormat="false" ht="12.75" hidden="false" customHeight="false" outlineLevel="0" collapsed="false"/>
    <row r="693" customFormat="false" ht="12.75" hidden="false" customHeight="false" outlineLevel="0" collapsed="false"/>
    <row r="694" customFormat="false" ht="12.75" hidden="false" customHeight="false" outlineLevel="0" collapsed="false"/>
    <row r="695" customFormat="false" ht="12.75" hidden="false" customHeight="false" outlineLevel="0" collapsed="false"/>
    <row r="696" customFormat="false" ht="12.75" hidden="false" customHeight="false" outlineLevel="0" collapsed="false"/>
    <row r="697" customFormat="false" ht="12.75" hidden="false" customHeight="false" outlineLevel="0" collapsed="false"/>
    <row r="698" customFormat="false" ht="12.75" hidden="false" customHeight="false" outlineLevel="0" collapsed="false"/>
    <row r="699" customFormat="false" ht="12.75" hidden="false" customHeight="false" outlineLevel="0" collapsed="false"/>
    <row r="700" customFormat="false" ht="12.75" hidden="false" customHeight="false" outlineLevel="0" collapsed="false"/>
    <row r="701" customFormat="false" ht="12.75" hidden="false" customHeight="false" outlineLevel="0" collapsed="false"/>
    <row r="702" customFormat="false" ht="12.75" hidden="false" customHeight="false" outlineLevel="0" collapsed="false"/>
    <row r="703" customFormat="false" ht="12.75" hidden="false" customHeight="false" outlineLevel="0" collapsed="false"/>
    <row r="704" customFormat="false" ht="12.75" hidden="false" customHeight="false" outlineLevel="0" collapsed="false"/>
    <row r="705" customFormat="false" ht="12.75" hidden="false" customHeight="false" outlineLevel="0" collapsed="false"/>
    <row r="706" customFormat="false" ht="12.75" hidden="false" customHeight="false" outlineLevel="0" collapsed="false"/>
    <row r="707" customFormat="false" ht="12.75" hidden="false" customHeight="false" outlineLevel="0" collapsed="false"/>
    <row r="708" customFormat="false" ht="12.75" hidden="false" customHeight="false" outlineLevel="0" collapsed="false"/>
    <row r="709" customFormat="false" ht="12.75" hidden="false" customHeight="false" outlineLevel="0" collapsed="false"/>
    <row r="710" customFormat="false" ht="12.75" hidden="false" customHeight="false" outlineLevel="0" collapsed="false"/>
    <row r="711" customFormat="false" ht="12.75" hidden="false" customHeight="false" outlineLevel="0" collapsed="false"/>
    <row r="712" customFormat="false" ht="12.75" hidden="false" customHeight="false" outlineLevel="0" collapsed="false"/>
    <row r="713" customFormat="false" ht="12.75" hidden="false" customHeight="false" outlineLevel="0" collapsed="false"/>
    <row r="714" customFormat="false" ht="12.75" hidden="false" customHeight="false" outlineLevel="0" collapsed="false"/>
    <row r="715" customFormat="false" ht="12.75" hidden="false" customHeight="false" outlineLevel="0" collapsed="false"/>
    <row r="716" customFormat="false" ht="12.75" hidden="false" customHeight="false" outlineLevel="0" collapsed="false"/>
    <row r="717" customFormat="false" ht="12.75" hidden="false" customHeight="false" outlineLevel="0" collapsed="false"/>
    <row r="718" customFormat="false" ht="12.75" hidden="false" customHeight="false" outlineLevel="0" collapsed="false"/>
    <row r="719" customFormat="false" ht="12.75" hidden="false" customHeight="false" outlineLevel="0" collapsed="false"/>
    <row r="720" customFormat="false" ht="12.75" hidden="false" customHeight="false" outlineLevel="0" collapsed="false"/>
    <row r="721" customFormat="false" ht="12.75" hidden="false" customHeight="false" outlineLevel="0" collapsed="false"/>
    <row r="722" customFormat="false" ht="12.75" hidden="false" customHeight="false" outlineLevel="0" collapsed="false"/>
    <row r="723" customFormat="false" ht="12.75" hidden="false" customHeight="false" outlineLevel="0" collapsed="false"/>
    <row r="724" customFormat="false" ht="12.75" hidden="false" customHeight="false" outlineLevel="0" collapsed="false"/>
    <row r="725" customFormat="false" ht="12.75" hidden="false" customHeight="false" outlineLevel="0" collapsed="false"/>
    <row r="726" customFormat="false" ht="12.75" hidden="false" customHeight="false" outlineLevel="0" collapsed="false"/>
    <row r="727" customFormat="false" ht="12.75" hidden="false" customHeight="false" outlineLevel="0" collapsed="false"/>
    <row r="728" customFormat="false" ht="12.75" hidden="false" customHeight="false" outlineLevel="0" collapsed="false"/>
    <row r="729" customFormat="false" ht="12.75" hidden="false" customHeight="false" outlineLevel="0" collapsed="false"/>
    <row r="730" customFormat="false" ht="12.75" hidden="false" customHeight="false" outlineLevel="0" collapsed="false"/>
    <row r="731" customFormat="false" ht="12.75" hidden="false" customHeight="false" outlineLevel="0" collapsed="false"/>
    <row r="732" customFormat="false" ht="12.75" hidden="false" customHeight="false" outlineLevel="0" collapsed="false"/>
    <row r="733" customFormat="false" ht="12.75" hidden="false" customHeight="false" outlineLevel="0" collapsed="false"/>
    <row r="734" customFormat="false" ht="12.75" hidden="false" customHeight="false" outlineLevel="0" collapsed="false"/>
    <row r="735" customFormat="false" ht="12.75" hidden="false" customHeight="false" outlineLevel="0" collapsed="false"/>
    <row r="736" customFormat="false" ht="12.75" hidden="false" customHeight="false" outlineLevel="0" collapsed="false"/>
    <row r="737" customFormat="false" ht="12.75" hidden="false" customHeight="false" outlineLevel="0" collapsed="false"/>
    <row r="738" customFormat="false" ht="12.75" hidden="false" customHeight="false" outlineLevel="0" collapsed="false"/>
    <row r="739" customFormat="false" ht="12.75" hidden="false" customHeight="false" outlineLevel="0" collapsed="false"/>
    <row r="740" customFormat="false" ht="12.75" hidden="false" customHeight="false" outlineLevel="0" collapsed="false"/>
    <row r="741" customFormat="false" ht="12.75" hidden="false" customHeight="false" outlineLevel="0" collapsed="false"/>
    <row r="742" customFormat="false" ht="12.75" hidden="false" customHeight="false" outlineLevel="0" collapsed="false"/>
    <row r="743" customFormat="false" ht="12.75" hidden="false" customHeight="false" outlineLevel="0" collapsed="false"/>
    <row r="744" customFormat="false" ht="12.75" hidden="false" customHeight="false" outlineLevel="0" collapsed="false"/>
    <row r="745" customFormat="false" ht="12.75" hidden="false" customHeight="false" outlineLevel="0" collapsed="false"/>
    <row r="746" customFormat="false" ht="12.75" hidden="false" customHeight="false" outlineLevel="0" collapsed="false"/>
    <row r="747" customFormat="false" ht="12.75" hidden="false" customHeight="false" outlineLevel="0" collapsed="false"/>
    <row r="748" customFormat="false" ht="12.75" hidden="false" customHeight="false" outlineLevel="0" collapsed="false"/>
    <row r="749" customFormat="false" ht="12.75" hidden="false" customHeight="false" outlineLevel="0" collapsed="false"/>
    <row r="750" customFormat="false" ht="12.75" hidden="false" customHeight="false" outlineLevel="0" collapsed="false"/>
    <row r="751" customFormat="false" ht="12.75" hidden="false" customHeight="false" outlineLevel="0" collapsed="false"/>
    <row r="752" customFormat="false" ht="12.75" hidden="false" customHeight="false" outlineLevel="0" collapsed="false"/>
    <row r="753" customFormat="false" ht="12.75" hidden="false" customHeight="false" outlineLevel="0" collapsed="false"/>
    <row r="754" customFormat="false" ht="12.75" hidden="false" customHeight="false" outlineLevel="0" collapsed="false"/>
    <row r="755" customFormat="false" ht="12.75" hidden="false" customHeight="false" outlineLevel="0" collapsed="false"/>
    <row r="756" customFormat="false" ht="12.75" hidden="false" customHeight="false" outlineLevel="0" collapsed="false"/>
    <row r="757" customFormat="false" ht="12.75" hidden="false" customHeight="false" outlineLevel="0" collapsed="false"/>
    <row r="758" customFormat="false" ht="12.75" hidden="false" customHeight="false" outlineLevel="0" collapsed="false"/>
    <row r="759" customFormat="false" ht="12.75" hidden="false" customHeight="false" outlineLevel="0" collapsed="false"/>
    <row r="760" customFormat="false" ht="12.75" hidden="false" customHeight="false" outlineLevel="0" collapsed="false"/>
    <row r="761" customFormat="false" ht="12.75" hidden="false" customHeight="false" outlineLevel="0" collapsed="false"/>
    <row r="762" customFormat="false" ht="12.75" hidden="false" customHeight="false" outlineLevel="0" collapsed="false"/>
    <row r="763" customFormat="false" ht="12.75" hidden="false" customHeight="false" outlineLevel="0" collapsed="false"/>
    <row r="764" customFormat="false" ht="12.75" hidden="false" customHeight="false" outlineLevel="0" collapsed="false"/>
    <row r="765" customFormat="false" ht="12.75" hidden="false" customHeight="false" outlineLevel="0" collapsed="false"/>
    <row r="766" customFormat="false" ht="12.75" hidden="false" customHeight="false" outlineLevel="0" collapsed="false"/>
    <row r="767" customFormat="false" ht="12.75" hidden="false" customHeight="false" outlineLevel="0" collapsed="false"/>
    <row r="768" customFormat="false" ht="12.75" hidden="false" customHeight="false" outlineLevel="0" collapsed="false"/>
    <row r="769" customFormat="false" ht="12.75" hidden="false" customHeight="false" outlineLevel="0" collapsed="false"/>
    <row r="770" customFormat="false" ht="12.75" hidden="false" customHeight="false" outlineLevel="0" collapsed="false"/>
    <row r="771" customFormat="false" ht="12.75" hidden="false" customHeight="false" outlineLevel="0" collapsed="false"/>
    <row r="772" customFormat="false" ht="12.75" hidden="false" customHeight="false" outlineLevel="0" collapsed="false"/>
    <row r="773" customFormat="false" ht="12.75" hidden="false" customHeight="false" outlineLevel="0" collapsed="false"/>
    <row r="774" customFormat="false" ht="12.75" hidden="false" customHeight="false" outlineLevel="0" collapsed="false"/>
    <row r="775" customFormat="false" ht="12.75" hidden="false" customHeight="false" outlineLevel="0" collapsed="false"/>
    <row r="776" customFormat="false" ht="12.75" hidden="false" customHeight="false" outlineLevel="0" collapsed="false"/>
    <row r="777" customFormat="false" ht="12.75" hidden="false" customHeight="false" outlineLevel="0" collapsed="false"/>
    <row r="778" customFormat="false" ht="12.75" hidden="false" customHeight="false" outlineLevel="0" collapsed="false"/>
    <row r="779" customFormat="false" ht="12.75" hidden="false" customHeight="false" outlineLevel="0" collapsed="false"/>
    <row r="780" customFormat="false" ht="12.75" hidden="false" customHeight="false" outlineLevel="0" collapsed="false"/>
    <row r="781" customFormat="false" ht="12.75" hidden="false" customHeight="false" outlineLevel="0" collapsed="false"/>
    <row r="782" customFormat="false" ht="12.75" hidden="false" customHeight="false" outlineLevel="0" collapsed="false"/>
    <row r="783" customFormat="false" ht="12.75" hidden="false" customHeight="false" outlineLevel="0" collapsed="false"/>
    <row r="784" customFormat="false" ht="12.75" hidden="false" customHeight="false" outlineLevel="0" collapsed="false"/>
    <row r="785" customFormat="false" ht="12.75" hidden="false" customHeight="false" outlineLevel="0" collapsed="false"/>
    <row r="786" customFormat="false" ht="12.75" hidden="false" customHeight="false" outlineLevel="0" collapsed="false"/>
    <row r="787" customFormat="false" ht="12.75" hidden="false" customHeight="false" outlineLevel="0" collapsed="false"/>
    <row r="788" customFormat="false" ht="12.75" hidden="false" customHeight="false" outlineLevel="0" collapsed="false"/>
    <row r="789" customFormat="false" ht="12.75" hidden="false" customHeight="false" outlineLevel="0" collapsed="false"/>
    <row r="790" customFormat="false" ht="12.75" hidden="false" customHeight="false" outlineLevel="0" collapsed="false"/>
    <row r="791" customFormat="false" ht="12.75" hidden="false" customHeight="false" outlineLevel="0" collapsed="false"/>
    <row r="792" customFormat="false" ht="12.75" hidden="false" customHeight="false" outlineLevel="0" collapsed="false"/>
    <row r="793" customFormat="false" ht="12.75" hidden="false" customHeight="false" outlineLevel="0" collapsed="false"/>
    <row r="794" customFormat="false" ht="12.75" hidden="false" customHeight="false" outlineLevel="0" collapsed="false"/>
    <row r="795" customFormat="false" ht="12.75" hidden="false" customHeight="false" outlineLevel="0" collapsed="false"/>
    <row r="796" customFormat="false" ht="12.75" hidden="false" customHeight="false" outlineLevel="0" collapsed="false"/>
    <row r="797" customFormat="false" ht="12.75" hidden="false" customHeight="false" outlineLevel="0" collapsed="false"/>
    <row r="798" customFormat="false" ht="12.75" hidden="false" customHeight="false" outlineLevel="0" collapsed="false"/>
    <row r="799" customFormat="false" ht="12.75" hidden="false" customHeight="false" outlineLevel="0" collapsed="false"/>
    <row r="800" customFormat="false" ht="12.75" hidden="false" customHeight="false" outlineLevel="0" collapsed="false"/>
    <row r="801" customFormat="false" ht="12.75" hidden="false" customHeight="false" outlineLevel="0" collapsed="false"/>
    <row r="802" customFormat="false" ht="12.75" hidden="false" customHeight="false" outlineLevel="0" collapsed="false"/>
    <row r="803" customFormat="false" ht="12.75" hidden="false" customHeight="false" outlineLevel="0" collapsed="false"/>
    <row r="804" customFormat="false" ht="12.75" hidden="false" customHeight="false" outlineLevel="0" collapsed="false"/>
    <row r="805" customFormat="false" ht="12.75" hidden="false" customHeight="false" outlineLevel="0" collapsed="false"/>
    <row r="806" customFormat="false" ht="12.75" hidden="false" customHeight="false" outlineLevel="0" collapsed="false"/>
    <row r="807" customFormat="false" ht="12.75" hidden="false" customHeight="false" outlineLevel="0" collapsed="false"/>
    <row r="808" customFormat="false" ht="12.75" hidden="false" customHeight="false" outlineLevel="0" collapsed="false"/>
    <row r="809" customFormat="false" ht="12.75" hidden="false" customHeight="false" outlineLevel="0" collapsed="false"/>
    <row r="810" customFormat="false" ht="12.75" hidden="false" customHeight="false" outlineLevel="0" collapsed="false"/>
    <row r="811" customFormat="false" ht="12.75" hidden="false" customHeight="false" outlineLevel="0" collapsed="false"/>
    <row r="812" customFormat="false" ht="12.75" hidden="false" customHeight="false" outlineLevel="0" collapsed="false"/>
    <row r="813" customFormat="false" ht="12.75" hidden="false" customHeight="false" outlineLevel="0" collapsed="false"/>
    <row r="814" customFormat="false" ht="12.75" hidden="false" customHeight="false" outlineLevel="0" collapsed="false"/>
    <row r="815" customFormat="false" ht="12.75" hidden="false" customHeight="false" outlineLevel="0" collapsed="false"/>
    <row r="816" customFormat="false" ht="12.75" hidden="false" customHeight="false" outlineLevel="0" collapsed="false"/>
    <row r="817" customFormat="false" ht="12.75" hidden="false" customHeight="false" outlineLevel="0" collapsed="false"/>
    <row r="818" customFormat="false" ht="12.75" hidden="false" customHeight="false" outlineLevel="0" collapsed="false"/>
    <row r="819" customFormat="false" ht="12.75" hidden="false" customHeight="false" outlineLevel="0" collapsed="false"/>
    <row r="820" customFormat="false" ht="12.75" hidden="false" customHeight="false" outlineLevel="0" collapsed="false"/>
    <row r="821" customFormat="false" ht="12.75" hidden="false" customHeight="false" outlineLevel="0" collapsed="false"/>
    <row r="822" customFormat="false" ht="12.75" hidden="false" customHeight="false" outlineLevel="0" collapsed="false"/>
    <row r="823" customFormat="false" ht="12.75" hidden="false" customHeight="false" outlineLevel="0" collapsed="false"/>
    <row r="824" customFormat="false" ht="12.75" hidden="false" customHeight="false" outlineLevel="0" collapsed="false"/>
    <row r="825" customFormat="false" ht="12.75" hidden="false" customHeight="false" outlineLevel="0" collapsed="false"/>
    <row r="826" customFormat="false" ht="12.75" hidden="false" customHeight="false" outlineLevel="0" collapsed="false"/>
    <row r="827" customFormat="false" ht="12.75" hidden="false" customHeight="false" outlineLevel="0" collapsed="false"/>
    <row r="828" customFormat="false" ht="12.75" hidden="false" customHeight="false" outlineLevel="0" collapsed="false"/>
    <row r="829" customFormat="false" ht="12.75" hidden="false" customHeight="false" outlineLevel="0" collapsed="false"/>
    <row r="830" customFormat="false" ht="12.75" hidden="false" customHeight="false" outlineLevel="0" collapsed="false"/>
    <row r="831" customFormat="false" ht="12.75" hidden="false" customHeight="false" outlineLevel="0" collapsed="false"/>
    <row r="832" customFormat="false" ht="12.75" hidden="false" customHeight="false" outlineLevel="0" collapsed="false"/>
    <row r="833" customFormat="false" ht="12.75" hidden="false" customHeight="false" outlineLevel="0" collapsed="false"/>
    <row r="834" customFormat="false" ht="12.75" hidden="false" customHeight="false" outlineLevel="0" collapsed="false"/>
    <row r="835" customFormat="false" ht="12.75" hidden="false" customHeight="false" outlineLevel="0" collapsed="false"/>
    <row r="836" customFormat="false" ht="12.75" hidden="false" customHeight="false" outlineLevel="0" collapsed="false"/>
    <row r="837" customFormat="false" ht="12.75" hidden="false" customHeight="false" outlineLevel="0" collapsed="false"/>
    <row r="838" customFormat="false" ht="12.75" hidden="false" customHeight="false" outlineLevel="0" collapsed="false"/>
    <row r="839" customFormat="false" ht="12.75" hidden="false" customHeight="false" outlineLevel="0" collapsed="false"/>
    <row r="840" customFormat="false" ht="12.75" hidden="false" customHeight="false" outlineLevel="0" collapsed="false"/>
    <row r="841" customFormat="false" ht="12.75" hidden="false" customHeight="false" outlineLevel="0" collapsed="false"/>
    <row r="842" customFormat="false" ht="12.75" hidden="false" customHeight="false" outlineLevel="0" collapsed="false"/>
    <row r="843" customFormat="false" ht="12.75" hidden="false" customHeight="false" outlineLevel="0" collapsed="false"/>
    <row r="844" customFormat="false" ht="12.75" hidden="false" customHeight="false" outlineLevel="0" collapsed="false"/>
    <row r="845" customFormat="false" ht="12.75" hidden="false" customHeight="false" outlineLevel="0" collapsed="false"/>
    <row r="846" customFormat="false" ht="12.75" hidden="false" customHeight="false" outlineLevel="0" collapsed="false"/>
    <row r="847" customFormat="false" ht="12.75" hidden="false" customHeight="false" outlineLevel="0" collapsed="false"/>
    <row r="848" customFormat="false" ht="12.75" hidden="false" customHeight="false" outlineLevel="0" collapsed="false"/>
    <row r="849" customFormat="false" ht="12.75" hidden="false" customHeight="false" outlineLevel="0" collapsed="false"/>
    <row r="850" customFormat="false" ht="12.75" hidden="false" customHeight="false" outlineLevel="0" collapsed="false"/>
    <row r="851" customFormat="false" ht="12.75" hidden="false" customHeight="false" outlineLevel="0" collapsed="false"/>
    <row r="852" customFormat="false" ht="12.75" hidden="false" customHeight="false" outlineLevel="0" collapsed="false"/>
    <row r="853" customFormat="false" ht="12.75" hidden="false" customHeight="false" outlineLevel="0" collapsed="false"/>
    <row r="854" customFormat="false" ht="12.75" hidden="false" customHeight="false" outlineLevel="0" collapsed="false"/>
    <row r="855" customFormat="false" ht="12.75" hidden="false" customHeight="false" outlineLevel="0" collapsed="false"/>
    <row r="856" customFormat="false" ht="12.75" hidden="false" customHeight="false" outlineLevel="0" collapsed="false"/>
    <row r="857" customFormat="false" ht="12.75" hidden="false" customHeight="false" outlineLevel="0" collapsed="false"/>
    <row r="858" customFormat="false" ht="12.75" hidden="false" customHeight="false" outlineLevel="0" collapsed="false"/>
    <row r="859" customFormat="false" ht="12.75" hidden="false" customHeight="false" outlineLevel="0" collapsed="false"/>
    <row r="860" customFormat="false" ht="12.75" hidden="false" customHeight="false" outlineLevel="0" collapsed="false"/>
    <row r="861" customFormat="false" ht="12.75" hidden="false" customHeight="false" outlineLevel="0" collapsed="false"/>
    <row r="862" customFormat="false" ht="12.75" hidden="false" customHeight="false" outlineLevel="0" collapsed="false"/>
    <row r="863" customFormat="false" ht="12.75" hidden="false" customHeight="false" outlineLevel="0" collapsed="false"/>
    <row r="864" customFormat="false" ht="12.75" hidden="false" customHeight="false" outlineLevel="0" collapsed="false"/>
    <row r="865" customFormat="false" ht="12.75" hidden="false" customHeight="false" outlineLevel="0" collapsed="false"/>
    <row r="866" customFormat="false" ht="12.75" hidden="false" customHeight="false" outlineLevel="0" collapsed="false"/>
    <row r="867" customFormat="false" ht="12.75" hidden="false" customHeight="false" outlineLevel="0" collapsed="false"/>
    <row r="868" customFormat="false" ht="12.75" hidden="false" customHeight="false" outlineLevel="0" collapsed="false"/>
    <row r="869" customFormat="false" ht="12.75" hidden="false" customHeight="false" outlineLevel="0" collapsed="false"/>
    <row r="870" customFormat="false" ht="12.75" hidden="false" customHeight="false" outlineLevel="0" collapsed="false"/>
    <row r="871" customFormat="false" ht="12.75" hidden="false" customHeight="false" outlineLevel="0" collapsed="false"/>
    <row r="872" customFormat="false" ht="12.75" hidden="false" customHeight="false" outlineLevel="0" collapsed="false"/>
    <row r="873" customFormat="false" ht="12.75" hidden="false" customHeight="false" outlineLevel="0" collapsed="false"/>
    <row r="874" customFormat="false" ht="12.75" hidden="false" customHeight="false" outlineLevel="0" collapsed="false"/>
    <row r="875" customFormat="false" ht="12.75" hidden="false" customHeight="false" outlineLevel="0" collapsed="false"/>
    <row r="876" customFormat="false" ht="12.75" hidden="false" customHeight="false" outlineLevel="0" collapsed="false"/>
    <row r="877" customFormat="false" ht="12.75" hidden="false" customHeight="false" outlineLevel="0" collapsed="false"/>
    <row r="878" customFormat="false" ht="12.75" hidden="false" customHeight="false" outlineLevel="0" collapsed="false"/>
    <row r="879" customFormat="false" ht="12.75" hidden="false" customHeight="false" outlineLevel="0" collapsed="false"/>
    <row r="880" customFormat="false" ht="12.75" hidden="false" customHeight="false" outlineLevel="0" collapsed="false"/>
    <row r="881" customFormat="false" ht="12.75" hidden="false" customHeight="false" outlineLevel="0" collapsed="false"/>
    <row r="882" customFormat="false" ht="12.75" hidden="false" customHeight="false" outlineLevel="0" collapsed="false"/>
    <row r="883" customFormat="false" ht="12.75" hidden="false" customHeight="false" outlineLevel="0" collapsed="false"/>
    <row r="884" customFormat="false" ht="12.75" hidden="false" customHeight="false" outlineLevel="0" collapsed="false"/>
    <row r="885" customFormat="false" ht="12.75" hidden="false" customHeight="false" outlineLevel="0" collapsed="false"/>
    <row r="886" customFormat="false" ht="12.75" hidden="false" customHeight="false" outlineLevel="0" collapsed="false"/>
    <row r="887" customFormat="false" ht="12.75" hidden="false" customHeight="false" outlineLevel="0" collapsed="false"/>
    <row r="888" customFormat="false" ht="12.75" hidden="false" customHeight="false" outlineLevel="0" collapsed="false"/>
    <row r="889" customFormat="false" ht="12.75" hidden="false" customHeight="false" outlineLevel="0" collapsed="false"/>
    <row r="890" customFormat="false" ht="12.75" hidden="false" customHeight="false" outlineLevel="0" collapsed="false"/>
    <row r="891" customFormat="false" ht="12.75" hidden="false" customHeight="false" outlineLevel="0" collapsed="false"/>
    <row r="892" customFormat="false" ht="12.75" hidden="false" customHeight="false" outlineLevel="0" collapsed="false"/>
    <row r="893" customFormat="false" ht="12.75" hidden="false" customHeight="false" outlineLevel="0" collapsed="false"/>
    <row r="894" customFormat="false" ht="12.75" hidden="false" customHeight="false" outlineLevel="0" collapsed="false"/>
    <row r="895" customFormat="false" ht="12.75" hidden="false" customHeight="false" outlineLevel="0" collapsed="false"/>
    <row r="896" customFormat="false" ht="12.75" hidden="false" customHeight="false" outlineLevel="0" collapsed="false"/>
    <row r="897" customFormat="false" ht="12.75" hidden="false" customHeight="false" outlineLevel="0" collapsed="false"/>
    <row r="898" customFormat="false" ht="12.75" hidden="false" customHeight="false" outlineLevel="0" collapsed="false"/>
    <row r="899" customFormat="false" ht="12.75" hidden="false" customHeight="false" outlineLevel="0" collapsed="false"/>
    <row r="900" customFormat="false" ht="12.75" hidden="false" customHeight="false" outlineLevel="0" collapsed="false"/>
    <row r="901" customFormat="false" ht="12.75" hidden="false" customHeight="false" outlineLevel="0" collapsed="false"/>
    <row r="902" customFormat="false" ht="12.75" hidden="false" customHeight="false" outlineLevel="0" collapsed="false"/>
    <row r="903" customFormat="false" ht="12.75" hidden="false" customHeight="false" outlineLevel="0" collapsed="false"/>
    <row r="904" customFormat="false" ht="12.75" hidden="false" customHeight="false" outlineLevel="0" collapsed="false"/>
    <row r="905" customFormat="false" ht="12.75" hidden="false" customHeight="false" outlineLevel="0" collapsed="false"/>
    <row r="906" customFormat="false" ht="12.75" hidden="false" customHeight="false" outlineLevel="0" collapsed="false"/>
    <row r="907" customFormat="false" ht="12.75" hidden="false" customHeight="false" outlineLevel="0" collapsed="false"/>
    <row r="908" customFormat="false" ht="12.75" hidden="false" customHeight="false" outlineLevel="0" collapsed="false"/>
    <row r="909" customFormat="false" ht="12.75" hidden="false" customHeight="false" outlineLevel="0" collapsed="false"/>
    <row r="910" customFormat="false" ht="12.75" hidden="false" customHeight="false" outlineLevel="0" collapsed="false"/>
    <row r="911" customFormat="false" ht="12.75" hidden="false" customHeight="false" outlineLevel="0" collapsed="false"/>
    <row r="912" customFormat="false" ht="12.75" hidden="false" customHeight="false" outlineLevel="0" collapsed="false"/>
    <row r="913" customFormat="false" ht="12.75" hidden="false" customHeight="false" outlineLevel="0" collapsed="false"/>
    <row r="914" customFormat="false" ht="12.75" hidden="false" customHeight="false" outlineLevel="0" collapsed="false"/>
    <row r="915" customFormat="false" ht="12.75" hidden="false" customHeight="false" outlineLevel="0" collapsed="false"/>
    <row r="916" customFormat="false" ht="12.75" hidden="false" customHeight="false" outlineLevel="0" collapsed="false"/>
    <row r="917" customFormat="false" ht="12.75" hidden="false" customHeight="false" outlineLevel="0" collapsed="false"/>
    <row r="918" customFormat="false" ht="12.75" hidden="false" customHeight="false" outlineLevel="0" collapsed="false"/>
    <row r="919" customFormat="false" ht="12.75" hidden="false" customHeight="false" outlineLevel="0" collapsed="false"/>
    <row r="920" customFormat="false" ht="12.75" hidden="false" customHeight="false" outlineLevel="0" collapsed="false"/>
    <row r="921" customFormat="false" ht="12.75" hidden="false" customHeight="false" outlineLevel="0" collapsed="false"/>
    <row r="922" customFormat="false" ht="12.75" hidden="false" customHeight="false" outlineLevel="0" collapsed="false"/>
    <row r="923" customFormat="false" ht="12.75" hidden="false" customHeight="false" outlineLevel="0" collapsed="false"/>
    <row r="924" customFormat="false" ht="12.75" hidden="false" customHeight="false" outlineLevel="0" collapsed="false"/>
    <row r="925" customFormat="false" ht="12.75" hidden="false" customHeight="false" outlineLevel="0" collapsed="false"/>
    <row r="926" customFormat="false" ht="12.75" hidden="false" customHeight="false" outlineLevel="0" collapsed="false"/>
    <row r="927" customFormat="false" ht="12.75" hidden="false" customHeight="false" outlineLevel="0" collapsed="false"/>
    <row r="928" customFormat="false" ht="12.75" hidden="false" customHeight="false" outlineLevel="0" collapsed="false"/>
    <row r="929" customFormat="false" ht="12.75" hidden="false" customHeight="false" outlineLevel="0" collapsed="false"/>
    <row r="930" customFormat="false" ht="12.75" hidden="false" customHeight="false" outlineLevel="0" collapsed="false"/>
    <row r="931" customFormat="false" ht="12.75" hidden="false" customHeight="false" outlineLevel="0" collapsed="false"/>
    <row r="932" customFormat="false" ht="12.75" hidden="false" customHeight="false" outlineLevel="0" collapsed="false"/>
    <row r="933" customFormat="false" ht="12.75" hidden="false" customHeight="false" outlineLevel="0" collapsed="false"/>
    <row r="934" customFormat="false" ht="12.75" hidden="false" customHeight="false" outlineLevel="0" collapsed="false"/>
    <row r="935" customFormat="false" ht="12.75" hidden="false" customHeight="false" outlineLevel="0" collapsed="false"/>
    <row r="936" customFormat="false" ht="12.75" hidden="false" customHeight="false" outlineLevel="0" collapsed="false"/>
    <row r="937" customFormat="false" ht="12.75" hidden="false" customHeight="false" outlineLevel="0" collapsed="false"/>
    <row r="938" customFormat="false" ht="12.75" hidden="false" customHeight="false" outlineLevel="0" collapsed="false"/>
    <row r="939" customFormat="false" ht="12.75" hidden="false" customHeight="false" outlineLevel="0" collapsed="false"/>
    <row r="940" customFormat="false" ht="12.75" hidden="false" customHeight="false" outlineLevel="0" collapsed="false"/>
    <row r="941" customFormat="false" ht="12.75" hidden="false" customHeight="false" outlineLevel="0" collapsed="false"/>
    <row r="942" customFormat="false" ht="12.75" hidden="false" customHeight="false" outlineLevel="0" collapsed="false"/>
    <row r="943" customFormat="false" ht="12.75" hidden="false" customHeight="false" outlineLevel="0" collapsed="false"/>
    <row r="944" customFormat="false" ht="12.75" hidden="false" customHeight="false" outlineLevel="0" collapsed="false"/>
    <row r="945" customFormat="false" ht="12.75" hidden="false" customHeight="false" outlineLevel="0" collapsed="false"/>
    <row r="946" customFormat="false" ht="12.75" hidden="false" customHeight="false" outlineLevel="0" collapsed="false"/>
    <row r="947" customFormat="false" ht="12.75" hidden="false" customHeight="false" outlineLevel="0" collapsed="false"/>
    <row r="948" customFormat="false" ht="12.75" hidden="false" customHeight="false" outlineLevel="0" collapsed="false"/>
    <row r="949" customFormat="false" ht="12.75" hidden="false" customHeight="false" outlineLevel="0" collapsed="false"/>
    <row r="950" customFormat="false" ht="12.75" hidden="false" customHeight="false" outlineLevel="0" collapsed="false"/>
    <row r="951" customFormat="false" ht="12.75" hidden="false" customHeight="false" outlineLevel="0" collapsed="false"/>
    <row r="952" customFormat="false" ht="12.75" hidden="false" customHeight="false" outlineLevel="0" collapsed="false"/>
    <row r="953" customFormat="false" ht="12.75" hidden="false" customHeight="false" outlineLevel="0" collapsed="false"/>
    <row r="954" customFormat="false" ht="12.75" hidden="false" customHeight="false" outlineLevel="0" collapsed="false"/>
    <row r="955" customFormat="false" ht="12.75" hidden="false" customHeight="false" outlineLevel="0" collapsed="false"/>
    <row r="956" customFormat="false" ht="12.75" hidden="false" customHeight="false" outlineLevel="0" collapsed="false"/>
    <row r="957" customFormat="false" ht="12.75" hidden="false" customHeight="false" outlineLevel="0" collapsed="false"/>
    <row r="958" customFormat="false" ht="12.75" hidden="false" customHeight="false" outlineLevel="0" collapsed="false"/>
    <row r="959" customFormat="false" ht="12.75" hidden="false" customHeight="false" outlineLevel="0" collapsed="false"/>
    <row r="960" customFormat="false" ht="12.75" hidden="false" customHeight="false" outlineLevel="0" collapsed="false"/>
    <row r="961" customFormat="false" ht="12.75" hidden="false" customHeight="false" outlineLevel="0" collapsed="false"/>
    <row r="962" customFormat="false" ht="12.75" hidden="false" customHeight="false" outlineLevel="0" collapsed="false"/>
    <row r="963" customFormat="false" ht="12.75" hidden="false" customHeight="false" outlineLevel="0" collapsed="false"/>
    <row r="964" customFormat="false" ht="12.75" hidden="false" customHeight="false" outlineLevel="0" collapsed="false"/>
    <row r="965" customFormat="false" ht="12.75" hidden="false" customHeight="false" outlineLevel="0" collapsed="false"/>
    <row r="966" customFormat="false" ht="12.75" hidden="false" customHeight="false" outlineLevel="0" collapsed="false"/>
    <row r="967" customFormat="false" ht="12.75" hidden="false" customHeight="false" outlineLevel="0" collapsed="false"/>
    <row r="968" customFormat="false" ht="12.75" hidden="false" customHeight="false" outlineLevel="0" collapsed="false"/>
    <row r="969" customFormat="false" ht="12.75" hidden="false" customHeight="false" outlineLevel="0" collapsed="false"/>
    <row r="970" customFormat="false" ht="12.75" hidden="false" customHeight="false" outlineLevel="0" collapsed="false"/>
    <row r="971" customFormat="false" ht="12.75" hidden="false" customHeight="false" outlineLevel="0" collapsed="false"/>
    <row r="972" customFormat="false" ht="12.75" hidden="false" customHeight="false" outlineLevel="0" collapsed="false"/>
    <row r="973" customFormat="false" ht="12.75" hidden="false" customHeight="false" outlineLevel="0" collapsed="false"/>
    <row r="974" customFormat="false" ht="12.75" hidden="false" customHeight="false" outlineLevel="0" collapsed="false"/>
    <row r="975" customFormat="false" ht="12.75" hidden="false" customHeight="false" outlineLevel="0" collapsed="false"/>
    <row r="976" customFormat="false" ht="12.75" hidden="false" customHeight="false" outlineLevel="0" collapsed="false"/>
    <row r="977" customFormat="false" ht="12.75" hidden="false" customHeight="false" outlineLevel="0" collapsed="false"/>
    <row r="978" customFormat="false" ht="12.75" hidden="false" customHeight="false" outlineLevel="0" collapsed="false"/>
    <row r="979" customFormat="false" ht="12.75" hidden="false" customHeight="false" outlineLevel="0" collapsed="false"/>
    <row r="980" customFormat="false" ht="12.75" hidden="false" customHeight="false" outlineLevel="0" collapsed="false"/>
    <row r="981" customFormat="false" ht="12.75" hidden="false" customHeight="false" outlineLevel="0" collapsed="false"/>
    <row r="982" customFormat="false" ht="12.75" hidden="false" customHeight="false" outlineLevel="0" collapsed="false"/>
    <row r="983" customFormat="false" ht="12.75" hidden="false" customHeight="false" outlineLevel="0" collapsed="false"/>
    <row r="984" customFormat="false" ht="12.75" hidden="false" customHeight="false" outlineLevel="0" collapsed="false"/>
    <row r="985" customFormat="false" ht="12.75" hidden="false" customHeight="false" outlineLevel="0" collapsed="false"/>
    <row r="986" customFormat="false" ht="12.75" hidden="false" customHeight="false" outlineLevel="0" collapsed="false"/>
    <row r="987" customFormat="false" ht="12.75" hidden="false" customHeight="false" outlineLevel="0" collapsed="false"/>
    <row r="988" customFormat="false" ht="12.75" hidden="false" customHeight="false" outlineLevel="0" collapsed="false"/>
    <row r="989" customFormat="false" ht="12.75" hidden="false" customHeight="false" outlineLevel="0" collapsed="false"/>
    <row r="990" customFormat="false" ht="12.75" hidden="false" customHeight="false" outlineLevel="0" collapsed="false"/>
    <row r="991" customFormat="false" ht="12.75" hidden="false" customHeight="false" outlineLevel="0" collapsed="false"/>
    <row r="992" customFormat="false" ht="12.75" hidden="false" customHeight="false" outlineLevel="0" collapsed="false"/>
    <row r="993" customFormat="false" ht="12.75" hidden="false" customHeight="false" outlineLevel="0" collapsed="false"/>
    <row r="994" customFormat="false" ht="12.75" hidden="false" customHeight="false" outlineLevel="0" collapsed="false"/>
    <row r="995" customFormat="false" ht="12.75" hidden="false" customHeight="false" outlineLevel="0" collapsed="false"/>
    <row r="996" customFormat="false" ht="12.75" hidden="false" customHeight="false" outlineLevel="0" collapsed="false"/>
    <row r="997" customFormat="false" ht="12.75" hidden="false" customHeight="false" outlineLevel="0" collapsed="false"/>
    <row r="998" customFormat="false" ht="12.75" hidden="false" customHeight="false" outlineLevel="0" collapsed="false"/>
    <row r="999" customFormat="false" ht="12.75" hidden="false" customHeight="false" outlineLevel="0" collapsed="false"/>
    <row r="1000" customFormat="false" ht="12.75" hidden="false" customHeight="false" outlineLevel="0" collapsed="false"/>
    <row r="1001" customFormat="false" ht="12.75" hidden="false" customHeight="false" outlineLevel="0" collapsed="false"/>
  </sheetData>
  <mergeCells count="2">
    <mergeCell ref="H1:I1"/>
    <mergeCell ref="K5:M6"/>
  </mergeCells>
  <conditionalFormatting sqref="H6:H1001">
    <cfRule type="cellIs" priority="2" operator="between" aboveAverage="0" equalAverage="0" bottom="0" percent="0" rank="0" text="" dxfId="0">
      <formula>0</formula>
      <formula>0.5</formula>
    </cfRule>
  </conditionalFormatting>
  <conditionalFormatting sqref="H6:H1001">
    <cfRule type="cellIs" priority="3" operator="between" aboveAverage="0" equalAverage="0" bottom="0" percent="0" rank="0" text="" dxfId="1">
      <formula>0.51</formula>
      <formula>0.99</formula>
    </cfRule>
  </conditionalFormatting>
  <conditionalFormatting sqref="H6:H1001">
    <cfRule type="cellIs" priority="4" operator="greaterThanOrEqual" aboveAverage="0" equalAverage="0" bottom="0" percent="0" rank="0" text="" dxfId="2">
      <formula>1</formula>
    </cfRule>
  </conditionalFormatting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152"/>
  <sheetViews>
    <sheetView showFormulas="false" showGridLines="false" showRowColHeaders="true" showZeros="true" rightToLeft="false" tabSelected="true" showOutlineSymbols="true" defaultGridColor="true" view="normal" topLeftCell="A122" colorId="64" zoomScale="100" zoomScaleNormal="100" zoomScalePageLayoutView="100" workbookViewId="0">
      <selection pane="topLeft" activeCell="C6" activeCellId="0" sqref="C6"/>
    </sheetView>
  </sheetViews>
  <sheetFormatPr defaultRowHeight="15.75" zeroHeight="false" outlineLevelRow="0" outlineLevelCol="0"/>
  <cols>
    <col collapsed="false" customWidth="true" hidden="false" outlineLevel="0" max="2" min="1" style="0" width="14.43"/>
    <col collapsed="false" customWidth="true" hidden="false" outlineLevel="0" max="3" min="3" style="0" width="22.43"/>
    <col collapsed="false" customWidth="true" hidden="false" outlineLevel="0" max="1025" min="4" style="0" width="14.43"/>
  </cols>
  <sheetData>
    <row r="1" s="26" customFormat="true" ht="48" hidden="false" customHeight="true" outlineLevel="0" collapsed="false">
      <c r="A1" s="23"/>
      <c r="B1" s="23"/>
      <c r="C1" s="23"/>
      <c r="D1" s="23"/>
      <c r="E1" s="24" t="s">
        <v>20</v>
      </c>
      <c r="F1" s="24" t="n">
        <f aca="false">'Cadastro Institucional'!D$6</f>
        <v>0</v>
      </c>
      <c r="G1" s="25" t="n">
        <f aca="false">'Cadastro Institucional'!D$7</f>
        <v>0</v>
      </c>
      <c r="H1" s="41"/>
      <c r="I1" s="41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customFormat="false" ht="12.75" hidden="false" customHeight="false" outlineLevel="0" collapsed="false">
      <c r="A2" s="27" t="s">
        <v>14</v>
      </c>
      <c r="B2" s="27" t="s">
        <v>13</v>
      </c>
      <c r="C2" s="27" t="s">
        <v>15</v>
      </c>
      <c r="D2" s="27" t="s">
        <v>16</v>
      </c>
      <c r="E2" s="27" t="s">
        <v>17</v>
      </c>
      <c r="F2" s="27" t="s">
        <v>18</v>
      </c>
      <c r="G2" s="27" t="s">
        <v>19</v>
      </c>
      <c r="H2" s="69" t="s">
        <v>35</v>
      </c>
      <c r="I2" s="69" t="s">
        <v>36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customFormat="false" ht="12.75" hidden="false" customHeight="false" outlineLevel="0" collapsed="false">
      <c r="A3" s="30" t="n">
        <f aca="false">'Cadastro Institucional'!D$10</f>
        <v>0</v>
      </c>
      <c r="B3" s="31" t="n">
        <f aca="false">'Cadastro Institucional'!D$9</f>
        <v>0</v>
      </c>
      <c r="C3" s="31" t="n">
        <f aca="false">'Cadastro Institucional'!D$11</f>
        <v>0</v>
      </c>
      <c r="D3" s="32" t="n">
        <f aca="false">'Cadastro Institucional'!D$12</f>
        <v>0</v>
      </c>
      <c r="E3" s="31" t="n">
        <f aca="false">'Cadastro Institucional'!D$13</f>
        <v>0</v>
      </c>
      <c r="F3" s="31" t="n">
        <f aca="false">'Cadastro Institucional'!D$14</f>
        <v>0</v>
      </c>
      <c r="G3" s="33" t="n">
        <f aca="false">'Cadastro Institucional'!D$15</f>
        <v>0</v>
      </c>
      <c r="H3" s="70"/>
      <c r="I3" s="70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customFormat="false" ht="12.75" hidden="false" customHeight="false" outlineLevel="0" collapsed="false">
      <c r="A4" s="29"/>
      <c r="B4" s="29"/>
      <c r="C4" s="29"/>
      <c r="D4" s="29"/>
      <c r="E4" s="29"/>
      <c r="F4" s="29"/>
      <c r="G4" s="29"/>
      <c r="H4" s="29"/>
      <c r="I4" s="29"/>
      <c r="J4" s="29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 customFormat="false" ht="25.5" hidden="false" customHeight="true" outlineLevel="0" collapsed="false">
      <c r="A5" s="56" t="s">
        <v>21</v>
      </c>
      <c r="B5" s="56" t="s">
        <v>23</v>
      </c>
      <c r="C5" s="56" t="s">
        <v>22</v>
      </c>
      <c r="D5" s="56" t="s">
        <v>28</v>
      </c>
      <c r="E5" s="56" t="s">
        <v>29</v>
      </c>
      <c r="F5" s="56" t="s">
        <v>30</v>
      </c>
      <c r="G5" s="56" t="s">
        <v>31</v>
      </c>
      <c r="H5" s="56" t="s">
        <v>32</v>
      </c>
      <c r="I5" s="56" t="s">
        <v>33</v>
      </c>
      <c r="J5" s="58"/>
      <c r="K5" s="20" t="s">
        <v>8</v>
      </c>
      <c r="L5" s="20"/>
      <c r="M5" s="20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</row>
    <row r="6" customFormat="false" ht="12.75" hidden="false" customHeight="true" outlineLevel="0" collapsed="false">
      <c r="A6" s="37" t="n">
        <f aca="false">'Itens de Contrato'!A6</f>
        <v>0</v>
      </c>
      <c r="B6" s="37" t="n">
        <f aca="false">'Itens de Contrato'!B6</f>
        <v>0</v>
      </c>
      <c r="C6" s="37" t="e">
        <f aca="false">VLOOKUP(B6,'Itens de Contrato'!B$5:G$151,2,0)</f>
        <v>#N/A</v>
      </c>
      <c r="D6" s="52"/>
      <c r="E6" s="63" t="n">
        <f aca="false">D6*'Itens de Contrato'!F6</f>
        <v>0</v>
      </c>
      <c r="F6" s="62" t="n">
        <f aca="false">'Medição 10'!F6-'Medição 10'!G6</f>
        <v>0</v>
      </c>
      <c r="G6" s="52"/>
      <c r="H6" s="64" t="e">
        <f aca="false">G6/D6</f>
        <v>#DIV/0!</v>
      </c>
      <c r="I6" s="63" t="n">
        <f aca="false">G6*'Itens de Contrato'!F6</f>
        <v>0</v>
      </c>
      <c r="J6" s="37"/>
      <c r="K6" s="20"/>
      <c r="L6" s="20"/>
      <c r="M6" s="20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customFormat="false" ht="12.8" hidden="false" customHeight="false" outlineLevel="0" collapsed="false">
      <c r="A7" s="37" t="n">
        <f aca="false">'Itens de Contrato'!A7</f>
        <v>0</v>
      </c>
      <c r="B7" s="37" t="n">
        <f aca="false">'Itens de Contrato'!B7</f>
        <v>0</v>
      </c>
      <c r="C7" s="37" t="e">
        <f aca="false">VLOOKUP(B7,'Itens de Contrato'!B$5:G$151,2,0)</f>
        <v>#N/A</v>
      </c>
      <c r="D7" s="52"/>
      <c r="E7" s="63" t="n">
        <f aca="false">D7*'Itens de Contrato'!F7</f>
        <v>0</v>
      </c>
      <c r="F7" s="62" t="n">
        <f aca="false">'Medição 10'!F7-'Medição 10'!G7</f>
        <v>0</v>
      </c>
      <c r="G7" s="52"/>
      <c r="H7" s="64" t="e">
        <f aca="false">G7/D7</f>
        <v>#DIV/0!</v>
      </c>
      <c r="I7" s="63" t="n">
        <f aca="false">G7*'Itens de Contrato'!F7</f>
        <v>0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customFormat="false" ht="12.8" hidden="false" customHeight="false" outlineLevel="0" collapsed="false">
      <c r="A8" s="37" t="n">
        <f aca="false">'Itens de Contrato'!A8</f>
        <v>0</v>
      </c>
      <c r="B8" s="37" t="n">
        <f aca="false">'Itens de Contrato'!B8</f>
        <v>0</v>
      </c>
      <c r="C8" s="37" t="e">
        <f aca="false">VLOOKUP(B8,'Itens de Contrato'!B$5:G$151,2,0)</f>
        <v>#N/A</v>
      </c>
      <c r="D8" s="52"/>
      <c r="E8" s="63" t="n">
        <f aca="false">D8*'Itens de Contrato'!F8</f>
        <v>0</v>
      </c>
      <c r="F8" s="62" t="n">
        <f aca="false">'Medição 10'!F8-'Medição 10'!G8</f>
        <v>0</v>
      </c>
      <c r="G8" s="52"/>
      <c r="H8" s="64" t="e">
        <f aca="false">G8/D8</f>
        <v>#DIV/0!</v>
      </c>
      <c r="I8" s="63" t="n">
        <f aca="false">G8*'Itens de Contrato'!F8</f>
        <v>0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customFormat="false" ht="12.8" hidden="false" customHeight="false" outlineLevel="0" collapsed="false">
      <c r="A9" s="37" t="n">
        <f aca="false">'Itens de Contrato'!A9</f>
        <v>0</v>
      </c>
      <c r="B9" s="37" t="n">
        <f aca="false">'Itens de Contrato'!B9</f>
        <v>0</v>
      </c>
      <c r="C9" s="37" t="e">
        <f aca="false">VLOOKUP(B9,'Itens de Contrato'!B$5:G$151,2,0)</f>
        <v>#N/A</v>
      </c>
      <c r="D9" s="52"/>
      <c r="E9" s="63" t="n">
        <f aca="false">D9*'Itens de Contrato'!F9</f>
        <v>0</v>
      </c>
      <c r="F9" s="62" t="n">
        <f aca="false">'Medição 10'!F9-'Medição 10'!G9</f>
        <v>0</v>
      </c>
      <c r="G9" s="52"/>
      <c r="H9" s="64" t="e">
        <f aca="false">G9/D9</f>
        <v>#DIV/0!</v>
      </c>
      <c r="I9" s="63" t="n">
        <f aca="false">G9*'Itens de Contrato'!F9</f>
        <v>0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 customFormat="false" ht="12.8" hidden="false" customHeight="false" outlineLevel="0" collapsed="false">
      <c r="A10" s="37" t="n">
        <f aca="false">'Itens de Contrato'!A10</f>
        <v>0</v>
      </c>
      <c r="B10" s="37" t="n">
        <f aca="false">'Itens de Contrato'!B10</f>
        <v>0</v>
      </c>
      <c r="C10" s="37" t="e">
        <f aca="false">VLOOKUP(B10,'Itens de Contrato'!B$5:G$151,2,0)</f>
        <v>#N/A</v>
      </c>
      <c r="D10" s="52"/>
      <c r="E10" s="63" t="n">
        <f aca="false">D10*'Itens de Contrato'!F10</f>
        <v>0</v>
      </c>
      <c r="F10" s="62" t="n">
        <f aca="false">'Medição 10'!F10-'Medição 10'!G10</f>
        <v>0</v>
      </c>
      <c r="G10" s="52"/>
      <c r="H10" s="64" t="e">
        <f aca="false">G10/D10</f>
        <v>#DIV/0!</v>
      </c>
      <c r="I10" s="63" t="n">
        <f aca="false">G10*'Itens de Contrato'!F10</f>
        <v>0</v>
      </c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 customFormat="false" ht="12.8" hidden="false" customHeight="false" outlineLevel="0" collapsed="false">
      <c r="A11" s="37" t="n">
        <f aca="false">'Itens de Contrato'!A11</f>
        <v>0</v>
      </c>
      <c r="B11" s="37" t="n">
        <f aca="false">'Itens de Contrato'!B11</f>
        <v>0</v>
      </c>
      <c r="C11" s="37" t="e">
        <f aca="false">VLOOKUP(B11,'Itens de Contrato'!B$5:G$151,2,0)</f>
        <v>#N/A</v>
      </c>
      <c r="D11" s="52"/>
      <c r="E11" s="63" t="n">
        <f aca="false">D11*'Itens de Contrato'!F11</f>
        <v>0</v>
      </c>
      <c r="F11" s="62" t="n">
        <f aca="false">'Medição 10'!F11-'Medição 10'!G11</f>
        <v>0</v>
      </c>
      <c r="G11" s="52"/>
      <c r="H11" s="64" t="e">
        <f aca="false">G11/D11</f>
        <v>#DIV/0!</v>
      </c>
      <c r="I11" s="63" t="n">
        <f aca="false">G11*'Itens de Contrato'!F11</f>
        <v>0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 customFormat="false" ht="12.8" hidden="false" customHeight="false" outlineLevel="0" collapsed="false">
      <c r="A12" s="37" t="n">
        <f aca="false">'Itens de Contrato'!A12</f>
        <v>0</v>
      </c>
      <c r="B12" s="37" t="n">
        <f aca="false">'Itens de Contrato'!B12</f>
        <v>0</v>
      </c>
      <c r="C12" s="37" t="e">
        <f aca="false">VLOOKUP(B12,'Itens de Contrato'!B$5:G$151,2,0)</f>
        <v>#N/A</v>
      </c>
      <c r="D12" s="52"/>
      <c r="E12" s="63" t="n">
        <f aca="false">D12*'Itens de Contrato'!F12</f>
        <v>0</v>
      </c>
      <c r="F12" s="62" t="n">
        <f aca="false">'Medição 10'!F12-'Medição 10'!G12</f>
        <v>0</v>
      </c>
      <c r="G12" s="52"/>
      <c r="H12" s="64" t="e">
        <f aca="false">G12/D12</f>
        <v>#DIV/0!</v>
      </c>
      <c r="I12" s="63" t="n">
        <f aca="false">G12*'Itens de Contrato'!F12</f>
        <v>0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 customFormat="false" ht="12.8" hidden="false" customHeight="false" outlineLevel="0" collapsed="false">
      <c r="A13" s="37" t="n">
        <f aca="false">'Itens de Contrato'!A13</f>
        <v>0</v>
      </c>
      <c r="B13" s="37" t="n">
        <f aca="false">'Itens de Contrato'!B13</f>
        <v>0</v>
      </c>
      <c r="C13" s="37" t="e">
        <f aca="false">VLOOKUP(B13,'Itens de Contrato'!B$5:G$151,2,0)</f>
        <v>#N/A</v>
      </c>
      <c r="D13" s="52"/>
      <c r="E13" s="63" t="n">
        <f aca="false">D13*'Itens de Contrato'!F13</f>
        <v>0</v>
      </c>
      <c r="F13" s="62" t="n">
        <f aca="false">'Medição 10'!F13-'Medição 10'!G13</f>
        <v>0</v>
      </c>
      <c r="G13" s="52"/>
      <c r="H13" s="64" t="e">
        <f aca="false">G13/D13</f>
        <v>#DIV/0!</v>
      </c>
      <c r="I13" s="63" t="n">
        <f aca="false">G13*'Itens de Contrato'!F13</f>
        <v>0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customFormat="false" ht="12.8" hidden="false" customHeight="false" outlineLevel="0" collapsed="false">
      <c r="A14" s="37" t="n">
        <f aca="false">'Itens de Contrato'!A14</f>
        <v>0</v>
      </c>
      <c r="B14" s="37" t="n">
        <f aca="false">'Itens de Contrato'!B14</f>
        <v>0</v>
      </c>
      <c r="C14" s="37" t="e">
        <f aca="false">VLOOKUP(B14,'Itens de Contrato'!B$5:G$151,2,0)</f>
        <v>#N/A</v>
      </c>
      <c r="D14" s="52"/>
      <c r="E14" s="63" t="n">
        <f aca="false">D14*'Itens de Contrato'!F14</f>
        <v>0</v>
      </c>
      <c r="F14" s="62" t="n">
        <f aca="false">'Medição 10'!F14-'Medição 10'!G14</f>
        <v>0</v>
      </c>
      <c r="G14" s="52"/>
      <c r="H14" s="64" t="e">
        <f aca="false">G14/D14</f>
        <v>#DIV/0!</v>
      </c>
      <c r="I14" s="63" t="n">
        <f aca="false">G14*'Itens de Contrato'!F14</f>
        <v>0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 customFormat="false" ht="12.8" hidden="false" customHeight="false" outlineLevel="0" collapsed="false">
      <c r="A15" s="37" t="n">
        <f aca="false">'Itens de Contrato'!A15</f>
        <v>0</v>
      </c>
      <c r="B15" s="37" t="n">
        <f aca="false">'Itens de Contrato'!B15</f>
        <v>0</v>
      </c>
      <c r="C15" s="37" t="e">
        <f aca="false">VLOOKUP(B15,'Itens de Contrato'!B$5:G$151,2,0)</f>
        <v>#N/A</v>
      </c>
      <c r="D15" s="52"/>
      <c r="E15" s="63" t="n">
        <f aca="false">D15*'Itens de Contrato'!F15</f>
        <v>0</v>
      </c>
      <c r="F15" s="62" t="n">
        <f aca="false">'Medição 10'!F15-'Medição 10'!G15</f>
        <v>0</v>
      </c>
      <c r="G15" s="52"/>
      <c r="H15" s="64" t="e">
        <f aca="false">G15/D15</f>
        <v>#DIV/0!</v>
      </c>
      <c r="I15" s="63" t="n">
        <f aca="false">G15*'Itens de Contrato'!F15</f>
        <v>0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customFormat="false" ht="12.8" hidden="false" customHeight="false" outlineLevel="0" collapsed="false">
      <c r="A16" s="37" t="n">
        <f aca="false">'Itens de Contrato'!A16</f>
        <v>0</v>
      </c>
      <c r="B16" s="37" t="n">
        <f aca="false">'Itens de Contrato'!B16</f>
        <v>0</v>
      </c>
      <c r="C16" s="37" t="e">
        <f aca="false">VLOOKUP(B16,'Itens de Contrato'!B$5:G$151,2,0)</f>
        <v>#N/A</v>
      </c>
      <c r="D16" s="52"/>
      <c r="E16" s="63" t="n">
        <f aca="false">D16*'Itens de Contrato'!F16</f>
        <v>0</v>
      </c>
      <c r="F16" s="62" t="n">
        <f aca="false">'Medição 10'!F16-'Medição 10'!G16</f>
        <v>0</v>
      </c>
      <c r="G16" s="52"/>
      <c r="H16" s="64" t="e">
        <f aca="false">G16/D16</f>
        <v>#DIV/0!</v>
      </c>
      <c r="I16" s="63" t="n">
        <f aca="false">G16*'Itens de Contrato'!F16</f>
        <v>0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7" customFormat="false" ht="12.8" hidden="false" customHeight="false" outlineLevel="0" collapsed="false">
      <c r="A17" s="37" t="n">
        <f aca="false">'Itens de Contrato'!A17</f>
        <v>0</v>
      </c>
      <c r="B17" s="37" t="n">
        <f aca="false">'Itens de Contrato'!B17</f>
        <v>0</v>
      </c>
      <c r="C17" s="37" t="e">
        <f aca="false">VLOOKUP(B17,'Itens de Contrato'!B$5:G$151,2,0)</f>
        <v>#N/A</v>
      </c>
      <c r="D17" s="52"/>
      <c r="E17" s="63" t="n">
        <f aca="false">D17*'Itens de Contrato'!F17</f>
        <v>0</v>
      </c>
      <c r="F17" s="62" t="n">
        <f aca="false">'Medição 10'!F17-'Medição 10'!G17</f>
        <v>0</v>
      </c>
      <c r="G17" s="52"/>
      <c r="H17" s="64" t="e">
        <f aca="false">G17/D17</f>
        <v>#DIV/0!</v>
      </c>
      <c r="I17" s="63" t="n">
        <f aca="false">G17*'Itens de Contrato'!F17</f>
        <v>0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</row>
    <row r="18" customFormat="false" ht="12.8" hidden="false" customHeight="false" outlineLevel="0" collapsed="false">
      <c r="A18" s="37" t="n">
        <f aca="false">'Itens de Contrato'!A18</f>
        <v>0</v>
      </c>
      <c r="B18" s="37" t="n">
        <f aca="false">'Itens de Contrato'!B18</f>
        <v>0</v>
      </c>
      <c r="C18" s="37" t="e">
        <f aca="false">VLOOKUP(B18,'Itens de Contrato'!B$5:G$151,2,0)</f>
        <v>#N/A</v>
      </c>
      <c r="D18" s="52"/>
      <c r="E18" s="63" t="n">
        <f aca="false">D18*'Itens de Contrato'!F18</f>
        <v>0</v>
      </c>
      <c r="F18" s="62" t="n">
        <f aca="false">'Medição 10'!F18-'Medição 10'!G18</f>
        <v>0</v>
      </c>
      <c r="G18" s="52"/>
      <c r="H18" s="64" t="e">
        <f aca="false">G18/D18</f>
        <v>#DIV/0!</v>
      </c>
      <c r="I18" s="63" t="n">
        <f aca="false">G18*'Itens de Contrato'!F18</f>
        <v>0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</row>
    <row r="19" customFormat="false" ht="12.8" hidden="false" customHeight="false" outlineLevel="0" collapsed="false">
      <c r="A19" s="37" t="n">
        <f aca="false">'Itens de Contrato'!A19</f>
        <v>0</v>
      </c>
      <c r="B19" s="37" t="n">
        <f aca="false">'Itens de Contrato'!B19</f>
        <v>0</v>
      </c>
      <c r="C19" s="37" t="e">
        <f aca="false">VLOOKUP(B19,'Itens de Contrato'!B$5:G$151,2,0)</f>
        <v>#N/A</v>
      </c>
      <c r="D19" s="52"/>
      <c r="E19" s="63" t="n">
        <f aca="false">D19*'Itens de Contrato'!F19</f>
        <v>0</v>
      </c>
      <c r="F19" s="62" t="n">
        <f aca="false">'Medição 10'!F19-'Medição 10'!G19</f>
        <v>0</v>
      </c>
      <c r="G19" s="52"/>
      <c r="H19" s="64" t="e">
        <f aca="false">G19/D19</f>
        <v>#DIV/0!</v>
      </c>
      <c r="I19" s="63" t="n">
        <f aca="false">G19*'Itens de Contrato'!F19</f>
        <v>0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</row>
    <row r="20" customFormat="false" ht="12.8" hidden="false" customHeight="false" outlineLevel="0" collapsed="false">
      <c r="A20" s="37" t="n">
        <f aca="false">'Itens de Contrato'!A20</f>
        <v>0</v>
      </c>
      <c r="B20" s="37" t="n">
        <f aca="false">'Itens de Contrato'!B20</f>
        <v>0</v>
      </c>
      <c r="C20" s="37" t="e">
        <f aca="false">VLOOKUP(B20,'Itens de Contrato'!B$5:G$151,2,0)</f>
        <v>#N/A</v>
      </c>
      <c r="D20" s="52"/>
      <c r="E20" s="63" t="n">
        <f aca="false">D20*'Itens de Contrato'!F20</f>
        <v>0</v>
      </c>
      <c r="F20" s="62" t="n">
        <f aca="false">'Medição 10'!F20-'Medição 10'!G20</f>
        <v>0</v>
      </c>
      <c r="G20" s="52"/>
      <c r="H20" s="64" t="e">
        <f aca="false">G20/D20</f>
        <v>#DIV/0!</v>
      </c>
      <c r="I20" s="63" t="n">
        <f aca="false">G20*'Itens de Contrato'!F20</f>
        <v>0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</row>
    <row r="21" customFormat="false" ht="12.8" hidden="false" customHeight="false" outlineLevel="0" collapsed="false">
      <c r="A21" s="37" t="n">
        <f aca="false">'Itens de Contrato'!A21</f>
        <v>0</v>
      </c>
      <c r="B21" s="37" t="n">
        <f aca="false">'Itens de Contrato'!B21</f>
        <v>0</v>
      </c>
      <c r="C21" s="37" t="e">
        <f aca="false">VLOOKUP(B21,'Itens de Contrato'!B$5:G$151,2,0)</f>
        <v>#N/A</v>
      </c>
      <c r="D21" s="52"/>
      <c r="E21" s="63" t="n">
        <f aca="false">D21*'Itens de Contrato'!F21</f>
        <v>0</v>
      </c>
      <c r="F21" s="62" t="n">
        <f aca="false">'Medição 10'!F21-'Medição 10'!G21</f>
        <v>0</v>
      </c>
      <c r="G21" s="52"/>
      <c r="H21" s="64" t="e">
        <f aca="false">G21/D21</f>
        <v>#DIV/0!</v>
      </c>
      <c r="I21" s="63" t="n">
        <f aca="false">G21*'Itens de Contrato'!F21</f>
        <v>0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customFormat="false" ht="12.8" hidden="false" customHeight="false" outlineLevel="0" collapsed="false">
      <c r="A22" s="37" t="n">
        <f aca="false">'Itens de Contrato'!A22</f>
        <v>0</v>
      </c>
      <c r="B22" s="37" t="n">
        <f aca="false">'Itens de Contrato'!B22</f>
        <v>0</v>
      </c>
      <c r="C22" s="37" t="e">
        <f aca="false">VLOOKUP(B22,'Itens de Contrato'!B$5:G$151,2,0)</f>
        <v>#N/A</v>
      </c>
      <c r="D22" s="52"/>
      <c r="E22" s="63" t="n">
        <f aca="false">D22*'Itens de Contrato'!F22</f>
        <v>0</v>
      </c>
      <c r="F22" s="62" t="n">
        <f aca="false">'Medição 10'!F22-'Medição 10'!G22</f>
        <v>0</v>
      </c>
      <c r="G22" s="52"/>
      <c r="H22" s="64" t="e">
        <f aca="false">G22/D22</f>
        <v>#DIV/0!</v>
      </c>
      <c r="I22" s="63" t="n">
        <f aca="false">G22*'Itens de Contrato'!F22</f>
        <v>0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  <row r="23" customFormat="false" ht="12.8" hidden="false" customHeight="false" outlineLevel="0" collapsed="false">
      <c r="A23" s="37" t="n">
        <f aca="false">'Itens de Contrato'!A23</f>
        <v>0</v>
      </c>
      <c r="B23" s="37" t="n">
        <f aca="false">'Itens de Contrato'!B23</f>
        <v>0</v>
      </c>
      <c r="C23" s="37" t="e">
        <f aca="false">VLOOKUP(B23,'Itens de Contrato'!B$5:G$151,2,0)</f>
        <v>#N/A</v>
      </c>
      <c r="D23" s="52"/>
      <c r="E23" s="63" t="n">
        <f aca="false">D23*'Itens de Contrato'!F23</f>
        <v>0</v>
      </c>
      <c r="F23" s="62" t="n">
        <f aca="false">'Medição 10'!F23-'Medição 10'!G23</f>
        <v>0</v>
      </c>
      <c r="G23" s="52"/>
      <c r="H23" s="64" t="e">
        <f aca="false">G23/D23</f>
        <v>#DIV/0!</v>
      </c>
      <c r="I23" s="63" t="n">
        <f aca="false">G23*'Itens de Contrato'!F23</f>
        <v>0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</row>
    <row r="24" customFormat="false" ht="12.8" hidden="false" customHeight="false" outlineLevel="0" collapsed="false">
      <c r="A24" s="37" t="n">
        <f aca="false">'Itens de Contrato'!A24</f>
        <v>0</v>
      </c>
      <c r="B24" s="37" t="n">
        <f aca="false">'Itens de Contrato'!B24</f>
        <v>0</v>
      </c>
      <c r="C24" s="37" t="e">
        <f aca="false">VLOOKUP(B24,'Itens de Contrato'!B$5:G$151,2,0)</f>
        <v>#N/A</v>
      </c>
      <c r="D24" s="52"/>
      <c r="E24" s="63" t="n">
        <f aca="false">D24*'Itens de Contrato'!F24</f>
        <v>0</v>
      </c>
      <c r="F24" s="62" t="n">
        <f aca="false">'Medição 10'!F24-'Medição 10'!G24</f>
        <v>0</v>
      </c>
      <c r="G24" s="52"/>
      <c r="H24" s="64" t="e">
        <f aca="false">G24/D24</f>
        <v>#DIV/0!</v>
      </c>
      <c r="I24" s="63" t="n">
        <f aca="false">G24*'Itens de Contrato'!F24</f>
        <v>0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</row>
    <row r="25" customFormat="false" ht="12.8" hidden="false" customHeight="false" outlineLevel="0" collapsed="false">
      <c r="A25" s="37" t="n">
        <f aca="false">'Itens de Contrato'!A25</f>
        <v>0</v>
      </c>
      <c r="B25" s="37" t="n">
        <f aca="false">'Itens de Contrato'!B25</f>
        <v>0</v>
      </c>
      <c r="C25" s="37" t="e">
        <f aca="false">VLOOKUP(B25,'Itens de Contrato'!B$5:G$151,2,0)</f>
        <v>#N/A</v>
      </c>
      <c r="D25" s="52"/>
      <c r="E25" s="63" t="n">
        <f aca="false">D25*'Itens de Contrato'!F25</f>
        <v>0</v>
      </c>
      <c r="F25" s="62" t="n">
        <f aca="false">'Medição 10'!F25-'Medição 10'!G25</f>
        <v>0</v>
      </c>
      <c r="G25" s="52"/>
      <c r="H25" s="64" t="e">
        <f aca="false">G25/D25</f>
        <v>#DIV/0!</v>
      </c>
      <c r="I25" s="63" t="n">
        <f aca="false">G25*'Itens de Contrato'!F25</f>
        <v>0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</row>
    <row r="26" customFormat="false" ht="12.8" hidden="false" customHeight="false" outlineLevel="0" collapsed="false">
      <c r="A26" s="37" t="n">
        <f aca="false">'Itens de Contrato'!A26</f>
        <v>0</v>
      </c>
      <c r="B26" s="37" t="n">
        <f aca="false">'Itens de Contrato'!B26</f>
        <v>0</v>
      </c>
      <c r="C26" s="37" t="e">
        <f aca="false">VLOOKUP(B26,'Itens de Contrato'!B$5:G$151,2,0)</f>
        <v>#N/A</v>
      </c>
      <c r="D26" s="52"/>
      <c r="E26" s="63" t="n">
        <f aca="false">D26*'Itens de Contrato'!F26</f>
        <v>0</v>
      </c>
      <c r="F26" s="62" t="n">
        <f aca="false">'Medição 10'!F26-'Medição 10'!G26</f>
        <v>0</v>
      </c>
      <c r="G26" s="52"/>
      <c r="H26" s="64" t="e">
        <f aca="false">G26/D26</f>
        <v>#DIV/0!</v>
      </c>
      <c r="I26" s="63" t="n">
        <f aca="false">G26*'Itens de Contrato'!F26</f>
        <v>0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</row>
    <row r="27" customFormat="false" ht="12.8" hidden="false" customHeight="false" outlineLevel="0" collapsed="false">
      <c r="A27" s="37" t="n">
        <f aca="false">'Itens de Contrato'!A27</f>
        <v>0</v>
      </c>
      <c r="B27" s="37" t="n">
        <f aca="false">'Itens de Contrato'!B27</f>
        <v>0</v>
      </c>
      <c r="C27" s="37" t="e">
        <f aca="false">VLOOKUP(B27,'Itens de Contrato'!B$5:G$151,2,0)</f>
        <v>#N/A</v>
      </c>
      <c r="D27" s="52"/>
      <c r="E27" s="63" t="n">
        <f aca="false">D27*'Itens de Contrato'!F27</f>
        <v>0</v>
      </c>
      <c r="F27" s="62" t="n">
        <f aca="false">'Medição 10'!F27-'Medição 10'!G27</f>
        <v>0</v>
      </c>
      <c r="G27" s="52"/>
      <c r="H27" s="64" t="e">
        <f aca="false">G27/D27</f>
        <v>#DIV/0!</v>
      </c>
      <c r="I27" s="63" t="n">
        <f aca="false">G27*'Itens de Contrato'!F27</f>
        <v>0</v>
      </c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</row>
    <row r="28" customFormat="false" ht="12.8" hidden="false" customHeight="false" outlineLevel="0" collapsed="false">
      <c r="A28" s="37" t="n">
        <f aca="false">'Itens de Contrato'!A28</f>
        <v>0</v>
      </c>
      <c r="B28" s="37" t="n">
        <f aca="false">'Itens de Contrato'!B28</f>
        <v>0</v>
      </c>
      <c r="C28" s="37" t="e">
        <f aca="false">VLOOKUP(B28,'Itens de Contrato'!B$5:G$151,2,0)</f>
        <v>#N/A</v>
      </c>
      <c r="D28" s="52"/>
      <c r="E28" s="63" t="n">
        <f aca="false">D28*'Itens de Contrato'!F28</f>
        <v>0</v>
      </c>
      <c r="F28" s="62" t="n">
        <f aca="false">'Medição 10'!F28-'Medição 10'!G28</f>
        <v>0</v>
      </c>
      <c r="G28" s="52"/>
      <c r="H28" s="64" t="e">
        <f aca="false">G28/D28</f>
        <v>#DIV/0!</v>
      </c>
      <c r="I28" s="63" t="n">
        <f aca="false">G28*'Itens de Contrato'!F28</f>
        <v>0</v>
      </c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customFormat="false" ht="12.8" hidden="false" customHeight="false" outlineLevel="0" collapsed="false">
      <c r="A29" s="37" t="n">
        <f aca="false">'Itens de Contrato'!A29</f>
        <v>0</v>
      </c>
      <c r="B29" s="37" t="n">
        <f aca="false">'Itens de Contrato'!B29</f>
        <v>0</v>
      </c>
      <c r="C29" s="37" t="e">
        <f aca="false">VLOOKUP(B29,'Itens de Contrato'!B$5:G$151,2,0)</f>
        <v>#N/A</v>
      </c>
      <c r="D29" s="52"/>
      <c r="E29" s="63" t="n">
        <f aca="false">D29*'Itens de Contrato'!F29</f>
        <v>0</v>
      </c>
      <c r="F29" s="62" t="n">
        <f aca="false">'Medição 10'!F29-'Medição 10'!G29</f>
        <v>0</v>
      </c>
      <c r="G29" s="52"/>
      <c r="H29" s="64" t="e">
        <f aca="false">G29/D29</f>
        <v>#DIV/0!</v>
      </c>
      <c r="I29" s="63" t="n">
        <f aca="false">G29*'Itens de Contrato'!F29</f>
        <v>0</v>
      </c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</row>
    <row r="30" customFormat="false" ht="12.8" hidden="false" customHeight="false" outlineLevel="0" collapsed="false">
      <c r="A30" s="37" t="n">
        <f aca="false">'Itens de Contrato'!A30</f>
        <v>0</v>
      </c>
      <c r="B30" s="37" t="n">
        <f aca="false">'Itens de Contrato'!B30</f>
        <v>0</v>
      </c>
      <c r="C30" s="37" t="e">
        <f aca="false">VLOOKUP(B30,'Itens de Contrato'!B$5:G$151,2,0)</f>
        <v>#N/A</v>
      </c>
      <c r="D30" s="52"/>
      <c r="E30" s="63" t="n">
        <f aca="false">D30*'Itens de Contrato'!F30</f>
        <v>0</v>
      </c>
      <c r="F30" s="62" t="n">
        <f aca="false">'Medição 10'!F30-'Medição 10'!G30</f>
        <v>0</v>
      </c>
      <c r="G30" s="52"/>
      <c r="H30" s="64" t="e">
        <f aca="false">G30/D30</f>
        <v>#DIV/0!</v>
      </c>
      <c r="I30" s="63" t="n">
        <f aca="false">G30*'Itens de Contrato'!F30</f>
        <v>0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</row>
    <row r="31" customFormat="false" ht="12.8" hidden="false" customHeight="false" outlineLevel="0" collapsed="false">
      <c r="A31" s="37" t="n">
        <f aca="false">'Itens de Contrato'!A31</f>
        <v>0</v>
      </c>
      <c r="B31" s="37" t="n">
        <f aca="false">'Itens de Contrato'!B31</f>
        <v>0</v>
      </c>
      <c r="C31" s="37" t="e">
        <f aca="false">VLOOKUP(B31,'Itens de Contrato'!B$5:G$151,2,0)</f>
        <v>#N/A</v>
      </c>
      <c r="D31" s="52"/>
      <c r="E31" s="63" t="n">
        <f aca="false">D31*'Itens de Contrato'!F31</f>
        <v>0</v>
      </c>
      <c r="F31" s="62" t="n">
        <f aca="false">'Medição 10'!F31-'Medição 10'!G31</f>
        <v>0</v>
      </c>
      <c r="G31" s="52"/>
      <c r="H31" s="64" t="e">
        <f aca="false">G31/D31</f>
        <v>#DIV/0!</v>
      </c>
      <c r="I31" s="63" t="n">
        <f aca="false">G31*'Itens de Contrato'!F31</f>
        <v>0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customFormat="false" ht="12.8" hidden="false" customHeight="false" outlineLevel="0" collapsed="false">
      <c r="A32" s="37" t="n">
        <f aca="false">'Itens de Contrato'!A32</f>
        <v>0</v>
      </c>
      <c r="B32" s="37" t="n">
        <f aca="false">'Itens de Contrato'!B32</f>
        <v>0</v>
      </c>
      <c r="C32" s="37" t="e">
        <f aca="false">VLOOKUP(B32,'Itens de Contrato'!B$5:G$151,2,0)</f>
        <v>#N/A</v>
      </c>
      <c r="D32" s="52"/>
      <c r="E32" s="63" t="n">
        <f aca="false">D32*'Itens de Contrato'!F32</f>
        <v>0</v>
      </c>
      <c r="F32" s="62" t="n">
        <f aca="false">'Medição 10'!F32-'Medição 10'!G32</f>
        <v>0</v>
      </c>
      <c r="G32" s="52"/>
      <c r="H32" s="64" t="e">
        <f aca="false">G32/D32</f>
        <v>#DIV/0!</v>
      </c>
      <c r="I32" s="63" t="n">
        <f aca="false">G32*'Itens de Contrato'!F32</f>
        <v>0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customFormat="false" ht="12.8" hidden="false" customHeight="false" outlineLevel="0" collapsed="false">
      <c r="A33" s="37" t="n">
        <f aca="false">'Itens de Contrato'!A33</f>
        <v>0</v>
      </c>
      <c r="B33" s="37" t="n">
        <f aca="false">'Itens de Contrato'!B33</f>
        <v>0</v>
      </c>
      <c r="C33" s="37" t="e">
        <f aca="false">VLOOKUP(B33,'Itens de Contrato'!B$5:G$151,2,0)</f>
        <v>#N/A</v>
      </c>
      <c r="D33" s="52"/>
      <c r="E33" s="63" t="n">
        <f aca="false">D33*'Itens de Contrato'!F33</f>
        <v>0</v>
      </c>
      <c r="F33" s="62" t="n">
        <f aca="false">'Medição 10'!F33-'Medição 10'!G33</f>
        <v>0</v>
      </c>
      <c r="G33" s="52"/>
      <c r="H33" s="64" t="e">
        <f aca="false">G33/D33</f>
        <v>#DIV/0!</v>
      </c>
      <c r="I33" s="63" t="n">
        <f aca="false">G33*'Itens de Contrato'!F33</f>
        <v>0</v>
      </c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customFormat="false" ht="12.8" hidden="false" customHeight="false" outlineLevel="0" collapsed="false">
      <c r="A34" s="37" t="n">
        <f aca="false">'Itens de Contrato'!A34</f>
        <v>0</v>
      </c>
      <c r="B34" s="37" t="n">
        <f aca="false">'Itens de Contrato'!B34</f>
        <v>0</v>
      </c>
      <c r="C34" s="37" t="e">
        <f aca="false">VLOOKUP(B34,'Itens de Contrato'!B$5:G$151,2,0)</f>
        <v>#N/A</v>
      </c>
      <c r="D34" s="52"/>
      <c r="E34" s="63" t="n">
        <f aca="false">D34*'Itens de Contrato'!F34</f>
        <v>0</v>
      </c>
      <c r="F34" s="62" t="n">
        <f aca="false">'Medição 10'!F34-'Medição 10'!G34</f>
        <v>0</v>
      </c>
      <c r="G34" s="52"/>
      <c r="H34" s="64" t="e">
        <f aca="false">G34/D34</f>
        <v>#DIV/0!</v>
      </c>
      <c r="I34" s="63" t="n">
        <f aca="false">G34*'Itens de Contrato'!F34</f>
        <v>0</v>
      </c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</row>
    <row r="35" customFormat="false" ht="12.8" hidden="false" customHeight="false" outlineLevel="0" collapsed="false">
      <c r="A35" s="37" t="n">
        <f aca="false">'Itens de Contrato'!A35</f>
        <v>0</v>
      </c>
      <c r="B35" s="37" t="n">
        <f aca="false">'Itens de Contrato'!B35</f>
        <v>0</v>
      </c>
      <c r="C35" s="37" t="e">
        <f aca="false">VLOOKUP(B35,'Itens de Contrato'!B$5:G$151,2,0)</f>
        <v>#N/A</v>
      </c>
      <c r="D35" s="52"/>
      <c r="E35" s="63" t="n">
        <f aca="false">D35*'Itens de Contrato'!F35</f>
        <v>0</v>
      </c>
      <c r="F35" s="62" t="n">
        <f aca="false">'Medição 10'!F35-'Medição 10'!G35</f>
        <v>0</v>
      </c>
      <c r="G35" s="52"/>
      <c r="H35" s="64" t="e">
        <f aca="false">G35/D35</f>
        <v>#DIV/0!</v>
      </c>
      <c r="I35" s="63" t="n">
        <f aca="false">G35*'Itens de Contrato'!F35</f>
        <v>0</v>
      </c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</row>
    <row r="36" customFormat="false" ht="12.8" hidden="false" customHeight="false" outlineLevel="0" collapsed="false">
      <c r="A36" s="37" t="n">
        <f aca="false">'Itens de Contrato'!A36</f>
        <v>0</v>
      </c>
      <c r="B36" s="37" t="n">
        <f aca="false">'Itens de Contrato'!B36</f>
        <v>0</v>
      </c>
      <c r="C36" s="37" t="e">
        <f aca="false">VLOOKUP(B36,'Itens de Contrato'!B$5:G$151,2,0)</f>
        <v>#N/A</v>
      </c>
      <c r="D36" s="52"/>
      <c r="E36" s="63" t="n">
        <f aca="false">D36*'Itens de Contrato'!F36</f>
        <v>0</v>
      </c>
      <c r="F36" s="62" t="n">
        <f aca="false">'Medição 10'!F36-'Medição 10'!G36</f>
        <v>0</v>
      </c>
      <c r="G36" s="52"/>
      <c r="H36" s="64" t="e">
        <f aca="false">G36/D36</f>
        <v>#DIV/0!</v>
      </c>
      <c r="I36" s="63" t="n">
        <f aca="false">G36*'Itens de Contrato'!F36</f>
        <v>0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customFormat="false" ht="12.8" hidden="false" customHeight="false" outlineLevel="0" collapsed="false">
      <c r="A37" s="37" t="n">
        <f aca="false">'Itens de Contrato'!A37</f>
        <v>0</v>
      </c>
      <c r="B37" s="37" t="n">
        <f aca="false">'Itens de Contrato'!B37</f>
        <v>0</v>
      </c>
      <c r="C37" s="37" t="e">
        <f aca="false">VLOOKUP(B37,'Itens de Contrato'!B$5:G$151,2,0)</f>
        <v>#N/A</v>
      </c>
      <c r="D37" s="52"/>
      <c r="E37" s="63" t="n">
        <f aca="false">D37*'Itens de Contrato'!F37</f>
        <v>0</v>
      </c>
      <c r="F37" s="62" t="n">
        <f aca="false">'Medição 10'!F37-'Medição 10'!G37</f>
        <v>0</v>
      </c>
      <c r="G37" s="52"/>
      <c r="H37" s="64" t="e">
        <f aca="false">G37/D37</f>
        <v>#DIV/0!</v>
      </c>
      <c r="I37" s="63" t="n">
        <f aca="false">G37*'Itens de Contrato'!F37</f>
        <v>0</v>
      </c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customFormat="false" ht="12.8" hidden="false" customHeight="false" outlineLevel="0" collapsed="false">
      <c r="A38" s="37" t="n">
        <f aca="false">'Itens de Contrato'!A38</f>
        <v>0</v>
      </c>
      <c r="B38" s="37" t="n">
        <f aca="false">'Itens de Contrato'!B38</f>
        <v>0</v>
      </c>
      <c r="C38" s="37" t="e">
        <f aca="false">VLOOKUP(B38,'Itens de Contrato'!B$5:G$151,2,0)</f>
        <v>#N/A</v>
      </c>
      <c r="D38" s="52"/>
      <c r="E38" s="63" t="n">
        <f aca="false">D38*'Itens de Contrato'!F38</f>
        <v>0</v>
      </c>
      <c r="F38" s="62" t="n">
        <f aca="false">'Medição 10'!F38-'Medição 10'!G38</f>
        <v>0</v>
      </c>
      <c r="G38" s="52"/>
      <c r="H38" s="64" t="e">
        <f aca="false">G38/D38</f>
        <v>#DIV/0!</v>
      </c>
      <c r="I38" s="63" t="n">
        <f aca="false">G38*'Itens de Contrato'!F38</f>
        <v>0</v>
      </c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customFormat="false" ht="12.8" hidden="false" customHeight="false" outlineLevel="0" collapsed="false">
      <c r="A39" s="37" t="n">
        <f aca="false">'Itens de Contrato'!A39</f>
        <v>0</v>
      </c>
      <c r="B39" s="37" t="n">
        <f aca="false">'Itens de Contrato'!B39</f>
        <v>0</v>
      </c>
      <c r="C39" s="37" t="e">
        <f aca="false">VLOOKUP(B39,'Itens de Contrato'!B$5:G$151,2,0)</f>
        <v>#N/A</v>
      </c>
      <c r="D39" s="52"/>
      <c r="E39" s="63" t="n">
        <f aca="false">D39*'Itens de Contrato'!F39</f>
        <v>0</v>
      </c>
      <c r="F39" s="62" t="n">
        <f aca="false">'Medição 10'!F39-'Medição 10'!G39</f>
        <v>0</v>
      </c>
      <c r="G39" s="52"/>
      <c r="H39" s="64" t="e">
        <f aca="false">G39/D39</f>
        <v>#DIV/0!</v>
      </c>
      <c r="I39" s="63" t="n">
        <f aca="false">G39*'Itens de Contrato'!F39</f>
        <v>0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customFormat="false" ht="12.8" hidden="false" customHeight="false" outlineLevel="0" collapsed="false">
      <c r="A40" s="37" t="n">
        <f aca="false">'Itens de Contrato'!A40</f>
        <v>0</v>
      </c>
      <c r="B40" s="37" t="n">
        <f aca="false">'Itens de Contrato'!B40</f>
        <v>0</v>
      </c>
      <c r="C40" s="37" t="e">
        <f aca="false">VLOOKUP(B40,'Itens de Contrato'!B$5:G$151,2,0)</f>
        <v>#N/A</v>
      </c>
      <c r="D40" s="52"/>
      <c r="E40" s="63" t="n">
        <f aca="false">D40*'Itens de Contrato'!F40</f>
        <v>0</v>
      </c>
      <c r="F40" s="62" t="n">
        <f aca="false">'Medição 10'!F40-'Medição 10'!G40</f>
        <v>0</v>
      </c>
      <c r="G40" s="52"/>
      <c r="H40" s="64" t="e">
        <f aca="false">G40/D40</f>
        <v>#DIV/0!</v>
      </c>
      <c r="I40" s="63" t="n">
        <f aca="false">G40*'Itens de Contrato'!F40</f>
        <v>0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customFormat="false" ht="12.8" hidden="false" customHeight="false" outlineLevel="0" collapsed="false">
      <c r="A41" s="37" t="n">
        <f aca="false">'Itens de Contrato'!A41</f>
        <v>0</v>
      </c>
      <c r="B41" s="37" t="n">
        <f aca="false">'Itens de Contrato'!B41</f>
        <v>0</v>
      </c>
      <c r="C41" s="37" t="e">
        <f aca="false">VLOOKUP(B41,'Itens de Contrato'!B$5:G$151,2,0)</f>
        <v>#N/A</v>
      </c>
      <c r="D41" s="52"/>
      <c r="E41" s="63" t="n">
        <f aca="false">D41*'Itens de Contrato'!F41</f>
        <v>0</v>
      </c>
      <c r="F41" s="62" t="n">
        <f aca="false">'Medição 10'!F41-'Medição 10'!G41</f>
        <v>0</v>
      </c>
      <c r="G41" s="52"/>
      <c r="H41" s="64" t="e">
        <f aca="false">G41/D41</f>
        <v>#DIV/0!</v>
      </c>
      <c r="I41" s="63" t="n">
        <f aca="false">G41*'Itens de Contrato'!F41</f>
        <v>0</v>
      </c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customFormat="false" ht="12.8" hidden="false" customHeight="false" outlineLevel="0" collapsed="false">
      <c r="A42" s="37" t="n">
        <f aca="false">'Itens de Contrato'!A42</f>
        <v>0</v>
      </c>
      <c r="B42" s="37" t="n">
        <f aca="false">'Itens de Contrato'!B42</f>
        <v>0</v>
      </c>
      <c r="C42" s="37" t="e">
        <f aca="false">VLOOKUP(B42,'Itens de Contrato'!B$5:G$151,2,0)</f>
        <v>#N/A</v>
      </c>
      <c r="D42" s="52"/>
      <c r="E42" s="63" t="n">
        <f aca="false">D42*'Itens de Contrato'!F42</f>
        <v>0</v>
      </c>
      <c r="F42" s="62" t="n">
        <f aca="false">'Medição 10'!F42-'Medição 10'!G42</f>
        <v>0</v>
      </c>
      <c r="G42" s="52"/>
      <c r="H42" s="64" t="e">
        <f aca="false">G42/D42</f>
        <v>#DIV/0!</v>
      </c>
      <c r="I42" s="63" t="n">
        <f aca="false">G42*'Itens de Contrato'!F42</f>
        <v>0</v>
      </c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customFormat="false" ht="12.8" hidden="false" customHeight="false" outlineLevel="0" collapsed="false">
      <c r="A43" s="37" t="n">
        <f aca="false">'Itens de Contrato'!A43</f>
        <v>0</v>
      </c>
      <c r="B43" s="37" t="n">
        <f aca="false">'Itens de Contrato'!B43</f>
        <v>0</v>
      </c>
      <c r="C43" s="37" t="e">
        <f aca="false">VLOOKUP(B43,'Itens de Contrato'!B$5:G$151,2,0)</f>
        <v>#N/A</v>
      </c>
      <c r="D43" s="52"/>
      <c r="E43" s="63" t="n">
        <f aca="false">D43*'Itens de Contrato'!F43</f>
        <v>0</v>
      </c>
      <c r="F43" s="62" t="n">
        <f aca="false">'Medição 10'!F43-'Medição 10'!G43</f>
        <v>0</v>
      </c>
      <c r="G43" s="52"/>
      <c r="H43" s="64" t="e">
        <f aca="false">G43/D43</f>
        <v>#DIV/0!</v>
      </c>
      <c r="I43" s="63" t="n">
        <f aca="false">G43*'Itens de Contrato'!F43</f>
        <v>0</v>
      </c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customFormat="false" ht="12.8" hidden="false" customHeight="false" outlineLevel="0" collapsed="false">
      <c r="A44" s="37" t="n">
        <f aca="false">'Itens de Contrato'!A44</f>
        <v>0</v>
      </c>
      <c r="B44" s="37" t="n">
        <f aca="false">'Itens de Contrato'!B44</f>
        <v>0</v>
      </c>
      <c r="C44" s="37" t="e">
        <f aca="false">VLOOKUP(B44,'Itens de Contrato'!B$5:G$151,2,0)</f>
        <v>#N/A</v>
      </c>
      <c r="D44" s="52"/>
      <c r="E44" s="63" t="n">
        <f aca="false">D44*'Itens de Contrato'!F44</f>
        <v>0</v>
      </c>
      <c r="F44" s="62" t="n">
        <f aca="false">'Medição 10'!F44-'Medição 10'!G44</f>
        <v>0</v>
      </c>
      <c r="G44" s="52"/>
      <c r="H44" s="64" t="e">
        <f aca="false">G44/D44</f>
        <v>#DIV/0!</v>
      </c>
      <c r="I44" s="63" t="n">
        <f aca="false">G44*'Itens de Contrato'!F44</f>
        <v>0</v>
      </c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customFormat="false" ht="12.8" hidden="false" customHeight="false" outlineLevel="0" collapsed="false">
      <c r="A45" s="37" t="n">
        <f aca="false">'Itens de Contrato'!A45</f>
        <v>0</v>
      </c>
      <c r="B45" s="37" t="n">
        <f aca="false">'Itens de Contrato'!B45</f>
        <v>0</v>
      </c>
      <c r="C45" s="37" t="e">
        <f aca="false">VLOOKUP(B45,'Itens de Contrato'!B$5:G$151,2,0)</f>
        <v>#N/A</v>
      </c>
      <c r="D45" s="52"/>
      <c r="E45" s="63" t="n">
        <f aca="false">D45*'Itens de Contrato'!F45</f>
        <v>0</v>
      </c>
      <c r="F45" s="62" t="n">
        <f aca="false">'Medição 10'!F45-'Medição 10'!G45</f>
        <v>0</v>
      </c>
      <c r="G45" s="52"/>
      <c r="H45" s="64" t="e">
        <f aca="false">G45/D45</f>
        <v>#DIV/0!</v>
      </c>
      <c r="I45" s="63" t="n">
        <f aca="false">G45*'Itens de Contrato'!F45</f>
        <v>0</v>
      </c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customFormat="false" ht="12.8" hidden="false" customHeight="false" outlineLevel="0" collapsed="false">
      <c r="A46" s="37" t="n">
        <f aca="false">'Itens de Contrato'!A46</f>
        <v>0</v>
      </c>
      <c r="B46" s="37" t="n">
        <f aca="false">'Itens de Contrato'!B46</f>
        <v>0</v>
      </c>
      <c r="C46" s="37" t="e">
        <f aca="false">VLOOKUP(B46,'Itens de Contrato'!B$5:G$151,2,0)</f>
        <v>#N/A</v>
      </c>
      <c r="D46" s="52"/>
      <c r="E46" s="63" t="n">
        <f aca="false">D46*'Itens de Contrato'!F46</f>
        <v>0</v>
      </c>
      <c r="F46" s="62" t="n">
        <f aca="false">'Medição 10'!F46-'Medição 10'!G46</f>
        <v>0</v>
      </c>
      <c r="G46" s="52"/>
      <c r="H46" s="64" t="e">
        <f aca="false">G46/D46</f>
        <v>#DIV/0!</v>
      </c>
      <c r="I46" s="63" t="n">
        <f aca="false">G46*'Itens de Contrato'!F46</f>
        <v>0</v>
      </c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customFormat="false" ht="12.8" hidden="false" customHeight="false" outlineLevel="0" collapsed="false">
      <c r="A47" s="37" t="n">
        <f aca="false">'Itens de Contrato'!A47</f>
        <v>0</v>
      </c>
      <c r="B47" s="37" t="n">
        <f aca="false">'Itens de Contrato'!B47</f>
        <v>0</v>
      </c>
      <c r="C47" s="37" t="e">
        <f aca="false">VLOOKUP(B47,'Itens de Contrato'!B$5:G$151,2,0)</f>
        <v>#N/A</v>
      </c>
      <c r="D47" s="52"/>
      <c r="E47" s="63" t="n">
        <f aca="false">D47*'Itens de Contrato'!F47</f>
        <v>0</v>
      </c>
      <c r="F47" s="62" t="n">
        <f aca="false">'Medição 10'!F47-'Medição 10'!G47</f>
        <v>0</v>
      </c>
      <c r="G47" s="52"/>
      <c r="H47" s="64" t="e">
        <f aca="false">G47/D47</f>
        <v>#DIV/0!</v>
      </c>
      <c r="I47" s="63" t="n">
        <f aca="false">G47*'Itens de Contrato'!F47</f>
        <v>0</v>
      </c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customFormat="false" ht="12.8" hidden="false" customHeight="false" outlineLevel="0" collapsed="false">
      <c r="A48" s="37" t="n">
        <f aca="false">'Itens de Contrato'!A48</f>
        <v>0</v>
      </c>
      <c r="B48" s="37" t="n">
        <f aca="false">'Itens de Contrato'!B48</f>
        <v>0</v>
      </c>
      <c r="C48" s="37" t="e">
        <f aca="false">VLOOKUP(B48,'Itens de Contrato'!B$5:G$151,2,0)</f>
        <v>#N/A</v>
      </c>
      <c r="D48" s="52"/>
      <c r="E48" s="63" t="n">
        <f aca="false">D48*'Itens de Contrato'!F48</f>
        <v>0</v>
      </c>
      <c r="F48" s="62" t="n">
        <f aca="false">'Medição 10'!F48-'Medição 10'!G48</f>
        <v>0</v>
      </c>
      <c r="G48" s="52"/>
      <c r="H48" s="64" t="e">
        <f aca="false">G48/D48</f>
        <v>#DIV/0!</v>
      </c>
      <c r="I48" s="63" t="n">
        <f aca="false">G48*'Itens de Contrato'!F48</f>
        <v>0</v>
      </c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customFormat="false" ht="12.8" hidden="false" customHeight="false" outlineLevel="0" collapsed="false">
      <c r="A49" s="37" t="n">
        <f aca="false">'Itens de Contrato'!A49</f>
        <v>0</v>
      </c>
      <c r="B49" s="37" t="n">
        <f aca="false">'Itens de Contrato'!B49</f>
        <v>0</v>
      </c>
      <c r="C49" s="37" t="e">
        <f aca="false">VLOOKUP(B49,'Itens de Contrato'!B$5:G$151,2,0)</f>
        <v>#N/A</v>
      </c>
      <c r="D49" s="52"/>
      <c r="E49" s="63" t="n">
        <f aca="false">D49*'Itens de Contrato'!F49</f>
        <v>0</v>
      </c>
      <c r="F49" s="62" t="n">
        <f aca="false">'Medição 10'!F49-'Medição 10'!G49</f>
        <v>0</v>
      </c>
      <c r="G49" s="52"/>
      <c r="H49" s="64" t="e">
        <f aca="false">G49/D49</f>
        <v>#DIV/0!</v>
      </c>
      <c r="I49" s="63" t="n">
        <f aca="false">G49*'Itens de Contrato'!F49</f>
        <v>0</v>
      </c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customFormat="false" ht="12.8" hidden="false" customHeight="false" outlineLevel="0" collapsed="false">
      <c r="A50" s="37" t="n">
        <f aca="false">'Itens de Contrato'!A50</f>
        <v>0</v>
      </c>
      <c r="B50" s="37" t="n">
        <f aca="false">'Itens de Contrato'!B50</f>
        <v>0</v>
      </c>
      <c r="C50" s="37" t="e">
        <f aca="false">VLOOKUP(B50,'Itens de Contrato'!B$5:G$151,2,0)</f>
        <v>#N/A</v>
      </c>
      <c r="D50" s="52"/>
      <c r="E50" s="63" t="n">
        <f aca="false">D50*'Itens de Contrato'!F50</f>
        <v>0</v>
      </c>
      <c r="F50" s="62" t="n">
        <f aca="false">'Medição 10'!F50-'Medição 10'!G50</f>
        <v>0</v>
      </c>
      <c r="G50" s="52"/>
      <c r="H50" s="64" t="e">
        <f aca="false">G50/D50</f>
        <v>#DIV/0!</v>
      </c>
      <c r="I50" s="63" t="n">
        <f aca="false">G50*'Itens de Contrato'!F50</f>
        <v>0</v>
      </c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customFormat="false" ht="12.8" hidden="false" customHeight="false" outlineLevel="0" collapsed="false">
      <c r="A51" s="37" t="n">
        <f aca="false">'Itens de Contrato'!A51</f>
        <v>0</v>
      </c>
      <c r="B51" s="37" t="n">
        <f aca="false">'Itens de Contrato'!B51</f>
        <v>0</v>
      </c>
      <c r="C51" s="37" t="e">
        <f aca="false">VLOOKUP(B51,'Itens de Contrato'!B$5:G$151,2,0)</f>
        <v>#N/A</v>
      </c>
      <c r="D51" s="52"/>
      <c r="E51" s="63" t="n">
        <f aca="false">D51*'Itens de Contrato'!F51</f>
        <v>0</v>
      </c>
      <c r="F51" s="62" t="n">
        <f aca="false">'Medição 10'!F51-'Medição 10'!G51</f>
        <v>0</v>
      </c>
      <c r="G51" s="52"/>
      <c r="H51" s="64" t="e">
        <f aca="false">G51/D51</f>
        <v>#DIV/0!</v>
      </c>
      <c r="I51" s="63" t="n">
        <f aca="false">G51*'Itens de Contrato'!F51</f>
        <v>0</v>
      </c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customFormat="false" ht="12.8" hidden="false" customHeight="false" outlineLevel="0" collapsed="false">
      <c r="A52" s="37" t="n">
        <f aca="false">'Itens de Contrato'!A52</f>
        <v>0</v>
      </c>
      <c r="B52" s="37" t="n">
        <f aca="false">'Itens de Contrato'!B52</f>
        <v>0</v>
      </c>
      <c r="C52" s="37" t="e">
        <f aca="false">VLOOKUP(B52,'Itens de Contrato'!B$5:G$151,2,0)</f>
        <v>#N/A</v>
      </c>
      <c r="D52" s="52"/>
      <c r="E52" s="63" t="n">
        <f aca="false">D52*'Itens de Contrato'!F52</f>
        <v>0</v>
      </c>
      <c r="F52" s="62" t="n">
        <f aca="false">'Medição 10'!F52-'Medição 10'!G52</f>
        <v>0</v>
      </c>
      <c r="G52" s="52"/>
      <c r="H52" s="64" t="e">
        <f aca="false">G52/D52</f>
        <v>#DIV/0!</v>
      </c>
      <c r="I52" s="63" t="n">
        <f aca="false">G52*'Itens de Contrato'!F52</f>
        <v>0</v>
      </c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customFormat="false" ht="12.8" hidden="false" customHeight="false" outlineLevel="0" collapsed="false">
      <c r="A53" s="37" t="n">
        <f aca="false">'Itens de Contrato'!A53</f>
        <v>0</v>
      </c>
      <c r="B53" s="37" t="n">
        <f aca="false">'Itens de Contrato'!B53</f>
        <v>0</v>
      </c>
      <c r="C53" s="37" t="e">
        <f aca="false">VLOOKUP(B53,'Itens de Contrato'!B$5:G$151,2,0)</f>
        <v>#N/A</v>
      </c>
      <c r="D53" s="52"/>
      <c r="E53" s="63" t="n">
        <f aca="false">D53*'Itens de Contrato'!F53</f>
        <v>0</v>
      </c>
      <c r="F53" s="62" t="n">
        <f aca="false">'Medição 10'!F53-'Medição 10'!G53</f>
        <v>0</v>
      </c>
      <c r="G53" s="52"/>
      <c r="H53" s="64" t="e">
        <f aca="false">G53/D53</f>
        <v>#DIV/0!</v>
      </c>
      <c r="I53" s="63" t="n">
        <f aca="false">G53*'Itens de Contrato'!F53</f>
        <v>0</v>
      </c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customFormat="false" ht="12.8" hidden="false" customHeight="false" outlineLevel="0" collapsed="false">
      <c r="A54" s="37" t="n">
        <f aca="false">'Itens de Contrato'!A54</f>
        <v>0</v>
      </c>
      <c r="B54" s="37" t="n">
        <f aca="false">'Itens de Contrato'!B54</f>
        <v>0</v>
      </c>
      <c r="C54" s="37" t="e">
        <f aca="false">VLOOKUP(B54,'Itens de Contrato'!B$5:G$151,2,0)</f>
        <v>#N/A</v>
      </c>
      <c r="D54" s="52"/>
      <c r="E54" s="63" t="n">
        <f aca="false">D54*'Itens de Contrato'!F54</f>
        <v>0</v>
      </c>
      <c r="F54" s="62" t="n">
        <f aca="false">'Medição 10'!F54-'Medição 10'!G54</f>
        <v>0</v>
      </c>
      <c r="G54" s="52"/>
      <c r="H54" s="64" t="e">
        <f aca="false">G54/D54</f>
        <v>#DIV/0!</v>
      </c>
      <c r="I54" s="63" t="n">
        <f aca="false">G54*'Itens de Contrato'!F54</f>
        <v>0</v>
      </c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customFormat="false" ht="12.8" hidden="false" customHeight="false" outlineLevel="0" collapsed="false">
      <c r="A55" s="37" t="n">
        <f aca="false">'Itens de Contrato'!A55</f>
        <v>0</v>
      </c>
      <c r="B55" s="37" t="n">
        <f aca="false">'Itens de Contrato'!B55</f>
        <v>0</v>
      </c>
      <c r="C55" s="37" t="e">
        <f aca="false">VLOOKUP(B55,'Itens de Contrato'!B$5:G$151,2,0)</f>
        <v>#N/A</v>
      </c>
      <c r="D55" s="52"/>
      <c r="E55" s="63" t="n">
        <f aca="false">D55*'Itens de Contrato'!F55</f>
        <v>0</v>
      </c>
      <c r="F55" s="62" t="n">
        <f aca="false">'Medição 10'!F55-'Medição 10'!G55</f>
        <v>0</v>
      </c>
      <c r="G55" s="52"/>
      <c r="H55" s="64" t="e">
        <f aca="false">G55/D55</f>
        <v>#DIV/0!</v>
      </c>
      <c r="I55" s="63" t="n">
        <f aca="false">G55*'Itens de Contrato'!F55</f>
        <v>0</v>
      </c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customFormat="false" ht="12.8" hidden="false" customHeight="false" outlineLevel="0" collapsed="false">
      <c r="A56" s="37" t="n">
        <f aca="false">'Itens de Contrato'!A56</f>
        <v>0</v>
      </c>
      <c r="B56" s="37" t="n">
        <f aca="false">'Itens de Contrato'!B56</f>
        <v>0</v>
      </c>
      <c r="C56" s="37" t="e">
        <f aca="false">VLOOKUP(B56,'Itens de Contrato'!B$5:G$151,2,0)</f>
        <v>#N/A</v>
      </c>
      <c r="D56" s="52"/>
      <c r="E56" s="63" t="n">
        <f aca="false">D56*'Itens de Contrato'!F56</f>
        <v>0</v>
      </c>
      <c r="F56" s="62" t="n">
        <f aca="false">'Medição 10'!F56-'Medição 10'!G56</f>
        <v>0</v>
      </c>
      <c r="G56" s="52"/>
      <c r="H56" s="64" t="e">
        <f aca="false">G56/D56</f>
        <v>#DIV/0!</v>
      </c>
      <c r="I56" s="63" t="n">
        <f aca="false">G56*'Itens de Contrato'!F56</f>
        <v>0</v>
      </c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customFormat="false" ht="12.8" hidden="false" customHeight="false" outlineLevel="0" collapsed="false">
      <c r="A57" s="37" t="n">
        <f aca="false">'Itens de Contrato'!A57</f>
        <v>0</v>
      </c>
      <c r="B57" s="37" t="n">
        <f aca="false">'Itens de Contrato'!B57</f>
        <v>0</v>
      </c>
      <c r="C57" s="37" t="e">
        <f aca="false">VLOOKUP(B57,'Itens de Contrato'!B$5:G$151,2,0)</f>
        <v>#N/A</v>
      </c>
      <c r="D57" s="52"/>
      <c r="E57" s="63" t="n">
        <f aca="false">D57*'Itens de Contrato'!F57</f>
        <v>0</v>
      </c>
      <c r="F57" s="62" t="n">
        <f aca="false">'Medição 10'!F57-'Medição 10'!G57</f>
        <v>0</v>
      </c>
      <c r="G57" s="52"/>
      <c r="H57" s="64" t="e">
        <f aca="false">G57/D57</f>
        <v>#DIV/0!</v>
      </c>
      <c r="I57" s="63" t="n">
        <f aca="false">G57*'Itens de Contrato'!F57</f>
        <v>0</v>
      </c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customFormat="false" ht="12.8" hidden="false" customHeight="false" outlineLevel="0" collapsed="false">
      <c r="A58" s="37" t="n">
        <f aca="false">'Itens de Contrato'!A58</f>
        <v>0</v>
      </c>
      <c r="B58" s="37" t="n">
        <f aca="false">'Itens de Contrato'!B58</f>
        <v>0</v>
      </c>
      <c r="C58" s="37" t="e">
        <f aca="false">VLOOKUP(B58,'Itens de Contrato'!B$5:G$151,2,0)</f>
        <v>#N/A</v>
      </c>
      <c r="D58" s="52"/>
      <c r="E58" s="63" t="n">
        <f aca="false">D58*'Itens de Contrato'!F58</f>
        <v>0</v>
      </c>
      <c r="F58" s="62" t="n">
        <f aca="false">'Medição 10'!F58-'Medição 10'!G58</f>
        <v>0</v>
      </c>
      <c r="G58" s="52"/>
      <c r="H58" s="64" t="e">
        <f aca="false">G58/D58</f>
        <v>#DIV/0!</v>
      </c>
      <c r="I58" s="63" t="n">
        <f aca="false">G58*'Itens de Contrato'!F58</f>
        <v>0</v>
      </c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customFormat="false" ht="12.8" hidden="false" customHeight="false" outlineLevel="0" collapsed="false">
      <c r="A59" s="37" t="n">
        <f aca="false">'Itens de Contrato'!A59</f>
        <v>0</v>
      </c>
      <c r="B59" s="37" t="n">
        <f aca="false">'Itens de Contrato'!B59</f>
        <v>0</v>
      </c>
      <c r="C59" s="37" t="e">
        <f aca="false">VLOOKUP(B59,'Itens de Contrato'!B$5:G$151,2,0)</f>
        <v>#N/A</v>
      </c>
      <c r="D59" s="52"/>
      <c r="E59" s="63" t="n">
        <f aca="false">D59*'Itens de Contrato'!F59</f>
        <v>0</v>
      </c>
      <c r="F59" s="62" t="n">
        <f aca="false">'Medição 10'!F59-'Medição 10'!G59</f>
        <v>0</v>
      </c>
      <c r="G59" s="52"/>
      <c r="H59" s="64" t="e">
        <f aca="false">G59/D59</f>
        <v>#DIV/0!</v>
      </c>
      <c r="I59" s="63" t="n">
        <f aca="false">G59*'Itens de Contrato'!F59</f>
        <v>0</v>
      </c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</row>
    <row r="60" customFormat="false" ht="12.8" hidden="false" customHeight="false" outlineLevel="0" collapsed="false">
      <c r="A60" s="37" t="n">
        <f aca="false">'Itens de Contrato'!A60</f>
        <v>0</v>
      </c>
      <c r="B60" s="37" t="n">
        <f aca="false">'Itens de Contrato'!B60</f>
        <v>0</v>
      </c>
      <c r="C60" s="37" t="e">
        <f aca="false">VLOOKUP(B60,'Itens de Contrato'!B$5:G$151,2,0)</f>
        <v>#N/A</v>
      </c>
      <c r="D60" s="52"/>
      <c r="E60" s="63" t="n">
        <f aca="false">D60*'Itens de Contrato'!F60</f>
        <v>0</v>
      </c>
      <c r="F60" s="62" t="n">
        <f aca="false">'Medição 10'!F60-'Medição 10'!G60</f>
        <v>0</v>
      </c>
      <c r="G60" s="52"/>
      <c r="H60" s="64" t="e">
        <f aca="false">G60/D60</f>
        <v>#DIV/0!</v>
      </c>
      <c r="I60" s="63" t="n">
        <f aca="false">G60*'Itens de Contrato'!F60</f>
        <v>0</v>
      </c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customFormat="false" ht="12.8" hidden="false" customHeight="false" outlineLevel="0" collapsed="false">
      <c r="A61" s="37" t="n">
        <f aca="false">'Itens de Contrato'!A61</f>
        <v>0</v>
      </c>
      <c r="B61" s="37" t="n">
        <f aca="false">'Itens de Contrato'!B61</f>
        <v>0</v>
      </c>
      <c r="C61" s="37" t="e">
        <f aca="false">VLOOKUP(B61,'Itens de Contrato'!B$5:G$151,2,0)</f>
        <v>#N/A</v>
      </c>
      <c r="D61" s="52"/>
      <c r="E61" s="63" t="n">
        <f aca="false">D61*'Itens de Contrato'!F61</f>
        <v>0</v>
      </c>
      <c r="F61" s="62" t="n">
        <f aca="false">'Medição 10'!F61-'Medição 10'!G61</f>
        <v>0</v>
      </c>
      <c r="G61" s="52"/>
      <c r="H61" s="64" t="e">
        <f aca="false">G61/D61</f>
        <v>#DIV/0!</v>
      </c>
      <c r="I61" s="63" t="n">
        <f aca="false">G61*'Itens de Contrato'!F61</f>
        <v>0</v>
      </c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customFormat="false" ht="12.8" hidden="false" customHeight="false" outlineLevel="0" collapsed="false">
      <c r="A62" s="37" t="n">
        <f aca="false">'Itens de Contrato'!A62</f>
        <v>0</v>
      </c>
      <c r="B62" s="37" t="n">
        <f aca="false">'Itens de Contrato'!B62</f>
        <v>0</v>
      </c>
      <c r="C62" s="37" t="e">
        <f aca="false">VLOOKUP(B62,'Itens de Contrato'!B$5:G$151,2,0)</f>
        <v>#N/A</v>
      </c>
      <c r="D62" s="52"/>
      <c r="E62" s="63" t="n">
        <f aca="false">D62*'Itens de Contrato'!F62</f>
        <v>0</v>
      </c>
      <c r="F62" s="62" t="n">
        <f aca="false">'Medição 10'!F62-'Medição 10'!G62</f>
        <v>0</v>
      </c>
      <c r="G62" s="52"/>
      <c r="H62" s="64" t="e">
        <f aca="false">G62/D62</f>
        <v>#DIV/0!</v>
      </c>
      <c r="I62" s="63" t="n">
        <f aca="false">G62*'Itens de Contrato'!F62</f>
        <v>0</v>
      </c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customFormat="false" ht="12.8" hidden="false" customHeight="false" outlineLevel="0" collapsed="false">
      <c r="A63" s="37" t="n">
        <f aca="false">'Itens de Contrato'!A63</f>
        <v>0</v>
      </c>
      <c r="B63" s="37" t="n">
        <f aca="false">'Itens de Contrato'!B63</f>
        <v>0</v>
      </c>
      <c r="C63" s="37" t="e">
        <f aca="false">VLOOKUP(B63,'Itens de Contrato'!B$5:G$151,2,0)</f>
        <v>#N/A</v>
      </c>
      <c r="D63" s="52"/>
      <c r="E63" s="63" t="n">
        <f aca="false">D63*'Itens de Contrato'!F63</f>
        <v>0</v>
      </c>
      <c r="F63" s="62" t="n">
        <f aca="false">'Medição 10'!F63-'Medição 10'!G63</f>
        <v>0</v>
      </c>
      <c r="G63" s="52"/>
      <c r="H63" s="64" t="e">
        <f aca="false">G63/D63</f>
        <v>#DIV/0!</v>
      </c>
      <c r="I63" s="63" t="n">
        <f aca="false">G63*'Itens de Contrato'!F63</f>
        <v>0</v>
      </c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customFormat="false" ht="12.8" hidden="false" customHeight="false" outlineLevel="0" collapsed="false">
      <c r="A64" s="37" t="n">
        <f aca="false">'Itens de Contrato'!A64</f>
        <v>0</v>
      </c>
      <c r="B64" s="37" t="n">
        <f aca="false">'Itens de Contrato'!B64</f>
        <v>0</v>
      </c>
      <c r="C64" s="37" t="e">
        <f aca="false">VLOOKUP(B64,'Itens de Contrato'!B$5:G$151,2,0)</f>
        <v>#N/A</v>
      </c>
      <c r="D64" s="52"/>
      <c r="E64" s="63" t="n">
        <f aca="false">D64*'Itens de Contrato'!F64</f>
        <v>0</v>
      </c>
      <c r="F64" s="62" t="n">
        <f aca="false">'Medição 10'!F64-'Medição 10'!G64</f>
        <v>0</v>
      </c>
      <c r="G64" s="52"/>
      <c r="H64" s="64" t="e">
        <f aca="false">G64/D64</f>
        <v>#DIV/0!</v>
      </c>
      <c r="I64" s="63" t="n">
        <f aca="false">G64*'Itens de Contrato'!F64</f>
        <v>0</v>
      </c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customFormat="false" ht="12.8" hidden="false" customHeight="false" outlineLevel="0" collapsed="false">
      <c r="A65" s="37" t="n">
        <f aca="false">'Itens de Contrato'!A65</f>
        <v>0</v>
      </c>
      <c r="B65" s="37" t="n">
        <f aca="false">'Itens de Contrato'!B65</f>
        <v>0</v>
      </c>
      <c r="C65" s="37" t="e">
        <f aca="false">VLOOKUP(B65,'Itens de Contrato'!B$5:G$151,2,0)</f>
        <v>#N/A</v>
      </c>
      <c r="D65" s="52"/>
      <c r="E65" s="63" t="n">
        <f aca="false">D65*'Itens de Contrato'!F65</f>
        <v>0</v>
      </c>
      <c r="F65" s="62" t="n">
        <f aca="false">'Medição 10'!F65-'Medição 10'!G65</f>
        <v>0</v>
      </c>
      <c r="G65" s="52"/>
      <c r="H65" s="64" t="e">
        <f aca="false">G65/D65</f>
        <v>#DIV/0!</v>
      </c>
      <c r="I65" s="63" t="n">
        <f aca="false">G65*'Itens de Contrato'!F65</f>
        <v>0</v>
      </c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customFormat="false" ht="12.8" hidden="false" customHeight="false" outlineLevel="0" collapsed="false">
      <c r="A66" s="37" t="n">
        <f aca="false">'Itens de Contrato'!A66</f>
        <v>0</v>
      </c>
      <c r="B66" s="37" t="n">
        <f aca="false">'Itens de Contrato'!B66</f>
        <v>0</v>
      </c>
      <c r="C66" s="37" t="e">
        <f aca="false">VLOOKUP(B66,'Itens de Contrato'!B$5:G$151,2,0)</f>
        <v>#N/A</v>
      </c>
      <c r="D66" s="52"/>
      <c r="E66" s="63" t="n">
        <f aca="false">D66*'Itens de Contrato'!F66</f>
        <v>0</v>
      </c>
      <c r="F66" s="62" t="n">
        <f aca="false">'Medição 10'!F66-'Medição 10'!G66</f>
        <v>0</v>
      </c>
      <c r="G66" s="52"/>
      <c r="H66" s="64" t="e">
        <f aca="false">G66/D66</f>
        <v>#DIV/0!</v>
      </c>
      <c r="I66" s="63" t="n">
        <f aca="false">G66*'Itens de Contrato'!F66</f>
        <v>0</v>
      </c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customFormat="false" ht="12.8" hidden="false" customHeight="false" outlineLevel="0" collapsed="false">
      <c r="A67" s="37" t="n">
        <f aca="false">'Itens de Contrato'!A67</f>
        <v>0</v>
      </c>
      <c r="B67" s="37" t="n">
        <f aca="false">'Itens de Contrato'!B67</f>
        <v>0</v>
      </c>
      <c r="C67" s="37" t="e">
        <f aca="false">VLOOKUP(B67,'Itens de Contrato'!B$5:G$151,2,0)</f>
        <v>#N/A</v>
      </c>
      <c r="D67" s="52"/>
      <c r="E67" s="63" t="n">
        <f aca="false">D67*'Itens de Contrato'!F67</f>
        <v>0</v>
      </c>
      <c r="F67" s="62" t="n">
        <f aca="false">'Medição 10'!F67-'Medição 10'!G67</f>
        <v>0</v>
      </c>
      <c r="G67" s="52"/>
      <c r="H67" s="64" t="e">
        <f aca="false">G67/D67</f>
        <v>#DIV/0!</v>
      </c>
      <c r="I67" s="63" t="n">
        <f aca="false">G67*'Itens de Contrato'!F67</f>
        <v>0</v>
      </c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customFormat="false" ht="12.8" hidden="false" customHeight="false" outlineLevel="0" collapsed="false">
      <c r="A68" s="37" t="n">
        <f aca="false">'Itens de Contrato'!A68</f>
        <v>0</v>
      </c>
      <c r="B68" s="37" t="n">
        <f aca="false">'Itens de Contrato'!B68</f>
        <v>0</v>
      </c>
      <c r="C68" s="37" t="e">
        <f aca="false">VLOOKUP(B68,'Itens de Contrato'!B$5:G$151,2,0)</f>
        <v>#N/A</v>
      </c>
      <c r="D68" s="52"/>
      <c r="E68" s="63" t="n">
        <f aca="false">D68*'Itens de Contrato'!F68</f>
        <v>0</v>
      </c>
      <c r="F68" s="62" t="n">
        <f aca="false">'Medição 10'!F68-'Medição 10'!G68</f>
        <v>0</v>
      </c>
      <c r="G68" s="52"/>
      <c r="H68" s="64" t="e">
        <f aca="false">G68/D68</f>
        <v>#DIV/0!</v>
      </c>
      <c r="I68" s="63" t="n">
        <f aca="false">G68*'Itens de Contrato'!F68</f>
        <v>0</v>
      </c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</row>
    <row r="69" customFormat="false" ht="12.8" hidden="false" customHeight="false" outlineLevel="0" collapsed="false">
      <c r="A69" s="37" t="n">
        <f aca="false">'Itens de Contrato'!A69</f>
        <v>0</v>
      </c>
      <c r="B69" s="37" t="n">
        <f aca="false">'Itens de Contrato'!B69</f>
        <v>0</v>
      </c>
      <c r="C69" s="37" t="e">
        <f aca="false">VLOOKUP(B69,'Itens de Contrato'!B$5:G$151,2,0)</f>
        <v>#N/A</v>
      </c>
      <c r="D69" s="52"/>
      <c r="E69" s="63" t="n">
        <f aca="false">D69*'Itens de Contrato'!F69</f>
        <v>0</v>
      </c>
      <c r="F69" s="62" t="n">
        <f aca="false">'Medição 10'!F69-'Medição 10'!G69</f>
        <v>0</v>
      </c>
      <c r="G69" s="52"/>
      <c r="H69" s="64" t="e">
        <f aca="false">G69/D69</f>
        <v>#DIV/0!</v>
      </c>
      <c r="I69" s="63" t="n">
        <f aca="false">G69*'Itens de Contrato'!F69</f>
        <v>0</v>
      </c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</row>
    <row r="70" customFormat="false" ht="12.8" hidden="false" customHeight="false" outlineLevel="0" collapsed="false">
      <c r="A70" s="37" t="n">
        <f aca="false">'Itens de Contrato'!A70</f>
        <v>0</v>
      </c>
      <c r="B70" s="37" t="n">
        <f aca="false">'Itens de Contrato'!B70</f>
        <v>0</v>
      </c>
      <c r="C70" s="37" t="e">
        <f aca="false">VLOOKUP(B70,'Itens de Contrato'!B$5:G$151,2,0)</f>
        <v>#N/A</v>
      </c>
      <c r="D70" s="52"/>
      <c r="E70" s="63" t="n">
        <f aca="false">D70*'Itens de Contrato'!F70</f>
        <v>0</v>
      </c>
      <c r="F70" s="62" t="n">
        <f aca="false">'Medição 10'!F70-'Medição 10'!G70</f>
        <v>0</v>
      </c>
      <c r="G70" s="52"/>
      <c r="H70" s="64" t="e">
        <f aca="false">G70/D70</f>
        <v>#DIV/0!</v>
      </c>
      <c r="I70" s="63" t="n">
        <f aca="false">G70*'Itens de Contrato'!F70</f>
        <v>0</v>
      </c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</row>
    <row r="71" customFormat="false" ht="12.8" hidden="false" customHeight="false" outlineLevel="0" collapsed="false">
      <c r="A71" s="37" t="n">
        <f aca="false">'Itens de Contrato'!A71</f>
        <v>0</v>
      </c>
      <c r="B71" s="37" t="n">
        <f aca="false">'Itens de Contrato'!B71</f>
        <v>0</v>
      </c>
      <c r="C71" s="37" t="e">
        <f aca="false">VLOOKUP(B71,'Itens de Contrato'!B$5:G$151,2,0)</f>
        <v>#N/A</v>
      </c>
      <c r="D71" s="52"/>
      <c r="E71" s="63" t="n">
        <f aca="false">D71*'Itens de Contrato'!F71</f>
        <v>0</v>
      </c>
      <c r="F71" s="62" t="n">
        <f aca="false">'Medição 10'!F71-'Medição 10'!G71</f>
        <v>0</v>
      </c>
      <c r="G71" s="52"/>
      <c r="H71" s="64" t="e">
        <f aca="false">G71/D71</f>
        <v>#DIV/0!</v>
      </c>
      <c r="I71" s="63" t="n">
        <f aca="false">G71*'Itens de Contrato'!F71</f>
        <v>0</v>
      </c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</row>
    <row r="72" customFormat="false" ht="12.8" hidden="false" customHeight="false" outlineLevel="0" collapsed="false">
      <c r="A72" s="37" t="n">
        <f aca="false">'Itens de Contrato'!A72</f>
        <v>0</v>
      </c>
      <c r="B72" s="37" t="n">
        <f aca="false">'Itens de Contrato'!B72</f>
        <v>0</v>
      </c>
      <c r="C72" s="37" t="e">
        <f aca="false">VLOOKUP(B72,'Itens de Contrato'!B$5:G$151,2,0)</f>
        <v>#N/A</v>
      </c>
      <c r="D72" s="52"/>
      <c r="E72" s="63" t="n">
        <f aca="false">D72*'Itens de Contrato'!F72</f>
        <v>0</v>
      </c>
      <c r="F72" s="62" t="n">
        <f aca="false">'Medição 10'!F72-'Medição 10'!G72</f>
        <v>0</v>
      </c>
      <c r="G72" s="52"/>
      <c r="H72" s="64" t="e">
        <f aca="false">G72/D72</f>
        <v>#DIV/0!</v>
      </c>
      <c r="I72" s="63" t="n">
        <f aca="false">G72*'Itens de Contrato'!F72</f>
        <v>0</v>
      </c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</row>
    <row r="73" customFormat="false" ht="12.8" hidden="false" customHeight="false" outlineLevel="0" collapsed="false">
      <c r="A73" s="37" t="n">
        <f aca="false">'Itens de Contrato'!A73</f>
        <v>0</v>
      </c>
      <c r="B73" s="37" t="n">
        <f aca="false">'Itens de Contrato'!B73</f>
        <v>0</v>
      </c>
      <c r="C73" s="37" t="e">
        <f aca="false">VLOOKUP(B73,'Itens de Contrato'!B$5:G$151,2,0)</f>
        <v>#N/A</v>
      </c>
      <c r="D73" s="52"/>
      <c r="E73" s="63" t="n">
        <f aca="false">D73*'Itens de Contrato'!F73</f>
        <v>0</v>
      </c>
      <c r="F73" s="62" t="n">
        <f aca="false">'Medição 10'!F73-'Medição 10'!G73</f>
        <v>0</v>
      </c>
      <c r="G73" s="52"/>
      <c r="H73" s="64" t="e">
        <f aca="false">G73/D73</f>
        <v>#DIV/0!</v>
      </c>
      <c r="I73" s="63" t="n">
        <f aca="false">G73*'Itens de Contrato'!F73</f>
        <v>0</v>
      </c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</row>
    <row r="74" customFormat="false" ht="12.8" hidden="false" customHeight="false" outlineLevel="0" collapsed="false">
      <c r="A74" s="37" t="n">
        <f aca="false">'Itens de Contrato'!A74</f>
        <v>0</v>
      </c>
      <c r="B74" s="37" t="n">
        <f aca="false">'Itens de Contrato'!B74</f>
        <v>0</v>
      </c>
      <c r="C74" s="37" t="e">
        <f aca="false">VLOOKUP(B74,'Itens de Contrato'!B$5:G$151,2,0)</f>
        <v>#N/A</v>
      </c>
      <c r="D74" s="52"/>
      <c r="E74" s="63" t="n">
        <f aca="false">D74*'Itens de Contrato'!F74</f>
        <v>0</v>
      </c>
      <c r="F74" s="62" t="n">
        <f aca="false">'Medição 10'!F74-'Medição 10'!G74</f>
        <v>0</v>
      </c>
      <c r="G74" s="52"/>
      <c r="H74" s="64" t="e">
        <f aca="false">G74/D74</f>
        <v>#DIV/0!</v>
      </c>
      <c r="I74" s="63" t="n">
        <f aca="false">G74*'Itens de Contrato'!F74</f>
        <v>0</v>
      </c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</row>
    <row r="75" customFormat="false" ht="12.8" hidden="false" customHeight="false" outlineLevel="0" collapsed="false">
      <c r="A75" s="37" t="n">
        <f aca="false">'Itens de Contrato'!A75</f>
        <v>0</v>
      </c>
      <c r="B75" s="37" t="n">
        <f aca="false">'Itens de Contrato'!B75</f>
        <v>0</v>
      </c>
      <c r="C75" s="37" t="e">
        <f aca="false">VLOOKUP(B75,'Itens de Contrato'!B$5:G$151,2,0)</f>
        <v>#N/A</v>
      </c>
      <c r="D75" s="52"/>
      <c r="E75" s="63" t="n">
        <f aca="false">D75*'Itens de Contrato'!F75</f>
        <v>0</v>
      </c>
      <c r="F75" s="62" t="n">
        <f aca="false">'Medição 10'!F75-'Medição 10'!G75</f>
        <v>0</v>
      </c>
      <c r="G75" s="52"/>
      <c r="H75" s="64" t="e">
        <f aca="false">G75/D75</f>
        <v>#DIV/0!</v>
      </c>
      <c r="I75" s="63" t="n">
        <f aca="false">G75*'Itens de Contrato'!F75</f>
        <v>0</v>
      </c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</row>
    <row r="76" customFormat="false" ht="12.8" hidden="false" customHeight="false" outlineLevel="0" collapsed="false">
      <c r="A76" s="37" t="n">
        <f aca="false">'Itens de Contrato'!A76</f>
        <v>0</v>
      </c>
      <c r="B76" s="37" t="n">
        <f aca="false">'Itens de Contrato'!B76</f>
        <v>0</v>
      </c>
      <c r="C76" s="37" t="e">
        <f aca="false">VLOOKUP(B76,'Itens de Contrato'!B$5:G$151,2,0)</f>
        <v>#N/A</v>
      </c>
      <c r="D76" s="52"/>
      <c r="E76" s="63" t="n">
        <f aca="false">D76*'Itens de Contrato'!F76</f>
        <v>0</v>
      </c>
      <c r="F76" s="62" t="n">
        <f aca="false">'Medição 10'!F76-'Medição 10'!G76</f>
        <v>0</v>
      </c>
      <c r="G76" s="52"/>
      <c r="H76" s="64" t="e">
        <f aca="false">G76/D76</f>
        <v>#DIV/0!</v>
      </c>
      <c r="I76" s="63" t="n">
        <f aca="false">G76*'Itens de Contrato'!F76</f>
        <v>0</v>
      </c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</row>
    <row r="77" customFormat="false" ht="12.8" hidden="false" customHeight="false" outlineLevel="0" collapsed="false">
      <c r="A77" s="37" t="n">
        <f aca="false">'Itens de Contrato'!A77</f>
        <v>0</v>
      </c>
      <c r="B77" s="37" t="n">
        <f aca="false">'Itens de Contrato'!B77</f>
        <v>0</v>
      </c>
      <c r="C77" s="37" t="e">
        <f aca="false">VLOOKUP(B77,'Itens de Contrato'!B$5:G$151,2,0)</f>
        <v>#N/A</v>
      </c>
      <c r="D77" s="52"/>
      <c r="E77" s="63" t="n">
        <f aca="false">D77*'Itens de Contrato'!F77</f>
        <v>0</v>
      </c>
      <c r="F77" s="62" t="n">
        <f aca="false">'Medição 10'!F77-'Medição 10'!G77</f>
        <v>0</v>
      </c>
      <c r="G77" s="52"/>
      <c r="H77" s="64" t="e">
        <f aca="false">G77/D77</f>
        <v>#DIV/0!</v>
      </c>
      <c r="I77" s="63" t="n">
        <f aca="false">G77*'Itens de Contrato'!F77</f>
        <v>0</v>
      </c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</row>
    <row r="78" customFormat="false" ht="12.8" hidden="false" customHeight="false" outlineLevel="0" collapsed="false">
      <c r="A78" s="37" t="n">
        <f aca="false">'Itens de Contrato'!A78</f>
        <v>0</v>
      </c>
      <c r="B78" s="37" t="n">
        <f aca="false">'Itens de Contrato'!B78</f>
        <v>0</v>
      </c>
      <c r="C78" s="37" t="e">
        <f aca="false">VLOOKUP(B78,'Itens de Contrato'!B$5:G$151,2,0)</f>
        <v>#N/A</v>
      </c>
      <c r="D78" s="52"/>
      <c r="E78" s="63" t="n">
        <f aca="false">D78*'Itens de Contrato'!F78</f>
        <v>0</v>
      </c>
      <c r="F78" s="62" t="n">
        <f aca="false">'Medição 10'!F78-'Medição 10'!G78</f>
        <v>0</v>
      </c>
      <c r="G78" s="52"/>
      <c r="H78" s="64" t="e">
        <f aca="false">G78/D78</f>
        <v>#DIV/0!</v>
      </c>
      <c r="I78" s="63" t="n">
        <f aca="false">G78*'Itens de Contrato'!F78</f>
        <v>0</v>
      </c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</row>
    <row r="79" customFormat="false" ht="12.8" hidden="false" customHeight="false" outlineLevel="0" collapsed="false">
      <c r="A79" s="37" t="n">
        <f aca="false">'Itens de Contrato'!A79</f>
        <v>0</v>
      </c>
      <c r="B79" s="37" t="n">
        <f aca="false">'Itens de Contrato'!B79</f>
        <v>0</v>
      </c>
      <c r="C79" s="37" t="e">
        <f aca="false">VLOOKUP(B79,'Itens de Contrato'!B$5:G$151,2,0)</f>
        <v>#N/A</v>
      </c>
      <c r="D79" s="52"/>
      <c r="E79" s="63" t="n">
        <f aca="false">D79*'Itens de Contrato'!F79</f>
        <v>0</v>
      </c>
      <c r="F79" s="62" t="n">
        <f aca="false">'Medição 10'!F79-'Medição 10'!G79</f>
        <v>0</v>
      </c>
      <c r="G79" s="52"/>
      <c r="H79" s="64" t="e">
        <f aca="false">G79/D79</f>
        <v>#DIV/0!</v>
      </c>
      <c r="I79" s="63" t="n">
        <f aca="false">G79*'Itens de Contrato'!F79</f>
        <v>0</v>
      </c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</row>
    <row r="80" customFormat="false" ht="12.8" hidden="false" customHeight="false" outlineLevel="0" collapsed="false">
      <c r="A80" s="37" t="n">
        <f aca="false">'Itens de Contrato'!A80</f>
        <v>0</v>
      </c>
      <c r="B80" s="37" t="n">
        <f aca="false">'Itens de Contrato'!B80</f>
        <v>0</v>
      </c>
      <c r="C80" s="37" t="e">
        <f aca="false">VLOOKUP(B80,'Itens de Contrato'!B$5:G$151,2,0)</f>
        <v>#N/A</v>
      </c>
      <c r="D80" s="52"/>
      <c r="E80" s="63" t="n">
        <f aca="false">D80*'Itens de Contrato'!F80</f>
        <v>0</v>
      </c>
      <c r="F80" s="62" t="n">
        <f aca="false">'Medição 10'!F80-'Medição 10'!G80</f>
        <v>0</v>
      </c>
      <c r="G80" s="52"/>
      <c r="H80" s="64" t="e">
        <f aca="false">G80/D80</f>
        <v>#DIV/0!</v>
      </c>
      <c r="I80" s="63" t="n">
        <f aca="false">G80*'Itens de Contrato'!F80</f>
        <v>0</v>
      </c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</row>
    <row r="81" customFormat="false" ht="12.8" hidden="false" customHeight="false" outlineLevel="0" collapsed="false">
      <c r="A81" s="37" t="n">
        <f aca="false">'Itens de Contrato'!A81</f>
        <v>0</v>
      </c>
      <c r="B81" s="37" t="n">
        <f aca="false">'Itens de Contrato'!B81</f>
        <v>0</v>
      </c>
      <c r="C81" s="37" t="e">
        <f aca="false">VLOOKUP(B81,'Itens de Contrato'!B$5:G$151,2,0)</f>
        <v>#N/A</v>
      </c>
      <c r="D81" s="52"/>
      <c r="E81" s="63" t="n">
        <f aca="false">D81*'Itens de Contrato'!F81</f>
        <v>0</v>
      </c>
      <c r="F81" s="62" t="n">
        <f aca="false">'Medição 10'!F81-'Medição 10'!G81</f>
        <v>0</v>
      </c>
      <c r="G81" s="52"/>
      <c r="H81" s="64" t="e">
        <f aca="false">G81/D81</f>
        <v>#DIV/0!</v>
      </c>
      <c r="I81" s="63" t="n">
        <f aca="false">G81*'Itens de Contrato'!F81</f>
        <v>0</v>
      </c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</row>
    <row r="82" customFormat="false" ht="12.8" hidden="false" customHeight="false" outlineLevel="0" collapsed="false">
      <c r="A82" s="37" t="n">
        <f aca="false">'Itens de Contrato'!A82</f>
        <v>0</v>
      </c>
      <c r="B82" s="37" t="n">
        <f aca="false">'Itens de Contrato'!B82</f>
        <v>0</v>
      </c>
      <c r="C82" s="37" t="e">
        <f aca="false">VLOOKUP(B82,'Itens de Contrato'!B$5:G$151,2,0)</f>
        <v>#N/A</v>
      </c>
      <c r="D82" s="52"/>
      <c r="E82" s="63" t="n">
        <f aca="false">D82*'Itens de Contrato'!F82</f>
        <v>0</v>
      </c>
      <c r="F82" s="62" t="n">
        <f aca="false">'Medição 10'!F82-'Medição 10'!G82</f>
        <v>0</v>
      </c>
      <c r="G82" s="52"/>
      <c r="H82" s="64" t="e">
        <f aca="false">G82/D82</f>
        <v>#DIV/0!</v>
      </c>
      <c r="I82" s="63" t="n">
        <f aca="false">G82*'Itens de Contrato'!F82</f>
        <v>0</v>
      </c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</row>
    <row r="83" customFormat="false" ht="12.8" hidden="false" customHeight="false" outlineLevel="0" collapsed="false">
      <c r="A83" s="37" t="n">
        <f aca="false">'Itens de Contrato'!A83</f>
        <v>0</v>
      </c>
      <c r="B83" s="37" t="n">
        <f aca="false">'Itens de Contrato'!B83</f>
        <v>0</v>
      </c>
      <c r="C83" s="37" t="e">
        <f aca="false">VLOOKUP(B83,'Itens de Contrato'!B$5:G$151,2,0)</f>
        <v>#N/A</v>
      </c>
      <c r="D83" s="52"/>
      <c r="E83" s="63" t="n">
        <f aca="false">D83*'Itens de Contrato'!F83</f>
        <v>0</v>
      </c>
      <c r="F83" s="62" t="n">
        <f aca="false">'Medição 10'!F83-'Medição 10'!G83</f>
        <v>0</v>
      </c>
      <c r="G83" s="52"/>
      <c r="H83" s="64" t="e">
        <f aca="false">G83/D83</f>
        <v>#DIV/0!</v>
      </c>
      <c r="I83" s="63" t="n">
        <f aca="false">G83*'Itens de Contrato'!F83</f>
        <v>0</v>
      </c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</row>
    <row r="84" customFormat="false" ht="12.8" hidden="false" customHeight="false" outlineLevel="0" collapsed="false">
      <c r="A84" s="37" t="n">
        <f aca="false">'Itens de Contrato'!A84</f>
        <v>0</v>
      </c>
      <c r="B84" s="37" t="n">
        <f aca="false">'Itens de Contrato'!B84</f>
        <v>0</v>
      </c>
      <c r="C84" s="37" t="e">
        <f aca="false">VLOOKUP(B84,'Itens de Contrato'!B$5:G$151,2,0)</f>
        <v>#N/A</v>
      </c>
      <c r="D84" s="52"/>
      <c r="E84" s="63" t="n">
        <f aca="false">D84*'Itens de Contrato'!F84</f>
        <v>0</v>
      </c>
      <c r="F84" s="62" t="n">
        <f aca="false">'Medição 10'!F84-'Medição 10'!G84</f>
        <v>0</v>
      </c>
      <c r="G84" s="52"/>
      <c r="H84" s="64" t="e">
        <f aca="false">G84/D84</f>
        <v>#DIV/0!</v>
      </c>
      <c r="I84" s="63" t="n">
        <f aca="false">G84*'Itens de Contrato'!F84</f>
        <v>0</v>
      </c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</row>
    <row r="85" customFormat="false" ht="12.8" hidden="false" customHeight="false" outlineLevel="0" collapsed="false">
      <c r="A85" s="37" t="n">
        <f aca="false">'Itens de Contrato'!A85</f>
        <v>0</v>
      </c>
      <c r="B85" s="37" t="n">
        <f aca="false">'Itens de Contrato'!B85</f>
        <v>0</v>
      </c>
      <c r="C85" s="37" t="e">
        <f aca="false">VLOOKUP(B85,'Itens de Contrato'!B$5:G$151,2,0)</f>
        <v>#N/A</v>
      </c>
      <c r="D85" s="52"/>
      <c r="E85" s="63" t="n">
        <f aca="false">D85*'Itens de Contrato'!F85</f>
        <v>0</v>
      </c>
      <c r="F85" s="62" t="n">
        <f aca="false">'Medição 10'!F85-'Medição 10'!G85</f>
        <v>0</v>
      </c>
      <c r="G85" s="52"/>
      <c r="H85" s="64" t="e">
        <f aca="false">G85/D85</f>
        <v>#DIV/0!</v>
      </c>
      <c r="I85" s="63" t="n">
        <f aca="false">G85*'Itens de Contrato'!F85</f>
        <v>0</v>
      </c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</row>
    <row r="86" customFormat="false" ht="12.8" hidden="false" customHeight="false" outlineLevel="0" collapsed="false">
      <c r="A86" s="37" t="n">
        <f aca="false">'Itens de Contrato'!A86</f>
        <v>0</v>
      </c>
      <c r="B86" s="37" t="n">
        <f aca="false">'Itens de Contrato'!B86</f>
        <v>0</v>
      </c>
      <c r="C86" s="37" t="e">
        <f aca="false">VLOOKUP(B86,'Itens de Contrato'!B$5:G$151,2,0)</f>
        <v>#N/A</v>
      </c>
      <c r="D86" s="52"/>
      <c r="E86" s="63" t="n">
        <f aca="false">D86*'Itens de Contrato'!F86</f>
        <v>0</v>
      </c>
      <c r="F86" s="62" t="n">
        <f aca="false">'Medição 10'!F86-'Medição 10'!G86</f>
        <v>0</v>
      </c>
      <c r="G86" s="52"/>
      <c r="H86" s="64" t="e">
        <f aca="false">G86/D86</f>
        <v>#DIV/0!</v>
      </c>
      <c r="I86" s="63" t="n">
        <f aca="false">G86*'Itens de Contrato'!F86</f>
        <v>0</v>
      </c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</row>
    <row r="87" customFormat="false" ht="12.8" hidden="false" customHeight="false" outlineLevel="0" collapsed="false">
      <c r="A87" s="37" t="n">
        <f aca="false">'Itens de Contrato'!A87</f>
        <v>0</v>
      </c>
      <c r="B87" s="37" t="n">
        <f aca="false">'Itens de Contrato'!B87</f>
        <v>0</v>
      </c>
      <c r="C87" s="37" t="e">
        <f aca="false">VLOOKUP(B87,'Itens de Contrato'!B$5:G$151,2,0)</f>
        <v>#N/A</v>
      </c>
      <c r="D87" s="52"/>
      <c r="E87" s="63" t="n">
        <f aca="false">D87*'Itens de Contrato'!F87</f>
        <v>0</v>
      </c>
      <c r="F87" s="62" t="n">
        <f aca="false">'Medição 10'!F87-'Medição 10'!G87</f>
        <v>0</v>
      </c>
      <c r="G87" s="52"/>
      <c r="H87" s="64" t="e">
        <f aca="false">G87/D87</f>
        <v>#DIV/0!</v>
      </c>
      <c r="I87" s="63" t="n">
        <f aca="false">G87*'Itens de Contrato'!F87</f>
        <v>0</v>
      </c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</row>
    <row r="88" customFormat="false" ht="12.8" hidden="false" customHeight="false" outlineLevel="0" collapsed="false">
      <c r="A88" s="37" t="n">
        <f aca="false">'Itens de Contrato'!A88</f>
        <v>0</v>
      </c>
      <c r="B88" s="37" t="n">
        <f aca="false">'Itens de Contrato'!B88</f>
        <v>0</v>
      </c>
      <c r="C88" s="37" t="e">
        <f aca="false">VLOOKUP(B88,'Itens de Contrato'!B$5:G$151,2,0)</f>
        <v>#N/A</v>
      </c>
      <c r="D88" s="52"/>
      <c r="E88" s="63" t="n">
        <f aca="false">D88*'Itens de Contrato'!F88</f>
        <v>0</v>
      </c>
      <c r="F88" s="62" t="n">
        <f aca="false">'Medição 10'!F88-'Medição 10'!G88</f>
        <v>0</v>
      </c>
      <c r="G88" s="52"/>
      <c r="H88" s="64" t="e">
        <f aca="false">G88/D88</f>
        <v>#DIV/0!</v>
      </c>
      <c r="I88" s="63" t="n">
        <f aca="false">G88*'Itens de Contrato'!F88</f>
        <v>0</v>
      </c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</row>
    <row r="89" customFormat="false" ht="12.8" hidden="false" customHeight="false" outlineLevel="0" collapsed="false">
      <c r="A89" s="37" t="n">
        <f aca="false">'Itens de Contrato'!A89</f>
        <v>0</v>
      </c>
      <c r="B89" s="37" t="n">
        <f aca="false">'Itens de Contrato'!B89</f>
        <v>0</v>
      </c>
      <c r="C89" s="37" t="e">
        <f aca="false">VLOOKUP(B89,'Itens de Contrato'!B$5:G$151,2,0)</f>
        <v>#N/A</v>
      </c>
      <c r="D89" s="52"/>
      <c r="E89" s="63" t="n">
        <f aca="false">D89*'Itens de Contrato'!F89</f>
        <v>0</v>
      </c>
      <c r="F89" s="62" t="n">
        <f aca="false">'Medição 10'!F89-'Medição 10'!G89</f>
        <v>0</v>
      </c>
      <c r="G89" s="52"/>
      <c r="H89" s="64" t="e">
        <f aca="false">G89/D89</f>
        <v>#DIV/0!</v>
      </c>
      <c r="I89" s="63" t="n">
        <f aca="false">G89*'Itens de Contrato'!F89</f>
        <v>0</v>
      </c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</row>
    <row r="90" customFormat="false" ht="12.8" hidden="false" customHeight="false" outlineLevel="0" collapsed="false">
      <c r="A90" s="37" t="n">
        <f aca="false">'Itens de Contrato'!A90</f>
        <v>0</v>
      </c>
      <c r="B90" s="37" t="n">
        <f aca="false">'Itens de Contrato'!B90</f>
        <v>0</v>
      </c>
      <c r="C90" s="37" t="e">
        <f aca="false">VLOOKUP(B90,'Itens de Contrato'!B$5:G$151,2,0)</f>
        <v>#N/A</v>
      </c>
      <c r="D90" s="52"/>
      <c r="E90" s="63" t="n">
        <f aca="false">D90*'Itens de Contrato'!F90</f>
        <v>0</v>
      </c>
      <c r="F90" s="62" t="n">
        <f aca="false">'Medição 10'!F90-'Medição 10'!G90</f>
        <v>0</v>
      </c>
      <c r="G90" s="52"/>
      <c r="H90" s="64" t="e">
        <f aca="false">G90/D90</f>
        <v>#DIV/0!</v>
      </c>
      <c r="I90" s="63" t="n">
        <f aca="false">G90*'Itens de Contrato'!F90</f>
        <v>0</v>
      </c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</row>
    <row r="91" customFormat="false" ht="12.8" hidden="false" customHeight="false" outlineLevel="0" collapsed="false">
      <c r="A91" s="37" t="n">
        <f aca="false">'Itens de Contrato'!A91</f>
        <v>0</v>
      </c>
      <c r="B91" s="37" t="n">
        <f aca="false">'Itens de Contrato'!B91</f>
        <v>0</v>
      </c>
      <c r="C91" s="37" t="e">
        <f aca="false">VLOOKUP(B91,'Itens de Contrato'!B$5:G$151,2,0)</f>
        <v>#N/A</v>
      </c>
      <c r="D91" s="52"/>
      <c r="E91" s="63" t="n">
        <f aca="false">D91*'Itens de Contrato'!F91</f>
        <v>0</v>
      </c>
      <c r="F91" s="62" t="n">
        <f aca="false">'Medição 10'!F91-'Medição 10'!G91</f>
        <v>0</v>
      </c>
      <c r="G91" s="52"/>
      <c r="H91" s="64" t="e">
        <f aca="false">G91/D91</f>
        <v>#DIV/0!</v>
      </c>
      <c r="I91" s="63" t="n">
        <f aca="false">G91*'Itens de Contrato'!F91</f>
        <v>0</v>
      </c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customFormat="false" ht="12.8" hidden="false" customHeight="false" outlineLevel="0" collapsed="false">
      <c r="A92" s="37" t="n">
        <f aca="false">'Itens de Contrato'!A92</f>
        <v>0</v>
      </c>
      <c r="B92" s="37" t="n">
        <f aca="false">'Itens de Contrato'!B92</f>
        <v>0</v>
      </c>
      <c r="C92" s="37" t="e">
        <f aca="false">VLOOKUP(B92,'Itens de Contrato'!B$5:G$151,2,0)</f>
        <v>#N/A</v>
      </c>
      <c r="D92" s="52"/>
      <c r="E92" s="63" t="n">
        <f aca="false">D92*'Itens de Contrato'!F92</f>
        <v>0</v>
      </c>
      <c r="F92" s="62" t="n">
        <f aca="false">'Medição 10'!F92-'Medição 10'!G92</f>
        <v>0</v>
      </c>
      <c r="G92" s="52"/>
      <c r="H92" s="64" t="e">
        <f aca="false">G92/D92</f>
        <v>#DIV/0!</v>
      </c>
      <c r="I92" s="63" t="n">
        <f aca="false">G92*'Itens de Contrato'!F92</f>
        <v>0</v>
      </c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</row>
    <row r="93" customFormat="false" ht="12.8" hidden="false" customHeight="false" outlineLevel="0" collapsed="false">
      <c r="A93" s="37" t="n">
        <f aca="false">'Itens de Contrato'!A93</f>
        <v>0</v>
      </c>
      <c r="B93" s="37" t="n">
        <f aca="false">'Itens de Contrato'!B93</f>
        <v>0</v>
      </c>
      <c r="C93" s="37" t="e">
        <f aca="false">VLOOKUP(B93,'Itens de Contrato'!B$5:G$151,2,0)</f>
        <v>#N/A</v>
      </c>
      <c r="D93" s="52"/>
      <c r="E93" s="63" t="n">
        <f aca="false">D93*'Itens de Contrato'!F93</f>
        <v>0</v>
      </c>
      <c r="F93" s="62" t="n">
        <f aca="false">'Medição 10'!F93-'Medição 10'!G93</f>
        <v>0</v>
      </c>
      <c r="G93" s="52"/>
      <c r="H93" s="64" t="e">
        <f aca="false">G93/D93</f>
        <v>#DIV/0!</v>
      </c>
      <c r="I93" s="63" t="n">
        <f aca="false">G93*'Itens de Contrato'!F93</f>
        <v>0</v>
      </c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</row>
    <row r="94" customFormat="false" ht="12.8" hidden="false" customHeight="false" outlineLevel="0" collapsed="false">
      <c r="A94" s="37" t="n">
        <f aca="false">'Itens de Contrato'!A94</f>
        <v>0</v>
      </c>
      <c r="B94" s="37" t="n">
        <f aca="false">'Itens de Contrato'!B94</f>
        <v>0</v>
      </c>
      <c r="C94" s="37" t="e">
        <f aca="false">VLOOKUP(B94,'Itens de Contrato'!B$5:G$151,2,0)</f>
        <v>#N/A</v>
      </c>
      <c r="D94" s="52"/>
      <c r="E94" s="63" t="n">
        <f aca="false">D94*'Itens de Contrato'!F94</f>
        <v>0</v>
      </c>
      <c r="F94" s="62" t="n">
        <f aca="false">'Medição 10'!F94-'Medição 10'!G94</f>
        <v>0</v>
      </c>
      <c r="G94" s="52"/>
      <c r="H94" s="64" t="e">
        <f aca="false">G94/D94</f>
        <v>#DIV/0!</v>
      </c>
      <c r="I94" s="63" t="n">
        <f aca="false">G94*'Itens de Contrato'!F94</f>
        <v>0</v>
      </c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</row>
    <row r="95" customFormat="false" ht="12.8" hidden="false" customHeight="false" outlineLevel="0" collapsed="false">
      <c r="A95" s="37" t="n">
        <f aca="false">'Itens de Contrato'!A95</f>
        <v>0</v>
      </c>
      <c r="B95" s="37" t="n">
        <f aca="false">'Itens de Contrato'!B95</f>
        <v>0</v>
      </c>
      <c r="C95" s="37" t="e">
        <f aca="false">VLOOKUP(B95,'Itens de Contrato'!B$5:G$151,2,0)</f>
        <v>#N/A</v>
      </c>
      <c r="D95" s="52"/>
      <c r="E95" s="63" t="n">
        <f aca="false">D95*'Itens de Contrato'!F95</f>
        <v>0</v>
      </c>
      <c r="F95" s="62" t="n">
        <f aca="false">'Medição 10'!F95-'Medição 10'!G95</f>
        <v>0</v>
      </c>
      <c r="G95" s="52"/>
      <c r="H95" s="64" t="e">
        <f aca="false">G95/D95</f>
        <v>#DIV/0!</v>
      </c>
      <c r="I95" s="63" t="n">
        <f aca="false">G95*'Itens de Contrato'!F95</f>
        <v>0</v>
      </c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</row>
    <row r="96" customFormat="false" ht="12.8" hidden="false" customHeight="false" outlineLevel="0" collapsed="false">
      <c r="A96" s="37" t="n">
        <f aca="false">'Itens de Contrato'!A96</f>
        <v>0</v>
      </c>
      <c r="B96" s="37" t="n">
        <f aca="false">'Itens de Contrato'!B96</f>
        <v>0</v>
      </c>
      <c r="C96" s="37" t="e">
        <f aca="false">VLOOKUP(B96,'Itens de Contrato'!B$5:G$151,2,0)</f>
        <v>#N/A</v>
      </c>
      <c r="D96" s="52"/>
      <c r="E96" s="63" t="n">
        <f aca="false">D96*'Itens de Contrato'!F96</f>
        <v>0</v>
      </c>
      <c r="F96" s="62" t="n">
        <f aca="false">'Medição 10'!F96-'Medição 10'!G96</f>
        <v>0</v>
      </c>
      <c r="G96" s="52"/>
      <c r="H96" s="64" t="e">
        <f aca="false">G96/D96</f>
        <v>#DIV/0!</v>
      </c>
      <c r="I96" s="63" t="n">
        <f aca="false">G96*'Itens de Contrato'!F96</f>
        <v>0</v>
      </c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</row>
    <row r="97" customFormat="false" ht="12.8" hidden="false" customHeight="false" outlineLevel="0" collapsed="false">
      <c r="A97" s="37" t="n">
        <f aca="false">'Itens de Contrato'!A97</f>
        <v>0</v>
      </c>
      <c r="B97" s="37" t="n">
        <f aca="false">'Itens de Contrato'!B97</f>
        <v>0</v>
      </c>
      <c r="C97" s="37" t="e">
        <f aca="false">VLOOKUP(B97,'Itens de Contrato'!B$5:G$151,2,0)</f>
        <v>#N/A</v>
      </c>
      <c r="D97" s="52"/>
      <c r="E97" s="63" t="n">
        <f aca="false">D97*'Itens de Contrato'!F97</f>
        <v>0</v>
      </c>
      <c r="F97" s="62" t="n">
        <f aca="false">'Medição 10'!F97-'Medição 10'!G97</f>
        <v>0</v>
      </c>
      <c r="G97" s="52"/>
      <c r="H97" s="64" t="e">
        <f aca="false">G97/D97</f>
        <v>#DIV/0!</v>
      </c>
      <c r="I97" s="63" t="n">
        <f aca="false">G97*'Itens de Contrato'!F97</f>
        <v>0</v>
      </c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</row>
    <row r="98" customFormat="false" ht="12.8" hidden="false" customHeight="false" outlineLevel="0" collapsed="false">
      <c r="A98" s="37" t="n">
        <f aca="false">'Itens de Contrato'!A98</f>
        <v>0</v>
      </c>
      <c r="B98" s="37" t="n">
        <f aca="false">'Itens de Contrato'!B98</f>
        <v>0</v>
      </c>
      <c r="C98" s="37" t="e">
        <f aca="false">VLOOKUP(B98,'Itens de Contrato'!B$5:G$151,2,0)</f>
        <v>#N/A</v>
      </c>
      <c r="D98" s="52"/>
      <c r="E98" s="63" t="n">
        <f aca="false">D98*'Itens de Contrato'!F98</f>
        <v>0</v>
      </c>
      <c r="F98" s="62" t="n">
        <f aca="false">'Medição 10'!F98-'Medição 10'!G98</f>
        <v>0</v>
      </c>
      <c r="G98" s="52"/>
      <c r="H98" s="64" t="e">
        <f aca="false">G98/D98</f>
        <v>#DIV/0!</v>
      </c>
      <c r="I98" s="63" t="n">
        <f aca="false">G98*'Itens de Contrato'!F98</f>
        <v>0</v>
      </c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</row>
    <row r="99" customFormat="false" ht="12.8" hidden="false" customHeight="false" outlineLevel="0" collapsed="false">
      <c r="A99" s="37" t="n">
        <f aca="false">'Itens de Contrato'!A99</f>
        <v>0</v>
      </c>
      <c r="B99" s="37" t="n">
        <f aca="false">'Itens de Contrato'!B99</f>
        <v>0</v>
      </c>
      <c r="C99" s="37" t="e">
        <f aca="false">VLOOKUP(B99,'Itens de Contrato'!B$5:G$151,2,0)</f>
        <v>#N/A</v>
      </c>
      <c r="D99" s="52"/>
      <c r="E99" s="63" t="n">
        <f aca="false">D99*'Itens de Contrato'!F99</f>
        <v>0</v>
      </c>
      <c r="F99" s="62" t="n">
        <f aca="false">'Medição 10'!F99-'Medição 10'!G99</f>
        <v>0</v>
      </c>
      <c r="G99" s="52"/>
      <c r="H99" s="64" t="e">
        <f aca="false">G99/D99</f>
        <v>#DIV/0!</v>
      </c>
      <c r="I99" s="63" t="n">
        <f aca="false">G99*'Itens de Contrato'!F99</f>
        <v>0</v>
      </c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</row>
    <row r="100" customFormat="false" ht="12.8" hidden="false" customHeight="false" outlineLevel="0" collapsed="false">
      <c r="A100" s="37" t="n">
        <f aca="false">'Itens de Contrato'!A100</f>
        <v>0</v>
      </c>
      <c r="B100" s="37" t="n">
        <f aca="false">'Itens de Contrato'!B100</f>
        <v>0</v>
      </c>
      <c r="C100" s="37" t="e">
        <f aca="false">VLOOKUP(B100,'Itens de Contrato'!B$5:G$151,2,0)</f>
        <v>#N/A</v>
      </c>
      <c r="D100" s="52"/>
      <c r="E100" s="63" t="n">
        <f aca="false">D100*'Itens de Contrato'!F100</f>
        <v>0</v>
      </c>
      <c r="F100" s="62" t="n">
        <f aca="false">'Medição 10'!F100-'Medição 10'!G100</f>
        <v>0</v>
      </c>
      <c r="G100" s="52"/>
      <c r="H100" s="64" t="e">
        <f aca="false">G100/D100</f>
        <v>#DIV/0!</v>
      </c>
      <c r="I100" s="63" t="n">
        <f aca="false">G100*'Itens de Contrato'!F100</f>
        <v>0</v>
      </c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customFormat="false" ht="12.8" hidden="false" customHeight="false" outlineLevel="0" collapsed="false">
      <c r="A101" s="37" t="n">
        <f aca="false">'Itens de Contrato'!A101</f>
        <v>0</v>
      </c>
      <c r="B101" s="37" t="n">
        <f aca="false">'Itens de Contrato'!B101</f>
        <v>0</v>
      </c>
      <c r="C101" s="37" t="e">
        <f aca="false">VLOOKUP(B101,'Itens de Contrato'!B$5:G$151,2,0)</f>
        <v>#N/A</v>
      </c>
      <c r="D101" s="52"/>
      <c r="E101" s="63" t="n">
        <f aca="false">D101*'Itens de Contrato'!F101</f>
        <v>0</v>
      </c>
      <c r="F101" s="62" t="n">
        <f aca="false">'Medição 10'!F101-'Medição 10'!G101</f>
        <v>0</v>
      </c>
      <c r="G101" s="52"/>
      <c r="H101" s="64" t="e">
        <f aca="false">G101/D101</f>
        <v>#DIV/0!</v>
      </c>
      <c r="I101" s="63" t="n">
        <f aca="false">G101*'Itens de Contrato'!F101</f>
        <v>0</v>
      </c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customFormat="false" ht="12.8" hidden="false" customHeight="false" outlineLevel="0" collapsed="false">
      <c r="A102" s="37" t="n">
        <f aca="false">'Itens de Contrato'!A102</f>
        <v>0</v>
      </c>
      <c r="B102" s="37" t="n">
        <f aca="false">'Itens de Contrato'!B102</f>
        <v>0</v>
      </c>
      <c r="C102" s="37" t="e">
        <f aca="false">VLOOKUP(B102,'Itens de Contrato'!B$5:G$151,2,0)</f>
        <v>#N/A</v>
      </c>
      <c r="D102" s="52"/>
      <c r="E102" s="63" t="n">
        <f aca="false">D102*'Itens de Contrato'!F102</f>
        <v>0</v>
      </c>
      <c r="F102" s="62" t="n">
        <f aca="false">'Medição 10'!F102-'Medição 10'!G102</f>
        <v>0</v>
      </c>
      <c r="G102" s="52"/>
      <c r="H102" s="64" t="e">
        <f aca="false">G102/D102</f>
        <v>#DIV/0!</v>
      </c>
      <c r="I102" s="63" t="n">
        <f aca="false">G102*'Itens de Contrato'!F102</f>
        <v>0</v>
      </c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</row>
    <row r="103" customFormat="false" ht="12.8" hidden="false" customHeight="false" outlineLevel="0" collapsed="false">
      <c r="A103" s="37" t="n">
        <f aca="false">'Itens de Contrato'!A103</f>
        <v>0</v>
      </c>
      <c r="B103" s="37" t="n">
        <f aca="false">'Itens de Contrato'!B103</f>
        <v>0</v>
      </c>
      <c r="C103" s="37" t="e">
        <f aca="false">VLOOKUP(B103,'Itens de Contrato'!B$5:G$151,2,0)</f>
        <v>#N/A</v>
      </c>
      <c r="D103" s="52"/>
      <c r="E103" s="63" t="n">
        <f aca="false">D103*'Itens de Contrato'!F103</f>
        <v>0</v>
      </c>
      <c r="F103" s="62" t="n">
        <f aca="false">'Medição 10'!F103-'Medição 10'!G103</f>
        <v>0</v>
      </c>
      <c r="G103" s="52"/>
      <c r="H103" s="64" t="e">
        <f aca="false">G103/D103</f>
        <v>#DIV/0!</v>
      </c>
      <c r="I103" s="63" t="n">
        <f aca="false">G103*'Itens de Contrato'!F103</f>
        <v>0</v>
      </c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</row>
    <row r="104" customFormat="false" ht="12.8" hidden="false" customHeight="false" outlineLevel="0" collapsed="false">
      <c r="A104" s="37" t="n">
        <f aca="false">'Itens de Contrato'!A104</f>
        <v>0</v>
      </c>
      <c r="B104" s="37" t="n">
        <f aca="false">'Itens de Contrato'!B104</f>
        <v>0</v>
      </c>
      <c r="C104" s="37" t="e">
        <f aca="false">VLOOKUP(B104,'Itens de Contrato'!B$5:G$151,2,0)</f>
        <v>#N/A</v>
      </c>
      <c r="D104" s="52"/>
      <c r="E104" s="63" t="n">
        <f aca="false">D104*'Itens de Contrato'!F104</f>
        <v>0</v>
      </c>
      <c r="F104" s="62" t="n">
        <f aca="false">'Medição 10'!F104-'Medição 10'!G104</f>
        <v>0</v>
      </c>
      <c r="G104" s="52"/>
      <c r="H104" s="64" t="e">
        <f aca="false">G104/D104</f>
        <v>#DIV/0!</v>
      </c>
      <c r="I104" s="63" t="n">
        <f aca="false">G104*'Itens de Contrato'!F104</f>
        <v>0</v>
      </c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</row>
    <row r="105" customFormat="false" ht="12.8" hidden="false" customHeight="false" outlineLevel="0" collapsed="false">
      <c r="A105" s="37" t="n">
        <f aca="false">'Itens de Contrato'!A105</f>
        <v>0</v>
      </c>
      <c r="B105" s="37" t="n">
        <f aca="false">'Itens de Contrato'!B105</f>
        <v>0</v>
      </c>
      <c r="C105" s="37" t="e">
        <f aca="false">VLOOKUP(B105,'Itens de Contrato'!B$5:G$151,2,0)</f>
        <v>#N/A</v>
      </c>
      <c r="D105" s="52"/>
      <c r="E105" s="63" t="n">
        <f aca="false">D105*'Itens de Contrato'!F105</f>
        <v>0</v>
      </c>
      <c r="F105" s="62" t="n">
        <f aca="false">'Medição 10'!F105-'Medição 10'!G105</f>
        <v>0</v>
      </c>
      <c r="G105" s="52"/>
      <c r="H105" s="64" t="e">
        <f aca="false">G105/D105</f>
        <v>#DIV/0!</v>
      </c>
      <c r="I105" s="63" t="n">
        <f aca="false">G105*'Itens de Contrato'!F105</f>
        <v>0</v>
      </c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</row>
    <row r="106" customFormat="false" ht="12.8" hidden="false" customHeight="false" outlineLevel="0" collapsed="false">
      <c r="A106" s="37" t="n">
        <f aca="false">'Itens de Contrato'!A106</f>
        <v>0</v>
      </c>
      <c r="B106" s="37" t="n">
        <f aca="false">'Itens de Contrato'!B106</f>
        <v>0</v>
      </c>
      <c r="C106" s="37" t="e">
        <f aca="false">VLOOKUP(B106,'Itens de Contrato'!B$5:G$151,2,0)</f>
        <v>#N/A</v>
      </c>
      <c r="D106" s="52"/>
      <c r="E106" s="63" t="n">
        <f aca="false">D106*'Itens de Contrato'!F106</f>
        <v>0</v>
      </c>
      <c r="F106" s="62" t="n">
        <f aca="false">'Medição 10'!F106-'Medição 10'!G106</f>
        <v>0</v>
      </c>
      <c r="G106" s="52"/>
      <c r="H106" s="64" t="e">
        <f aca="false">G106/D106</f>
        <v>#DIV/0!</v>
      </c>
      <c r="I106" s="63" t="n">
        <f aca="false">G106*'Itens de Contrato'!F106</f>
        <v>0</v>
      </c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</row>
    <row r="107" customFormat="false" ht="12.8" hidden="false" customHeight="false" outlineLevel="0" collapsed="false">
      <c r="A107" s="37" t="n">
        <f aca="false">'Itens de Contrato'!A107</f>
        <v>0</v>
      </c>
      <c r="B107" s="37" t="n">
        <f aca="false">'Itens de Contrato'!B107</f>
        <v>0</v>
      </c>
      <c r="C107" s="37" t="e">
        <f aca="false">VLOOKUP(B107,'Itens de Contrato'!B$5:G$151,2,0)</f>
        <v>#N/A</v>
      </c>
      <c r="D107" s="52"/>
      <c r="E107" s="63" t="n">
        <f aca="false">D107*'Itens de Contrato'!F107</f>
        <v>0</v>
      </c>
      <c r="F107" s="62" t="n">
        <f aca="false">'Medição 10'!F107-'Medição 10'!G107</f>
        <v>0</v>
      </c>
      <c r="G107" s="52"/>
      <c r="H107" s="64" t="e">
        <f aca="false">G107/D107</f>
        <v>#DIV/0!</v>
      </c>
      <c r="I107" s="63" t="n">
        <f aca="false">G107*'Itens de Contrato'!F107</f>
        <v>0</v>
      </c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</row>
    <row r="108" customFormat="false" ht="12.8" hidden="false" customHeight="false" outlineLevel="0" collapsed="false">
      <c r="A108" s="37" t="n">
        <f aca="false">'Itens de Contrato'!A108</f>
        <v>0</v>
      </c>
      <c r="B108" s="37" t="n">
        <f aca="false">'Itens de Contrato'!B108</f>
        <v>0</v>
      </c>
      <c r="C108" s="37" t="e">
        <f aca="false">VLOOKUP(B108,'Itens de Contrato'!B$5:G$151,2,0)</f>
        <v>#N/A</v>
      </c>
      <c r="D108" s="52"/>
      <c r="E108" s="63" t="n">
        <f aca="false">D108*'Itens de Contrato'!F108</f>
        <v>0</v>
      </c>
      <c r="F108" s="62" t="n">
        <f aca="false">'Medição 10'!F108-'Medição 10'!G108</f>
        <v>0</v>
      </c>
      <c r="G108" s="52"/>
      <c r="H108" s="64" t="e">
        <f aca="false">G108/D108</f>
        <v>#DIV/0!</v>
      </c>
      <c r="I108" s="63" t="n">
        <f aca="false">G108*'Itens de Contrato'!F108</f>
        <v>0</v>
      </c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</row>
    <row r="109" customFormat="false" ht="12.8" hidden="false" customHeight="false" outlineLevel="0" collapsed="false">
      <c r="A109" s="37" t="n">
        <f aca="false">'Itens de Contrato'!A109</f>
        <v>0</v>
      </c>
      <c r="B109" s="37" t="n">
        <f aca="false">'Itens de Contrato'!B109</f>
        <v>0</v>
      </c>
      <c r="C109" s="37" t="e">
        <f aca="false">VLOOKUP(B109,'Itens de Contrato'!B$5:G$151,2,0)</f>
        <v>#N/A</v>
      </c>
      <c r="D109" s="52"/>
      <c r="E109" s="63" t="n">
        <f aca="false">D109*'Itens de Contrato'!F109</f>
        <v>0</v>
      </c>
      <c r="F109" s="62" t="n">
        <f aca="false">'Medição 10'!F109-'Medição 10'!G109</f>
        <v>0</v>
      </c>
      <c r="G109" s="52"/>
      <c r="H109" s="64" t="e">
        <f aca="false">G109/D109</f>
        <v>#DIV/0!</v>
      </c>
      <c r="I109" s="63" t="n">
        <f aca="false">G109*'Itens de Contrato'!F109</f>
        <v>0</v>
      </c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</row>
    <row r="110" customFormat="false" ht="12.8" hidden="false" customHeight="false" outlineLevel="0" collapsed="false">
      <c r="A110" s="37" t="n">
        <f aca="false">'Itens de Contrato'!A110</f>
        <v>0</v>
      </c>
      <c r="B110" s="37" t="n">
        <f aca="false">'Itens de Contrato'!B110</f>
        <v>0</v>
      </c>
      <c r="C110" s="37" t="e">
        <f aca="false">VLOOKUP(B110,'Itens de Contrato'!B$5:G$151,2,0)</f>
        <v>#N/A</v>
      </c>
      <c r="D110" s="52"/>
      <c r="E110" s="63" t="n">
        <f aca="false">D110*'Itens de Contrato'!F110</f>
        <v>0</v>
      </c>
      <c r="F110" s="62" t="n">
        <f aca="false">'Medição 10'!F110-'Medição 10'!G110</f>
        <v>0</v>
      </c>
      <c r="G110" s="52"/>
      <c r="H110" s="64" t="e">
        <f aca="false">G110/D110</f>
        <v>#DIV/0!</v>
      </c>
      <c r="I110" s="63" t="n">
        <f aca="false">G110*'Itens de Contrato'!F110</f>
        <v>0</v>
      </c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</row>
    <row r="111" customFormat="false" ht="12.8" hidden="false" customHeight="false" outlineLevel="0" collapsed="false">
      <c r="A111" s="37" t="n">
        <f aca="false">'Itens de Contrato'!A111</f>
        <v>0</v>
      </c>
      <c r="B111" s="37" t="n">
        <f aca="false">'Itens de Contrato'!B111</f>
        <v>0</v>
      </c>
      <c r="C111" s="37" t="e">
        <f aca="false">VLOOKUP(B111,'Itens de Contrato'!B$5:G$151,2,0)</f>
        <v>#N/A</v>
      </c>
      <c r="D111" s="52"/>
      <c r="E111" s="63" t="n">
        <f aca="false">D111*'Itens de Contrato'!F111</f>
        <v>0</v>
      </c>
      <c r="F111" s="62" t="n">
        <f aca="false">'Medição 10'!F111-'Medição 10'!G111</f>
        <v>0</v>
      </c>
      <c r="G111" s="52"/>
      <c r="H111" s="64" t="e">
        <f aca="false">G111/D111</f>
        <v>#DIV/0!</v>
      </c>
      <c r="I111" s="63" t="n">
        <f aca="false">G111*'Itens de Contrato'!F111</f>
        <v>0</v>
      </c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</row>
    <row r="112" customFormat="false" ht="12.8" hidden="false" customHeight="false" outlineLevel="0" collapsed="false">
      <c r="A112" s="37" t="n">
        <f aca="false">'Itens de Contrato'!A112</f>
        <v>0</v>
      </c>
      <c r="B112" s="37" t="n">
        <f aca="false">'Itens de Contrato'!B112</f>
        <v>0</v>
      </c>
      <c r="C112" s="37" t="e">
        <f aca="false">VLOOKUP(B112,'Itens de Contrato'!B$5:G$151,2,0)</f>
        <v>#N/A</v>
      </c>
      <c r="D112" s="52"/>
      <c r="E112" s="63" t="n">
        <f aca="false">D112*'Itens de Contrato'!F112</f>
        <v>0</v>
      </c>
      <c r="F112" s="62" t="n">
        <f aca="false">'Medição 10'!F112-'Medição 10'!G112</f>
        <v>0</v>
      </c>
      <c r="G112" s="52"/>
      <c r="H112" s="64" t="e">
        <f aca="false">G112/D112</f>
        <v>#DIV/0!</v>
      </c>
      <c r="I112" s="63" t="n">
        <f aca="false">G112*'Itens de Contrato'!F112</f>
        <v>0</v>
      </c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</row>
    <row r="113" customFormat="false" ht="12.8" hidden="false" customHeight="false" outlineLevel="0" collapsed="false">
      <c r="A113" s="37" t="n">
        <f aca="false">'Itens de Contrato'!A113</f>
        <v>0</v>
      </c>
      <c r="B113" s="37" t="n">
        <f aca="false">'Itens de Contrato'!B113</f>
        <v>0</v>
      </c>
      <c r="C113" s="37" t="e">
        <f aca="false">VLOOKUP(B113,'Itens de Contrato'!B$5:G$151,2,0)</f>
        <v>#N/A</v>
      </c>
      <c r="D113" s="52"/>
      <c r="E113" s="63" t="n">
        <f aca="false">D113*'Itens de Contrato'!F113</f>
        <v>0</v>
      </c>
      <c r="F113" s="62" t="n">
        <f aca="false">'Medição 10'!F113-'Medição 10'!G113</f>
        <v>0</v>
      </c>
      <c r="G113" s="52"/>
      <c r="H113" s="64" t="e">
        <f aca="false">G113/D113</f>
        <v>#DIV/0!</v>
      </c>
      <c r="I113" s="63" t="n">
        <f aca="false">G113*'Itens de Contrato'!F113</f>
        <v>0</v>
      </c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</row>
    <row r="114" customFormat="false" ht="12.8" hidden="false" customHeight="false" outlineLevel="0" collapsed="false">
      <c r="A114" s="37" t="n">
        <f aca="false">'Itens de Contrato'!A114</f>
        <v>0</v>
      </c>
      <c r="B114" s="37" t="n">
        <f aca="false">'Itens de Contrato'!B114</f>
        <v>0</v>
      </c>
      <c r="C114" s="37" t="e">
        <f aca="false">VLOOKUP(B114,'Itens de Contrato'!B$5:G$151,2,0)</f>
        <v>#N/A</v>
      </c>
      <c r="D114" s="52"/>
      <c r="E114" s="63" t="n">
        <f aca="false">D114*'Itens de Contrato'!F114</f>
        <v>0</v>
      </c>
      <c r="F114" s="62" t="n">
        <f aca="false">'Medição 10'!F114-'Medição 10'!G114</f>
        <v>0</v>
      </c>
      <c r="G114" s="52"/>
      <c r="H114" s="64" t="e">
        <f aca="false">G114/D114</f>
        <v>#DIV/0!</v>
      </c>
      <c r="I114" s="63" t="n">
        <f aca="false">G114*'Itens de Contrato'!F114</f>
        <v>0</v>
      </c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</row>
    <row r="115" customFormat="false" ht="12.8" hidden="false" customHeight="false" outlineLevel="0" collapsed="false">
      <c r="A115" s="37" t="n">
        <f aca="false">'Itens de Contrato'!A115</f>
        <v>0</v>
      </c>
      <c r="B115" s="37" t="n">
        <f aca="false">'Itens de Contrato'!B115</f>
        <v>0</v>
      </c>
      <c r="C115" s="37" t="e">
        <f aca="false">VLOOKUP(B115,'Itens de Contrato'!B$5:G$151,2,0)</f>
        <v>#N/A</v>
      </c>
      <c r="D115" s="52"/>
      <c r="E115" s="63" t="n">
        <f aca="false">D115*'Itens de Contrato'!F115</f>
        <v>0</v>
      </c>
      <c r="F115" s="62" t="n">
        <f aca="false">'Medição 10'!F115-'Medição 10'!G115</f>
        <v>0</v>
      </c>
      <c r="G115" s="52"/>
      <c r="H115" s="64" t="e">
        <f aca="false">G115/D115</f>
        <v>#DIV/0!</v>
      </c>
      <c r="I115" s="63" t="n">
        <f aca="false">G115*'Itens de Contrato'!F115</f>
        <v>0</v>
      </c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</row>
    <row r="116" customFormat="false" ht="12.8" hidden="false" customHeight="false" outlineLevel="0" collapsed="false">
      <c r="A116" s="37" t="n">
        <f aca="false">'Itens de Contrato'!A116</f>
        <v>0</v>
      </c>
      <c r="B116" s="37" t="n">
        <f aca="false">'Itens de Contrato'!B116</f>
        <v>0</v>
      </c>
      <c r="C116" s="37" t="e">
        <f aca="false">VLOOKUP(B116,'Itens de Contrato'!B$5:G$151,2,0)</f>
        <v>#N/A</v>
      </c>
      <c r="D116" s="52"/>
      <c r="E116" s="63" t="n">
        <f aca="false">D116*'Itens de Contrato'!F116</f>
        <v>0</v>
      </c>
      <c r="F116" s="62" t="n">
        <f aca="false">'Medição 10'!F116-'Medição 10'!G116</f>
        <v>0</v>
      </c>
      <c r="G116" s="52"/>
      <c r="H116" s="64" t="e">
        <f aca="false">G116/D116</f>
        <v>#DIV/0!</v>
      </c>
      <c r="I116" s="63" t="n">
        <f aca="false">G116*'Itens de Contrato'!F116</f>
        <v>0</v>
      </c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</row>
    <row r="117" customFormat="false" ht="12.8" hidden="false" customHeight="false" outlineLevel="0" collapsed="false">
      <c r="A117" s="37" t="n">
        <f aca="false">'Itens de Contrato'!A117</f>
        <v>0</v>
      </c>
      <c r="B117" s="37" t="n">
        <f aca="false">'Itens de Contrato'!B117</f>
        <v>0</v>
      </c>
      <c r="C117" s="37" t="e">
        <f aca="false">VLOOKUP(B117,'Itens de Contrato'!B$5:G$151,2,0)</f>
        <v>#N/A</v>
      </c>
      <c r="D117" s="52"/>
      <c r="E117" s="63" t="n">
        <f aca="false">D117*'Itens de Contrato'!F117</f>
        <v>0</v>
      </c>
      <c r="F117" s="62" t="n">
        <f aca="false">'Medição 10'!F117-'Medição 10'!G117</f>
        <v>0</v>
      </c>
      <c r="G117" s="52"/>
      <c r="H117" s="64" t="e">
        <f aca="false">G117/D117</f>
        <v>#DIV/0!</v>
      </c>
      <c r="I117" s="63" t="n">
        <f aca="false">G117*'Itens de Contrato'!F117</f>
        <v>0</v>
      </c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</row>
    <row r="118" customFormat="false" ht="12.8" hidden="false" customHeight="false" outlineLevel="0" collapsed="false">
      <c r="A118" s="37" t="n">
        <f aca="false">'Itens de Contrato'!A118</f>
        <v>0</v>
      </c>
      <c r="B118" s="37" t="n">
        <f aca="false">'Itens de Contrato'!B118</f>
        <v>0</v>
      </c>
      <c r="C118" s="37" t="e">
        <f aca="false">VLOOKUP(B118,'Itens de Contrato'!B$5:G$151,2,0)</f>
        <v>#N/A</v>
      </c>
      <c r="D118" s="52"/>
      <c r="E118" s="63" t="n">
        <f aca="false">D118*'Itens de Contrato'!F118</f>
        <v>0</v>
      </c>
      <c r="F118" s="62" t="n">
        <f aca="false">'Medição 10'!F118-'Medição 10'!G118</f>
        <v>0</v>
      </c>
      <c r="G118" s="52"/>
      <c r="H118" s="64" t="e">
        <f aca="false">G118/D118</f>
        <v>#DIV/0!</v>
      </c>
      <c r="I118" s="63" t="n">
        <f aca="false">G118*'Itens de Contrato'!F118</f>
        <v>0</v>
      </c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</row>
    <row r="119" customFormat="false" ht="12.8" hidden="false" customHeight="false" outlineLevel="0" collapsed="false">
      <c r="A119" s="37" t="n">
        <f aca="false">'Itens de Contrato'!A119</f>
        <v>0</v>
      </c>
      <c r="B119" s="37" t="n">
        <f aca="false">'Itens de Contrato'!B119</f>
        <v>0</v>
      </c>
      <c r="C119" s="37" t="e">
        <f aca="false">VLOOKUP(B119,'Itens de Contrato'!B$5:G$151,2,0)</f>
        <v>#N/A</v>
      </c>
      <c r="D119" s="52"/>
      <c r="E119" s="63" t="n">
        <f aca="false">D119*'Itens de Contrato'!F119</f>
        <v>0</v>
      </c>
      <c r="F119" s="62" t="n">
        <f aca="false">'Medição 10'!F119-'Medição 10'!G119</f>
        <v>0</v>
      </c>
      <c r="G119" s="52"/>
      <c r="H119" s="64" t="e">
        <f aca="false">G119/D119</f>
        <v>#DIV/0!</v>
      </c>
      <c r="I119" s="63" t="n">
        <f aca="false">G119*'Itens de Contrato'!F119</f>
        <v>0</v>
      </c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</row>
    <row r="120" customFormat="false" ht="12.8" hidden="false" customHeight="false" outlineLevel="0" collapsed="false">
      <c r="A120" s="37" t="n">
        <f aca="false">'Itens de Contrato'!A120</f>
        <v>0</v>
      </c>
      <c r="B120" s="37" t="n">
        <f aca="false">'Itens de Contrato'!B120</f>
        <v>0</v>
      </c>
      <c r="C120" s="37" t="e">
        <f aca="false">VLOOKUP(B120,'Itens de Contrato'!B$5:G$151,2,0)</f>
        <v>#N/A</v>
      </c>
      <c r="D120" s="52"/>
      <c r="E120" s="63" t="n">
        <f aca="false">D120*'Itens de Contrato'!F120</f>
        <v>0</v>
      </c>
      <c r="F120" s="62" t="n">
        <f aca="false">'Medição 10'!F120-'Medição 10'!G120</f>
        <v>0</v>
      </c>
      <c r="G120" s="52"/>
      <c r="H120" s="64" t="e">
        <f aca="false">G120/D120</f>
        <v>#DIV/0!</v>
      </c>
      <c r="I120" s="63" t="n">
        <f aca="false">G120*'Itens de Contrato'!F120</f>
        <v>0</v>
      </c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</row>
    <row r="121" customFormat="false" ht="12.8" hidden="false" customHeight="false" outlineLevel="0" collapsed="false">
      <c r="A121" s="37" t="n">
        <f aca="false">'Itens de Contrato'!A121</f>
        <v>0</v>
      </c>
      <c r="B121" s="37" t="n">
        <f aca="false">'Itens de Contrato'!B121</f>
        <v>0</v>
      </c>
      <c r="C121" s="37" t="e">
        <f aca="false">VLOOKUP(B121,'Itens de Contrato'!B$5:G$151,2,0)</f>
        <v>#N/A</v>
      </c>
      <c r="D121" s="52"/>
      <c r="E121" s="63" t="n">
        <f aca="false">D121*'Itens de Contrato'!F121</f>
        <v>0</v>
      </c>
      <c r="F121" s="62" t="n">
        <f aca="false">'Medição 10'!F121-'Medição 10'!G121</f>
        <v>0</v>
      </c>
      <c r="G121" s="52"/>
      <c r="H121" s="64" t="e">
        <f aca="false">G121/D121</f>
        <v>#DIV/0!</v>
      </c>
      <c r="I121" s="63" t="n">
        <f aca="false">G121*'Itens de Contrato'!F121</f>
        <v>0</v>
      </c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</row>
    <row r="122" customFormat="false" ht="12.8" hidden="false" customHeight="false" outlineLevel="0" collapsed="false">
      <c r="A122" s="37" t="n">
        <f aca="false">'Itens de Contrato'!A122</f>
        <v>0</v>
      </c>
      <c r="B122" s="37" t="n">
        <f aca="false">'Itens de Contrato'!B122</f>
        <v>0</v>
      </c>
      <c r="C122" s="37" t="e">
        <f aca="false">VLOOKUP(B122,'Itens de Contrato'!B$5:G$151,2,0)</f>
        <v>#N/A</v>
      </c>
      <c r="D122" s="52"/>
      <c r="E122" s="63" t="n">
        <f aca="false">D122*'Itens de Contrato'!F122</f>
        <v>0</v>
      </c>
      <c r="F122" s="62" t="n">
        <f aca="false">'Medição 10'!F122-'Medição 10'!G122</f>
        <v>0</v>
      </c>
      <c r="G122" s="52"/>
      <c r="H122" s="64" t="e">
        <f aca="false">G122/D122</f>
        <v>#DIV/0!</v>
      </c>
      <c r="I122" s="63" t="n">
        <f aca="false">G122*'Itens de Contrato'!F122</f>
        <v>0</v>
      </c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</row>
    <row r="123" customFormat="false" ht="12.8" hidden="false" customHeight="false" outlineLevel="0" collapsed="false">
      <c r="A123" s="37" t="n">
        <f aca="false">'Itens de Contrato'!A123</f>
        <v>0</v>
      </c>
      <c r="B123" s="37" t="n">
        <f aca="false">'Itens de Contrato'!B123</f>
        <v>0</v>
      </c>
      <c r="C123" s="37" t="e">
        <f aca="false">VLOOKUP(B123,'Itens de Contrato'!B$5:G$151,2,0)</f>
        <v>#N/A</v>
      </c>
      <c r="D123" s="52"/>
      <c r="E123" s="63" t="n">
        <f aca="false">D123*'Itens de Contrato'!F123</f>
        <v>0</v>
      </c>
      <c r="F123" s="62" t="n">
        <f aca="false">'Medição 10'!F123-'Medição 10'!G123</f>
        <v>0</v>
      </c>
      <c r="G123" s="52"/>
      <c r="H123" s="64" t="e">
        <f aca="false">G123/D123</f>
        <v>#DIV/0!</v>
      </c>
      <c r="I123" s="63" t="n">
        <f aca="false">G123*'Itens de Contrato'!F123</f>
        <v>0</v>
      </c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</row>
    <row r="124" customFormat="false" ht="12.8" hidden="false" customHeight="false" outlineLevel="0" collapsed="false">
      <c r="A124" s="37" t="n">
        <f aca="false">'Itens de Contrato'!A124</f>
        <v>0</v>
      </c>
      <c r="B124" s="37" t="n">
        <f aca="false">'Itens de Contrato'!B124</f>
        <v>0</v>
      </c>
      <c r="C124" s="37" t="e">
        <f aca="false">VLOOKUP(B124,'Itens de Contrato'!B$5:G$151,2,0)</f>
        <v>#N/A</v>
      </c>
      <c r="D124" s="52"/>
      <c r="E124" s="63" t="n">
        <f aca="false">D124*'Itens de Contrato'!F124</f>
        <v>0</v>
      </c>
      <c r="F124" s="62" t="n">
        <f aca="false">'Medição 10'!F124-'Medição 10'!G124</f>
        <v>0</v>
      </c>
      <c r="G124" s="52"/>
      <c r="H124" s="64" t="e">
        <f aca="false">G124/D124</f>
        <v>#DIV/0!</v>
      </c>
      <c r="I124" s="63" t="n">
        <f aca="false">G124*'Itens de Contrato'!F124</f>
        <v>0</v>
      </c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</row>
    <row r="125" customFormat="false" ht="12.8" hidden="false" customHeight="false" outlineLevel="0" collapsed="false">
      <c r="A125" s="37" t="n">
        <f aca="false">'Itens de Contrato'!A125</f>
        <v>0</v>
      </c>
      <c r="B125" s="37" t="n">
        <f aca="false">'Itens de Contrato'!B125</f>
        <v>0</v>
      </c>
      <c r="C125" s="37" t="e">
        <f aca="false">VLOOKUP(B125,'Itens de Contrato'!B$5:G$151,2,0)</f>
        <v>#N/A</v>
      </c>
      <c r="D125" s="52"/>
      <c r="E125" s="63" t="n">
        <f aca="false">D125*'Itens de Contrato'!F125</f>
        <v>0</v>
      </c>
      <c r="F125" s="62" t="n">
        <f aca="false">'Medição 10'!F125-'Medição 10'!G125</f>
        <v>0</v>
      </c>
      <c r="G125" s="52"/>
      <c r="H125" s="64" t="e">
        <f aca="false">G125/D125</f>
        <v>#DIV/0!</v>
      </c>
      <c r="I125" s="63" t="n">
        <f aca="false">G125*'Itens de Contrato'!F125</f>
        <v>0</v>
      </c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</row>
    <row r="126" customFormat="false" ht="12.8" hidden="false" customHeight="false" outlineLevel="0" collapsed="false">
      <c r="A126" s="37" t="n">
        <f aca="false">'Itens de Contrato'!A126</f>
        <v>0</v>
      </c>
      <c r="B126" s="37" t="n">
        <f aca="false">'Itens de Contrato'!B126</f>
        <v>0</v>
      </c>
      <c r="C126" s="37" t="e">
        <f aca="false">VLOOKUP(B126,'Itens de Contrato'!B$5:G$151,2,0)</f>
        <v>#N/A</v>
      </c>
      <c r="D126" s="52"/>
      <c r="E126" s="63" t="n">
        <f aca="false">D126*'Itens de Contrato'!F126</f>
        <v>0</v>
      </c>
      <c r="F126" s="62" t="n">
        <f aca="false">'Medição 10'!F126-'Medição 10'!G126</f>
        <v>0</v>
      </c>
      <c r="G126" s="52"/>
      <c r="H126" s="64" t="e">
        <f aca="false">G126/D126</f>
        <v>#DIV/0!</v>
      </c>
      <c r="I126" s="63" t="n">
        <f aca="false">G126*'Itens de Contrato'!F126</f>
        <v>0</v>
      </c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</row>
    <row r="127" customFormat="false" ht="12.8" hidden="false" customHeight="false" outlineLevel="0" collapsed="false">
      <c r="A127" s="37" t="n">
        <f aca="false">'Itens de Contrato'!A127</f>
        <v>0</v>
      </c>
      <c r="B127" s="37" t="n">
        <f aca="false">'Itens de Contrato'!B127</f>
        <v>0</v>
      </c>
      <c r="C127" s="37" t="e">
        <f aca="false">VLOOKUP(B127,'Itens de Contrato'!B$5:G$151,2,0)</f>
        <v>#N/A</v>
      </c>
      <c r="D127" s="52"/>
      <c r="E127" s="63" t="n">
        <f aca="false">D127*'Itens de Contrato'!F127</f>
        <v>0</v>
      </c>
      <c r="F127" s="62" t="n">
        <f aca="false">'Medição 10'!F127-'Medição 10'!G127</f>
        <v>0</v>
      </c>
      <c r="G127" s="52"/>
      <c r="H127" s="64" t="e">
        <f aca="false">G127/D127</f>
        <v>#DIV/0!</v>
      </c>
      <c r="I127" s="63" t="n">
        <f aca="false">G127*'Itens de Contrato'!F127</f>
        <v>0</v>
      </c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</row>
    <row r="128" customFormat="false" ht="12.8" hidden="false" customHeight="false" outlineLevel="0" collapsed="false">
      <c r="A128" s="37" t="n">
        <f aca="false">'Itens de Contrato'!A128</f>
        <v>0</v>
      </c>
      <c r="B128" s="37" t="n">
        <f aca="false">'Itens de Contrato'!B128</f>
        <v>0</v>
      </c>
      <c r="C128" s="37" t="e">
        <f aca="false">VLOOKUP(B128,'Itens de Contrato'!B$5:G$151,2,0)</f>
        <v>#N/A</v>
      </c>
      <c r="D128" s="52"/>
      <c r="E128" s="63" t="n">
        <f aca="false">D128*'Itens de Contrato'!F128</f>
        <v>0</v>
      </c>
      <c r="F128" s="62" t="n">
        <f aca="false">'Medição 10'!F128-'Medição 10'!G128</f>
        <v>0</v>
      </c>
      <c r="G128" s="52"/>
      <c r="H128" s="64" t="e">
        <f aca="false">G128/D128</f>
        <v>#DIV/0!</v>
      </c>
      <c r="I128" s="63" t="n">
        <f aca="false">G128*'Itens de Contrato'!F128</f>
        <v>0</v>
      </c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</row>
    <row r="129" customFormat="false" ht="12.8" hidden="false" customHeight="false" outlineLevel="0" collapsed="false">
      <c r="A129" s="37" t="n">
        <f aca="false">'Itens de Contrato'!A129</f>
        <v>0</v>
      </c>
      <c r="B129" s="37" t="n">
        <f aca="false">'Itens de Contrato'!B129</f>
        <v>0</v>
      </c>
      <c r="C129" s="37" t="e">
        <f aca="false">VLOOKUP(B129,'Itens de Contrato'!B$5:G$151,2,0)</f>
        <v>#N/A</v>
      </c>
      <c r="D129" s="52"/>
      <c r="E129" s="63" t="n">
        <f aca="false">D129*'Itens de Contrato'!F129</f>
        <v>0</v>
      </c>
      <c r="F129" s="62" t="n">
        <f aca="false">'Medição 10'!F129-'Medição 10'!G129</f>
        <v>0</v>
      </c>
      <c r="G129" s="52"/>
      <c r="H129" s="64" t="e">
        <f aca="false">G129/D129</f>
        <v>#DIV/0!</v>
      </c>
      <c r="I129" s="63" t="n">
        <f aca="false">G129*'Itens de Contrato'!F129</f>
        <v>0</v>
      </c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</row>
    <row r="130" customFormat="false" ht="12.8" hidden="false" customHeight="false" outlineLevel="0" collapsed="false">
      <c r="A130" s="37" t="n">
        <f aca="false">'Itens de Contrato'!A130</f>
        <v>0</v>
      </c>
      <c r="B130" s="37" t="n">
        <f aca="false">'Itens de Contrato'!B130</f>
        <v>0</v>
      </c>
      <c r="C130" s="37" t="e">
        <f aca="false">VLOOKUP(B130,'Itens de Contrato'!B$5:G$151,2,0)</f>
        <v>#N/A</v>
      </c>
      <c r="D130" s="52"/>
      <c r="E130" s="63" t="n">
        <f aca="false">D130*'Itens de Contrato'!F130</f>
        <v>0</v>
      </c>
      <c r="F130" s="62" t="n">
        <f aca="false">'Medição 10'!F130-'Medição 10'!G130</f>
        <v>0</v>
      </c>
      <c r="G130" s="52"/>
      <c r="H130" s="64" t="e">
        <f aca="false">G130/D130</f>
        <v>#DIV/0!</v>
      </c>
      <c r="I130" s="63" t="n">
        <f aca="false">G130*'Itens de Contrato'!F130</f>
        <v>0</v>
      </c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</row>
    <row r="131" customFormat="false" ht="12.8" hidden="false" customHeight="false" outlineLevel="0" collapsed="false">
      <c r="A131" s="37" t="n">
        <f aca="false">'Itens de Contrato'!A131</f>
        <v>0</v>
      </c>
      <c r="B131" s="37" t="n">
        <f aca="false">'Itens de Contrato'!B131</f>
        <v>0</v>
      </c>
      <c r="C131" s="37" t="e">
        <f aca="false">VLOOKUP(B131,'Itens de Contrato'!B$5:G$151,2,0)</f>
        <v>#N/A</v>
      </c>
      <c r="D131" s="52"/>
      <c r="E131" s="63" t="n">
        <f aca="false">D131*'Itens de Contrato'!F131</f>
        <v>0</v>
      </c>
      <c r="F131" s="62" t="n">
        <f aca="false">'Medição 10'!F131-'Medição 10'!G131</f>
        <v>0</v>
      </c>
      <c r="G131" s="52"/>
      <c r="H131" s="64" t="e">
        <f aca="false">G131/D131</f>
        <v>#DIV/0!</v>
      </c>
      <c r="I131" s="63" t="n">
        <f aca="false">G131*'Itens de Contrato'!F131</f>
        <v>0</v>
      </c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</row>
    <row r="132" customFormat="false" ht="12.8" hidden="false" customHeight="false" outlineLevel="0" collapsed="false">
      <c r="A132" s="37" t="n">
        <f aca="false">'Itens de Contrato'!A132</f>
        <v>0</v>
      </c>
      <c r="B132" s="37" t="n">
        <f aca="false">'Itens de Contrato'!B132</f>
        <v>0</v>
      </c>
      <c r="C132" s="37" t="e">
        <f aca="false">VLOOKUP(B132,'Itens de Contrato'!B$5:G$151,2,0)</f>
        <v>#N/A</v>
      </c>
      <c r="D132" s="52"/>
      <c r="E132" s="63" t="n">
        <f aca="false">D132*'Itens de Contrato'!F132</f>
        <v>0</v>
      </c>
      <c r="F132" s="62" t="n">
        <f aca="false">'Medição 10'!F132-'Medição 10'!G132</f>
        <v>0</v>
      </c>
      <c r="G132" s="52"/>
      <c r="H132" s="64" t="e">
        <f aca="false">G132/D132</f>
        <v>#DIV/0!</v>
      </c>
      <c r="I132" s="63" t="n">
        <f aca="false">G132*'Itens de Contrato'!F132</f>
        <v>0</v>
      </c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</row>
    <row r="133" customFormat="false" ht="12.8" hidden="false" customHeight="false" outlineLevel="0" collapsed="false">
      <c r="A133" s="37" t="n">
        <f aca="false">'Itens de Contrato'!A133</f>
        <v>0</v>
      </c>
      <c r="B133" s="37" t="n">
        <f aca="false">'Itens de Contrato'!B133</f>
        <v>0</v>
      </c>
      <c r="C133" s="37" t="e">
        <f aca="false">VLOOKUP(B133,'Itens de Contrato'!B$5:G$151,2,0)</f>
        <v>#N/A</v>
      </c>
      <c r="D133" s="52"/>
      <c r="E133" s="63" t="n">
        <f aca="false">D133*'Itens de Contrato'!F133</f>
        <v>0</v>
      </c>
      <c r="F133" s="62" t="n">
        <f aca="false">'Medição 10'!F133-'Medição 10'!G133</f>
        <v>0</v>
      </c>
      <c r="G133" s="52"/>
      <c r="H133" s="64" t="e">
        <f aca="false">G133/D133</f>
        <v>#DIV/0!</v>
      </c>
      <c r="I133" s="63" t="n">
        <f aca="false">G133*'Itens de Contrato'!F133</f>
        <v>0</v>
      </c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</row>
    <row r="134" customFormat="false" ht="12.8" hidden="false" customHeight="false" outlineLevel="0" collapsed="false">
      <c r="A134" s="37" t="n">
        <f aca="false">'Itens de Contrato'!A134</f>
        <v>0</v>
      </c>
      <c r="B134" s="37" t="n">
        <f aca="false">'Itens de Contrato'!B134</f>
        <v>0</v>
      </c>
      <c r="C134" s="37" t="e">
        <f aca="false">VLOOKUP(B134,'Itens de Contrato'!B$5:G$151,2,0)</f>
        <v>#N/A</v>
      </c>
      <c r="D134" s="52"/>
      <c r="E134" s="63" t="n">
        <f aca="false">D134*'Itens de Contrato'!F134</f>
        <v>0</v>
      </c>
      <c r="F134" s="62" t="n">
        <f aca="false">'Medição 10'!F134-'Medição 10'!G134</f>
        <v>0</v>
      </c>
      <c r="G134" s="52"/>
      <c r="H134" s="64" t="e">
        <f aca="false">G134/D134</f>
        <v>#DIV/0!</v>
      </c>
      <c r="I134" s="63" t="n">
        <f aca="false">G134*'Itens de Contrato'!F134</f>
        <v>0</v>
      </c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</row>
    <row r="135" customFormat="false" ht="12.8" hidden="false" customHeight="false" outlineLevel="0" collapsed="false">
      <c r="A135" s="37" t="n">
        <f aca="false">'Itens de Contrato'!A135</f>
        <v>0</v>
      </c>
      <c r="B135" s="37" t="n">
        <f aca="false">'Itens de Contrato'!B135</f>
        <v>0</v>
      </c>
      <c r="C135" s="37" t="e">
        <f aca="false">VLOOKUP(B135,'Itens de Contrato'!B$5:G$151,2,0)</f>
        <v>#N/A</v>
      </c>
      <c r="D135" s="52"/>
      <c r="E135" s="63" t="n">
        <f aca="false">D135*'Itens de Contrato'!F135</f>
        <v>0</v>
      </c>
      <c r="F135" s="62" t="n">
        <f aca="false">'Medição 10'!F135-'Medição 10'!G135</f>
        <v>0</v>
      </c>
      <c r="G135" s="52"/>
      <c r="H135" s="64" t="e">
        <f aca="false">G135/D135</f>
        <v>#DIV/0!</v>
      </c>
      <c r="I135" s="63" t="n">
        <f aca="false">G135*'Itens de Contrato'!F135</f>
        <v>0</v>
      </c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</row>
    <row r="136" customFormat="false" ht="12.8" hidden="false" customHeight="false" outlineLevel="0" collapsed="false">
      <c r="A136" s="37" t="n">
        <f aca="false">'Itens de Contrato'!A136</f>
        <v>0</v>
      </c>
      <c r="B136" s="37" t="n">
        <f aca="false">'Itens de Contrato'!B136</f>
        <v>0</v>
      </c>
      <c r="C136" s="37" t="e">
        <f aca="false">VLOOKUP(B136,'Itens de Contrato'!B$5:G$151,2,0)</f>
        <v>#N/A</v>
      </c>
      <c r="D136" s="52"/>
      <c r="E136" s="63" t="n">
        <f aca="false">D136*'Itens de Contrato'!F136</f>
        <v>0</v>
      </c>
      <c r="F136" s="62" t="n">
        <f aca="false">'Medição 10'!F136-'Medição 10'!G136</f>
        <v>0</v>
      </c>
      <c r="G136" s="52"/>
      <c r="H136" s="64" t="e">
        <f aca="false">G136/D136</f>
        <v>#DIV/0!</v>
      </c>
      <c r="I136" s="63" t="n">
        <f aca="false">G136*'Itens de Contrato'!F136</f>
        <v>0</v>
      </c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</row>
    <row r="137" customFormat="false" ht="12.8" hidden="false" customHeight="false" outlineLevel="0" collapsed="false">
      <c r="A137" s="37" t="n">
        <f aca="false">'Itens de Contrato'!A137</f>
        <v>0</v>
      </c>
      <c r="B137" s="37" t="n">
        <f aca="false">'Itens de Contrato'!B137</f>
        <v>0</v>
      </c>
      <c r="C137" s="37" t="e">
        <f aca="false">VLOOKUP(B137,'Itens de Contrato'!B$5:G$151,2,0)</f>
        <v>#N/A</v>
      </c>
      <c r="D137" s="52"/>
      <c r="E137" s="63" t="n">
        <f aca="false">D137*'Itens de Contrato'!F137</f>
        <v>0</v>
      </c>
      <c r="F137" s="62" t="n">
        <f aca="false">'Medição 10'!F137-'Medição 10'!G137</f>
        <v>0</v>
      </c>
      <c r="G137" s="52"/>
      <c r="H137" s="64" t="e">
        <f aca="false">G137/D137</f>
        <v>#DIV/0!</v>
      </c>
      <c r="I137" s="63" t="n">
        <f aca="false">G137*'Itens de Contrato'!F137</f>
        <v>0</v>
      </c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</row>
    <row r="138" customFormat="false" ht="12.8" hidden="false" customHeight="false" outlineLevel="0" collapsed="false">
      <c r="A138" s="37" t="n">
        <f aca="false">'Itens de Contrato'!A138</f>
        <v>0</v>
      </c>
      <c r="B138" s="37" t="n">
        <f aca="false">'Itens de Contrato'!B138</f>
        <v>0</v>
      </c>
      <c r="C138" s="37" t="e">
        <f aca="false">VLOOKUP(B138,'Itens de Contrato'!B$5:G$151,2,0)</f>
        <v>#N/A</v>
      </c>
      <c r="D138" s="52"/>
      <c r="E138" s="63" t="n">
        <f aca="false">D138*'Itens de Contrato'!F138</f>
        <v>0</v>
      </c>
      <c r="F138" s="62" t="n">
        <f aca="false">'Medição 10'!F138-'Medição 10'!G138</f>
        <v>0</v>
      </c>
      <c r="G138" s="52"/>
      <c r="H138" s="64" t="e">
        <f aca="false">G138/D138</f>
        <v>#DIV/0!</v>
      </c>
      <c r="I138" s="63" t="n">
        <f aca="false">G138*'Itens de Contrato'!F138</f>
        <v>0</v>
      </c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</row>
    <row r="139" customFormat="false" ht="12.8" hidden="false" customHeight="false" outlineLevel="0" collapsed="false">
      <c r="A139" s="37" t="n">
        <f aca="false">'Itens de Contrato'!A139</f>
        <v>0</v>
      </c>
      <c r="B139" s="37" t="n">
        <f aca="false">'Itens de Contrato'!B139</f>
        <v>0</v>
      </c>
      <c r="C139" s="37" t="e">
        <f aca="false">VLOOKUP(B139,'Itens de Contrato'!B$5:G$151,2,0)</f>
        <v>#N/A</v>
      </c>
      <c r="D139" s="52"/>
      <c r="E139" s="63" t="n">
        <f aca="false">D139*'Itens de Contrato'!F139</f>
        <v>0</v>
      </c>
      <c r="F139" s="62" t="n">
        <f aca="false">'Medição 10'!F139-'Medição 10'!G139</f>
        <v>0</v>
      </c>
      <c r="G139" s="52"/>
      <c r="H139" s="64" t="e">
        <f aca="false">G139/D139</f>
        <v>#DIV/0!</v>
      </c>
      <c r="I139" s="63" t="n">
        <f aca="false">G139*'Itens de Contrato'!F139</f>
        <v>0</v>
      </c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</row>
    <row r="140" customFormat="false" ht="12.8" hidden="false" customHeight="false" outlineLevel="0" collapsed="false">
      <c r="A140" s="37" t="n">
        <f aca="false">'Itens de Contrato'!A140</f>
        <v>0</v>
      </c>
      <c r="B140" s="37" t="n">
        <f aca="false">'Itens de Contrato'!B140</f>
        <v>0</v>
      </c>
      <c r="C140" s="37" t="e">
        <f aca="false">VLOOKUP(B140,'Itens de Contrato'!B$5:G$151,2,0)</f>
        <v>#N/A</v>
      </c>
      <c r="D140" s="52"/>
      <c r="E140" s="63" t="n">
        <f aca="false">D140*'Itens de Contrato'!F140</f>
        <v>0</v>
      </c>
      <c r="F140" s="62" t="n">
        <f aca="false">'Medição 10'!F140-'Medição 10'!G140</f>
        <v>0</v>
      </c>
      <c r="G140" s="52"/>
      <c r="H140" s="64" t="e">
        <f aca="false">G140/D140</f>
        <v>#DIV/0!</v>
      </c>
      <c r="I140" s="63" t="n">
        <f aca="false">G140*'Itens de Contrato'!F140</f>
        <v>0</v>
      </c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</row>
    <row r="141" customFormat="false" ht="12.8" hidden="false" customHeight="false" outlineLevel="0" collapsed="false">
      <c r="A141" s="37" t="n">
        <f aca="false">'Itens de Contrato'!A141</f>
        <v>0</v>
      </c>
      <c r="B141" s="37" t="n">
        <f aca="false">'Itens de Contrato'!B141</f>
        <v>0</v>
      </c>
      <c r="C141" s="37" t="e">
        <f aca="false">VLOOKUP(B141,'Itens de Contrato'!B$5:G$151,2,0)</f>
        <v>#N/A</v>
      </c>
      <c r="D141" s="52"/>
      <c r="E141" s="63" t="n">
        <f aca="false">D141*'Itens de Contrato'!F141</f>
        <v>0</v>
      </c>
      <c r="F141" s="62" t="n">
        <f aca="false">'Medição 10'!F141-'Medição 10'!G141</f>
        <v>0</v>
      </c>
      <c r="G141" s="52"/>
      <c r="H141" s="64" t="e">
        <f aca="false">G141/D141</f>
        <v>#DIV/0!</v>
      </c>
      <c r="I141" s="63" t="n">
        <f aca="false">G141*'Itens de Contrato'!F141</f>
        <v>0</v>
      </c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</row>
    <row r="142" customFormat="false" ht="12.8" hidden="false" customHeight="false" outlineLevel="0" collapsed="false">
      <c r="A142" s="37" t="n">
        <f aca="false">'Itens de Contrato'!A142</f>
        <v>0</v>
      </c>
      <c r="B142" s="37" t="n">
        <f aca="false">'Itens de Contrato'!B142</f>
        <v>0</v>
      </c>
      <c r="C142" s="37" t="e">
        <f aca="false">VLOOKUP(B142,'Itens de Contrato'!B$5:G$151,2,0)</f>
        <v>#N/A</v>
      </c>
      <c r="D142" s="52"/>
      <c r="E142" s="63" t="n">
        <f aca="false">D142*'Itens de Contrato'!F142</f>
        <v>0</v>
      </c>
      <c r="F142" s="62" t="n">
        <f aca="false">'Medição 10'!F142-'Medição 10'!G142</f>
        <v>0</v>
      </c>
      <c r="G142" s="52"/>
      <c r="H142" s="64" t="e">
        <f aca="false">G142/D142</f>
        <v>#DIV/0!</v>
      </c>
      <c r="I142" s="63" t="n">
        <f aca="false">G142*'Itens de Contrato'!F142</f>
        <v>0</v>
      </c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</row>
    <row r="143" customFormat="false" ht="12.8" hidden="false" customHeight="false" outlineLevel="0" collapsed="false">
      <c r="A143" s="37" t="n">
        <f aca="false">'Itens de Contrato'!A143</f>
        <v>0</v>
      </c>
      <c r="B143" s="37" t="n">
        <f aca="false">'Itens de Contrato'!B143</f>
        <v>0</v>
      </c>
      <c r="C143" s="37" t="e">
        <f aca="false">VLOOKUP(B143,'Itens de Contrato'!B$5:G$151,2,0)</f>
        <v>#N/A</v>
      </c>
      <c r="D143" s="52"/>
      <c r="E143" s="63" t="n">
        <f aca="false">D143*'Itens de Contrato'!F143</f>
        <v>0</v>
      </c>
      <c r="F143" s="62" t="n">
        <f aca="false">'Medição 10'!F143-'Medição 10'!G143</f>
        <v>0</v>
      </c>
      <c r="G143" s="52"/>
      <c r="H143" s="64" t="e">
        <f aca="false">G143/D143</f>
        <v>#DIV/0!</v>
      </c>
      <c r="I143" s="63" t="n">
        <f aca="false">G143*'Itens de Contrato'!F143</f>
        <v>0</v>
      </c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</row>
    <row r="144" customFormat="false" ht="12.8" hidden="false" customHeight="false" outlineLevel="0" collapsed="false">
      <c r="A144" s="37" t="n">
        <f aca="false">'Itens de Contrato'!A144</f>
        <v>0</v>
      </c>
      <c r="B144" s="37" t="n">
        <f aca="false">'Itens de Contrato'!B144</f>
        <v>0</v>
      </c>
      <c r="C144" s="37" t="e">
        <f aca="false">VLOOKUP(B144,'Itens de Contrato'!B$5:G$151,2,0)</f>
        <v>#N/A</v>
      </c>
      <c r="D144" s="52"/>
      <c r="E144" s="63" t="n">
        <f aca="false">D144*'Itens de Contrato'!F144</f>
        <v>0</v>
      </c>
      <c r="F144" s="62" t="n">
        <f aca="false">'Medição 10'!F144-'Medição 10'!G144</f>
        <v>0</v>
      </c>
      <c r="G144" s="52"/>
      <c r="H144" s="64" t="e">
        <f aca="false">G144/D144</f>
        <v>#DIV/0!</v>
      </c>
      <c r="I144" s="63" t="n">
        <f aca="false">G144*'Itens de Contrato'!F144</f>
        <v>0</v>
      </c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</row>
    <row r="145" customFormat="false" ht="12.8" hidden="false" customHeight="false" outlineLevel="0" collapsed="false">
      <c r="A145" s="37" t="n">
        <f aca="false">'Itens de Contrato'!A145</f>
        <v>0</v>
      </c>
      <c r="B145" s="37" t="n">
        <f aca="false">'Itens de Contrato'!B145</f>
        <v>0</v>
      </c>
      <c r="C145" s="37" t="e">
        <f aca="false">VLOOKUP(B145,'Itens de Contrato'!B$5:G$151,2,0)</f>
        <v>#N/A</v>
      </c>
      <c r="D145" s="52"/>
      <c r="E145" s="63" t="n">
        <f aca="false">D145*'Itens de Contrato'!F145</f>
        <v>0</v>
      </c>
      <c r="F145" s="62" t="n">
        <f aca="false">'Medição 10'!F145-'Medição 10'!G145</f>
        <v>0</v>
      </c>
      <c r="G145" s="52"/>
      <c r="H145" s="64" t="e">
        <f aca="false">G145/D145</f>
        <v>#DIV/0!</v>
      </c>
      <c r="I145" s="63" t="n">
        <f aca="false">G145*'Itens de Contrato'!F145</f>
        <v>0</v>
      </c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</row>
    <row r="146" customFormat="false" ht="12.8" hidden="false" customHeight="false" outlineLevel="0" collapsed="false">
      <c r="A146" s="37" t="n">
        <f aca="false">'Itens de Contrato'!A146</f>
        <v>0</v>
      </c>
      <c r="B146" s="37" t="n">
        <f aca="false">'Itens de Contrato'!B146</f>
        <v>0</v>
      </c>
      <c r="C146" s="37" t="e">
        <f aca="false">VLOOKUP(B146,'Itens de Contrato'!B$5:G$151,2,0)</f>
        <v>#N/A</v>
      </c>
      <c r="D146" s="52"/>
      <c r="E146" s="63" t="n">
        <f aca="false">D146*'Itens de Contrato'!F146</f>
        <v>0</v>
      </c>
      <c r="F146" s="62" t="n">
        <f aca="false">'Medição 10'!F146-'Medição 10'!G146</f>
        <v>0</v>
      </c>
      <c r="G146" s="52"/>
      <c r="H146" s="64" t="e">
        <f aca="false">G146/D146</f>
        <v>#DIV/0!</v>
      </c>
      <c r="I146" s="63" t="n">
        <f aca="false">G146*'Itens de Contrato'!F146</f>
        <v>0</v>
      </c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</row>
    <row r="147" customFormat="false" ht="12.8" hidden="false" customHeight="false" outlineLevel="0" collapsed="false">
      <c r="A147" s="37" t="n">
        <f aca="false">'Itens de Contrato'!A147</f>
        <v>0</v>
      </c>
      <c r="B147" s="37" t="n">
        <f aca="false">'Itens de Contrato'!B147</f>
        <v>0</v>
      </c>
      <c r="C147" s="37" t="e">
        <f aca="false">VLOOKUP(B147,'Itens de Contrato'!B$5:G$151,2,0)</f>
        <v>#N/A</v>
      </c>
      <c r="D147" s="52"/>
      <c r="E147" s="63" t="n">
        <f aca="false">D147*'Itens de Contrato'!F147</f>
        <v>0</v>
      </c>
      <c r="F147" s="62" t="n">
        <f aca="false">'Medição 10'!F147-'Medição 10'!G147</f>
        <v>0</v>
      </c>
      <c r="G147" s="52"/>
      <c r="H147" s="64" t="e">
        <f aca="false">G147/D147</f>
        <v>#DIV/0!</v>
      </c>
      <c r="I147" s="63" t="n">
        <f aca="false">G147*'Itens de Contrato'!F147</f>
        <v>0</v>
      </c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</row>
    <row r="148" customFormat="false" ht="12.8" hidden="false" customHeight="false" outlineLevel="0" collapsed="false">
      <c r="A148" s="37" t="n">
        <f aca="false">'Itens de Contrato'!A148</f>
        <v>0</v>
      </c>
      <c r="B148" s="37" t="n">
        <f aca="false">'Itens de Contrato'!B148</f>
        <v>0</v>
      </c>
      <c r="C148" s="37" t="e">
        <f aca="false">VLOOKUP(B148,'Itens de Contrato'!B$5:G$151,2,0)</f>
        <v>#N/A</v>
      </c>
      <c r="D148" s="52"/>
      <c r="E148" s="63" t="n">
        <f aca="false">D148*'Itens de Contrato'!F148</f>
        <v>0</v>
      </c>
      <c r="F148" s="62" t="n">
        <f aca="false">'Medição 10'!F148-'Medição 10'!G148</f>
        <v>0</v>
      </c>
      <c r="G148" s="52"/>
      <c r="H148" s="64" t="e">
        <f aca="false">G148/D148</f>
        <v>#DIV/0!</v>
      </c>
      <c r="I148" s="63" t="n">
        <f aca="false">G148*'Itens de Contrato'!F148</f>
        <v>0</v>
      </c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</row>
    <row r="149" customFormat="false" ht="12.8" hidden="false" customHeight="false" outlineLevel="0" collapsed="false">
      <c r="A149" s="37" t="n">
        <f aca="false">'Itens de Contrato'!A149</f>
        <v>0</v>
      </c>
      <c r="B149" s="37" t="n">
        <f aca="false">'Itens de Contrato'!B149</f>
        <v>0</v>
      </c>
      <c r="C149" s="37" t="e">
        <f aca="false">VLOOKUP(B149,'Itens de Contrato'!B$5:G$151,2,0)</f>
        <v>#N/A</v>
      </c>
      <c r="D149" s="52"/>
      <c r="E149" s="63" t="n">
        <f aca="false">D149*'Itens de Contrato'!F149</f>
        <v>0</v>
      </c>
      <c r="F149" s="62" t="n">
        <f aca="false">'Medição 10'!F149-'Medição 10'!G149</f>
        <v>0</v>
      </c>
      <c r="G149" s="52"/>
      <c r="H149" s="64" t="e">
        <f aca="false">G149/D149</f>
        <v>#DIV/0!</v>
      </c>
      <c r="I149" s="63" t="n">
        <f aca="false">G149*'Itens de Contrato'!F149</f>
        <v>0</v>
      </c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</row>
    <row r="150" customFormat="false" ht="12.8" hidden="false" customHeight="false" outlineLevel="0" collapsed="false">
      <c r="A150" s="37" t="n">
        <f aca="false">'Itens de Contrato'!A150</f>
        <v>0</v>
      </c>
      <c r="B150" s="37" t="n">
        <f aca="false">'Itens de Contrato'!B150</f>
        <v>0</v>
      </c>
      <c r="C150" s="37" t="e">
        <f aca="false">VLOOKUP(B150,'Itens de Contrato'!B$5:G$151,2,0)</f>
        <v>#N/A</v>
      </c>
      <c r="D150" s="52"/>
      <c r="E150" s="63" t="n">
        <f aca="false">D150*'Itens de Contrato'!F150</f>
        <v>0</v>
      </c>
      <c r="F150" s="62" t="n">
        <f aca="false">'Medição 10'!F150-'Medição 10'!G150</f>
        <v>0</v>
      </c>
      <c r="G150" s="52"/>
      <c r="H150" s="64" t="e">
        <f aca="false">G150/D150</f>
        <v>#DIV/0!</v>
      </c>
      <c r="I150" s="63" t="n">
        <f aca="false">G150*'Itens de Contrato'!F150</f>
        <v>0</v>
      </c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</row>
    <row r="151" customFormat="false" ht="12.8" hidden="false" customHeight="false" outlineLevel="0" collapsed="false">
      <c r="A151" s="37" t="n">
        <f aca="false">'Itens de Contrato'!A151</f>
        <v>0</v>
      </c>
      <c r="B151" s="37" t="n">
        <f aca="false">'Itens de Contrato'!B151</f>
        <v>0</v>
      </c>
      <c r="C151" s="37" t="e">
        <f aca="false">VLOOKUP(B151,'Itens de Contrato'!B$5:G$151,2,0)</f>
        <v>#N/A</v>
      </c>
      <c r="D151" s="52"/>
      <c r="E151" s="63" t="n">
        <f aca="false">D151*'Itens de Contrato'!F151</f>
        <v>0</v>
      </c>
      <c r="F151" s="62" t="n">
        <f aca="false">'Medição 10'!F151-'Medição 10'!G151</f>
        <v>0</v>
      </c>
      <c r="G151" s="52"/>
      <c r="H151" s="64" t="e">
        <f aca="false">G151/D151</f>
        <v>#DIV/0!</v>
      </c>
      <c r="I151" s="63" t="n">
        <f aca="false">G151*'Itens de Contrato'!F151</f>
        <v>0</v>
      </c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</row>
    <row r="152" customFormat="false" ht="12.75" hidden="false" customHeight="false" outlineLevel="0" collapsed="false"/>
    <row r="153" customFormat="false" ht="12.75" hidden="false" customHeight="false" outlineLevel="0" collapsed="false"/>
    <row r="154" customFormat="false" ht="12.75" hidden="false" customHeight="false" outlineLevel="0" collapsed="false"/>
    <row r="155" customFormat="false" ht="12.75" hidden="false" customHeight="false" outlineLevel="0" collapsed="false"/>
    <row r="156" customFormat="false" ht="12.75" hidden="false" customHeight="false" outlineLevel="0" collapsed="false"/>
    <row r="157" customFormat="false" ht="12.75" hidden="false" customHeight="false" outlineLevel="0" collapsed="false"/>
    <row r="158" customFormat="false" ht="12.75" hidden="false" customHeight="false" outlineLevel="0" collapsed="false"/>
    <row r="159" customFormat="false" ht="12.75" hidden="false" customHeight="false" outlineLevel="0" collapsed="false"/>
    <row r="160" customFormat="false" ht="12.75" hidden="false" customHeight="false" outlineLevel="0" collapsed="false"/>
    <row r="161" customFormat="false" ht="12.75" hidden="false" customHeight="false" outlineLevel="0" collapsed="false"/>
    <row r="162" customFormat="false" ht="12.75" hidden="false" customHeight="false" outlineLevel="0" collapsed="false"/>
    <row r="163" customFormat="false" ht="12.75" hidden="false" customHeight="false" outlineLevel="0" collapsed="false"/>
    <row r="164" customFormat="false" ht="12.75" hidden="false" customHeight="false" outlineLevel="0" collapsed="false"/>
    <row r="165" customFormat="false" ht="12.75" hidden="false" customHeight="false" outlineLevel="0" collapsed="false"/>
    <row r="166" customFormat="false" ht="12.75" hidden="false" customHeight="false" outlineLevel="0" collapsed="false"/>
    <row r="167" customFormat="false" ht="12.75" hidden="false" customHeight="false" outlineLevel="0" collapsed="false"/>
    <row r="168" customFormat="false" ht="12.75" hidden="false" customHeight="false" outlineLevel="0" collapsed="false"/>
    <row r="169" customFormat="false" ht="12.75" hidden="false" customHeight="false" outlineLevel="0" collapsed="false"/>
    <row r="170" customFormat="false" ht="12.75" hidden="false" customHeight="false" outlineLevel="0" collapsed="false"/>
    <row r="171" customFormat="false" ht="12.75" hidden="false" customHeight="false" outlineLevel="0" collapsed="false"/>
    <row r="172" customFormat="false" ht="12.75" hidden="false" customHeight="false" outlineLevel="0" collapsed="false"/>
    <row r="173" customFormat="false" ht="12.75" hidden="false" customHeight="false" outlineLevel="0" collapsed="false"/>
    <row r="174" customFormat="false" ht="12.75" hidden="false" customHeight="false" outlineLevel="0" collapsed="false"/>
    <row r="175" customFormat="false" ht="12.75" hidden="false" customHeight="false" outlineLevel="0" collapsed="false"/>
    <row r="176" customFormat="false" ht="12.75" hidden="false" customHeight="false" outlineLevel="0" collapsed="false"/>
    <row r="177" customFormat="false" ht="12.75" hidden="false" customHeight="false" outlineLevel="0" collapsed="false"/>
    <row r="178" customFormat="false" ht="12.75" hidden="false" customHeight="false" outlineLevel="0" collapsed="false"/>
    <row r="179" customFormat="false" ht="12.75" hidden="false" customHeight="false" outlineLevel="0" collapsed="false"/>
    <row r="180" customFormat="false" ht="12.75" hidden="false" customHeight="false" outlineLevel="0" collapsed="false"/>
    <row r="181" customFormat="false" ht="12.75" hidden="false" customHeight="false" outlineLevel="0" collapsed="false"/>
    <row r="182" customFormat="false" ht="12.75" hidden="false" customHeight="false" outlineLevel="0" collapsed="false"/>
    <row r="183" customFormat="false" ht="12.75" hidden="false" customHeight="false" outlineLevel="0" collapsed="false"/>
    <row r="184" customFormat="false" ht="12.75" hidden="false" customHeight="false" outlineLevel="0" collapsed="false"/>
    <row r="185" customFormat="false" ht="12.75" hidden="false" customHeight="false" outlineLevel="0" collapsed="false"/>
    <row r="186" customFormat="false" ht="12.75" hidden="false" customHeight="false" outlineLevel="0" collapsed="false"/>
    <row r="187" customFormat="false" ht="12.75" hidden="false" customHeight="false" outlineLevel="0" collapsed="false"/>
    <row r="188" customFormat="false" ht="12.75" hidden="false" customHeight="false" outlineLevel="0" collapsed="false"/>
    <row r="189" customFormat="false" ht="12.75" hidden="false" customHeight="false" outlineLevel="0" collapsed="false"/>
    <row r="190" customFormat="false" ht="12.75" hidden="false" customHeight="false" outlineLevel="0" collapsed="false"/>
    <row r="191" customFormat="false" ht="12.75" hidden="false" customHeight="false" outlineLevel="0" collapsed="false"/>
    <row r="192" customFormat="false" ht="12.75" hidden="false" customHeight="false" outlineLevel="0" collapsed="false"/>
    <row r="193" customFormat="false" ht="12.75" hidden="false" customHeight="false" outlineLevel="0" collapsed="false"/>
    <row r="194" customFormat="false" ht="12.75" hidden="false" customHeight="false" outlineLevel="0" collapsed="false"/>
    <row r="195" customFormat="false" ht="12.75" hidden="false" customHeight="false" outlineLevel="0" collapsed="false"/>
    <row r="196" customFormat="false" ht="12.75" hidden="false" customHeight="false" outlineLevel="0" collapsed="false"/>
    <row r="197" customFormat="false" ht="12.75" hidden="false" customHeight="false" outlineLevel="0" collapsed="false"/>
    <row r="198" customFormat="false" ht="12.75" hidden="false" customHeight="false" outlineLevel="0" collapsed="false"/>
    <row r="199" customFormat="false" ht="12.75" hidden="false" customHeight="false" outlineLevel="0" collapsed="false"/>
    <row r="200" customFormat="false" ht="12.75" hidden="false" customHeight="false" outlineLevel="0" collapsed="false"/>
    <row r="201" customFormat="false" ht="12.75" hidden="false" customHeight="false" outlineLevel="0" collapsed="false"/>
    <row r="202" customFormat="false" ht="12.75" hidden="false" customHeight="false" outlineLevel="0" collapsed="false"/>
    <row r="203" customFormat="false" ht="12.75" hidden="false" customHeight="false" outlineLevel="0" collapsed="false"/>
    <row r="204" customFormat="false" ht="12.75" hidden="false" customHeight="false" outlineLevel="0" collapsed="false"/>
    <row r="205" customFormat="false" ht="12.75" hidden="false" customHeight="false" outlineLevel="0" collapsed="false"/>
    <row r="206" customFormat="false" ht="12.75" hidden="false" customHeight="false" outlineLevel="0" collapsed="false"/>
    <row r="207" customFormat="false" ht="12.75" hidden="false" customHeight="false" outlineLevel="0" collapsed="false"/>
    <row r="208" customFormat="false" ht="12.75" hidden="false" customHeight="false" outlineLevel="0" collapsed="false"/>
    <row r="209" customFormat="false" ht="12.75" hidden="false" customHeight="false" outlineLevel="0" collapsed="false"/>
    <row r="210" customFormat="false" ht="12.75" hidden="false" customHeight="false" outlineLevel="0" collapsed="false"/>
    <row r="211" customFormat="false" ht="12.75" hidden="false" customHeight="false" outlineLevel="0" collapsed="false"/>
    <row r="212" customFormat="false" ht="12.75" hidden="false" customHeight="false" outlineLevel="0" collapsed="false"/>
    <row r="213" customFormat="false" ht="12.75" hidden="false" customHeight="false" outlineLevel="0" collapsed="false"/>
    <row r="214" customFormat="false" ht="12.75" hidden="false" customHeight="false" outlineLevel="0" collapsed="false"/>
    <row r="215" customFormat="false" ht="12.75" hidden="false" customHeight="false" outlineLevel="0" collapsed="false"/>
    <row r="216" customFormat="false" ht="12.75" hidden="false" customHeight="false" outlineLevel="0" collapsed="false"/>
    <row r="217" customFormat="false" ht="12.75" hidden="false" customHeight="false" outlineLevel="0" collapsed="false"/>
    <row r="218" customFormat="false" ht="12.75" hidden="false" customHeight="false" outlineLevel="0" collapsed="false"/>
    <row r="219" customFormat="false" ht="12.75" hidden="false" customHeight="false" outlineLevel="0" collapsed="false"/>
    <row r="220" customFormat="false" ht="12.75" hidden="false" customHeight="false" outlineLevel="0" collapsed="false"/>
    <row r="221" customFormat="false" ht="12.75" hidden="false" customHeight="false" outlineLevel="0" collapsed="false"/>
    <row r="222" customFormat="false" ht="12.75" hidden="false" customHeight="false" outlineLevel="0" collapsed="false"/>
    <row r="223" customFormat="false" ht="12.75" hidden="false" customHeight="false" outlineLevel="0" collapsed="false"/>
    <row r="224" customFormat="false" ht="12.75" hidden="false" customHeight="false" outlineLevel="0" collapsed="false"/>
    <row r="225" customFormat="false" ht="12.75" hidden="false" customHeight="false" outlineLevel="0" collapsed="false"/>
    <row r="226" customFormat="false" ht="12.75" hidden="false" customHeight="false" outlineLevel="0" collapsed="false"/>
    <row r="227" customFormat="false" ht="12.75" hidden="false" customHeight="false" outlineLevel="0" collapsed="false"/>
    <row r="228" customFormat="false" ht="12.75" hidden="false" customHeight="false" outlineLevel="0" collapsed="false"/>
    <row r="229" customFormat="false" ht="12.75" hidden="false" customHeight="false" outlineLevel="0" collapsed="false"/>
    <row r="230" customFormat="false" ht="12.75" hidden="false" customHeight="false" outlineLevel="0" collapsed="false"/>
    <row r="231" customFormat="false" ht="12.75" hidden="false" customHeight="false" outlineLevel="0" collapsed="false"/>
    <row r="232" customFormat="false" ht="12.75" hidden="false" customHeight="false" outlineLevel="0" collapsed="false"/>
    <row r="233" customFormat="false" ht="12.75" hidden="false" customHeight="false" outlineLevel="0" collapsed="false"/>
    <row r="234" customFormat="false" ht="12.75" hidden="false" customHeight="false" outlineLevel="0" collapsed="false"/>
    <row r="235" customFormat="false" ht="12.75" hidden="false" customHeight="false" outlineLevel="0" collapsed="false"/>
    <row r="236" customFormat="false" ht="12.75" hidden="false" customHeight="false" outlineLevel="0" collapsed="false"/>
    <row r="237" customFormat="false" ht="12.75" hidden="false" customHeight="false" outlineLevel="0" collapsed="false"/>
    <row r="238" customFormat="false" ht="12.75" hidden="false" customHeight="false" outlineLevel="0" collapsed="false"/>
    <row r="239" customFormat="false" ht="12.75" hidden="false" customHeight="false" outlineLevel="0" collapsed="false"/>
    <row r="240" customFormat="false" ht="12.75" hidden="false" customHeight="false" outlineLevel="0" collapsed="false"/>
    <row r="241" customFormat="false" ht="12.75" hidden="false" customHeight="false" outlineLevel="0" collapsed="false"/>
    <row r="242" customFormat="false" ht="12.75" hidden="false" customHeight="false" outlineLevel="0" collapsed="false"/>
    <row r="243" customFormat="false" ht="12.75" hidden="false" customHeight="false" outlineLevel="0" collapsed="false"/>
    <row r="244" customFormat="false" ht="12.75" hidden="false" customHeight="false" outlineLevel="0" collapsed="false"/>
    <row r="245" customFormat="false" ht="12.75" hidden="false" customHeight="false" outlineLevel="0" collapsed="false"/>
    <row r="246" customFormat="false" ht="12.75" hidden="false" customHeight="false" outlineLevel="0" collapsed="false"/>
    <row r="247" customFormat="false" ht="12.75" hidden="false" customHeight="false" outlineLevel="0" collapsed="false"/>
    <row r="248" customFormat="false" ht="12.75" hidden="false" customHeight="false" outlineLevel="0" collapsed="false"/>
    <row r="249" customFormat="false" ht="12.75" hidden="false" customHeight="false" outlineLevel="0" collapsed="false"/>
    <row r="250" customFormat="false" ht="12.75" hidden="false" customHeight="false" outlineLevel="0" collapsed="false"/>
    <row r="251" customFormat="false" ht="12.75" hidden="false" customHeight="false" outlineLevel="0" collapsed="false"/>
    <row r="252" customFormat="false" ht="12.75" hidden="false" customHeight="false" outlineLevel="0" collapsed="false"/>
    <row r="253" customFormat="false" ht="12.75" hidden="false" customHeight="false" outlineLevel="0" collapsed="false"/>
    <row r="254" customFormat="false" ht="12.75" hidden="false" customHeight="false" outlineLevel="0" collapsed="false"/>
    <row r="255" customFormat="false" ht="12.75" hidden="false" customHeight="false" outlineLevel="0" collapsed="false"/>
    <row r="256" customFormat="false" ht="12.75" hidden="false" customHeight="false" outlineLevel="0" collapsed="false"/>
    <row r="257" customFormat="false" ht="12.75" hidden="false" customHeight="false" outlineLevel="0" collapsed="false"/>
    <row r="258" customFormat="false" ht="12.75" hidden="false" customHeight="false" outlineLevel="0" collapsed="false"/>
    <row r="259" customFormat="false" ht="12.75" hidden="false" customHeight="false" outlineLevel="0" collapsed="false"/>
    <row r="260" customFormat="false" ht="12.75" hidden="false" customHeight="false" outlineLevel="0" collapsed="false"/>
    <row r="261" customFormat="false" ht="12.75" hidden="false" customHeight="false" outlineLevel="0" collapsed="false"/>
    <row r="262" customFormat="false" ht="12.75" hidden="false" customHeight="false" outlineLevel="0" collapsed="false"/>
    <row r="263" customFormat="false" ht="12.75" hidden="false" customHeight="false" outlineLevel="0" collapsed="false"/>
    <row r="264" customFormat="false" ht="12.75" hidden="false" customHeight="false" outlineLevel="0" collapsed="false"/>
    <row r="265" customFormat="false" ht="12.75" hidden="false" customHeight="false" outlineLevel="0" collapsed="false"/>
    <row r="266" customFormat="false" ht="12.75" hidden="false" customHeight="false" outlineLevel="0" collapsed="false"/>
    <row r="267" customFormat="false" ht="12.75" hidden="false" customHeight="false" outlineLevel="0" collapsed="false"/>
    <row r="268" customFormat="false" ht="12.75" hidden="false" customHeight="false" outlineLevel="0" collapsed="false"/>
    <row r="269" customFormat="false" ht="12.75" hidden="false" customHeight="false" outlineLevel="0" collapsed="false"/>
    <row r="270" customFormat="false" ht="12.75" hidden="false" customHeight="false" outlineLevel="0" collapsed="false"/>
    <row r="271" customFormat="false" ht="12.75" hidden="false" customHeight="false" outlineLevel="0" collapsed="false"/>
    <row r="272" customFormat="false" ht="12.75" hidden="false" customHeight="false" outlineLevel="0" collapsed="false"/>
    <row r="273" customFormat="false" ht="12.75" hidden="false" customHeight="fals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12.75" hidden="false" customHeight="false" outlineLevel="0" collapsed="false"/>
    <row r="283" customFormat="false" ht="12.75" hidden="false" customHeight="false" outlineLevel="0" collapsed="false"/>
    <row r="284" customFormat="false" ht="12.75" hidden="false" customHeight="fals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12.75" hidden="false" customHeight="false" outlineLevel="0" collapsed="false"/>
    <row r="291" customFormat="false" ht="12.75" hidden="false" customHeight="false" outlineLevel="0" collapsed="false"/>
    <row r="292" customFormat="false" ht="12.75" hidden="false" customHeight="false" outlineLevel="0" collapsed="false"/>
    <row r="293" customFormat="false" ht="12.75" hidden="false" customHeight="false" outlineLevel="0" collapsed="false"/>
    <row r="294" customFormat="false" ht="12.75" hidden="false" customHeight="false" outlineLevel="0" collapsed="false"/>
    <row r="295" customFormat="false" ht="12.75" hidden="false" customHeight="fals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12.75" hidden="false" customHeight="false" outlineLevel="0" collapsed="false"/>
    <row r="299" customFormat="false" ht="12.75" hidden="false" customHeight="false" outlineLevel="0" collapsed="false"/>
    <row r="300" customFormat="false" ht="12.75" hidden="false" customHeight="fals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12.75" hidden="false" customHeight="false" outlineLevel="0" collapsed="false"/>
    <row r="308" customFormat="false" ht="12.75" hidden="false" customHeight="false" outlineLevel="0" collapsed="false"/>
    <row r="309" customFormat="false" ht="12.75" hidden="false" customHeight="false" outlineLevel="0" collapsed="false"/>
    <row r="310" customFormat="false" ht="12.75" hidden="false" customHeight="false" outlineLevel="0" collapsed="false"/>
    <row r="311" customFormat="false" ht="12.75" hidden="false" customHeight="false" outlineLevel="0" collapsed="false"/>
    <row r="312" customFormat="false" ht="12.75" hidden="false" customHeight="false" outlineLevel="0" collapsed="false"/>
    <row r="313" customFormat="false" ht="12.75" hidden="false" customHeight="false" outlineLevel="0" collapsed="false"/>
    <row r="314" customFormat="false" ht="12.75" hidden="false" customHeight="fals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12.75" hidden="false" customHeight="fals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  <row r="344" customFormat="false" ht="12.75" hidden="false" customHeight="false" outlineLevel="0" collapsed="false"/>
    <row r="345" customFormat="false" ht="12.75" hidden="false" customHeight="false" outlineLevel="0" collapsed="false"/>
    <row r="346" customFormat="false" ht="12.75" hidden="false" customHeight="false" outlineLevel="0" collapsed="false"/>
    <row r="347" customFormat="false" ht="12.75" hidden="false" customHeight="false" outlineLevel="0" collapsed="false"/>
    <row r="348" customFormat="false" ht="12.75" hidden="false" customHeight="false" outlineLevel="0" collapsed="false"/>
    <row r="349" customFormat="false" ht="12.75" hidden="false" customHeight="false" outlineLevel="0" collapsed="false"/>
    <row r="350" customFormat="false" ht="12.75" hidden="false" customHeight="false" outlineLevel="0" collapsed="false"/>
    <row r="351" customFormat="false" ht="12.75" hidden="false" customHeight="false" outlineLevel="0" collapsed="false"/>
    <row r="352" customFormat="false" ht="12.75" hidden="false" customHeight="false" outlineLevel="0" collapsed="false"/>
    <row r="353" customFormat="false" ht="12.75" hidden="false" customHeight="false" outlineLevel="0" collapsed="false"/>
    <row r="354" customFormat="false" ht="12.75" hidden="false" customHeight="false" outlineLevel="0" collapsed="false"/>
    <row r="355" customFormat="false" ht="12.75" hidden="false" customHeight="false" outlineLevel="0" collapsed="false"/>
    <row r="356" customFormat="false" ht="12.75" hidden="false" customHeight="false" outlineLevel="0" collapsed="false"/>
    <row r="357" customFormat="false" ht="12.75" hidden="false" customHeight="false" outlineLevel="0" collapsed="false"/>
    <row r="358" customFormat="false" ht="12.75" hidden="false" customHeight="false" outlineLevel="0" collapsed="false"/>
    <row r="359" customFormat="false" ht="12.75" hidden="false" customHeight="false" outlineLevel="0" collapsed="false"/>
    <row r="360" customFormat="false" ht="12.75" hidden="false" customHeight="false" outlineLevel="0" collapsed="false"/>
    <row r="361" customFormat="false" ht="12.75" hidden="false" customHeight="false" outlineLevel="0" collapsed="false"/>
    <row r="362" customFormat="false" ht="12.75" hidden="false" customHeight="false" outlineLevel="0" collapsed="false"/>
    <row r="363" customFormat="false" ht="12.75" hidden="false" customHeight="false" outlineLevel="0" collapsed="false"/>
    <row r="364" customFormat="false" ht="12.75" hidden="false" customHeight="false" outlineLevel="0" collapsed="false"/>
    <row r="365" customFormat="false" ht="12.75" hidden="false" customHeight="false" outlineLevel="0" collapsed="false"/>
    <row r="366" customFormat="false" ht="12.75" hidden="false" customHeight="false" outlineLevel="0" collapsed="false"/>
    <row r="367" customFormat="false" ht="12.75" hidden="false" customHeight="false" outlineLevel="0" collapsed="false"/>
    <row r="368" customFormat="false" ht="12.75" hidden="false" customHeight="false" outlineLevel="0" collapsed="false"/>
    <row r="369" customFormat="false" ht="12.75" hidden="false" customHeight="false" outlineLevel="0" collapsed="false"/>
    <row r="370" customFormat="false" ht="12.75" hidden="false" customHeight="false" outlineLevel="0" collapsed="false"/>
    <row r="371" customFormat="false" ht="12.75" hidden="false" customHeight="false" outlineLevel="0" collapsed="false"/>
    <row r="372" customFormat="false" ht="12.75" hidden="false" customHeight="false" outlineLevel="0" collapsed="false"/>
    <row r="373" customFormat="false" ht="12.75" hidden="false" customHeight="false" outlineLevel="0" collapsed="false"/>
    <row r="374" customFormat="false" ht="12.75" hidden="false" customHeight="false" outlineLevel="0" collapsed="false"/>
    <row r="375" customFormat="false" ht="12.75" hidden="false" customHeight="false" outlineLevel="0" collapsed="false"/>
    <row r="376" customFormat="false" ht="12.75" hidden="false" customHeight="false" outlineLevel="0" collapsed="false"/>
    <row r="377" customFormat="false" ht="12.75" hidden="false" customHeight="false" outlineLevel="0" collapsed="false"/>
    <row r="378" customFormat="false" ht="12.75" hidden="false" customHeight="false" outlineLevel="0" collapsed="false"/>
    <row r="379" customFormat="false" ht="12.75" hidden="false" customHeight="false" outlineLevel="0" collapsed="false"/>
    <row r="380" customFormat="false" ht="12.75" hidden="false" customHeight="false" outlineLevel="0" collapsed="false"/>
    <row r="381" customFormat="false" ht="12.75" hidden="false" customHeight="false" outlineLevel="0" collapsed="false"/>
    <row r="382" customFormat="false" ht="12.75" hidden="false" customHeight="false" outlineLevel="0" collapsed="false"/>
    <row r="383" customFormat="false" ht="12.75" hidden="false" customHeight="false" outlineLevel="0" collapsed="false"/>
    <row r="384" customFormat="false" ht="12.75" hidden="false" customHeight="false" outlineLevel="0" collapsed="false"/>
    <row r="385" customFormat="false" ht="12.75" hidden="false" customHeight="false" outlineLevel="0" collapsed="false"/>
    <row r="386" customFormat="false" ht="12.75" hidden="false" customHeight="false" outlineLevel="0" collapsed="false"/>
    <row r="387" customFormat="false" ht="12.75" hidden="false" customHeight="false" outlineLevel="0" collapsed="false"/>
    <row r="388" customFormat="false" ht="12.75" hidden="false" customHeight="false" outlineLevel="0" collapsed="false"/>
    <row r="389" customFormat="false" ht="12.75" hidden="false" customHeight="false" outlineLevel="0" collapsed="false"/>
    <row r="390" customFormat="false" ht="12.75" hidden="false" customHeight="false" outlineLevel="0" collapsed="false"/>
    <row r="391" customFormat="false" ht="12.75" hidden="false" customHeight="false" outlineLevel="0" collapsed="false"/>
    <row r="392" customFormat="false" ht="12.75" hidden="false" customHeight="false" outlineLevel="0" collapsed="false"/>
    <row r="393" customFormat="false" ht="12.75" hidden="false" customHeight="false" outlineLevel="0" collapsed="false"/>
    <row r="394" customFormat="false" ht="12.75" hidden="false" customHeight="false" outlineLevel="0" collapsed="false"/>
    <row r="395" customFormat="false" ht="12.75" hidden="false" customHeight="false" outlineLevel="0" collapsed="false"/>
    <row r="396" customFormat="false" ht="12.75" hidden="false" customHeight="false" outlineLevel="0" collapsed="false"/>
    <row r="397" customFormat="false" ht="12.75" hidden="false" customHeight="false" outlineLevel="0" collapsed="false"/>
    <row r="398" customFormat="false" ht="12.75" hidden="false" customHeight="false" outlineLevel="0" collapsed="false"/>
    <row r="399" customFormat="false" ht="12.75" hidden="false" customHeight="false" outlineLevel="0" collapsed="false"/>
    <row r="400" customFormat="false" ht="12.75" hidden="false" customHeight="false" outlineLevel="0" collapsed="false"/>
    <row r="401" customFormat="false" ht="12.75" hidden="false" customHeight="false" outlineLevel="0" collapsed="false"/>
    <row r="402" customFormat="false" ht="12.75" hidden="false" customHeight="false" outlineLevel="0" collapsed="false"/>
    <row r="403" customFormat="false" ht="12.75" hidden="false" customHeight="false" outlineLevel="0" collapsed="false"/>
    <row r="404" customFormat="false" ht="12.75" hidden="false" customHeight="false" outlineLevel="0" collapsed="false"/>
    <row r="405" customFormat="false" ht="12.75" hidden="false" customHeight="false" outlineLevel="0" collapsed="false"/>
    <row r="406" customFormat="false" ht="12.75" hidden="false" customHeight="false" outlineLevel="0" collapsed="false"/>
    <row r="407" customFormat="false" ht="12.75" hidden="false" customHeight="false" outlineLevel="0" collapsed="false"/>
    <row r="408" customFormat="false" ht="12.75" hidden="false" customHeight="false" outlineLevel="0" collapsed="false"/>
    <row r="409" customFormat="false" ht="12.75" hidden="false" customHeight="false" outlineLevel="0" collapsed="false"/>
    <row r="410" customFormat="false" ht="12.75" hidden="false" customHeight="false" outlineLevel="0" collapsed="false"/>
    <row r="411" customFormat="false" ht="12.75" hidden="false" customHeight="false" outlineLevel="0" collapsed="false"/>
    <row r="412" customFormat="false" ht="12.75" hidden="false" customHeight="false" outlineLevel="0" collapsed="false"/>
    <row r="413" customFormat="false" ht="12.75" hidden="false" customHeight="false" outlineLevel="0" collapsed="false"/>
    <row r="414" customFormat="false" ht="12.75" hidden="false" customHeight="false" outlineLevel="0" collapsed="false"/>
    <row r="415" customFormat="false" ht="12.75" hidden="false" customHeight="false" outlineLevel="0" collapsed="false"/>
    <row r="416" customFormat="false" ht="12.75" hidden="false" customHeight="false" outlineLevel="0" collapsed="false"/>
    <row r="417" customFormat="false" ht="12.75" hidden="false" customHeight="false" outlineLevel="0" collapsed="false"/>
    <row r="418" customFormat="false" ht="12.75" hidden="false" customHeight="false" outlineLevel="0" collapsed="false"/>
    <row r="419" customFormat="false" ht="12.75" hidden="false" customHeight="false" outlineLevel="0" collapsed="false"/>
    <row r="420" customFormat="false" ht="12.75" hidden="false" customHeight="false" outlineLevel="0" collapsed="false"/>
    <row r="421" customFormat="false" ht="12.75" hidden="false" customHeight="false" outlineLevel="0" collapsed="false"/>
    <row r="422" customFormat="false" ht="12.75" hidden="false" customHeight="false" outlineLevel="0" collapsed="false"/>
    <row r="423" customFormat="false" ht="12.75" hidden="false" customHeight="false" outlineLevel="0" collapsed="false"/>
    <row r="424" customFormat="false" ht="12.75" hidden="false" customHeight="false" outlineLevel="0" collapsed="false"/>
    <row r="425" customFormat="false" ht="12.75" hidden="false" customHeight="false" outlineLevel="0" collapsed="false"/>
    <row r="426" customFormat="false" ht="12.75" hidden="false" customHeight="false" outlineLevel="0" collapsed="false"/>
    <row r="427" customFormat="false" ht="12.75" hidden="false" customHeight="false" outlineLevel="0" collapsed="false"/>
    <row r="428" customFormat="false" ht="12.75" hidden="false" customHeight="false" outlineLevel="0" collapsed="false"/>
    <row r="429" customFormat="false" ht="12.75" hidden="false" customHeight="false" outlineLevel="0" collapsed="false"/>
    <row r="430" customFormat="false" ht="12.75" hidden="false" customHeight="false" outlineLevel="0" collapsed="false"/>
    <row r="431" customFormat="false" ht="12.75" hidden="false" customHeight="false" outlineLevel="0" collapsed="false"/>
    <row r="432" customFormat="false" ht="12.75" hidden="false" customHeight="false" outlineLevel="0" collapsed="false"/>
    <row r="433" customFormat="false" ht="12.75" hidden="false" customHeight="false" outlineLevel="0" collapsed="false"/>
    <row r="434" customFormat="false" ht="12.75" hidden="false" customHeight="false" outlineLevel="0" collapsed="false"/>
    <row r="435" customFormat="false" ht="12.75" hidden="false" customHeight="false" outlineLevel="0" collapsed="false"/>
    <row r="436" customFormat="false" ht="12.75" hidden="false" customHeight="false" outlineLevel="0" collapsed="false"/>
    <row r="437" customFormat="false" ht="12.75" hidden="false" customHeight="false" outlineLevel="0" collapsed="false"/>
    <row r="438" customFormat="false" ht="12.75" hidden="false" customHeight="false" outlineLevel="0" collapsed="false"/>
    <row r="439" customFormat="false" ht="12.75" hidden="false" customHeight="false" outlineLevel="0" collapsed="false"/>
    <row r="440" customFormat="false" ht="12.75" hidden="false" customHeight="false" outlineLevel="0" collapsed="false"/>
    <row r="441" customFormat="false" ht="12.75" hidden="false" customHeight="false" outlineLevel="0" collapsed="false"/>
    <row r="442" customFormat="false" ht="12.75" hidden="false" customHeight="false" outlineLevel="0" collapsed="false"/>
    <row r="443" customFormat="false" ht="12.75" hidden="false" customHeight="false" outlineLevel="0" collapsed="false"/>
    <row r="444" customFormat="false" ht="12.75" hidden="false" customHeight="false" outlineLevel="0" collapsed="false"/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/>
    <row r="455" customFormat="false" ht="12.75" hidden="false" customHeight="false" outlineLevel="0" collapsed="false"/>
    <row r="456" customFormat="false" ht="12.75" hidden="false" customHeight="false" outlineLevel="0" collapsed="false"/>
    <row r="457" customFormat="false" ht="12.75" hidden="false" customHeight="false" outlineLevel="0" collapsed="false"/>
    <row r="458" customFormat="false" ht="12.75" hidden="false" customHeight="false" outlineLevel="0" collapsed="false"/>
    <row r="459" customFormat="false" ht="12.75" hidden="false" customHeight="false" outlineLevel="0" collapsed="false"/>
    <row r="460" customFormat="false" ht="12.75" hidden="false" customHeight="false" outlineLevel="0" collapsed="false"/>
    <row r="461" customFormat="false" ht="12.75" hidden="false" customHeight="false" outlineLevel="0" collapsed="false"/>
    <row r="462" customFormat="false" ht="12.75" hidden="false" customHeight="false" outlineLevel="0" collapsed="false"/>
    <row r="463" customFormat="false" ht="12.75" hidden="false" customHeight="false" outlineLevel="0" collapsed="false"/>
    <row r="464" customFormat="false" ht="12.75" hidden="false" customHeight="false" outlineLevel="0" collapsed="false"/>
    <row r="465" customFormat="false" ht="12.75" hidden="false" customHeight="false" outlineLevel="0" collapsed="false"/>
    <row r="466" customFormat="false" ht="12.75" hidden="false" customHeight="false" outlineLevel="0" collapsed="false"/>
    <row r="467" customFormat="false" ht="12.75" hidden="false" customHeight="false" outlineLevel="0" collapsed="false"/>
    <row r="468" customFormat="false" ht="12.75" hidden="false" customHeight="false" outlineLevel="0" collapsed="false"/>
    <row r="469" customFormat="false" ht="12.75" hidden="false" customHeight="false" outlineLevel="0" collapsed="false"/>
    <row r="470" customFormat="false" ht="12.75" hidden="false" customHeight="false" outlineLevel="0" collapsed="false"/>
    <row r="471" customFormat="false" ht="12.75" hidden="false" customHeight="false" outlineLevel="0" collapsed="false"/>
    <row r="472" customFormat="false" ht="12.75" hidden="false" customHeight="false" outlineLevel="0" collapsed="false"/>
    <row r="473" customFormat="false" ht="12.75" hidden="false" customHeight="false" outlineLevel="0" collapsed="false"/>
    <row r="474" customFormat="false" ht="12.75" hidden="false" customHeight="false" outlineLevel="0" collapsed="false"/>
    <row r="475" customFormat="false" ht="12.75" hidden="false" customHeight="false" outlineLevel="0" collapsed="false"/>
    <row r="476" customFormat="false" ht="12.75" hidden="false" customHeight="false" outlineLevel="0" collapsed="false"/>
    <row r="477" customFormat="false" ht="12.75" hidden="false" customHeight="false" outlineLevel="0" collapsed="false"/>
    <row r="478" customFormat="false" ht="12.75" hidden="false" customHeight="false" outlineLevel="0" collapsed="false"/>
    <row r="479" customFormat="false" ht="12.75" hidden="false" customHeight="false" outlineLevel="0" collapsed="false"/>
    <row r="480" customFormat="false" ht="12.75" hidden="false" customHeight="false" outlineLevel="0" collapsed="false"/>
    <row r="481" customFormat="false" ht="12.75" hidden="false" customHeight="false" outlineLevel="0" collapsed="false"/>
    <row r="482" customFormat="false" ht="12.75" hidden="false" customHeight="false" outlineLevel="0" collapsed="false"/>
    <row r="483" customFormat="false" ht="12.75" hidden="false" customHeight="false" outlineLevel="0" collapsed="false"/>
    <row r="484" customFormat="false" ht="12.75" hidden="false" customHeight="false" outlineLevel="0" collapsed="false"/>
    <row r="485" customFormat="false" ht="12.75" hidden="false" customHeight="false" outlineLevel="0" collapsed="false"/>
    <row r="486" customFormat="false" ht="12.75" hidden="false" customHeight="false" outlineLevel="0" collapsed="false"/>
    <row r="487" customFormat="false" ht="12.75" hidden="false" customHeight="false" outlineLevel="0" collapsed="false"/>
    <row r="488" customFormat="false" ht="12.75" hidden="false" customHeight="false" outlineLevel="0" collapsed="false"/>
    <row r="489" customFormat="false" ht="12.75" hidden="false" customHeight="false" outlineLevel="0" collapsed="false"/>
    <row r="490" customFormat="false" ht="12.75" hidden="false" customHeight="false" outlineLevel="0" collapsed="false"/>
    <row r="491" customFormat="false" ht="12.75" hidden="false" customHeight="false" outlineLevel="0" collapsed="false"/>
    <row r="492" customFormat="false" ht="12.75" hidden="false" customHeight="false" outlineLevel="0" collapsed="false"/>
    <row r="493" customFormat="false" ht="12.75" hidden="false" customHeight="false" outlineLevel="0" collapsed="false"/>
    <row r="494" customFormat="false" ht="12.75" hidden="false" customHeight="false" outlineLevel="0" collapsed="false"/>
    <row r="495" customFormat="false" ht="12.75" hidden="false" customHeight="false" outlineLevel="0" collapsed="false"/>
    <row r="496" customFormat="false" ht="12.75" hidden="false" customHeight="false" outlineLevel="0" collapsed="false"/>
    <row r="497" customFormat="false" ht="12.75" hidden="false" customHeight="false" outlineLevel="0" collapsed="false"/>
    <row r="498" customFormat="false" ht="12.75" hidden="false" customHeight="false" outlineLevel="0" collapsed="false"/>
    <row r="499" customFormat="false" ht="12.75" hidden="false" customHeight="false" outlineLevel="0" collapsed="false"/>
    <row r="500" customFormat="false" ht="12.75" hidden="false" customHeight="false" outlineLevel="0" collapsed="false"/>
    <row r="501" customFormat="false" ht="12.75" hidden="false" customHeight="false" outlineLevel="0" collapsed="false"/>
    <row r="502" customFormat="false" ht="12.75" hidden="false" customHeight="false" outlineLevel="0" collapsed="false"/>
    <row r="503" customFormat="false" ht="12.75" hidden="false" customHeight="false" outlineLevel="0" collapsed="false"/>
    <row r="504" customFormat="false" ht="12.75" hidden="false" customHeight="false" outlineLevel="0" collapsed="false"/>
    <row r="505" customFormat="false" ht="12.75" hidden="false" customHeight="false" outlineLevel="0" collapsed="false"/>
    <row r="506" customFormat="false" ht="12.75" hidden="false" customHeight="false" outlineLevel="0" collapsed="false"/>
    <row r="507" customFormat="false" ht="12.75" hidden="false" customHeight="false" outlineLevel="0" collapsed="false"/>
    <row r="508" customFormat="false" ht="12.75" hidden="false" customHeight="false" outlineLevel="0" collapsed="false"/>
    <row r="509" customFormat="false" ht="12.75" hidden="false" customHeight="false" outlineLevel="0" collapsed="false"/>
    <row r="510" customFormat="false" ht="12.75" hidden="false" customHeight="false" outlineLevel="0" collapsed="false"/>
    <row r="511" customFormat="false" ht="12.75" hidden="false" customHeight="false" outlineLevel="0" collapsed="false"/>
    <row r="512" customFormat="false" ht="12.75" hidden="false" customHeight="false" outlineLevel="0" collapsed="false"/>
    <row r="513" customFormat="false" ht="12.75" hidden="false" customHeight="false" outlineLevel="0" collapsed="false"/>
    <row r="514" customFormat="false" ht="12.75" hidden="false" customHeight="false" outlineLevel="0" collapsed="false"/>
    <row r="515" customFormat="false" ht="12.75" hidden="false" customHeight="false" outlineLevel="0" collapsed="false"/>
    <row r="516" customFormat="false" ht="12.75" hidden="false" customHeight="false" outlineLevel="0" collapsed="false"/>
    <row r="517" customFormat="false" ht="12.75" hidden="false" customHeight="false" outlineLevel="0" collapsed="false"/>
    <row r="518" customFormat="false" ht="12.75" hidden="false" customHeight="false" outlineLevel="0" collapsed="false"/>
    <row r="519" customFormat="false" ht="12.75" hidden="false" customHeight="false" outlineLevel="0" collapsed="false"/>
    <row r="520" customFormat="false" ht="12.75" hidden="false" customHeight="false" outlineLevel="0" collapsed="false"/>
    <row r="521" customFormat="false" ht="12.75" hidden="false" customHeight="false" outlineLevel="0" collapsed="false"/>
    <row r="522" customFormat="false" ht="12.75" hidden="false" customHeight="false" outlineLevel="0" collapsed="false"/>
    <row r="523" customFormat="false" ht="12.75" hidden="false" customHeight="false" outlineLevel="0" collapsed="false"/>
    <row r="524" customFormat="false" ht="12.75" hidden="false" customHeight="false" outlineLevel="0" collapsed="false"/>
    <row r="525" customFormat="false" ht="12.75" hidden="false" customHeight="false" outlineLevel="0" collapsed="false"/>
    <row r="526" customFormat="false" ht="12.75" hidden="false" customHeight="false" outlineLevel="0" collapsed="false"/>
    <row r="527" customFormat="false" ht="12.75" hidden="false" customHeight="false" outlineLevel="0" collapsed="false"/>
    <row r="528" customFormat="false" ht="12.75" hidden="false" customHeight="false" outlineLevel="0" collapsed="false"/>
    <row r="529" customFormat="false" ht="12.75" hidden="false" customHeight="false" outlineLevel="0" collapsed="false"/>
    <row r="530" customFormat="false" ht="12.75" hidden="false" customHeight="false" outlineLevel="0" collapsed="false"/>
    <row r="531" customFormat="false" ht="12.75" hidden="false" customHeight="false" outlineLevel="0" collapsed="false"/>
    <row r="532" customFormat="false" ht="12.75" hidden="false" customHeight="false" outlineLevel="0" collapsed="false"/>
    <row r="533" customFormat="false" ht="12.75" hidden="false" customHeight="false" outlineLevel="0" collapsed="false"/>
    <row r="534" customFormat="false" ht="12.75" hidden="false" customHeight="false" outlineLevel="0" collapsed="false"/>
    <row r="535" customFormat="false" ht="12.75" hidden="false" customHeight="false" outlineLevel="0" collapsed="false"/>
    <row r="536" customFormat="false" ht="12.75" hidden="false" customHeight="false" outlineLevel="0" collapsed="false"/>
    <row r="537" customFormat="false" ht="12.75" hidden="false" customHeight="false" outlineLevel="0" collapsed="false"/>
    <row r="538" customFormat="false" ht="12.75" hidden="false" customHeight="false" outlineLevel="0" collapsed="false"/>
    <row r="539" customFormat="false" ht="12.75" hidden="false" customHeight="false" outlineLevel="0" collapsed="false"/>
    <row r="540" customFormat="false" ht="12.75" hidden="false" customHeight="false" outlineLevel="0" collapsed="false"/>
    <row r="541" customFormat="false" ht="12.75" hidden="false" customHeight="false" outlineLevel="0" collapsed="false"/>
    <row r="542" customFormat="false" ht="12.75" hidden="false" customHeight="false" outlineLevel="0" collapsed="false"/>
    <row r="543" customFormat="false" ht="12.75" hidden="false" customHeight="false" outlineLevel="0" collapsed="false"/>
    <row r="544" customFormat="false" ht="12.75" hidden="false" customHeight="false" outlineLevel="0" collapsed="false"/>
    <row r="545" customFormat="false" ht="12.75" hidden="false" customHeight="false" outlineLevel="0" collapsed="false"/>
    <row r="546" customFormat="false" ht="12.75" hidden="false" customHeight="false" outlineLevel="0" collapsed="false"/>
    <row r="547" customFormat="false" ht="12.75" hidden="false" customHeight="false" outlineLevel="0" collapsed="false"/>
    <row r="548" customFormat="false" ht="12.75" hidden="false" customHeight="false" outlineLevel="0" collapsed="false"/>
    <row r="549" customFormat="false" ht="12.75" hidden="false" customHeight="false" outlineLevel="0" collapsed="false"/>
    <row r="550" customFormat="false" ht="12.75" hidden="false" customHeight="false" outlineLevel="0" collapsed="false"/>
    <row r="551" customFormat="false" ht="12.75" hidden="false" customHeight="false" outlineLevel="0" collapsed="false"/>
    <row r="552" customFormat="false" ht="12.75" hidden="false" customHeight="false" outlineLevel="0" collapsed="false"/>
    <row r="553" customFormat="false" ht="12.75" hidden="false" customHeight="false" outlineLevel="0" collapsed="false"/>
    <row r="554" customFormat="false" ht="12.75" hidden="false" customHeight="false" outlineLevel="0" collapsed="false"/>
    <row r="555" customFormat="false" ht="12.75" hidden="false" customHeight="false" outlineLevel="0" collapsed="false"/>
    <row r="556" customFormat="false" ht="12.75" hidden="false" customHeight="false" outlineLevel="0" collapsed="false"/>
    <row r="557" customFormat="false" ht="12.75" hidden="false" customHeight="false" outlineLevel="0" collapsed="false"/>
    <row r="558" customFormat="false" ht="12.75" hidden="false" customHeight="false" outlineLevel="0" collapsed="false"/>
    <row r="559" customFormat="false" ht="12.75" hidden="false" customHeight="false" outlineLevel="0" collapsed="false"/>
    <row r="560" customFormat="false" ht="12.75" hidden="false" customHeight="false" outlineLevel="0" collapsed="false"/>
    <row r="561" customFormat="false" ht="12.75" hidden="false" customHeight="false" outlineLevel="0" collapsed="false"/>
    <row r="562" customFormat="false" ht="12.75" hidden="false" customHeight="false" outlineLevel="0" collapsed="false"/>
    <row r="563" customFormat="false" ht="12.75" hidden="false" customHeight="false" outlineLevel="0" collapsed="false"/>
    <row r="564" customFormat="false" ht="12.75" hidden="false" customHeight="false" outlineLevel="0" collapsed="false"/>
    <row r="565" customFormat="false" ht="12.75" hidden="false" customHeight="false" outlineLevel="0" collapsed="false"/>
    <row r="566" customFormat="false" ht="12.75" hidden="false" customHeight="false" outlineLevel="0" collapsed="false"/>
    <row r="567" customFormat="false" ht="12.75" hidden="false" customHeight="false" outlineLevel="0" collapsed="false"/>
    <row r="568" customFormat="false" ht="12.75" hidden="false" customHeight="false" outlineLevel="0" collapsed="false"/>
    <row r="569" customFormat="false" ht="12.75" hidden="false" customHeight="false" outlineLevel="0" collapsed="false"/>
    <row r="570" customFormat="false" ht="12.75" hidden="false" customHeight="false" outlineLevel="0" collapsed="false"/>
    <row r="571" customFormat="false" ht="12.75" hidden="false" customHeight="false" outlineLevel="0" collapsed="false"/>
    <row r="572" customFormat="false" ht="12.75" hidden="false" customHeight="false" outlineLevel="0" collapsed="false"/>
    <row r="573" customFormat="false" ht="12.75" hidden="false" customHeight="false" outlineLevel="0" collapsed="false"/>
    <row r="574" customFormat="false" ht="12.75" hidden="false" customHeight="false" outlineLevel="0" collapsed="false"/>
    <row r="575" customFormat="false" ht="12.75" hidden="false" customHeight="false" outlineLevel="0" collapsed="false"/>
    <row r="576" customFormat="false" ht="12.75" hidden="false" customHeight="false" outlineLevel="0" collapsed="false"/>
    <row r="577" customFormat="false" ht="12.75" hidden="false" customHeight="false" outlineLevel="0" collapsed="false"/>
    <row r="578" customFormat="false" ht="12.75" hidden="false" customHeight="false" outlineLevel="0" collapsed="false"/>
    <row r="579" customFormat="false" ht="12.75" hidden="false" customHeight="false" outlineLevel="0" collapsed="false"/>
    <row r="580" customFormat="false" ht="12.75" hidden="false" customHeight="false" outlineLevel="0" collapsed="false"/>
    <row r="581" customFormat="false" ht="12.75" hidden="false" customHeight="false" outlineLevel="0" collapsed="false"/>
    <row r="582" customFormat="false" ht="12.75" hidden="false" customHeight="false" outlineLevel="0" collapsed="false"/>
    <row r="583" customFormat="false" ht="12.75" hidden="false" customHeight="false" outlineLevel="0" collapsed="false"/>
    <row r="584" customFormat="false" ht="12.75" hidden="false" customHeight="false" outlineLevel="0" collapsed="false"/>
    <row r="585" customFormat="false" ht="12.75" hidden="false" customHeight="false" outlineLevel="0" collapsed="false"/>
    <row r="586" customFormat="false" ht="12.75" hidden="false" customHeight="false" outlineLevel="0" collapsed="false"/>
    <row r="587" customFormat="false" ht="12.75" hidden="false" customHeight="false" outlineLevel="0" collapsed="false"/>
    <row r="588" customFormat="false" ht="12.75" hidden="false" customHeight="false" outlineLevel="0" collapsed="false"/>
    <row r="589" customFormat="false" ht="12.75" hidden="false" customHeight="false" outlineLevel="0" collapsed="false"/>
    <row r="590" customFormat="false" ht="12.75" hidden="false" customHeight="false" outlineLevel="0" collapsed="false"/>
    <row r="591" customFormat="false" ht="12.75" hidden="false" customHeight="false" outlineLevel="0" collapsed="false"/>
    <row r="592" customFormat="false" ht="12.75" hidden="false" customHeight="false" outlineLevel="0" collapsed="false"/>
    <row r="593" customFormat="false" ht="12.75" hidden="false" customHeight="false" outlineLevel="0" collapsed="false"/>
    <row r="594" customFormat="false" ht="12.75" hidden="false" customHeight="false" outlineLevel="0" collapsed="false"/>
    <row r="595" customFormat="false" ht="12.75" hidden="false" customHeight="false" outlineLevel="0" collapsed="false"/>
    <row r="596" customFormat="false" ht="12.75" hidden="false" customHeight="false" outlineLevel="0" collapsed="false"/>
    <row r="597" customFormat="false" ht="12.75" hidden="false" customHeight="false" outlineLevel="0" collapsed="false"/>
    <row r="598" customFormat="false" ht="12.75" hidden="false" customHeight="false" outlineLevel="0" collapsed="false"/>
    <row r="599" customFormat="false" ht="12.75" hidden="false" customHeight="false" outlineLevel="0" collapsed="false"/>
    <row r="600" customFormat="false" ht="12.75" hidden="false" customHeight="false" outlineLevel="0" collapsed="false"/>
    <row r="601" customFormat="false" ht="12.75" hidden="false" customHeight="false" outlineLevel="0" collapsed="false"/>
    <row r="602" customFormat="false" ht="12.75" hidden="false" customHeight="false" outlineLevel="0" collapsed="false"/>
    <row r="603" customFormat="false" ht="12.75" hidden="false" customHeight="false" outlineLevel="0" collapsed="false"/>
    <row r="604" customFormat="false" ht="12.75" hidden="false" customHeight="false" outlineLevel="0" collapsed="false"/>
    <row r="605" customFormat="false" ht="12.75" hidden="false" customHeight="false" outlineLevel="0" collapsed="false"/>
    <row r="606" customFormat="false" ht="12.75" hidden="false" customHeight="false" outlineLevel="0" collapsed="false"/>
    <row r="607" customFormat="false" ht="12.75" hidden="false" customHeight="false" outlineLevel="0" collapsed="false"/>
    <row r="608" customFormat="false" ht="12.75" hidden="false" customHeight="false" outlineLevel="0" collapsed="false"/>
    <row r="609" customFormat="false" ht="12.75" hidden="false" customHeight="false" outlineLevel="0" collapsed="false"/>
    <row r="610" customFormat="false" ht="12.75" hidden="false" customHeight="false" outlineLevel="0" collapsed="false"/>
    <row r="611" customFormat="false" ht="12.75" hidden="false" customHeight="false" outlineLevel="0" collapsed="false"/>
    <row r="612" customFormat="false" ht="12.75" hidden="false" customHeight="false" outlineLevel="0" collapsed="false"/>
    <row r="613" customFormat="false" ht="12.75" hidden="false" customHeight="false" outlineLevel="0" collapsed="false"/>
    <row r="614" customFormat="false" ht="12.75" hidden="false" customHeight="false" outlineLevel="0" collapsed="false"/>
    <row r="615" customFormat="false" ht="12.75" hidden="false" customHeight="false" outlineLevel="0" collapsed="false"/>
    <row r="616" customFormat="false" ht="12.75" hidden="false" customHeight="false" outlineLevel="0" collapsed="false"/>
    <row r="617" customFormat="false" ht="12.75" hidden="false" customHeight="false" outlineLevel="0" collapsed="false"/>
    <row r="618" customFormat="false" ht="12.75" hidden="false" customHeight="false" outlineLevel="0" collapsed="false"/>
    <row r="619" customFormat="false" ht="12.75" hidden="false" customHeight="false" outlineLevel="0" collapsed="false"/>
    <row r="620" customFormat="false" ht="12.75" hidden="false" customHeight="false" outlineLevel="0" collapsed="false"/>
    <row r="621" customFormat="false" ht="12.75" hidden="false" customHeight="false" outlineLevel="0" collapsed="false"/>
    <row r="622" customFormat="false" ht="12.75" hidden="false" customHeight="false" outlineLevel="0" collapsed="false"/>
    <row r="623" customFormat="false" ht="12.75" hidden="false" customHeight="false" outlineLevel="0" collapsed="false"/>
    <row r="624" customFormat="false" ht="12.75" hidden="false" customHeight="false" outlineLevel="0" collapsed="false"/>
    <row r="625" customFormat="false" ht="12.75" hidden="false" customHeight="false" outlineLevel="0" collapsed="false"/>
    <row r="626" customFormat="false" ht="12.75" hidden="false" customHeight="false" outlineLevel="0" collapsed="false"/>
    <row r="627" customFormat="false" ht="12.75" hidden="false" customHeight="false" outlineLevel="0" collapsed="false"/>
    <row r="628" customFormat="false" ht="12.75" hidden="false" customHeight="false" outlineLevel="0" collapsed="false"/>
    <row r="629" customFormat="false" ht="12.75" hidden="false" customHeight="false" outlineLevel="0" collapsed="false"/>
    <row r="630" customFormat="false" ht="12.75" hidden="false" customHeight="false" outlineLevel="0" collapsed="false"/>
    <row r="631" customFormat="false" ht="12.75" hidden="false" customHeight="false" outlineLevel="0" collapsed="false"/>
    <row r="632" customFormat="false" ht="12.75" hidden="false" customHeight="false" outlineLevel="0" collapsed="false"/>
    <row r="633" customFormat="false" ht="12.75" hidden="false" customHeight="false" outlineLevel="0" collapsed="false"/>
    <row r="634" customFormat="false" ht="12.75" hidden="false" customHeight="false" outlineLevel="0" collapsed="false"/>
    <row r="635" customFormat="false" ht="12.75" hidden="false" customHeight="false" outlineLevel="0" collapsed="false"/>
    <row r="636" customFormat="false" ht="12.75" hidden="false" customHeight="false" outlineLevel="0" collapsed="false"/>
    <row r="637" customFormat="false" ht="12.75" hidden="false" customHeight="false" outlineLevel="0" collapsed="false"/>
    <row r="638" customFormat="false" ht="12.75" hidden="false" customHeight="false" outlineLevel="0" collapsed="false"/>
    <row r="639" customFormat="false" ht="12.75" hidden="false" customHeight="false" outlineLevel="0" collapsed="false"/>
    <row r="640" customFormat="false" ht="12.75" hidden="false" customHeight="false" outlineLevel="0" collapsed="false"/>
    <row r="641" customFormat="false" ht="12.75" hidden="false" customHeight="false" outlineLevel="0" collapsed="false"/>
    <row r="642" customFormat="false" ht="12.75" hidden="false" customHeight="false" outlineLevel="0" collapsed="false"/>
    <row r="643" customFormat="false" ht="12.75" hidden="false" customHeight="false" outlineLevel="0" collapsed="false"/>
    <row r="644" customFormat="false" ht="12.75" hidden="false" customHeight="false" outlineLevel="0" collapsed="false"/>
    <row r="645" customFormat="false" ht="12.75" hidden="false" customHeight="false" outlineLevel="0" collapsed="false"/>
    <row r="646" customFormat="false" ht="12.75" hidden="false" customHeight="false" outlineLevel="0" collapsed="false"/>
    <row r="647" customFormat="false" ht="12.75" hidden="false" customHeight="false" outlineLevel="0" collapsed="false"/>
    <row r="648" customFormat="false" ht="12.75" hidden="false" customHeight="false" outlineLevel="0" collapsed="false"/>
    <row r="649" customFormat="false" ht="12.75" hidden="false" customHeight="false" outlineLevel="0" collapsed="false"/>
    <row r="650" customFormat="false" ht="12.75" hidden="false" customHeight="false" outlineLevel="0" collapsed="false"/>
    <row r="651" customFormat="false" ht="12.75" hidden="false" customHeight="false" outlineLevel="0" collapsed="false"/>
    <row r="652" customFormat="false" ht="12.75" hidden="false" customHeight="false" outlineLevel="0" collapsed="false"/>
    <row r="653" customFormat="false" ht="12.75" hidden="false" customHeight="false" outlineLevel="0" collapsed="false"/>
    <row r="654" customFormat="false" ht="12.75" hidden="false" customHeight="false" outlineLevel="0" collapsed="false"/>
    <row r="655" customFormat="false" ht="12.75" hidden="false" customHeight="false" outlineLevel="0" collapsed="false"/>
    <row r="656" customFormat="false" ht="12.75" hidden="false" customHeight="false" outlineLevel="0" collapsed="false"/>
    <row r="657" customFormat="false" ht="12.75" hidden="false" customHeight="false" outlineLevel="0" collapsed="false"/>
    <row r="658" customFormat="false" ht="12.75" hidden="false" customHeight="false" outlineLevel="0" collapsed="false"/>
    <row r="659" customFormat="false" ht="12.75" hidden="false" customHeight="false" outlineLevel="0" collapsed="false"/>
    <row r="660" customFormat="false" ht="12.75" hidden="false" customHeight="false" outlineLevel="0" collapsed="false"/>
    <row r="661" customFormat="false" ht="12.75" hidden="false" customHeight="false" outlineLevel="0" collapsed="false"/>
    <row r="662" customFormat="false" ht="12.75" hidden="false" customHeight="false" outlineLevel="0" collapsed="false"/>
    <row r="663" customFormat="false" ht="12.75" hidden="false" customHeight="false" outlineLevel="0" collapsed="false"/>
    <row r="664" customFormat="false" ht="12.75" hidden="false" customHeight="false" outlineLevel="0" collapsed="false"/>
    <row r="665" customFormat="false" ht="12.75" hidden="false" customHeight="false" outlineLevel="0" collapsed="false"/>
    <row r="666" customFormat="false" ht="12.75" hidden="false" customHeight="false" outlineLevel="0" collapsed="false"/>
    <row r="667" customFormat="false" ht="12.75" hidden="false" customHeight="false" outlineLevel="0" collapsed="false"/>
    <row r="668" customFormat="false" ht="12.75" hidden="false" customHeight="false" outlineLevel="0" collapsed="false"/>
    <row r="669" customFormat="false" ht="12.75" hidden="false" customHeight="false" outlineLevel="0" collapsed="false"/>
    <row r="670" customFormat="false" ht="12.75" hidden="false" customHeight="false" outlineLevel="0" collapsed="false"/>
    <row r="671" customFormat="false" ht="12.75" hidden="false" customHeight="false" outlineLevel="0" collapsed="false"/>
    <row r="672" customFormat="false" ht="12.75" hidden="false" customHeight="false" outlineLevel="0" collapsed="false"/>
    <row r="673" customFormat="false" ht="12.75" hidden="false" customHeight="false" outlineLevel="0" collapsed="false"/>
    <row r="674" customFormat="false" ht="12.75" hidden="false" customHeight="false" outlineLevel="0" collapsed="false"/>
    <row r="675" customFormat="false" ht="12.75" hidden="false" customHeight="false" outlineLevel="0" collapsed="false"/>
    <row r="676" customFormat="false" ht="12.75" hidden="false" customHeight="false" outlineLevel="0" collapsed="false"/>
    <row r="677" customFormat="false" ht="12.75" hidden="false" customHeight="false" outlineLevel="0" collapsed="false"/>
    <row r="678" customFormat="false" ht="12.75" hidden="false" customHeight="false" outlineLevel="0" collapsed="false"/>
    <row r="679" customFormat="false" ht="12.75" hidden="false" customHeight="false" outlineLevel="0" collapsed="false"/>
    <row r="680" customFormat="false" ht="12.75" hidden="false" customHeight="false" outlineLevel="0" collapsed="false"/>
    <row r="681" customFormat="false" ht="12.75" hidden="false" customHeight="false" outlineLevel="0" collapsed="false"/>
    <row r="682" customFormat="false" ht="12.75" hidden="false" customHeight="false" outlineLevel="0" collapsed="false"/>
    <row r="683" customFormat="false" ht="12.75" hidden="false" customHeight="false" outlineLevel="0" collapsed="false"/>
    <row r="684" customFormat="false" ht="12.75" hidden="false" customHeight="false" outlineLevel="0" collapsed="false"/>
    <row r="685" customFormat="false" ht="12.75" hidden="false" customHeight="false" outlineLevel="0" collapsed="false"/>
    <row r="686" customFormat="false" ht="12.75" hidden="false" customHeight="false" outlineLevel="0" collapsed="false"/>
    <row r="687" customFormat="false" ht="12.75" hidden="false" customHeight="false" outlineLevel="0" collapsed="false"/>
    <row r="688" customFormat="false" ht="12.75" hidden="false" customHeight="false" outlineLevel="0" collapsed="false"/>
    <row r="689" customFormat="false" ht="12.75" hidden="false" customHeight="false" outlineLevel="0" collapsed="false"/>
    <row r="690" customFormat="false" ht="12.75" hidden="false" customHeight="false" outlineLevel="0" collapsed="false"/>
    <row r="691" customFormat="false" ht="12.75" hidden="false" customHeight="false" outlineLevel="0" collapsed="false"/>
    <row r="692" customFormat="false" ht="12.75" hidden="false" customHeight="false" outlineLevel="0" collapsed="false"/>
    <row r="693" customFormat="false" ht="12.75" hidden="false" customHeight="false" outlineLevel="0" collapsed="false"/>
    <row r="694" customFormat="false" ht="12.75" hidden="false" customHeight="false" outlineLevel="0" collapsed="false"/>
    <row r="695" customFormat="false" ht="12.75" hidden="false" customHeight="false" outlineLevel="0" collapsed="false"/>
    <row r="696" customFormat="false" ht="12.75" hidden="false" customHeight="false" outlineLevel="0" collapsed="false"/>
    <row r="697" customFormat="false" ht="12.75" hidden="false" customHeight="false" outlineLevel="0" collapsed="false"/>
    <row r="698" customFormat="false" ht="12.75" hidden="false" customHeight="false" outlineLevel="0" collapsed="false"/>
    <row r="699" customFormat="false" ht="12.75" hidden="false" customHeight="false" outlineLevel="0" collapsed="false"/>
    <row r="700" customFormat="false" ht="12.75" hidden="false" customHeight="false" outlineLevel="0" collapsed="false"/>
    <row r="701" customFormat="false" ht="12.75" hidden="false" customHeight="false" outlineLevel="0" collapsed="false"/>
    <row r="702" customFormat="false" ht="12.75" hidden="false" customHeight="false" outlineLevel="0" collapsed="false"/>
    <row r="703" customFormat="false" ht="12.75" hidden="false" customHeight="false" outlineLevel="0" collapsed="false"/>
    <row r="704" customFormat="false" ht="12.75" hidden="false" customHeight="false" outlineLevel="0" collapsed="false"/>
    <row r="705" customFormat="false" ht="12.75" hidden="false" customHeight="false" outlineLevel="0" collapsed="false"/>
    <row r="706" customFormat="false" ht="12.75" hidden="false" customHeight="false" outlineLevel="0" collapsed="false"/>
    <row r="707" customFormat="false" ht="12.75" hidden="false" customHeight="false" outlineLevel="0" collapsed="false"/>
    <row r="708" customFormat="false" ht="12.75" hidden="false" customHeight="false" outlineLevel="0" collapsed="false"/>
    <row r="709" customFormat="false" ht="12.75" hidden="false" customHeight="false" outlineLevel="0" collapsed="false"/>
    <row r="710" customFormat="false" ht="12.75" hidden="false" customHeight="false" outlineLevel="0" collapsed="false"/>
    <row r="711" customFormat="false" ht="12.75" hidden="false" customHeight="false" outlineLevel="0" collapsed="false"/>
    <row r="712" customFormat="false" ht="12.75" hidden="false" customHeight="false" outlineLevel="0" collapsed="false"/>
    <row r="713" customFormat="false" ht="12.75" hidden="false" customHeight="false" outlineLevel="0" collapsed="false"/>
    <row r="714" customFormat="false" ht="12.75" hidden="false" customHeight="false" outlineLevel="0" collapsed="false"/>
    <row r="715" customFormat="false" ht="12.75" hidden="false" customHeight="false" outlineLevel="0" collapsed="false"/>
    <row r="716" customFormat="false" ht="12.75" hidden="false" customHeight="false" outlineLevel="0" collapsed="false"/>
    <row r="717" customFormat="false" ht="12.75" hidden="false" customHeight="false" outlineLevel="0" collapsed="false"/>
    <row r="718" customFormat="false" ht="12.75" hidden="false" customHeight="false" outlineLevel="0" collapsed="false"/>
    <row r="719" customFormat="false" ht="12.75" hidden="false" customHeight="false" outlineLevel="0" collapsed="false"/>
    <row r="720" customFormat="false" ht="12.75" hidden="false" customHeight="false" outlineLevel="0" collapsed="false"/>
    <row r="721" customFormat="false" ht="12.75" hidden="false" customHeight="false" outlineLevel="0" collapsed="false"/>
    <row r="722" customFormat="false" ht="12.75" hidden="false" customHeight="false" outlineLevel="0" collapsed="false"/>
    <row r="723" customFormat="false" ht="12.75" hidden="false" customHeight="false" outlineLevel="0" collapsed="false"/>
    <row r="724" customFormat="false" ht="12.75" hidden="false" customHeight="false" outlineLevel="0" collapsed="false"/>
    <row r="725" customFormat="false" ht="12.75" hidden="false" customHeight="false" outlineLevel="0" collapsed="false"/>
    <row r="726" customFormat="false" ht="12.75" hidden="false" customHeight="false" outlineLevel="0" collapsed="false"/>
    <row r="727" customFormat="false" ht="12.75" hidden="false" customHeight="false" outlineLevel="0" collapsed="false"/>
    <row r="728" customFormat="false" ht="12.75" hidden="false" customHeight="false" outlineLevel="0" collapsed="false"/>
    <row r="729" customFormat="false" ht="12.75" hidden="false" customHeight="false" outlineLevel="0" collapsed="false"/>
    <row r="730" customFormat="false" ht="12.75" hidden="false" customHeight="false" outlineLevel="0" collapsed="false"/>
    <row r="731" customFormat="false" ht="12.75" hidden="false" customHeight="false" outlineLevel="0" collapsed="false"/>
    <row r="732" customFormat="false" ht="12.75" hidden="false" customHeight="false" outlineLevel="0" collapsed="false"/>
    <row r="733" customFormat="false" ht="12.75" hidden="false" customHeight="false" outlineLevel="0" collapsed="false"/>
    <row r="734" customFormat="false" ht="12.75" hidden="false" customHeight="false" outlineLevel="0" collapsed="false"/>
    <row r="735" customFormat="false" ht="12.75" hidden="false" customHeight="false" outlineLevel="0" collapsed="false"/>
    <row r="736" customFormat="false" ht="12.75" hidden="false" customHeight="false" outlineLevel="0" collapsed="false"/>
    <row r="737" customFormat="false" ht="12.75" hidden="false" customHeight="false" outlineLevel="0" collapsed="false"/>
    <row r="738" customFormat="false" ht="12.75" hidden="false" customHeight="false" outlineLevel="0" collapsed="false"/>
    <row r="739" customFormat="false" ht="12.75" hidden="false" customHeight="false" outlineLevel="0" collapsed="false"/>
    <row r="740" customFormat="false" ht="12.75" hidden="false" customHeight="false" outlineLevel="0" collapsed="false"/>
    <row r="741" customFormat="false" ht="12.75" hidden="false" customHeight="false" outlineLevel="0" collapsed="false"/>
    <row r="742" customFormat="false" ht="12.75" hidden="false" customHeight="false" outlineLevel="0" collapsed="false"/>
    <row r="743" customFormat="false" ht="12.75" hidden="false" customHeight="false" outlineLevel="0" collapsed="false"/>
    <row r="744" customFormat="false" ht="12.75" hidden="false" customHeight="false" outlineLevel="0" collapsed="false"/>
    <row r="745" customFormat="false" ht="12.75" hidden="false" customHeight="false" outlineLevel="0" collapsed="false"/>
    <row r="746" customFormat="false" ht="12.75" hidden="false" customHeight="false" outlineLevel="0" collapsed="false"/>
    <row r="747" customFormat="false" ht="12.75" hidden="false" customHeight="false" outlineLevel="0" collapsed="false"/>
    <row r="748" customFormat="false" ht="12.75" hidden="false" customHeight="false" outlineLevel="0" collapsed="false"/>
    <row r="749" customFormat="false" ht="12.75" hidden="false" customHeight="false" outlineLevel="0" collapsed="false"/>
    <row r="750" customFormat="false" ht="12.75" hidden="false" customHeight="false" outlineLevel="0" collapsed="false"/>
    <row r="751" customFormat="false" ht="12.75" hidden="false" customHeight="false" outlineLevel="0" collapsed="false"/>
    <row r="752" customFormat="false" ht="12.75" hidden="false" customHeight="false" outlineLevel="0" collapsed="false"/>
    <row r="753" customFormat="false" ht="12.75" hidden="false" customHeight="false" outlineLevel="0" collapsed="false"/>
    <row r="754" customFormat="false" ht="12.75" hidden="false" customHeight="false" outlineLevel="0" collapsed="false"/>
    <row r="755" customFormat="false" ht="12.75" hidden="false" customHeight="false" outlineLevel="0" collapsed="false"/>
    <row r="756" customFormat="false" ht="12.75" hidden="false" customHeight="false" outlineLevel="0" collapsed="false"/>
    <row r="757" customFormat="false" ht="12.75" hidden="false" customHeight="false" outlineLevel="0" collapsed="false"/>
    <row r="758" customFormat="false" ht="12.75" hidden="false" customHeight="false" outlineLevel="0" collapsed="false"/>
    <row r="759" customFormat="false" ht="12.75" hidden="false" customHeight="false" outlineLevel="0" collapsed="false"/>
    <row r="760" customFormat="false" ht="12.75" hidden="false" customHeight="false" outlineLevel="0" collapsed="false"/>
    <row r="761" customFormat="false" ht="12.75" hidden="false" customHeight="false" outlineLevel="0" collapsed="false"/>
    <row r="762" customFormat="false" ht="12.75" hidden="false" customHeight="false" outlineLevel="0" collapsed="false"/>
    <row r="763" customFormat="false" ht="12.75" hidden="false" customHeight="false" outlineLevel="0" collapsed="false"/>
    <row r="764" customFormat="false" ht="12.75" hidden="false" customHeight="false" outlineLevel="0" collapsed="false"/>
    <row r="765" customFormat="false" ht="12.75" hidden="false" customHeight="false" outlineLevel="0" collapsed="false"/>
    <row r="766" customFormat="false" ht="12.75" hidden="false" customHeight="false" outlineLevel="0" collapsed="false"/>
    <row r="767" customFormat="false" ht="12.75" hidden="false" customHeight="false" outlineLevel="0" collapsed="false"/>
    <row r="768" customFormat="false" ht="12.75" hidden="false" customHeight="false" outlineLevel="0" collapsed="false"/>
    <row r="769" customFormat="false" ht="12.75" hidden="false" customHeight="false" outlineLevel="0" collapsed="false"/>
    <row r="770" customFormat="false" ht="12.75" hidden="false" customHeight="false" outlineLevel="0" collapsed="false"/>
    <row r="771" customFormat="false" ht="12.75" hidden="false" customHeight="false" outlineLevel="0" collapsed="false"/>
    <row r="772" customFormat="false" ht="12.75" hidden="false" customHeight="false" outlineLevel="0" collapsed="false"/>
    <row r="773" customFormat="false" ht="12.75" hidden="false" customHeight="false" outlineLevel="0" collapsed="false"/>
    <row r="774" customFormat="false" ht="12.75" hidden="false" customHeight="false" outlineLevel="0" collapsed="false"/>
    <row r="775" customFormat="false" ht="12.75" hidden="false" customHeight="false" outlineLevel="0" collapsed="false"/>
    <row r="776" customFormat="false" ht="12.75" hidden="false" customHeight="false" outlineLevel="0" collapsed="false"/>
    <row r="777" customFormat="false" ht="12.75" hidden="false" customHeight="false" outlineLevel="0" collapsed="false"/>
    <row r="778" customFormat="false" ht="12.75" hidden="false" customHeight="false" outlineLevel="0" collapsed="false"/>
    <row r="779" customFormat="false" ht="12.75" hidden="false" customHeight="false" outlineLevel="0" collapsed="false"/>
    <row r="780" customFormat="false" ht="12.75" hidden="false" customHeight="false" outlineLevel="0" collapsed="false"/>
    <row r="781" customFormat="false" ht="12.75" hidden="false" customHeight="false" outlineLevel="0" collapsed="false"/>
    <row r="782" customFormat="false" ht="12.75" hidden="false" customHeight="false" outlineLevel="0" collapsed="false"/>
    <row r="783" customFormat="false" ht="12.75" hidden="false" customHeight="false" outlineLevel="0" collapsed="false"/>
    <row r="784" customFormat="false" ht="12.75" hidden="false" customHeight="false" outlineLevel="0" collapsed="false"/>
    <row r="785" customFormat="false" ht="12.75" hidden="false" customHeight="false" outlineLevel="0" collapsed="false"/>
    <row r="786" customFormat="false" ht="12.75" hidden="false" customHeight="false" outlineLevel="0" collapsed="false"/>
    <row r="787" customFormat="false" ht="12.75" hidden="false" customHeight="false" outlineLevel="0" collapsed="false"/>
    <row r="788" customFormat="false" ht="12.75" hidden="false" customHeight="false" outlineLevel="0" collapsed="false"/>
    <row r="789" customFormat="false" ht="12.75" hidden="false" customHeight="false" outlineLevel="0" collapsed="false"/>
    <row r="790" customFormat="false" ht="12.75" hidden="false" customHeight="false" outlineLevel="0" collapsed="false"/>
    <row r="791" customFormat="false" ht="12.75" hidden="false" customHeight="false" outlineLevel="0" collapsed="false"/>
    <row r="792" customFormat="false" ht="12.75" hidden="false" customHeight="false" outlineLevel="0" collapsed="false"/>
    <row r="793" customFormat="false" ht="12.75" hidden="false" customHeight="false" outlineLevel="0" collapsed="false"/>
    <row r="794" customFormat="false" ht="12.75" hidden="false" customHeight="false" outlineLevel="0" collapsed="false"/>
    <row r="795" customFormat="false" ht="12.75" hidden="false" customHeight="false" outlineLevel="0" collapsed="false"/>
    <row r="796" customFormat="false" ht="12.75" hidden="false" customHeight="false" outlineLevel="0" collapsed="false"/>
    <row r="797" customFormat="false" ht="12.75" hidden="false" customHeight="false" outlineLevel="0" collapsed="false"/>
    <row r="798" customFormat="false" ht="12.75" hidden="false" customHeight="false" outlineLevel="0" collapsed="false"/>
    <row r="799" customFormat="false" ht="12.75" hidden="false" customHeight="false" outlineLevel="0" collapsed="false"/>
    <row r="800" customFormat="false" ht="12.75" hidden="false" customHeight="false" outlineLevel="0" collapsed="false"/>
    <row r="801" customFormat="false" ht="12.75" hidden="false" customHeight="false" outlineLevel="0" collapsed="false"/>
    <row r="802" customFormat="false" ht="12.75" hidden="false" customHeight="false" outlineLevel="0" collapsed="false"/>
    <row r="803" customFormat="false" ht="12.75" hidden="false" customHeight="false" outlineLevel="0" collapsed="false"/>
    <row r="804" customFormat="false" ht="12.75" hidden="false" customHeight="false" outlineLevel="0" collapsed="false"/>
    <row r="805" customFormat="false" ht="12.75" hidden="false" customHeight="false" outlineLevel="0" collapsed="false"/>
    <row r="806" customFormat="false" ht="12.75" hidden="false" customHeight="false" outlineLevel="0" collapsed="false"/>
    <row r="807" customFormat="false" ht="12.75" hidden="false" customHeight="false" outlineLevel="0" collapsed="false"/>
    <row r="808" customFormat="false" ht="12.75" hidden="false" customHeight="false" outlineLevel="0" collapsed="false"/>
    <row r="809" customFormat="false" ht="12.75" hidden="false" customHeight="false" outlineLevel="0" collapsed="false"/>
    <row r="810" customFormat="false" ht="12.75" hidden="false" customHeight="false" outlineLevel="0" collapsed="false"/>
    <row r="811" customFormat="false" ht="12.75" hidden="false" customHeight="false" outlineLevel="0" collapsed="false"/>
    <row r="812" customFormat="false" ht="12.75" hidden="false" customHeight="false" outlineLevel="0" collapsed="false"/>
    <row r="813" customFormat="false" ht="12.75" hidden="false" customHeight="false" outlineLevel="0" collapsed="false"/>
    <row r="814" customFormat="false" ht="12.75" hidden="false" customHeight="false" outlineLevel="0" collapsed="false"/>
    <row r="815" customFormat="false" ht="12.75" hidden="false" customHeight="false" outlineLevel="0" collapsed="false"/>
    <row r="816" customFormat="false" ht="12.75" hidden="false" customHeight="false" outlineLevel="0" collapsed="false"/>
    <row r="817" customFormat="false" ht="12.75" hidden="false" customHeight="false" outlineLevel="0" collapsed="false"/>
    <row r="818" customFormat="false" ht="12.75" hidden="false" customHeight="false" outlineLevel="0" collapsed="false"/>
    <row r="819" customFormat="false" ht="12.75" hidden="false" customHeight="false" outlineLevel="0" collapsed="false"/>
    <row r="820" customFormat="false" ht="12.75" hidden="false" customHeight="false" outlineLevel="0" collapsed="false"/>
    <row r="821" customFormat="false" ht="12.75" hidden="false" customHeight="false" outlineLevel="0" collapsed="false"/>
    <row r="822" customFormat="false" ht="12.75" hidden="false" customHeight="false" outlineLevel="0" collapsed="false"/>
    <row r="823" customFormat="false" ht="12.75" hidden="false" customHeight="false" outlineLevel="0" collapsed="false"/>
    <row r="824" customFormat="false" ht="12.75" hidden="false" customHeight="false" outlineLevel="0" collapsed="false"/>
    <row r="825" customFormat="false" ht="12.75" hidden="false" customHeight="false" outlineLevel="0" collapsed="false"/>
    <row r="826" customFormat="false" ht="12.75" hidden="false" customHeight="false" outlineLevel="0" collapsed="false"/>
    <row r="827" customFormat="false" ht="12.75" hidden="false" customHeight="false" outlineLevel="0" collapsed="false"/>
    <row r="828" customFormat="false" ht="12.75" hidden="false" customHeight="false" outlineLevel="0" collapsed="false"/>
    <row r="829" customFormat="false" ht="12.75" hidden="false" customHeight="false" outlineLevel="0" collapsed="false"/>
    <row r="830" customFormat="false" ht="12.75" hidden="false" customHeight="false" outlineLevel="0" collapsed="false"/>
    <row r="831" customFormat="false" ht="12.75" hidden="false" customHeight="false" outlineLevel="0" collapsed="false"/>
    <row r="832" customFormat="false" ht="12.75" hidden="false" customHeight="false" outlineLevel="0" collapsed="false"/>
    <row r="833" customFormat="false" ht="12.75" hidden="false" customHeight="false" outlineLevel="0" collapsed="false"/>
    <row r="834" customFormat="false" ht="12.75" hidden="false" customHeight="false" outlineLevel="0" collapsed="false"/>
    <row r="835" customFormat="false" ht="12.75" hidden="false" customHeight="false" outlineLevel="0" collapsed="false"/>
    <row r="836" customFormat="false" ht="12.75" hidden="false" customHeight="false" outlineLevel="0" collapsed="false"/>
    <row r="837" customFormat="false" ht="12.75" hidden="false" customHeight="false" outlineLevel="0" collapsed="false"/>
    <row r="838" customFormat="false" ht="12.75" hidden="false" customHeight="false" outlineLevel="0" collapsed="false"/>
    <row r="839" customFormat="false" ht="12.75" hidden="false" customHeight="false" outlineLevel="0" collapsed="false"/>
    <row r="840" customFormat="false" ht="12.75" hidden="false" customHeight="false" outlineLevel="0" collapsed="false"/>
    <row r="841" customFormat="false" ht="12.75" hidden="false" customHeight="false" outlineLevel="0" collapsed="false"/>
    <row r="842" customFormat="false" ht="12.75" hidden="false" customHeight="false" outlineLevel="0" collapsed="false"/>
    <row r="843" customFormat="false" ht="12.75" hidden="false" customHeight="false" outlineLevel="0" collapsed="false"/>
    <row r="844" customFormat="false" ht="12.75" hidden="false" customHeight="false" outlineLevel="0" collapsed="false"/>
    <row r="845" customFormat="false" ht="12.75" hidden="false" customHeight="false" outlineLevel="0" collapsed="false"/>
    <row r="846" customFormat="false" ht="12.75" hidden="false" customHeight="false" outlineLevel="0" collapsed="false"/>
    <row r="847" customFormat="false" ht="12.75" hidden="false" customHeight="false" outlineLevel="0" collapsed="false"/>
    <row r="848" customFormat="false" ht="12.75" hidden="false" customHeight="false" outlineLevel="0" collapsed="false"/>
    <row r="849" customFormat="false" ht="12.75" hidden="false" customHeight="false" outlineLevel="0" collapsed="false"/>
    <row r="850" customFormat="false" ht="12.75" hidden="false" customHeight="false" outlineLevel="0" collapsed="false"/>
    <row r="851" customFormat="false" ht="12.75" hidden="false" customHeight="false" outlineLevel="0" collapsed="false"/>
    <row r="852" customFormat="false" ht="12.75" hidden="false" customHeight="false" outlineLevel="0" collapsed="false"/>
    <row r="853" customFormat="false" ht="12.75" hidden="false" customHeight="false" outlineLevel="0" collapsed="false"/>
    <row r="854" customFormat="false" ht="12.75" hidden="false" customHeight="false" outlineLevel="0" collapsed="false"/>
    <row r="855" customFormat="false" ht="12.75" hidden="false" customHeight="false" outlineLevel="0" collapsed="false"/>
    <row r="856" customFormat="false" ht="12.75" hidden="false" customHeight="false" outlineLevel="0" collapsed="false"/>
    <row r="857" customFormat="false" ht="12.75" hidden="false" customHeight="false" outlineLevel="0" collapsed="false"/>
    <row r="858" customFormat="false" ht="12.75" hidden="false" customHeight="false" outlineLevel="0" collapsed="false"/>
    <row r="859" customFormat="false" ht="12.75" hidden="false" customHeight="false" outlineLevel="0" collapsed="false"/>
    <row r="860" customFormat="false" ht="12.75" hidden="false" customHeight="false" outlineLevel="0" collapsed="false"/>
    <row r="861" customFormat="false" ht="12.75" hidden="false" customHeight="false" outlineLevel="0" collapsed="false"/>
    <row r="862" customFormat="false" ht="12.75" hidden="false" customHeight="false" outlineLevel="0" collapsed="false"/>
    <row r="863" customFormat="false" ht="12.75" hidden="false" customHeight="false" outlineLevel="0" collapsed="false"/>
    <row r="864" customFormat="false" ht="12.75" hidden="false" customHeight="false" outlineLevel="0" collapsed="false"/>
    <row r="865" customFormat="false" ht="12.75" hidden="false" customHeight="false" outlineLevel="0" collapsed="false"/>
    <row r="866" customFormat="false" ht="12.75" hidden="false" customHeight="false" outlineLevel="0" collapsed="false"/>
    <row r="867" customFormat="false" ht="12.75" hidden="false" customHeight="false" outlineLevel="0" collapsed="false"/>
    <row r="868" customFormat="false" ht="12.75" hidden="false" customHeight="false" outlineLevel="0" collapsed="false"/>
    <row r="869" customFormat="false" ht="12.75" hidden="false" customHeight="false" outlineLevel="0" collapsed="false"/>
    <row r="870" customFormat="false" ht="12.75" hidden="false" customHeight="false" outlineLevel="0" collapsed="false"/>
    <row r="871" customFormat="false" ht="12.75" hidden="false" customHeight="false" outlineLevel="0" collapsed="false"/>
    <row r="872" customFormat="false" ht="12.75" hidden="false" customHeight="false" outlineLevel="0" collapsed="false"/>
    <row r="873" customFormat="false" ht="12.75" hidden="false" customHeight="false" outlineLevel="0" collapsed="false"/>
    <row r="874" customFormat="false" ht="12.75" hidden="false" customHeight="false" outlineLevel="0" collapsed="false"/>
    <row r="875" customFormat="false" ht="12.75" hidden="false" customHeight="false" outlineLevel="0" collapsed="false"/>
    <row r="876" customFormat="false" ht="12.75" hidden="false" customHeight="false" outlineLevel="0" collapsed="false"/>
    <row r="877" customFormat="false" ht="12.75" hidden="false" customHeight="false" outlineLevel="0" collapsed="false"/>
    <row r="878" customFormat="false" ht="12.75" hidden="false" customHeight="false" outlineLevel="0" collapsed="false"/>
    <row r="879" customFormat="false" ht="12.75" hidden="false" customHeight="false" outlineLevel="0" collapsed="false"/>
    <row r="880" customFormat="false" ht="12.75" hidden="false" customHeight="false" outlineLevel="0" collapsed="false"/>
    <row r="881" customFormat="false" ht="12.75" hidden="false" customHeight="false" outlineLevel="0" collapsed="false"/>
    <row r="882" customFormat="false" ht="12.75" hidden="false" customHeight="false" outlineLevel="0" collapsed="false"/>
    <row r="883" customFormat="false" ht="12.75" hidden="false" customHeight="false" outlineLevel="0" collapsed="false"/>
    <row r="884" customFormat="false" ht="12.75" hidden="false" customHeight="false" outlineLevel="0" collapsed="false"/>
    <row r="885" customFormat="false" ht="12.75" hidden="false" customHeight="false" outlineLevel="0" collapsed="false"/>
    <row r="886" customFormat="false" ht="12.75" hidden="false" customHeight="false" outlineLevel="0" collapsed="false"/>
    <row r="887" customFormat="false" ht="12.75" hidden="false" customHeight="false" outlineLevel="0" collapsed="false"/>
    <row r="888" customFormat="false" ht="12.75" hidden="false" customHeight="false" outlineLevel="0" collapsed="false"/>
    <row r="889" customFormat="false" ht="12.75" hidden="false" customHeight="false" outlineLevel="0" collapsed="false"/>
    <row r="890" customFormat="false" ht="12.75" hidden="false" customHeight="false" outlineLevel="0" collapsed="false"/>
    <row r="891" customFormat="false" ht="12.75" hidden="false" customHeight="false" outlineLevel="0" collapsed="false"/>
    <row r="892" customFormat="false" ht="12.75" hidden="false" customHeight="false" outlineLevel="0" collapsed="false"/>
    <row r="893" customFormat="false" ht="12.75" hidden="false" customHeight="false" outlineLevel="0" collapsed="false"/>
    <row r="894" customFormat="false" ht="12.75" hidden="false" customHeight="false" outlineLevel="0" collapsed="false"/>
    <row r="895" customFormat="false" ht="12.75" hidden="false" customHeight="false" outlineLevel="0" collapsed="false"/>
    <row r="896" customFormat="false" ht="12.75" hidden="false" customHeight="false" outlineLevel="0" collapsed="false"/>
    <row r="897" customFormat="false" ht="12.75" hidden="false" customHeight="false" outlineLevel="0" collapsed="false"/>
    <row r="898" customFormat="false" ht="12.75" hidden="false" customHeight="false" outlineLevel="0" collapsed="false"/>
    <row r="899" customFormat="false" ht="12.75" hidden="false" customHeight="false" outlineLevel="0" collapsed="false"/>
    <row r="900" customFormat="false" ht="12.75" hidden="false" customHeight="false" outlineLevel="0" collapsed="false"/>
    <row r="901" customFormat="false" ht="12.75" hidden="false" customHeight="false" outlineLevel="0" collapsed="false"/>
    <row r="902" customFormat="false" ht="12.75" hidden="false" customHeight="false" outlineLevel="0" collapsed="false"/>
    <row r="903" customFormat="false" ht="12.75" hidden="false" customHeight="false" outlineLevel="0" collapsed="false"/>
    <row r="904" customFormat="false" ht="12.75" hidden="false" customHeight="false" outlineLevel="0" collapsed="false"/>
    <row r="905" customFormat="false" ht="12.75" hidden="false" customHeight="false" outlineLevel="0" collapsed="false"/>
    <row r="906" customFormat="false" ht="12.75" hidden="false" customHeight="false" outlineLevel="0" collapsed="false"/>
    <row r="907" customFormat="false" ht="12.75" hidden="false" customHeight="false" outlineLevel="0" collapsed="false"/>
    <row r="908" customFormat="false" ht="12.75" hidden="false" customHeight="false" outlineLevel="0" collapsed="false"/>
    <row r="909" customFormat="false" ht="12.75" hidden="false" customHeight="false" outlineLevel="0" collapsed="false"/>
    <row r="910" customFormat="false" ht="12.75" hidden="false" customHeight="false" outlineLevel="0" collapsed="false"/>
    <row r="911" customFormat="false" ht="12.75" hidden="false" customHeight="false" outlineLevel="0" collapsed="false"/>
    <row r="912" customFormat="false" ht="12.75" hidden="false" customHeight="false" outlineLevel="0" collapsed="false"/>
    <row r="913" customFormat="false" ht="12.75" hidden="false" customHeight="false" outlineLevel="0" collapsed="false"/>
    <row r="914" customFormat="false" ht="12.75" hidden="false" customHeight="false" outlineLevel="0" collapsed="false"/>
    <row r="915" customFormat="false" ht="12.75" hidden="false" customHeight="false" outlineLevel="0" collapsed="false"/>
    <row r="916" customFormat="false" ht="12.75" hidden="false" customHeight="false" outlineLevel="0" collapsed="false"/>
    <row r="917" customFormat="false" ht="12.75" hidden="false" customHeight="false" outlineLevel="0" collapsed="false"/>
    <row r="918" customFormat="false" ht="12.75" hidden="false" customHeight="false" outlineLevel="0" collapsed="false"/>
    <row r="919" customFormat="false" ht="12.75" hidden="false" customHeight="false" outlineLevel="0" collapsed="false"/>
    <row r="920" customFormat="false" ht="12.75" hidden="false" customHeight="false" outlineLevel="0" collapsed="false"/>
    <row r="921" customFormat="false" ht="12.75" hidden="false" customHeight="false" outlineLevel="0" collapsed="false"/>
    <row r="922" customFormat="false" ht="12.75" hidden="false" customHeight="false" outlineLevel="0" collapsed="false"/>
    <row r="923" customFormat="false" ht="12.75" hidden="false" customHeight="false" outlineLevel="0" collapsed="false"/>
    <row r="924" customFormat="false" ht="12.75" hidden="false" customHeight="false" outlineLevel="0" collapsed="false"/>
    <row r="925" customFormat="false" ht="12.75" hidden="false" customHeight="false" outlineLevel="0" collapsed="false"/>
    <row r="926" customFormat="false" ht="12.75" hidden="false" customHeight="false" outlineLevel="0" collapsed="false"/>
    <row r="927" customFormat="false" ht="12.75" hidden="false" customHeight="false" outlineLevel="0" collapsed="false"/>
    <row r="928" customFormat="false" ht="12.75" hidden="false" customHeight="false" outlineLevel="0" collapsed="false"/>
    <row r="929" customFormat="false" ht="12.75" hidden="false" customHeight="false" outlineLevel="0" collapsed="false"/>
    <row r="930" customFormat="false" ht="12.75" hidden="false" customHeight="false" outlineLevel="0" collapsed="false"/>
    <row r="931" customFormat="false" ht="12.75" hidden="false" customHeight="false" outlineLevel="0" collapsed="false"/>
    <row r="932" customFormat="false" ht="12.75" hidden="false" customHeight="false" outlineLevel="0" collapsed="false"/>
    <row r="933" customFormat="false" ht="12.75" hidden="false" customHeight="false" outlineLevel="0" collapsed="false"/>
    <row r="934" customFormat="false" ht="12.75" hidden="false" customHeight="false" outlineLevel="0" collapsed="false"/>
    <row r="935" customFormat="false" ht="12.75" hidden="false" customHeight="false" outlineLevel="0" collapsed="false"/>
    <row r="936" customFormat="false" ht="12.75" hidden="false" customHeight="false" outlineLevel="0" collapsed="false"/>
    <row r="937" customFormat="false" ht="12.75" hidden="false" customHeight="false" outlineLevel="0" collapsed="false"/>
    <row r="938" customFormat="false" ht="12.75" hidden="false" customHeight="false" outlineLevel="0" collapsed="false"/>
    <row r="939" customFormat="false" ht="12.75" hidden="false" customHeight="false" outlineLevel="0" collapsed="false"/>
    <row r="940" customFormat="false" ht="12.75" hidden="false" customHeight="false" outlineLevel="0" collapsed="false"/>
    <row r="941" customFormat="false" ht="12.75" hidden="false" customHeight="false" outlineLevel="0" collapsed="false"/>
    <row r="942" customFormat="false" ht="12.75" hidden="false" customHeight="false" outlineLevel="0" collapsed="false"/>
    <row r="943" customFormat="false" ht="12.75" hidden="false" customHeight="false" outlineLevel="0" collapsed="false"/>
    <row r="944" customFormat="false" ht="12.75" hidden="false" customHeight="false" outlineLevel="0" collapsed="false"/>
    <row r="945" customFormat="false" ht="12.75" hidden="false" customHeight="false" outlineLevel="0" collapsed="false"/>
    <row r="946" customFormat="false" ht="12.75" hidden="false" customHeight="false" outlineLevel="0" collapsed="false"/>
    <row r="947" customFormat="false" ht="12.75" hidden="false" customHeight="false" outlineLevel="0" collapsed="false"/>
    <row r="948" customFormat="false" ht="12.75" hidden="false" customHeight="false" outlineLevel="0" collapsed="false"/>
    <row r="949" customFormat="false" ht="12.75" hidden="false" customHeight="false" outlineLevel="0" collapsed="false"/>
    <row r="950" customFormat="false" ht="12.75" hidden="false" customHeight="false" outlineLevel="0" collapsed="false"/>
    <row r="951" customFormat="false" ht="12.75" hidden="false" customHeight="false" outlineLevel="0" collapsed="false"/>
    <row r="952" customFormat="false" ht="12.75" hidden="false" customHeight="false" outlineLevel="0" collapsed="false"/>
    <row r="953" customFormat="false" ht="12.75" hidden="false" customHeight="false" outlineLevel="0" collapsed="false"/>
    <row r="954" customFormat="false" ht="12.75" hidden="false" customHeight="false" outlineLevel="0" collapsed="false"/>
    <row r="955" customFormat="false" ht="12.75" hidden="false" customHeight="false" outlineLevel="0" collapsed="false"/>
    <row r="956" customFormat="false" ht="12.75" hidden="false" customHeight="false" outlineLevel="0" collapsed="false"/>
    <row r="957" customFormat="false" ht="12.75" hidden="false" customHeight="false" outlineLevel="0" collapsed="false"/>
    <row r="958" customFormat="false" ht="12.75" hidden="false" customHeight="false" outlineLevel="0" collapsed="false"/>
    <row r="959" customFormat="false" ht="12.75" hidden="false" customHeight="false" outlineLevel="0" collapsed="false"/>
    <row r="960" customFormat="false" ht="12.75" hidden="false" customHeight="false" outlineLevel="0" collapsed="false"/>
    <row r="961" customFormat="false" ht="12.75" hidden="false" customHeight="false" outlineLevel="0" collapsed="false"/>
    <row r="962" customFormat="false" ht="12.75" hidden="false" customHeight="false" outlineLevel="0" collapsed="false"/>
    <row r="963" customFormat="false" ht="12.75" hidden="false" customHeight="false" outlineLevel="0" collapsed="false"/>
    <row r="964" customFormat="false" ht="12.75" hidden="false" customHeight="false" outlineLevel="0" collapsed="false"/>
    <row r="965" customFormat="false" ht="12.75" hidden="false" customHeight="false" outlineLevel="0" collapsed="false"/>
    <row r="966" customFormat="false" ht="12.75" hidden="false" customHeight="false" outlineLevel="0" collapsed="false"/>
    <row r="967" customFormat="false" ht="12.75" hidden="false" customHeight="false" outlineLevel="0" collapsed="false"/>
    <row r="968" customFormat="false" ht="12.75" hidden="false" customHeight="false" outlineLevel="0" collapsed="false"/>
    <row r="969" customFormat="false" ht="12.75" hidden="false" customHeight="false" outlineLevel="0" collapsed="false"/>
    <row r="970" customFormat="false" ht="12.75" hidden="false" customHeight="false" outlineLevel="0" collapsed="false"/>
    <row r="971" customFormat="false" ht="12.75" hidden="false" customHeight="false" outlineLevel="0" collapsed="false"/>
    <row r="972" customFormat="false" ht="12.75" hidden="false" customHeight="false" outlineLevel="0" collapsed="false"/>
    <row r="973" customFormat="false" ht="12.75" hidden="false" customHeight="false" outlineLevel="0" collapsed="false"/>
    <row r="974" customFormat="false" ht="12.75" hidden="false" customHeight="false" outlineLevel="0" collapsed="false"/>
    <row r="975" customFormat="false" ht="12.75" hidden="false" customHeight="false" outlineLevel="0" collapsed="false"/>
    <row r="976" customFormat="false" ht="12.75" hidden="false" customHeight="false" outlineLevel="0" collapsed="false"/>
    <row r="977" customFormat="false" ht="12.75" hidden="false" customHeight="false" outlineLevel="0" collapsed="false"/>
    <row r="978" customFormat="false" ht="12.75" hidden="false" customHeight="false" outlineLevel="0" collapsed="false"/>
    <row r="979" customFormat="false" ht="12.75" hidden="false" customHeight="false" outlineLevel="0" collapsed="false"/>
    <row r="980" customFormat="false" ht="12.75" hidden="false" customHeight="false" outlineLevel="0" collapsed="false"/>
    <row r="981" customFormat="false" ht="12.75" hidden="false" customHeight="false" outlineLevel="0" collapsed="false"/>
    <row r="982" customFormat="false" ht="12.75" hidden="false" customHeight="false" outlineLevel="0" collapsed="false"/>
    <row r="983" customFormat="false" ht="12.75" hidden="false" customHeight="false" outlineLevel="0" collapsed="false"/>
    <row r="984" customFormat="false" ht="12.75" hidden="false" customHeight="false" outlineLevel="0" collapsed="false"/>
    <row r="985" customFormat="false" ht="12.75" hidden="false" customHeight="false" outlineLevel="0" collapsed="false"/>
    <row r="986" customFormat="false" ht="12.75" hidden="false" customHeight="false" outlineLevel="0" collapsed="false"/>
    <row r="987" customFormat="false" ht="12.75" hidden="false" customHeight="false" outlineLevel="0" collapsed="false"/>
    <row r="988" customFormat="false" ht="12.75" hidden="false" customHeight="false" outlineLevel="0" collapsed="false"/>
    <row r="989" customFormat="false" ht="12.75" hidden="false" customHeight="false" outlineLevel="0" collapsed="false"/>
    <row r="990" customFormat="false" ht="12.75" hidden="false" customHeight="false" outlineLevel="0" collapsed="false"/>
    <row r="991" customFormat="false" ht="12.75" hidden="false" customHeight="false" outlineLevel="0" collapsed="false"/>
    <row r="992" customFormat="false" ht="12.75" hidden="false" customHeight="false" outlineLevel="0" collapsed="false"/>
    <row r="993" customFormat="false" ht="12.75" hidden="false" customHeight="false" outlineLevel="0" collapsed="false"/>
    <row r="994" customFormat="false" ht="12.75" hidden="false" customHeight="false" outlineLevel="0" collapsed="false"/>
    <row r="995" customFormat="false" ht="12.75" hidden="false" customHeight="false" outlineLevel="0" collapsed="false"/>
    <row r="996" customFormat="false" ht="12.75" hidden="false" customHeight="false" outlineLevel="0" collapsed="false"/>
    <row r="997" customFormat="false" ht="12.75" hidden="false" customHeight="false" outlineLevel="0" collapsed="false"/>
    <row r="998" customFormat="false" ht="12.75" hidden="false" customHeight="false" outlineLevel="0" collapsed="false"/>
    <row r="999" customFormat="false" ht="12.75" hidden="false" customHeight="false" outlineLevel="0" collapsed="false"/>
    <row r="1000" customFormat="false" ht="12.75" hidden="false" customHeight="false" outlineLevel="0" collapsed="false"/>
    <row r="1001" customFormat="false" ht="12.75" hidden="false" customHeight="false" outlineLevel="0" collapsed="false"/>
  </sheetData>
  <mergeCells count="2">
    <mergeCell ref="H1:I1"/>
    <mergeCell ref="K5:M6"/>
  </mergeCells>
  <conditionalFormatting sqref="H6:H1001">
    <cfRule type="cellIs" priority="2" operator="between" aboveAverage="0" equalAverage="0" bottom="0" percent="0" rank="0" text="" dxfId="0">
      <formula>0</formula>
      <formula>0.5</formula>
    </cfRule>
  </conditionalFormatting>
  <conditionalFormatting sqref="H6:H1001">
    <cfRule type="cellIs" priority="3" operator="between" aboveAverage="0" equalAverage="0" bottom="0" percent="0" rank="0" text="" dxfId="1">
      <formula>0.51</formula>
      <formula>0.99</formula>
    </cfRule>
  </conditionalFormatting>
  <conditionalFormatting sqref="H6:H1001">
    <cfRule type="cellIs" priority="4" operator="greaterThanOrEqual" aboveAverage="0" equalAverage="0" bottom="0" percent="0" rank="0" text="" dxfId="2">
      <formula>1</formula>
    </cfRule>
  </conditionalFormatting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152"/>
  <sheetViews>
    <sheetView showFormulas="false" showGridLines="false" showRowColHeaders="true" showZeros="true" rightToLeft="false" tabSelected="false" showOutlineSymbols="true" defaultGridColor="true" view="normal" topLeftCell="A127" colorId="64" zoomScale="100" zoomScaleNormal="100" zoomScalePageLayoutView="100" workbookViewId="0">
      <selection pane="topLeft" activeCell="C6" activeCellId="0" sqref="C6"/>
    </sheetView>
  </sheetViews>
  <sheetFormatPr defaultRowHeight="15.75" zeroHeight="false" outlineLevelRow="0" outlineLevelCol="0"/>
  <cols>
    <col collapsed="false" customWidth="true" hidden="false" outlineLevel="0" max="2" min="1" style="0" width="14.43"/>
    <col collapsed="false" customWidth="true" hidden="false" outlineLevel="0" max="3" min="3" style="0" width="22.43"/>
    <col collapsed="false" customWidth="true" hidden="false" outlineLevel="0" max="1025" min="4" style="0" width="14.43"/>
  </cols>
  <sheetData>
    <row r="1" s="26" customFormat="true" ht="48" hidden="false" customHeight="true" outlineLevel="0" collapsed="false">
      <c r="A1" s="23"/>
      <c r="B1" s="23"/>
      <c r="C1" s="23"/>
      <c r="D1" s="23"/>
      <c r="E1" s="24" t="s">
        <v>20</v>
      </c>
      <c r="F1" s="24" t="n">
        <f aca="false">'Cadastro Institucional'!D$6</f>
        <v>0</v>
      </c>
      <c r="G1" s="25" t="n">
        <f aca="false">'Cadastro Institucional'!D$7</f>
        <v>0</v>
      </c>
      <c r="H1" s="41"/>
      <c r="I1" s="41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customFormat="false" ht="12.75" hidden="false" customHeight="false" outlineLevel="0" collapsed="false">
      <c r="A2" s="27" t="s">
        <v>14</v>
      </c>
      <c r="B2" s="27" t="s">
        <v>13</v>
      </c>
      <c r="C2" s="27" t="s">
        <v>15</v>
      </c>
      <c r="D2" s="27" t="s">
        <v>16</v>
      </c>
      <c r="E2" s="27" t="s">
        <v>17</v>
      </c>
      <c r="F2" s="27" t="s">
        <v>18</v>
      </c>
      <c r="G2" s="27" t="s">
        <v>19</v>
      </c>
      <c r="H2" s="69" t="s">
        <v>35</v>
      </c>
      <c r="I2" s="69" t="s">
        <v>36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customFormat="false" ht="12.75" hidden="false" customHeight="false" outlineLevel="0" collapsed="false">
      <c r="A3" s="30" t="n">
        <f aca="false">'Cadastro Institucional'!D$10</f>
        <v>0</v>
      </c>
      <c r="B3" s="31" t="n">
        <f aca="false">'Cadastro Institucional'!D$9</f>
        <v>0</v>
      </c>
      <c r="C3" s="31" t="n">
        <f aca="false">'Cadastro Institucional'!D$11</f>
        <v>0</v>
      </c>
      <c r="D3" s="32" t="n">
        <f aca="false">'Cadastro Institucional'!D$12</f>
        <v>0</v>
      </c>
      <c r="E3" s="31" t="n">
        <f aca="false">'Cadastro Institucional'!D$13</f>
        <v>0</v>
      </c>
      <c r="F3" s="31" t="n">
        <f aca="false">'Cadastro Institucional'!D$14</f>
        <v>0</v>
      </c>
      <c r="G3" s="33" t="n">
        <f aca="false">'Cadastro Institucional'!D$15</f>
        <v>0</v>
      </c>
      <c r="H3" s="70"/>
      <c r="I3" s="70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customFormat="false" ht="12.75" hidden="false" customHeight="false" outlineLevel="0" collapsed="false">
      <c r="A4" s="29"/>
      <c r="B4" s="29"/>
      <c r="C4" s="29"/>
      <c r="D4" s="29"/>
      <c r="E4" s="29"/>
      <c r="F4" s="29"/>
      <c r="G4" s="29"/>
      <c r="H4" s="29"/>
      <c r="I4" s="29"/>
      <c r="J4" s="29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 customFormat="false" ht="25.5" hidden="false" customHeight="true" outlineLevel="0" collapsed="false">
      <c r="A5" s="56" t="s">
        <v>21</v>
      </c>
      <c r="B5" s="56" t="s">
        <v>23</v>
      </c>
      <c r="C5" s="56" t="s">
        <v>22</v>
      </c>
      <c r="D5" s="56" t="s">
        <v>28</v>
      </c>
      <c r="E5" s="56" t="s">
        <v>29</v>
      </c>
      <c r="F5" s="56" t="s">
        <v>30</v>
      </c>
      <c r="G5" s="56" t="s">
        <v>31</v>
      </c>
      <c r="H5" s="56" t="s">
        <v>32</v>
      </c>
      <c r="I5" s="56" t="s">
        <v>33</v>
      </c>
      <c r="J5" s="58"/>
      <c r="K5" s="20" t="s">
        <v>8</v>
      </c>
      <c r="L5" s="20"/>
      <c r="M5" s="20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</row>
    <row r="6" customFormat="false" ht="12.75" hidden="false" customHeight="true" outlineLevel="0" collapsed="false">
      <c r="A6" s="37" t="n">
        <f aca="false">'Itens de Contrato'!A6</f>
        <v>0</v>
      </c>
      <c r="B6" s="37" t="n">
        <f aca="false">'Itens de Contrato'!B6</f>
        <v>0</v>
      </c>
      <c r="C6" s="37" t="e">
        <f aca="false">VLOOKUP(B6,'Itens de Contrato'!B$5:G$151,2,0)</f>
        <v>#N/A</v>
      </c>
      <c r="D6" s="52"/>
      <c r="E6" s="63" t="n">
        <f aca="false">D6*'Itens de Contrato'!F6</f>
        <v>0</v>
      </c>
      <c r="F6" s="62" t="n">
        <f aca="false">'Medição 11'!F6-'Medição 11'!G6</f>
        <v>0</v>
      </c>
      <c r="G6" s="52"/>
      <c r="H6" s="64" t="e">
        <f aca="false">G6/D6</f>
        <v>#DIV/0!</v>
      </c>
      <c r="I6" s="63" t="n">
        <f aca="false">G6*'Itens de Contrato'!F6</f>
        <v>0</v>
      </c>
      <c r="J6" s="37"/>
      <c r="K6" s="20"/>
      <c r="L6" s="20"/>
      <c r="M6" s="20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customFormat="false" ht="12.8" hidden="false" customHeight="false" outlineLevel="0" collapsed="false">
      <c r="A7" s="37" t="n">
        <f aca="false">'Itens de Contrato'!A7</f>
        <v>0</v>
      </c>
      <c r="B7" s="37" t="n">
        <f aca="false">'Itens de Contrato'!B7</f>
        <v>0</v>
      </c>
      <c r="C7" s="37" t="e">
        <f aca="false">VLOOKUP(B7,'Itens de Contrato'!B$5:G$151,2,0)</f>
        <v>#N/A</v>
      </c>
      <c r="D7" s="52"/>
      <c r="E7" s="63" t="n">
        <f aca="false">D7*'Itens de Contrato'!F7</f>
        <v>0</v>
      </c>
      <c r="F7" s="62" t="n">
        <f aca="false">'Medição 11'!F7-'Medição 11'!G7</f>
        <v>0</v>
      </c>
      <c r="G7" s="52"/>
      <c r="H7" s="64" t="e">
        <f aca="false">G7/D7</f>
        <v>#DIV/0!</v>
      </c>
      <c r="I7" s="63" t="n">
        <f aca="false">G7*'Itens de Contrato'!F7</f>
        <v>0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customFormat="false" ht="12.8" hidden="false" customHeight="false" outlineLevel="0" collapsed="false">
      <c r="A8" s="37" t="n">
        <f aca="false">'Itens de Contrato'!A8</f>
        <v>0</v>
      </c>
      <c r="B8" s="37" t="n">
        <f aca="false">'Itens de Contrato'!B8</f>
        <v>0</v>
      </c>
      <c r="C8" s="37" t="e">
        <f aca="false">VLOOKUP(B8,'Itens de Contrato'!B$5:G$151,2,0)</f>
        <v>#N/A</v>
      </c>
      <c r="D8" s="52"/>
      <c r="E8" s="63" t="n">
        <f aca="false">D8*'Itens de Contrato'!F8</f>
        <v>0</v>
      </c>
      <c r="F8" s="62" t="n">
        <f aca="false">'Medição 11'!F8-'Medição 11'!G8</f>
        <v>0</v>
      </c>
      <c r="G8" s="52"/>
      <c r="H8" s="64" t="e">
        <f aca="false">G8/D8</f>
        <v>#DIV/0!</v>
      </c>
      <c r="I8" s="63" t="n">
        <f aca="false">G8*'Itens de Contrato'!F8</f>
        <v>0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customFormat="false" ht="12.8" hidden="false" customHeight="false" outlineLevel="0" collapsed="false">
      <c r="A9" s="37" t="n">
        <f aca="false">'Itens de Contrato'!A9</f>
        <v>0</v>
      </c>
      <c r="B9" s="37" t="n">
        <f aca="false">'Itens de Contrato'!B9</f>
        <v>0</v>
      </c>
      <c r="C9" s="37" t="e">
        <f aca="false">VLOOKUP(B9,'Itens de Contrato'!B$5:G$151,2,0)</f>
        <v>#N/A</v>
      </c>
      <c r="D9" s="52"/>
      <c r="E9" s="63" t="n">
        <f aca="false">D9*'Itens de Contrato'!F9</f>
        <v>0</v>
      </c>
      <c r="F9" s="62" t="n">
        <f aca="false">'Medição 11'!F9-'Medição 11'!G9</f>
        <v>0</v>
      </c>
      <c r="G9" s="52"/>
      <c r="H9" s="64" t="e">
        <f aca="false">G9/D9</f>
        <v>#DIV/0!</v>
      </c>
      <c r="I9" s="63" t="n">
        <f aca="false">G9*'Itens de Contrato'!F9</f>
        <v>0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 customFormat="false" ht="12.8" hidden="false" customHeight="false" outlineLevel="0" collapsed="false">
      <c r="A10" s="37" t="n">
        <f aca="false">'Itens de Contrato'!A10</f>
        <v>0</v>
      </c>
      <c r="B10" s="37" t="n">
        <f aca="false">'Itens de Contrato'!B10</f>
        <v>0</v>
      </c>
      <c r="C10" s="37" t="e">
        <f aca="false">VLOOKUP(B10,'Itens de Contrato'!B$5:G$151,2,0)</f>
        <v>#N/A</v>
      </c>
      <c r="D10" s="52"/>
      <c r="E10" s="63" t="n">
        <f aca="false">D10*'Itens de Contrato'!F10</f>
        <v>0</v>
      </c>
      <c r="F10" s="62" t="n">
        <f aca="false">'Medição 11'!F10-'Medição 11'!G10</f>
        <v>0</v>
      </c>
      <c r="G10" s="52"/>
      <c r="H10" s="64" t="e">
        <f aca="false">G10/D10</f>
        <v>#DIV/0!</v>
      </c>
      <c r="I10" s="63" t="n">
        <f aca="false">G10*'Itens de Contrato'!F10</f>
        <v>0</v>
      </c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 customFormat="false" ht="12.8" hidden="false" customHeight="false" outlineLevel="0" collapsed="false">
      <c r="A11" s="37" t="n">
        <f aca="false">'Itens de Contrato'!A11</f>
        <v>0</v>
      </c>
      <c r="B11" s="37" t="n">
        <f aca="false">'Itens de Contrato'!B11</f>
        <v>0</v>
      </c>
      <c r="C11" s="37" t="e">
        <f aca="false">VLOOKUP(B11,'Itens de Contrato'!B$5:G$151,2,0)</f>
        <v>#N/A</v>
      </c>
      <c r="D11" s="52"/>
      <c r="E11" s="63" t="n">
        <f aca="false">D11*'Itens de Contrato'!F11</f>
        <v>0</v>
      </c>
      <c r="F11" s="62" t="n">
        <f aca="false">'Medição 11'!F11-'Medição 11'!G11</f>
        <v>0</v>
      </c>
      <c r="G11" s="52"/>
      <c r="H11" s="64" t="e">
        <f aca="false">G11/D11</f>
        <v>#DIV/0!</v>
      </c>
      <c r="I11" s="63" t="n">
        <f aca="false">G11*'Itens de Contrato'!F11</f>
        <v>0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 customFormat="false" ht="12.8" hidden="false" customHeight="false" outlineLevel="0" collapsed="false">
      <c r="A12" s="37" t="n">
        <f aca="false">'Itens de Contrato'!A12</f>
        <v>0</v>
      </c>
      <c r="B12" s="37" t="n">
        <f aca="false">'Itens de Contrato'!B12</f>
        <v>0</v>
      </c>
      <c r="C12" s="37" t="e">
        <f aca="false">VLOOKUP(B12,'Itens de Contrato'!B$5:G$151,2,0)</f>
        <v>#N/A</v>
      </c>
      <c r="D12" s="52"/>
      <c r="E12" s="63" t="n">
        <f aca="false">D12*'Itens de Contrato'!F12</f>
        <v>0</v>
      </c>
      <c r="F12" s="62" t="n">
        <f aca="false">'Medição 11'!F12-'Medição 11'!G12</f>
        <v>0</v>
      </c>
      <c r="G12" s="52"/>
      <c r="H12" s="64" t="e">
        <f aca="false">G12/D12</f>
        <v>#DIV/0!</v>
      </c>
      <c r="I12" s="63" t="n">
        <f aca="false">G12*'Itens de Contrato'!F12</f>
        <v>0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 customFormat="false" ht="12.8" hidden="false" customHeight="false" outlineLevel="0" collapsed="false">
      <c r="A13" s="37" t="n">
        <f aca="false">'Itens de Contrato'!A13</f>
        <v>0</v>
      </c>
      <c r="B13" s="37" t="n">
        <f aca="false">'Itens de Contrato'!B13</f>
        <v>0</v>
      </c>
      <c r="C13" s="37" t="e">
        <f aca="false">VLOOKUP(B13,'Itens de Contrato'!B$5:G$151,2,0)</f>
        <v>#N/A</v>
      </c>
      <c r="D13" s="52"/>
      <c r="E13" s="63" t="n">
        <f aca="false">D13*'Itens de Contrato'!F13</f>
        <v>0</v>
      </c>
      <c r="F13" s="62" t="n">
        <f aca="false">'Medição 11'!F13-'Medição 11'!G13</f>
        <v>0</v>
      </c>
      <c r="G13" s="52"/>
      <c r="H13" s="64" t="e">
        <f aca="false">G13/D13</f>
        <v>#DIV/0!</v>
      </c>
      <c r="I13" s="63" t="n">
        <f aca="false">G13*'Itens de Contrato'!F13</f>
        <v>0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customFormat="false" ht="12.8" hidden="false" customHeight="false" outlineLevel="0" collapsed="false">
      <c r="A14" s="37" t="n">
        <f aca="false">'Itens de Contrato'!A14</f>
        <v>0</v>
      </c>
      <c r="B14" s="37" t="n">
        <f aca="false">'Itens de Contrato'!B14</f>
        <v>0</v>
      </c>
      <c r="C14" s="37" t="e">
        <f aca="false">VLOOKUP(B14,'Itens de Contrato'!B$5:G$151,2,0)</f>
        <v>#N/A</v>
      </c>
      <c r="D14" s="52"/>
      <c r="E14" s="63" t="n">
        <f aca="false">D14*'Itens de Contrato'!F14</f>
        <v>0</v>
      </c>
      <c r="F14" s="62" t="n">
        <f aca="false">'Medição 11'!F14-'Medição 11'!G14</f>
        <v>0</v>
      </c>
      <c r="G14" s="52"/>
      <c r="H14" s="64" t="e">
        <f aca="false">G14/D14</f>
        <v>#DIV/0!</v>
      </c>
      <c r="I14" s="63" t="n">
        <f aca="false">G14*'Itens de Contrato'!F14</f>
        <v>0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 customFormat="false" ht="12.8" hidden="false" customHeight="false" outlineLevel="0" collapsed="false">
      <c r="A15" s="37" t="n">
        <f aca="false">'Itens de Contrato'!A15</f>
        <v>0</v>
      </c>
      <c r="B15" s="37" t="n">
        <f aca="false">'Itens de Contrato'!B15</f>
        <v>0</v>
      </c>
      <c r="C15" s="37" t="e">
        <f aca="false">VLOOKUP(B15,'Itens de Contrato'!B$5:G$151,2,0)</f>
        <v>#N/A</v>
      </c>
      <c r="D15" s="52"/>
      <c r="E15" s="63" t="n">
        <f aca="false">D15*'Itens de Contrato'!F15</f>
        <v>0</v>
      </c>
      <c r="F15" s="62" t="n">
        <f aca="false">'Medição 11'!F15-'Medição 11'!G15</f>
        <v>0</v>
      </c>
      <c r="G15" s="52"/>
      <c r="H15" s="64" t="e">
        <f aca="false">G15/D15</f>
        <v>#DIV/0!</v>
      </c>
      <c r="I15" s="63" t="n">
        <f aca="false">G15*'Itens de Contrato'!F15</f>
        <v>0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customFormat="false" ht="12.8" hidden="false" customHeight="false" outlineLevel="0" collapsed="false">
      <c r="A16" s="37" t="n">
        <f aca="false">'Itens de Contrato'!A16</f>
        <v>0</v>
      </c>
      <c r="B16" s="37" t="n">
        <f aca="false">'Itens de Contrato'!B16</f>
        <v>0</v>
      </c>
      <c r="C16" s="37" t="e">
        <f aca="false">VLOOKUP(B16,'Itens de Contrato'!B$5:G$151,2,0)</f>
        <v>#N/A</v>
      </c>
      <c r="D16" s="52"/>
      <c r="E16" s="63" t="n">
        <f aca="false">D16*'Itens de Contrato'!F16</f>
        <v>0</v>
      </c>
      <c r="F16" s="62" t="n">
        <f aca="false">'Medição 11'!F16-'Medição 11'!G16</f>
        <v>0</v>
      </c>
      <c r="G16" s="52"/>
      <c r="H16" s="64" t="e">
        <f aca="false">G16/D16</f>
        <v>#DIV/0!</v>
      </c>
      <c r="I16" s="63" t="n">
        <f aca="false">G16*'Itens de Contrato'!F16</f>
        <v>0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7" customFormat="false" ht="12.8" hidden="false" customHeight="false" outlineLevel="0" collapsed="false">
      <c r="A17" s="37" t="n">
        <f aca="false">'Itens de Contrato'!A17</f>
        <v>0</v>
      </c>
      <c r="B17" s="37" t="n">
        <f aca="false">'Itens de Contrato'!B17</f>
        <v>0</v>
      </c>
      <c r="C17" s="37" t="e">
        <f aca="false">VLOOKUP(B17,'Itens de Contrato'!B$5:G$151,2,0)</f>
        <v>#N/A</v>
      </c>
      <c r="D17" s="52"/>
      <c r="E17" s="63" t="n">
        <f aca="false">D17*'Itens de Contrato'!F17</f>
        <v>0</v>
      </c>
      <c r="F17" s="62" t="n">
        <f aca="false">'Medição 11'!F17-'Medição 11'!G17</f>
        <v>0</v>
      </c>
      <c r="G17" s="52"/>
      <c r="H17" s="64" t="e">
        <f aca="false">G17/D17</f>
        <v>#DIV/0!</v>
      </c>
      <c r="I17" s="63" t="n">
        <f aca="false">G17*'Itens de Contrato'!F17</f>
        <v>0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</row>
    <row r="18" customFormat="false" ht="12.8" hidden="false" customHeight="false" outlineLevel="0" collapsed="false">
      <c r="A18" s="37" t="n">
        <f aca="false">'Itens de Contrato'!A18</f>
        <v>0</v>
      </c>
      <c r="B18" s="37" t="n">
        <f aca="false">'Itens de Contrato'!B18</f>
        <v>0</v>
      </c>
      <c r="C18" s="37" t="e">
        <f aca="false">VLOOKUP(B18,'Itens de Contrato'!B$5:G$151,2,0)</f>
        <v>#N/A</v>
      </c>
      <c r="D18" s="52"/>
      <c r="E18" s="63" t="n">
        <f aca="false">D18*'Itens de Contrato'!F18</f>
        <v>0</v>
      </c>
      <c r="F18" s="62" t="n">
        <f aca="false">'Medição 11'!F18-'Medição 11'!G18</f>
        <v>0</v>
      </c>
      <c r="G18" s="52"/>
      <c r="H18" s="64" t="e">
        <f aca="false">G18/D18</f>
        <v>#DIV/0!</v>
      </c>
      <c r="I18" s="63" t="n">
        <f aca="false">G18*'Itens de Contrato'!F18</f>
        <v>0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</row>
    <row r="19" customFormat="false" ht="12.8" hidden="false" customHeight="false" outlineLevel="0" collapsed="false">
      <c r="A19" s="37" t="n">
        <f aca="false">'Itens de Contrato'!A19</f>
        <v>0</v>
      </c>
      <c r="B19" s="37" t="n">
        <f aca="false">'Itens de Contrato'!B19</f>
        <v>0</v>
      </c>
      <c r="C19" s="37" t="e">
        <f aca="false">VLOOKUP(B19,'Itens de Contrato'!B$5:G$151,2,0)</f>
        <v>#N/A</v>
      </c>
      <c r="D19" s="52"/>
      <c r="E19" s="63" t="n">
        <f aca="false">D19*'Itens de Contrato'!F19</f>
        <v>0</v>
      </c>
      <c r="F19" s="62" t="n">
        <f aca="false">'Medição 11'!F19-'Medição 11'!G19</f>
        <v>0</v>
      </c>
      <c r="G19" s="52"/>
      <c r="H19" s="64" t="e">
        <f aca="false">G19/D19</f>
        <v>#DIV/0!</v>
      </c>
      <c r="I19" s="63" t="n">
        <f aca="false">G19*'Itens de Contrato'!F19</f>
        <v>0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</row>
    <row r="20" customFormat="false" ht="12.8" hidden="false" customHeight="false" outlineLevel="0" collapsed="false">
      <c r="A20" s="37" t="n">
        <f aca="false">'Itens de Contrato'!A20</f>
        <v>0</v>
      </c>
      <c r="B20" s="37" t="n">
        <f aca="false">'Itens de Contrato'!B20</f>
        <v>0</v>
      </c>
      <c r="C20" s="37" t="e">
        <f aca="false">VLOOKUP(B20,'Itens de Contrato'!B$5:G$151,2,0)</f>
        <v>#N/A</v>
      </c>
      <c r="D20" s="52"/>
      <c r="E20" s="63" t="n">
        <f aca="false">D20*'Itens de Contrato'!F20</f>
        <v>0</v>
      </c>
      <c r="F20" s="62" t="n">
        <f aca="false">'Medição 11'!F20-'Medição 11'!G20</f>
        <v>0</v>
      </c>
      <c r="G20" s="52"/>
      <c r="H20" s="64" t="e">
        <f aca="false">G20/D20</f>
        <v>#DIV/0!</v>
      </c>
      <c r="I20" s="63" t="n">
        <f aca="false">G20*'Itens de Contrato'!F20</f>
        <v>0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</row>
    <row r="21" customFormat="false" ht="12.8" hidden="false" customHeight="false" outlineLevel="0" collapsed="false">
      <c r="A21" s="37" t="n">
        <f aca="false">'Itens de Contrato'!A21</f>
        <v>0</v>
      </c>
      <c r="B21" s="37" t="n">
        <f aca="false">'Itens de Contrato'!B21</f>
        <v>0</v>
      </c>
      <c r="C21" s="37" t="e">
        <f aca="false">VLOOKUP(B21,'Itens de Contrato'!B$5:G$151,2,0)</f>
        <v>#N/A</v>
      </c>
      <c r="D21" s="52"/>
      <c r="E21" s="63" t="n">
        <f aca="false">D21*'Itens de Contrato'!F21</f>
        <v>0</v>
      </c>
      <c r="F21" s="62" t="n">
        <f aca="false">'Medição 11'!F21-'Medição 11'!G21</f>
        <v>0</v>
      </c>
      <c r="G21" s="52"/>
      <c r="H21" s="64" t="e">
        <f aca="false">G21/D21</f>
        <v>#DIV/0!</v>
      </c>
      <c r="I21" s="63" t="n">
        <f aca="false">G21*'Itens de Contrato'!F21</f>
        <v>0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customFormat="false" ht="12.8" hidden="false" customHeight="false" outlineLevel="0" collapsed="false">
      <c r="A22" s="37" t="n">
        <f aca="false">'Itens de Contrato'!A22</f>
        <v>0</v>
      </c>
      <c r="B22" s="37" t="n">
        <f aca="false">'Itens de Contrato'!B22</f>
        <v>0</v>
      </c>
      <c r="C22" s="37" t="e">
        <f aca="false">VLOOKUP(B22,'Itens de Contrato'!B$5:G$151,2,0)</f>
        <v>#N/A</v>
      </c>
      <c r="D22" s="52"/>
      <c r="E22" s="63" t="n">
        <f aca="false">D22*'Itens de Contrato'!F22</f>
        <v>0</v>
      </c>
      <c r="F22" s="62" t="n">
        <f aca="false">'Medição 11'!F22-'Medição 11'!G22</f>
        <v>0</v>
      </c>
      <c r="G22" s="52"/>
      <c r="H22" s="64" t="e">
        <f aca="false">G22/D22</f>
        <v>#DIV/0!</v>
      </c>
      <c r="I22" s="63" t="n">
        <f aca="false">G22*'Itens de Contrato'!F22</f>
        <v>0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  <row r="23" customFormat="false" ht="12.8" hidden="false" customHeight="false" outlineLevel="0" collapsed="false">
      <c r="A23" s="37" t="n">
        <f aca="false">'Itens de Contrato'!A23</f>
        <v>0</v>
      </c>
      <c r="B23" s="37" t="n">
        <f aca="false">'Itens de Contrato'!B23</f>
        <v>0</v>
      </c>
      <c r="C23" s="37" t="e">
        <f aca="false">VLOOKUP(B23,'Itens de Contrato'!B$5:G$151,2,0)</f>
        <v>#N/A</v>
      </c>
      <c r="D23" s="52"/>
      <c r="E23" s="63" t="n">
        <f aca="false">D23*'Itens de Contrato'!F23</f>
        <v>0</v>
      </c>
      <c r="F23" s="62" t="n">
        <f aca="false">'Medição 11'!F23-'Medição 11'!G23</f>
        <v>0</v>
      </c>
      <c r="G23" s="52"/>
      <c r="H23" s="64" t="e">
        <f aca="false">G23/D23</f>
        <v>#DIV/0!</v>
      </c>
      <c r="I23" s="63" t="n">
        <f aca="false">G23*'Itens de Contrato'!F23</f>
        <v>0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</row>
    <row r="24" customFormat="false" ht="12.8" hidden="false" customHeight="false" outlineLevel="0" collapsed="false">
      <c r="A24" s="37" t="n">
        <f aca="false">'Itens de Contrato'!A24</f>
        <v>0</v>
      </c>
      <c r="B24" s="37" t="n">
        <f aca="false">'Itens de Contrato'!B24</f>
        <v>0</v>
      </c>
      <c r="C24" s="37" t="e">
        <f aca="false">VLOOKUP(B24,'Itens de Contrato'!B$5:G$151,2,0)</f>
        <v>#N/A</v>
      </c>
      <c r="D24" s="52"/>
      <c r="E24" s="63" t="n">
        <f aca="false">D24*'Itens de Contrato'!F24</f>
        <v>0</v>
      </c>
      <c r="F24" s="62" t="n">
        <f aca="false">'Medição 11'!F24-'Medição 11'!G24</f>
        <v>0</v>
      </c>
      <c r="G24" s="52"/>
      <c r="H24" s="64" t="e">
        <f aca="false">G24/D24</f>
        <v>#DIV/0!</v>
      </c>
      <c r="I24" s="63" t="n">
        <f aca="false">G24*'Itens de Contrato'!F24</f>
        <v>0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</row>
    <row r="25" customFormat="false" ht="12.8" hidden="false" customHeight="false" outlineLevel="0" collapsed="false">
      <c r="A25" s="37" t="n">
        <f aca="false">'Itens de Contrato'!A25</f>
        <v>0</v>
      </c>
      <c r="B25" s="37" t="n">
        <f aca="false">'Itens de Contrato'!B25</f>
        <v>0</v>
      </c>
      <c r="C25" s="37" t="e">
        <f aca="false">VLOOKUP(B25,'Itens de Contrato'!B$5:G$151,2,0)</f>
        <v>#N/A</v>
      </c>
      <c r="D25" s="52"/>
      <c r="E25" s="63" t="n">
        <f aca="false">D25*'Itens de Contrato'!F25</f>
        <v>0</v>
      </c>
      <c r="F25" s="62" t="n">
        <f aca="false">'Medição 11'!F25-'Medição 11'!G25</f>
        <v>0</v>
      </c>
      <c r="G25" s="52"/>
      <c r="H25" s="64" t="e">
        <f aca="false">G25/D25</f>
        <v>#DIV/0!</v>
      </c>
      <c r="I25" s="63" t="n">
        <f aca="false">G25*'Itens de Contrato'!F25</f>
        <v>0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</row>
    <row r="26" customFormat="false" ht="12.8" hidden="false" customHeight="false" outlineLevel="0" collapsed="false">
      <c r="A26" s="37" t="n">
        <f aca="false">'Itens de Contrato'!A26</f>
        <v>0</v>
      </c>
      <c r="B26" s="37" t="n">
        <f aca="false">'Itens de Contrato'!B26</f>
        <v>0</v>
      </c>
      <c r="C26" s="37" t="e">
        <f aca="false">VLOOKUP(B26,'Itens de Contrato'!B$5:G$151,2,0)</f>
        <v>#N/A</v>
      </c>
      <c r="D26" s="52"/>
      <c r="E26" s="63" t="n">
        <f aca="false">D26*'Itens de Contrato'!F26</f>
        <v>0</v>
      </c>
      <c r="F26" s="62" t="n">
        <f aca="false">'Medição 11'!F26-'Medição 11'!G26</f>
        <v>0</v>
      </c>
      <c r="G26" s="52"/>
      <c r="H26" s="64" t="e">
        <f aca="false">G26/D26</f>
        <v>#DIV/0!</v>
      </c>
      <c r="I26" s="63" t="n">
        <f aca="false">G26*'Itens de Contrato'!F26</f>
        <v>0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</row>
    <row r="27" customFormat="false" ht="12.8" hidden="false" customHeight="false" outlineLevel="0" collapsed="false">
      <c r="A27" s="37" t="n">
        <f aca="false">'Itens de Contrato'!A27</f>
        <v>0</v>
      </c>
      <c r="B27" s="37" t="n">
        <f aca="false">'Itens de Contrato'!B27</f>
        <v>0</v>
      </c>
      <c r="C27" s="37" t="e">
        <f aca="false">VLOOKUP(B27,'Itens de Contrato'!B$5:G$151,2,0)</f>
        <v>#N/A</v>
      </c>
      <c r="D27" s="52"/>
      <c r="E27" s="63" t="n">
        <f aca="false">D27*'Itens de Contrato'!F27</f>
        <v>0</v>
      </c>
      <c r="F27" s="62" t="n">
        <f aca="false">'Medição 11'!F27-'Medição 11'!G27</f>
        <v>0</v>
      </c>
      <c r="G27" s="52"/>
      <c r="H27" s="64" t="e">
        <f aca="false">G27/D27</f>
        <v>#DIV/0!</v>
      </c>
      <c r="I27" s="63" t="n">
        <f aca="false">G27*'Itens de Contrato'!F27</f>
        <v>0</v>
      </c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</row>
    <row r="28" customFormat="false" ht="12.8" hidden="false" customHeight="false" outlineLevel="0" collapsed="false">
      <c r="A28" s="37" t="n">
        <f aca="false">'Itens de Contrato'!A28</f>
        <v>0</v>
      </c>
      <c r="B28" s="37" t="n">
        <f aca="false">'Itens de Contrato'!B28</f>
        <v>0</v>
      </c>
      <c r="C28" s="37" t="e">
        <f aca="false">VLOOKUP(B28,'Itens de Contrato'!B$5:G$151,2,0)</f>
        <v>#N/A</v>
      </c>
      <c r="D28" s="52"/>
      <c r="E28" s="63" t="n">
        <f aca="false">D28*'Itens de Contrato'!F28</f>
        <v>0</v>
      </c>
      <c r="F28" s="62" t="n">
        <f aca="false">'Medição 11'!F28-'Medição 11'!G28</f>
        <v>0</v>
      </c>
      <c r="G28" s="52"/>
      <c r="H28" s="64" t="e">
        <f aca="false">G28/D28</f>
        <v>#DIV/0!</v>
      </c>
      <c r="I28" s="63" t="n">
        <f aca="false">G28*'Itens de Contrato'!F28</f>
        <v>0</v>
      </c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customFormat="false" ht="12.8" hidden="false" customHeight="false" outlineLevel="0" collapsed="false">
      <c r="A29" s="37" t="n">
        <f aca="false">'Itens de Contrato'!A29</f>
        <v>0</v>
      </c>
      <c r="B29" s="37" t="n">
        <f aca="false">'Itens de Contrato'!B29</f>
        <v>0</v>
      </c>
      <c r="C29" s="37" t="e">
        <f aca="false">VLOOKUP(B29,'Itens de Contrato'!B$5:G$151,2,0)</f>
        <v>#N/A</v>
      </c>
      <c r="D29" s="52"/>
      <c r="E29" s="63" t="n">
        <f aca="false">D29*'Itens de Contrato'!F29</f>
        <v>0</v>
      </c>
      <c r="F29" s="62" t="n">
        <f aca="false">'Medição 11'!F29-'Medição 11'!G29</f>
        <v>0</v>
      </c>
      <c r="G29" s="52"/>
      <c r="H29" s="64" t="e">
        <f aca="false">G29/D29</f>
        <v>#DIV/0!</v>
      </c>
      <c r="I29" s="63" t="n">
        <f aca="false">G29*'Itens de Contrato'!F29</f>
        <v>0</v>
      </c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</row>
    <row r="30" customFormat="false" ht="12.8" hidden="false" customHeight="false" outlineLevel="0" collapsed="false">
      <c r="A30" s="37" t="n">
        <f aca="false">'Itens de Contrato'!A30</f>
        <v>0</v>
      </c>
      <c r="B30" s="37" t="n">
        <f aca="false">'Itens de Contrato'!B30</f>
        <v>0</v>
      </c>
      <c r="C30" s="37" t="e">
        <f aca="false">VLOOKUP(B30,'Itens de Contrato'!B$5:G$151,2,0)</f>
        <v>#N/A</v>
      </c>
      <c r="D30" s="52"/>
      <c r="E30" s="63" t="n">
        <f aca="false">D30*'Itens de Contrato'!F30</f>
        <v>0</v>
      </c>
      <c r="F30" s="62" t="n">
        <f aca="false">'Medição 11'!F30-'Medição 11'!G30</f>
        <v>0</v>
      </c>
      <c r="G30" s="52"/>
      <c r="H30" s="64" t="e">
        <f aca="false">G30/D30</f>
        <v>#DIV/0!</v>
      </c>
      <c r="I30" s="63" t="n">
        <f aca="false">G30*'Itens de Contrato'!F30</f>
        <v>0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</row>
    <row r="31" customFormat="false" ht="12.8" hidden="false" customHeight="false" outlineLevel="0" collapsed="false">
      <c r="A31" s="37" t="n">
        <f aca="false">'Itens de Contrato'!A31</f>
        <v>0</v>
      </c>
      <c r="B31" s="37" t="n">
        <f aca="false">'Itens de Contrato'!B31</f>
        <v>0</v>
      </c>
      <c r="C31" s="37" t="e">
        <f aca="false">VLOOKUP(B31,'Itens de Contrato'!B$5:G$151,2,0)</f>
        <v>#N/A</v>
      </c>
      <c r="D31" s="52"/>
      <c r="E31" s="63" t="n">
        <f aca="false">D31*'Itens de Contrato'!F31</f>
        <v>0</v>
      </c>
      <c r="F31" s="62" t="n">
        <f aca="false">'Medição 11'!F31-'Medição 11'!G31</f>
        <v>0</v>
      </c>
      <c r="G31" s="52"/>
      <c r="H31" s="64" t="e">
        <f aca="false">G31/D31</f>
        <v>#DIV/0!</v>
      </c>
      <c r="I31" s="63" t="n">
        <f aca="false">G31*'Itens de Contrato'!F31</f>
        <v>0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customFormat="false" ht="12.8" hidden="false" customHeight="false" outlineLevel="0" collapsed="false">
      <c r="A32" s="37" t="n">
        <f aca="false">'Itens de Contrato'!A32</f>
        <v>0</v>
      </c>
      <c r="B32" s="37" t="n">
        <f aca="false">'Itens de Contrato'!B32</f>
        <v>0</v>
      </c>
      <c r="C32" s="37" t="e">
        <f aca="false">VLOOKUP(B32,'Itens de Contrato'!B$5:G$151,2,0)</f>
        <v>#N/A</v>
      </c>
      <c r="D32" s="52"/>
      <c r="E32" s="63" t="n">
        <f aca="false">D32*'Itens de Contrato'!F32</f>
        <v>0</v>
      </c>
      <c r="F32" s="62" t="n">
        <f aca="false">'Medição 11'!F32-'Medição 11'!G32</f>
        <v>0</v>
      </c>
      <c r="G32" s="52"/>
      <c r="H32" s="64" t="e">
        <f aca="false">G32/D32</f>
        <v>#DIV/0!</v>
      </c>
      <c r="I32" s="63" t="n">
        <f aca="false">G32*'Itens de Contrato'!F32</f>
        <v>0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customFormat="false" ht="12.8" hidden="false" customHeight="false" outlineLevel="0" collapsed="false">
      <c r="A33" s="37" t="n">
        <f aca="false">'Itens de Contrato'!A33</f>
        <v>0</v>
      </c>
      <c r="B33" s="37" t="n">
        <f aca="false">'Itens de Contrato'!B33</f>
        <v>0</v>
      </c>
      <c r="C33" s="37" t="e">
        <f aca="false">VLOOKUP(B33,'Itens de Contrato'!B$5:G$151,2,0)</f>
        <v>#N/A</v>
      </c>
      <c r="D33" s="52"/>
      <c r="E33" s="63" t="n">
        <f aca="false">D33*'Itens de Contrato'!F33</f>
        <v>0</v>
      </c>
      <c r="F33" s="62" t="n">
        <f aca="false">'Medição 11'!F33-'Medição 11'!G33</f>
        <v>0</v>
      </c>
      <c r="G33" s="52"/>
      <c r="H33" s="64" t="e">
        <f aca="false">G33/D33</f>
        <v>#DIV/0!</v>
      </c>
      <c r="I33" s="63" t="n">
        <f aca="false">G33*'Itens de Contrato'!F33</f>
        <v>0</v>
      </c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customFormat="false" ht="12.8" hidden="false" customHeight="false" outlineLevel="0" collapsed="false">
      <c r="A34" s="37" t="n">
        <f aca="false">'Itens de Contrato'!A34</f>
        <v>0</v>
      </c>
      <c r="B34" s="37" t="n">
        <f aca="false">'Itens de Contrato'!B34</f>
        <v>0</v>
      </c>
      <c r="C34" s="37" t="e">
        <f aca="false">VLOOKUP(B34,'Itens de Contrato'!B$5:G$151,2,0)</f>
        <v>#N/A</v>
      </c>
      <c r="D34" s="52"/>
      <c r="E34" s="63" t="n">
        <f aca="false">D34*'Itens de Contrato'!F34</f>
        <v>0</v>
      </c>
      <c r="F34" s="62" t="n">
        <f aca="false">'Medição 11'!F34-'Medição 11'!G34</f>
        <v>0</v>
      </c>
      <c r="G34" s="52"/>
      <c r="H34" s="64" t="e">
        <f aca="false">G34/D34</f>
        <v>#DIV/0!</v>
      </c>
      <c r="I34" s="63" t="n">
        <f aca="false">G34*'Itens de Contrato'!F34</f>
        <v>0</v>
      </c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</row>
    <row r="35" customFormat="false" ht="12.8" hidden="false" customHeight="false" outlineLevel="0" collapsed="false">
      <c r="A35" s="37" t="n">
        <f aca="false">'Itens de Contrato'!A35</f>
        <v>0</v>
      </c>
      <c r="B35" s="37" t="n">
        <f aca="false">'Itens de Contrato'!B35</f>
        <v>0</v>
      </c>
      <c r="C35" s="37" t="e">
        <f aca="false">VLOOKUP(B35,'Itens de Contrato'!B$5:G$151,2,0)</f>
        <v>#N/A</v>
      </c>
      <c r="D35" s="52"/>
      <c r="E35" s="63" t="n">
        <f aca="false">D35*'Itens de Contrato'!F35</f>
        <v>0</v>
      </c>
      <c r="F35" s="62" t="n">
        <f aca="false">'Medição 11'!F35-'Medição 11'!G35</f>
        <v>0</v>
      </c>
      <c r="G35" s="52"/>
      <c r="H35" s="64" t="e">
        <f aca="false">G35/D35</f>
        <v>#DIV/0!</v>
      </c>
      <c r="I35" s="63" t="n">
        <f aca="false">G35*'Itens de Contrato'!F35</f>
        <v>0</v>
      </c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</row>
    <row r="36" customFormat="false" ht="12.8" hidden="false" customHeight="false" outlineLevel="0" collapsed="false">
      <c r="A36" s="37" t="n">
        <f aca="false">'Itens de Contrato'!A36</f>
        <v>0</v>
      </c>
      <c r="B36" s="37" t="n">
        <f aca="false">'Itens de Contrato'!B36</f>
        <v>0</v>
      </c>
      <c r="C36" s="37" t="e">
        <f aca="false">VLOOKUP(B36,'Itens de Contrato'!B$5:G$151,2,0)</f>
        <v>#N/A</v>
      </c>
      <c r="D36" s="52"/>
      <c r="E36" s="63" t="n">
        <f aca="false">D36*'Itens de Contrato'!F36</f>
        <v>0</v>
      </c>
      <c r="F36" s="62" t="n">
        <f aca="false">'Medição 11'!F36-'Medição 11'!G36</f>
        <v>0</v>
      </c>
      <c r="G36" s="52"/>
      <c r="H36" s="64" t="e">
        <f aca="false">G36/D36</f>
        <v>#DIV/0!</v>
      </c>
      <c r="I36" s="63" t="n">
        <f aca="false">G36*'Itens de Contrato'!F36</f>
        <v>0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customFormat="false" ht="12.8" hidden="false" customHeight="false" outlineLevel="0" collapsed="false">
      <c r="A37" s="37" t="n">
        <f aca="false">'Itens de Contrato'!A37</f>
        <v>0</v>
      </c>
      <c r="B37" s="37" t="n">
        <f aca="false">'Itens de Contrato'!B37</f>
        <v>0</v>
      </c>
      <c r="C37" s="37" t="e">
        <f aca="false">VLOOKUP(B37,'Itens de Contrato'!B$5:G$151,2,0)</f>
        <v>#N/A</v>
      </c>
      <c r="D37" s="52"/>
      <c r="E37" s="63" t="n">
        <f aca="false">D37*'Itens de Contrato'!F37</f>
        <v>0</v>
      </c>
      <c r="F37" s="62" t="n">
        <f aca="false">'Medição 11'!F37-'Medição 11'!G37</f>
        <v>0</v>
      </c>
      <c r="G37" s="52"/>
      <c r="H37" s="64" t="e">
        <f aca="false">G37/D37</f>
        <v>#DIV/0!</v>
      </c>
      <c r="I37" s="63" t="n">
        <f aca="false">G37*'Itens de Contrato'!F37</f>
        <v>0</v>
      </c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customFormat="false" ht="12.8" hidden="false" customHeight="false" outlineLevel="0" collapsed="false">
      <c r="A38" s="37" t="n">
        <f aca="false">'Itens de Contrato'!A38</f>
        <v>0</v>
      </c>
      <c r="B38" s="37" t="n">
        <f aca="false">'Itens de Contrato'!B38</f>
        <v>0</v>
      </c>
      <c r="C38" s="37" t="e">
        <f aca="false">VLOOKUP(B38,'Itens de Contrato'!B$5:G$151,2,0)</f>
        <v>#N/A</v>
      </c>
      <c r="D38" s="52"/>
      <c r="E38" s="63" t="n">
        <f aca="false">D38*'Itens de Contrato'!F38</f>
        <v>0</v>
      </c>
      <c r="F38" s="62" t="n">
        <f aca="false">'Medição 11'!F38-'Medição 11'!G38</f>
        <v>0</v>
      </c>
      <c r="G38" s="52"/>
      <c r="H38" s="64" t="e">
        <f aca="false">G38/D38</f>
        <v>#DIV/0!</v>
      </c>
      <c r="I38" s="63" t="n">
        <f aca="false">G38*'Itens de Contrato'!F38</f>
        <v>0</v>
      </c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customFormat="false" ht="12.8" hidden="false" customHeight="false" outlineLevel="0" collapsed="false">
      <c r="A39" s="37" t="n">
        <f aca="false">'Itens de Contrato'!A39</f>
        <v>0</v>
      </c>
      <c r="B39" s="37" t="n">
        <f aca="false">'Itens de Contrato'!B39</f>
        <v>0</v>
      </c>
      <c r="C39" s="37" t="e">
        <f aca="false">VLOOKUP(B39,'Itens de Contrato'!B$5:G$151,2,0)</f>
        <v>#N/A</v>
      </c>
      <c r="D39" s="52"/>
      <c r="E39" s="63" t="n">
        <f aca="false">D39*'Itens de Contrato'!F39</f>
        <v>0</v>
      </c>
      <c r="F39" s="62" t="n">
        <f aca="false">'Medição 11'!F39-'Medição 11'!G39</f>
        <v>0</v>
      </c>
      <c r="G39" s="52"/>
      <c r="H39" s="64" t="e">
        <f aca="false">G39/D39</f>
        <v>#DIV/0!</v>
      </c>
      <c r="I39" s="63" t="n">
        <f aca="false">G39*'Itens de Contrato'!F39</f>
        <v>0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customFormat="false" ht="12.8" hidden="false" customHeight="false" outlineLevel="0" collapsed="false">
      <c r="A40" s="37" t="n">
        <f aca="false">'Itens de Contrato'!A40</f>
        <v>0</v>
      </c>
      <c r="B40" s="37" t="n">
        <f aca="false">'Itens de Contrato'!B40</f>
        <v>0</v>
      </c>
      <c r="C40" s="37" t="e">
        <f aca="false">VLOOKUP(B40,'Itens de Contrato'!B$5:G$151,2,0)</f>
        <v>#N/A</v>
      </c>
      <c r="D40" s="52"/>
      <c r="E40" s="63" t="n">
        <f aca="false">D40*'Itens de Contrato'!F40</f>
        <v>0</v>
      </c>
      <c r="F40" s="62" t="n">
        <f aca="false">'Medição 11'!F40-'Medição 11'!G40</f>
        <v>0</v>
      </c>
      <c r="G40" s="52"/>
      <c r="H40" s="64" t="e">
        <f aca="false">G40/D40</f>
        <v>#DIV/0!</v>
      </c>
      <c r="I40" s="63" t="n">
        <f aca="false">G40*'Itens de Contrato'!F40</f>
        <v>0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customFormat="false" ht="12.8" hidden="false" customHeight="false" outlineLevel="0" collapsed="false">
      <c r="A41" s="37" t="n">
        <f aca="false">'Itens de Contrato'!A41</f>
        <v>0</v>
      </c>
      <c r="B41" s="37" t="n">
        <f aca="false">'Itens de Contrato'!B41</f>
        <v>0</v>
      </c>
      <c r="C41" s="37" t="e">
        <f aca="false">VLOOKUP(B41,'Itens de Contrato'!B$5:G$151,2,0)</f>
        <v>#N/A</v>
      </c>
      <c r="D41" s="52"/>
      <c r="E41" s="63" t="n">
        <f aca="false">D41*'Itens de Contrato'!F41</f>
        <v>0</v>
      </c>
      <c r="F41" s="62" t="n">
        <f aca="false">'Medição 11'!F41-'Medição 11'!G41</f>
        <v>0</v>
      </c>
      <c r="G41" s="52"/>
      <c r="H41" s="64" t="e">
        <f aca="false">G41/D41</f>
        <v>#DIV/0!</v>
      </c>
      <c r="I41" s="63" t="n">
        <f aca="false">G41*'Itens de Contrato'!F41</f>
        <v>0</v>
      </c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customFormat="false" ht="12.8" hidden="false" customHeight="false" outlineLevel="0" collapsed="false">
      <c r="A42" s="37" t="n">
        <f aca="false">'Itens de Contrato'!A42</f>
        <v>0</v>
      </c>
      <c r="B42" s="37" t="n">
        <f aca="false">'Itens de Contrato'!B42</f>
        <v>0</v>
      </c>
      <c r="C42" s="37" t="e">
        <f aca="false">VLOOKUP(B42,'Itens de Contrato'!B$5:G$151,2,0)</f>
        <v>#N/A</v>
      </c>
      <c r="D42" s="52"/>
      <c r="E42" s="63" t="n">
        <f aca="false">D42*'Itens de Contrato'!F42</f>
        <v>0</v>
      </c>
      <c r="F42" s="62" t="n">
        <f aca="false">'Medição 11'!F42-'Medição 11'!G42</f>
        <v>0</v>
      </c>
      <c r="G42" s="52"/>
      <c r="H42" s="64" t="e">
        <f aca="false">G42/D42</f>
        <v>#DIV/0!</v>
      </c>
      <c r="I42" s="63" t="n">
        <f aca="false">G42*'Itens de Contrato'!F42</f>
        <v>0</v>
      </c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customFormat="false" ht="12.8" hidden="false" customHeight="false" outlineLevel="0" collapsed="false">
      <c r="A43" s="37" t="n">
        <f aca="false">'Itens de Contrato'!A43</f>
        <v>0</v>
      </c>
      <c r="B43" s="37" t="n">
        <f aca="false">'Itens de Contrato'!B43</f>
        <v>0</v>
      </c>
      <c r="C43" s="37" t="e">
        <f aca="false">VLOOKUP(B43,'Itens de Contrato'!B$5:G$151,2,0)</f>
        <v>#N/A</v>
      </c>
      <c r="D43" s="52"/>
      <c r="E43" s="63" t="n">
        <f aca="false">D43*'Itens de Contrato'!F43</f>
        <v>0</v>
      </c>
      <c r="F43" s="62" t="n">
        <f aca="false">'Medição 11'!F43-'Medição 11'!G43</f>
        <v>0</v>
      </c>
      <c r="G43" s="52"/>
      <c r="H43" s="64" t="e">
        <f aca="false">G43/D43</f>
        <v>#DIV/0!</v>
      </c>
      <c r="I43" s="63" t="n">
        <f aca="false">G43*'Itens de Contrato'!F43</f>
        <v>0</v>
      </c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customFormat="false" ht="12.8" hidden="false" customHeight="false" outlineLevel="0" collapsed="false">
      <c r="A44" s="37" t="n">
        <f aca="false">'Itens de Contrato'!A44</f>
        <v>0</v>
      </c>
      <c r="B44" s="37" t="n">
        <f aca="false">'Itens de Contrato'!B44</f>
        <v>0</v>
      </c>
      <c r="C44" s="37" t="e">
        <f aca="false">VLOOKUP(B44,'Itens de Contrato'!B$5:G$151,2,0)</f>
        <v>#N/A</v>
      </c>
      <c r="D44" s="52"/>
      <c r="E44" s="63" t="n">
        <f aca="false">D44*'Itens de Contrato'!F44</f>
        <v>0</v>
      </c>
      <c r="F44" s="62" t="n">
        <f aca="false">'Medição 11'!F44-'Medição 11'!G44</f>
        <v>0</v>
      </c>
      <c r="G44" s="52"/>
      <c r="H44" s="64" t="e">
        <f aca="false">G44/D44</f>
        <v>#DIV/0!</v>
      </c>
      <c r="I44" s="63" t="n">
        <f aca="false">G44*'Itens de Contrato'!F44</f>
        <v>0</v>
      </c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customFormat="false" ht="12.8" hidden="false" customHeight="false" outlineLevel="0" collapsed="false">
      <c r="A45" s="37" t="n">
        <f aca="false">'Itens de Contrato'!A45</f>
        <v>0</v>
      </c>
      <c r="B45" s="37" t="n">
        <f aca="false">'Itens de Contrato'!B45</f>
        <v>0</v>
      </c>
      <c r="C45" s="37" t="e">
        <f aca="false">VLOOKUP(B45,'Itens de Contrato'!B$5:G$151,2,0)</f>
        <v>#N/A</v>
      </c>
      <c r="D45" s="52"/>
      <c r="E45" s="63" t="n">
        <f aca="false">D45*'Itens de Contrato'!F45</f>
        <v>0</v>
      </c>
      <c r="F45" s="62" t="n">
        <f aca="false">'Medição 11'!F45-'Medição 11'!G45</f>
        <v>0</v>
      </c>
      <c r="G45" s="52"/>
      <c r="H45" s="64" t="e">
        <f aca="false">G45/D45</f>
        <v>#DIV/0!</v>
      </c>
      <c r="I45" s="63" t="n">
        <f aca="false">G45*'Itens de Contrato'!F45</f>
        <v>0</v>
      </c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customFormat="false" ht="12.8" hidden="false" customHeight="false" outlineLevel="0" collapsed="false">
      <c r="A46" s="37" t="n">
        <f aca="false">'Itens de Contrato'!A46</f>
        <v>0</v>
      </c>
      <c r="B46" s="37" t="n">
        <f aca="false">'Itens de Contrato'!B46</f>
        <v>0</v>
      </c>
      <c r="C46" s="37" t="e">
        <f aca="false">VLOOKUP(B46,'Itens de Contrato'!B$5:G$151,2,0)</f>
        <v>#N/A</v>
      </c>
      <c r="D46" s="52"/>
      <c r="E46" s="63" t="n">
        <f aca="false">D46*'Itens de Contrato'!F46</f>
        <v>0</v>
      </c>
      <c r="F46" s="62" t="n">
        <f aca="false">'Medição 11'!F46-'Medição 11'!G46</f>
        <v>0</v>
      </c>
      <c r="G46" s="52"/>
      <c r="H46" s="64" t="e">
        <f aca="false">G46/D46</f>
        <v>#DIV/0!</v>
      </c>
      <c r="I46" s="63" t="n">
        <f aca="false">G46*'Itens de Contrato'!F46</f>
        <v>0</v>
      </c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customFormat="false" ht="12.8" hidden="false" customHeight="false" outlineLevel="0" collapsed="false">
      <c r="A47" s="37" t="n">
        <f aca="false">'Itens de Contrato'!A47</f>
        <v>0</v>
      </c>
      <c r="B47" s="37" t="n">
        <f aca="false">'Itens de Contrato'!B47</f>
        <v>0</v>
      </c>
      <c r="C47" s="37" t="e">
        <f aca="false">VLOOKUP(B47,'Itens de Contrato'!B$5:G$151,2,0)</f>
        <v>#N/A</v>
      </c>
      <c r="D47" s="52"/>
      <c r="E47" s="63" t="n">
        <f aca="false">D47*'Itens de Contrato'!F47</f>
        <v>0</v>
      </c>
      <c r="F47" s="62" t="n">
        <f aca="false">'Medição 11'!F47-'Medição 11'!G47</f>
        <v>0</v>
      </c>
      <c r="G47" s="52"/>
      <c r="H47" s="64" t="e">
        <f aca="false">G47/D47</f>
        <v>#DIV/0!</v>
      </c>
      <c r="I47" s="63" t="n">
        <f aca="false">G47*'Itens de Contrato'!F47</f>
        <v>0</v>
      </c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customFormat="false" ht="12.8" hidden="false" customHeight="false" outlineLevel="0" collapsed="false">
      <c r="A48" s="37" t="n">
        <f aca="false">'Itens de Contrato'!A48</f>
        <v>0</v>
      </c>
      <c r="B48" s="37" t="n">
        <f aca="false">'Itens de Contrato'!B48</f>
        <v>0</v>
      </c>
      <c r="C48" s="37" t="e">
        <f aca="false">VLOOKUP(B48,'Itens de Contrato'!B$5:G$151,2,0)</f>
        <v>#N/A</v>
      </c>
      <c r="D48" s="52"/>
      <c r="E48" s="63" t="n">
        <f aca="false">D48*'Itens de Contrato'!F48</f>
        <v>0</v>
      </c>
      <c r="F48" s="62" t="n">
        <f aca="false">'Medição 11'!F48-'Medição 11'!G48</f>
        <v>0</v>
      </c>
      <c r="G48" s="52"/>
      <c r="H48" s="64" t="e">
        <f aca="false">G48/D48</f>
        <v>#DIV/0!</v>
      </c>
      <c r="I48" s="63" t="n">
        <f aca="false">G48*'Itens de Contrato'!F48</f>
        <v>0</v>
      </c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customFormat="false" ht="12.8" hidden="false" customHeight="false" outlineLevel="0" collapsed="false">
      <c r="A49" s="37" t="n">
        <f aca="false">'Itens de Contrato'!A49</f>
        <v>0</v>
      </c>
      <c r="B49" s="37" t="n">
        <f aca="false">'Itens de Contrato'!B49</f>
        <v>0</v>
      </c>
      <c r="C49" s="37" t="e">
        <f aca="false">VLOOKUP(B49,'Itens de Contrato'!B$5:G$151,2,0)</f>
        <v>#N/A</v>
      </c>
      <c r="D49" s="52"/>
      <c r="E49" s="63" t="n">
        <f aca="false">D49*'Itens de Contrato'!F49</f>
        <v>0</v>
      </c>
      <c r="F49" s="62" t="n">
        <f aca="false">'Medição 11'!F49-'Medição 11'!G49</f>
        <v>0</v>
      </c>
      <c r="G49" s="52"/>
      <c r="H49" s="64" t="e">
        <f aca="false">G49/D49</f>
        <v>#DIV/0!</v>
      </c>
      <c r="I49" s="63" t="n">
        <f aca="false">G49*'Itens de Contrato'!F49</f>
        <v>0</v>
      </c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customFormat="false" ht="12.8" hidden="false" customHeight="false" outlineLevel="0" collapsed="false">
      <c r="A50" s="37" t="n">
        <f aca="false">'Itens de Contrato'!A50</f>
        <v>0</v>
      </c>
      <c r="B50" s="37" t="n">
        <f aca="false">'Itens de Contrato'!B50</f>
        <v>0</v>
      </c>
      <c r="C50" s="37" t="e">
        <f aca="false">VLOOKUP(B50,'Itens de Contrato'!B$5:G$151,2,0)</f>
        <v>#N/A</v>
      </c>
      <c r="D50" s="52"/>
      <c r="E50" s="63" t="n">
        <f aca="false">D50*'Itens de Contrato'!F50</f>
        <v>0</v>
      </c>
      <c r="F50" s="62" t="n">
        <f aca="false">'Medição 11'!F50-'Medição 11'!G50</f>
        <v>0</v>
      </c>
      <c r="G50" s="52"/>
      <c r="H50" s="64" t="e">
        <f aca="false">G50/D50</f>
        <v>#DIV/0!</v>
      </c>
      <c r="I50" s="63" t="n">
        <f aca="false">G50*'Itens de Contrato'!F50</f>
        <v>0</v>
      </c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customFormat="false" ht="12.8" hidden="false" customHeight="false" outlineLevel="0" collapsed="false">
      <c r="A51" s="37" t="n">
        <f aca="false">'Itens de Contrato'!A51</f>
        <v>0</v>
      </c>
      <c r="B51" s="37" t="n">
        <f aca="false">'Itens de Contrato'!B51</f>
        <v>0</v>
      </c>
      <c r="C51" s="37" t="e">
        <f aca="false">VLOOKUP(B51,'Itens de Contrato'!B$5:G$151,2,0)</f>
        <v>#N/A</v>
      </c>
      <c r="D51" s="52"/>
      <c r="E51" s="63" t="n">
        <f aca="false">D51*'Itens de Contrato'!F51</f>
        <v>0</v>
      </c>
      <c r="F51" s="62" t="n">
        <f aca="false">'Medição 11'!F51-'Medição 11'!G51</f>
        <v>0</v>
      </c>
      <c r="G51" s="52"/>
      <c r="H51" s="64" t="e">
        <f aca="false">G51/D51</f>
        <v>#DIV/0!</v>
      </c>
      <c r="I51" s="63" t="n">
        <f aca="false">G51*'Itens de Contrato'!F51</f>
        <v>0</v>
      </c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customFormat="false" ht="12.8" hidden="false" customHeight="false" outlineLevel="0" collapsed="false">
      <c r="A52" s="37" t="n">
        <f aca="false">'Itens de Contrato'!A52</f>
        <v>0</v>
      </c>
      <c r="B52" s="37" t="n">
        <f aca="false">'Itens de Contrato'!B52</f>
        <v>0</v>
      </c>
      <c r="C52" s="37" t="e">
        <f aca="false">VLOOKUP(B52,'Itens de Contrato'!B$5:G$151,2,0)</f>
        <v>#N/A</v>
      </c>
      <c r="D52" s="52"/>
      <c r="E52" s="63" t="n">
        <f aca="false">D52*'Itens de Contrato'!F52</f>
        <v>0</v>
      </c>
      <c r="F52" s="62" t="n">
        <f aca="false">'Medição 11'!F52-'Medição 11'!G52</f>
        <v>0</v>
      </c>
      <c r="G52" s="52"/>
      <c r="H52" s="64" t="e">
        <f aca="false">G52/D52</f>
        <v>#DIV/0!</v>
      </c>
      <c r="I52" s="63" t="n">
        <f aca="false">G52*'Itens de Contrato'!F52</f>
        <v>0</v>
      </c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customFormat="false" ht="12.8" hidden="false" customHeight="false" outlineLevel="0" collapsed="false">
      <c r="A53" s="37" t="n">
        <f aca="false">'Itens de Contrato'!A53</f>
        <v>0</v>
      </c>
      <c r="B53" s="37" t="n">
        <f aca="false">'Itens de Contrato'!B53</f>
        <v>0</v>
      </c>
      <c r="C53" s="37" t="e">
        <f aca="false">VLOOKUP(B53,'Itens de Contrato'!B$5:G$151,2,0)</f>
        <v>#N/A</v>
      </c>
      <c r="D53" s="52"/>
      <c r="E53" s="63" t="n">
        <f aca="false">D53*'Itens de Contrato'!F53</f>
        <v>0</v>
      </c>
      <c r="F53" s="62" t="n">
        <f aca="false">'Medição 11'!F53-'Medição 11'!G53</f>
        <v>0</v>
      </c>
      <c r="G53" s="52"/>
      <c r="H53" s="64" t="e">
        <f aca="false">G53/D53</f>
        <v>#DIV/0!</v>
      </c>
      <c r="I53" s="63" t="n">
        <f aca="false">G53*'Itens de Contrato'!F53</f>
        <v>0</v>
      </c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customFormat="false" ht="12.8" hidden="false" customHeight="false" outlineLevel="0" collapsed="false">
      <c r="A54" s="37" t="n">
        <f aca="false">'Itens de Contrato'!A54</f>
        <v>0</v>
      </c>
      <c r="B54" s="37" t="n">
        <f aca="false">'Itens de Contrato'!B54</f>
        <v>0</v>
      </c>
      <c r="C54" s="37" t="e">
        <f aca="false">VLOOKUP(B54,'Itens de Contrato'!B$5:G$151,2,0)</f>
        <v>#N/A</v>
      </c>
      <c r="D54" s="52"/>
      <c r="E54" s="63" t="n">
        <f aca="false">D54*'Itens de Contrato'!F54</f>
        <v>0</v>
      </c>
      <c r="F54" s="62" t="n">
        <f aca="false">'Medição 11'!F54-'Medição 11'!G54</f>
        <v>0</v>
      </c>
      <c r="G54" s="52"/>
      <c r="H54" s="64" t="e">
        <f aca="false">G54/D54</f>
        <v>#DIV/0!</v>
      </c>
      <c r="I54" s="63" t="n">
        <f aca="false">G54*'Itens de Contrato'!F54</f>
        <v>0</v>
      </c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customFormat="false" ht="12.8" hidden="false" customHeight="false" outlineLevel="0" collapsed="false">
      <c r="A55" s="37" t="n">
        <f aca="false">'Itens de Contrato'!A55</f>
        <v>0</v>
      </c>
      <c r="B55" s="37" t="n">
        <f aca="false">'Itens de Contrato'!B55</f>
        <v>0</v>
      </c>
      <c r="C55" s="37" t="e">
        <f aca="false">VLOOKUP(B55,'Itens de Contrato'!B$5:G$151,2,0)</f>
        <v>#N/A</v>
      </c>
      <c r="D55" s="52"/>
      <c r="E55" s="63" t="n">
        <f aca="false">D55*'Itens de Contrato'!F55</f>
        <v>0</v>
      </c>
      <c r="F55" s="62" t="n">
        <f aca="false">'Medição 11'!F55-'Medição 11'!G55</f>
        <v>0</v>
      </c>
      <c r="G55" s="52"/>
      <c r="H55" s="64" t="e">
        <f aca="false">G55/D55</f>
        <v>#DIV/0!</v>
      </c>
      <c r="I55" s="63" t="n">
        <f aca="false">G55*'Itens de Contrato'!F55</f>
        <v>0</v>
      </c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customFormat="false" ht="12.8" hidden="false" customHeight="false" outlineLevel="0" collapsed="false">
      <c r="A56" s="37" t="n">
        <f aca="false">'Itens de Contrato'!A56</f>
        <v>0</v>
      </c>
      <c r="B56" s="37" t="n">
        <f aca="false">'Itens de Contrato'!B56</f>
        <v>0</v>
      </c>
      <c r="C56" s="37" t="e">
        <f aca="false">VLOOKUP(B56,'Itens de Contrato'!B$5:G$151,2,0)</f>
        <v>#N/A</v>
      </c>
      <c r="D56" s="52"/>
      <c r="E56" s="63" t="n">
        <f aca="false">D56*'Itens de Contrato'!F56</f>
        <v>0</v>
      </c>
      <c r="F56" s="62" t="n">
        <f aca="false">'Medição 11'!F56-'Medição 11'!G56</f>
        <v>0</v>
      </c>
      <c r="G56" s="52"/>
      <c r="H56" s="64" t="e">
        <f aca="false">G56/D56</f>
        <v>#DIV/0!</v>
      </c>
      <c r="I56" s="63" t="n">
        <f aca="false">G56*'Itens de Contrato'!F56</f>
        <v>0</v>
      </c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customFormat="false" ht="12.8" hidden="false" customHeight="false" outlineLevel="0" collapsed="false">
      <c r="A57" s="37" t="n">
        <f aca="false">'Itens de Contrato'!A57</f>
        <v>0</v>
      </c>
      <c r="B57" s="37" t="n">
        <f aca="false">'Itens de Contrato'!B57</f>
        <v>0</v>
      </c>
      <c r="C57" s="37" t="e">
        <f aca="false">VLOOKUP(B57,'Itens de Contrato'!B$5:G$151,2,0)</f>
        <v>#N/A</v>
      </c>
      <c r="D57" s="52"/>
      <c r="E57" s="63" t="n">
        <f aca="false">D57*'Itens de Contrato'!F57</f>
        <v>0</v>
      </c>
      <c r="F57" s="62" t="n">
        <f aca="false">'Medição 11'!F57-'Medição 11'!G57</f>
        <v>0</v>
      </c>
      <c r="G57" s="52"/>
      <c r="H57" s="64" t="e">
        <f aca="false">G57/D57</f>
        <v>#DIV/0!</v>
      </c>
      <c r="I57" s="63" t="n">
        <f aca="false">G57*'Itens de Contrato'!F57</f>
        <v>0</v>
      </c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customFormat="false" ht="12.8" hidden="false" customHeight="false" outlineLevel="0" collapsed="false">
      <c r="A58" s="37" t="n">
        <f aca="false">'Itens de Contrato'!A58</f>
        <v>0</v>
      </c>
      <c r="B58" s="37" t="n">
        <f aca="false">'Itens de Contrato'!B58</f>
        <v>0</v>
      </c>
      <c r="C58" s="37" t="e">
        <f aca="false">VLOOKUP(B58,'Itens de Contrato'!B$5:G$151,2,0)</f>
        <v>#N/A</v>
      </c>
      <c r="D58" s="52"/>
      <c r="E58" s="63" t="n">
        <f aca="false">D58*'Itens de Contrato'!F58</f>
        <v>0</v>
      </c>
      <c r="F58" s="62" t="n">
        <f aca="false">'Medição 11'!F58-'Medição 11'!G58</f>
        <v>0</v>
      </c>
      <c r="G58" s="52"/>
      <c r="H58" s="64" t="e">
        <f aca="false">G58/D58</f>
        <v>#DIV/0!</v>
      </c>
      <c r="I58" s="63" t="n">
        <f aca="false">G58*'Itens de Contrato'!F58</f>
        <v>0</v>
      </c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customFormat="false" ht="12.8" hidden="false" customHeight="false" outlineLevel="0" collapsed="false">
      <c r="A59" s="37" t="n">
        <f aca="false">'Itens de Contrato'!A59</f>
        <v>0</v>
      </c>
      <c r="B59" s="37" t="n">
        <f aca="false">'Itens de Contrato'!B59</f>
        <v>0</v>
      </c>
      <c r="C59" s="37" t="e">
        <f aca="false">VLOOKUP(B59,'Itens de Contrato'!B$5:G$151,2,0)</f>
        <v>#N/A</v>
      </c>
      <c r="D59" s="52"/>
      <c r="E59" s="63" t="n">
        <f aca="false">D59*'Itens de Contrato'!F59</f>
        <v>0</v>
      </c>
      <c r="F59" s="62" t="n">
        <f aca="false">'Medição 11'!F59-'Medição 11'!G59</f>
        <v>0</v>
      </c>
      <c r="G59" s="52"/>
      <c r="H59" s="64" t="e">
        <f aca="false">G59/D59</f>
        <v>#DIV/0!</v>
      </c>
      <c r="I59" s="63" t="n">
        <f aca="false">G59*'Itens de Contrato'!F59</f>
        <v>0</v>
      </c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</row>
    <row r="60" customFormat="false" ht="12.8" hidden="false" customHeight="false" outlineLevel="0" collapsed="false">
      <c r="A60" s="37" t="n">
        <f aca="false">'Itens de Contrato'!A60</f>
        <v>0</v>
      </c>
      <c r="B60" s="37" t="n">
        <f aca="false">'Itens de Contrato'!B60</f>
        <v>0</v>
      </c>
      <c r="C60" s="37" t="e">
        <f aca="false">VLOOKUP(B60,'Itens de Contrato'!B$5:G$151,2,0)</f>
        <v>#N/A</v>
      </c>
      <c r="D60" s="52"/>
      <c r="E60" s="63" t="n">
        <f aca="false">D60*'Itens de Contrato'!F60</f>
        <v>0</v>
      </c>
      <c r="F60" s="62" t="n">
        <f aca="false">'Medição 11'!F60-'Medição 11'!G60</f>
        <v>0</v>
      </c>
      <c r="G60" s="52"/>
      <c r="H60" s="64" t="e">
        <f aca="false">G60/D60</f>
        <v>#DIV/0!</v>
      </c>
      <c r="I60" s="63" t="n">
        <f aca="false">G60*'Itens de Contrato'!F60</f>
        <v>0</v>
      </c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customFormat="false" ht="12.8" hidden="false" customHeight="false" outlineLevel="0" collapsed="false">
      <c r="A61" s="37" t="n">
        <f aca="false">'Itens de Contrato'!A61</f>
        <v>0</v>
      </c>
      <c r="B61" s="37" t="n">
        <f aca="false">'Itens de Contrato'!B61</f>
        <v>0</v>
      </c>
      <c r="C61" s="37" t="e">
        <f aca="false">VLOOKUP(B61,'Itens de Contrato'!B$5:G$151,2,0)</f>
        <v>#N/A</v>
      </c>
      <c r="D61" s="52"/>
      <c r="E61" s="63" t="n">
        <f aca="false">D61*'Itens de Contrato'!F61</f>
        <v>0</v>
      </c>
      <c r="F61" s="62" t="n">
        <f aca="false">'Medição 11'!F61-'Medição 11'!G61</f>
        <v>0</v>
      </c>
      <c r="G61" s="52"/>
      <c r="H61" s="64" t="e">
        <f aca="false">G61/D61</f>
        <v>#DIV/0!</v>
      </c>
      <c r="I61" s="63" t="n">
        <f aca="false">G61*'Itens de Contrato'!F61</f>
        <v>0</v>
      </c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customFormat="false" ht="12.8" hidden="false" customHeight="false" outlineLevel="0" collapsed="false">
      <c r="A62" s="37" t="n">
        <f aca="false">'Itens de Contrato'!A62</f>
        <v>0</v>
      </c>
      <c r="B62" s="37" t="n">
        <f aca="false">'Itens de Contrato'!B62</f>
        <v>0</v>
      </c>
      <c r="C62" s="37" t="e">
        <f aca="false">VLOOKUP(B62,'Itens de Contrato'!B$5:G$151,2,0)</f>
        <v>#N/A</v>
      </c>
      <c r="D62" s="52"/>
      <c r="E62" s="63" t="n">
        <f aca="false">D62*'Itens de Contrato'!F62</f>
        <v>0</v>
      </c>
      <c r="F62" s="62" t="n">
        <f aca="false">'Medição 11'!F62-'Medição 11'!G62</f>
        <v>0</v>
      </c>
      <c r="G62" s="52"/>
      <c r="H62" s="64" t="e">
        <f aca="false">G62/D62</f>
        <v>#DIV/0!</v>
      </c>
      <c r="I62" s="63" t="n">
        <f aca="false">G62*'Itens de Contrato'!F62</f>
        <v>0</v>
      </c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customFormat="false" ht="12.8" hidden="false" customHeight="false" outlineLevel="0" collapsed="false">
      <c r="A63" s="37" t="n">
        <f aca="false">'Itens de Contrato'!A63</f>
        <v>0</v>
      </c>
      <c r="B63" s="37" t="n">
        <f aca="false">'Itens de Contrato'!B63</f>
        <v>0</v>
      </c>
      <c r="C63" s="37" t="e">
        <f aca="false">VLOOKUP(B63,'Itens de Contrato'!B$5:G$151,2,0)</f>
        <v>#N/A</v>
      </c>
      <c r="D63" s="52"/>
      <c r="E63" s="63" t="n">
        <f aca="false">D63*'Itens de Contrato'!F63</f>
        <v>0</v>
      </c>
      <c r="F63" s="62" t="n">
        <f aca="false">'Medição 11'!F63-'Medição 11'!G63</f>
        <v>0</v>
      </c>
      <c r="G63" s="52"/>
      <c r="H63" s="64" t="e">
        <f aca="false">G63/D63</f>
        <v>#DIV/0!</v>
      </c>
      <c r="I63" s="63" t="n">
        <f aca="false">G63*'Itens de Contrato'!F63</f>
        <v>0</v>
      </c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customFormat="false" ht="12.8" hidden="false" customHeight="false" outlineLevel="0" collapsed="false">
      <c r="A64" s="37" t="n">
        <f aca="false">'Itens de Contrato'!A64</f>
        <v>0</v>
      </c>
      <c r="B64" s="37" t="n">
        <f aca="false">'Itens de Contrato'!B64</f>
        <v>0</v>
      </c>
      <c r="C64" s="37" t="e">
        <f aca="false">VLOOKUP(B64,'Itens de Contrato'!B$5:G$151,2,0)</f>
        <v>#N/A</v>
      </c>
      <c r="D64" s="52"/>
      <c r="E64" s="63" t="n">
        <f aca="false">D64*'Itens de Contrato'!F64</f>
        <v>0</v>
      </c>
      <c r="F64" s="62" t="n">
        <f aca="false">'Medição 11'!F64-'Medição 11'!G64</f>
        <v>0</v>
      </c>
      <c r="G64" s="52"/>
      <c r="H64" s="64" t="e">
        <f aca="false">G64/D64</f>
        <v>#DIV/0!</v>
      </c>
      <c r="I64" s="63" t="n">
        <f aca="false">G64*'Itens de Contrato'!F64</f>
        <v>0</v>
      </c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customFormat="false" ht="12.8" hidden="false" customHeight="false" outlineLevel="0" collapsed="false">
      <c r="A65" s="37" t="n">
        <f aca="false">'Itens de Contrato'!A65</f>
        <v>0</v>
      </c>
      <c r="B65" s="37" t="n">
        <f aca="false">'Itens de Contrato'!B65</f>
        <v>0</v>
      </c>
      <c r="C65" s="37" t="e">
        <f aca="false">VLOOKUP(B65,'Itens de Contrato'!B$5:G$151,2,0)</f>
        <v>#N/A</v>
      </c>
      <c r="D65" s="52"/>
      <c r="E65" s="63" t="n">
        <f aca="false">D65*'Itens de Contrato'!F65</f>
        <v>0</v>
      </c>
      <c r="F65" s="62" t="n">
        <f aca="false">'Medição 11'!F65-'Medição 11'!G65</f>
        <v>0</v>
      </c>
      <c r="G65" s="52"/>
      <c r="H65" s="64" t="e">
        <f aca="false">G65/D65</f>
        <v>#DIV/0!</v>
      </c>
      <c r="I65" s="63" t="n">
        <f aca="false">G65*'Itens de Contrato'!F65</f>
        <v>0</v>
      </c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customFormat="false" ht="12.8" hidden="false" customHeight="false" outlineLevel="0" collapsed="false">
      <c r="A66" s="37" t="n">
        <f aca="false">'Itens de Contrato'!A66</f>
        <v>0</v>
      </c>
      <c r="B66" s="37" t="n">
        <f aca="false">'Itens de Contrato'!B66</f>
        <v>0</v>
      </c>
      <c r="C66" s="37" t="e">
        <f aca="false">VLOOKUP(B66,'Itens de Contrato'!B$5:G$151,2,0)</f>
        <v>#N/A</v>
      </c>
      <c r="D66" s="52"/>
      <c r="E66" s="63" t="n">
        <f aca="false">D66*'Itens de Contrato'!F66</f>
        <v>0</v>
      </c>
      <c r="F66" s="62" t="n">
        <f aca="false">'Medição 11'!F66-'Medição 11'!G66</f>
        <v>0</v>
      </c>
      <c r="G66" s="52"/>
      <c r="H66" s="64" t="e">
        <f aca="false">G66/D66</f>
        <v>#DIV/0!</v>
      </c>
      <c r="I66" s="63" t="n">
        <f aca="false">G66*'Itens de Contrato'!F66</f>
        <v>0</v>
      </c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customFormat="false" ht="12.8" hidden="false" customHeight="false" outlineLevel="0" collapsed="false">
      <c r="A67" s="37" t="n">
        <f aca="false">'Itens de Contrato'!A67</f>
        <v>0</v>
      </c>
      <c r="B67" s="37" t="n">
        <f aca="false">'Itens de Contrato'!B67</f>
        <v>0</v>
      </c>
      <c r="C67" s="37" t="e">
        <f aca="false">VLOOKUP(B67,'Itens de Contrato'!B$5:G$151,2,0)</f>
        <v>#N/A</v>
      </c>
      <c r="D67" s="52"/>
      <c r="E67" s="63" t="n">
        <f aca="false">D67*'Itens de Contrato'!F67</f>
        <v>0</v>
      </c>
      <c r="F67" s="62" t="n">
        <f aca="false">'Medição 11'!F67-'Medição 11'!G67</f>
        <v>0</v>
      </c>
      <c r="G67" s="52"/>
      <c r="H67" s="64" t="e">
        <f aca="false">G67/D67</f>
        <v>#DIV/0!</v>
      </c>
      <c r="I67" s="63" t="n">
        <f aca="false">G67*'Itens de Contrato'!F67</f>
        <v>0</v>
      </c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customFormat="false" ht="12.8" hidden="false" customHeight="false" outlineLevel="0" collapsed="false">
      <c r="A68" s="37" t="n">
        <f aca="false">'Itens de Contrato'!A68</f>
        <v>0</v>
      </c>
      <c r="B68" s="37" t="n">
        <f aca="false">'Itens de Contrato'!B68</f>
        <v>0</v>
      </c>
      <c r="C68" s="37" t="e">
        <f aca="false">VLOOKUP(B68,'Itens de Contrato'!B$5:G$151,2,0)</f>
        <v>#N/A</v>
      </c>
      <c r="D68" s="52"/>
      <c r="E68" s="63" t="n">
        <f aca="false">D68*'Itens de Contrato'!F68</f>
        <v>0</v>
      </c>
      <c r="F68" s="62" t="n">
        <f aca="false">'Medição 11'!F68-'Medição 11'!G68</f>
        <v>0</v>
      </c>
      <c r="G68" s="52"/>
      <c r="H68" s="64" t="e">
        <f aca="false">G68/D68</f>
        <v>#DIV/0!</v>
      </c>
      <c r="I68" s="63" t="n">
        <f aca="false">G68*'Itens de Contrato'!F68</f>
        <v>0</v>
      </c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</row>
    <row r="69" customFormat="false" ht="12.8" hidden="false" customHeight="false" outlineLevel="0" collapsed="false">
      <c r="A69" s="37" t="n">
        <f aca="false">'Itens de Contrato'!A69</f>
        <v>0</v>
      </c>
      <c r="B69" s="37" t="n">
        <f aca="false">'Itens de Contrato'!B69</f>
        <v>0</v>
      </c>
      <c r="C69" s="37" t="e">
        <f aca="false">VLOOKUP(B69,'Itens de Contrato'!B$5:G$151,2,0)</f>
        <v>#N/A</v>
      </c>
      <c r="D69" s="52"/>
      <c r="E69" s="63" t="n">
        <f aca="false">D69*'Itens de Contrato'!F69</f>
        <v>0</v>
      </c>
      <c r="F69" s="62" t="n">
        <f aca="false">'Medição 11'!F69-'Medição 11'!G69</f>
        <v>0</v>
      </c>
      <c r="G69" s="52"/>
      <c r="H69" s="64" t="e">
        <f aca="false">G69/D69</f>
        <v>#DIV/0!</v>
      </c>
      <c r="I69" s="63" t="n">
        <f aca="false">G69*'Itens de Contrato'!F69</f>
        <v>0</v>
      </c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</row>
    <row r="70" customFormat="false" ht="12.8" hidden="false" customHeight="false" outlineLevel="0" collapsed="false">
      <c r="A70" s="37" t="n">
        <f aca="false">'Itens de Contrato'!A70</f>
        <v>0</v>
      </c>
      <c r="B70" s="37" t="n">
        <f aca="false">'Itens de Contrato'!B70</f>
        <v>0</v>
      </c>
      <c r="C70" s="37" t="e">
        <f aca="false">VLOOKUP(B70,'Itens de Contrato'!B$5:G$151,2,0)</f>
        <v>#N/A</v>
      </c>
      <c r="D70" s="52"/>
      <c r="E70" s="63" t="n">
        <f aca="false">D70*'Itens de Contrato'!F70</f>
        <v>0</v>
      </c>
      <c r="F70" s="62" t="n">
        <f aca="false">'Medição 11'!F70-'Medição 11'!G70</f>
        <v>0</v>
      </c>
      <c r="G70" s="52"/>
      <c r="H70" s="64" t="e">
        <f aca="false">G70/D70</f>
        <v>#DIV/0!</v>
      </c>
      <c r="I70" s="63" t="n">
        <f aca="false">G70*'Itens de Contrato'!F70</f>
        <v>0</v>
      </c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</row>
    <row r="71" customFormat="false" ht="12.8" hidden="false" customHeight="false" outlineLevel="0" collapsed="false">
      <c r="A71" s="37" t="n">
        <f aca="false">'Itens de Contrato'!A71</f>
        <v>0</v>
      </c>
      <c r="B71" s="37" t="n">
        <f aca="false">'Itens de Contrato'!B71</f>
        <v>0</v>
      </c>
      <c r="C71" s="37" t="e">
        <f aca="false">VLOOKUP(B71,'Itens de Contrato'!B$5:G$151,2,0)</f>
        <v>#N/A</v>
      </c>
      <c r="D71" s="52"/>
      <c r="E71" s="63" t="n">
        <f aca="false">D71*'Itens de Contrato'!F71</f>
        <v>0</v>
      </c>
      <c r="F71" s="62" t="n">
        <f aca="false">'Medição 11'!F71-'Medição 11'!G71</f>
        <v>0</v>
      </c>
      <c r="G71" s="52"/>
      <c r="H71" s="64" t="e">
        <f aca="false">G71/D71</f>
        <v>#DIV/0!</v>
      </c>
      <c r="I71" s="63" t="n">
        <f aca="false">G71*'Itens de Contrato'!F71</f>
        <v>0</v>
      </c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</row>
    <row r="72" customFormat="false" ht="12.8" hidden="false" customHeight="false" outlineLevel="0" collapsed="false">
      <c r="A72" s="37" t="n">
        <f aca="false">'Itens de Contrato'!A72</f>
        <v>0</v>
      </c>
      <c r="B72" s="37" t="n">
        <f aca="false">'Itens de Contrato'!B72</f>
        <v>0</v>
      </c>
      <c r="C72" s="37" t="e">
        <f aca="false">VLOOKUP(B72,'Itens de Contrato'!B$5:G$151,2,0)</f>
        <v>#N/A</v>
      </c>
      <c r="D72" s="52"/>
      <c r="E72" s="63" t="n">
        <f aca="false">D72*'Itens de Contrato'!F72</f>
        <v>0</v>
      </c>
      <c r="F72" s="62" t="n">
        <f aca="false">'Medição 11'!F72-'Medição 11'!G72</f>
        <v>0</v>
      </c>
      <c r="G72" s="52"/>
      <c r="H72" s="64" t="e">
        <f aca="false">G72/D72</f>
        <v>#DIV/0!</v>
      </c>
      <c r="I72" s="63" t="n">
        <f aca="false">G72*'Itens de Contrato'!F72</f>
        <v>0</v>
      </c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</row>
    <row r="73" customFormat="false" ht="12.8" hidden="false" customHeight="false" outlineLevel="0" collapsed="false">
      <c r="A73" s="37" t="n">
        <f aca="false">'Itens de Contrato'!A73</f>
        <v>0</v>
      </c>
      <c r="B73" s="37" t="n">
        <f aca="false">'Itens de Contrato'!B73</f>
        <v>0</v>
      </c>
      <c r="C73" s="37" t="e">
        <f aca="false">VLOOKUP(B73,'Itens de Contrato'!B$5:G$151,2,0)</f>
        <v>#N/A</v>
      </c>
      <c r="D73" s="52"/>
      <c r="E73" s="63" t="n">
        <f aca="false">D73*'Itens de Contrato'!F73</f>
        <v>0</v>
      </c>
      <c r="F73" s="62" t="n">
        <f aca="false">'Medição 11'!F73-'Medição 11'!G73</f>
        <v>0</v>
      </c>
      <c r="G73" s="52"/>
      <c r="H73" s="64" t="e">
        <f aca="false">G73/D73</f>
        <v>#DIV/0!</v>
      </c>
      <c r="I73" s="63" t="n">
        <f aca="false">G73*'Itens de Contrato'!F73</f>
        <v>0</v>
      </c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</row>
    <row r="74" customFormat="false" ht="12.8" hidden="false" customHeight="false" outlineLevel="0" collapsed="false">
      <c r="A74" s="37" t="n">
        <f aca="false">'Itens de Contrato'!A74</f>
        <v>0</v>
      </c>
      <c r="B74" s="37" t="n">
        <f aca="false">'Itens de Contrato'!B74</f>
        <v>0</v>
      </c>
      <c r="C74" s="37" t="e">
        <f aca="false">VLOOKUP(B74,'Itens de Contrato'!B$5:G$151,2,0)</f>
        <v>#N/A</v>
      </c>
      <c r="D74" s="52"/>
      <c r="E74" s="63" t="n">
        <f aca="false">D74*'Itens de Contrato'!F74</f>
        <v>0</v>
      </c>
      <c r="F74" s="62" t="n">
        <f aca="false">'Medição 11'!F74-'Medição 11'!G74</f>
        <v>0</v>
      </c>
      <c r="G74" s="52"/>
      <c r="H74" s="64" t="e">
        <f aca="false">G74/D74</f>
        <v>#DIV/0!</v>
      </c>
      <c r="I74" s="63" t="n">
        <f aca="false">G74*'Itens de Contrato'!F74</f>
        <v>0</v>
      </c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</row>
    <row r="75" customFormat="false" ht="12.8" hidden="false" customHeight="false" outlineLevel="0" collapsed="false">
      <c r="A75" s="37" t="n">
        <f aca="false">'Itens de Contrato'!A75</f>
        <v>0</v>
      </c>
      <c r="B75" s="37" t="n">
        <f aca="false">'Itens de Contrato'!B75</f>
        <v>0</v>
      </c>
      <c r="C75" s="37" t="e">
        <f aca="false">VLOOKUP(B75,'Itens de Contrato'!B$5:G$151,2,0)</f>
        <v>#N/A</v>
      </c>
      <c r="D75" s="52"/>
      <c r="E75" s="63" t="n">
        <f aca="false">D75*'Itens de Contrato'!F75</f>
        <v>0</v>
      </c>
      <c r="F75" s="62" t="n">
        <f aca="false">'Medição 11'!F75-'Medição 11'!G75</f>
        <v>0</v>
      </c>
      <c r="G75" s="52"/>
      <c r="H75" s="64" t="e">
        <f aca="false">G75/D75</f>
        <v>#DIV/0!</v>
      </c>
      <c r="I75" s="63" t="n">
        <f aca="false">G75*'Itens de Contrato'!F75</f>
        <v>0</v>
      </c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</row>
    <row r="76" customFormat="false" ht="12.8" hidden="false" customHeight="false" outlineLevel="0" collapsed="false">
      <c r="A76" s="37" t="n">
        <f aca="false">'Itens de Contrato'!A76</f>
        <v>0</v>
      </c>
      <c r="B76" s="37" t="n">
        <f aca="false">'Itens de Contrato'!B76</f>
        <v>0</v>
      </c>
      <c r="C76" s="37" t="e">
        <f aca="false">VLOOKUP(B76,'Itens de Contrato'!B$5:G$151,2,0)</f>
        <v>#N/A</v>
      </c>
      <c r="D76" s="52"/>
      <c r="E76" s="63" t="n">
        <f aca="false">D76*'Itens de Contrato'!F76</f>
        <v>0</v>
      </c>
      <c r="F76" s="62" t="n">
        <f aca="false">'Medição 11'!F76-'Medição 11'!G76</f>
        <v>0</v>
      </c>
      <c r="G76" s="52"/>
      <c r="H76" s="64" t="e">
        <f aca="false">G76/D76</f>
        <v>#DIV/0!</v>
      </c>
      <c r="I76" s="63" t="n">
        <f aca="false">G76*'Itens de Contrato'!F76</f>
        <v>0</v>
      </c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</row>
    <row r="77" customFormat="false" ht="12.8" hidden="false" customHeight="false" outlineLevel="0" collapsed="false">
      <c r="A77" s="37" t="n">
        <f aca="false">'Itens de Contrato'!A77</f>
        <v>0</v>
      </c>
      <c r="B77" s="37" t="n">
        <f aca="false">'Itens de Contrato'!B77</f>
        <v>0</v>
      </c>
      <c r="C77" s="37" t="e">
        <f aca="false">VLOOKUP(B77,'Itens de Contrato'!B$5:G$151,2,0)</f>
        <v>#N/A</v>
      </c>
      <c r="D77" s="52"/>
      <c r="E77" s="63" t="n">
        <f aca="false">D77*'Itens de Contrato'!F77</f>
        <v>0</v>
      </c>
      <c r="F77" s="62" t="n">
        <f aca="false">'Medição 11'!F77-'Medição 11'!G77</f>
        <v>0</v>
      </c>
      <c r="G77" s="52"/>
      <c r="H77" s="64" t="e">
        <f aca="false">G77/D77</f>
        <v>#DIV/0!</v>
      </c>
      <c r="I77" s="63" t="n">
        <f aca="false">G77*'Itens de Contrato'!F77</f>
        <v>0</v>
      </c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</row>
    <row r="78" customFormat="false" ht="12.8" hidden="false" customHeight="false" outlineLevel="0" collapsed="false">
      <c r="A78" s="37" t="n">
        <f aca="false">'Itens de Contrato'!A78</f>
        <v>0</v>
      </c>
      <c r="B78" s="37" t="n">
        <f aca="false">'Itens de Contrato'!B78</f>
        <v>0</v>
      </c>
      <c r="C78" s="37" t="e">
        <f aca="false">VLOOKUP(B78,'Itens de Contrato'!B$5:G$151,2,0)</f>
        <v>#N/A</v>
      </c>
      <c r="D78" s="52"/>
      <c r="E78" s="63" t="n">
        <f aca="false">D78*'Itens de Contrato'!F78</f>
        <v>0</v>
      </c>
      <c r="F78" s="62" t="n">
        <f aca="false">'Medição 11'!F78-'Medição 11'!G78</f>
        <v>0</v>
      </c>
      <c r="G78" s="52"/>
      <c r="H78" s="64" t="e">
        <f aca="false">G78/D78</f>
        <v>#DIV/0!</v>
      </c>
      <c r="I78" s="63" t="n">
        <f aca="false">G78*'Itens de Contrato'!F78</f>
        <v>0</v>
      </c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</row>
    <row r="79" customFormat="false" ht="12.8" hidden="false" customHeight="false" outlineLevel="0" collapsed="false">
      <c r="A79" s="37" t="n">
        <f aca="false">'Itens de Contrato'!A79</f>
        <v>0</v>
      </c>
      <c r="B79" s="37" t="n">
        <f aca="false">'Itens de Contrato'!B79</f>
        <v>0</v>
      </c>
      <c r="C79" s="37" t="e">
        <f aca="false">VLOOKUP(B79,'Itens de Contrato'!B$5:G$151,2,0)</f>
        <v>#N/A</v>
      </c>
      <c r="D79" s="52"/>
      <c r="E79" s="63" t="n">
        <f aca="false">D79*'Itens de Contrato'!F79</f>
        <v>0</v>
      </c>
      <c r="F79" s="62" t="n">
        <f aca="false">'Medição 11'!F79-'Medição 11'!G79</f>
        <v>0</v>
      </c>
      <c r="G79" s="52"/>
      <c r="H79" s="64" t="e">
        <f aca="false">G79/D79</f>
        <v>#DIV/0!</v>
      </c>
      <c r="I79" s="63" t="n">
        <f aca="false">G79*'Itens de Contrato'!F79</f>
        <v>0</v>
      </c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</row>
    <row r="80" customFormat="false" ht="12.8" hidden="false" customHeight="false" outlineLevel="0" collapsed="false">
      <c r="A80" s="37" t="n">
        <f aca="false">'Itens de Contrato'!A80</f>
        <v>0</v>
      </c>
      <c r="B80" s="37" t="n">
        <f aca="false">'Itens de Contrato'!B80</f>
        <v>0</v>
      </c>
      <c r="C80" s="37" t="e">
        <f aca="false">VLOOKUP(B80,'Itens de Contrato'!B$5:G$151,2,0)</f>
        <v>#N/A</v>
      </c>
      <c r="D80" s="52"/>
      <c r="E80" s="63" t="n">
        <f aca="false">D80*'Itens de Contrato'!F80</f>
        <v>0</v>
      </c>
      <c r="F80" s="62" t="n">
        <f aca="false">'Medição 11'!F80-'Medição 11'!G80</f>
        <v>0</v>
      </c>
      <c r="G80" s="52"/>
      <c r="H80" s="64" t="e">
        <f aca="false">G80/D80</f>
        <v>#DIV/0!</v>
      </c>
      <c r="I80" s="63" t="n">
        <f aca="false">G80*'Itens de Contrato'!F80</f>
        <v>0</v>
      </c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</row>
    <row r="81" customFormat="false" ht="12.8" hidden="false" customHeight="false" outlineLevel="0" collapsed="false">
      <c r="A81" s="37" t="n">
        <f aca="false">'Itens de Contrato'!A81</f>
        <v>0</v>
      </c>
      <c r="B81" s="37" t="n">
        <f aca="false">'Itens de Contrato'!B81</f>
        <v>0</v>
      </c>
      <c r="C81" s="37" t="e">
        <f aca="false">VLOOKUP(B81,'Itens de Contrato'!B$5:G$151,2,0)</f>
        <v>#N/A</v>
      </c>
      <c r="D81" s="52"/>
      <c r="E81" s="63" t="n">
        <f aca="false">D81*'Itens de Contrato'!F81</f>
        <v>0</v>
      </c>
      <c r="F81" s="62" t="n">
        <f aca="false">'Medição 11'!F81-'Medição 11'!G81</f>
        <v>0</v>
      </c>
      <c r="G81" s="52"/>
      <c r="H81" s="64" t="e">
        <f aca="false">G81/D81</f>
        <v>#DIV/0!</v>
      </c>
      <c r="I81" s="63" t="n">
        <f aca="false">G81*'Itens de Contrato'!F81</f>
        <v>0</v>
      </c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</row>
    <row r="82" customFormat="false" ht="12.8" hidden="false" customHeight="false" outlineLevel="0" collapsed="false">
      <c r="A82" s="37" t="n">
        <f aca="false">'Itens de Contrato'!A82</f>
        <v>0</v>
      </c>
      <c r="B82" s="37" t="n">
        <f aca="false">'Itens de Contrato'!B82</f>
        <v>0</v>
      </c>
      <c r="C82" s="37" t="e">
        <f aca="false">VLOOKUP(B82,'Itens de Contrato'!B$5:G$151,2,0)</f>
        <v>#N/A</v>
      </c>
      <c r="D82" s="52"/>
      <c r="E82" s="63" t="n">
        <f aca="false">D82*'Itens de Contrato'!F82</f>
        <v>0</v>
      </c>
      <c r="F82" s="62" t="n">
        <f aca="false">'Medição 11'!F82-'Medição 11'!G82</f>
        <v>0</v>
      </c>
      <c r="G82" s="52"/>
      <c r="H82" s="64" t="e">
        <f aca="false">G82/D82</f>
        <v>#DIV/0!</v>
      </c>
      <c r="I82" s="63" t="n">
        <f aca="false">G82*'Itens de Contrato'!F82</f>
        <v>0</v>
      </c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</row>
    <row r="83" customFormat="false" ht="12.8" hidden="false" customHeight="false" outlineLevel="0" collapsed="false">
      <c r="A83" s="37" t="n">
        <f aca="false">'Itens de Contrato'!A83</f>
        <v>0</v>
      </c>
      <c r="B83" s="37" t="n">
        <f aca="false">'Itens de Contrato'!B83</f>
        <v>0</v>
      </c>
      <c r="C83" s="37" t="e">
        <f aca="false">VLOOKUP(B83,'Itens de Contrato'!B$5:G$151,2,0)</f>
        <v>#N/A</v>
      </c>
      <c r="D83" s="52"/>
      <c r="E83" s="63" t="n">
        <f aca="false">D83*'Itens de Contrato'!F83</f>
        <v>0</v>
      </c>
      <c r="F83" s="62" t="n">
        <f aca="false">'Medição 11'!F83-'Medição 11'!G83</f>
        <v>0</v>
      </c>
      <c r="G83" s="52"/>
      <c r="H83" s="64" t="e">
        <f aca="false">G83/D83</f>
        <v>#DIV/0!</v>
      </c>
      <c r="I83" s="63" t="n">
        <f aca="false">G83*'Itens de Contrato'!F83</f>
        <v>0</v>
      </c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</row>
    <row r="84" customFormat="false" ht="12.8" hidden="false" customHeight="false" outlineLevel="0" collapsed="false">
      <c r="A84" s="37" t="n">
        <f aca="false">'Itens de Contrato'!A84</f>
        <v>0</v>
      </c>
      <c r="B84" s="37" t="n">
        <f aca="false">'Itens de Contrato'!B84</f>
        <v>0</v>
      </c>
      <c r="C84" s="37" t="e">
        <f aca="false">VLOOKUP(B84,'Itens de Contrato'!B$5:G$151,2,0)</f>
        <v>#N/A</v>
      </c>
      <c r="D84" s="52"/>
      <c r="E84" s="63" t="n">
        <f aca="false">D84*'Itens de Contrato'!F84</f>
        <v>0</v>
      </c>
      <c r="F84" s="62" t="n">
        <f aca="false">'Medição 11'!F84-'Medição 11'!G84</f>
        <v>0</v>
      </c>
      <c r="G84" s="52"/>
      <c r="H84" s="64" t="e">
        <f aca="false">G84/D84</f>
        <v>#DIV/0!</v>
      </c>
      <c r="I84" s="63" t="n">
        <f aca="false">G84*'Itens de Contrato'!F84</f>
        <v>0</v>
      </c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</row>
    <row r="85" customFormat="false" ht="12.8" hidden="false" customHeight="false" outlineLevel="0" collapsed="false">
      <c r="A85" s="37" t="n">
        <f aca="false">'Itens de Contrato'!A85</f>
        <v>0</v>
      </c>
      <c r="B85" s="37" t="n">
        <f aca="false">'Itens de Contrato'!B85</f>
        <v>0</v>
      </c>
      <c r="C85" s="37" t="e">
        <f aca="false">VLOOKUP(B85,'Itens de Contrato'!B$5:G$151,2,0)</f>
        <v>#N/A</v>
      </c>
      <c r="D85" s="52"/>
      <c r="E85" s="63" t="n">
        <f aca="false">D85*'Itens de Contrato'!F85</f>
        <v>0</v>
      </c>
      <c r="F85" s="62" t="n">
        <f aca="false">'Medição 11'!F85-'Medição 11'!G85</f>
        <v>0</v>
      </c>
      <c r="G85" s="52"/>
      <c r="H85" s="64" t="e">
        <f aca="false">G85/D85</f>
        <v>#DIV/0!</v>
      </c>
      <c r="I85" s="63" t="n">
        <f aca="false">G85*'Itens de Contrato'!F85</f>
        <v>0</v>
      </c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</row>
    <row r="86" customFormat="false" ht="12.8" hidden="false" customHeight="false" outlineLevel="0" collapsed="false">
      <c r="A86" s="37" t="n">
        <f aca="false">'Itens de Contrato'!A86</f>
        <v>0</v>
      </c>
      <c r="B86" s="37" t="n">
        <f aca="false">'Itens de Contrato'!B86</f>
        <v>0</v>
      </c>
      <c r="C86" s="37" t="e">
        <f aca="false">VLOOKUP(B86,'Itens de Contrato'!B$5:G$151,2,0)</f>
        <v>#N/A</v>
      </c>
      <c r="D86" s="52"/>
      <c r="E86" s="63" t="n">
        <f aca="false">D86*'Itens de Contrato'!F86</f>
        <v>0</v>
      </c>
      <c r="F86" s="62" t="n">
        <f aca="false">'Medição 11'!F86-'Medição 11'!G86</f>
        <v>0</v>
      </c>
      <c r="G86" s="52"/>
      <c r="H86" s="64" t="e">
        <f aca="false">G86/D86</f>
        <v>#DIV/0!</v>
      </c>
      <c r="I86" s="63" t="n">
        <f aca="false">G86*'Itens de Contrato'!F86</f>
        <v>0</v>
      </c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</row>
    <row r="87" customFormat="false" ht="12.8" hidden="false" customHeight="false" outlineLevel="0" collapsed="false">
      <c r="A87" s="37" t="n">
        <f aca="false">'Itens de Contrato'!A87</f>
        <v>0</v>
      </c>
      <c r="B87" s="37" t="n">
        <f aca="false">'Itens de Contrato'!B87</f>
        <v>0</v>
      </c>
      <c r="C87" s="37" t="e">
        <f aca="false">VLOOKUP(B87,'Itens de Contrato'!B$5:G$151,2,0)</f>
        <v>#N/A</v>
      </c>
      <c r="D87" s="52"/>
      <c r="E87" s="63" t="n">
        <f aca="false">D87*'Itens de Contrato'!F87</f>
        <v>0</v>
      </c>
      <c r="F87" s="62" t="n">
        <f aca="false">'Medição 11'!F87-'Medição 11'!G87</f>
        <v>0</v>
      </c>
      <c r="G87" s="52"/>
      <c r="H87" s="64" t="e">
        <f aca="false">G87/D87</f>
        <v>#DIV/0!</v>
      </c>
      <c r="I87" s="63" t="n">
        <f aca="false">G87*'Itens de Contrato'!F87</f>
        <v>0</v>
      </c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</row>
    <row r="88" customFormat="false" ht="12.8" hidden="false" customHeight="false" outlineLevel="0" collapsed="false">
      <c r="A88" s="37" t="n">
        <f aca="false">'Itens de Contrato'!A88</f>
        <v>0</v>
      </c>
      <c r="B88" s="37" t="n">
        <f aca="false">'Itens de Contrato'!B88</f>
        <v>0</v>
      </c>
      <c r="C88" s="37" t="e">
        <f aca="false">VLOOKUP(B88,'Itens de Contrato'!B$5:G$151,2,0)</f>
        <v>#N/A</v>
      </c>
      <c r="D88" s="52"/>
      <c r="E88" s="63" t="n">
        <f aca="false">D88*'Itens de Contrato'!F88</f>
        <v>0</v>
      </c>
      <c r="F88" s="62" t="n">
        <f aca="false">'Medição 11'!F88-'Medição 11'!G88</f>
        <v>0</v>
      </c>
      <c r="G88" s="52"/>
      <c r="H88" s="64" t="e">
        <f aca="false">G88/D88</f>
        <v>#DIV/0!</v>
      </c>
      <c r="I88" s="63" t="n">
        <f aca="false">G88*'Itens de Contrato'!F88</f>
        <v>0</v>
      </c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</row>
    <row r="89" customFormat="false" ht="12.8" hidden="false" customHeight="false" outlineLevel="0" collapsed="false">
      <c r="A89" s="37" t="n">
        <f aca="false">'Itens de Contrato'!A89</f>
        <v>0</v>
      </c>
      <c r="B89" s="37" t="n">
        <f aca="false">'Itens de Contrato'!B89</f>
        <v>0</v>
      </c>
      <c r="C89" s="37" t="e">
        <f aca="false">VLOOKUP(B89,'Itens de Contrato'!B$5:G$151,2,0)</f>
        <v>#N/A</v>
      </c>
      <c r="D89" s="52"/>
      <c r="E89" s="63" t="n">
        <f aca="false">D89*'Itens de Contrato'!F89</f>
        <v>0</v>
      </c>
      <c r="F89" s="62" t="n">
        <f aca="false">'Medição 11'!F89-'Medição 11'!G89</f>
        <v>0</v>
      </c>
      <c r="G89" s="52"/>
      <c r="H89" s="64" t="e">
        <f aca="false">G89/D89</f>
        <v>#DIV/0!</v>
      </c>
      <c r="I89" s="63" t="n">
        <f aca="false">G89*'Itens de Contrato'!F89</f>
        <v>0</v>
      </c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</row>
    <row r="90" customFormat="false" ht="12.8" hidden="false" customHeight="false" outlineLevel="0" collapsed="false">
      <c r="A90" s="37" t="n">
        <f aca="false">'Itens de Contrato'!A90</f>
        <v>0</v>
      </c>
      <c r="B90" s="37" t="n">
        <f aca="false">'Itens de Contrato'!B90</f>
        <v>0</v>
      </c>
      <c r="C90" s="37" t="e">
        <f aca="false">VLOOKUP(B90,'Itens de Contrato'!B$5:G$151,2,0)</f>
        <v>#N/A</v>
      </c>
      <c r="D90" s="52"/>
      <c r="E90" s="63" t="n">
        <f aca="false">D90*'Itens de Contrato'!F90</f>
        <v>0</v>
      </c>
      <c r="F90" s="62" t="n">
        <f aca="false">'Medição 11'!F90-'Medição 11'!G90</f>
        <v>0</v>
      </c>
      <c r="G90" s="52"/>
      <c r="H90" s="64" t="e">
        <f aca="false">G90/D90</f>
        <v>#DIV/0!</v>
      </c>
      <c r="I90" s="63" t="n">
        <f aca="false">G90*'Itens de Contrato'!F90</f>
        <v>0</v>
      </c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</row>
    <row r="91" customFormat="false" ht="12.8" hidden="false" customHeight="false" outlineLevel="0" collapsed="false">
      <c r="A91" s="37" t="n">
        <f aca="false">'Itens de Contrato'!A91</f>
        <v>0</v>
      </c>
      <c r="B91" s="37" t="n">
        <f aca="false">'Itens de Contrato'!B91</f>
        <v>0</v>
      </c>
      <c r="C91" s="37" t="e">
        <f aca="false">VLOOKUP(B91,'Itens de Contrato'!B$5:G$151,2,0)</f>
        <v>#N/A</v>
      </c>
      <c r="D91" s="52"/>
      <c r="E91" s="63" t="n">
        <f aca="false">D91*'Itens de Contrato'!F91</f>
        <v>0</v>
      </c>
      <c r="F91" s="62" t="n">
        <f aca="false">'Medição 11'!F91-'Medição 11'!G91</f>
        <v>0</v>
      </c>
      <c r="G91" s="52"/>
      <c r="H91" s="64" t="e">
        <f aca="false">G91/D91</f>
        <v>#DIV/0!</v>
      </c>
      <c r="I91" s="63" t="n">
        <f aca="false">G91*'Itens de Contrato'!F91</f>
        <v>0</v>
      </c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customFormat="false" ht="12.8" hidden="false" customHeight="false" outlineLevel="0" collapsed="false">
      <c r="A92" s="37" t="n">
        <f aca="false">'Itens de Contrato'!A92</f>
        <v>0</v>
      </c>
      <c r="B92" s="37" t="n">
        <f aca="false">'Itens de Contrato'!B92</f>
        <v>0</v>
      </c>
      <c r="C92" s="37" t="e">
        <f aca="false">VLOOKUP(B92,'Itens de Contrato'!B$5:G$151,2,0)</f>
        <v>#N/A</v>
      </c>
      <c r="D92" s="52"/>
      <c r="E92" s="63" t="n">
        <f aca="false">D92*'Itens de Contrato'!F92</f>
        <v>0</v>
      </c>
      <c r="F92" s="62" t="n">
        <f aca="false">'Medição 11'!F92-'Medição 11'!G92</f>
        <v>0</v>
      </c>
      <c r="G92" s="52"/>
      <c r="H92" s="64" t="e">
        <f aca="false">G92/D92</f>
        <v>#DIV/0!</v>
      </c>
      <c r="I92" s="63" t="n">
        <f aca="false">G92*'Itens de Contrato'!F92</f>
        <v>0</v>
      </c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</row>
    <row r="93" customFormat="false" ht="12.8" hidden="false" customHeight="false" outlineLevel="0" collapsed="false">
      <c r="A93" s="37" t="n">
        <f aca="false">'Itens de Contrato'!A93</f>
        <v>0</v>
      </c>
      <c r="B93" s="37" t="n">
        <f aca="false">'Itens de Contrato'!B93</f>
        <v>0</v>
      </c>
      <c r="C93" s="37" t="e">
        <f aca="false">VLOOKUP(B93,'Itens de Contrato'!B$5:G$151,2,0)</f>
        <v>#N/A</v>
      </c>
      <c r="D93" s="52"/>
      <c r="E93" s="63" t="n">
        <f aca="false">D93*'Itens de Contrato'!F93</f>
        <v>0</v>
      </c>
      <c r="F93" s="62" t="n">
        <f aca="false">'Medição 11'!F93-'Medição 11'!G93</f>
        <v>0</v>
      </c>
      <c r="G93" s="52"/>
      <c r="H93" s="64" t="e">
        <f aca="false">G93/D93</f>
        <v>#DIV/0!</v>
      </c>
      <c r="I93" s="63" t="n">
        <f aca="false">G93*'Itens de Contrato'!F93</f>
        <v>0</v>
      </c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</row>
    <row r="94" customFormat="false" ht="12.8" hidden="false" customHeight="false" outlineLevel="0" collapsed="false">
      <c r="A94" s="37" t="n">
        <f aca="false">'Itens de Contrato'!A94</f>
        <v>0</v>
      </c>
      <c r="B94" s="37" t="n">
        <f aca="false">'Itens de Contrato'!B94</f>
        <v>0</v>
      </c>
      <c r="C94" s="37" t="e">
        <f aca="false">VLOOKUP(B94,'Itens de Contrato'!B$5:G$151,2,0)</f>
        <v>#N/A</v>
      </c>
      <c r="D94" s="52"/>
      <c r="E94" s="63" t="n">
        <f aca="false">D94*'Itens de Contrato'!F94</f>
        <v>0</v>
      </c>
      <c r="F94" s="62" t="n">
        <f aca="false">'Medição 11'!F94-'Medição 11'!G94</f>
        <v>0</v>
      </c>
      <c r="G94" s="52"/>
      <c r="H94" s="64" t="e">
        <f aca="false">G94/D94</f>
        <v>#DIV/0!</v>
      </c>
      <c r="I94" s="63" t="n">
        <f aca="false">G94*'Itens de Contrato'!F94</f>
        <v>0</v>
      </c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</row>
    <row r="95" customFormat="false" ht="12.8" hidden="false" customHeight="false" outlineLevel="0" collapsed="false">
      <c r="A95" s="37" t="n">
        <f aca="false">'Itens de Contrato'!A95</f>
        <v>0</v>
      </c>
      <c r="B95" s="37" t="n">
        <f aca="false">'Itens de Contrato'!B95</f>
        <v>0</v>
      </c>
      <c r="C95" s="37" t="e">
        <f aca="false">VLOOKUP(B95,'Itens de Contrato'!B$5:G$151,2,0)</f>
        <v>#N/A</v>
      </c>
      <c r="D95" s="52"/>
      <c r="E95" s="63" t="n">
        <f aca="false">D95*'Itens de Contrato'!F95</f>
        <v>0</v>
      </c>
      <c r="F95" s="62" t="n">
        <f aca="false">'Medição 11'!F95-'Medição 11'!G95</f>
        <v>0</v>
      </c>
      <c r="G95" s="52"/>
      <c r="H95" s="64" t="e">
        <f aca="false">G95/D95</f>
        <v>#DIV/0!</v>
      </c>
      <c r="I95" s="63" t="n">
        <f aca="false">G95*'Itens de Contrato'!F95</f>
        <v>0</v>
      </c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</row>
    <row r="96" customFormat="false" ht="12.8" hidden="false" customHeight="false" outlineLevel="0" collapsed="false">
      <c r="A96" s="37" t="n">
        <f aca="false">'Itens de Contrato'!A96</f>
        <v>0</v>
      </c>
      <c r="B96" s="37" t="n">
        <f aca="false">'Itens de Contrato'!B96</f>
        <v>0</v>
      </c>
      <c r="C96" s="37" t="e">
        <f aca="false">VLOOKUP(B96,'Itens de Contrato'!B$5:G$151,2,0)</f>
        <v>#N/A</v>
      </c>
      <c r="D96" s="52"/>
      <c r="E96" s="63" t="n">
        <f aca="false">D96*'Itens de Contrato'!F96</f>
        <v>0</v>
      </c>
      <c r="F96" s="62" t="n">
        <f aca="false">'Medição 11'!F96-'Medição 11'!G96</f>
        <v>0</v>
      </c>
      <c r="G96" s="52"/>
      <c r="H96" s="64" t="e">
        <f aca="false">G96/D96</f>
        <v>#DIV/0!</v>
      </c>
      <c r="I96" s="63" t="n">
        <f aca="false">G96*'Itens de Contrato'!F96</f>
        <v>0</v>
      </c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</row>
    <row r="97" customFormat="false" ht="12.8" hidden="false" customHeight="false" outlineLevel="0" collapsed="false">
      <c r="A97" s="37" t="n">
        <f aca="false">'Itens de Contrato'!A97</f>
        <v>0</v>
      </c>
      <c r="B97" s="37" t="n">
        <f aca="false">'Itens de Contrato'!B97</f>
        <v>0</v>
      </c>
      <c r="C97" s="37" t="e">
        <f aca="false">VLOOKUP(B97,'Itens de Contrato'!B$5:G$151,2,0)</f>
        <v>#N/A</v>
      </c>
      <c r="D97" s="52"/>
      <c r="E97" s="63" t="n">
        <f aca="false">D97*'Itens de Contrato'!F97</f>
        <v>0</v>
      </c>
      <c r="F97" s="62" t="n">
        <f aca="false">'Medição 11'!F97-'Medição 11'!G97</f>
        <v>0</v>
      </c>
      <c r="G97" s="52"/>
      <c r="H97" s="64" t="e">
        <f aca="false">G97/D97</f>
        <v>#DIV/0!</v>
      </c>
      <c r="I97" s="63" t="n">
        <f aca="false">G97*'Itens de Contrato'!F97</f>
        <v>0</v>
      </c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</row>
    <row r="98" customFormat="false" ht="12.8" hidden="false" customHeight="false" outlineLevel="0" collapsed="false">
      <c r="A98" s="37" t="n">
        <f aca="false">'Itens de Contrato'!A98</f>
        <v>0</v>
      </c>
      <c r="B98" s="37" t="n">
        <f aca="false">'Itens de Contrato'!B98</f>
        <v>0</v>
      </c>
      <c r="C98" s="37" t="e">
        <f aca="false">VLOOKUP(B98,'Itens de Contrato'!B$5:G$151,2,0)</f>
        <v>#N/A</v>
      </c>
      <c r="D98" s="52"/>
      <c r="E98" s="63" t="n">
        <f aca="false">D98*'Itens de Contrato'!F98</f>
        <v>0</v>
      </c>
      <c r="F98" s="62" t="n">
        <f aca="false">'Medição 11'!F98-'Medição 11'!G98</f>
        <v>0</v>
      </c>
      <c r="G98" s="52"/>
      <c r="H98" s="64" t="e">
        <f aca="false">G98/D98</f>
        <v>#DIV/0!</v>
      </c>
      <c r="I98" s="63" t="n">
        <f aca="false">G98*'Itens de Contrato'!F98</f>
        <v>0</v>
      </c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</row>
    <row r="99" customFormat="false" ht="12.8" hidden="false" customHeight="false" outlineLevel="0" collapsed="false">
      <c r="A99" s="37" t="n">
        <f aca="false">'Itens de Contrato'!A99</f>
        <v>0</v>
      </c>
      <c r="B99" s="37" t="n">
        <f aca="false">'Itens de Contrato'!B99</f>
        <v>0</v>
      </c>
      <c r="C99" s="37" t="e">
        <f aca="false">VLOOKUP(B99,'Itens de Contrato'!B$5:G$151,2,0)</f>
        <v>#N/A</v>
      </c>
      <c r="D99" s="52"/>
      <c r="E99" s="63" t="n">
        <f aca="false">D99*'Itens de Contrato'!F99</f>
        <v>0</v>
      </c>
      <c r="F99" s="62" t="n">
        <f aca="false">'Medição 11'!F99-'Medição 11'!G99</f>
        <v>0</v>
      </c>
      <c r="G99" s="52"/>
      <c r="H99" s="64" t="e">
        <f aca="false">G99/D99</f>
        <v>#DIV/0!</v>
      </c>
      <c r="I99" s="63" t="n">
        <f aca="false">G99*'Itens de Contrato'!F99</f>
        <v>0</v>
      </c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</row>
    <row r="100" customFormat="false" ht="12.8" hidden="false" customHeight="false" outlineLevel="0" collapsed="false">
      <c r="A100" s="37" t="n">
        <f aca="false">'Itens de Contrato'!A100</f>
        <v>0</v>
      </c>
      <c r="B100" s="37" t="n">
        <f aca="false">'Itens de Contrato'!B100</f>
        <v>0</v>
      </c>
      <c r="C100" s="37" t="e">
        <f aca="false">VLOOKUP(B100,'Itens de Contrato'!B$5:G$151,2,0)</f>
        <v>#N/A</v>
      </c>
      <c r="D100" s="52"/>
      <c r="E100" s="63" t="n">
        <f aca="false">D100*'Itens de Contrato'!F100</f>
        <v>0</v>
      </c>
      <c r="F100" s="62" t="n">
        <f aca="false">'Medição 11'!F100-'Medição 11'!G100</f>
        <v>0</v>
      </c>
      <c r="G100" s="52"/>
      <c r="H100" s="64" t="e">
        <f aca="false">G100/D100</f>
        <v>#DIV/0!</v>
      </c>
      <c r="I100" s="63" t="n">
        <f aca="false">G100*'Itens de Contrato'!F100</f>
        <v>0</v>
      </c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customFormat="false" ht="12.8" hidden="false" customHeight="false" outlineLevel="0" collapsed="false">
      <c r="A101" s="37" t="n">
        <f aca="false">'Itens de Contrato'!A101</f>
        <v>0</v>
      </c>
      <c r="B101" s="37" t="n">
        <f aca="false">'Itens de Contrato'!B101</f>
        <v>0</v>
      </c>
      <c r="C101" s="37" t="e">
        <f aca="false">VLOOKUP(B101,'Itens de Contrato'!B$5:G$151,2,0)</f>
        <v>#N/A</v>
      </c>
      <c r="D101" s="52"/>
      <c r="E101" s="63" t="n">
        <f aca="false">D101*'Itens de Contrato'!F101</f>
        <v>0</v>
      </c>
      <c r="F101" s="62" t="n">
        <f aca="false">'Medição 11'!F101-'Medição 11'!G101</f>
        <v>0</v>
      </c>
      <c r="G101" s="52"/>
      <c r="H101" s="64" t="e">
        <f aca="false">G101/D101</f>
        <v>#DIV/0!</v>
      </c>
      <c r="I101" s="63" t="n">
        <f aca="false">G101*'Itens de Contrato'!F101</f>
        <v>0</v>
      </c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customFormat="false" ht="12.8" hidden="false" customHeight="false" outlineLevel="0" collapsed="false">
      <c r="A102" s="37" t="n">
        <f aca="false">'Itens de Contrato'!A102</f>
        <v>0</v>
      </c>
      <c r="B102" s="37" t="n">
        <f aca="false">'Itens de Contrato'!B102</f>
        <v>0</v>
      </c>
      <c r="C102" s="37" t="e">
        <f aca="false">VLOOKUP(B102,'Itens de Contrato'!B$5:G$151,2,0)</f>
        <v>#N/A</v>
      </c>
      <c r="D102" s="52"/>
      <c r="E102" s="63" t="n">
        <f aca="false">D102*'Itens de Contrato'!F102</f>
        <v>0</v>
      </c>
      <c r="F102" s="62" t="n">
        <f aca="false">'Medição 11'!F102-'Medição 11'!G102</f>
        <v>0</v>
      </c>
      <c r="G102" s="52"/>
      <c r="H102" s="64" t="e">
        <f aca="false">G102/D102</f>
        <v>#DIV/0!</v>
      </c>
      <c r="I102" s="63" t="n">
        <f aca="false">G102*'Itens de Contrato'!F102</f>
        <v>0</v>
      </c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</row>
    <row r="103" customFormat="false" ht="12.8" hidden="false" customHeight="false" outlineLevel="0" collapsed="false">
      <c r="A103" s="37" t="n">
        <f aca="false">'Itens de Contrato'!A103</f>
        <v>0</v>
      </c>
      <c r="B103" s="37" t="n">
        <f aca="false">'Itens de Contrato'!B103</f>
        <v>0</v>
      </c>
      <c r="C103" s="37" t="e">
        <f aca="false">VLOOKUP(B103,'Itens de Contrato'!B$5:G$151,2,0)</f>
        <v>#N/A</v>
      </c>
      <c r="D103" s="52"/>
      <c r="E103" s="63" t="n">
        <f aca="false">D103*'Itens de Contrato'!F103</f>
        <v>0</v>
      </c>
      <c r="F103" s="62" t="n">
        <f aca="false">'Medição 11'!F103-'Medição 11'!G103</f>
        <v>0</v>
      </c>
      <c r="G103" s="52"/>
      <c r="H103" s="64" t="e">
        <f aca="false">G103/D103</f>
        <v>#DIV/0!</v>
      </c>
      <c r="I103" s="63" t="n">
        <f aca="false">G103*'Itens de Contrato'!F103</f>
        <v>0</v>
      </c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</row>
    <row r="104" customFormat="false" ht="12.8" hidden="false" customHeight="false" outlineLevel="0" collapsed="false">
      <c r="A104" s="37" t="n">
        <f aca="false">'Itens de Contrato'!A104</f>
        <v>0</v>
      </c>
      <c r="B104" s="37" t="n">
        <f aca="false">'Itens de Contrato'!B104</f>
        <v>0</v>
      </c>
      <c r="C104" s="37" t="e">
        <f aca="false">VLOOKUP(B104,'Itens de Contrato'!B$5:G$151,2,0)</f>
        <v>#N/A</v>
      </c>
      <c r="D104" s="52"/>
      <c r="E104" s="63" t="n">
        <f aca="false">D104*'Itens de Contrato'!F104</f>
        <v>0</v>
      </c>
      <c r="F104" s="62" t="n">
        <f aca="false">'Medição 11'!F104-'Medição 11'!G104</f>
        <v>0</v>
      </c>
      <c r="G104" s="52"/>
      <c r="H104" s="64" t="e">
        <f aca="false">G104/D104</f>
        <v>#DIV/0!</v>
      </c>
      <c r="I104" s="63" t="n">
        <f aca="false">G104*'Itens de Contrato'!F104</f>
        <v>0</v>
      </c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</row>
    <row r="105" customFormat="false" ht="12.8" hidden="false" customHeight="false" outlineLevel="0" collapsed="false">
      <c r="A105" s="37" t="n">
        <f aca="false">'Itens de Contrato'!A105</f>
        <v>0</v>
      </c>
      <c r="B105" s="37" t="n">
        <f aca="false">'Itens de Contrato'!B105</f>
        <v>0</v>
      </c>
      <c r="C105" s="37" t="e">
        <f aca="false">VLOOKUP(B105,'Itens de Contrato'!B$5:G$151,2,0)</f>
        <v>#N/A</v>
      </c>
      <c r="D105" s="52"/>
      <c r="E105" s="63" t="n">
        <f aca="false">D105*'Itens de Contrato'!F105</f>
        <v>0</v>
      </c>
      <c r="F105" s="62" t="n">
        <f aca="false">'Medição 11'!F105-'Medição 11'!G105</f>
        <v>0</v>
      </c>
      <c r="G105" s="52"/>
      <c r="H105" s="64" t="e">
        <f aca="false">G105/D105</f>
        <v>#DIV/0!</v>
      </c>
      <c r="I105" s="63" t="n">
        <f aca="false">G105*'Itens de Contrato'!F105</f>
        <v>0</v>
      </c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</row>
    <row r="106" customFormat="false" ht="12.8" hidden="false" customHeight="false" outlineLevel="0" collapsed="false">
      <c r="A106" s="37" t="n">
        <f aca="false">'Itens de Contrato'!A106</f>
        <v>0</v>
      </c>
      <c r="B106" s="37" t="n">
        <f aca="false">'Itens de Contrato'!B106</f>
        <v>0</v>
      </c>
      <c r="C106" s="37" t="e">
        <f aca="false">VLOOKUP(B106,'Itens de Contrato'!B$5:G$151,2,0)</f>
        <v>#N/A</v>
      </c>
      <c r="D106" s="52"/>
      <c r="E106" s="63" t="n">
        <f aca="false">D106*'Itens de Contrato'!F106</f>
        <v>0</v>
      </c>
      <c r="F106" s="62" t="n">
        <f aca="false">'Medição 11'!F106-'Medição 11'!G106</f>
        <v>0</v>
      </c>
      <c r="G106" s="52"/>
      <c r="H106" s="64" t="e">
        <f aca="false">G106/D106</f>
        <v>#DIV/0!</v>
      </c>
      <c r="I106" s="63" t="n">
        <f aca="false">G106*'Itens de Contrato'!F106</f>
        <v>0</v>
      </c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</row>
    <row r="107" customFormat="false" ht="12.8" hidden="false" customHeight="false" outlineLevel="0" collapsed="false">
      <c r="A107" s="37" t="n">
        <f aca="false">'Itens de Contrato'!A107</f>
        <v>0</v>
      </c>
      <c r="B107" s="37" t="n">
        <f aca="false">'Itens de Contrato'!B107</f>
        <v>0</v>
      </c>
      <c r="C107" s="37" t="e">
        <f aca="false">VLOOKUP(B107,'Itens de Contrato'!B$5:G$151,2,0)</f>
        <v>#N/A</v>
      </c>
      <c r="D107" s="52"/>
      <c r="E107" s="63" t="n">
        <f aca="false">D107*'Itens de Contrato'!F107</f>
        <v>0</v>
      </c>
      <c r="F107" s="62" t="n">
        <f aca="false">'Medição 11'!F107-'Medição 11'!G107</f>
        <v>0</v>
      </c>
      <c r="G107" s="52"/>
      <c r="H107" s="64" t="e">
        <f aca="false">G107/D107</f>
        <v>#DIV/0!</v>
      </c>
      <c r="I107" s="63" t="n">
        <f aca="false">G107*'Itens de Contrato'!F107</f>
        <v>0</v>
      </c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</row>
    <row r="108" customFormat="false" ht="12.8" hidden="false" customHeight="false" outlineLevel="0" collapsed="false">
      <c r="A108" s="37" t="n">
        <f aca="false">'Itens de Contrato'!A108</f>
        <v>0</v>
      </c>
      <c r="B108" s="37" t="n">
        <f aca="false">'Itens de Contrato'!B108</f>
        <v>0</v>
      </c>
      <c r="C108" s="37" t="e">
        <f aca="false">VLOOKUP(B108,'Itens de Contrato'!B$5:G$151,2,0)</f>
        <v>#N/A</v>
      </c>
      <c r="D108" s="52"/>
      <c r="E108" s="63" t="n">
        <f aca="false">D108*'Itens de Contrato'!F108</f>
        <v>0</v>
      </c>
      <c r="F108" s="62" t="n">
        <f aca="false">'Medição 11'!F108-'Medição 11'!G108</f>
        <v>0</v>
      </c>
      <c r="G108" s="52"/>
      <c r="H108" s="64" t="e">
        <f aca="false">G108/D108</f>
        <v>#DIV/0!</v>
      </c>
      <c r="I108" s="63" t="n">
        <f aca="false">G108*'Itens de Contrato'!F108</f>
        <v>0</v>
      </c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</row>
    <row r="109" customFormat="false" ht="12.8" hidden="false" customHeight="false" outlineLevel="0" collapsed="false">
      <c r="A109" s="37" t="n">
        <f aca="false">'Itens de Contrato'!A109</f>
        <v>0</v>
      </c>
      <c r="B109" s="37" t="n">
        <f aca="false">'Itens de Contrato'!B109</f>
        <v>0</v>
      </c>
      <c r="C109" s="37" t="e">
        <f aca="false">VLOOKUP(B109,'Itens de Contrato'!B$5:G$151,2,0)</f>
        <v>#N/A</v>
      </c>
      <c r="D109" s="52"/>
      <c r="E109" s="63" t="n">
        <f aca="false">D109*'Itens de Contrato'!F109</f>
        <v>0</v>
      </c>
      <c r="F109" s="62" t="n">
        <f aca="false">'Medição 11'!F109-'Medição 11'!G109</f>
        <v>0</v>
      </c>
      <c r="G109" s="52"/>
      <c r="H109" s="64" t="e">
        <f aca="false">G109/D109</f>
        <v>#DIV/0!</v>
      </c>
      <c r="I109" s="63" t="n">
        <f aca="false">G109*'Itens de Contrato'!F109</f>
        <v>0</v>
      </c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</row>
    <row r="110" customFormat="false" ht="12.8" hidden="false" customHeight="false" outlineLevel="0" collapsed="false">
      <c r="A110" s="37" t="n">
        <f aca="false">'Itens de Contrato'!A110</f>
        <v>0</v>
      </c>
      <c r="B110" s="37" t="n">
        <f aca="false">'Itens de Contrato'!B110</f>
        <v>0</v>
      </c>
      <c r="C110" s="37" t="e">
        <f aca="false">VLOOKUP(B110,'Itens de Contrato'!B$5:G$151,2,0)</f>
        <v>#N/A</v>
      </c>
      <c r="D110" s="52"/>
      <c r="E110" s="63" t="n">
        <f aca="false">D110*'Itens de Contrato'!F110</f>
        <v>0</v>
      </c>
      <c r="F110" s="62" t="n">
        <f aca="false">'Medição 11'!F110-'Medição 11'!G110</f>
        <v>0</v>
      </c>
      <c r="G110" s="52"/>
      <c r="H110" s="64" t="e">
        <f aca="false">G110/D110</f>
        <v>#DIV/0!</v>
      </c>
      <c r="I110" s="63" t="n">
        <f aca="false">G110*'Itens de Contrato'!F110</f>
        <v>0</v>
      </c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</row>
    <row r="111" customFormat="false" ht="12.8" hidden="false" customHeight="false" outlineLevel="0" collapsed="false">
      <c r="A111" s="37" t="n">
        <f aca="false">'Itens de Contrato'!A111</f>
        <v>0</v>
      </c>
      <c r="B111" s="37" t="n">
        <f aca="false">'Itens de Contrato'!B111</f>
        <v>0</v>
      </c>
      <c r="C111" s="37" t="e">
        <f aca="false">VLOOKUP(B111,'Itens de Contrato'!B$5:G$151,2,0)</f>
        <v>#N/A</v>
      </c>
      <c r="D111" s="52"/>
      <c r="E111" s="63" t="n">
        <f aca="false">D111*'Itens de Contrato'!F111</f>
        <v>0</v>
      </c>
      <c r="F111" s="62" t="n">
        <f aca="false">'Medição 11'!F111-'Medição 11'!G111</f>
        <v>0</v>
      </c>
      <c r="G111" s="52"/>
      <c r="H111" s="64" t="e">
        <f aca="false">G111/D111</f>
        <v>#DIV/0!</v>
      </c>
      <c r="I111" s="63" t="n">
        <f aca="false">G111*'Itens de Contrato'!F111</f>
        <v>0</v>
      </c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</row>
    <row r="112" customFormat="false" ht="12.8" hidden="false" customHeight="false" outlineLevel="0" collapsed="false">
      <c r="A112" s="37" t="n">
        <f aca="false">'Itens de Contrato'!A112</f>
        <v>0</v>
      </c>
      <c r="B112" s="37" t="n">
        <f aca="false">'Itens de Contrato'!B112</f>
        <v>0</v>
      </c>
      <c r="C112" s="37" t="e">
        <f aca="false">VLOOKUP(B112,'Itens de Contrato'!B$5:G$151,2,0)</f>
        <v>#N/A</v>
      </c>
      <c r="D112" s="52"/>
      <c r="E112" s="63" t="n">
        <f aca="false">D112*'Itens de Contrato'!F112</f>
        <v>0</v>
      </c>
      <c r="F112" s="62" t="n">
        <f aca="false">'Medição 11'!F112-'Medição 11'!G112</f>
        <v>0</v>
      </c>
      <c r="G112" s="52"/>
      <c r="H112" s="64" t="e">
        <f aca="false">G112/D112</f>
        <v>#DIV/0!</v>
      </c>
      <c r="I112" s="63" t="n">
        <f aca="false">G112*'Itens de Contrato'!F112</f>
        <v>0</v>
      </c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</row>
    <row r="113" customFormat="false" ht="12.8" hidden="false" customHeight="false" outlineLevel="0" collapsed="false">
      <c r="A113" s="37" t="n">
        <f aca="false">'Itens de Contrato'!A113</f>
        <v>0</v>
      </c>
      <c r="B113" s="37" t="n">
        <f aca="false">'Itens de Contrato'!B113</f>
        <v>0</v>
      </c>
      <c r="C113" s="37" t="e">
        <f aca="false">VLOOKUP(B113,'Itens de Contrato'!B$5:G$151,2,0)</f>
        <v>#N/A</v>
      </c>
      <c r="D113" s="52"/>
      <c r="E113" s="63" t="n">
        <f aca="false">D113*'Itens de Contrato'!F113</f>
        <v>0</v>
      </c>
      <c r="F113" s="62" t="n">
        <f aca="false">'Medição 11'!F113-'Medição 11'!G113</f>
        <v>0</v>
      </c>
      <c r="G113" s="52"/>
      <c r="H113" s="64" t="e">
        <f aca="false">G113/D113</f>
        <v>#DIV/0!</v>
      </c>
      <c r="I113" s="63" t="n">
        <f aca="false">G113*'Itens de Contrato'!F113</f>
        <v>0</v>
      </c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</row>
    <row r="114" customFormat="false" ht="12.8" hidden="false" customHeight="false" outlineLevel="0" collapsed="false">
      <c r="A114" s="37" t="n">
        <f aca="false">'Itens de Contrato'!A114</f>
        <v>0</v>
      </c>
      <c r="B114" s="37" t="n">
        <f aca="false">'Itens de Contrato'!B114</f>
        <v>0</v>
      </c>
      <c r="C114" s="37" t="e">
        <f aca="false">VLOOKUP(B114,'Itens de Contrato'!B$5:G$151,2,0)</f>
        <v>#N/A</v>
      </c>
      <c r="D114" s="52"/>
      <c r="E114" s="63" t="n">
        <f aca="false">D114*'Itens de Contrato'!F114</f>
        <v>0</v>
      </c>
      <c r="F114" s="62" t="n">
        <f aca="false">'Medição 11'!F114-'Medição 11'!G114</f>
        <v>0</v>
      </c>
      <c r="G114" s="52"/>
      <c r="H114" s="64" t="e">
        <f aca="false">G114/D114</f>
        <v>#DIV/0!</v>
      </c>
      <c r="I114" s="63" t="n">
        <f aca="false">G114*'Itens de Contrato'!F114</f>
        <v>0</v>
      </c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</row>
    <row r="115" customFormat="false" ht="12.8" hidden="false" customHeight="false" outlineLevel="0" collapsed="false">
      <c r="A115" s="37" t="n">
        <f aca="false">'Itens de Contrato'!A115</f>
        <v>0</v>
      </c>
      <c r="B115" s="37" t="n">
        <f aca="false">'Itens de Contrato'!B115</f>
        <v>0</v>
      </c>
      <c r="C115" s="37" t="e">
        <f aca="false">VLOOKUP(B115,'Itens de Contrato'!B$5:G$151,2,0)</f>
        <v>#N/A</v>
      </c>
      <c r="D115" s="52"/>
      <c r="E115" s="63" t="n">
        <f aca="false">D115*'Itens de Contrato'!F115</f>
        <v>0</v>
      </c>
      <c r="F115" s="62" t="n">
        <f aca="false">'Medição 11'!F115-'Medição 11'!G115</f>
        <v>0</v>
      </c>
      <c r="G115" s="52"/>
      <c r="H115" s="64" t="e">
        <f aca="false">G115/D115</f>
        <v>#DIV/0!</v>
      </c>
      <c r="I115" s="63" t="n">
        <f aca="false">G115*'Itens de Contrato'!F115</f>
        <v>0</v>
      </c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</row>
    <row r="116" customFormat="false" ht="12.8" hidden="false" customHeight="false" outlineLevel="0" collapsed="false">
      <c r="A116" s="37" t="n">
        <f aca="false">'Itens de Contrato'!A116</f>
        <v>0</v>
      </c>
      <c r="B116" s="37" t="n">
        <f aca="false">'Itens de Contrato'!B116</f>
        <v>0</v>
      </c>
      <c r="C116" s="37" t="e">
        <f aca="false">VLOOKUP(B116,'Itens de Contrato'!B$5:G$151,2,0)</f>
        <v>#N/A</v>
      </c>
      <c r="D116" s="52"/>
      <c r="E116" s="63" t="n">
        <f aca="false">D116*'Itens de Contrato'!F116</f>
        <v>0</v>
      </c>
      <c r="F116" s="62" t="n">
        <f aca="false">'Medição 11'!F116-'Medição 11'!G116</f>
        <v>0</v>
      </c>
      <c r="G116" s="52"/>
      <c r="H116" s="64" t="e">
        <f aca="false">G116/D116</f>
        <v>#DIV/0!</v>
      </c>
      <c r="I116" s="63" t="n">
        <f aca="false">G116*'Itens de Contrato'!F116</f>
        <v>0</v>
      </c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</row>
    <row r="117" customFormat="false" ht="12.8" hidden="false" customHeight="false" outlineLevel="0" collapsed="false">
      <c r="A117" s="37" t="n">
        <f aca="false">'Itens de Contrato'!A117</f>
        <v>0</v>
      </c>
      <c r="B117" s="37" t="n">
        <f aca="false">'Itens de Contrato'!B117</f>
        <v>0</v>
      </c>
      <c r="C117" s="37" t="e">
        <f aca="false">VLOOKUP(B117,'Itens de Contrato'!B$5:G$151,2,0)</f>
        <v>#N/A</v>
      </c>
      <c r="D117" s="52"/>
      <c r="E117" s="63" t="n">
        <f aca="false">D117*'Itens de Contrato'!F117</f>
        <v>0</v>
      </c>
      <c r="F117" s="62" t="n">
        <f aca="false">'Medição 11'!F117-'Medição 11'!G117</f>
        <v>0</v>
      </c>
      <c r="G117" s="52"/>
      <c r="H117" s="64" t="e">
        <f aca="false">G117/D117</f>
        <v>#DIV/0!</v>
      </c>
      <c r="I117" s="63" t="n">
        <f aca="false">G117*'Itens de Contrato'!F117</f>
        <v>0</v>
      </c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</row>
    <row r="118" customFormat="false" ht="12.8" hidden="false" customHeight="false" outlineLevel="0" collapsed="false">
      <c r="A118" s="37" t="n">
        <f aca="false">'Itens de Contrato'!A118</f>
        <v>0</v>
      </c>
      <c r="B118" s="37" t="n">
        <f aca="false">'Itens de Contrato'!B118</f>
        <v>0</v>
      </c>
      <c r="C118" s="37" t="e">
        <f aca="false">VLOOKUP(B118,'Itens de Contrato'!B$5:G$151,2,0)</f>
        <v>#N/A</v>
      </c>
      <c r="D118" s="52"/>
      <c r="E118" s="63" t="n">
        <f aca="false">D118*'Itens de Contrato'!F118</f>
        <v>0</v>
      </c>
      <c r="F118" s="62" t="n">
        <f aca="false">'Medição 11'!F118-'Medição 11'!G118</f>
        <v>0</v>
      </c>
      <c r="G118" s="52"/>
      <c r="H118" s="64" t="e">
        <f aca="false">G118/D118</f>
        <v>#DIV/0!</v>
      </c>
      <c r="I118" s="63" t="n">
        <f aca="false">G118*'Itens de Contrato'!F118</f>
        <v>0</v>
      </c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</row>
    <row r="119" customFormat="false" ht="12.8" hidden="false" customHeight="false" outlineLevel="0" collapsed="false">
      <c r="A119" s="37" t="n">
        <f aca="false">'Itens de Contrato'!A119</f>
        <v>0</v>
      </c>
      <c r="B119" s="37" t="n">
        <f aca="false">'Itens de Contrato'!B119</f>
        <v>0</v>
      </c>
      <c r="C119" s="37" t="e">
        <f aca="false">VLOOKUP(B119,'Itens de Contrato'!B$5:G$151,2,0)</f>
        <v>#N/A</v>
      </c>
      <c r="D119" s="52"/>
      <c r="E119" s="63" t="n">
        <f aca="false">D119*'Itens de Contrato'!F119</f>
        <v>0</v>
      </c>
      <c r="F119" s="62" t="n">
        <f aca="false">'Medição 11'!F119-'Medição 11'!G119</f>
        <v>0</v>
      </c>
      <c r="G119" s="52"/>
      <c r="H119" s="64" t="e">
        <f aca="false">G119/D119</f>
        <v>#DIV/0!</v>
      </c>
      <c r="I119" s="63" t="n">
        <f aca="false">G119*'Itens de Contrato'!F119</f>
        <v>0</v>
      </c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</row>
    <row r="120" customFormat="false" ht="12.8" hidden="false" customHeight="false" outlineLevel="0" collapsed="false">
      <c r="A120" s="37" t="n">
        <f aca="false">'Itens de Contrato'!A120</f>
        <v>0</v>
      </c>
      <c r="B120" s="37" t="n">
        <f aca="false">'Itens de Contrato'!B120</f>
        <v>0</v>
      </c>
      <c r="C120" s="37" t="e">
        <f aca="false">VLOOKUP(B120,'Itens de Contrato'!B$5:G$151,2,0)</f>
        <v>#N/A</v>
      </c>
      <c r="D120" s="52"/>
      <c r="E120" s="63" t="n">
        <f aca="false">D120*'Itens de Contrato'!F120</f>
        <v>0</v>
      </c>
      <c r="F120" s="62" t="n">
        <f aca="false">'Medição 11'!F120-'Medição 11'!G120</f>
        <v>0</v>
      </c>
      <c r="G120" s="52"/>
      <c r="H120" s="64" t="e">
        <f aca="false">G120/D120</f>
        <v>#DIV/0!</v>
      </c>
      <c r="I120" s="63" t="n">
        <f aca="false">G120*'Itens de Contrato'!F120</f>
        <v>0</v>
      </c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</row>
    <row r="121" customFormat="false" ht="12.8" hidden="false" customHeight="false" outlineLevel="0" collapsed="false">
      <c r="A121" s="37" t="n">
        <f aca="false">'Itens de Contrato'!A121</f>
        <v>0</v>
      </c>
      <c r="B121" s="37" t="n">
        <f aca="false">'Itens de Contrato'!B121</f>
        <v>0</v>
      </c>
      <c r="C121" s="37" t="e">
        <f aca="false">VLOOKUP(B121,'Itens de Contrato'!B$5:G$151,2,0)</f>
        <v>#N/A</v>
      </c>
      <c r="D121" s="52"/>
      <c r="E121" s="63" t="n">
        <f aca="false">D121*'Itens de Contrato'!F121</f>
        <v>0</v>
      </c>
      <c r="F121" s="62" t="n">
        <f aca="false">'Medição 11'!F121-'Medição 11'!G121</f>
        <v>0</v>
      </c>
      <c r="G121" s="52"/>
      <c r="H121" s="64" t="e">
        <f aca="false">G121/D121</f>
        <v>#DIV/0!</v>
      </c>
      <c r="I121" s="63" t="n">
        <f aca="false">G121*'Itens de Contrato'!F121</f>
        <v>0</v>
      </c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</row>
    <row r="122" customFormat="false" ht="12.8" hidden="false" customHeight="false" outlineLevel="0" collapsed="false">
      <c r="A122" s="37" t="n">
        <f aca="false">'Itens de Contrato'!A122</f>
        <v>0</v>
      </c>
      <c r="B122" s="37" t="n">
        <f aca="false">'Itens de Contrato'!B122</f>
        <v>0</v>
      </c>
      <c r="C122" s="37" t="e">
        <f aca="false">VLOOKUP(B122,'Itens de Contrato'!B$5:G$151,2,0)</f>
        <v>#N/A</v>
      </c>
      <c r="D122" s="52"/>
      <c r="E122" s="63" t="n">
        <f aca="false">D122*'Itens de Contrato'!F122</f>
        <v>0</v>
      </c>
      <c r="F122" s="62" t="n">
        <f aca="false">'Medição 11'!F122-'Medição 11'!G122</f>
        <v>0</v>
      </c>
      <c r="G122" s="52"/>
      <c r="H122" s="64" t="e">
        <f aca="false">G122/D122</f>
        <v>#DIV/0!</v>
      </c>
      <c r="I122" s="63" t="n">
        <f aca="false">G122*'Itens de Contrato'!F122</f>
        <v>0</v>
      </c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</row>
    <row r="123" customFormat="false" ht="12.8" hidden="false" customHeight="false" outlineLevel="0" collapsed="false">
      <c r="A123" s="37" t="n">
        <f aca="false">'Itens de Contrato'!A123</f>
        <v>0</v>
      </c>
      <c r="B123" s="37" t="n">
        <f aca="false">'Itens de Contrato'!B123</f>
        <v>0</v>
      </c>
      <c r="C123" s="37" t="e">
        <f aca="false">VLOOKUP(B123,'Itens de Contrato'!B$5:G$151,2,0)</f>
        <v>#N/A</v>
      </c>
      <c r="D123" s="52"/>
      <c r="E123" s="63" t="n">
        <f aca="false">D123*'Itens de Contrato'!F123</f>
        <v>0</v>
      </c>
      <c r="F123" s="62" t="n">
        <f aca="false">'Medição 11'!F123-'Medição 11'!G123</f>
        <v>0</v>
      </c>
      <c r="G123" s="52"/>
      <c r="H123" s="64" t="e">
        <f aca="false">G123/D123</f>
        <v>#DIV/0!</v>
      </c>
      <c r="I123" s="63" t="n">
        <f aca="false">G123*'Itens de Contrato'!F123</f>
        <v>0</v>
      </c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</row>
    <row r="124" customFormat="false" ht="12.8" hidden="false" customHeight="false" outlineLevel="0" collapsed="false">
      <c r="A124" s="37" t="n">
        <f aca="false">'Itens de Contrato'!A124</f>
        <v>0</v>
      </c>
      <c r="B124" s="37" t="n">
        <f aca="false">'Itens de Contrato'!B124</f>
        <v>0</v>
      </c>
      <c r="C124" s="37" t="e">
        <f aca="false">VLOOKUP(B124,'Itens de Contrato'!B$5:G$151,2,0)</f>
        <v>#N/A</v>
      </c>
      <c r="D124" s="52"/>
      <c r="E124" s="63" t="n">
        <f aca="false">D124*'Itens de Contrato'!F124</f>
        <v>0</v>
      </c>
      <c r="F124" s="62" t="n">
        <f aca="false">'Medição 11'!F124-'Medição 11'!G124</f>
        <v>0</v>
      </c>
      <c r="G124" s="52"/>
      <c r="H124" s="64" t="e">
        <f aca="false">G124/D124</f>
        <v>#DIV/0!</v>
      </c>
      <c r="I124" s="63" t="n">
        <f aca="false">G124*'Itens de Contrato'!F124</f>
        <v>0</v>
      </c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</row>
    <row r="125" customFormat="false" ht="12.8" hidden="false" customHeight="false" outlineLevel="0" collapsed="false">
      <c r="A125" s="37" t="n">
        <f aca="false">'Itens de Contrato'!A125</f>
        <v>0</v>
      </c>
      <c r="B125" s="37" t="n">
        <f aca="false">'Itens de Contrato'!B125</f>
        <v>0</v>
      </c>
      <c r="C125" s="37" t="e">
        <f aca="false">VLOOKUP(B125,'Itens de Contrato'!B$5:G$151,2,0)</f>
        <v>#N/A</v>
      </c>
      <c r="D125" s="52"/>
      <c r="E125" s="63" t="n">
        <f aca="false">D125*'Itens de Contrato'!F125</f>
        <v>0</v>
      </c>
      <c r="F125" s="62" t="n">
        <f aca="false">'Medição 11'!F125-'Medição 11'!G125</f>
        <v>0</v>
      </c>
      <c r="G125" s="52"/>
      <c r="H125" s="64" t="e">
        <f aca="false">G125/D125</f>
        <v>#DIV/0!</v>
      </c>
      <c r="I125" s="63" t="n">
        <f aca="false">G125*'Itens de Contrato'!F125</f>
        <v>0</v>
      </c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</row>
    <row r="126" customFormat="false" ht="12.8" hidden="false" customHeight="false" outlineLevel="0" collapsed="false">
      <c r="A126" s="37" t="n">
        <f aca="false">'Itens de Contrato'!A126</f>
        <v>0</v>
      </c>
      <c r="B126" s="37" t="n">
        <f aca="false">'Itens de Contrato'!B126</f>
        <v>0</v>
      </c>
      <c r="C126" s="37" t="e">
        <f aca="false">VLOOKUP(B126,'Itens de Contrato'!B$5:G$151,2,0)</f>
        <v>#N/A</v>
      </c>
      <c r="D126" s="52"/>
      <c r="E126" s="63" t="n">
        <f aca="false">D126*'Itens de Contrato'!F126</f>
        <v>0</v>
      </c>
      <c r="F126" s="62" t="n">
        <f aca="false">'Medição 11'!F126-'Medição 11'!G126</f>
        <v>0</v>
      </c>
      <c r="G126" s="52"/>
      <c r="H126" s="64" t="e">
        <f aca="false">G126/D126</f>
        <v>#DIV/0!</v>
      </c>
      <c r="I126" s="63" t="n">
        <f aca="false">G126*'Itens de Contrato'!F126</f>
        <v>0</v>
      </c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</row>
    <row r="127" customFormat="false" ht="12.8" hidden="false" customHeight="false" outlineLevel="0" collapsed="false">
      <c r="A127" s="37" t="n">
        <f aca="false">'Itens de Contrato'!A127</f>
        <v>0</v>
      </c>
      <c r="B127" s="37" t="n">
        <f aca="false">'Itens de Contrato'!B127</f>
        <v>0</v>
      </c>
      <c r="C127" s="37" t="e">
        <f aca="false">VLOOKUP(B127,'Itens de Contrato'!B$5:G$151,2,0)</f>
        <v>#N/A</v>
      </c>
      <c r="D127" s="52"/>
      <c r="E127" s="63" t="n">
        <f aca="false">D127*'Itens de Contrato'!F127</f>
        <v>0</v>
      </c>
      <c r="F127" s="62" t="n">
        <f aca="false">'Medição 11'!F127-'Medição 11'!G127</f>
        <v>0</v>
      </c>
      <c r="G127" s="52"/>
      <c r="H127" s="64" t="e">
        <f aca="false">G127/D127</f>
        <v>#DIV/0!</v>
      </c>
      <c r="I127" s="63" t="n">
        <f aca="false">G127*'Itens de Contrato'!F127</f>
        <v>0</v>
      </c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</row>
    <row r="128" customFormat="false" ht="12.8" hidden="false" customHeight="false" outlineLevel="0" collapsed="false">
      <c r="A128" s="37" t="n">
        <f aca="false">'Itens de Contrato'!A128</f>
        <v>0</v>
      </c>
      <c r="B128" s="37" t="n">
        <f aca="false">'Itens de Contrato'!B128</f>
        <v>0</v>
      </c>
      <c r="C128" s="37" t="e">
        <f aca="false">VLOOKUP(B128,'Itens de Contrato'!B$5:G$151,2,0)</f>
        <v>#N/A</v>
      </c>
      <c r="D128" s="52"/>
      <c r="E128" s="63" t="n">
        <f aca="false">D128*'Itens de Contrato'!F128</f>
        <v>0</v>
      </c>
      <c r="F128" s="62" t="n">
        <f aca="false">'Medição 11'!F128-'Medição 11'!G128</f>
        <v>0</v>
      </c>
      <c r="G128" s="52"/>
      <c r="H128" s="64" t="e">
        <f aca="false">G128/D128</f>
        <v>#DIV/0!</v>
      </c>
      <c r="I128" s="63" t="n">
        <f aca="false">G128*'Itens de Contrato'!F128</f>
        <v>0</v>
      </c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</row>
    <row r="129" customFormat="false" ht="12.8" hidden="false" customHeight="false" outlineLevel="0" collapsed="false">
      <c r="A129" s="37" t="n">
        <f aca="false">'Itens de Contrato'!A129</f>
        <v>0</v>
      </c>
      <c r="B129" s="37" t="n">
        <f aca="false">'Itens de Contrato'!B129</f>
        <v>0</v>
      </c>
      <c r="C129" s="37" t="e">
        <f aca="false">VLOOKUP(B129,'Itens de Contrato'!B$5:G$151,2,0)</f>
        <v>#N/A</v>
      </c>
      <c r="D129" s="52"/>
      <c r="E129" s="63" t="n">
        <f aca="false">D129*'Itens de Contrato'!F129</f>
        <v>0</v>
      </c>
      <c r="F129" s="62" t="n">
        <f aca="false">'Medição 11'!F129-'Medição 11'!G129</f>
        <v>0</v>
      </c>
      <c r="G129" s="52"/>
      <c r="H129" s="64" t="e">
        <f aca="false">G129/D129</f>
        <v>#DIV/0!</v>
      </c>
      <c r="I129" s="63" t="n">
        <f aca="false">G129*'Itens de Contrato'!F129</f>
        <v>0</v>
      </c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</row>
    <row r="130" customFormat="false" ht="12.8" hidden="false" customHeight="false" outlineLevel="0" collapsed="false">
      <c r="A130" s="37" t="n">
        <f aca="false">'Itens de Contrato'!A130</f>
        <v>0</v>
      </c>
      <c r="B130" s="37" t="n">
        <f aca="false">'Itens de Contrato'!B130</f>
        <v>0</v>
      </c>
      <c r="C130" s="37" t="e">
        <f aca="false">VLOOKUP(B130,'Itens de Contrato'!B$5:G$151,2,0)</f>
        <v>#N/A</v>
      </c>
      <c r="D130" s="52"/>
      <c r="E130" s="63" t="n">
        <f aca="false">D130*'Itens de Contrato'!F130</f>
        <v>0</v>
      </c>
      <c r="F130" s="62" t="n">
        <f aca="false">'Medição 11'!F130-'Medição 11'!G130</f>
        <v>0</v>
      </c>
      <c r="G130" s="52"/>
      <c r="H130" s="64" t="e">
        <f aca="false">G130/D130</f>
        <v>#DIV/0!</v>
      </c>
      <c r="I130" s="63" t="n">
        <f aca="false">G130*'Itens de Contrato'!F130</f>
        <v>0</v>
      </c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</row>
    <row r="131" customFormat="false" ht="12.8" hidden="false" customHeight="false" outlineLevel="0" collapsed="false">
      <c r="A131" s="37" t="n">
        <f aca="false">'Itens de Contrato'!A131</f>
        <v>0</v>
      </c>
      <c r="B131" s="37" t="n">
        <f aca="false">'Itens de Contrato'!B131</f>
        <v>0</v>
      </c>
      <c r="C131" s="37" t="e">
        <f aca="false">VLOOKUP(B131,'Itens de Contrato'!B$5:G$151,2,0)</f>
        <v>#N/A</v>
      </c>
      <c r="D131" s="52"/>
      <c r="E131" s="63" t="n">
        <f aca="false">D131*'Itens de Contrato'!F131</f>
        <v>0</v>
      </c>
      <c r="F131" s="62" t="n">
        <f aca="false">'Medição 11'!F131-'Medição 11'!G131</f>
        <v>0</v>
      </c>
      <c r="G131" s="52"/>
      <c r="H131" s="64" t="e">
        <f aca="false">G131/D131</f>
        <v>#DIV/0!</v>
      </c>
      <c r="I131" s="63" t="n">
        <f aca="false">G131*'Itens de Contrato'!F131</f>
        <v>0</v>
      </c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</row>
    <row r="132" customFormat="false" ht="12.8" hidden="false" customHeight="false" outlineLevel="0" collapsed="false">
      <c r="A132" s="37" t="n">
        <f aca="false">'Itens de Contrato'!A132</f>
        <v>0</v>
      </c>
      <c r="B132" s="37" t="n">
        <f aca="false">'Itens de Contrato'!B132</f>
        <v>0</v>
      </c>
      <c r="C132" s="37" t="e">
        <f aca="false">VLOOKUP(B132,'Itens de Contrato'!B$5:G$151,2,0)</f>
        <v>#N/A</v>
      </c>
      <c r="D132" s="52"/>
      <c r="E132" s="63" t="n">
        <f aca="false">D132*'Itens de Contrato'!F132</f>
        <v>0</v>
      </c>
      <c r="F132" s="62" t="n">
        <f aca="false">'Medição 11'!F132-'Medição 11'!G132</f>
        <v>0</v>
      </c>
      <c r="G132" s="52"/>
      <c r="H132" s="64" t="e">
        <f aca="false">G132/D132</f>
        <v>#DIV/0!</v>
      </c>
      <c r="I132" s="63" t="n">
        <f aca="false">G132*'Itens de Contrato'!F132</f>
        <v>0</v>
      </c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</row>
    <row r="133" customFormat="false" ht="12.8" hidden="false" customHeight="false" outlineLevel="0" collapsed="false">
      <c r="A133" s="37" t="n">
        <f aca="false">'Itens de Contrato'!A133</f>
        <v>0</v>
      </c>
      <c r="B133" s="37" t="n">
        <f aca="false">'Itens de Contrato'!B133</f>
        <v>0</v>
      </c>
      <c r="C133" s="37" t="e">
        <f aca="false">VLOOKUP(B133,'Itens de Contrato'!B$5:G$151,2,0)</f>
        <v>#N/A</v>
      </c>
      <c r="D133" s="52"/>
      <c r="E133" s="63" t="n">
        <f aca="false">D133*'Itens de Contrato'!F133</f>
        <v>0</v>
      </c>
      <c r="F133" s="62" t="n">
        <f aca="false">'Medição 11'!F133-'Medição 11'!G133</f>
        <v>0</v>
      </c>
      <c r="G133" s="52"/>
      <c r="H133" s="64" t="e">
        <f aca="false">G133/D133</f>
        <v>#DIV/0!</v>
      </c>
      <c r="I133" s="63" t="n">
        <f aca="false">G133*'Itens de Contrato'!F133</f>
        <v>0</v>
      </c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</row>
    <row r="134" customFormat="false" ht="12.8" hidden="false" customHeight="false" outlineLevel="0" collapsed="false">
      <c r="A134" s="37" t="n">
        <f aca="false">'Itens de Contrato'!A134</f>
        <v>0</v>
      </c>
      <c r="B134" s="37" t="n">
        <f aca="false">'Itens de Contrato'!B134</f>
        <v>0</v>
      </c>
      <c r="C134" s="37" t="e">
        <f aca="false">VLOOKUP(B134,'Itens de Contrato'!B$5:G$151,2,0)</f>
        <v>#N/A</v>
      </c>
      <c r="D134" s="52"/>
      <c r="E134" s="63" t="n">
        <f aca="false">D134*'Itens de Contrato'!F134</f>
        <v>0</v>
      </c>
      <c r="F134" s="62" t="n">
        <f aca="false">'Medição 11'!F134-'Medição 11'!G134</f>
        <v>0</v>
      </c>
      <c r="G134" s="52"/>
      <c r="H134" s="64" t="e">
        <f aca="false">G134/D134</f>
        <v>#DIV/0!</v>
      </c>
      <c r="I134" s="63" t="n">
        <f aca="false">G134*'Itens de Contrato'!F134</f>
        <v>0</v>
      </c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</row>
    <row r="135" customFormat="false" ht="12.8" hidden="false" customHeight="false" outlineLevel="0" collapsed="false">
      <c r="A135" s="37" t="n">
        <f aca="false">'Itens de Contrato'!A135</f>
        <v>0</v>
      </c>
      <c r="B135" s="37" t="n">
        <f aca="false">'Itens de Contrato'!B135</f>
        <v>0</v>
      </c>
      <c r="C135" s="37" t="e">
        <f aca="false">VLOOKUP(B135,'Itens de Contrato'!B$5:G$151,2,0)</f>
        <v>#N/A</v>
      </c>
      <c r="D135" s="52"/>
      <c r="E135" s="63" t="n">
        <f aca="false">D135*'Itens de Contrato'!F135</f>
        <v>0</v>
      </c>
      <c r="F135" s="62" t="n">
        <f aca="false">'Medição 11'!F135-'Medição 11'!G135</f>
        <v>0</v>
      </c>
      <c r="G135" s="52"/>
      <c r="H135" s="64" t="e">
        <f aca="false">G135/D135</f>
        <v>#DIV/0!</v>
      </c>
      <c r="I135" s="63" t="n">
        <f aca="false">G135*'Itens de Contrato'!F135</f>
        <v>0</v>
      </c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</row>
    <row r="136" customFormat="false" ht="12.8" hidden="false" customHeight="false" outlineLevel="0" collapsed="false">
      <c r="A136" s="37" t="n">
        <f aca="false">'Itens de Contrato'!A136</f>
        <v>0</v>
      </c>
      <c r="B136" s="37" t="n">
        <f aca="false">'Itens de Contrato'!B136</f>
        <v>0</v>
      </c>
      <c r="C136" s="37" t="e">
        <f aca="false">VLOOKUP(B136,'Itens de Contrato'!B$5:G$151,2,0)</f>
        <v>#N/A</v>
      </c>
      <c r="D136" s="52"/>
      <c r="E136" s="63" t="n">
        <f aca="false">D136*'Itens de Contrato'!F136</f>
        <v>0</v>
      </c>
      <c r="F136" s="62" t="n">
        <f aca="false">'Medição 11'!F136-'Medição 11'!G136</f>
        <v>0</v>
      </c>
      <c r="G136" s="52"/>
      <c r="H136" s="64" t="e">
        <f aca="false">G136/D136</f>
        <v>#DIV/0!</v>
      </c>
      <c r="I136" s="63" t="n">
        <f aca="false">G136*'Itens de Contrato'!F136</f>
        <v>0</v>
      </c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</row>
    <row r="137" customFormat="false" ht="12.8" hidden="false" customHeight="false" outlineLevel="0" collapsed="false">
      <c r="A137" s="37" t="n">
        <f aca="false">'Itens de Contrato'!A137</f>
        <v>0</v>
      </c>
      <c r="B137" s="37" t="n">
        <f aca="false">'Itens de Contrato'!B137</f>
        <v>0</v>
      </c>
      <c r="C137" s="37" t="e">
        <f aca="false">VLOOKUP(B137,'Itens de Contrato'!B$5:G$151,2,0)</f>
        <v>#N/A</v>
      </c>
      <c r="D137" s="52"/>
      <c r="E137" s="63" t="n">
        <f aca="false">D137*'Itens de Contrato'!F137</f>
        <v>0</v>
      </c>
      <c r="F137" s="62" t="n">
        <f aca="false">'Medição 11'!F137-'Medição 11'!G137</f>
        <v>0</v>
      </c>
      <c r="G137" s="52"/>
      <c r="H137" s="64" t="e">
        <f aca="false">G137/D137</f>
        <v>#DIV/0!</v>
      </c>
      <c r="I137" s="63" t="n">
        <f aca="false">G137*'Itens de Contrato'!F137</f>
        <v>0</v>
      </c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</row>
    <row r="138" customFormat="false" ht="12.8" hidden="false" customHeight="false" outlineLevel="0" collapsed="false">
      <c r="A138" s="37" t="n">
        <f aca="false">'Itens de Contrato'!A138</f>
        <v>0</v>
      </c>
      <c r="B138" s="37" t="n">
        <f aca="false">'Itens de Contrato'!B138</f>
        <v>0</v>
      </c>
      <c r="C138" s="37" t="e">
        <f aca="false">VLOOKUP(B138,'Itens de Contrato'!B$5:G$151,2,0)</f>
        <v>#N/A</v>
      </c>
      <c r="D138" s="52"/>
      <c r="E138" s="63" t="n">
        <f aca="false">D138*'Itens de Contrato'!F138</f>
        <v>0</v>
      </c>
      <c r="F138" s="62" t="n">
        <f aca="false">'Medição 11'!F138-'Medição 11'!G138</f>
        <v>0</v>
      </c>
      <c r="G138" s="52"/>
      <c r="H138" s="64" t="e">
        <f aca="false">G138/D138</f>
        <v>#DIV/0!</v>
      </c>
      <c r="I138" s="63" t="n">
        <f aca="false">G138*'Itens de Contrato'!F138</f>
        <v>0</v>
      </c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</row>
    <row r="139" customFormat="false" ht="12.8" hidden="false" customHeight="false" outlineLevel="0" collapsed="false">
      <c r="A139" s="37" t="n">
        <f aca="false">'Itens de Contrato'!A139</f>
        <v>0</v>
      </c>
      <c r="B139" s="37" t="n">
        <f aca="false">'Itens de Contrato'!B139</f>
        <v>0</v>
      </c>
      <c r="C139" s="37" t="e">
        <f aca="false">VLOOKUP(B139,'Itens de Contrato'!B$5:G$151,2,0)</f>
        <v>#N/A</v>
      </c>
      <c r="D139" s="52"/>
      <c r="E139" s="63" t="n">
        <f aca="false">D139*'Itens de Contrato'!F139</f>
        <v>0</v>
      </c>
      <c r="F139" s="62" t="n">
        <f aca="false">'Medição 11'!F139-'Medição 11'!G139</f>
        <v>0</v>
      </c>
      <c r="G139" s="52"/>
      <c r="H139" s="64" t="e">
        <f aca="false">G139/D139</f>
        <v>#DIV/0!</v>
      </c>
      <c r="I139" s="63" t="n">
        <f aca="false">G139*'Itens de Contrato'!F139</f>
        <v>0</v>
      </c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</row>
    <row r="140" customFormat="false" ht="12.8" hidden="false" customHeight="false" outlineLevel="0" collapsed="false">
      <c r="A140" s="37" t="n">
        <f aca="false">'Itens de Contrato'!A140</f>
        <v>0</v>
      </c>
      <c r="B140" s="37" t="n">
        <f aca="false">'Itens de Contrato'!B140</f>
        <v>0</v>
      </c>
      <c r="C140" s="37" t="e">
        <f aca="false">VLOOKUP(B140,'Itens de Contrato'!B$5:G$151,2,0)</f>
        <v>#N/A</v>
      </c>
      <c r="D140" s="52"/>
      <c r="E140" s="63" t="n">
        <f aca="false">D140*'Itens de Contrato'!F140</f>
        <v>0</v>
      </c>
      <c r="F140" s="62" t="n">
        <f aca="false">'Medição 11'!F140-'Medição 11'!G140</f>
        <v>0</v>
      </c>
      <c r="G140" s="52"/>
      <c r="H140" s="64" t="e">
        <f aca="false">G140/D140</f>
        <v>#DIV/0!</v>
      </c>
      <c r="I140" s="63" t="n">
        <f aca="false">G140*'Itens de Contrato'!F140</f>
        <v>0</v>
      </c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</row>
    <row r="141" customFormat="false" ht="12.8" hidden="false" customHeight="false" outlineLevel="0" collapsed="false">
      <c r="A141" s="37" t="n">
        <f aca="false">'Itens de Contrato'!A141</f>
        <v>0</v>
      </c>
      <c r="B141" s="37" t="n">
        <f aca="false">'Itens de Contrato'!B141</f>
        <v>0</v>
      </c>
      <c r="C141" s="37" t="e">
        <f aca="false">VLOOKUP(B141,'Itens de Contrato'!B$5:G$151,2,0)</f>
        <v>#N/A</v>
      </c>
      <c r="D141" s="52"/>
      <c r="E141" s="63" t="n">
        <f aca="false">D141*'Itens de Contrato'!F141</f>
        <v>0</v>
      </c>
      <c r="F141" s="62" t="n">
        <f aca="false">'Medição 11'!F141-'Medição 11'!G141</f>
        <v>0</v>
      </c>
      <c r="G141" s="52"/>
      <c r="H141" s="64" t="e">
        <f aca="false">G141/D141</f>
        <v>#DIV/0!</v>
      </c>
      <c r="I141" s="63" t="n">
        <f aca="false">G141*'Itens de Contrato'!F141</f>
        <v>0</v>
      </c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</row>
    <row r="142" customFormat="false" ht="12.8" hidden="false" customHeight="false" outlineLevel="0" collapsed="false">
      <c r="A142" s="37" t="n">
        <f aca="false">'Itens de Contrato'!A142</f>
        <v>0</v>
      </c>
      <c r="B142" s="37" t="n">
        <f aca="false">'Itens de Contrato'!B142</f>
        <v>0</v>
      </c>
      <c r="C142" s="37" t="e">
        <f aca="false">VLOOKUP(B142,'Itens de Contrato'!B$5:G$151,2,0)</f>
        <v>#N/A</v>
      </c>
      <c r="D142" s="52"/>
      <c r="E142" s="63" t="n">
        <f aca="false">D142*'Itens de Contrato'!F142</f>
        <v>0</v>
      </c>
      <c r="F142" s="62" t="n">
        <f aca="false">'Medição 11'!F142-'Medição 11'!G142</f>
        <v>0</v>
      </c>
      <c r="G142" s="52"/>
      <c r="H142" s="64" t="e">
        <f aca="false">G142/D142</f>
        <v>#DIV/0!</v>
      </c>
      <c r="I142" s="63" t="n">
        <f aca="false">G142*'Itens de Contrato'!F142</f>
        <v>0</v>
      </c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</row>
    <row r="143" customFormat="false" ht="12.8" hidden="false" customHeight="false" outlineLevel="0" collapsed="false">
      <c r="A143" s="37" t="n">
        <f aca="false">'Itens de Contrato'!A143</f>
        <v>0</v>
      </c>
      <c r="B143" s="37" t="n">
        <f aca="false">'Itens de Contrato'!B143</f>
        <v>0</v>
      </c>
      <c r="C143" s="37" t="e">
        <f aca="false">VLOOKUP(B143,'Itens de Contrato'!B$5:G$151,2,0)</f>
        <v>#N/A</v>
      </c>
      <c r="D143" s="52"/>
      <c r="E143" s="63" t="n">
        <f aca="false">D143*'Itens de Contrato'!F143</f>
        <v>0</v>
      </c>
      <c r="F143" s="62" t="n">
        <f aca="false">'Medição 11'!F143-'Medição 11'!G143</f>
        <v>0</v>
      </c>
      <c r="G143" s="52"/>
      <c r="H143" s="64" t="e">
        <f aca="false">G143/D143</f>
        <v>#DIV/0!</v>
      </c>
      <c r="I143" s="63" t="n">
        <f aca="false">G143*'Itens de Contrato'!F143</f>
        <v>0</v>
      </c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</row>
    <row r="144" customFormat="false" ht="12.8" hidden="false" customHeight="false" outlineLevel="0" collapsed="false">
      <c r="A144" s="37" t="n">
        <f aca="false">'Itens de Contrato'!A144</f>
        <v>0</v>
      </c>
      <c r="B144" s="37" t="n">
        <f aca="false">'Itens de Contrato'!B144</f>
        <v>0</v>
      </c>
      <c r="C144" s="37" t="e">
        <f aca="false">VLOOKUP(B144,'Itens de Contrato'!B$5:G$151,2,0)</f>
        <v>#N/A</v>
      </c>
      <c r="D144" s="52"/>
      <c r="E144" s="63" t="n">
        <f aca="false">D144*'Itens de Contrato'!F144</f>
        <v>0</v>
      </c>
      <c r="F144" s="62" t="n">
        <f aca="false">'Medição 11'!F144-'Medição 11'!G144</f>
        <v>0</v>
      </c>
      <c r="G144" s="52"/>
      <c r="H144" s="64" t="e">
        <f aca="false">G144/D144</f>
        <v>#DIV/0!</v>
      </c>
      <c r="I144" s="63" t="n">
        <f aca="false">G144*'Itens de Contrato'!F144</f>
        <v>0</v>
      </c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</row>
    <row r="145" customFormat="false" ht="12.8" hidden="false" customHeight="false" outlineLevel="0" collapsed="false">
      <c r="A145" s="37" t="n">
        <f aca="false">'Itens de Contrato'!A145</f>
        <v>0</v>
      </c>
      <c r="B145" s="37" t="n">
        <f aca="false">'Itens de Contrato'!B145</f>
        <v>0</v>
      </c>
      <c r="C145" s="37" t="e">
        <f aca="false">VLOOKUP(B145,'Itens de Contrato'!B$5:G$151,2,0)</f>
        <v>#N/A</v>
      </c>
      <c r="D145" s="52"/>
      <c r="E145" s="63" t="n">
        <f aca="false">D145*'Itens de Contrato'!F145</f>
        <v>0</v>
      </c>
      <c r="F145" s="62" t="n">
        <f aca="false">'Medição 11'!F145-'Medição 11'!G145</f>
        <v>0</v>
      </c>
      <c r="G145" s="52"/>
      <c r="H145" s="64" t="e">
        <f aca="false">G145/D145</f>
        <v>#DIV/0!</v>
      </c>
      <c r="I145" s="63" t="n">
        <f aca="false">G145*'Itens de Contrato'!F145</f>
        <v>0</v>
      </c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</row>
    <row r="146" customFormat="false" ht="12.8" hidden="false" customHeight="false" outlineLevel="0" collapsed="false">
      <c r="A146" s="37" t="n">
        <f aca="false">'Itens de Contrato'!A146</f>
        <v>0</v>
      </c>
      <c r="B146" s="37" t="n">
        <f aca="false">'Itens de Contrato'!B146</f>
        <v>0</v>
      </c>
      <c r="C146" s="37" t="e">
        <f aca="false">VLOOKUP(B146,'Itens de Contrato'!B$5:G$151,2,0)</f>
        <v>#N/A</v>
      </c>
      <c r="D146" s="52"/>
      <c r="E146" s="63" t="n">
        <f aca="false">D146*'Itens de Contrato'!F146</f>
        <v>0</v>
      </c>
      <c r="F146" s="62" t="n">
        <f aca="false">'Medição 11'!F146-'Medição 11'!G146</f>
        <v>0</v>
      </c>
      <c r="G146" s="52"/>
      <c r="H146" s="64" t="e">
        <f aca="false">G146/D146</f>
        <v>#DIV/0!</v>
      </c>
      <c r="I146" s="63" t="n">
        <f aca="false">G146*'Itens de Contrato'!F146</f>
        <v>0</v>
      </c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</row>
    <row r="147" customFormat="false" ht="12.8" hidden="false" customHeight="false" outlineLevel="0" collapsed="false">
      <c r="A147" s="37" t="n">
        <f aca="false">'Itens de Contrato'!A147</f>
        <v>0</v>
      </c>
      <c r="B147" s="37" t="n">
        <f aca="false">'Itens de Contrato'!B147</f>
        <v>0</v>
      </c>
      <c r="C147" s="37" t="e">
        <f aca="false">VLOOKUP(B147,'Itens de Contrato'!B$5:G$151,2,0)</f>
        <v>#N/A</v>
      </c>
      <c r="D147" s="52"/>
      <c r="E147" s="63" t="n">
        <f aca="false">D147*'Itens de Contrato'!F147</f>
        <v>0</v>
      </c>
      <c r="F147" s="62" t="n">
        <f aca="false">'Medição 11'!F147-'Medição 11'!G147</f>
        <v>0</v>
      </c>
      <c r="G147" s="52"/>
      <c r="H147" s="64" t="e">
        <f aca="false">G147/D147</f>
        <v>#DIV/0!</v>
      </c>
      <c r="I147" s="63" t="n">
        <f aca="false">G147*'Itens de Contrato'!F147</f>
        <v>0</v>
      </c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</row>
    <row r="148" customFormat="false" ht="12.8" hidden="false" customHeight="false" outlineLevel="0" collapsed="false">
      <c r="A148" s="37" t="n">
        <f aca="false">'Itens de Contrato'!A148</f>
        <v>0</v>
      </c>
      <c r="B148" s="37" t="n">
        <f aca="false">'Itens de Contrato'!B148</f>
        <v>0</v>
      </c>
      <c r="C148" s="37" t="e">
        <f aca="false">VLOOKUP(B148,'Itens de Contrato'!B$5:G$151,2,0)</f>
        <v>#N/A</v>
      </c>
      <c r="D148" s="52"/>
      <c r="E148" s="63" t="n">
        <f aca="false">D148*'Itens de Contrato'!F148</f>
        <v>0</v>
      </c>
      <c r="F148" s="62" t="n">
        <f aca="false">'Medição 11'!F148-'Medição 11'!G148</f>
        <v>0</v>
      </c>
      <c r="G148" s="52"/>
      <c r="H148" s="64" t="e">
        <f aca="false">G148/D148</f>
        <v>#DIV/0!</v>
      </c>
      <c r="I148" s="63" t="n">
        <f aca="false">G148*'Itens de Contrato'!F148</f>
        <v>0</v>
      </c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</row>
    <row r="149" customFormat="false" ht="12.8" hidden="false" customHeight="false" outlineLevel="0" collapsed="false">
      <c r="A149" s="37" t="n">
        <f aca="false">'Itens de Contrato'!A149</f>
        <v>0</v>
      </c>
      <c r="B149" s="37" t="n">
        <f aca="false">'Itens de Contrato'!B149</f>
        <v>0</v>
      </c>
      <c r="C149" s="37" t="e">
        <f aca="false">VLOOKUP(B149,'Itens de Contrato'!B$5:G$151,2,0)</f>
        <v>#N/A</v>
      </c>
      <c r="D149" s="52"/>
      <c r="E149" s="63" t="n">
        <f aca="false">D149*'Itens de Contrato'!F149</f>
        <v>0</v>
      </c>
      <c r="F149" s="62" t="n">
        <f aca="false">'Medição 11'!F149-'Medição 11'!G149</f>
        <v>0</v>
      </c>
      <c r="G149" s="52"/>
      <c r="H149" s="64" t="e">
        <f aca="false">G149/D149</f>
        <v>#DIV/0!</v>
      </c>
      <c r="I149" s="63" t="n">
        <f aca="false">G149*'Itens de Contrato'!F149</f>
        <v>0</v>
      </c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</row>
    <row r="150" customFormat="false" ht="12.8" hidden="false" customHeight="false" outlineLevel="0" collapsed="false">
      <c r="A150" s="37" t="n">
        <f aca="false">'Itens de Contrato'!A150</f>
        <v>0</v>
      </c>
      <c r="B150" s="37" t="n">
        <f aca="false">'Itens de Contrato'!B150</f>
        <v>0</v>
      </c>
      <c r="C150" s="37" t="e">
        <f aca="false">VLOOKUP(B150,'Itens de Contrato'!B$5:G$151,2,0)</f>
        <v>#N/A</v>
      </c>
      <c r="D150" s="52"/>
      <c r="E150" s="63" t="n">
        <f aca="false">D150*'Itens de Contrato'!F150</f>
        <v>0</v>
      </c>
      <c r="F150" s="62" t="n">
        <f aca="false">'Medição 11'!F150-'Medição 11'!G150</f>
        <v>0</v>
      </c>
      <c r="G150" s="52"/>
      <c r="H150" s="64" t="e">
        <f aca="false">G150/D150</f>
        <v>#DIV/0!</v>
      </c>
      <c r="I150" s="63" t="n">
        <f aca="false">G150*'Itens de Contrato'!F150</f>
        <v>0</v>
      </c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</row>
    <row r="151" customFormat="false" ht="12.8" hidden="false" customHeight="false" outlineLevel="0" collapsed="false">
      <c r="A151" s="37" t="n">
        <f aca="false">'Itens de Contrato'!A151</f>
        <v>0</v>
      </c>
      <c r="B151" s="37" t="n">
        <f aca="false">'Itens de Contrato'!B151</f>
        <v>0</v>
      </c>
      <c r="C151" s="37" t="e">
        <f aca="false">VLOOKUP(B151,'Itens de Contrato'!B$5:G$151,2,0)</f>
        <v>#N/A</v>
      </c>
      <c r="D151" s="52"/>
      <c r="E151" s="63" t="n">
        <f aca="false">D151*'Itens de Contrato'!F151</f>
        <v>0</v>
      </c>
      <c r="F151" s="62" t="n">
        <f aca="false">'Medição 11'!F151-'Medição 11'!G151</f>
        <v>0</v>
      </c>
      <c r="G151" s="52"/>
      <c r="H151" s="64" t="e">
        <f aca="false">G151/D151</f>
        <v>#DIV/0!</v>
      </c>
      <c r="I151" s="63" t="n">
        <f aca="false">G151*'Itens de Contrato'!F151</f>
        <v>0</v>
      </c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</row>
    <row r="152" customFormat="false" ht="12.75" hidden="false" customHeight="false" outlineLevel="0" collapsed="false"/>
    <row r="153" customFormat="false" ht="12.75" hidden="false" customHeight="false" outlineLevel="0" collapsed="false"/>
    <row r="154" customFormat="false" ht="12.75" hidden="false" customHeight="false" outlineLevel="0" collapsed="false"/>
    <row r="155" customFormat="false" ht="12.75" hidden="false" customHeight="false" outlineLevel="0" collapsed="false"/>
    <row r="156" customFormat="false" ht="12.75" hidden="false" customHeight="false" outlineLevel="0" collapsed="false"/>
    <row r="157" customFormat="false" ht="12.75" hidden="false" customHeight="false" outlineLevel="0" collapsed="false"/>
    <row r="158" customFormat="false" ht="12.75" hidden="false" customHeight="false" outlineLevel="0" collapsed="false"/>
    <row r="159" customFormat="false" ht="12.75" hidden="false" customHeight="false" outlineLevel="0" collapsed="false"/>
    <row r="160" customFormat="false" ht="12.75" hidden="false" customHeight="false" outlineLevel="0" collapsed="false"/>
    <row r="161" customFormat="false" ht="12.75" hidden="false" customHeight="false" outlineLevel="0" collapsed="false"/>
    <row r="162" customFormat="false" ht="12.75" hidden="false" customHeight="false" outlineLevel="0" collapsed="false"/>
    <row r="163" customFormat="false" ht="12.75" hidden="false" customHeight="false" outlineLevel="0" collapsed="false"/>
    <row r="164" customFormat="false" ht="12.75" hidden="false" customHeight="false" outlineLevel="0" collapsed="false"/>
    <row r="165" customFormat="false" ht="12.75" hidden="false" customHeight="false" outlineLevel="0" collapsed="false"/>
    <row r="166" customFormat="false" ht="12.75" hidden="false" customHeight="false" outlineLevel="0" collapsed="false"/>
    <row r="167" customFormat="false" ht="12.75" hidden="false" customHeight="false" outlineLevel="0" collapsed="false"/>
    <row r="168" customFormat="false" ht="12.75" hidden="false" customHeight="false" outlineLevel="0" collapsed="false"/>
    <row r="169" customFormat="false" ht="12.75" hidden="false" customHeight="false" outlineLevel="0" collapsed="false"/>
    <row r="170" customFormat="false" ht="12.75" hidden="false" customHeight="false" outlineLevel="0" collapsed="false"/>
    <row r="171" customFormat="false" ht="12.75" hidden="false" customHeight="false" outlineLevel="0" collapsed="false"/>
    <row r="172" customFormat="false" ht="12.75" hidden="false" customHeight="false" outlineLevel="0" collapsed="false"/>
    <row r="173" customFormat="false" ht="12.75" hidden="false" customHeight="false" outlineLevel="0" collapsed="false"/>
    <row r="174" customFormat="false" ht="12.75" hidden="false" customHeight="false" outlineLevel="0" collapsed="false"/>
    <row r="175" customFormat="false" ht="12.75" hidden="false" customHeight="false" outlineLevel="0" collapsed="false"/>
    <row r="176" customFormat="false" ht="12.75" hidden="false" customHeight="false" outlineLevel="0" collapsed="false"/>
    <row r="177" customFormat="false" ht="12.75" hidden="false" customHeight="false" outlineLevel="0" collapsed="false"/>
    <row r="178" customFormat="false" ht="12.75" hidden="false" customHeight="false" outlineLevel="0" collapsed="false"/>
    <row r="179" customFormat="false" ht="12.75" hidden="false" customHeight="false" outlineLevel="0" collapsed="false"/>
    <row r="180" customFormat="false" ht="12.75" hidden="false" customHeight="false" outlineLevel="0" collapsed="false"/>
    <row r="181" customFormat="false" ht="12.75" hidden="false" customHeight="false" outlineLevel="0" collapsed="false"/>
    <row r="182" customFormat="false" ht="12.75" hidden="false" customHeight="false" outlineLevel="0" collapsed="false"/>
    <row r="183" customFormat="false" ht="12.75" hidden="false" customHeight="false" outlineLevel="0" collapsed="false"/>
    <row r="184" customFormat="false" ht="12.75" hidden="false" customHeight="false" outlineLevel="0" collapsed="false"/>
    <row r="185" customFormat="false" ht="12.75" hidden="false" customHeight="false" outlineLevel="0" collapsed="false"/>
    <row r="186" customFormat="false" ht="12.75" hidden="false" customHeight="false" outlineLevel="0" collapsed="false"/>
    <row r="187" customFormat="false" ht="12.75" hidden="false" customHeight="false" outlineLevel="0" collapsed="false"/>
    <row r="188" customFormat="false" ht="12.75" hidden="false" customHeight="false" outlineLevel="0" collapsed="false"/>
    <row r="189" customFormat="false" ht="12.75" hidden="false" customHeight="false" outlineLevel="0" collapsed="false"/>
    <row r="190" customFormat="false" ht="12.75" hidden="false" customHeight="false" outlineLevel="0" collapsed="false"/>
    <row r="191" customFormat="false" ht="12.75" hidden="false" customHeight="false" outlineLevel="0" collapsed="false"/>
    <row r="192" customFormat="false" ht="12.75" hidden="false" customHeight="false" outlineLevel="0" collapsed="false"/>
    <row r="193" customFormat="false" ht="12.75" hidden="false" customHeight="false" outlineLevel="0" collapsed="false"/>
    <row r="194" customFormat="false" ht="12.75" hidden="false" customHeight="false" outlineLevel="0" collapsed="false"/>
    <row r="195" customFormat="false" ht="12.75" hidden="false" customHeight="false" outlineLevel="0" collapsed="false"/>
    <row r="196" customFormat="false" ht="12.75" hidden="false" customHeight="false" outlineLevel="0" collapsed="false"/>
    <row r="197" customFormat="false" ht="12.75" hidden="false" customHeight="false" outlineLevel="0" collapsed="false"/>
    <row r="198" customFormat="false" ht="12.75" hidden="false" customHeight="false" outlineLevel="0" collapsed="false"/>
    <row r="199" customFormat="false" ht="12.75" hidden="false" customHeight="false" outlineLevel="0" collapsed="false"/>
    <row r="200" customFormat="false" ht="12.75" hidden="false" customHeight="false" outlineLevel="0" collapsed="false"/>
    <row r="201" customFormat="false" ht="12.75" hidden="false" customHeight="false" outlineLevel="0" collapsed="false"/>
    <row r="202" customFormat="false" ht="12.75" hidden="false" customHeight="false" outlineLevel="0" collapsed="false"/>
    <row r="203" customFormat="false" ht="12.75" hidden="false" customHeight="false" outlineLevel="0" collapsed="false"/>
    <row r="204" customFormat="false" ht="12.75" hidden="false" customHeight="false" outlineLevel="0" collapsed="false"/>
    <row r="205" customFormat="false" ht="12.75" hidden="false" customHeight="false" outlineLevel="0" collapsed="false"/>
    <row r="206" customFormat="false" ht="12.75" hidden="false" customHeight="false" outlineLevel="0" collapsed="false"/>
    <row r="207" customFormat="false" ht="12.75" hidden="false" customHeight="false" outlineLevel="0" collapsed="false"/>
    <row r="208" customFormat="false" ht="12.75" hidden="false" customHeight="false" outlineLevel="0" collapsed="false"/>
    <row r="209" customFormat="false" ht="12.75" hidden="false" customHeight="false" outlineLevel="0" collapsed="false"/>
    <row r="210" customFormat="false" ht="12.75" hidden="false" customHeight="false" outlineLevel="0" collapsed="false"/>
    <row r="211" customFormat="false" ht="12.75" hidden="false" customHeight="false" outlineLevel="0" collapsed="false"/>
    <row r="212" customFormat="false" ht="12.75" hidden="false" customHeight="false" outlineLevel="0" collapsed="false"/>
    <row r="213" customFormat="false" ht="12.75" hidden="false" customHeight="false" outlineLevel="0" collapsed="false"/>
    <row r="214" customFormat="false" ht="12.75" hidden="false" customHeight="false" outlineLevel="0" collapsed="false"/>
    <row r="215" customFormat="false" ht="12.75" hidden="false" customHeight="false" outlineLevel="0" collapsed="false"/>
    <row r="216" customFormat="false" ht="12.75" hidden="false" customHeight="false" outlineLevel="0" collapsed="false"/>
    <row r="217" customFormat="false" ht="12.75" hidden="false" customHeight="false" outlineLevel="0" collapsed="false"/>
    <row r="218" customFormat="false" ht="12.75" hidden="false" customHeight="false" outlineLevel="0" collapsed="false"/>
    <row r="219" customFormat="false" ht="12.75" hidden="false" customHeight="false" outlineLevel="0" collapsed="false"/>
    <row r="220" customFormat="false" ht="12.75" hidden="false" customHeight="false" outlineLevel="0" collapsed="false"/>
    <row r="221" customFormat="false" ht="12.75" hidden="false" customHeight="false" outlineLevel="0" collapsed="false"/>
    <row r="222" customFormat="false" ht="12.75" hidden="false" customHeight="false" outlineLevel="0" collapsed="false"/>
    <row r="223" customFormat="false" ht="12.75" hidden="false" customHeight="false" outlineLevel="0" collapsed="false"/>
    <row r="224" customFormat="false" ht="12.75" hidden="false" customHeight="false" outlineLevel="0" collapsed="false"/>
    <row r="225" customFormat="false" ht="12.75" hidden="false" customHeight="false" outlineLevel="0" collapsed="false"/>
    <row r="226" customFormat="false" ht="12.75" hidden="false" customHeight="false" outlineLevel="0" collapsed="false"/>
    <row r="227" customFormat="false" ht="12.75" hidden="false" customHeight="false" outlineLevel="0" collapsed="false"/>
    <row r="228" customFormat="false" ht="12.75" hidden="false" customHeight="false" outlineLevel="0" collapsed="false"/>
    <row r="229" customFormat="false" ht="12.75" hidden="false" customHeight="false" outlineLevel="0" collapsed="false"/>
    <row r="230" customFormat="false" ht="12.75" hidden="false" customHeight="false" outlineLevel="0" collapsed="false"/>
    <row r="231" customFormat="false" ht="12.75" hidden="false" customHeight="false" outlineLevel="0" collapsed="false"/>
    <row r="232" customFormat="false" ht="12.75" hidden="false" customHeight="false" outlineLevel="0" collapsed="false"/>
    <row r="233" customFormat="false" ht="12.75" hidden="false" customHeight="false" outlineLevel="0" collapsed="false"/>
    <row r="234" customFormat="false" ht="12.75" hidden="false" customHeight="false" outlineLevel="0" collapsed="false"/>
    <row r="235" customFormat="false" ht="12.75" hidden="false" customHeight="false" outlineLevel="0" collapsed="false"/>
    <row r="236" customFormat="false" ht="12.75" hidden="false" customHeight="false" outlineLevel="0" collapsed="false"/>
    <row r="237" customFormat="false" ht="12.75" hidden="false" customHeight="false" outlineLevel="0" collapsed="false"/>
    <row r="238" customFormat="false" ht="12.75" hidden="false" customHeight="false" outlineLevel="0" collapsed="false"/>
    <row r="239" customFormat="false" ht="12.75" hidden="false" customHeight="false" outlineLevel="0" collapsed="false"/>
    <row r="240" customFormat="false" ht="12.75" hidden="false" customHeight="false" outlineLevel="0" collapsed="false"/>
    <row r="241" customFormat="false" ht="12.75" hidden="false" customHeight="false" outlineLevel="0" collapsed="false"/>
    <row r="242" customFormat="false" ht="12.75" hidden="false" customHeight="false" outlineLevel="0" collapsed="false"/>
    <row r="243" customFormat="false" ht="12.75" hidden="false" customHeight="false" outlineLevel="0" collapsed="false"/>
    <row r="244" customFormat="false" ht="12.75" hidden="false" customHeight="false" outlineLevel="0" collapsed="false"/>
    <row r="245" customFormat="false" ht="12.75" hidden="false" customHeight="false" outlineLevel="0" collapsed="false"/>
    <row r="246" customFormat="false" ht="12.75" hidden="false" customHeight="false" outlineLevel="0" collapsed="false"/>
    <row r="247" customFormat="false" ht="12.75" hidden="false" customHeight="false" outlineLevel="0" collapsed="false"/>
    <row r="248" customFormat="false" ht="12.75" hidden="false" customHeight="false" outlineLevel="0" collapsed="false"/>
    <row r="249" customFormat="false" ht="12.75" hidden="false" customHeight="false" outlineLevel="0" collapsed="false"/>
    <row r="250" customFormat="false" ht="12.75" hidden="false" customHeight="false" outlineLevel="0" collapsed="false"/>
    <row r="251" customFormat="false" ht="12.75" hidden="false" customHeight="false" outlineLevel="0" collapsed="false"/>
    <row r="252" customFormat="false" ht="12.75" hidden="false" customHeight="false" outlineLevel="0" collapsed="false"/>
    <row r="253" customFormat="false" ht="12.75" hidden="false" customHeight="false" outlineLevel="0" collapsed="false"/>
    <row r="254" customFormat="false" ht="12.75" hidden="false" customHeight="false" outlineLevel="0" collapsed="false"/>
    <row r="255" customFormat="false" ht="12.75" hidden="false" customHeight="false" outlineLevel="0" collapsed="false"/>
    <row r="256" customFormat="false" ht="12.75" hidden="false" customHeight="false" outlineLevel="0" collapsed="false"/>
    <row r="257" customFormat="false" ht="12.75" hidden="false" customHeight="false" outlineLevel="0" collapsed="false"/>
    <row r="258" customFormat="false" ht="12.75" hidden="false" customHeight="false" outlineLevel="0" collapsed="false"/>
    <row r="259" customFormat="false" ht="12.75" hidden="false" customHeight="false" outlineLevel="0" collapsed="false"/>
    <row r="260" customFormat="false" ht="12.75" hidden="false" customHeight="false" outlineLevel="0" collapsed="false"/>
    <row r="261" customFormat="false" ht="12.75" hidden="false" customHeight="false" outlineLevel="0" collapsed="false"/>
    <row r="262" customFormat="false" ht="12.75" hidden="false" customHeight="false" outlineLevel="0" collapsed="false"/>
    <row r="263" customFormat="false" ht="12.75" hidden="false" customHeight="false" outlineLevel="0" collapsed="false"/>
    <row r="264" customFormat="false" ht="12.75" hidden="false" customHeight="false" outlineLevel="0" collapsed="false"/>
    <row r="265" customFormat="false" ht="12.75" hidden="false" customHeight="false" outlineLevel="0" collapsed="false"/>
    <row r="266" customFormat="false" ht="12.75" hidden="false" customHeight="false" outlineLevel="0" collapsed="false"/>
    <row r="267" customFormat="false" ht="12.75" hidden="false" customHeight="false" outlineLevel="0" collapsed="false"/>
    <row r="268" customFormat="false" ht="12.75" hidden="false" customHeight="false" outlineLevel="0" collapsed="false"/>
    <row r="269" customFormat="false" ht="12.75" hidden="false" customHeight="false" outlineLevel="0" collapsed="false"/>
    <row r="270" customFormat="false" ht="12.75" hidden="false" customHeight="false" outlineLevel="0" collapsed="false"/>
    <row r="271" customFormat="false" ht="12.75" hidden="false" customHeight="false" outlineLevel="0" collapsed="false"/>
    <row r="272" customFormat="false" ht="12.75" hidden="false" customHeight="false" outlineLevel="0" collapsed="false"/>
    <row r="273" customFormat="false" ht="12.75" hidden="false" customHeight="fals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12.75" hidden="false" customHeight="false" outlineLevel="0" collapsed="false"/>
    <row r="283" customFormat="false" ht="12.75" hidden="false" customHeight="false" outlineLevel="0" collapsed="false"/>
    <row r="284" customFormat="false" ht="12.75" hidden="false" customHeight="fals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12.75" hidden="false" customHeight="false" outlineLevel="0" collapsed="false"/>
    <row r="291" customFormat="false" ht="12.75" hidden="false" customHeight="false" outlineLevel="0" collapsed="false"/>
    <row r="292" customFormat="false" ht="12.75" hidden="false" customHeight="false" outlineLevel="0" collapsed="false"/>
    <row r="293" customFormat="false" ht="12.75" hidden="false" customHeight="false" outlineLevel="0" collapsed="false"/>
    <row r="294" customFormat="false" ht="12.75" hidden="false" customHeight="false" outlineLevel="0" collapsed="false"/>
    <row r="295" customFormat="false" ht="12.75" hidden="false" customHeight="fals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12.75" hidden="false" customHeight="false" outlineLevel="0" collapsed="false"/>
    <row r="299" customFormat="false" ht="12.75" hidden="false" customHeight="false" outlineLevel="0" collapsed="false"/>
    <row r="300" customFormat="false" ht="12.75" hidden="false" customHeight="fals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12.75" hidden="false" customHeight="false" outlineLevel="0" collapsed="false"/>
    <row r="308" customFormat="false" ht="12.75" hidden="false" customHeight="false" outlineLevel="0" collapsed="false"/>
    <row r="309" customFormat="false" ht="12.75" hidden="false" customHeight="false" outlineLevel="0" collapsed="false"/>
    <row r="310" customFormat="false" ht="12.75" hidden="false" customHeight="false" outlineLevel="0" collapsed="false"/>
    <row r="311" customFormat="false" ht="12.75" hidden="false" customHeight="false" outlineLevel="0" collapsed="false"/>
    <row r="312" customFormat="false" ht="12.75" hidden="false" customHeight="false" outlineLevel="0" collapsed="false"/>
    <row r="313" customFormat="false" ht="12.75" hidden="false" customHeight="false" outlineLevel="0" collapsed="false"/>
    <row r="314" customFormat="false" ht="12.75" hidden="false" customHeight="fals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12.75" hidden="false" customHeight="fals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  <row r="344" customFormat="false" ht="12.75" hidden="false" customHeight="false" outlineLevel="0" collapsed="false"/>
    <row r="345" customFormat="false" ht="12.75" hidden="false" customHeight="false" outlineLevel="0" collapsed="false"/>
    <row r="346" customFormat="false" ht="12.75" hidden="false" customHeight="false" outlineLevel="0" collapsed="false"/>
    <row r="347" customFormat="false" ht="12.75" hidden="false" customHeight="false" outlineLevel="0" collapsed="false"/>
    <row r="348" customFormat="false" ht="12.75" hidden="false" customHeight="false" outlineLevel="0" collapsed="false"/>
    <row r="349" customFormat="false" ht="12.75" hidden="false" customHeight="false" outlineLevel="0" collapsed="false"/>
    <row r="350" customFormat="false" ht="12.75" hidden="false" customHeight="false" outlineLevel="0" collapsed="false"/>
    <row r="351" customFormat="false" ht="12.75" hidden="false" customHeight="false" outlineLevel="0" collapsed="false"/>
    <row r="352" customFormat="false" ht="12.75" hidden="false" customHeight="false" outlineLevel="0" collapsed="false"/>
    <row r="353" customFormat="false" ht="12.75" hidden="false" customHeight="false" outlineLevel="0" collapsed="false"/>
    <row r="354" customFormat="false" ht="12.75" hidden="false" customHeight="false" outlineLevel="0" collapsed="false"/>
    <row r="355" customFormat="false" ht="12.75" hidden="false" customHeight="false" outlineLevel="0" collapsed="false"/>
    <row r="356" customFormat="false" ht="12.75" hidden="false" customHeight="false" outlineLevel="0" collapsed="false"/>
    <row r="357" customFormat="false" ht="12.75" hidden="false" customHeight="false" outlineLevel="0" collapsed="false"/>
    <row r="358" customFormat="false" ht="12.75" hidden="false" customHeight="false" outlineLevel="0" collapsed="false"/>
    <row r="359" customFormat="false" ht="12.75" hidden="false" customHeight="false" outlineLevel="0" collapsed="false"/>
    <row r="360" customFormat="false" ht="12.75" hidden="false" customHeight="false" outlineLevel="0" collapsed="false"/>
    <row r="361" customFormat="false" ht="12.75" hidden="false" customHeight="false" outlineLevel="0" collapsed="false"/>
    <row r="362" customFormat="false" ht="12.75" hidden="false" customHeight="false" outlineLevel="0" collapsed="false"/>
    <row r="363" customFormat="false" ht="12.75" hidden="false" customHeight="false" outlineLevel="0" collapsed="false"/>
    <row r="364" customFormat="false" ht="12.75" hidden="false" customHeight="false" outlineLevel="0" collapsed="false"/>
    <row r="365" customFormat="false" ht="12.75" hidden="false" customHeight="false" outlineLevel="0" collapsed="false"/>
    <row r="366" customFormat="false" ht="12.75" hidden="false" customHeight="false" outlineLevel="0" collapsed="false"/>
    <row r="367" customFormat="false" ht="12.75" hidden="false" customHeight="false" outlineLevel="0" collapsed="false"/>
    <row r="368" customFormat="false" ht="12.75" hidden="false" customHeight="false" outlineLevel="0" collapsed="false"/>
    <row r="369" customFormat="false" ht="12.75" hidden="false" customHeight="false" outlineLevel="0" collapsed="false"/>
    <row r="370" customFormat="false" ht="12.75" hidden="false" customHeight="false" outlineLevel="0" collapsed="false"/>
    <row r="371" customFormat="false" ht="12.75" hidden="false" customHeight="false" outlineLevel="0" collapsed="false"/>
    <row r="372" customFormat="false" ht="12.75" hidden="false" customHeight="false" outlineLevel="0" collapsed="false"/>
    <row r="373" customFormat="false" ht="12.75" hidden="false" customHeight="false" outlineLevel="0" collapsed="false"/>
    <row r="374" customFormat="false" ht="12.75" hidden="false" customHeight="false" outlineLevel="0" collapsed="false"/>
    <row r="375" customFormat="false" ht="12.75" hidden="false" customHeight="false" outlineLevel="0" collapsed="false"/>
    <row r="376" customFormat="false" ht="12.75" hidden="false" customHeight="false" outlineLevel="0" collapsed="false"/>
    <row r="377" customFormat="false" ht="12.75" hidden="false" customHeight="false" outlineLevel="0" collapsed="false"/>
    <row r="378" customFormat="false" ht="12.75" hidden="false" customHeight="false" outlineLevel="0" collapsed="false"/>
    <row r="379" customFormat="false" ht="12.75" hidden="false" customHeight="false" outlineLevel="0" collapsed="false"/>
    <row r="380" customFormat="false" ht="12.75" hidden="false" customHeight="false" outlineLevel="0" collapsed="false"/>
    <row r="381" customFormat="false" ht="12.75" hidden="false" customHeight="false" outlineLevel="0" collapsed="false"/>
    <row r="382" customFormat="false" ht="12.75" hidden="false" customHeight="false" outlineLevel="0" collapsed="false"/>
    <row r="383" customFormat="false" ht="12.75" hidden="false" customHeight="false" outlineLevel="0" collapsed="false"/>
    <row r="384" customFormat="false" ht="12.75" hidden="false" customHeight="false" outlineLevel="0" collapsed="false"/>
    <row r="385" customFormat="false" ht="12.75" hidden="false" customHeight="false" outlineLevel="0" collapsed="false"/>
    <row r="386" customFormat="false" ht="12.75" hidden="false" customHeight="false" outlineLevel="0" collapsed="false"/>
    <row r="387" customFormat="false" ht="12.75" hidden="false" customHeight="false" outlineLevel="0" collapsed="false"/>
    <row r="388" customFormat="false" ht="12.75" hidden="false" customHeight="false" outlineLevel="0" collapsed="false"/>
    <row r="389" customFormat="false" ht="12.75" hidden="false" customHeight="false" outlineLevel="0" collapsed="false"/>
    <row r="390" customFormat="false" ht="12.75" hidden="false" customHeight="false" outlineLevel="0" collapsed="false"/>
    <row r="391" customFormat="false" ht="12.75" hidden="false" customHeight="false" outlineLevel="0" collapsed="false"/>
    <row r="392" customFormat="false" ht="12.75" hidden="false" customHeight="false" outlineLevel="0" collapsed="false"/>
    <row r="393" customFormat="false" ht="12.75" hidden="false" customHeight="false" outlineLevel="0" collapsed="false"/>
    <row r="394" customFormat="false" ht="12.75" hidden="false" customHeight="false" outlineLevel="0" collapsed="false"/>
    <row r="395" customFormat="false" ht="12.75" hidden="false" customHeight="false" outlineLevel="0" collapsed="false"/>
    <row r="396" customFormat="false" ht="12.75" hidden="false" customHeight="false" outlineLevel="0" collapsed="false"/>
    <row r="397" customFormat="false" ht="12.75" hidden="false" customHeight="false" outlineLevel="0" collapsed="false"/>
    <row r="398" customFormat="false" ht="12.75" hidden="false" customHeight="false" outlineLevel="0" collapsed="false"/>
    <row r="399" customFormat="false" ht="12.75" hidden="false" customHeight="false" outlineLevel="0" collapsed="false"/>
    <row r="400" customFormat="false" ht="12.75" hidden="false" customHeight="false" outlineLevel="0" collapsed="false"/>
    <row r="401" customFormat="false" ht="12.75" hidden="false" customHeight="false" outlineLevel="0" collapsed="false"/>
    <row r="402" customFormat="false" ht="12.75" hidden="false" customHeight="false" outlineLevel="0" collapsed="false"/>
    <row r="403" customFormat="false" ht="12.75" hidden="false" customHeight="false" outlineLevel="0" collapsed="false"/>
    <row r="404" customFormat="false" ht="12.75" hidden="false" customHeight="false" outlineLevel="0" collapsed="false"/>
    <row r="405" customFormat="false" ht="12.75" hidden="false" customHeight="false" outlineLevel="0" collapsed="false"/>
    <row r="406" customFormat="false" ht="12.75" hidden="false" customHeight="false" outlineLevel="0" collapsed="false"/>
    <row r="407" customFormat="false" ht="12.75" hidden="false" customHeight="false" outlineLevel="0" collapsed="false"/>
    <row r="408" customFormat="false" ht="12.75" hidden="false" customHeight="false" outlineLevel="0" collapsed="false"/>
    <row r="409" customFormat="false" ht="12.75" hidden="false" customHeight="false" outlineLevel="0" collapsed="false"/>
    <row r="410" customFormat="false" ht="12.75" hidden="false" customHeight="false" outlineLevel="0" collapsed="false"/>
    <row r="411" customFormat="false" ht="12.75" hidden="false" customHeight="false" outlineLevel="0" collapsed="false"/>
    <row r="412" customFormat="false" ht="12.75" hidden="false" customHeight="false" outlineLevel="0" collapsed="false"/>
    <row r="413" customFormat="false" ht="12.75" hidden="false" customHeight="false" outlineLevel="0" collapsed="false"/>
    <row r="414" customFormat="false" ht="12.75" hidden="false" customHeight="false" outlineLevel="0" collapsed="false"/>
    <row r="415" customFormat="false" ht="12.75" hidden="false" customHeight="false" outlineLevel="0" collapsed="false"/>
    <row r="416" customFormat="false" ht="12.75" hidden="false" customHeight="false" outlineLevel="0" collapsed="false"/>
    <row r="417" customFormat="false" ht="12.75" hidden="false" customHeight="false" outlineLevel="0" collapsed="false"/>
    <row r="418" customFormat="false" ht="12.75" hidden="false" customHeight="false" outlineLevel="0" collapsed="false"/>
    <row r="419" customFormat="false" ht="12.75" hidden="false" customHeight="false" outlineLevel="0" collapsed="false"/>
    <row r="420" customFormat="false" ht="12.75" hidden="false" customHeight="false" outlineLevel="0" collapsed="false"/>
    <row r="421" customFormat="false" ht="12.75" hidden="false" customHeight="false" outlineLevel="0" collapsed="false"/>
    <row r="422" customFormat="false" ht="12.75" hidden="false" customHeight="false" outlineLevel="0" collapsed="false"/>
    <row r="423" customFormat="false" ht="12.75" hidden="false" customHeight="false" outlineLevel="0" collapsed="false"/>
    <row r="424" customFormat="false" ht="12.75" hidden="false" customHeight="false" outlineLevel="0" collapsed="false"/>
    <row r="425" customFormat="false" ht="12.75" hidden="false" customHeight="false" outlineLevel="0" collapsed="false"/>
    <row r="426" customFormat="false" ht="12.75" hidden="false" customHeight="false" outlineLevel="0" collapsed="false"/>
    <row r="427" customFormat="false" ht="12.75" hidden="false" customHeight="false" outlineLevel="0" collapsed="false"/>
    <row r="428" customFormat="false" ht="12.75" hidden="false" customHeight="false" outlineLevel="0" collapsed="false"/>
    <row r="429" customFormat="false" ht="12.75" hidden="false" customHeight="false" outlineLevel="0" collapsed="false"/>
    <row r="430" customFormat="false" ht="12.75" hidden="false" customHeight="false" outlineLevel="0" collapsed="false"/>
    <row r="431" customFormat="false" ht="12.75" hidden="false" customHeight="false" outlineLevel="0" collapsed="false"/>
    <row r="432" customFormat="false" ht="12.75" hidden="false" customHeight="false" outlineLevel="0" collapsed="false"/>
    <row r="433" customFormat="false" ht="12.75" hidden="false" customHeight="false" outlineLevel="0" collapsed="false"/>
    <row r="434" customFormat="false" ht="12.75" hidden="false" customHeight="false" outlineLevel="0" collapsed="false"/>
    <row r="435" customFormat="false" ht="12.75" hidden="false" customHeight="false" outlineLevel="0" collapsed="false"/>
    <row r="436" customFormat="false" ht="12.75" hidden="false" customHeight="false" outlineLevel="0" collapsed="false"/>
    <row r="437" customFormat="false" ht="12.75" hidden="false" customHeight="false" outlineLevel="0" collapsed="false"/>
    <row r="438" customFormat="false" ht="12.75" hidden="false" customHeight="false" outlineLevel="0" collapsed="false"/>
    <row r="439" customFormat="false" ht="12.75" hidden="false" customHeight="false" outlineLevel="0" collapsed="false"/>
    <row r="440" customFormat="false" ht="12.75" hidden="false" customHeight="false" outlineLevel="0" collapsed="false"/>
    <row r="441" customFormat="false" ht="12.75" hidden="false" customHeight="false" outlineLevel="0" collapsed="false"/>
    <row r="442" customFormat="false" ht="12.75" hidden="false" customHeight="false" outlineLevel="0" collapsed="false"/>
    <row r="443" customFormat="false" ht="12.75" hidden="false" customHeight="false" outlineLevel="0" collapsed="false"/>
    <row r="444" customFormat="false" ht="12.75" hidden="false" customHeight="false" outlineLevel="0" collapsed="false"/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/>
    <row r="455" customFormat="false" ht="12.75" hidden="false" customHeight="false" outlineLevel="0" collapsed="false"/>
    <row r="456" customFormat="false" ht="12.75" hidden="false" customHeight="false" outlineLevel="0" collapsed="false"/>
    <row r="457" customFormat="false" ht="12.75" hidden="false" customHeight="false" outlineLevel="0" collapsed="false"/>
    <row r="458" customFormat="false" ht="12.75" hidden="false" customHeight="false" outlineLevel="0" collapsed="false"/>
    <row r="459" customFormat="false" ht="12.75" hidden="false" customHeight="false" outlineLevel="0" collapsed="false"/>
    <row r="460" customFormat="false" ht="12.75" hidden="false" customHeight="false" outlineLevel="0" collapsed="false"/>
    <row r="461" customFormat="false" ht="12.75" hidden="false" customHeight="false" outlineLevel="0" collapsed="false"/>
    <row r="462" customFormat="false" ht="12.75" hidden="false" customHeight="false" outlineLevel="0" collapsed="false"/>
    <row r="463" customFormat="false" ht="12.75" hidden="false" customHeight="false" outlineLevel="0" collapsed="false"/>
    <row r="464" customFormat="false" ht="12.75" hidden="false" customHeight="false" outlineLevel="0" collapsed="false"/>
    <row r="465" customFormat="false" ht="12.75" hidden="false" customHeight="false" outlineLevel="0" collapsed="false"/>
    <row r="466" customFormat="false" ht="12.75" hidden="false" customHeight="false" outlineLevel="0" collapsed="false"/>
    <row r="467" customFormat="false" ht="12.75" hidden="false" customHeight="false" outlineLevel="0" collapsed="false"/>
    <row r="468" customFormat="false" ht="12.75" hidden="false" customHeight="false" outlineLevel="0" collapsed="false"/>
    <row r="469" customFormat="false" ht="12.75" hidden="false" customHeight="false" outlineLevel="0" collapsed="false"/>
    <row r="470" customFormat="false" ht="12.75" hidden="false" customHeight="false" outlineLevel="0" collapsed="false"/>
    <row r="471" customFormat="false" ht="12.75" hidden="false" customHeight="false" outlineLevel="0" collapsed="false"/>
    <row r="472" customFormat="false" ht="12.75" hidden="false" customHeight="false" outlineLevel="0" collapsed="false"/>
    <row r="473" customFormat="false" ht="12.75" hidden="false" customHeight="false" outlineLevel="0" collapsed="false"/>
    <row r="474" customFormat="false" ht="12.75" hidden="false" customHeight="false" outlineLevel="0" collapsed="false"/>
    <row r="475" customFormat="false" ht="12.75" hidden="false" customHeight="false" outlineLevel="0" collapsed="false"/>
    <row r="476" customFormat="false" ht="12.75" hidden="false" customHeight="false" outlineLevel="0" collapsed="false"/>
    <row r="477" customFormat="false" ht="12.75" hidden="false" customHeight="false" outlineLevel="0" collapsed="false"/>
    <row r="478" customFormat="false" ht="12.75" hidden="false" customHeight="false" outlineLevel="0" collapsed="false"/>
    <row r="479" customFormat="false" ht="12.75" hidden="false" customHeight="false" outlineLevel="0" collapsed="false"/>
    <row r="480" customFormat="false" ht="12.75" hidden="false" customHeight="false" outlineLevel="0" collapsed="false"/>
    <row r="481" customFormat="false" ht="12.75" hidden="false" customHeight="false" outlineLevel="0" collapsed="false"/>
    <row r="482" customFormat="false" ht="12.75" hidden="false" customHeight="false" outlineLevel="0" collapsed="false"/>
    <row r="483" customFormat="false" ht="12.75" hidden="false" customHeight="false" outlineLevel="0" collapsed="false"/>
    <row r="484" customFormat="false" ht="12.75" hidden="false" customHeight="false" outlineLevel="0" collapsed="false"/>
    <row r="485" customFormat="false" ht="12.75" hidden="false" customHeight="false" outlineLevel="0" collapsed="false"/>
    <row r="486" customFormat="false" ht="12.75" hidden="false" customHeight="false" outlineLevel="0" collapsed="false"/>
    <row r="487" customFormat="false" ht="12.75" hidden="false" customHeight="false" outlineLevel="0" collapsed="false"/>
    <row r="488" customFormat="false" ht="12.75" hidden="false" customHeight="false" outlineLevel="0" collapsed="false"/>
    <row r="489" customFormat="false" ht="12.75" hidden="false" customHeight="false" outlineLevel="0" collapsed="false"/>
    <row r="490" customFormat="false" ht="12.75" hidden="false" customHeight="false" outlineLevel="0" collapsed="false"/>
    <row r="491" customFormat="false" ht="12.75" hidden="false" customHeight="false" outlineLevel="0" collapsed="false"/>
    <row r="492" customFormat="false" ht="12.75" hidden="false" customHeight="false" outlineLevel="0" collapsed="false"/>
    <row r="493" customFormat="false" ht="12.75" hidden="false" customHeight="false" outlineLevel="0" collapsed="false"/>
    <row r="494" customFormat="false" ht="12.75" hidden="false" customHeight="false" outlineLevel="0" collapsed="false"/>
    <row r="495" customFormat="false" ht="12.75" hidden="false" customHeight="false" outlineLevel="0" collapsed="false"/>
    <row r="496" customFormat="false" ht="12.75" hidden="false" customHeight="false" outlineLevel="0" collapsed="false"/>
    <row r="497" customFormat="false" ht="12.75" hidden="false" customHeight="false" outlineLevel="0" collapsed="false"/>
    <row r="498" customFormat="false" ht="12.75" hidden="false" customHeight="false" outlineLevel="0" collapsed="false"/>
    <row r="499" customFormat="false" ht="12.75" hidden="false" customHeight="false" outlineLevel="0" collapsed="false"/>
    <row r="500" customFormat="false" ht="12.75" hidden="false" customHeight="false" outlineLevel="0" collapsed="false"/>
    <row r="501" customFormat="false" ht="12.75" hidden="false" customHeight="false" outlineLevel="0" collapsed="false"/>
    <row r="502" customFormat="false" ht="12.75" hidden="false" customHeight="false" outlineLevel="0" collapsed="false"/>
    <row r="503" customFormat="false" ht="12.75" hidden="false" customHeight="false" outlineLevel="0" collapsed="false"/>
    <row r="504" customFormat="false" ht="12.75" hidden="false" customHeight="false" outlineLevel="0" collapsed="false"/>
    <row r="505" customFormat="false" ht="12.75" hidden="false" customHeight="false" outlineLevel="0" collapsed="false"/>
    <row r="506" customFormat="false" ht="12.75" hidden="false" customHeight="false" outlineLevel="0" collapsed="false"/>
    <row r="507" customFormat="false" ht="12.75" hidden="false" customHeight="false" outlineLevel="0" collapsed="false"/>
    <row r="508" customFormat="false" ht="12.75" hidden="false" customHeight="false" outlineLevel="0" collapsed="false"/>
    <row r="509" customFormat="false" ht="12.75" hidden="false" customHeight="false" outlineLevel="0" collapsed="false"/>
    <row r="510" customFormat="false" ht="12.75" hidden="false" customHeight="false" outlineLevel="0" collapsed="false"/>
    <row r="511" customFormat="false" ht="12.75" hidden="false" customHeight="false" outlineLevel="0" collapsed="false"/>
    <row r="512" customFormat="false" ht="12.75" hidden="false" customHeight="false" outlineLevel="0" collapsed="false"/>
    <row r="513" customFormat="false" ht="12.75" hidden="false" customHeight="false" outlineLevel="0" collapsed="false"/>
    <row r="514" customFormat="false" ht="12.75" hidden="false" customHeight="false" outlineLevel="0" collapsed="false"/>
    <row r="515" customFormat="false" ht="12.75" hidden="false" customHeight="false" outlineLevel="0" collapsed="false"/>
    <row r="516" customFormat="false" ht="12.75" hidden="false" customHeight="false" outlineLevel="0" collapsed="false"/>
    <row r="517" customFormat="false" ht="12.75" hidden="false" customHeight="false" outlineLevel="0" collapsed="false"/>
    <row r="518" customFormat="false" ht="12.75" hidden="false" customHeight="false" outlineLevel="0" collapsed="false"/>
    <row r="519" customFormat="false" ht="12.75" hidden="false" customHeight="false" outlineLevel="0" collapsed="false"/>
    <row r="520" customFormat="false" ht="12.75" hidden="false" customHeight="false" outlineLevel="0" collapsed="false"/>
    <row r="521" customFormat="false" ht="12.75" hidden="false" customHeight="false" outlineLevel="0" collapsed="false"/>
    <row r="522" customFormat="false" ht="12.75" hidden="false" customHeight="false" outlineLevel="0" collapsed="false"/>
    <row r="523" customFormat="false" ht="12.75" hidden="false" customHeight="false" outlineLevel="0" collapsed="false"/>
    <row r="524" customFormat="false" ht="12.75" hidden="false" customHeight="false" outlineLevel="0" collapsed="false"/>
    <row r="525" customFormat="false" ht="12.75" hidden="false" customHeight="false" outlineLevel="0" collapsed="false"/>
    <row r="526" customFormat="false" ht="12.75" hidden="false" customHeight="false" outlineLevel="0" collapsed="false"/>
    <row r="527" customFormat="false" ht="12.75" hidden="false" customHeight="false" outlineLevel="0" collapsed="false"/>
    <row r="528" customFormat="false" ht="12.75" hidden="false" customHeight="false" outlineLevel="0" collapsed="false"/>
    <row r="529" customFormat="false" ht="12.75" hidden="false" customHeight="false" outlineLevel="0" collapsed="false"/>
    <row r="530" customFormat="false" ht="12.75" hidden="false" customHeight="false" outlineLevel="0" collapsed="false"/>
    <row r="531" customFormat="false" ht="12.75" hidden="false" customHeight="false" outlineLevel="0" collapsed="false"/>
    <row r="532" customFormat="false" ht="12.75" hidden="false" customHeight="false" outlineLevel="0" collapsed="false"/>
    <row r="533" customFormat="false" ht="12.75" hidden="false" customHeight="false" outlineLevel="0" collapsed="false"/>
    <row r="534" customFormat="false" ht="12.75" hidden="false" customHeight="false" outlineLevel="0" collapsed="false"/>
    <row r="535" customFormat="false" ht="12.75" hidden="false" customHeight="false" outlineLevel="0" collapsed="false"/>
    <row r="536" customFormat="false" ht="12.75" hidden="false" customHeight="false" outlineLevel="0" collapsed="false"/>
    <row r="537" customFormat="false" ht="12.75" hidden="false" customHeight="false" outlineLevel="0" collapsed="false"/>
    <row r="538" customFormat="false" ht="12.75" hidden="false" customHeight="false" outlineLevel="0" collapsed="false"/>
    <row r="539" customFormat="false" ht="12.75" hidden="false" customHeight="false" outlineLevel="0" collapsed="false"/>
    <row r="540" customFormat="false" ht="12.75" hidden="false" customHeight="false" outlineLevel="0" collapsed="false"/>
    <row r="541" customFormat="false" ht="12.75" hidden="false" customHeight="false" outlineLevel="0" collapsed="false"/>
    <row r="542" customFormat="false" ht="12.75" hidden="false" customHeight="false" outlineLevel="0" collapsed="false"/>
    <row r="543" customFormat="false" ht="12.75" hidden="false" customHeight="false" outlineLevel="0" collapsed="false"/>
    <row r="544" customFormat="false" ht="12.75" hidden="false" customHeight="false" outlineLevel="0" collapsed="false"/>
    <row r="545" customFormat="false" ht="12.75" hidden="false" customHeight="false" outlineLevel="0" collapsed="false"/>
    <row r="546" customFormat="false" ht="12.75" hidden="false" customHeight="false" outlineLevel="0" collapsed="false"/>
    <row r="547" customFormat="false" ht="12.75" hidden="false" customHeight="false" outlineLevel="0" collapsed="false"/>
    <row r="548" customFormat="false" ht="12.75" hidden="false" customHeight="false" outlineLevel="0" collapsed="false"/>
    <row r="549" customFormat="false" ht="12.75" hidden="false" customHeight="false" outlineLevel="0" collapsed="false"/>
    <row r="550" customFormat="false" ht="12.75" hidden="false" customHeight="false" outlineLevel="0" collapsed="false"/>
    <row r="551" customFormat="false" ht="12.75" hidden="false" customHeight="false" outlineLevel="0" collapsed="false"/>
    <row r="552" customFormat="false" ht="12.75" hidden="false" customHeight="false" outlineLevel="0" collapsed="false"/>
    <row r="553" customFormat="false" ht="12.75" hidden="false" customHeight="false" outlineLevel="0" collapsed="false"/>
    <row r="554" customFormat="false" ht="12.75" hidden="false" customHeight="false" outlineLevel="0" collapsed="false"/>
    <row r="555" customFormat="false" ht="12.75" hidden="false" customHeight="false" outlineLevel="0" collapsed="false"/>
    <row r="556" customFormat="false" ht="12.75" hidden="false" customHeight="false" outlineLevel="0" collapsed="false"/>
    <row r="557" customFormat="false" ht="12.75" hidden="false" customHeight="false" outlineLevel="0" collapsed="false"/>
    <row r="558" customFormat="false" ht="12.75" hidden="false" customHeight="false" outlineLevel="0" collapsed="false"/>
    <row r="559" customFormat="false" ht="12.75" hidden="false" customHeight="false" outlineLevel="0" collapsed="false"/>
    <row r="560" customFormat="false" ht="12.75" hidden="false" customHeight="false" outlineLevel="0" collapsed="false"/>
    <row r="561" customFormat="false" ht="12.75" hidden="false" customHeight="false" outlineLevel="0" collapsed="false"/>
    <row r="562" customFormat="false" ht="12.75" hidden="false" customHeight="false" outlineLevel="0" collapsed="false"/>
    <row r="563" customFormat="false" ht="12.75" hidden="false" customHeight="false" outlineLevel="0" collapsed="false"/>
    <row r="564" customFormat="false" ht="12.75" hidden="false" customHeight="false" outlineLevel="0" collapsed="false"/>
    <row r="565" customFormat="false" ht="12.75" hidden="false" customHeight="false" outlineLevel="0" collapsed="false"/>
    <row r="566" customFormat="false" ht="12.75" hidden="false" customHeight="false" outlineLevel="0" collapsed="false"/>
    <row r="567" customFormat="false" ht="12.75" hidden="false" customHeight="false" outlineLevel="0" collapsed="false"/>
    <row r="568" customFormat="false" ht="12.75" hidden="false" customHeight="false" outlineLevel="0" collapsed="false"/>
    <row r="569" customFormat="false" ht="12.75" hidden="false" customHeight="false" outlineLevel="0" collapsed="false"/>
    <row r="570" customFormat="false" ht="12.75" hidden="false" customHeight="false" outlineLevel="0" collapsed="false"/>
    <row r="571" customFormat="false" ht="12.75" hidden="false" customHeight="false" outlineLevel="0" collapsed="false"/>
    <row r="572" customFormat="false" ht="12.75" hidden="false" customHeight="false" outlineLevel="0" collapsed="false"/>
    <row r="573" customFormat="false" ht="12.75" hidden="false" customHeight="false" outlineLevel="0" collapsed="false"/>
    <row r="574" customFormat="false" ht="12.75" hidden="false" customHeight="false" outlineLevel="0" collapsed="false"/>
    <row r="575" customFormat="false" ht="12.75" hidden="false" customHeight="false" outlineLevel="0" collapsed="false"/>
    <row r="576" customFormat="false" ht="12.75" hidden="false" customHeight="false" outlineLevel="0" collapsed="false"/>
    <row r="577" customFormat="false" ht="12.75" hidden="false" customHeight="false" outlineLevel="0" collapsed="false"/>
    <row r="578" customFormat="false" ht="12.75" hidden="false" customHeight="false" outlineLevel="0" collapsed="false"/>
    <row r="579" customFormat="false" ht="12.75" hidden="false" customHeight="false" outlineLevel="0" collapsed="false"/>
    <row r="580" customFormat="false" ht="12.75" hidden="false" customHeight="false" outlineLevel="0" collapsed="false"/>
    <row r="581" customFormat="false" ht="12.75" hidden="false" customHeight="false" outlineLevel="0" collapsed="false"/>
    <row r="582" customFormat="false" ht="12.75" hidden="false" customHeight="false" outlineLevel="0" collapsed="false"/>
    <row r="583" customFormat="false" ht="12.75" hidden="false" customHeight="false" outlineLevel="0" collapsed="false"/>
    <row r="584" customFormat="false" ht="12.75" hidden="false" customHeight="false" outlineLevel="0" collapsed="false"/>
    <row r="585" customFormat="false" ht="12.75" hidden="false" customHeight="false" outlineLevel="0" collapsed="false"/>
    <row r="586" customFormat="false" ht="12.75" hidden="false" customHeight="false" outlineLevel="0" collapsed="false"/>
    <row r="587" customFormat="false" ht="12.75" hidden="false" customHeight="false" outlineLevel="0" collapsed="false"/>
    <row r="588" customFormat="false" ht="12.75" hidden="false" customHeight="false" outlineLevel="0" collapsed="false"/>
    <row r="589" customFormat="false" ht="12.75" hidden="false" customHeight="false" outlineLevel="0" collapsed="false"/>
    <row r="590" customFormat="false" ht="12.75" hidden="false" customHeight="false" outlineLevel="0" collapsed="false"/>
    <row r="591" customFormat="false" ht="12.75" hidden="false" customHeight="false" outlineLevel="0" collapsed="false"/>
    <row r="592" customFormat="false" ht="12.75" hidden="false" customHeight="false" outlineLevel="0" collapsed="false"/>
    <row r="593" customFormat="false" ht="12.75" hidden="false" customHeight="false" outlineLevel="0" collapsed="false"/>
    <row r="594" customFormat="false" ht="12.75" hidden="false" customHeight="false" outlineLevel="0" collapsed="false"/>
    <row r="595" customFormat="false" ht="12.75" hidden="false" customHeight="false" outlineLevel="0" collapsed="false"/>
    <row r="596" customFormat="false" ht="12.75" hidden="false" customHeight="false" outlineLevel="0" collapsed="false"/>
    <row r="597" customFormat="false" ht="12.75" hidden="false" customHeight="false" outlineLevel="0" collapsed="false"/>
    <row r="598" customFormat="false" ht="12.75" hidden="false" customHeight="false" outlineLevel="0" collapsed="false"/>
    <row r="599" customFormat="false" ht="12.75" hidden="false" customHeight="false" outlineLevel="0" collapsed="false"/>
    <row r="600" customFormat="false" ht="12.75" hidden="false" customHeight="false" outlineLevel="0" collapsed="false"/>
    <row r="601" customFormat="false" ht="12.75" hidden="false" customHeight="false" outlineLevel="0" collapsed="false"/>
    <row r="602" customFormat="false" ht="12.75" hidden="false" customHeight="false" outlineLevel="0" collapsed="false"/>
    <row r="603" customFormat="false" ht="12.75" hidden="false" customHeight="false" outlineLevel="0" collapsed="false"/>
    <row r="604" customFormat="false" ht="12.75" hidden="false" customHeight="false" outlineLevel="0" collapsed="false"/>
    <row r="605" customFormat="false" ht="12.75" hidden="false" customHeight="false" outlineLevel="0" collapsed="false"/>
    <row r="606" customFormat="false" ht="12.75" hidden="false" customHeight="false" outlineLevel="0" collapsed="false"/>
    <row r="607" customFormat="false" ht="12.75" hidden="false" customHeight="false" outlineLevel="0" collapsed="false"/>
    <row r="608" customFormat="false" ht="12.75" hidden="false" customHeight="false" outlineLevel="0" collapsed="false"/>
    <row r="609" customFormat="false" ht="12.75" hidden="false" customHeight="false" outlineLevel="0" collapsed="false"/>
    <row r="610" customFormat="false" ht="12.75" hidden="false" customHeight="false" outlineLevel="0" collapsed="false"/>
    <row r="611" customFormat="false" ht="12.75" hidden="false" customHeight="false" outlineLevel="0" collapsed="false"/>
    <row r="612" customFormat="false" ht="12.75" hidden="false" customHeight="false" outlineLevel="0" collapsed="false"/>
    <row r="613" customFormat="false" ht="12.75" hidden="false" customHeight="false" outlineLevel="0" collapsed="false"/>
    <row r="614" customFormat="false" ht="12.75" hidden="false" customHeight="false" outlineLevel="0" collapsed="false"/>
    <row r="615" customFormat="false" ht="12.75" hidden="false" customHeight="false" outlineLevel="0" collapsed="false"/>
    <row r="616" customFormat="false" ht="12.75" hidden="false" customHeight="false" outlineLevel="0" collapsed="false"/>
    <row r="617" customFormat="false" ht="12.75" hidden="false" customHeight="false" outlineLevel="0" collapsed="false"/>
    <row r="618" customFormat="false" ht="12.75" hidden="false" customHeight="false" outlineLevel="0" collapsed="false"/>
    <row r="619" customFormat="false" ht="12.75" hidden="false" customHeight="false" outlineLevel="0" collapsed="false"/>
    <row r="620" customFormat="false" ht="12.75" hidden="false" customHeight="false" outlineLevel="0" collapsed="false"/>
    <row r="621" customFormat="false" ht="12.75" hidden="false" customHeight="false" outlineLevel="0" collapsed="false"/>
    <row r="622" customFormat="false" ht="12.75" hidden="false" customHeight="false" outlineLevel="0" collapsed="false"/>
    <row r="623" customFormat="false" ht="12.75" hidden="false" customHeight="false" outlineLevel="0" collapsed="false"/>
    <row r="624" customFormat="false" ht="12.75" hidden="false" customHeight="false" outlineLevel="0" collapsed="false"/>
    <row r="625" customFormat="false" ht="12.75" hidden="false" customHeight="false" outlineLevel="0" collapsed="false"/>
    <row r="626" customFormat="false" ht="12.75" hidden="false" customHeight="false" outlineLevel="0" collapsed="false"/>
    <row r="627" customFormat="false" ht="12.75" hidden="false" customHeight="false" outlineLevel="0" collapsed="false"/>
    <row r="628" customFormat="false" ht="12.75" hidden="false" customHeight="false" outlineLevel="0" collapsed="false"/>
    <row r="629" customFormat="false" ht="12.75" hidden="false" customHeight="false" outlineLevel="0" collapsed="false"/>
    <row r="630" customFormat="false" ht="12.75" hidden="false" customHeight="false" outlineLevel="0" collapsed="false"/>
    <row r="631" customFormat="false" ht="12.75" hidden="false" customHeight="false" outlineLevel="0" collapsed="false"/>
    <row r="632" customFormat="false" ht="12.75" hidden="false" customHeight="false" outlineLevel="0" collapsed="false"/>
    <row r="633" customFormat="false" ht="12.75" hidden="false" customHeight="false" outlineLevel="0" collapsed="false"/>
    <row r="634" customFormat="false" ht="12.75" hidden="false" customHeight="false" outlineLevel="0" collapsed="false"/>
    <row r="635" customFormat="false" ht="12.75" hidden="false" customHeight="false" outlineLevel="0" collapsed="false"/>
    <row r="636" customFormat="false" ht="12.75" hidden="false" customHeight="false" outlineLevel="0" collapsed="false"/>
    <row r="637" customFormat="false" ht="12.75" hidden="false" customHeight="false" outlineLevel="0" collapsed="false"/>
    <row r="638" customFormat="false" ht="12.75" hidden="false" customHeight="false" outlineLevel="0" collapsed="false"/>
    <row r="639" customFormat="false" ht="12.75" hidden="false" customHeight="false" outlineLevel="0" collapsed="false"/>
    <row r="640" customFormat="false" ht="12.75" hidden="false" customHeight="false" outlineLevel="0" collapsed="false"/>
    <row r="641" customFormat="false" ht="12.75" hidden="false" customHeight="false" outlineLevel="0" collapsed="false"/>
    <row r="642" customFormat="false" ht="12.75" hidden="false" customHeight="false" outlineLevel="0" collapsed="false"/>
    <row r="643" customFormat="false" ht="12.75" hidden="false" customHeight="false" outlineLevel="0" collapsed="false"/>
    <row r="644" customFormat="false" ht="12.75" hidden="false" customHeight="false" outlineLevel="0" collapsed="false"/>
    <row r="645" customFormat="false" ht="12.75" hidden="false" customHeight="false" outlineLevel="0" collapsed="false"/>
    <row r="646" customFormat="false" ht="12.75" hidden="false" customHeight="false" outlineLevel="0" collapsed="false"/>
    <row r="647" customFormat="false" ht="12.75" hidden="false" customHeight="false" outlineLevel="0" collapsed="false"/>
    <row r="648" customFormat="false" ht="12.75" hidden="false" customHeight="false" outlineLevel="0" collapsed="false"/>
    <row r="649" customFormat="false" ht="12.75" hidden="false" customHeight="false" outlineLevel="0" collapsed="false"/>
    <row r="650" customFormat="false" ht="12.75" hidden="false" customHeight="false" outlineLevel="0" collapsed="false"/>
    <row r="651" customFormat="false" ht="12.75" hidden="false" customHeight="false" outlineLevel="0" collapsed="false"/>
    <row r="652" customFormat="false" ht="12.75" hidden="false" customHeight="false" outlineLevel="0" collapsed="false"/>
    <row r="653" customFormat="false" ht="12.75" hidden="false" customHeight="false" outlineLevel="0" collapsed="false"/>
    <row r="654" customFormat="false" ht="12.75" hidden="false" customHeight="false" outlineLevel="0" collapsed="false"/>
    <row r="655" customFormat="false" ht="12.75" hidden="false" customHeight="false" outlineLevel="0" collapsed="false"/>
    <row r="656" customFormat="false" ht="12.75" hidden="false" customHeight="false" outlineLevel="0" collapsed="false"/>
    <row r="657" customFormat="false" ht="12.75" hidden="false" customHeight="false" outlineLevel="0" collapsed="false"/>
    <row r="658" customFormat="false" ht="12.75" hidden="false" customHeight="false" outlineLevel="0" collapsed="false"/>
    <row r="659" customFormat="false" ht="12.75" hidden="false" customHeight="false" outlineLevel="0" collapsed="false"/>
    <row r="660" customFormat="false" ht="12.75" hidden="false" customHeight="false" outlineLevel="0" collapsed="false"/>
    <row r="661" customFormat="false" ht="12.75" hidden="false" customHeight="false" outlineLevel="0" collapsed="false"/>
    <row r="662" customFormat="false" ht="12.75" hidden="false" customHeight="false" outlineLevel="0" collapsed="false"/>
    <row r="663" customFormat="false" ht="12.75" hidden="false" customHeight="false" outlineLevel="0" collapsed="false"/>
    <row r="664" customFormat="false" ht="12.75" hidden="false" customHeight="false" outlineLevel="0" collapsed="false"/>
    <row r="665" customFormat="false" ht="12.75" hidden="false" customHeight="false" outlineLevel="0" collapsed="false"/>
    <row r="666" customFormat="false" ht="12.75" hidden="false" customHeight="false" outlineLevel="0" collapsed="false"/>
    <row r="667" customFormat="false" ht="12.75" hidden="false" customHeight="false" outlineLevel="0" collapsed="false"/>
    <row r="668" customFormat="false" ht="12.75" hidden="false" customHeight="false" outlineLevel="0" collapsed="false"/>
    <row r="669" customFormat="false" ht="12.75" hidden="false" customHeight="false" outlineLevel="0" collapsed="false"/>
    <row r="670" customFormat="false" ht="12.75" hidden="false" customHeight="false" outlineLevel="0" collapsed="false"/>
    <row r="671" customFormat="false" ht="12.75" hidden="false" customHeight="false" outlineLevel="0" collapsed="false"/>
    <row r="672" customFormat="false" ht="12.75" hidden="false" customHeight="false" outlineLevel="0" collapsed="false"/>
    <row r="673" customFormat="false" ht="12.75" hidden="false" customHeight="false" outlineLevel="0" collapsed="false"/>
    <row r="674" customFormat="false" ht="12.75" hidden="false" customHeight="false" outlineLevel="0" collapsed="false"/>
    <row r="675" customFormat="false" ht="12.75" hidden="false" customHeight="false" outlineLevel="0" collapsed="false"/>
    <row r="676" customFormat="false" ht="12.75" hidden="false" customHeight="false" outlineLevel="0" collapsed="false"/>
    <row r="677" customFormat="false" ht="12.75" hidden="false" customHeight="false" outlineLevel="0" collapsed="false"/>
    <row r="678" customFormat="false" ht="12.75" hidden="false" customHeight="false" outlineLevel="0" collapsed="false"/>
    <row r="679" customFormat="false" ht="12.75" hidden="false" customHeight="false" outlineLevel="0" collapsed="false"/>
    <row r="680" customFormat="false" ht="12.75" hidden="false" customHeight="false" outlineLevel="0" collapsed="false"/>
    <row r="681" customFormat="false" ht="12.75" hidden="false" customHeight="false" outlineLevel="0" collapsed="false"/>
    <row r="682" customFormat="false" ht="12.75" hidden="false" customHeight="false" outlineLevel="0" collapsed="false"/>
    <row r="683" customFormat="false" ht="12.75" hidden="false" customHeight="false" outlineLevel="0" collapsed="false"/>
    <row r="684" customFormat="false" ht="12.75" hidden="false" customHeight="false" outlineLevel="0" collapsed="false"/>
    <row r="685" customFormat="false" ht="12.75" hidden="false" customHeight="false" outlineLevel="0" collapsed="false"/>
    <row r="686" customFormat="false" ht="12.75" hidden="false" customHeight="false" outlineLevel="0" collapsed="false"/>
    <row r="687" customFormat="false" ht="12.75" hidden="false" customHeight="false" outlineLevel="0" collapsed="false"/>
    <row r="688" customFormat="false" ht="12.75" hidden="false" customHeight="false" outlineLevel="0" collapsed="false"/>
    <row r="689" customFormat="false" ht="12.75" hidden="false" customHeight="false" outlineLevel="0" collapsed="false"/>
    <row r="690" customFormat="false" ht="12.75" hidden="false" customHeight="false" outlineLevel="0" collapsed="false"/>
    <row r="691" customFormat="false" ht="12.75" hidden="false" customHeight="false" outlineLevel="0" collapsed="false"/>
    <row r="692" customFormat="false" ht="12.75" hidden="false" customHeight="false" outlineLevel="0" collapsed="false"/>
    <row r="693" customFormat="false" ht="12.75" hidden="false" customHeight="false" outlineLevel="0" collapsed="false"/>
    <row r="694" customFormat="false" ht="12.75" hidden="false" customHeight="false" outlineLevel="0" collapsed="false"/>
    <row r="695" customFormat="false" ht="12.75" hidden="false" customHeight="false" outlineLevel="0" collapsed="false"/>
    <row r="696" customFormat="false" ht="12.75" hidden="false" customHeight="false" outlineLevel="0" collapsed="false"/>
    <row r="697" customFormat="false" ht="12.75" hidden="false" customHeight="false" outlineLevel="0" collapsed="false"/>
    <row r="698" customFormat="false" ht="12.75" hidden="false" customHeight="false" outlineLevel="0" collapsed="false"/>
    <row r="699" customFormat="false" ht="12.75" hidden="false" customHeight="false" outlineLevel="0" collapsed="false"/>
    <row r="700" customFormat="false" ht="12.75" hidden="false" customHeight="false" outlineLevel="0" collapsed="false"/>
    <row r="701" customFormat="false" ht="12.75" hidden="false" customHeight="false" outlineLevel="0" collapsed="false"/>
    <row r="702" customFormat="false" ht="12.75" hidden="false" customHeight="false" outlineLevel="0" collapsed="false"/>
    <row r="703" customFormat="false" ht="12.75" hidden="false" customHeight="false" outlineLevel="0" collapsed="false"/>
    <row r="704" customFormat="false" ht="12.75" hidden="false" customHeight="false" outlineLevel="0" collapsed="false"/>
    <row r="705" customFormat="false" ht="12.75" hidden="false" customHeight="false" outlineLevel="0" collapsed="false"/>
    <row r="706" customFormat="false" ht="12.75" hidden="false" customHeight="false" outlineLevel="0" collapsed="false"/>
    <row r="707" customFormat="false" ht="12.75" hidden="false" customHeight="false" outlineLevel="0" collapsed="false"/>
    <row r="708" customFormat="false" ht="12.75" hidden="false" customHeight="false" outlineLevel="0" collapsed="false"/>
    <row r="709" customFormat="false" ht="12.75" hidden="false" customHeight="false" outlineLevel="0" collapsed="false"/>
    <row r="710" customFormat="false" ht="12.75" hidden="false" customHeight="false" outlineLevel="0" collapsed="false"/>
    <row r="711" customFormat="false" ht="12.75" hidden="false" customHeight="false" outlineLevel="0" collapsed="false"/>
    <row r="712" customFormat="false" ht="12.75" hidden="false" customHeight="false" outlineLevel="0" collapsed="false"/>
    <row r="713" customFormat="false" ht="12.75" hidden="false" customHeight="false" outlineLevel="0" collapsed="false"/>
    <row r="714" customFormat="false" ht="12.75" hidden="false" customHeight="false" outlineLevel="0" collapsed="false"/>
    <row r="715" customFormat="false" ht="12.75" hidden="false" customHeight="false" outlineLevel="0" collapsed="false"/>
    <row r="716" customFormat="false" ht="12.75" hidden="false" customHeight="false" outlineLevel="0" collapsed="false"/>
    <row r="717" customFormat="false" ht="12.75" hidden="false" customHeight="false" outlineLevel="0" collapsed="false"/>
    <row r="718" customFormat="false" ht="12.75" hidden="false" customHeight="false" outlineLevel="0" collapsed="false"/>
    <row r="719" customFormat="false" ht="12.75" hidden="false" customHeight="false" outlineLevel="0" collapsed="false"/>
    <row r="720" customFormat="false" ht="12.75" hidden="false" customHeight="false" outlineLevel="0" collapsed="false"/>
    <row r="721" customFormat="false" ht="12.75" hidden="false" customHeight="false" outlineLevel="0" collapsed="false"/>
    <row r="722" customFormat="false" ht="12.75" hidden="false" customHeight="false" outlineLevel="0" collapsed="false"/>
    <row r="723" customFormat="false" ht="12.75" hidden="false" customHeight="false" outlineLevel="0" collapsed="false"/>
    <row r="724" customFormat="false" ht="12.75" hidden="false" customHeight="false" outlineLevel="0" collapsed="false"/>
    <row r="725" customFormat="false" ht="12.75" hidden="false" customHeight="false" outlineLevel="0" collapsed="false"/>
    <row r="726" customFormat="false" ht="12.75" hidden="false" customHeight="false" outlineLevel="0" collapsed="false"/>
    <row r="727" customFormat="false" ht="12.75" hidden="false" customHeight="false" outlineLevel="0" collapsed="false"/>
    <row r="728" customFormat="false" ht="12.75" hidden="false" customHeight="false" outlineLevel="0" collapsed="false"/>
    <row r="729" customFormat="false" ht="12.75" hidden="false" customHeight="false" outlineLevel="0" collapsed="false"/>
    <row r="730" customFormat="false" ht="12.75" hidden="false" customHeight="false" outlineLevel="0" collapsed="false"/>
    <row r="731" customFormat="false" ht="12.75" hidden="false" customHeight="false" outlineLevel="0" collapsed="false"/>
    <row r="732" customFormat="false" ht="12.75" hidden="false" customHeight="false" outlineLevel="0" collapsed="false"/>
    <row r="733" customFormat="false" ht="12.75" hidden="false" customHeight="false" outlineLevel="0" collapsed="false"/>
    <row r="734" customFormat="false" ht="12.75" hidden="false" customHeight="false" outlineLevel="0" collapsed="false"/>
    <row r="735" customFormat="false" ht="12.75" hidden="false" customHeight="false" outlineLevel="0" collapsed="false"/>
    <row r="736" customFormat="false" ht="12.75" hidden="false" customHeight="false" outlineLevel="0" collapsed="false"/>
    <row r="737" customFormat="false" ht="12.75" hidden="false" customHeight="false" outlineLevel="0" collapsed="false"/>
    <row r="738" customFormat="false" ht="12.75" hidden="false" customHeight="false" outlineLevel="0" collapsed="false"/>
    <row r="739" customFormat="false" ht="12.75" hidden="false" customHeight="false" outlineLevel="0" collapsed="false"/>
    <row r="740" customFormat="false" ht="12.75" hidden="false" customHeight="false" outlineLevel="0" collapsed="false"/>
    <row r="741" customFormat="false" ht="12.75" hidden="false" customHeight="false" outlineLevel="0" collapsed="false"/>
    <row r="742" customFormat="false" ht="12.75" hidden="false" customHeight="false" outlineLevel="0" collapsed="false"/>
    <row r="743" customFormat="false" ht="12.75" hidden="false" customHeight="false" outlineLevel="0" collapsed="false"/>
    <row r="744" customFormat="false" ht="12.75" hidden="false" customHeight="false" outlineLevel="0" collapsed="false"/>
    <row r="745" customFormat="false" ht="12.75" hidden="false" customHeight="false" outlineLevel="0" collapsed="false"/>
    <row r="746" customFormat="false" ht="12.75" hidden="false" customHeight="false" outlineLevel="0" collapsed="false"/>
    <row r="747" customFormat="false" ht="12.75" hidden="false" customHeight="false" outlineLevel="0" collapsed="false"/>
    <row r="748" customFormat="false" ht="12.75" hidden="false" customHeight="false" outlineLevel="0" collapsed="false"/>
    <row r="749" customFormat="false" ht="12.75" hidden="false" customHeight="false" outlineLevel="0" collapsed="false"/>
    <row r="750" customFormat="false" ht="12.75" hidden="false" customHeight="false" outlineLevel="0" collapsed="false"/>
    <row r="751" customFormat="false" ht="12.75" hidden="false" customHeight="false" outlineLevel="0" collapsed="false"/>
    <row r="752" customFormat="false" ht="12.75" hidden="false" customHeight="false" outlineLevel="0" collapsed="false"/>
    <row r="753" customFormat="false" ht="12.75" hidden="false" customHeight="false" outlineLevel="0" collapsed="false"/>
    <row r="754" customFormat="false" ht="12.75" hidden="false" customHeight="false" outlineLevel="0" collapsed="false"/>
    <row r="755" customFormat="false" ht="12.75" hidden="false" customHeight="false" outlineLevel="0" collapsed="false"/>
    <row r="756" customFormat="false" ht="12.75" hidden="false" customHeight="false" outlineLevel="0" collapsed="false"/>
    <row r="757" customFormat="false" ht="12.75" hidden="false" customHeight="false" outlineLevel="0" collapsed="false"/>
    <row r="758" customFormat="false" ht="12.75" hidden="false" customHeight="false" outlineLevel="0" collapsed="false"/>
    <row r="759" customFormat="false" ht="12.75" hidden="false" customHeight="false" outlineLevel="0" collapsed="false"/>
    <row r="760" customFormat="false" ht="12.75" hidden="false" customHeight="false" outlineLevel="0" collapsed="false"/>
    <row r="761" customFormat="false" ht="12.75" hidden="false" customHeight="false" outlineLevel="0" collapsed="false"/>
    <row r="762" customFormat="false" ht="12.75" hidden="false" customHeight="false" outlineLevel="0" collapsed="false"/>
    <row r="763" customFormat="false" ht="12.75" hidden="false" customHeight="false" outlineLevel="0" collapsed="false"/>
    <row r="764" customFormat="false" ht="12.75" hidden="false" customHeight="false" outlineLevel="0" collapsed="false"/>
    <row r="765" customFormat="false" ht="12.75" hidden="false" customHeight="false" outlineLevel="0" collapsed="false"/>
    <row r="766" customFormat="false" ht="12.75" hidden="false" customHeight="false" outlineLevel="0" collapsed="false"/>
    <row r="767" customFormat="false" ht="12.75" hidden="false" customHeight="false" outlineLevel="0" collapsed="false"/>
    <row r="768" customFormat="false" ht="12.75" hidden="false" customHeight="false" outlineLevel="0" collapsed="false"/>
    <row r="769" customFormat="false" ht="12.75" hidden="false" customHeight="false" outlineLevel="0" collapsed="false"/>
    <row r="770" customFormat="false" ht="12.75" hidden="false" customHeight="false" outlineLevel="0" collapsed="false"/>
    <row r="771" customFormat="false" ht="12.75" hidden="false" customHeight="false" outlineLevel="0" collapsed="false"/>
    <row r="772" customFormat="false" ht="12.75" hidden="false" customHeight="false" outlineLevel="0" collapsed="false"/>
    <row r="773" customFormat="false" ht="12.75" hidden="false" customHeight="false" outlineLevel="0" collapsed="false"/>
    <row r="774" customFormat="false" ht="12.75" hidden="false" customHeight="false" outlineLevel="0" collapsed="false"/>
    <row r="775" customFormat="false" ht="12.75" hidden="false" customHeight="false" outlineLevel="0" collapsed="false"/>
    <row r="776" customFormat="false" ht="12.75" hidden="false" customHeight="false" outlineLevel="0" collapsed="false"/>
    <row r="777" customFormat="false" ht="12.75" hidden="false" customHeight="false" outlineLevel="0" collapsed="false"/>
    <row r="778" customFormat="false" ht="12.75" hidden="false" customHeight="false" outlineLevel="0" collapsed="false"/>
    <row r="779" customFormat="false" ht="12.75" hidden="false" customHeight="false" outlineLevel="0" collapsed="false"/>
    <row r="780" customFormat="false" ht="12.75" hidden="false" customHeight="false" outlineLevel="0" collapsed="false"/>
    <row r="781" customFormat="false" ht="12.75" hidden="false" customHeight="false" outlineLevel="0" collapsed="false"/>
    <row r="782" customFormat="false" ht="12.75" hidden="false" customHeight="false" outlineLevel="0" collapsed="false"/>
    <row r="783" customFormat="false" ht="12.75" hidden="false" customHeight="false" outlineLevel="0" collapsed="false"/>
    <row r="784" customFormat="false" ht="12.75" hidden="false" customHeight="false" outlineLevel="0" collapsed="false"/>
    <row r="785" customFormat="false" ht="12.75" hidden="false" customHeight="false" outlineLevel="0" collapsed="false"/>
    <row r="786" customFormat="false" ht="12.75" hidden="false" customHeight="false" outlineLevel="0" collapsed="false"/>
    <row r="787" customFormat="false" ht="12.75" hidden="false" customHeight="false" outlineLevel="0" collapsed="false"/>
    <row r="788" customFormat="false" ht="12.75" hidden="false" customHeight="false" outlineLevel="0" collapsed="false"/>
    <row r="789" customFormat="false" ht="12.75" hidden="false" customHeight="false" outlineLevel="0" collapsed="false"/>
    <row r="790" customFormat="false" ht="12.75" hidden="false" customHeight="false" outlineLevel="0" collapsed="false"/>
    <row r="791" customFormat="false" ht="12.75" hidden="false" customHeight="false" outlineLevel="0" collapsed="false"/>
    <row r="792" customFormat="false" ht="12.75" hidden="false" customHeight="false" outlineLevel="0" collapsed="false"/>
    <row r="793" customFormat="false" ht="12.75" hidden="false" customHeight="false" outlineLevel="0" collapsed="false"/>
    <row r="794" customFormat="false" ht="12.75" hidden="false" customHeight="false" outlineLevel="0" collapsed="false"/>
    <row r="795" customFormat="false" ht="12.75" hidden="false" customHeight="false" outlineLevel="0" collapsed="false"/>
    <row r="796" customFormat="false" ht="12.75" hidden="false" customHeight="false" outlineLevel="0" collapsed="false"/>
    <row r="797" customFormat="false" ht="12.75" hidden="false" customHeight="false" outlineLevel="0" collapsed="false"/>
    <row r="798" customFormat="false" ht="12.75" hidden="false" customHeight="false" outlineLevel="0" collapsed="false"/>
    <row r="799" customFormat="false" ht="12.75" hidden="false" customHeight="false" outlineLevel="0" collapsed="false"/>
    <row r="800" customFormat="false" ht="12.75" hidden="false" customHeight="false" outlineLevel="0" collapsed="false"/>
    <row r="801" customFormat="false" ht="12.75" hidden="false" customHeight="false" outlineLevel="0" collapsed="false"/>
    <row r="802" customFormat="false" ht="12.75" hidden="false" customHeight="false" outlineLevel="0" collapsed="false"/>
    <row r="803" customFormat="false" ht="12.75" hidden="false" customHeight="false" outlineLevel="0" collapsed="false"/>
    <row r="804" customFormat="false" ht="12.75" hidden="false" customHeight="false" outlineLevel="0" collapsed="false"/>
    <row r="805" customFormat="false" ht="12.75" hidden="false" customHeight="false" outlineLevel="0" collapsed="false"/>
    <row r="806" customFormat="false" ht="12.75" hidden="false" customHeight="false" outlineLevel="0" collapsed="false"/>
    <row r="807" customFormat="false" ht="12.75" hidden="false" customHeight="false" outlineLevel="0" collapsed="false"/>
    <row r="808" customFormat="false" ht="12.75" hidden="false" customHeight="false" outlineLevel="0" collapsed="false"/>
    <row r="809" customFormat="false" ht="12.75" hidden="false" customHeight="false" outlineLevel="0" collapsed="false"/>
    <row r="810" customFormat="false" ht="12.75" hidden="false" customHeight="false" outlineLevel="0" collapsed="false"/>
    <row r="811" customFormat="false" ht="12.75" hidden="false" customHeight="false" outlineLevel="0" collapsed="false"/>
    <row r="812" customFormat="false" ht="12.75" hidden="false" customHeight="false" outlineLevel="0" collapsed="false"/>
    <row r="813" customFormat="false" ht="12.75" hidden="false" customHeight="false" outlineLevel="0" collapsed="false"/>
    <row r="814" customFormat="false" ht="12.75" hidden="false" customHeight="false" outlineLevel="0" collapsed="false"/>
    <row r="815" customFormat="false" ht="12.75" hidden="false" customHeight="false" outlineLevel="0" collapsed="false"/>
    <row r="816" customFormat="false" ht="12.75" hidden="false" customHeight="false" outlineLevel="0" collapsed="false"/>
    <row r="817" customFormat="false" ht="12.75" hidden="false" customHeight="false" outlineLevel="0" collapsed="false"/>
    <row r="818" customFormat="false" ht="12.75" hidden="false" customHeight="false" outlineLevel="0" collapsed="false"/>
    <row r="819" customFormat="false" ht="12.75" hidden="false" customHeight="false" outlineLevel="0" collapsed="false"/>
    <row r="820" customFormat="false" ht="12.75" hidden="false" customHeight="false" outlineLevel="0" collapsed="false"/>
    <row r="821" customFormat="false" ht="12.75" hidden="false" customHeight="false" outlineLevel="0" collapsed="false"/>
    <row r="822" customFormat="false" ht="12.75" hidden="false" customHeight="false" outlineLevel="0" collapsed="false"/>
    <row r="823" customFormat="false" ht="12.75" hidden="false" customHeight="false" outlineLevel="0" collapsed="false"/>
    <row r="824" customFormat="false" ht="12.75" hidden="false" customHeight="false" outlineLevel="0" collapsed="false"/>
    <row r="825" customFormat="false" ht="12.75" hidden="false" customHeight="false" outlineLevel="0" collapsed="false"/>
    <row r="826" customFormat="false" ht="12.75" hidden="false" customHeight="false" outlineLevel="0" collapsed="false"/>
    <row r="827" customFormat="false" ht="12.75" hidden="false" customHeight="false" outlineLevel="0" collapsed="false"/>
    <row r="828" customFormat="false" ht="12.75" hidden="false" customHeight="false" outlineLevel="0" collapsed="false"/>
    <row r="829" customFormat="false" ht="12.75" hidden="false" customHeight="false" outlineLevel="0" collapsed="false"/>
    <row r="830" customFormat="false" ht="12.75" hidden="false" customHeight="false" outlineLevel="0" collapsed="false"/>
    <row r="831" customFormat="false" ht="12.75" hidden="false" customHeight="false" outlineLevel="0" collapsed="false"/>
    <row r="832" customFormat="false" ht="12.75" hidden="false" customHeight="false" outlineLevel="0" collapsed="false"/>
    <row r="833" customFormat="false" ht="12.75" hidden="false" customHeight="false" outlineLevel="0" collapsed="false"/>
    <row r="834" customFormat="false" ht="12.75" hidden="false" customHeight="false" outlineLevel="0" collapsed="false"/>
    <row r="835" customFormat="false" ht="12.75" hidden="false" customHeight="false" outlineLevel="0" collapsed="false"/>
    <row r="836" customFormat="false" ht="12.75" hidden="false" customHeight="false" outlineLevel="0" collapsed="false"/>
    <row r="837" customFormat="false" ht="12.75" hidden="false" customHeight="false" outlineLevel="0" collapsed="false"/>
    <row r="838" customFormat="false" ht="12.75" hidden="false" customHeight="false" outlineLevel="0" collapsed="false"/>
    <row r="839" customFormat="false" ht="12.75" hidden="false" customHeight="false" outlineLevel="0" collapsed="false"/>
    <row r="840" customFormat="false" ht="12.75" hidden="false" customHeight="false" outlineLevel="0" collapsed="false"/>
    <row r="841" customFormat="false" ht="12.75" hidden="false" customHeight="false" outlineLevel="0" collapsed="false"/>
    <row r="842" customFormat="false" ht="12.75" hidden="false" customHeight="false" outlineLevel="0" collapsed="false"/>
    <row r="843" customFormat="false" ht="12.75" hidden="false" customHeight="false" outlineLevel="0" collapsed="false"/>
    <row r="844" customFormat="false" ht="12.75" hidden="false" customHeight="false" outlineLevel="0" collapsed="false"/>
    <row r="845" customFormat="false" ht="12.75" hidden="false" customHeight="false" outlineLevel="0" collapsed="false"/>
    <row r="846" customFormat="false" ht="12.75" hidden="false" customHeight="false" outlineLevel="0" collapsed="false"/>
    <row r="847" customFormat="false" ht="12.75" hidden="false" customHeight="false" outlineLevel="0" collapsed="false"/>
    <row r="848" customFormat="false" ht="12.75" hidden="false" customHeight="false" outlineLevel="0" collapsed="false"/>
    <row r="849" customFormat="false" ht="12.75" hidden="false" customHeight="false" outlineLevel="0" collapsed="false"/>
    <row r="850" customFormat="false" ht="12.75" hidden="false" customHeight="false" outlineLevel="0" collapsed="false"/>
    <row r="851" customFormat="false" ht="12.75" hidden="false" customHeight="false" outlineLevel="0" collapsed="false"/>
    <row r="852" customFormat="false" ht="12.75" hidden="false" customHeight="false" outlineLevel="0" collapsed="false"/>
    <row r="853" customFormat="false" ht="12.75" hidden="false" customHeight="false" outlineLevel="0" collapsed="false"/>
    <row r="854" customFormat="false" ht="12.75" hidden="false" customHeight="false" outlineLevel="0" collapsed="false"/>
    <row r="855" customFormat="false" ht="12.75" hidden="false" customHeight="false" outlineLevel="0" collapsed="false"/>
    <row r="856" customFormat="false" ht="12.75" hidden="false" customHeight="false" outlineLevel="0" collapsed="false"/>
    <row r="857" customFormat="false" ht="12.75" hidden="false" customHeight="false" outlineLevel="0" collapsed="false"/>
    <row r="858" customFormat="false" ht="12.75" hidden="false" customHeight="false" outlineLevel="0" collapsed="false"/>
    <row r="859" customFormat="false" ht="12.75" hidden="false" customHeight="false" outlineLevel="0" collapsed="false"/>
    <row r="860" customFormat="false" ht="12.75" hidden="false" customHeight="false" outlineLevel="0" collapsed="false"/>
    <row r="861" customFormat="false" ht="12.75" hidden="false" customHeight="false" outlineLevel="0" collapsed="false"/>
    <row r="862" customFormat="false" ht="12.75" hidden="false" customHeight="false" outlineLevel="0" collapsed="false"/>
    <row r="863" customFormat="false" ht="12.75" hidden="false" customHeight="false" outlineLevel="0" collapsed="false"/>
    <row r="864" customFormat="false" ht="12.75" hidden="false" customHeight="false" outlineLevel="0" collapsed="false"/>
    <row r="865" customFormat="false" ht="12.75" hidden="false" customHeight="false" outlineLevel="0" collapsed="false"/>
    <row r="866" customFormat="false" ht="12.75" hidden="false" customHeight="false" outlineLevel="0" collapsed="false"/>
    <row r="867" customFormat="false" ht="12.75" hidden="false" customHeight="false" outlineLevel="0" collapsed="false"/>
    <row r="868" customFormat="false" ht="12.75" hidden="false" customHeight="false" outlineLevel="0" collapsed="false"/>
    <row r="869" customFormat="false" ht="12.75" hidden="false" customHeight="false" outlineLevel="0" collapsed="false"/>
    <row r="870" customFormat="false" ht="12.75" hidden="false" customHeight="false" outlineLevel="0" collapsed="false"/>
    <row r="871" customFormat="false" ht="12.75" hidden="false" customHeight="false" outlineLevel="0" collapsed="false"/>
    <row r="872" customFormat="false" ht="12.75" hidden="false" customHeight="false" outlineLevel="0" collapsed="false"/>
    <row r="873" customFormat="false" ht="12.75" hidden="false" customHeight="false" outlineLevel="0" collapsed="false"/>
    <row r="874" customFormat="false" ht="12.75" hidden="false" customHeight="false" outlineLevel="0" collapsed="false"/>
    <row r="875" customFormat="false" ht="12.75" hidden="false" customHeight="false" outlineLevel="0" collapsed="false"/>
    <row r="876" customFormat="false" ht="12.75" hidden="false" customHeight="false" outlineLevel="0" collapsed="false"/>
    <row r="877" customFormat="false" ht="12.75" hidden="false" customHeight="false" outlineLevel="0" collapsed="false"/>
    <row r="878" customFormat="false" ht="12.75" hidden="false" customHeight="false" outlineLevel="0" collapsed="false"/>
    <row r="879" customFormat="false" ht="12.75" hidden="false" customHeight="false" outlineLevel="0" collapsed="false"/>
    <row r="880" customFormat="false" ht="12.75" hidden="false" customHeight="false" outlineLevel="0" collapsed="false"/>
    <row r="881" customFormat="false" ht="12.75" hidden="false" customHeight="false" outlineLevel="0" collapsed="false"/>
    <row r="882" customFormat="false" ht="12.75" hidden="false" customHeight="false" outlineLevel="0" collapsed="false"/>
    <row r="883" customFormat="false" ht="12.75" hidden="false" customHeight="false" outlineLevel="0" collapsed="false"/>
    <row r="884" customFormat="false" ht="12.75" hidden="false" customHeight="false" outlineLevel="0" collapsed="false"/>
    <row r="885" customFormat="false" ht="12.75" hidden="false" customHeight="false" outlineLevel="0" collapsed="false"/>
    <row r="886" customFormat="false" ht="12.75" hidden="false" customHeight="false" outlineLevel="0" collapsed="false"/>
    <row r="887" customFormat="false" ht="12.75" hidden="false" customHeight="false" outlineLevel="0" collapsed="false"/>
    <row r="888" customFormat="false" ht="12.75" hidden="false" customHeight="false" outlineLevel="0" collapsed="false"/>
    <row r="889" customFormat="false" ht="12.75" hidden="false" customHeight="false" outlineLevel="0" collapsed="false"/>
    <row r="890" customFormat="false" ht="12.75" hidden="false" customHeight="false" outlineLevel="0" collapsed="false"/>
    <row r="891" customFormat="false" ht="12.75" hidden="false" customHeight="false" outlineLevel="0" collapsed="false"/>
    <row r="892" customFormat="false" ht="12.75" hidden="false" customHeight="false" outlineLevel="0" collapsed="false"/>
    <row r="893" customFormat="false" ht="12.75" hidden="false" customHeight="false" outlineLevel="0" collapsed="false"/>
    <row r="894" customFormat="false" ht="12.75" hidden="false" customHeight="false" outlineLevel="0" collapsed="false"/>
    <row r="895" customFormat="false" ht="12.75" hidden="false" customHeight="false" outlineLevel="0" collapsed="false"/>
    <row r="896" customFormat="false" ht="12.75" hidden="false" customHeight="false" outlineLevel="0" collapsed="false"/>
    <row r="897" customFormat="false" ht="12.75" hidden="false" customHeight="false" outlineLevel="0" collapsed="false"/>
    <row r="898" customFormat="false" ht="12.75" hidden="false" customHeight="false" outlineLevel="0" collapsed="false"/>
    <row r="899" customFormat="false" ht="12.75" hidden="false" customHeight="false" outlineLevel="0" collapsed="false"/>
    <row r="900" customFormat="false" ht="12.75" hidden="false" customHeight="false" outlineLevel="0" collapsed="false"/>
    <row r="901" customFormat="false" ht="12.75" hidden="false" customHeight="false" outlineLevel="0" collapsed="false"/>
    <row r="902" customFormat="false" ht="12.75" hidden="false" customHeight="false" outlineLevel="0" collapsed="false"/>
    <row r="903" customFormat="false" ht="12.75" hidden="false" customHeight="false" outlineLevel="0" collapsed="false"/>
    <row r="904" customFormat="false" ht="12.75" hidden="false" customHeight="false" outlineLevel="0" collapsed="false"/>
    <row r="905" customFormat="false" ht="12.75" hidden="false" customHeight="false" outlineLevel="0" collapsed="false"/>
    <row r="906" customFormat="false" ht="12.75" hidden="false" customHeight="false" outlineLevel="0" collapsed="false"/>
    <row r="907" customFormat="false" ht="12.75" hidden="false" customHeight="false" outlineLevel="0" collapsed="false"/>
    <row r="908" customFormat="false" ht="12.75" hidden="false" customHeight="false" outlineLevel="0" collapsed="false"/>
    <row r="909" customFormat="false" ht="12.75" hidden="false" customHeight="false" outlineLevel="0" collapsed="false"/>
    <row r="910" customFormat="false" ht="12.75" hidden="false" customHeight="false" outlineLevel="0" collapsed="false"/>
    <row r="911" customFormat="false" ht="12.75" hidden="false" customHeight="false" outlineLevel="0" collapsed="false"/>
    <row r="912" customFormat="false" ht="12.75" hidden="false" customHeight="false" outlineLevel="0" collapsed="false"/>
    <row r="913" customFormat="false" ht="12.75" hidden="false" customHeight="false" outlineLevel="0" collapsed="false"/>
    <row r="914" customFormat="false" ht="12.75" hidden="false" customHeight="false" outlineLevel="0" collapsed="false"/>
    <row r="915" customFormat="false" ht="12.75" hidden="false" customHeight="false" outlineLevel="0" collapsed="false"/>
    <row r="916" customFormat="false" ht="12.75" hidden="false" customHeight="false" outlineLevel="0" collapsed="false"/>
    <row r="917" customFormat="false" ht="12.75" hidden="false" customHeight="false" outlineLevel="0" collapsed="false"/>
    <row r="918" customFormat="false" ht="12.75" hidden="false" customHeight="false" outlineLevel="0" collapsed="false"/>
    <row r="919" customFormat="false" ht="12.75" hidden="false" customHeight="false" outlineLevel="0" collapsed="false"/>
    <row r="920" customFormat="false" ht="12.75" hidden="false" customHeight="false" outlineLevel="0" collapsed="false"/>
    <row r="921" customFormat="false" ht="12.75" hidden="false" customHeight="false" outlineLevel="0" collapsed="false"/>
    <row r="922" customFormat="false" ht="12.75" hidden="false" customHeight="false" outlineLevel="0" collapsed="false"/>
    <row r="923" customFormat="false" ht="12.75" hidden="false" customHeight="false" outlineLevel="0" collapsed="false"/>
    <row r="924" customFormat="false" ht="12.75" hidden="false" customHeight="false" outlineLevel="0" collapsed="false"/>
    <row r="925" customFormat="false" ht="12.75" hidden="false" customHeight="false" outlineLevel="0" collapsed="false"/>
    <row r="926" customFormat="false" ht="12.75" hidden="false" customHeight="false" outlineLevel="0" collapsed="false"/>
    <row r="927" customFormat="false" ht="12.75" hidden="false" customHeight="false" outlineLevel="0" collapsed="false"/>
    <row r="928" customFormat="false" ht="12.75" hidden="false" customHeight="false" outlineLevel="0" collapsed="false"/>
    <row r="929" customFormat="false" ht="12.75" hidden="false" customHeight="false" outlineLevel="0" collapsed="false"/>
    <row r="930" customFormat="false" ht="12.75" hidden="false" customHeight="false" outlineLevel="0" collapsed="false"/>
    <row r="931" customFormat="false" ht="12.75" hidden="false" customHeight="false" outlineLevel="0" collapsed="false"/>
    <row r="932" customFormat="false" ht="12.75" hidden="false" customHeight="false" outlineLevel="0" collapsed="false"/>
    <row r="933" customFormat="false" ht="12.75" hidden="false" customHeight="false" outlineLevel="0" collapsed="false"/>
    <row r="934" customFormat="false" ht="12.75" hidden="false" customHeight="false" outlineLevel="0" collapsed="false"/>
    <row r="935" customFormat="false" ht="12.75" hidden="false" customHeight="false" outlineLevel="0" collapsed="false"/>
    <row r="936" customFormat="false" ht="12.75" hidden="false" customHeight="false" outlineLevel="0" collapsed="false"/>
    <row r="937" customFormat="false" ht="12.75" hidden="false" customHeight="false" outlineLevel="0" collapsed="false"/>
    <row r="938" customFormat="false" ht="12.75" hidden="false" customHeight="false" outlineLevel="0" collapsed="false"/>
    <row r="939" customFormat="false" ht="12.75" hidden="false" customHeight="false" outlineLevel="0" collapsed="false"/>
    <row r="940" customFormat="false" ht="12.75" hidden="false" customHeight="false" outlineLevel="0" collapsed="false"/>
    <row r="941" customFormat="false" ht="12.75" hidden="false" customHeight="false" outlineLevel="0" collapsed="false"/>
    <row r="942" customFormat="false" ht="12.75" hidden="false" customHeight="false" outlineLevel="0" collapsed="false"/>
    <row r="943" customFormat="false" ht="12.75" hidden="false" customHeight="false" outlineLevel="0" collapsed="false"/>
    <row r="944" customFormat="false" ht="12.75" hidden="false" customHeight="false" outlineLevel="0" collapsed="false"/>
    <row r="945" customFormat="false" ht="12.75" hidden="false" customHeight="false" outlineLevel="0" collapsed="false"/>
    <row r="946" customFormat="false" ht="12.75" hidden="false" customHeight="false" outlineLevel="0" collapsed="false"/>
    <row r="947" customFormat="false" ht="12.75" hidden="false" customHeight="false" outlineLevel="0" collapsed="false"/>
    <row r="948" customFormat="false" ht="12.75" hidden="false" customHeight="false" outlineLevel="0" collapsed="false"/>
    <row r="949" customFormat="false" ht="12.75" hidden="false" customHeight="false" outlineLevel="0" collapsed="false"/>
    <row r="950" customFormat="false" ht="12.75" hidden="false" customHeight="false" outlineLevel="0" collapsed="false"/>
    <row r="951" customFormat="false" ht="12.75" hidden="false" customHeight="false" outlineLevel="0" collapsed="false"/>
    <row r="952" customFormat="false" ht="12.75" hidden="false" customHeight="false" outlineLevel="0" collapsed="false"/>
    <row r="953" customFormat="false" ht="12.75" hidden="false" customHeight="false" outlineLevel="0" collapsed="false"/>
    <row r="954" customFormat="false" ht="12.75" hidden="false" customHeight="false" outlineLevel="0" collapsed="false"/>
    <row r="955" customFormat="false" ht="12.75" hidden="false" customHeight="false" outlineLevel="0" collapsed="false"/>
    <row r="956" customFormat="false" ht="12.75" hidden="false" customHeight="false" outlineLevel="0" collapsed="false"/>
    <row r="957" customFormat="false" ht="12.75" hidden="false" customHeight="false" outlineLevel="0" collapsed="false"/>
    <row r="958" customFormat="false" ht="12.75" hidden="false" customHeight="false" outlineLevel="0" collapsed="false"/>
    <row r="959" customFormat="false" ht="12.75" hidden="false" customHeight="false" outlineLevel="0" collapsed="false"/>
    <row r="960" customFormat="false" ht="12.75" hidden="false" customHeight="false" outlineLevel="0" collapsed="false"/>
    <row r="961" customFormat="false" ht="12.75" hidden="false" customHeight="false" outlineLevel="0" collapsed="false"/>
    <row r="962" customFormat="false" ht="12.75" hidden="false" customHeight="false" outlineLevel="0" collapsed="false"/>
    <row r="963" customFormat="false" ht="12.75" hidden="false" customHeight="false" outlineLevel="0" collapsed="false"/>
    <row r="964" customFormat="false" ht="12.75" hidden="false" customHeight="false" outlineLevel="0" collapsed="false"/>
    <row r="965" customFormat="false" ht="12.75" hidden="false" customHeight="false" outlineLevel="0" collapsed="false"/>
    <row r="966" customFormat="false" ht="12.75" hidden="false" customHeight="false" outlineLevel="0" collapsed="false"/>
    <row r="967" customFormat="false" ht="12.75" hidden="false" customHeight="false" outlineLevel="0" collapsed="false"/>
    <row r="968" customFormat="false" ht="12.75" hidden="false" customHeight="false" outlineLevel="0" collapsed="false"/>
    <row r="969" customFormat="false" ht="12.75" hidden="false" customHeight="false" outlineLevel="0" collapsed="false"/>
    <row r="970" customFormat="false" ht="12.75" hidden="false" customHeight="false" outlineLevel="0" collapsed="false"/>
    <row r="971" customFormat="false" ht="12.75" hidden="false" customHeight="false" outlineLevel="0" collapsed="false"/>
    <row r="972" customFormat="false" ht="12.75" hidden="false" customHeight="false" outlineLevel="0" collapsed="false"/>
    <row r="973" customFormat="false" ht="12.75" hidden="false" customHeight="false" outlineLevel="0" collapsed="false"/>
    <row r="974" customFormat="false" ht="12.75" hidden="false" customHeight="false" outlineLevel="0" collapsed="false"/>
    <row r="975" customFormat="false" ht="12.75" hidden="false" customHeight="false" outlineLevel="0" collapsed="false"/>
    <row r="976" customFormat="false" ht="12.75" hidden="false" customHeight="false" outlineLevel="0" collapsed="false"/>
    <row r="977" customFormat="false" ht="12.75" hidden="false" customHeight="false" outlineLevel="0" collapsed="false"/>
    <row r="978" customFormat="false" ht="12.75" hidden="false" customHeight="false" outlineLevel="0" collapsed="false"/>
    <row r="979" customFormat="false" ht="12.75" hidden="false" customHeight="false" outlineLevel="0" collapsed="false"/>
    <row r="980" customFormat="false" ht="12.75" hidden="false" customHeight="false" outlineLevel="0" collapsed="false"/>
    <row r="981" customFormat="false" ht="12.75" hidden="false" customHeight="false" outlineLevel="0" collapsed="false"/>
    <row r="982" customFormat="false" ht="12.75" hidden="false" customHeight="false" outlineLevel="0" collapsed="false"/>
    <row r="983" customFormat="false" ht="12.75" hidden="false" customHeight="false" outlineLevel="0" collapsed="false"/>
    <row r="984" customFormat="false" ht="12.75" hidden="false" customHeight="false" outlineLevel="0" collapsed="false"/>
    <row r="985" customFormat="false" ht="12.75" hidden="false" customHeight="false" outlineLevel="0" collapsed="false"/>
    <row r="986" customFormat="false" ht="12.75" hidden="false" customHeight="false" outlineLevel="0" collapsed="false"/>
    <row r="987" customFormat="false" ht="12.75" hidden="false" customHeight="false" outlineLevel="0" collapsed="false"/>
    <row r="988" customFormat="false" ht="12.75" hidden="false" customHeight="false" outlineLevel="0" collapsed="false"/>
    <row r="989" customFormat="false" ht="12.75" hidden="false" customHeight="false" outlineLevel="0" collapsed="false"/>
    <row r="990" customFormat="false" ht="12.75" hidden="false" customHeight="false" outlineLevel="0" collapsed="false"/>
    <row r="991" customFormat="false" ht="12.75" hidden="false" customHeight="false" outlineLevel="0" collapsed="false"/>
    <row r="992" customFormat="false" ht="12.75" hidden="false" customHeight="false" outlineLevel="0" collapsed="false"/>
    <row r="993" customFormat="false" ht="12.75" hidden="false" customHeight="false" outlineLevel="0" collapsed="false"/>
    <row r="994" customFormat="false" ht="12.75" hidden="false" customHeight="false" outlineLevel="0" collapsed="false"/>
    <row r="995" customFormat="false" ht="12.75" hidden="false" customHeight="false" outlineLevel="0" collapsed="false"/>
    <row r="996" customFormat="false" ht="12.75" hidden="false" customHeight="false" outlineLevel="0" collapsed="false"/>
    <row r="997" customFormat="false" ht="12.75" hidden="false" customHeight="false" outlineLevel="0" collapsed="false"/>
    <row r="998" customFormat="false" ht="12.75" hidden="false" customHeight="false" outlineLevel="0" collapsed="false"/>
    <row r="999" customFormat="false" ht="12.75" hidden="false" customHeight="false" outlineLevel="0" collapsed="false"/>
    <row r="1000" customFormat="false" ht="12.75" hidden="false" customHeight="false" outlineLevel="0" collapsed="false"/>
    <row r="1001" customFormat="false" ht="12.75" hidden="false" customHeight="false" outlineLevel="0" collapsed="false"/>
  </sheetData>
  <mergeCells count="2">
    <mergeCell ref="H1:I1"/>
    <mergeCell ref="K5:M6"/>
  </mergeCells>
  <conditionalFormatting sqref="H6:H1001">
    <cfRule type="cellIs" priority="2" operator="between" aboveAverage="0" equalAverage="0" bottom="0" percent="0" rank="0" text="" dxfId="0">
      <formula>0</formula>
      <formula>0.5</formula>
    </cfRule>
  </conditionalFormatting>
  <conditionalFormatting sqref="H6:H1001">
    <cfRule type="cellIs" priority="3" operator="between" aboveAverage="0" equalAverage="0" bottom="0" percent="0" rank="0" text="" dxfId="1">
      <formula>0.51</formula>
      <formula>0.99</formula>
    </cfRule>
  </conditionalFormatting>
  <conditionalFormatting sqref="H6:H1001">
    <cfRule type="cellIs" priority="4" operator="greaterThanOrEqual" aboveAverage="0" equalAverage="0" bottom="0" percent="0" rank="0" text="" dxfId="2">
      <formula>1</formula>
    </cfRule>
  </conditionalFormatting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LibreOffice/5.3.4.2$Windows_x86 LibreOffice_project/f82d347ccc0be322489bf7da61d7e4ad13fe2ff3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2016-11-24T00:39:19Z</dcterms:created>
  <dc:creator>Luiza Moura Cardoso</dc:creator>
  <dc:description/>
  <dc:language>pt-BR</dc:language>
  <cp:lastModifiedBy/>
  <dcterms:modified xsi:type="dcterms:W3CDTF">2018-03-23T16:28:03Z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