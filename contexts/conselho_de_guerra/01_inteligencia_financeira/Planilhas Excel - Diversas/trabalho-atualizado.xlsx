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isele.alves\Desktop\"/>
    </mc:Choice>
  </mc:AlternateContent>
  <bookViews>
    <workbookView xWindow="0" yWindow="0" windowWidth="11490" windowHeight="4545" tabRatio="821" firstSheet="5" activeTab="5"/>
  </bookViews>
  <sheets>
    <sheet name="DIARIO" sheetId="7" r:id="rId1"/>
    <sheet name="FOLHA DE PAG." sheetId="14" r:id="rId2"/>
    <sheet name="RAZÃO ATIVO" sheetId="8" r:id="rId3"/>
    <sheet name="RAZÃO PASSIVO" sheetId="9" r:id="rId4"/>
    <sheet name="RAZÃO DESPESAS" sheetId="10" r:id="rId5"/>
    <sheet name="EQUIVALENCIA PATRIMONIAL" sheetId="15" r:id="rId6"/>
  </sheets>
  <externalReferences>
    <externalReference r:id="rId7"/>
  </externalReference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3" i="9" l="1"/>
  <c r="G42" i="9"/>
  <c r="G38" i="9"/>
  <c r="B32" i="10"/>
  <c r="H32" i="9"/>
  <c r="H48" i="9"/>
  <c r="B100" i="8"/>
  <c r="G51" i="8"/>
  <c r="D186" i="7"/>
  <c r="D183" i="7"/>
  <c r="D180" i="7"/>
  <c r="C106" i="7" l="1"/>
  <c r="C175" i="7" l="1"/>
  <c r="C15" i="7"/>
  <c r="C21" i="7"/>
  <c r="D149" i="7" l="1"/>
  <c r="C49" i="9" s="1"/>
  <c r="D150" i="7" l="1"/>
  <c r="H56" i="9" l="1"/>
  <c r="H61" i="9" s="1"/>
  <c r="C14" i="8"/>
  <c r="H13" i="9" l="1"/>
  <c r="G76" i="8"/>
  <c r="C166" i="7" l="1"/>
  <c r="D167" i="7" s="1"/>
  <c r="B52" i="8"/>
  <c r="D84" i="7"/>
  <c r="H12" i="9" s="1"/>
  <c r="C82" i="7"/>
  <c r="D40" i="7"/>
  <c r="H11" i="9" s="1"/>
  <c r="D41" i="7"/>
  <c r="C37" i="7"/>
  <c r="D42" i="7" l="1"/>
  <c r="J162" i="10" l="1"/>
  <c r="G11" i="7"/>
  <c r="C62" i="7" l="1"/>
  <c r="B128" i="7"/>
  <c r="D196" i="7"/>
  <c r="H95" i="8" s="1"/>
  <c r="C195" i="7"/>
  <c r="G95" i="8" s="1"/>
  <c r="D98" i="7" l="1"/>
  <c r="D94" i="7"/>
  <c r="B84" i="7"/>
  <c r="B83" i="7"/>
  <c r="B53" i="8"/>
  <c r="G44" i="8"/>
  <c r="D132" i="7" l="1"/>
  <c r="C13" i="8" s="1"/>
  <c r="G103" i="10" l="1"/>
  <c r="G107" i="10" s="1"/>
  <c r="C84" i="9"/>
  <c r="C88" i="9" s="1"/>
  <c r="B83" i="9"/>
  <c r="B84" i="9"/>
  <c r="B88" i="9" s="1"/>
  <c r="B89" i="9" l="1"/>
  <c r="B70" i="8"/>
  <c r="C10" i="8"/>
  <c r="C145" i="10" l="1"/>
  <c r="C2" i="9"/>
  <c r="B2" i="9"/>
  <c r="G58" i="8"/>
  <c r="B158" i="10"/>
  <c r="G103" i="8"/>
  <c r="H126" i="10"/>
  <c r="G108" i="8"/>
  <c r="H105" i="8"/>
  <c r="B56" i="10" l="1"/>
  <c r="B60" i="10" s="1"/>
  <c r="H47" i="10"/>
  <c r="H51" i="10" s="1"/>
  <c r="B176" i="7"/>
  <c r="B102" i="8"/>
  <c r="B120" i="10"/>
  <c r="C126" i="10"/>
  <c r="G74" i="9"/>
  <c r="G80" i="9"/>
  <c r="G111" i="10"/>
  <c r="H112" i="10"/>
  <c r="H117" i="10" s="1"/>
  <c r="C48" i="9"/>
  <c r="B103" i="7"/>
  <c r="B134" i="7" s="1"/>
  <c r="G46" i="10"/>
  <c r="C11" i="9"/>
  <c r="C15" i="9" s="1"/>
  <c r="B107" i="8"/>
  <c r="B76" i="8"/>
  <c r="B75" i="8"/>
  <c r="C141" i="10" l="1"/>
  <c r="B146" i="10"/>
  <c r="G99" i="8"/>
  <c r="G22" i="8"/>
  <c r="H99" i="8"/>
  <c r="G100" i="8" l="1"/>
  <c r="B6" i="9"/>
  <c r="D156" i="7" l="1"/>
  <c r="B206" i="7"/>
  <c r="D104" i="7"/>
  <c r="B51" i="8"/>
  <c r="G42" i="8"/>
  <c r="C163" i="7" l="1"/>
  <c r="B122" i="10" s="1"/>
  <c r="B111" i="10"/>
  <c r="C159" i="7" l="1"/>
  <c r="D164" i="7"/>
  <c r="C104" i="8" s="1"/>
  <c r="A8" i="15"/>
  <c r="B121" i="10" l="1"/>
  <c r="B125" i="10" s="1"/>
  <c r="B157" i="10" s="1"/>
  <c r="D160" i="7"/>
  <c r="C103" i="8" s="1"/>
  <c r="C107" i="8" s="1"/>
  <c r="C108" i="8" l="1"/>
  <c r="K2" i="8"/>
  <c r="K5" i="8" s="1"/>
  <c r="H89" i="8"/>
  <c r="C89" i="8"/>
  <c r="H80" i="8"/>
  <c r="C80" i="8"/>
  <c r="B80" i="8"/>
  <c r="H72" i="8"/>
  <c r="H63" i="8"/>
  <c r="C63" i="8"/>
  <c r="H54" i="8"/>
  <c r="C35" i="8"/>
  <c r="C27" i="8"/>
  <c r="G104" i="7"/>
  <c r="G158" i="7"/>
  <c r="G160" i="7" s="1"/>
  <c r="G161" i="7" s="1"/>
  <c r="G162" i="7" s="1"/>
  <c r="B155" i="10"/>
  <c r="G102" i="10"/>
  <c r="H108" i="10"/>
  <c r="G3" i="9"/>
  <c r="G6" i="9" s="1"/>
  <c r="B55" i="9"/>
  <c r="B125" i="7"/>
  <c r="G94" i="8" s="1"/>
  <c r="B124" i="7"/>
  <c r="B102" i="10"/>
  <c r="G85" i="8"/>
  <c r="G89" i="8" s="1"/>
  <c r="G84" i="8"/>
  <c r="B22" i="7"/>
  <c r="E7" i="14"/>
  <c r="E8" i="14"/>
  <c r="E9" i="14"/>
  <c r="E10" i="14"/>
  <c r="E11" i="14"/>
  <c r="E6" i="14"/>
  <c r="B121" i="7"/>
  <c r="D119" i="7"/>
  <c r="J12" i="14"/>
  <c r="E20" i="14"/>
  <c r="C12" i="14"/>
  <c r="C15" i="14" s="1"/>
  <c r="C25" i="14" s="1"/>
  <c r="F11" i="14"/>
  <c r="D11" i="14"/>
  <c r="K11" i="14" s="1"/>
  <c r="F10" i="14"/>
  <c r="D10" i="14"/>
  <c r="K10" i="14" s="1"/>
  <c r="F9" i="14"/>
  <c r="D9" i="14"/>
  <c r="K9" i="14" s="1"/>
  <c r="F8" i="14"/>
  <c r="D8" i="14"/>
  <c r="K8" i="14" s="1"/>
  <c r="F7" i="14"/>
  <c r="D7" i="14"/>
  <c r="K7" i="14" s="1"/>
  <c r="K6" i="14"/>
  <c r="I6" i="14"/>
  <c r="F6" i="14"/>
  <c r="D135" i="7"/>
  <c r="D80" i="7"/>
  <c r="H34" i="8" s="1"/>
  <c r="G90" i="8" l="1"/>
  <c r="K12" i="14"/>
  <c r="I9" i="14"/>
  <c r="I8" i="14"/>
  <c r="F12" i="14"/>
  <c r="I10" i="14"/>
  <c r="C103" i="10"/>
  <c r="C107" i="10" s="1"/>
  <c r="C143" i="10" s="1"/>
  <c r="H104" i="8"/>
  <c r="H108" i="8" s="1"/>
  <c r="H109" i="8" s="1"/>
  <c r="E12" i="14"/>
  <c r="C145" i="7" s="1"/>
  <c r="D146" i="7" s="1"/>
  <c r="C47" i="9" s="1"/>
  <c r="B81" i="8"/>
  <c r="C56" i="9"/>
  <c r="H2" i="9"/>
  <c r="H6" i="9" s="1"/>
  <c r="H7" i="9" s="1"/>
  <c r="E15" i="14"/>
  <c r="C16" i="14"/>
  <c r="C17" i="14" s="1"/>
  <c r="D12" i="14"/>
  <c r="I7" i="14"/>
  <c r="I11" i="14"/>
  <c r="C20" i="14" l="1"/>
  <c r="F24" i="14" s="1"/>
  <c r="C22" i="14"/>
  <c r="C21" i="14"/>
  <c r="D20" i="14"/>
  <c r="C152" i="7"/>
  <c r="G76" i="10" l="1"/>
  <c r="D153" i="7"/>
  <c r="H75" i="9" s="1"/>
  <c r="H80" i="9" s="1"/>
  <c r="G112" i="10"/>
  <c r="G116" i="10" s="1"/>
  <c r="G66" i="10"/>
  <c r="C75" i="9"/>
  <c r="C80" i="9" s="1"/>
  <c r="B74" i="9"/>
  <c r="B80" i="9"/>
  <c r="H2" i="8"/>
  <c r="H5" i="8" s="1"/>
  <c r="G94" i="10"/>
  <c r="G98" i="10" s="1"/>
  <c r="G93" i="10"/>
  <c r="B2" i="8"/>
  <c r="L2" i="8"/>
  <c r="L5" i="8" s="1"/>
  <c r="L6" i="8" s="1"/>
  <c r="G2" i="8"/>
  <c r="G5" i="8" s="1"/>
  <c r="B156" i="10" l="1"/>
  <c r="G6" i="8"/>
  <c r="B94" i="7" l="1"/>
  <c r="B65" i="9" l="1"/>
  <c r="B93" i="10"/>
  <c r="B84" i="8"/>
  <c r="G84" i="10"/>
  <c r="G88" i="10" s="1"/>
  <c r="G83" i="10"/>
  <c r="G55" i="9"/>
  <c r="B83" i="10"/>
  <c r="G75" i="10"/>
  <c r="G74" i="10"/>
  <c r="B61" i="9"/>
  <c r="G46" i="9"/>
  <c r="G64" i="10"/>
  <c r="B37" i="9"/>
  <c r="B52" i="9"/>
  <c r="B46" i="9"/>
  <c r="B71" i="9"/>
  <c r="H70" i="9"/>
  <c r="G70" i="9"/>
  <c r="G61" i="9"/>
  <c r="C61" i="9"/>
  <c r="C52" i="9"/>
  <c r="B75" i="10"/>
  <c r="B79" i="10" s="1"/>
  <c r="B74" i="10"/>
  <c r="H99" i="10"/>
  <c r="C99" i="10"/>
  <c r="H89" i="10"/>
  <c r="C89" i="10"/>
  <c r="H80" i="10"/>
  <c r="C80" i="10"/>
  <c r="H70" i="10"/>
  <c r="B64" i="10"/>
  <c r="G75" i="8"/>
  <c r="G31" i="10"/>
  <c r="C11" i="8"/>
  <c r="G56" i="10"/>
  <c r="G60" i="10" s="1"/>
  <c r="G55" i="10"/>
  <c r="H61" i="10"/>
  <c r="B55" i="10"/>
  <c r="B3" i="8"/>
  <c r="B18" i="8" s="1"/>
  <c r="C9" i="8"/>
  <c r="B47" i="10"/>
  <c r="B51" i="10" s="1"/>
  <c r="B46" i="10"/>
  <c r="C61" i="10"/>
  <c r="C52" i="10"/>
  <c r="G37" i="10"/>
  <c r="G30" i="10"/>
  <c r="G37" i="9"/>
  <c r="G68" i="8"/>
  <c r="G72" i="8" s="1"/>
  <c r="G73" i="8" s="1"/>
  <c r="G67" i="8"/>
  <c r="B38" i="10"/>
  <c r="B42" i="10" s="1"/>
  <c r="B37" i="10"/>
  <c r="G28" i="10"/>
  <c r="G28" i="9"/>
  <c r="B28" i="10"/>
  <c r="G19" i="10"/>
  <c r="B28" i="9"/>
  <c r="G19" i="9"/>
  <c r="B18" i="10"/>
  <c r="G10" i="10"/>
  <c r="B68" i="8"/>
  <c r="B67" i="8"/>
  <c r="G59" i="8"/>
  <c r="G63" i="8" s="1"/>
  <c r="G64" i="8" s="1"/>
  <c r="B18" i="9"/>
  <c r="G10" i="9"/>
  <c r="B11" i="10"/>
  <c r="B15" i="10" s="1"/>
  <c r="B142" i="10" s="1"/>
  <c r="B10" i="10"/>
  <c r="G2" i="10"/>
  <c r="G6" i="10" s="1"/>
  <c r="B141" i="10" s="1"/>
  <c r="G1" i="10"/>
  <c r="B59" i="8"/>
  <c r="B63" i="8" s="1"/>
  <c r="B58" i="8"/>
  <c r="G50" i="8"/>
  <c r="G49" i="8"/>
  <c r="B10" i="9"/>
  <c r="B49" i="8"/>
  <c r="G40" i="8"/>
  <c r="B40" i="8"/>
  <c r="G31" i="8"/>
  <c r="B31" i="8"/>
  <c r="B35" i="8" s="1"/>
  <c r="B36" i="8" s="1"/>
  <c r="B30" i="8"/>
  <c r="B1" i="10"/>
  <c r="G1" i="9"/>
  <c r="C6" i="9"/>
  <c r="B7" i="9" s="1"/>
  <c r="B1" i="9"/>
  <c r="B27" i="8"/>
  <c r="B28" i="8" s="1"/>
  <c r="G1" i="8"/>
  <c r="B1" i="8"/>
  <c r="G79" i="10" l="1"/>
  <c r="B143" i="10"/>
  <c r="B149" i="10"/>
  <c r="B147" i="10"/>
  <c r="B64" i="8"/>
  <c r="B145" i="10"/>
  <c r="B152" i="10"/>
  <c r="B150" i="10"/>
  <c r="H43" i="10"/>
  <c r="C43" i="10"/>
  <c r="H34" i="10"/>
  <c r="C34" i="10"/>
  <c r="H25" i="10"/>
  <c r="C24" i="10"/>
  <c r="C16" i="10"/>
  <c r="H7" i="10"/>
  <c r="C7" i="10"/>
  <c r="B43" i="9"/>
  <c r="B24" i="9"/>
  <c r="G16" i="9"/>
  <c r="D173" i="7" l="1"/>
  <c r="D170" i="7"/>
  <c r="C142" i="7"/>
  <c r="G65" i="10" s="1"/>
  <c r="G69" i="10" s="1"/>
  <c r="D140" i="7"/>
  <c r="C38" i="9" s="1"/>
  <c r="C42" i="9" s="1"/>
  <c r="B85" i="8" l="1"/>
  <c r="B89" i="8" s="1"/>
  <c r="B148" i="10"/>
  <c r="D143" i="7"/>
  <c r="H47" i="9" s="1"/>
  <c r="C65" i="10"/>
  <c r="C69" i="10" s="1"/>
  <c r="C12" i="8"/>
  <c r="B90" i="8" l="1"/>
  <c r="G52" i="9"/>
  <c r="H52" i="9"/>
  <c r="D4" i="15" l="1"/>
  <c r="D129" i="7"/>
  <c r="C112" i="10" s="1"/>
  <c r="C116" i="10" s="1"/>
  <c r="C144" i="10" s="1"/>
  <c r="C76" i="7"/>
  <c r="B30" i="10" s="1"/>
  <c r="C73" i="7"/>
  <c r="G21" i="10" s="1"/>
  <c r="C70" i="7"/>
  <c r="C56" i="7"/>
  <c r="B29" i="10" s="1"/>
  <c r="C53" i="7"/>
  <c r="G20" i="10" s="1"/>
  <c r="C50" i="7"/>
  <c r="B19" i="10" s="1"/>
  <c r="D48" i="7"/>
  <c r="H11" i="10" s="1"/>
  <c r="C19" i="9"/>
  <c r="D35" i="7"/>
  <c r="C4" i="8" s="1"/>
  <c r="D32" i="7"/>
  <c r="C3" i="8" s="1"/>
  <c r="C25" i="7"/>
  <c r="B41" i="8" s="1"/>
  <c r="D19" i="7"/>
  <c r="C2" i="8" s="1"/>
  <c r="D68" i="7"/>
  <c r="H12" i="10" s="1"/>
  <c r="D45" i="7"/>
  <c r="C6" i="8" s="1"/>
  <c r="C27" i="7"/>
  <c r="B50" i="8" s="1"/>
  <c r="B20" i="10" l="1"/>
  <c r="D71" i="7"/>
  <c r="H22" i="9" s="1"/>
  <c r="B45" i="8"/>
  <c r="G20" i="9"/>
  <c r="G24" i="9" s="1"/>
  <c r="C41" i="8"/>
  <c r="C45" i="8" s="1"/>
  <c r="G54" i="8"/>
  <c r="G55" i="8" s="1"/>
  <c r="B11" i="9"/>
  <c r="B15" i="9" s="1"/>
  <c r="C16" i="9" s="1"/>
  <c r="C68" i="8"/>
  <c r="C72" i="8" s="1"/>
  <c r="B94" i="10"/>
  <c r="B98" i="10" s="1"/>
  <c r="B153" i="10" s="1"/>
  <c r="D16" i="7"/>
  <c r="H23" i="8" s="1"/>
  <c r="D22" i="7"/>
  <c r="D51" i="7"/>
  <c r="H20" i="9" s="1"/>
  <c r="C7" i="8"/>
  <c r="D54" i="7"/>
  <c r="C29" i="9" s="1"/>
  <c r="C26" i="7"/>
  <c r="G41" i="8" s="1"/>
  <c r="D57" i="7"/>
  <c r="H29" i="9" s="1"/>
  <c r="D77" i="7"/>
  <c r="H30" i="9" s="1"/>
  <c r="D74" i="7"/>
  <c r="C30" i="9" s="1"/>
  <c r="B46" i="8" l="1"/>
  <c r="H24" i="8"/>
  <c r="G27" i="8"/>
  <c r="D176" i="7"/>
  <c r="C5" i="8"/>
  <c r="C24" i="7"/>
  <c r="C59" i="7" s="1"/>
  <c r="H27" i="8" l="1"/>
  <c r="H28" i="8" s="1"/>
  <c r="B2" i="10"/>
  <c r="B6" i="10" s="1"/>
  <c r="D177" i="7"/>
  <c r="C66" i="9" s="1"/>
  <c r="C71" i="9" s="1"/>
  <c r="H14" i="9"/>
  <c r="G32" i="8"/>
  <c r="G36" i="8" s="1"/>
  <c r="B140" i="10" l="1"/>
  <c r="B163" i="10"/>
  <c r="G29" i="10"/>
  <c r="D60" i="7"/>
  <c r="H32" i="8" l="1"/>
  <c r="G34" i="10"/>
  <c r="D116" i="7"/>
  <c r="B162" i="10" l="1"/>
  <c r="H33" i="8"/>
  <c r="H36" i="8" s="1"/>
  <c r="G37" i="8" s="1"/>
  <c r="H13" i="10" l="1"/>
  <c r="H15" i="10" s="1"/>
  <c r="C112" i="7"/>
  <c r="D113" i="7" s="1"/>
  <c r="B31" i="10" s="1"/>
  <c r="B34" i="10" s="1"/>
  <c r="C109" i="7"/>
  <c r="C31" i="9" s="1"/>
  <c r="C33" i="9" s="1"/>
  <c r="B161" i="10" l="1"/>
  <c r="C140" i="10"/>
  <c r="C168" i="10" s="1"/>
  <c r="H31" i="9"/>
  <c r="H33" i="9" s="1"/>
  <c r="D110" i="7"/>
  <c r="G22" i="10" s="1"/>
  <c r="G25" i="10" s="1"/>
  <c r="B69" i="8"/>
  <c r="H42" i="9"/>
  <c r="H21" i="9"/>
  <c r="H24" i="9" s="1"/>
  <c r="H25" i="9" s="1"/>
  <c r="D107" i="7"/>
  <c r="B21" i="10" s="1"/>
  <c r="B24" i="10" s="1"/>
  <c r="B72" i="8" l="1"/>
  <c r="B73" i="8" s="1"/>
  <c r="B160" i="10"/>
  <c r="B159" i="10" l="1"/>
  <c r="G80" i="8" l="1"/>
  <c r="G81" i="8" s="1"/>
  <c r="H16" i="9" l="1"/>
  <c r="G38" i="10"/>
  <c r="G42" i="10" s="1"/>
  <c r="B144" i="10" s="1"/>
  <c r="B168" i="10" s="1"/>
  <c r="B169" i="10" s="1"/>
  <c r="C8" i="8"/>
  <c r="C18" i="8" s="1"/>
  <c r="B19" i="8" s="1"/>
  <c r="G43" i="8"/>
  <c r="G45" i="8" s="1"/>
  <c r="H41" i="8" l="1"/>
  <c r="H45" i="8" s="1"/>
  <c r="G46" i="8" s="1"/>
  <c r="B29" i="9"/>
  <c r="B33" i="9" s="1"/>
  <c r="C34" i="9" s="1"/>
  <c r="B54" i="8"/>
  <c r="C20" i="9"/>
  <c r="C24" i="9" s="1"/>
  <c r="C50" i="8" l="1"/>
  <c r="C54" i="8" s="1"/>
  <c r="B55" i="8" s="1"/>
  <c r="G29" i="9"/>
  <c r="G33" i="9" s="1"/>
  <c r="H34" i="9" s="1"/>
  <c r="B84" i="10" l="1"/>
  <c r="B88" i="10" s="1"/>
  <c r="C191" i="7" l="1"/>
  <c r="D191" i="7"/>
  <c r="B201" i="7" s="1"/>
</calcChain>
</file>

<file path=xl/comments1.xml><?xml version="1.0" encoding="utf-8"?>
<comments xmlns="http://schemas.openxmlformats.org/spreadsheetml/2006/main">
  <authors>
    <author>Multitrans</author>
  </authors>
  <commentList>
    <comment ref="B118" authorId="0" shapeId="0">
      <text>
        <r>
          <rPr>
            <b/>
            <sz val="9"/>
            <color indexed="81"/>
            <rFont val="Segoe UI"/>
            <family val="2"/>
          </rPr>
          <t>Multitrans:</t>
        </r>
        <r>
          <rPr>
            <sz val="9"/>
            <color indexed="81"/>
            <rFont val="Segoe UI"/>
            <family val="2"/>
          </rPr>
          <t xml:space="preserve">
CONTA REDUTORA DO ATIVO</t>
        </r>
      </text>
    </comment>
  </commentList>
</comments>
</file>

<file path=xl/sharedStrings.xml><?xml version="1.0" encoding="utf-8"?>
<sst xmlns="http://schemas.openxmlformats.org/spreadsheetml/2006/main" count="315" uniqueCount="136">
  <si>
    <t>COFINS S/ FATURAMENTO</t>
  </si>
  <si>
    <t>DESCRIÇÃO</t>
  </si>
  <si>
    <t>DEBITO</t>
  </si>
  <si>
    <t>CREDITO</t>
  </si>
  <si>
    <t>BANCO</t>
  </si>
  <si>
    <t>VEICULO</t>
  </si>
  <si>
    <t>CAPITAL SOCIAL</t>
  </si>
  <si>
    <t>ESTOQUE X1</t>
  </si>
  <si>
    <t>ICMS A RECUPERAR</t>
  </si>
  <si>
    <t>PIS A RECUPERAR</t>
  </si>
  <si>
    <t>FORNECEDOR</t>
  </si>
  <si>
    <t>ESTOQUE X2</t>
  </si>
  <si>
    <t>ICMS S/ VENDAS</t>
  </si>
  <si>
    <t>ICMS A RECOLHER</t>
  </si>
  <si>
    <t>PIS S/ FATURAMETNO</t>
  </si>
  <si>
    <t>PIS A RECOLHER</t>
  </si>
  <si>
    <t>COFINS A RECOLHER</t>
  </si>
  <si>
    <t>CMV</t>
  </si>
  <si>
    <t>PIS S/VENDAS</t>
  </si>
  <si>
    <t>CONFINS S/VENDAS</t>
  </si>
  <si>
    <t>CONFINS A RECOLHER</t>
  </si>
  <si>
    <t>ICMS S/VENDAS</t>
  </si>
  <si>
    <t>ICMS S RECOLHER</t>
  </si>
  <si>
    <t>RECEITA DE SERVICOS</t>
  </si>
  <si>
    <t>IRRF A RECOLHER</t>
  </si>
  <si>
    <t>SALARIOS A PAGAR</t>
  </si>
  <si>
    <t>DATA</t>
  </si>
  <si>
    <t xml:space="preserve">DESPESAS COM DEPRECIAÇÃO </t>
  </si>
  <si>
    <t xml:space="preserve">INSTALAÇOES </t>
  </si>
  <si>
    <t>DESPESAS COM DEPRECIAÇÃO</t>
  </si>
  <si>
    <t xml:space="preserve">DESPESAS FINANCEIRAS </t>
  </si>
  <si>
    <t xml:space="preserve">DESPESAS COMERCIAS </t>
  </si>
  <si>
    <t>PCC A RECOLHER</t>
  </si>
  <si>
    <t>COFINS A RECUPERA</t>
  </si>
  <si>
    <t>PIS A RECUPERA</t>
  </si>
  <si>
    <t>CLIENTE LADA</t>
  </si>
  <si>
    <t>DESPESAS ASSESSORIA TEC.</t>
  </si>
  <si>
    <t xml:space="preserve">DESPESAS ADMINISTRATIVAS </t>
  </si>
  <si>
    <t>RECEITAS (JUROS)</t>
  </si>
  <si>
    <t>DEPESAS COM MULTAS (IRPJ)</t>
  </si>
  <si>
    <t>FGTS A RECOLHER</t>
  </si>
  <si>
    <t>DESPESAS COM SALARIOS</t>
  </si>
  <si>
    <t>INSS A RECOLHER</t>
  </si>
  <si>
    <t>DESPESAS COM FGTS</t>
  </si>
  <si>
    <t>DESPESAS COM INSS</t>
  </si>
  <si>
    <t xml:space="preserve">DESPESAS COM 13º SALARIOS </t>
  </si>
  <si>
    <t>DESPESAS COM PROVISOES PCLD</t>
  </si>
  <si>
    <t>DESP. PROVISÃO P/ GARANTIA DE PROD.</t>
  </si>
  <si>
    <t>DESP. COM JCP</t>
  </si>
  <si>
    <t>JCP A PAGAR</t>
  </si>
  <si>
    <t xml:space="preserve">TOTAL </t>
  </si>
  <si>
    <t>D</t>
  </si>
  <si>
    <t>C</t>
  </si>
  <si>
    <t>COFINS A RECUPERAR</t>
  </si>
  <si>
    <t xml:space="preserve">IRRF A RECOLHER </t>
  </si>
  <si>
    <t>DESP. C/ JUROS</t>
  </si>
  <si>
    <t>RECEITA DE VENDA</t>
  </si>
  <si>
    <t>COFINS S/VENDAS</t>
  </si>
  <si>
    <t>ARE</t>
  </si>
  <si>
    <t>TOTAL</t>
  </si>
  <si>
    <t>PIS S/ VENDA</t>
  </si>
  <si>
    <t>CAPITAL A INTEGRALIZAR</t>
  </si>
  <si>
    <t xml:space="preserve">CAPITAL SOCIAL  </t>
  </si>
  <si>
    <t>JUROS APROPRIAR</t>
  </si>
  <si>
    <t>FINANCIAMENTO C. PRAZO</t>
  </si>
  <si>
    <t>FINANCIAMENTO L. PRAZO</t>
  </si>
  <si>
    <t>MARCIA</t>
  </si>
  <si>
    <t>DESP. C/ ALUGUEL LADA</t>
  </si>
  <si>
    <t>INVESTIMENTO PETROCRASH</t>
  </si>
  <si>
    <t>DESPESAS C/FÉRIAS</t>
  </si>
  <si>
    <t>PROVISAO DE FÉRIAS</t>
  </si>
  <si>
    <t>FUNCÃO</t>
  </si>
  <si>
    <t>SALARIO</t>
  </si>
  <si>
    <t>INSS</t>
  </si>
  <si>
    <t>INSS PATRONAL</t>
  </si>
  <si>
    <t>FGTS</t>
  </si>
  <si>
    <t>DEPENDENTES</t>
  </si>
  <si>
    <t>PENSÃO</t>
  </si>
  <si>
    <t>BASE DO IR</t>
  </si>
  <si>
    <t>IRRF RETIDO</t>
  </si>
  <si>
    <t>FOLHA DE 12/2016</t>
  </si>
  <si>
    <t>PROVISAO 13.SALARIO</t>
  </si>
  <si>
    <t>PROVISAO DE 1/3 DE FÉRIAS</t>
  </si>
  <si>
    <t>FGTS S/PROVISOES</t>
  </si>
  <si>
    <t>INSS S/PROVISOES</t>
  </si>
  <si>
    <t>PARTICIP.SOCIETARIAS</t>
  </si>
  <si>
    <t>GANHO DE CAPITAL AVALIADOS PELO MEP</t>
  </si>
  <si>
    <t>VALOR NEGOCIADO</t>
  </si>
  <si>
    <t>PRAZO</t>
  </si>
  <si>
    <t>TAXA</t>
  </si>
  <si>
    <t>fv</t>
  </si>
  <si>
    <t>REC. FINANCEIRA A TRANSCORRER RED ATIVO</t>
  </si>
  <si>
    <t>RECEITA FINANCEIRA</t>
  </si>
  <si>
    <t>VENDA MERCADORIA (AJUSTE VLR PRESENTE)</t>
  </si>
  <si>
    <t>Valor vaiculo</t>
  </si>
  <si>
    <t xml:space="preserve">Meses utilizados </t>
  </si>
  <si>
    <t>(-)Depreciação</t>
  </si>
  <si>
    <t>Depre. Acumulada</t>
  </si>
  <si>
    <t>Valor contabil</t>
  </si>
  <si>
    <t xml:space="preserve">Valor recuperavel </t>
  </si>
  <si>
    <t xml:space="preserve">(-)PROVISÃO P/ GARANTIAS </t>
  </si>
  <si>
    <t>(-) PCLD</t>
  </si>
  <si>
    <t>(-) DEPRECIAÇÃO ACUMULADA</t>
  </si>
  <si>
    <t>DESP. C EMISSOES DE AÇOES dre</t>
  </si>
  <si>
    <t xml:space="preserve">LUCRO ACUMULADO </t>
  </si>
  <si>
    <t xml:space="preserve">RESULTADO DO EXERCICIO CONTROLADA DORA </t>
  </si>
  <si>
    <t>PARTICIPAÇÃO 80%</t>
  </si>
  <si>
    <t xml:space="preserve">RESULTADO DE EQUIVALENCIA </t>
  </si>
  <si>
    <t xml:space="preserve">DEBITO </t>
  </si>
  <si>
    <t>CRÉDITO</t>
  </si>
  <si>
    <t>PARTICIPAÇÃO SOCIETARIA DORA</t>
  </si>
  <si>
    <t>RECEITA DE EQUIVALENCIA PAT.</t>
  </si>
  <si>
    <t>AGIO NA EMISSÃO AÇOES</t>
  </si>
  <si>
    <t>ESTQOUE</t>
  </si>
  <si>
    <t>AGIO NA AQUISIÇÃO DE PART. SOCIETARIA</t>
  </si>
  <si>
    <t>TITULO A RECEBR ( EMPRESTIMO LADA)</t>
  </si>
  <si>
    <t>LADA</t>
  </si>
  <si>
    <t>DESP. COM PROVISÃO DE PERDA</t>
  </si>
  <si>
    <t>PROV. P/ PERDA COM DESVALORIÇÃO</t>
  </si>
  <si>
    <t>DEPRECIAÇÃO ACUMULADA (VEICULO)</t>
  </si>
  <si>
    <t>DEPRECIAÇÃO ACUMULADA (INSTALAÇÃO)</t>
  </si>
  <si>
    <t>CLIENTE ( dupl. A receber )</t>
  </si>
  <si>
    <t>Veiculo</t>
  </si>
  <si>
    <t>Instalação</t>
  </si>
  <si>
    <t>AJUSTE DE VALOR JUSTO</t>
  </si>
  <si>
    <t>RECITA AVJ</t>
  </si>
  <si>
    <t xml:space="preserve">JUROS A APROPRIAR </t>
  </si>
  <si>
    <t>PERDA POR DESVALORIZAÇÃO</t>
  </si>
  <si>
    <t xml:space="preserve">DESP. COM JUROS </t>
  </si>
  <si>
    <t>13º A PAGAR</t>
  </si>
  <si>
    <t>DESPESAS FGTS</t>
  </si>
  <si>
    <t>PROVISÃO FGTS</t>
  </si>
  <si>
    <t>DESPESAS INSS</t>
  </si>
  <si>
    <t>PROVISÃO INSS</t>
  </si>
  <si>
    <t>PROVISÃO P/ GARANTIAS - PC</t>
  </si>
  <si>
    <t>AJUSTE AONVALOR JUSTO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</si>
</sst>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5" formatCode="_(* #,##0.00_);_(* \(#,##0.00\);_(* &quot;-&quot;??_);_(@_)"/>
    <numFmt numFmtId="166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65">
    <xf numFmtId="0" fontId="0" fillId="0" borderId="0" xfId="0"/>
    <xf numFmtId="43" fontId="0" fillId="0" borderId="0" xfId="1" applyFont="1"/>
    <xf numFmtId="43" fontId="0" fillId="0" borderId="0" xfId="0" applyNumberFormat="1"/>
    <xf numFmtId="43" fontId="0" fillId="0" borderId="0" xfId="1" applyFont="1" applyBorder="1"/>
    <xf numFmtId="0" fontId="3" fillId="3" borderId="1" xfId="0" applyFont="1" applyFill="1" applyBorder="1"/>
    <xf numFmtId="16" fontId="0" fillId="0" borderId="0" xfId="0" applyNumberFormat="1"/>
    <xf numFmtId="44" fontId="0" fillId="0" borderId="0" xfId="0" applyNumberFormat="1"/>
    <xf numFmtId="0" fontId="3" fillId="3" borderId="2" xfId="0" applyFont="1" applyFill="1" applyBorder="1"/>
    <xf numFmtId="0" fontId="0" fillId="4" borderId="0" xfId="0" applyFill="1"/>
    <xf numFmtId="43" fontId="0" fillId="0" borderId="9" xfId="1" applyFont="1" applyBorder="1"/>
    <xf numFmtId="43" fontId="0" fillId="0" borderId="0" xfId="1" applyFont="1" applyBorder="1" applyAlignment="1">
      <alignment horizontal="right"/>
    </xf>
    <xf numFmtId="43" fontId="0" fillId="0" borderId="3" xfId="1" applyFont="1" applyBorder="1"/>
    <xf numFmtId="43" fontId="0" fillId="0" borderId="6" xfId="1" applyFont="1" applyBorder="1"/>
    <xf numFmtId="43" fontId="0" fillId="0" borderId="5" xfId="1" applyFont="1" applyBorder="1"/>
    <xf numFmtId="0" fontId="0" fillId="0" borderId="18" xfId="0" applyBorder="1"/>
    <xf numFmtId="0" fontId="0" fillId="0" borderId="0" xfId="0" applyFill="1" applyBorder="1"/>
    <xf numFmtId="44" fontId="0" fillId="0" borderId="0" xfId="0" applyNumberFormat="1" applyFill="1" applyBorder="1"/>
    <xf numFmtId="43" fontId="0" fillId="0" borderId="0" xfId="1" applyFont="1" applyFill="1" applyBorder="1"/>
    <xf numFmtId="9" fontId="0" fillId="0" borderId="0" xfId="0" applyNumberFormat="1" applyFill="1" applyBorder="1"/>
    <xf numFmtId="43" fontId="1" fillId="0" borderId="0" xfId="1" applyFont="1" applyFill="1" applyBorder="1"/>
    <xf numFmtId="43" fontId="0" fillId="0" borderId="0" xfId="0" applyNumberFormat="1" applyFill="1" applyBorder="1"/>
    <xf numFmtId="0" fontId="0" fillId="0" borderId="0" xfId="0" applyFill="1"/>
    <xf numFmtId="43" fontId="0" fillId="0" borderId="19" xfId="1" applyFont="1" applyBorder="1"/>
    <xf numFmtId="0" fontId="0" fillId="0" borderId="24" xfId="0" applyBorder="1"/>
    <xf numFmtId="43" fontId="0" fillId="0" borderId="4" xfId="1" applyFont="1" applyBorder="1"/>
    <xf numFmtId="43" fontId="0" fillId="0" borderId="25" xfId="1" applyFont="1" applyBorder="1"/>
    <xf numFmtId="0" fontId="0" fillId="0" borderId="26" xfId="0" applyBorder="1"/>
    <xf numFmtId="43" fontId="0" fillId="0" borderId="27" xfId="1" applyFont="1" applyBorder="1"/>
    <xf numFmtId="43" fontId="0" fillId="0" borderId="28" xfId="1" applyFont="1" applyBorder="1"/>
    <xf numFmtId="0" fontId="0" fillId="0" borderId="11" xfId="0" applyBorder="1"/>
    <xf numFmtId="43" fontId="0" fillId="0" borderId="12" xfId="1" applyFont="1" applyBorder="1"/>
    <xf numFmtId="0" fontId="3" fillId="3" borderId="21" xfId="0" applyFont="1" applyFill="1" applyBorder="1"/>
    <xf numFmtId="0" fontId="3" fillId="3" borderId="22" xfId="0" applyFont="1" applyFill="1" applyBorder="1"/>
    <xf numFmtId="0" fontId="3" fillId="3" borderId="23" xfId="0" applyFont="1" applyFill="1" applyBorder="1"/>
    <xf numFmtId="43" fontId="3" fillId="3" borderId="2" xfId="1" applyFont="1" applyFill="1" applyBorder="1"/>
    <xf numFmtId="0" fontId="0" fillId="0" borderId="16" xfId="0" applyFill="1" applyBorder="1"/>
    <xf numFmtId="0" fontId="0" fillId="0" borderId="20" xfId="0" applyFill="1" applyBorder="1"/>
    <xf numFmtId="0" fontId="0" fillId="0" borderId="1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9" xfId="0" applyFill="1" applyBorder="1"/>
    <xf numFmtId="0" fontId="0" fillId="0" borderId="30" xfId="0" applyFill="1" applyBorder="1"/>
    <xf numFmtId="0" fontId="0" fillId="0" borderId="31" xfId="0" applyFill="1" applyBorder="1"/>
    <xf numFmtId="43" fontId="0" fillId="0" borderId="20" xfId="1" applyFont="1" applyFill="1" applyBorder="1"/>
    <xf numFmtId="43" fontId="0" fillId="0" borderId="30" xfId="1" applyFont="1" applyFill="1" applyBorder="1"/>
    <xf numFmtId="9" fontId="0" fillId="0" borderId="0" xfId="1" applyNumberFormat="1" applyFont="1" applyFill="1" applyBorder="1"/>
    <xf numFmtId="43" fontId="0" fillId="0" borderId="18" xfId="0" applyNumberFormat="1" applyFill="1" applyBorder="1"/>
    <xf numFmtId="0" fontId="6" fillId="0" borderId="0" xfId="0" applyFont="1" applyFill="1"/>
    <xf numFmtId="43" fontId="6" fillId="0" borderId="0" xfId="1" applyFont="1" applyFill="1"/>
    <xf numFmtId="166" fontId="0" fillId="0" borderId="0" xfId="1" applyNumberFormat="1" applyFont="1" applyFill="1" applyBorder="1"/>
    <xf numFmtId="0" fontId="0" fillId="0" borderId="14" xfId="0" applyFill="1" applyBorder="1"/>
    <xf numFmtId="43" fontId="0" fillId="0" borderId="15" xfId="1" applyFont="1" applyFill="1" applyBorder="1"/>
    <xf numFmtId="43" fontId="6" fillId="0" borderId="0" xfId="1" applyFont="1" applyFill="1" applyBorder="1"/>
    <xf numFmtId="43" fontId="11" fillId="0" borderId="9" xfId="1" applyFont="1" applyBorder="1"/>
    <xf numFmtId="43" fontId="11" fillId="0" borderId="8" xfId="1" applyFont="1" applyBorder="1"/>
    <xf numFmtId="9" fontId="0" fillId="0" borderId="0" xfId="0" applyNumberFormat="1"/>
    <xf numFmtId="43" fontId="0" fillId="0" borderId="0" xfId="1" applyFont="1" applyAlignment="1">
      <alignment horizontal="right"/>
    </xf>
    <xf numFmtId="0" fontId="3" fillId="3" borderId="0" xfId="0" applyFont="1" applyFill="1"/>
    <xf numFmtId="9" fontId="0" fillId="0" borderId="0" xfId="0" applyNumberFormat="1" applyAlignment="1">
      <alignment horizontal="center"/>
    </xf>
    <xf numFmtId="0" fontId="6" fillId="0" borderId="0" xfId="0" applyFont="1" applyFill="1" applyBorder="1"/>
    <xf numFmtId="0" fontId="7" fillId="0" borderId="0" xfId="0" applyFont="1" applyFill="1" applyBorder="1"/>
    <xf numFmtId="43" fontId="0" fillId="4" borderId="0" xfId="1" applyFont="1" applyFill="1"/>
    <xf numFmtId="43" fontId="0" fillId="4" borderId="0" xfId="0" applyNumberFormat="1" applyFill="1"/>
    <xf numFmtId="0" fontId="4" fillId="0" borderId="0" xfId="0" applyFont="1" applyFill="1" applyBorder="1"/>
    <xf numFmtId="43" fontId="0" fillId="2" borderId="9" xfId="1" applyFont="1" applyFill="1" applyBorder="1"/>
    <xf numFmtId="43" fontId="0" fillId="2" borderId="8" xfId="1" applyFont="1" applyFill="1" applyBorder="1"/>
    <xf numFmtId="0" fontId="3" fillId="3" borderId="16" xfId="0" applyFont="1" applyFill="1" applyBorder="1"/>
    <xf numFmtId="0" fontId="3" fillId="3" borderId="20" xfId="0" applyFont="1" applyFill="1" applyBorder="1"/>
    <xf numFmtId="43" fontId="3" fillId="3" borderId="20" xfId="1" applyFont="1" applyFill="1" applyBorder="1"/>
    <xf numFmtId="43" fontId="3" fillId="3" borderId="9" xfId="1" applyFont="1" applyFill="1" applyBorder="1"/>
    <xf numFmtId="43" fontId="3" fillId="3" borderId="8" xfId="1" applyFont="1" applyFill="1" applyBorder="1"/>
    <xf numFmtId="43" fontId="0" fillId="2" borderId="5" xfId="1" applyFont="1" applyFill="1" applyBorder="1"/>
    <xf numFmtId="43" fontId="11" fillId="2" borderId="9" xfId="1" applyFont="1" applyFill="1" applyBorder="1"/>
    <xf numFmtId="43" fontId="11" fillId="2" borderId="8" xfId="1" applyFont="1" applyFill="1" applyBorder="1"/>
    <xf numFmtId="43" fontId="4" fillId="3" borderId="8" xfId="1" applyFont="1" applyFill="1" applyBorder="1"/>
    <xf numFmtId="43" fontId="0" fillId="3" borderId="8" xfId="1" applyFont="1" applyFill="1" applyBorder="1"/>
    <xf numFmtId="43" fontId="0" fillId="2" borderId="0" xfId="1" applyFont="1" applyFill="1" applyBorder="1" applyAlignment="1">
      <alignment horizontal="right"/>
    </xf>
    <xf numFmtId="43" fontId="0" fillId="2" borderId="0" xfId="1" applyFont="1" applyFill="1" applyBorder="1"/>
    <xf numFmtId="43" fontId="0" fillId="2" borderId="3" xfId="1" applyFont="1" applyFill="1" applyBorder="1"/>
    <xf numFmtId="43" fontId="0" fillId="2" borderId="6" xfId="1" applyFont="1" applyFill="1" applyBorder="1"/>
    <xf numFmtId="43" fontId="0" fillId="2" borderId="0" xfId="1" applyFont="1" applyFill="1"/>
    <xf numFmtId="43" fontId="8" fillId="5" borderId="0" xfId="1" applyFont="1" applyFill="1" applyBorder="1" applyAlignment="1">
      <alignment horizontal="right"/>
    </xf>
    <xf numFmtId="43" fontId="8" fillId="5" borderId="0" xfId="1" applyFont="1" applyFill="1" applyBorder="1"/>
    <xf numFmtId="43" fontId="8" fillId="5" borderId="0" xfId="1" applyFont="1" applyFill="1"/>
    <xf numFmtId="43" fontId="0" fillId="3" borderId="9" xfId="1" applyFont="1" applyFill="1" applyBorder="1"/>
    <xf numFmtId="43" fontId="8" fillId="0" borderId="0" xfId="1" applyFont="1" applyFill="1" applyBorder="1" applyAlignment="1">
      <alignment horizontal="right"/>
    </xf>
    <xf numFmtId="43" fontId="8" fillId="0" borderId="0" xfId="1" applyFont="1" applyFill="1" applyBorder="1"/>
    <xf numFmtId="43" fontId="8" fillId="0" borderId="0" xfId="1" applyFont="1" applyFill="1"/>
    <xf numFmtId="43" fontId="0" fillId="0" borderId="5" xfId="1" applyFont="1" applyFill="1" applyBorder="1"/>
    <xf numFmtId="43" fontId="0" fillId="0" borderId="3" xfId="1" applyFont="1" applyFill="1" applyBorder="1"/>
    <xf numFmtId="43" fontId="0" fillId="0" borderId="6" xfId="1" applyFont="1" applyFill="1" applyBorder="1"/>
    <xf numFmtId="43" fontId="0" fillId="0" borderId="0" xfId="1" applyFont="1" applyFill="1"/>
    <xf numFmtId="16" fontId="6" fillId="2" borderId="0" xfId="0" applyNumberFormat="1" applyFont="1" applyFill="1" applyBorder="1"/>
    <xf numFmtId="0" fontId="6" fillId="2" borderId="0" xfId="0" applyFont="1" applyFill="1" applyBorder="1"/>
    <xf numFmtId="43" fontId="0" fillId="6" borderId="0" xfId="1" applyFont="1" applyFill="1"/>
    <xf numFmtId="0" fontId="6" fillId="2" borderId="0" xfId="0" applyFont="1" applyFill="1"/>
    <xf numFmtId="43" fontId="6" fillId="2" borderId="0" xfId="1" applyFont="1" applyFill="1"/>
    <xf numFmtId="0" fontId="6" fillId="2" borderId="0" xfId="0" applyFont="1" applyFill="1" applyAlignment="1">
      <alignment horizontal="left"/>
    </xf>
    <xf numFmtId="16" fontId="0" fillId="2" borderId="0" xfId="0" applyNumberFormat="1" applyFill="1" applyBorder="1"/>
    <xf numFmtId="0" fontId="0" fillId="2" borderId="0" xfId="0" applyFill="1" applyBorder="1"/>
    <xf numFmtId="43" fontId="6" fillId="2" borderId="0" xfId="1" applyFont="1" applyFill="1" applyBorder="1"/>
    <xf numFmtId="16" fontId="6" fillId="2" borderId="0" xfId="0" applyNumberFormat="1" applyFont="1" applyFill="1"/>
    <xf numFmtId="16" fontId="3" fillId="3" borderId="0" xfId="0" applyNumberFormat="1" applyFont="1" applyFill="1" applyBorder="1"/>
    <xf numFmtId="0" fontId="3" fillId="3" borderId="0" xfId="0" applyFont="1" applyFill="1" applyBorder="1"/>
    <xf numFmtId="43" fontId="3" fillId="3" borderId="0" xfId="1" applyFont="1" applyFill="1" applyBorder="1"/>
    <xf numFmtId="0" fontId="4" fillId="2" borderId="0" xfId="0" applyFont="1" applyFill="1"/>
    <xf numFmtId="43" fontId="4" fillId="2" borderId="0" xfId="1" applyFont="1" applyFill="1"/>
    <xf numFmtId="44" fontId="6" fillId="2" borderId="0" xfId="0" applyNumberFormat="1" applyFont="1" applyFill="1" applyBorder="1"/>
    <xf numFmtId="43" fontId="0" fillId="4" borderId="0" xfId="1" applyFont="1" applyFill="1" applyBorder="1"/>
    <xf numFmtId="43" fontId="6" fillId="4" borderId="0" xfId="1" applyFont="1" applyFill="1" applyBorder="1"/>
    <xf numFmtId="43" fontId="6" fillId="4" borderId="0" xfId="1" applyFont="1" applyFill="1"/>
    <xf numFmtId="43" fontId="3" fillId="2" borderId="9" xfId="1" applyFont="1" applyFill="1" applyBorder="1"/>
    <xf numFmtId="43" fontId="12" fillId="2" borderId="9" xfId="1" applyFont="1" applyFill="1" applyBorder="1"/>
    <xf numFmtId="43" fontId="3" fillId="2" borderId="8" xfId="1" applyFont="1" applyFill="1" applyBorder="1"/>
    <xf numFmtId="43" fontId="6" fillId="2" borderId="3" xfId="1" applyFont="1" applyFill="1" applyBorder="1"/>
    <xf numFmtId="43" fontId="6" fillId="2" borderId="6" xfId="1" applyFont="1" applyFill="1" applyBorder="1"/>
    <xf numFmtId="43" fontId="6" fillId="2" borderId="13" xfId="1" applyFont="1" applyFill="1" applyBorder="1"/>
    <xf numFmtId="43" fontId="6" fillId="2" borderId="5" xfId="1" applyFont="1" applyFill="1" applyBorder="1"/>
    <xf numFmtId="43" fontId="12" fillId="2" borderId="8" xfId="1" applyFont="1" applyFill="1" applyBorder="1"/>
    <xf numFmtId="43" fontId="8" fillId="2" borderId="3" xfId="1" applyFont="1" applyFill="1" applyBorder="1"/>
    <xf numFmtId="43" fontId="8" fillId="2" borderId="6" xfId="1" applyFont="1" applyFill="1" applyBorder="1"/>
    <xf numFmtId="43" fontId="8" fillId="2" borderId="5" xfId="1" applyFont="1" applyFill="1" applyBorder="1"/>
    <xf numFmtId="43" fontId="8" fillId="2" borderId="0" xfId="1" applyFont="1" applyFill="1"/>
    <xf numFmtId="43" fontId="12" fillId="2" borderId="3" xfId="1" applyFont="1" applyFill="1" applyBorder="1"/>
    <xf numFmtId="43" fontId="12" fillId="2" borderId="6" xfId="1" applyFont="1" applyFill="1" applyBorder="1"/>
    <xf numFmtId="43" fontId="12" fillId="2" borderId="5" xfId="1" applyFont="1" applyFill="1" applyBorder="1"/>
    <xf numFmtId="43" fontId="12" fillId="2" borderId="0" xfId="1" applyFont="1" applyFill="1"/>
    <xf numFmtId="43" fontId="6" fillId="2" borderId="9" xfId="1" applyFont="1" applyFill="1" applyBorder="1"/>
    <xf numFmtId="43" fontId="6" fillId="2" borderId="8" xfId="1" applyFont="1" applyFill="1" applyBorder="1"/>
    <xf numFmtId="43" fontId="0" fillId="7" borderId="3" xfId="1" applyFont="1" applyFill="1" applyBorder="1"/>
    <xf numFmtId="43" fontId="0" fillId="7" borderId="6" xfId="1" applyFont="1" applyFill="1" applyBorder="1"/>
    <xf numFmtId="43" fontId="0" fillId="7" borderId="5" xfId="1" applyFont="1" applyFill="1" applyBorder="1"/>
    <xf numFmtId="43" fontId="0" fillId="7" borderId="0" xfId="1" applyFont="1" applyFill="1"/>
    <xf numFmtId="43" fontId="11" fillId="7" borderId="9" xfId="1" applyFont="1" applyFill="1" applyBorder="1"/>
    <xf numFmtId="43" fontId="11" fillId="7" borderId="8" xfId="1" applyFont="1" applyFill="1" applyBorder="1"/>
    <xf numFmtId="43" fontId="8" fillId="2" borderId="9" xfId="1" applyFont="1" applyFill="1" applyBorder="1"/>
    <xf numFmtId="43" fontId="0" fillId="8" borderId="3" xfId="1" applyFont="1" applyFill="1" applyBorder="1"/>
    <xf numFmtId="43" fontId="0" fillId="8" borderId="6" xfId="1" applyFont="1" applyFill="1" applyBorder="1"/>
    <xf numFmtId="43" fontId="0" fillId="8" borderId="5" xfId="1" applyFont="1" applyFill="1" applyBorder="1"/>
    <xf numFmtId="43" fontId="0" fillId="8" borderId="0" xfId="1" applyFont="1" applyFill="1"/>
    <xf numFmtId="43" fontId="0" fillId="8" borderId="9" xfId="1" applyFont="1" applyFill="1" applyBorder="1"/>
    <xf numFmtId="43" fontId="0" fillId="8" borderId="8" xfId="1" applyFont="1" applyFill="1" applyBorder="1"/>
    <xf numFmtId="43" fontId="6" fillId="7" borderId="3" xfId="1" applyFont="1" applyFill="1" applyBorder="1"/>
    <xf numFmtId="43" fontId="6" fillId="7" borderId="6" xfId="1" applyFont="1" applyFill="1" applyBorder="1"/>
    <xf numFmtId="43" fontId="6" fillId="7" borderId="5" xfId="1" applyFont="1" applyFill="1" applyBorder="1"/>
    <xf numFmtId="43" fontId="6" fillId="7" borderId="0" xfId="1" applyFont="1" applyFill="1"/>
    <xf numFmtId="43" fontId="12" fillId="7" borderId="9" xfId="1" applyFont="1" applyFill="1" applyBorder="1"/>
    <xf numFmtId="43" fontId="12" fillId="7" borderId="8" xfId="1" applyFont="1" applyFill="1" applyBorder="1"/>
    <xf numFmtId="43" fontId="3" fillId="3" borderId="3" xfId="1" applyFont="1" applyFill="1" applyBorder="1"/>
    <xf numFmtId="43" fontId="3" fillId="3" borderId="10" xfId="1" applyFont="1" applyFill="1" applyBorder="1"/>
    <xf numFmtId="43" fontId="3" fillId="3" borderId="5" xfId="1" applyFont="1" applyFill="1" applyBorder="1"/>
    <xf numFmtId="43" fontId="3" fillId="3" borderId="0" xfId="1" applyFont="1" applyFill="1"/>
    <xf numFmtId="43" fontId="4" fillId="2" borderId="8" xfId="1" applyFont="1" applyFill="1" applyBorder="1"/>
    <xf numFmtId="43" fontId="1" fillId="2" borderId="3" xfId="1" applyFont="1" applyFill="1" applyBorder="1"/>
    <xf numFmtId="43" fontId="0" fillId="2" borderId="7" xfId="1" applyFont="1" applyFill="1" applyBorder="1" applyAlignment="1">
      <alignment horizontal="center"/>
    </xf>
    <xf numFmtId="43" fontId="6" fillId="7" borderId="7" xfId="1" applyFont="1" applyFill="1" applyBorder="1" applyAlignment="1">
      <alignment horizontal="center"/>
    </xf>
    <xf numFmtId="43" fontId="6" fillId="2" borderId="7" xfId="1" applyFont="1" applyFill="1" applyBorder="1" applyAlignment="1">
      <alignment horizontal="center"/>
    </xf>
    <xf numFmtId="43" fontId="0" fillId="7" borderId="7" xfId="1" applyFont="1" applyFill="1" applyBorder="1" applyAlignment="1">
      <alignment horizontal="center"/>
    </xf>
    <xf numFmtId="43" fontId="12" fillId="2" borderId="7" xfId="1" applyFont="1" applyFill="1" applyBorder="1" applyAlignment="1">
      <alignment horizontal="center"/>
    </xf>
    <xf numFmtId="43" fontId="0" fillId="0" borderId="7" xfId="1" applyFont="1" applyBorder="1" applyAlignment="1">
      <alignment horizontal="center"/>
    </xf>
    <xf numFmtId="43" fontId="8" fillId="2" borderId="7" xfId="1" applyFont="1" applyFill="1" applyBorder="1" applyAlignment="1">
      <alignment horizontal="center"/>
    </xf>
    <xf numFmtId="43" fontId="0" fillId="8" borderId="7" xfId="1" applyFont="1" applyFill="1" applyBorder="1" applyAlignment="1">
      <alignment horizontal="center"/>
    </xf>
    <xf numFmtId="43" fontId="0" fillId="2" borderId="0" xfId="1" applyFont="1" applyFill="1" applyBorder="1" applyAlignment="1">
      <alignment horizontal="center"/>
    </xf>
    <xf numFmtId="43" fontId="3" fillId="3" borderId="7" xfId="1" applyFont="1" applyFill="1" applyBorder="1" applyAlignment="1">
      <alignment horizontal="center"/>
    </xf>
    <xf numFmtId="43" fontId="3" fillId="3" borderId="0" xfId="1" applyFont="1" applyFill="1" applyBorder="1" applyAlignment="1">
      <alignment horizontal="center"/>
    </xf>
  </cellXfs>
  <cellStyles count="7">
    <cellStyle name="Normal" xfId="0" builtinId="0"/>
    <cellStyle name="Normal 2" xfId="4"/>
    <cellStyle name="Porcentagem 2" xfId="5"/>
    <cellStyle name="Separador de milhares 2" xfId="2"/>
    <cellStyle name="Vírgula" xfId="1" builtinId="3"/>
    <cellStyle name="Vírgula 2" xfId="3"/>
    <cellStyle name="Vírgula 3" xfId="6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ultitrans/Downloads/TRABALHO%20DE%20AVANCADA%20DO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zonetes"/>
      <sheetName val="FOLHA"/>
      <sheetName val="diario"/>
      <sheetName val="IMPARMENT"/>
      <sheetName val="AVP"/>
      <sheetName val="Plan1"/>
    </sheetNames>
    <sheetDataSet>
      <sheetData sheetId="0"/>
      <sheetData sheetId="1"/>
      <sheetData sheetId="2">
        <row r="11">
          <cell r="C11">
            <v>100000</v>
          </cell>
        </row>
        <row r="169">
          <cell r="D169">
            <v>55553644.063333333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M415"/>
  <sheetViews>
    <sheetView showGridLines="0" zoomScale="90" zoomScaleNormal="90" workbookViewId="0">
      <pane ySplit="1" topLeftCell="A182" activePane="bottomLeft" state="frozen"/>
      <selection pane="bottomLeft" activeCell="D135" sqref="D135"/>
    </sheetView>
  </sheetViews>
  <sheetFormatPr defaultRowHeight="15" x14ac:dyDescent="0.25"/>
  <cols>
    <col min="2" max="2" width="42.140625" style="8" bestFit="1" customWidth="1"/>
    <col min="3" max="4" width="16.85546875" style="1" bestFit="1" customWidth="1"/>
    <col min="5" max="5" width="7.7109375" style="15" customWidth="1"/>
    <col min="6" max="6" width="18.28515625" style="15" customWidth="1"/>
    <col min="7" max="7" width="31.140625" style="17" bestFit="1" customWidth="1"/>
    <col min="8" max="8" width="10.5703125" style="15" bestFit="1" customWidth="1"/>
    <col min="9" max="9" width="13.28515625" style="15" bestFit="1" customWidth="1"/>
    <col min="10" max="11" width="9.140625" style="15"/>
    <col min="12" max="12" width="12.140625" style="15" bestFit="1" customWidth="1"/>
    <col min="13" max="13" width="12.140625" bestFit="1" customWidth="1"/>
  </cols>
  <sheetData>
    <row r="1" spans="1:9" x14ac:dyDescent="0.25">
      <c r="A1" s="66" t="s">
        <v>26</v>
      </c>
      <c r="B1" s="67" t="s">
        <v>1</v>
      </c>
      <c r="C1" s="68" t="s">
        <v>2</v>
      </c>
      <c r="D1" s="68" t="s">
        <v>3</v>
      </c>
    </row>
    <row r="2" spans="1:9" x14ac:dyDescent="0.25">
      <c r="A2" s="98">
        <v>42737</v>
      </c>
      <c r="B2" s="99" t="s">
        <v>61</v>
      </c>
      <c r="C2" s="77">
        <v>10000000</v>
      </c>
      <c r="D2" s="77"/>
      <c r="I2" s="16"/>
    </row>
    <row r="3" spans="1:9" x14ac:dyDescent="0.25">
      <c r="A3" s="98"/>
      <c r="B3" s="99" t="s">
        <v>62</v>
      </c>
      <c r="C3" s="77"/>
      <c r="D3" s="108">
        <v>10000000</v>
      </c>
      <c r="I3" s="16"/>
    </row>
    <row r="4" spans="1:9" ht="4.5" customHeight="1" x14ac:dyDescent="0.25">
      <c r="A4" s="98"/>
      <c r="B4" s="99"/>
      <c r="C4" s="77"/>
      <c r="D4" s="77"/>
      <c r="I4" s="16"/>
    </row>
    <row r="5" spans="1:9" x14ac:dyDescent="0.25">
      <c r="A5" s="98"/>
      <c r="B5" s="99" t="s">
        <v>4</v>
      </c>
      <c r="C5" s="77">
        <v>8581875</v>
      </c>
      <c r="D5" s="77"/>
      <c r="I5" s="16"/>
    </row>
    <row r="6" spans="1:9" x14ac:dyDescent="0.25">
      <c r="A6" s="99"/>
      <c r="B6" s="99" t="s">
        <v>103</v>
      </c>
      <c r="C6" s="77">
        <v>43125</v>
      </c>
      <c r="D6" s="77"/>
      <c r="I6" s="16"/>
    </row>
    <row r="7" spans="1:9" x14ac:dyDescent="0.25">
      <c r="A7" s="99"/>
      <c r="B7" s="99" t="s">
        <v>61</v>
      </c>
      <c r="C7" s="77"/>
      <c r="D7" s="108">
        <v>7500000</v>
      </c>
      <c r="I7" s="16"/>
    </row>
    <row r="8" spans="1:9" x14ac:dyDescent="0.25">
      <c r="A8" s="99"/>
      <c r="B8" s="99" t="s">
        <v>112</v>
      </c>
      <c r="C8" s="77"/>
      <c r="D8" s="108">
        <v>1125000</v>
      </c>
      <c r="I8" s="16"/>
    </row>
    <row r="9" spans="1:9" ht="5.25" customHeight="1" x14ac:dyDescent="0.25">
      <c r="A9" s="99"/>
      <c r="B9" s="99"/>
      <c r="C9" s="77"/>
      <c r="D9" s="77"/>
    </row>
    <row r="10" spans="1:9" x14ac:dyDescent="0.25">
      <c r="A10" s="98">
        <v>42740</v>
      </c>
      <c r="B10" s="99" t="s">
        <v>5</v>
      </c>
      <c r="C10" s="77">
        <v>100000</v>
      </c>
      <c r="D10" s="77"/>
      <c r="G10" s="17">
        <v>14765.48</v>
      </c>
    </row>
    <row r="11" spans="1:9" x14ac:dyDescent="0.25">
      <c r="A11" s="93"/>
      <c r="B11" s="93" t="s">
        <v>63</v>
      </c>
      <c r="C11" s="100">
        <v>25000</v>
      </c>
      <c r="D11" s="80"/>
      <c r="E11" s="63"/>
      <c r="F11" s="63"/>
      <c r="G11" s="17">
        <f>G8-G10</f>
        <v>-14765.48</v>
      </c>
    </row>
    <row r="12" spans="1:9" x14ac:dyDescent="0.25">
      <c r="A12" s="99"/>
      <c r="B12" s="99" t="s">
        <v>64</v>
      </c>
      <c r="C12" s="77"/>
      <c r="D12" s="108">
        <v>30000</v>
      </c>
    </row>
    <row r="13" spans="1:9" ht="15.75" customHeight="1" x14ac:dyDescent="0.25">
      <c r="A13" s="99"/>
      <c r="B13" s="99" t="s">
        <v>65</v>
      </c>
      <c r="C13" s="77"/>
      <c r="D13" s="108">
        <v>95000</v>
      </c>
    </row>
    <row r="14" spans="1:9" ht="5.25" customHeight="1" x14ac:dyDescent="0.25">
      <c r="A14" s="99"/>
      <c r="B14" s="99"/>
      <c r="C14" s="77"/>
      <c r="D14" s="77"/>
    </row>
    <row r="15" spans="1:9" x14ac:dyDescent="0.25">
      <c r="A15" s="99"/>
      <c r="B15" s="99" t="s">
        <v>27</v>
      </c>
      <c r="C15" s="77">
        <f>(C10*20%)/12*11</f>
        <v>18333.333333333336</v>
      </c>
      <c r="D15" s="77"/>
    </row>
    <row r="16" spans="1:9" x14ac:dyDescent="0.25">
      <c r="A16" s="99"/>
      <c r="B16" s="99" t="s">
        <v>102</v>
      </c>
      <c r="C16" s="77"/>
      <c r="D16" s="108">
        <f>C15</f>
        <v>18333.333333333336</v>
      </c>
    </row>
    <row r="17" spans="1:6" ht="5.25" customHeight="1" x14ac:dyDescent="0.25">
      <c r="A17" s="99"/>
      <c r="B17" s="99"/>
      <c r="C17" s="77"/>
      <c r="D17" s="77"/>
    </row>
    <row r="18" spans="1:6" x14ac:dyDescent="0.25">
      <c r="A18" s="98">
        <v>42772</v>
      </c>
      <c r="B18" s="99" t="s">
        <v>28</v>
      </c>
      <c r="C18" s="77">
        <v>50000</v>
      </c>
      <c r="D18" s="77"/>
    </row>
    <row r="19" spans="1:6" x14ac:dyDescent="0.25">
      <c r="A19" s="99"/>
      <c r="B19" s="99" t="s">
        <v>4</v>
      </c>
      <c r="C19" s="77"/>
      <c r="D19" s="108">
        <f>C18</f>
        <v>50000</v>
      </c>
    </row>
    <row r="20" spans="1:6" ht="3.75" customHeight="1" x14ac:dyDescent="0.25">
      <c r="A20" s="99"/>
      <c r="B20" s="99"/>
      <c r="C20" s="77"/>
      <c r="D20" s="77"/>
    </row>
    <row r="21" spans="1:6" x14ac:dyDescent="0.25">
      <c r="A21" s="99"/>
      <c r="B21" s="99" t="s">
        <v>29</v>
      </c>
      <c r="C21" s="77">
        <f>(C18*10%)/12*11</f>
        <v>4583.3333333333339</v>
      </c>
      <c r="D21" s="77"/>
    </row>
    <row r="22" spans="1:6" x14ac:dyDescent="0.25">
      <c r="A22" s="99"/>
      <c r="B22" s="99" t="str">
        <f>B16</f>
        <v>(-) DEPRECIAÇÃO ACUMULADA</v>
      </c>
      <c r="C22" s="77"/>
      <c r="D22" s="108">
        <f>C21</f>
        <v>4583.3333333333339</v>
      </c>
    </row>
    <row r="23" spans="1:6" ht="4.5" customHeight="1" x14ac:dyDescent="0.25">
      <c r="A23" s="99"/>
      <c r="B23" s="99"/>
      <c r="C23" s="77"/>
      <c r="D23" s="77"/>
    </row>
    <row r="24" spans="1:6" x14ac:dyDescent="0.25">
      <c r="A24" s="98">
        <v>42772</v>
      </c>
      <c r="B24" s="99" t="s">
        <v>113</v>
      </c>
      <c r="C24" s="77">
        <f>D28-C27-C26-C25</f>
        <v>2910000</v>
      </c>
      <c r="D24" s="77"/>
      <c r="F24" s="16"/>
    </row>
    <row r="25" spans="1:6" x14ac:dyDescent="0.25">
      <c r="A25" s="99"/>
      <c r="B25" s="99" t="s">
        <v>8</v>
      </c>
      <c r="C25" s="77">
        <f>D28*18%</f>
        <v>720000</v>
      </c>
      <c r="D25" s="77"/>
    </row>
    <row r="26" spans="1:6" x14ac:dyDescent="0.25">
      <c r="A26" s="99"/>
      <c r="B26" s="99" t="s">
        <v>9</v>
      </c>
      <c r="C26" s="77">
        <f>D28*1.65%</f>
        <v>66000</v>
      </c>
      <c r="D26" s="77"/>
    </row>
    <row r="27" spans="1:6" x14ac:dyDescent="0.25">
      <c r="A27" s="99"/>
      <c r="B27" s="99" t="s">
        <v>53</v>
      </c>
      <c r="C27" s="77">
        <f>D28*7.6%</f>
        <v>304000</v>
      </c>
      <c r="D27" s="77"/>
    </row>
    <row r="28" spans="1:6" x14ac:dyDescent="0.25">
      <c r="A28" s="99"/>
      <c r="B28" s="99" t="s">
        <v>10</v>
      </c>
      <c r="C28" s="77"/>
      <c r="D28" s="108">
        <v>4000000</v>
      </c>
    </row>
    <row r="29" spans="1:6" ht="3.75" customHeight="1" x14ac:dyDescent="0.25">
      <c r="A29" s="99"/>
      <c r="B29" s="99"/>
      <c r="C29" s="77"/>
      <c r="D29" s="77"/>
    </row>
    <row r="30" spans="1:6" x14ac:dyDescent="0.25">
      <c r="A30" s="98">
        <v>42801</v>
      </c>
      <c r="B30" s="99" t="s">
        <v>110</v>
      </c>
      <c r="C30" s="77">
        <v>1360000</v>
      </c>
      <c r="D30" s="77"/>
    </row>
    <row r="31" spans="1:6" x14ac:dyDescent="0.25">
      <c r="A31" s="99"/>
      <c r="B31" s="99" t="s">
        <v>114</v>
      </c>
      <c r="C31" s="77">
        <v>240000</v>
      </c>
      <c r="D31" s="77"/>
    </row>
    <row r="32" spans="1:6" x14ac:dyDescent="0.25">
      <c r="A32" s="99"/>
      <c r="B32" s="99" t="s">
        <v>4</v>
      </c>
      <c r="C32" s="77"/>
      <c r="D32" s="108">
        <f>C30+C31</f>
        <v>1600000</v>
      </c>
    </row>
    <row r="33" spans="1:12" ht="3.75" customHeight="1" x14ac:dyDescent="0.25">
      <c r="A33" s="99"/>
      <c r="B33" s="99"/>
      <c r="C33" s="77"/>
      <c r="D33" s="77"/>
    </row>
    <row r="34" spans="1:12" x14ac:dyDescent="0.25">
      <c r="A34" s="98">
        <v>42835</v>
      </c>
      <c r="B34" s="99" t="s">
        <v>30</v>
      </c>
      <c r="C34" s="77">
        <v>200000</v>
      </c>
      <c r="D34" s="77"/>
      <c r="G34" s="52"/>
    </row>
    <row r="35" spans="1:12" x14ac:dyDescent="0.25">
      <c r="A35" s="99"/>
      <c r="B35" s="99" t="s">
        <v>4</v>
      </c>
      <c r="C35" s="77"/>
      <c r="D35" s="108">
        <f>C34</f>
        <v>200000</v>
      </c>
    </row>
    <row r="36" spans="1:12" ht="4.5" customHeight="1" x14ac:dyDescent="0.25">
      <c r="A36" s="99"/>
      <c r="B36" s="99"/>
      <c r="C36" s="77"/>
      <c r="D36" s="77"/>
    </row>
    <row r="37" spans="1:12" x14ac:dyDescent="0.25">
      <c r="A37" s="98">
        <v>42865</v>
      </c>
      <c r="B37" s="99" t="s">
        <v>31</v>
      </c>
      <c r="C37" s="77">
        <f>300000-C38-C39</f>
        <v>272250</v>
      </c>
      <c r="D37" s="77"/>
    </row>
    <row r="38" spans="1:12" x14ac:dyDescent="0.25">
      <c r="A38" s="98"/>
      <c r="B38" s="99" t="s">
        <v>34</v>
      </c>
      <c r="C38" s="77">
        <v>4950</v>
      </c>
      <c r="D38" s="80"/>
    </row>
    <row r="39" spans="1:12" x14ac:dyDescent="0.25">
      <c r="A39" s="98"/>
      <c r="B39" s="99" t="s">
        <v>33</v>
      </c>
      <c r="C39" s="77">
        <v>22800</v>
      </c>
      <c r="D39" s="80"/>
    </row>
    <row r="40" spans="1:12" x14ac:dyDescent="0.25">
      <c r="A40" s="98"/>
      <c r="B40" s="99" t="s">
        <v>54</v>
      </c>
      <c r="C40" s="77"/>
      <c r="D40" s="108">
        <f>300000*1.5%</f>
        <v>4500</v>
      </c>
    </row>
    <row r="41" spans="1:12" x14ac:dyDescent="0.25">
      <c r="A41" s="92"/>
      <c r="B41" s="93" t="s">
        <v>32</v>
      </c>
      <c r="C41" s="77"/>
      <c r="D41" s="108">
        <f>300000*4.65%</f>
        <v>13950.000000000002</v>
      </c>
    </row>
    <row r="42" spans="1:12" x14ac:dyDescent="0.25">
      <c r="A42" s="93"/>
      <c r="B42" s="93" t="s">
        <v>4</v>
      </c>
      <c r="C42" s="77"/>
      <c r="D42" s="108">
        <f>300000-D40-D41</f>
        <v>281550</v>
      </c>
    </row>
    <row r="43" spans="1:12" ht="7.5" customHeight="1" x14ac:dyDescent="0.25">
      <c r="A43" s="93"/>
      <c r="B43" s="93"/>
      <c r="C43" s="77"/>
      <c r="D43" s="77"/>
    </row>
    <row r="44" spans="1:12" x14ac:dyDescent="0.25">
      <c r="A44" s="92">
        <v>42896</v>
      </c>
      <c r="B44" s="93" t="s">
        <v>115</v>
      </c>
      <c r="C44" s="77">
        <v>730000</v>
      </c>
      <c r="D44" s="77"/>
      <c r="L44" s="16"/>
    </row>
    <row r="45" spans="1:12" x14ac:dyDescent="0.25">
      <c r="A45" s="93"/>
      <c r="B45" s="93" t="s">
        <v>4</v>
      </c>
      <c r="C45" s="77"/>
      <c r="D45" s="108">
        <f>C44</f>
        <v>730000</v>
      </c>
      <c r="L45" s="16"/>
    </row>
    <row r="46" spans="1:12" ht="5.25" customHeight="1" x14ac:dyDescent="0.25">
      <c r="A46" s="93"/>
      <c r="B46" s="93"/>
      <c r="C46" s="77"/>
      <c r="D46" s="77"/>
    </row>
    <row r="47" spans="1:12" x14ac:dyDescent="0.25">
      <c r="A47" s="92">
        <v>42926</v>
      </c>
      <c r="B47" s="93" t="s">
        <v>121</v>
      </c>
      <c r="C47" s="77">
        <v>5000000</v>
      </c>
      <c r="D47" s="77"/>
      <c r="E47" s="17"/>
    </row>
    <row r="48" spans="1:12" s="21" customFormat="1" x14ac:dyDescent="0.25">
      <c r="A48" s="93"/>
      <c r="B48" s="93" t="s">
        <v>56</v>
      </c>
      <c r="C48" s="77"/>
      <c r="D48" s="108">
        <f>C47</f>
        <v>5000000</v>
      </c>
      <c r="E48" s="17"/>
      <c r="F48" s="17"/>
      <c r="G48" s="17"/>
      <c r="H48" s="15"/>
      <c r="I48" s="15"/>
      <c r="J48" s="15"/>
      <c r="K48" s="15"/>
      <c r="L48" s="15"/>
    </row>
    <row r="49" spans="1:12" s="21" customFormat="1" ht="5.25" customHeight="1" x14ac:dyDescent="0.25">
      <c r="A49" s="93"/>
      <c r="B49" s="93"/>
      <c r="C49" s="77"/>
      <c r="D49" s="77"/>
      <c r="E49" s="17"/>
      <c r="F49" s="15"/>
      <c r="G49" s="17"/>
      <c r="H49" s="18"/>
      <c r="I49" s="18"/>
      <c r="J49" s="15"/>
      <c r="K49" s="15"/>
      <c r="L49" s="15"/>
    </row>
    <row r="50" spans="1:12" s="21" customFormat="1" x14ac:dyDescent="0.25">
      <c r="A50" s="93"/>
      <c r="B50" s="93" t="s">
        <v>12</v>
      </c>
      <c r="C50" s="77">
        <f>C47*18%</f>
        <v>900000</v>
      </c>
      <c r="D50" s="77"/>
      <c r="E50" s="17"/>
      <c r="F50" s="15"/>
      <c r="G50" s="17"/>
      <c r="H50" s="16"/>
      <c r="I50" s="16"/>
      <c r="J50" s="15"/>
      <c r="K50" s="15"/>
      <c r="L50" s="15"/>
    </row>
    <row r="51" spans="1:12" s="21" customFormat="1" x14ac:dyDescent="0.25">
      <c r="A51" s="99"/>
      <c r="B51" s="99" t="s">
        <v>13</v>
      </c>
      <c r="C51" s="77"/>
      <c r="D51" s="108">
        <f>C50</f>
        <v>900000</v>
      </c>
      <c r="E51" s="19"/>
      <c r="F51" s="15"/>
      <c r="G51" s="17"/>
      <c r="H51" s="15"/>
      <c r="I51" s="15"/>
      <c r="J51" s="15"/>
      <c r="K51" s="15"/>
      <c r="L51" s="15"/>
    </row>
    <row r="52" spans="1:12" s="21" customFormat="1" ht="4.5" customHeight="1" x14ac:dyDescent="0.25">
      <c r="A52" s="99"/>
      <c r="B52" s="99"/>
      <c r="C52" s="77"/>
      <c r="D52" s="77"/>
      <c r="E52" s="19"/>
      <c r="F52" s="15"/>
      <c r="G52" s="17"/>
      <c r="H52" s="15"/>
      <c r="I52" s="15"/>
      <c r="J52" s="15"/>
      <c r="K52" s="15"/>
      <c r="L52" s="15"/>
    </row>
    <row r="53" spans="1:12" s="21" customFormat="1" x14ac:dyDescent="0.25">
      <c r="A53" s="99"/>
      <c r="B53" s="99" t="s">
        <v>14</v>
      </c>
      <c r="C53" s="77">
        <f>C47*1.65%</f>
        <v>82500</v>
      </c>
      <c r="D53" s="77"/>
      <c r="E53" s="17"/>
      <c r="F53" s="15"/>
      <c r="G53" s="17"/>
      <c r="H53" s="16"/>
      <c r="I53" s="15"/>
      <c r="J53" s="15"/>
      <c r="K53" s="15"/>
      <c r="L53" s="15"/>
    </row>
    <row r="54" spans="1:12" s="21" customFormat="1" x14ac:dyDescent="0.25">
      <c r="A54" s="99"/>
      <c r="B54" s="99" t="s">
        <v>15</v>
      </c>
      <c r="C54" s="77"/>
      <c r="D54" s="108">
        <f>C53</f>
        <v>82500</v>
      </c>
      <c r="E54" s="19"/>
      <c r="F54" s="15"/>
      <c r="G54" s="17"/>
      <c r="H54" s="15"/>
      <c r="I54" s="15"/>
      <c r="J54" s="15"/>
      <c r="K54" s="15"/>
      <c r="L54" s="15"/>
    </row>
    <row r="55" spans="1:12" s="21" customFormat="1" ht="6" customHeight="1" x14ac:dyDescent="0.25">
      <c r="A55" s="99"/>
      <c r="B55" s="99"/>
      <c r="C55" s="77"/>
      <c r="D55" s="77"/>
      <c r="E55" s="17"/>
      <c r="F55" s="15"/>
      <c r="G55" s="17"/>
      <c r="H55" s="15"/>
      <c r="I55" s="15"/>
      <c r="J55" s="15"/>
      <c r="K55" s="15"/>
      <c r="L55" s="15"/>
    </row>
    <row r="56" spans="1:12" s="21" customFormat="1" x14ac:dyDescent="0.25">
      <c r="A56" s="99"/>
      <c r="B56" s="99" t="s">
        <v>0</v>
      </c>
      <c r="C56" s="77">
        <f>C47*7.6%</f>
        <v>380000</v>
      </c>
      <c r="D56" s="77"/>
      <c r="E56" s="17"/>
      <c r="F56" s="15"/>
      <c r="G56" s="17"/>
      <c r="H56" s="15"/>
      <c r="I56" s="15"/>
      <c r="J56" s="15"/>
      <c r="K56" s="15"/>
      <c r="L56" s="15"/>
    </row>
    <row r="57" spans="1:12" s="21" customFormat="1" x14ac:dyDescent="0.25">
      <c r="A57" s="99"/>
      <c r="B57" s="99" t="s">
        <v>16</v>
      </c>
      <c r="C57" s="77"/>
      <c r="D57" s="108">
        <f>C56</f>
        <v>380000</v>
      </c>
      <c r="E57" s="19"/>
      <c r="F57" s="15"/>
      <c r="G57" s="17"/>
      <c r="H57" s="15"/>
      <c r="I57" s="15"/>
      <c r="J57" s="15"/>
      <c r="K57" s="15"/>
      <c r="L57" s="15"/>
    </row>
    <row r="58" spans="1:12" s="21" customFormat="1" ht="6.75" customHeight="1" x14ac:dyDescent="0.25">
      <c r="A58" s="99"/>
      <c r="B58" s="99"/>
      <c r="C58" s="77"/>
      <c r="D58" s="77"/>
      <c r="E58" s="17"/>
      <c r="F58" s="15"/>
      <c r="G58" s="17"/>
      <c r="H58" s="15"/>
      <c r="I58" s="15"/>
      <c r="J58" s="15"/>
      <c r="K58" s="15"/>
      <c r="L58" s="15"/>
    </row>
    <row r="59" spans="1:12" s="21" customFormat="1" x14ac:dyDescent="0.25">
      <c r="A59" s="99"/>
      <c r="B59" s="99" t="s">
        <v>17</v>
      </c>
      <c r="C59" s="77">
        <f>C24*70%</f>
        <v>2036999.9999999998</v>
      </c>
      <c r="D59" s="77"/>
      <c r="E59" s="17" t="s">
        <v>66</v>
      </c>
      <c r="F59" s="15"/>
      <c r="G59" s="17"/>
      <c r="H59" s="15"/>
      <c r="I59" s="15"/>
      <c r="J59" s="15"/>
      <c r="K59" s="15"/>
      <c r="L59" s="15"/>
    </row>
    <row r="60" spans="1:12" s="21" customFormat="1" x14ac:dyDescent="0.25">
      <c r="A60" s="99"/>
      <c r="B60" s="99" t="s">
        <v>7</v>
      </c>
      <c r="C60" s="77"/>
      <c r="D60" s="108">
        <f>C59</f>
        <v>2036999.9999999998</v>
      </c>
      <c r="E60" s="17"/>
      <c r="F60" s="15"/>
      <c r="G60" s="17"/>
      <c r="H60" s="15"/>
      <c r="I60" s="15"/>
      <c r="J60" s="15"/>
      <c r="K60" s="15"/>
      <c r="L60" s="15"/>
    </row>
    <row r="61" spans="1:12" s="21" customFormat="1" ht="4.5" customHeight="1" x14ac:dyDescent="0.25">
      <c r="A61" s="99"/>
      <c r="B61" s="99"/>
      <c r="C61" s="77"/>
      <c r="D61" s="77"/>
      <c r="E61" s="17"/>
      <c r="F61" s="15"/>
      <c r="G61" s="17"/>
      <c r="H61" s="15"/>
      <c r="I61" s="15"/>
      <c r="J61" s="15"/>
      <c r="K61" s="15"/>
      <c r="L61" s="15"/>
    </row>
    <row r="62" spans="1:12" x14ac:dyDescent="0.25">
      <c r="A62" s="92">
        <v>42926</v>
      </c>
      <c r="B62" s="93" t="s">
        <v>67</v>
      </c>
      <c r="C62" s="100">
        <f>D65-C64-C63</f>
        <v>45375</v>
      </c>
      <c r="D62" s="100"/>
    </row>
    <row r="63" spans="1:12" ht="15.75" customHeight="1" x14ac:dyDescent="0.25">
      <c r="A63" s="93"/>
      <c r="B63" s="93" t="s">
        <v>33</v>
      </c>
      <c r="C63" s="100">
        <v>3800</v>
      </c>
      <c r="D63" s="100">
        <v>0</v>
      </c>
    </row>
    <row r="64" spans="1:12" ht="15.75" customHeight="1" x14ac:dyDescent="0.25">
      <c r="A64" s="93"/>
      <c r="B64" s="93" t="s">
        <v>34</v>
      </c>
      <c r="C64" s="100">
        <v>825</v>
      </c>
      <c r="D64" s="100">
        <v>0</v>
      </c>
      <c r="E64" s="15" t="s">
        <v>66</v>
      </c>
    </row>
    <row r="65" spans="1:4" x14ac:dyDescent="0.25">
      <c r="A65" s="93"/>
      <c r="B65" s="93" t="s">
        <v>4</v>
      </c>
      <c r="C65" s="100"/>
      <c r="D65" s="109">
        <v>50000</v>
      </c>
    </row>
    <row r="66" spans="1:4" ht="6" customHeight="1" x14ac:dyDescent="0.25">
      <c r="A66" s="93"/>
      <c r="B66" s="93"/>
      <c r="C66" s="100"/>
      <c r="D66" s="100"/>
    </row>
    <row r="67" spans="1:4" x14ac:dyDescent="0.25">
      <c r="A67" s="92">
        <v>42926</v>
      </c>
      <c r="B67" s="93" t="s">
        <v>35</v>
      </c>
      <c r="C67" s="100">
        <v>900000</v>
      </c>
      <c r="D67" s="100"/>
    </row>
    <row r="68" spans="1:4" x14ac:dyDescent="0.25">
      <c r="A68" s="93"/>
      <c r="B68" s="93" t="s">
        <v>56</v>
      </c>
      <c r="C68" s="100"/>
      <c r="D68" s="109">
        <f>C67</f>
        <v>900000</v>
      </c>
    </row>
    <row r="69" spans="1:4" ht="4.5" customHeight="1" x14ac:dyDescent="0.25">
      <c r="A69" s="93"/>
      <c r="B69" s="93"/>
      <c r="C69" s="100"/>
      <c r="D69" s="100"/>
    </row>
    <row r="70" spans="1:4" x14ac:dyDescent="0.25">
      <c r="A70" s="93"/>
      <c r="B70" s="93" t="s">
        <v>21</v>
      </c>
      <c r="C70" s="100">
        <f>C67*12%</f>
        <v>108000</v>
      </c>
      <c r="D70" s="100"/>
    </row>
    <row r="71" spans="1:4" x14ac:dyDescent="0.25">
      <c r="A71" s="93"/>
      <c r="B71" s="93" t="s">
        <v>13</v>
      </c>
      <c r="C71" s="100"/>
      <c r="D71" s="109">
        <f>C70</f>
        <v>108000</v>
      </c>
    </row>
    <row r="72" spans="1:4" ht="6.75" customHeight="1" x14ac:dyDescent="0.25">
      <c r="A72" s="93"/>
      <c r="B72" s="93"/>
      <c r="C72" s="100"/>
      <c r="D72" s="100"/>
    </row>
    <row r="73" spans="1:4" x14ac:dyDescent="0.25">
      <c r="A73" s="93"/>
      <c r="B73" s="93" t="s">
        <v>18</v>
      </c>
      <c r="C73" s="100">
        <f>C67*1.65%</f>
        <v>14850</v>
      </c>
      <c r="D73" s="100"/>
    </row>
    <row r="74" spans="1:4" x14ac:dyDescent="0.25">
      <c r="A74" s="93"/>
      <c r="B74" s="93" t="s">
        <v>15</v>
      </c>
      <c r="C74" s="100"/>
      <c r="D74" s="109">
        <f>C73</f>
        <v>14850</v>
      </c>
    </row>
    <row r="75" spans="1:4" ht="8.25" customHeight="1" x14ac:dyDescent="0.25">
      <c r="A75" s="93"/>
      <c r="B75" s="93"/>
      <c r="C75" s="100"/>
      <c r="D75" s="100"/>
    </row>
    <row r="76" spans="1:4" x14ac:dyDescent="0.25">
      <c r="A76" s="93"/>
      <c r="B76" s="93" t="s">
        <v>19</v>
      </c>
      <c r="C76" s="100">
        <f>C67*7.6%</f>
        <v>68400</v>
      </c>
      <c r="D76" s="100"/>
    </row>
    <row r="77" spans="1:4" x14ac:dyDescent="0.25">
      <c r="A77" s="93"/>
      <c r="B77" s="93" t="s">
        <v>20</v>
      </c>
      <c r="C77" s="100"/>
      <c r="D77" s="109">
        <f>C76</f>
        <v>68400</v>
      </c>
    </row>
    <row r="78" spans="1:4" ht="6" customHeight="1" x14ac:dyDescent="0.25">
      <c r="A78" s="93"/>
      <c r="B78" s="93"/>
      <c r="C78" s="100"/>
      <c r="D78" s="100"/>
    </row>
    <row r="79" spans="1:4" x14ac:dyDescent="0.25">
      <c r="A79" s="93"/>
      <c r="B79" s="93" t="s">
        <v>17</v>
      </c>
      <c r="C79" s="100">
        <v>750000</v>
      </c>
      <c r="D79" s="100"/>
    </row>
    <row r="80" spans="1:4" x14ac:dyDescent="0.25">
      <c r="A80" s="93"/>
      <c r="B80" s="93" t="s">
        <v>11</v>
      </c>
      <c r="C80" s="100"/>
      <c r="D80" s="109">
        <f>C79</f>
        <v>750000</v>
      </c>
    </row>
    <row r="81" spans="1:5" ht="5.25" customHeight="1" x14ac:dyDescent="0.25">
      <c r="A81" s="99"/>
      <c r="B81" s="99"/>
      <c r="C81" s="77"/>
      <c r="D81" s="77"/>
    </row>
    <row r="82" spans="1:5" x14ac:dyDescent="0.25">
      <c r="A82" s="92">
        <v>42988</v>
      </c>
      <c r="B82" s="93" t="s">
        <v>36</v>
      </c>
      <c r="C82" s="100">
        <f>500000-C85-C86</f>
        <v>453750</v>
      </c>
      <c r="D82" s="100"/>
    </row>
    <row r="83" spans="1:5" x14ac:dyDescent="0.25">
      <c r="A83" s="92"/>
      <c r="B83" s="93" t="str">
        <f>B41</f>
        <v>PCC A RECOLHER</v>
      </c>
      <c r="C83" s="80"/>
      <c r="D83" s="109">
        <v>23250.000000000004</v>
      </c>
    </row>
    <row r="84" spans="1:5" x14ac:dyDescent="0.25">
      <c r="A84" s="92"/>
      <c r="B84" s="93" t="str">
        <f>B40</f>
        <v xml:space="preserve">IRRF A RECOLHER </v>
      </c>
      <c r="C84" s="80"/>
      <c r="D84" s="109">
        <f>500000*1.5%</f>
        <v>7500</v>
      </c>
    </row>
    <row r="85" spans="1:5" x14ac:dyDescent="0.25">
      <c r="A85" s="93"/>
      <c r="B85" s="93" t="s">
        <v>33</v>
      </c>
      <c r="C85" s="100">
        <v>38000</v>
      </c>
      <c r="D85" s="80"/>
    </row>
    <row r="86" spans="1:5" x14ac:dyDescent="0.25">
      <c r="A86" s="93"/>
      <c r="B86" s="93" t="s">
        <v>34</v>
      </c>
      <c r="C86" s="100">
        <v>8250</v>
      </c>
      <c r="D86" s="80"/>
    </row>
    <row r="87" spans="1:5" x14ac:dyDescent="0.25">
      <c r="A87" s="93"/>
      <c r="B87" s="93" t="s">
        <v>4</v>
      </c>
      <c r="C87" s="100"/>
      <c r="D87" s="109">
        <v>469250</v>
      </c>
      <c r="E87" s="15" t="s">
        <v>116</v>
      </c>
    </row>
    <row r="88" spans="1:5" ht="3" customHeight="1" x14ac:dyDescent="0.25">
      <c r="A88" s="99"/>
      <c r="B88" s="99"/>
      <c r="C88" s="77"/>
      <c r="D88" s="77"/>
    </row>
    <row r="89" spans="1:5" x14ac:dyDescent="0.25">
      <c r="A89" s="98">
        <v>43003</v>
      </c>
      <c r="B89" s="99" t="s">
        <v>37</v>
      </c>
      <c r="C89" s="77">
        <v>800000</v>
      </c>
      <c r="D89" s="77"/>
    </row>
    <row r="90" spans="1:5" x14ac:dyDescent="0.25">
      <c r="A90" s="99"/>
      <c r="B90" s="99" t="s">
        <v>4</v>
      </c>
      <c r="C90" s="77"/>
      <c r="D90" s="108">
        <v>800000</v>
      </c>
    </row>
    <row r="91" spans="1:5" ht="6" customHeight="1" x14ac:dyDescent="0.25">
      <c r="A91" s="99"/>
      <c r="B91" s="99"/>
      <c r="C91" s="77"/>
      <c r="D91" s="77"/>
    </row>
    <row r="92" spans="1:5" x14ac:dyDescent="0.25">
      <c r="A92" s="92">
        <v>43023</v>
      </c>
      <c r="B92" s="93" t="s">
        <v>4</v>
      </c>
      <c r="C92" s="100">
        <v>4560000</v>
      </c>
      <c r="D92" s="100"/>
    </row>
    <row r="93" spans="1:5" x14ac:dyDescent="0.25">
      <c r="A93" s="93"/>
      <c r="B93" s="93" t="s">
        <v>38</v>
      </c>
      <c r="C93" s="100"/>
      <c r="D93" s="109">
        <v>60000</v>
      </c>
    </row>
    <row r="94" spans="1:5" x14ac:dyDescent="0.25">
      <c r="A94" s="93"/>
      <c r="B94" s="93" t="str">
        <f>B47</f>
        <v>CLIENTE ( dupl. A receber )</v>
      </c>
      <c r="C94" s="100"/>
      <c r="D94" s="109">
        <f>C92-D93</f>
        <v>4500000</v>
      </c>
    </row>
    <row r="95" spans="1:5" ht="6" customHeight="1" x14ac:dyDescent="0.25">
      <c r="A95" s="99"/>
      <c r="B95" s="99"/>
      <c r="C95" s="77"/>
      <c r="D95" s="77"/>
    </row>
    <row r="96" spans="1:5" x14ac:dyDescent="0.25">
      <c r="A96" s="98">
        <v>43023</v>
      </c>
      <c r="B96" s="99" t="s">
        <v>10</v>
      </c>
      <c r="C96" s="77">
        <v>3100000</v>
      </c>
      <c r="D96" s="77"/>
    </row>
    <row r="97" spans="1:9" x14ac:dyDescent="0.25">
      <c r="A97" s="99"/>
      <c r="B97" s="99" t="s">
        <v>55</v>
      </c>
      <c r="C97" s="77">
        <v>30000</v>
      </c>
      <c r="D97" s="77"/>
    </row>
    <row r="98" spans="1:9" x14ac:dyDescent="0.25">
      <c r="A98" s="99"/>
      <c r="B98" s="99" t="s">
        <v>4</v>
      </c>
      <c r="C98" s="77"/>
      <c r="D98" s="108">
        <f>C96+C97</f>
        <v>3130000</v>
      </c>
    </row>
    <row r="99" spans="1:9" ht="6" customHeight="1" x14ac:dyDescent="0.25">
      <c r="A99" s="99"/>
      <c r="B99" s="99"/>
      <c r="C99" s="77"/>
      <c r="D99" s="77"/>
    </row>
    <row r="100" spans="1:9" x14ac:dyDescent="0.25">
      <c r="A100" s="98">
        <v>43023</v>
      </c>
      <c r="B100" s="99" t="s">
        <v>39</v>
      </c>
      <c r="C100" s="77">
        <v>250000</v>
      </c>
      <c r="D100" s="77"/>
    </row>
    <row r="101" spans="1:9" x14ac:dyDescent="0.25">
      <c r="A101" s="99"/>
      <c r="B101" s="99" t="s">
        <v>4</v>
      </c>
      <c r="C101" s="77"/>
      <c r="D101" s="108">
        <v>250000</v>
      </c>
    </row>
    <row r="102" spans="1:9" ht="7.5" customHeight="1" x14ac:dyDescent="0.25">
      <c r="A102" s="99"/>
      <c r="B102" s="99"/>
      <c r="C102" s="77"/>
      <c r="D102" s="77"/>
    </row>
    <row r="103" spans="1:9" x14ac:dyDescent="0.25">
      <c r="A103" s="92">
        <v>43059</v>
      </c>
      <c r="B103" s="93" t="str">
        <f>B47</f>
        <v>CLIENTE ( dupl. A receber )</v>
      </c>
      <c r="C103" s="100">
        <v>200000</v>
      </c>
      <c r="D103" s="100"/>
    </row>
    <row r="104" spans="1:9" x14ac:dyDescent="0.25">
      <c r="A104" s="93"/>
      <c r="B104" s="93" t="s">
        <v>56</v>
      </c>
      <c r="C104" s="100"/>
      <c r="D104" s="109">
        <f>C103</f>
        <v>200000</v>
      </c>
      <c r="F104" s="20"/>
      <c r="G104" s="17">
        <f>DIARIO!C172</f>
        <v>40000</v>
      </c>
      <c r="I104" s="20"/>
    </row>
    <row r="105" spans="1:9" ht="6.75" customHeight="1" x14ac:dyDescent="0.25">
      <c r="A105" s="93"/>
      <c r="B105" s="93"/>
      <c r="C105" s="100"/>
      <c r="D105" s="100"/>
    </row>
    <row r="106" spans="1:9" x14ac:dyDescent="0.25">
      <c r="A106" s="93"/>
      <c r="B106" s="93" t="s">
        <v>21</v>
      </c>
      <c r="C106" s="100">
        <f>C103*12%</f>
        <v>24000</v>
      </c>
      <c r="D106" s="100"/>
    </row>
    <row r="107" spans="1:9" x14ac:dyDescent="0.25">
      <c r="A107" s="93"/>
      <c r="B107" s="93" t="s">
        <v>22</v>
      </c>
      <c r="C107" s="100"/>
      <c r="D107" s="109">
        <f>C106</f>
        <v>24000</v>
      </c>
    </row>
    <row r="108" spans="1:9" ht="3.75" customHeight="1" x14ac:dyDescent="0.25">
      <c r="A108" s="93"/>
      <c r="B108" s="93"/>
      <c r="C108" s="100"/>
      <c r="D108" s="100"/>
    </row>
    <row r="109" spans="1:9" x14ac:dyDescent="0.25">
      <c r="A109" s="93"/>
      <c r="B109" s="93" t="s">
        <v>60</v>
      </c>
      <c r="C109" s="100">
        <f>C103*1.65%</f>
        <v>3300</v>
      </c>
      <c r="D109" s="100"/>
    </row>
    <row r="110" spans="1:9" x14ac:dyDescent="0.25">
      <c r="A110" s="93"/>
      <c r="B110" s="93" t="s">
        <v>15</v>
      </c>
      <c r="C110" s="100"/>
      <c r="D110" s="109">
        <f>C109</f>
        <v>3300</v>
      </c>
    </row>
    <row r="111" spans="1:9" ht="4.5" customHeight="1" x14ac:dyDescent="0.25">
      <c r="A111" s="93"/>
      <c r="B111" s="93"/>
      <c r="C111" s="100"/>
      <c r="D111" s="100"/>
    </row>
    <row r="112" spans="1:9" x14ac:dyDescent="0.25">
      <c r="A112" s="93"/>
      <c r="B112" s="93" t="s">
        <v>57</v>
      </c>
      <c r="C112" s="100">
        <f>C103*7.6%</f>
        <v>15200</v>
      </c>
      <c r="D112" s="100"/>
    </row>
    <row r="113" spans="1:9" x14ac:dyDescent="0.25">
      <c r="A113" s="93"/>
      <c r="B113" s="93" t="s">
        <v>16</v>
      </c>
      <c r="C113" s="100"/>
      <c r="D113" s="109">
        <f>C112</f>
        <v>15200</v>
      </c>
    </row>
    <row r="114" spans="1:9" ht="3.75" customHeight="1" x14ac:dyDescent="0.25">
      <c r="A114" s="93"/>
      <c r="B114" s="93"/>
      <c r="C114" s="100"/>
      <c r="D114" s="100"/>
    </row>
    <row r="115" spans="1:9" x14ac:dyDescent="0.25">
      <c r="A115" s="93"/>
      <c r="B115" s="93" t="s">
        <v>17</v>
      </c>
      <c r="C115" s="100">
        <v>61500</v>
      </c>
      <c r="D115" s="100"/>
    </row>
    <row r="116" spans="1:9" x14ac:dyDescent="0.25">
      <c r="A116" s="93"/>
      <c r="B116" s="93" t="s">
        <v>7</v>
      </c>
      <c r="C116" s="100"/>
      <c r="D116" s="109">
        <f>C115</f>
        <v>61500</v>
      </c>
    </row>
    <row r="117" spans="1:9" ht="15.75" thickBot="1" x14ac:dyDescent="0.3">
      <c r="A117" s="105"/>
      <c r="B117" s="105"/>
      <c r="C117" s="106"/>
      <c r="D117" s="106"/>
    </row>
    <row r="118" spans="1:9" x14ac:dyDescent="0.25">
      <c r="A118" s="105"/>
      <c r="B118" s="95" t="s">
        <v>93</v>
      </c>
      <c r="C118" s="96">
        <v>44046.31</v>
      </c>
      <c r="D118" s="96"/>
      <c r="F118" s="35"/>
      <c r="G118" s="43"/>
      <c r="H118" s="36"/>
      <c r="I118" s="37"/>
    </row>
    <row r="119" spans="1:9" x14ac:dyDescent="0.25">
      <c r="A119" s="105"/>
      <c r="B119" s="95" t="s">
        <v>91</v>
      </c>
      <c r="C119" s="96"/>
      <c r="D119" s="96">
        <f>C118</f>
        <v>44046.31</v>
      </c>
      <c r="F119" s="38" t="s">
        <v>87</v>
      </c>
      <c r="G119" s="17">
        <v>10000</v>
      </c>
      <c r="I119" s="39"/>
    </row>
    <row r="120" spans="1:9" x14ac:dyDescent="0.25">
      <c r="A120" s="105"/>
      <c r="B120" s="95"/>
      <c r="C120" s="96"/>
      <c r="D120" s="96"/>
      <c r="F120" s="38" t="s">
        <v>88</v>
      </c>
      <c r="G120" s="17">
        <v>36</v>
      </c>
      <c r="I120" s="39"/>
    </row>
    <row r="121" spans="1:9" x14ac:dyDescent="0.25">
      <c r="A121" s="105"/>
      <c r="B121" s="95" t="str">
        <f>B119</f>
        <v>REC. FINANCEIRA A TRANSCORRER RED ATIVO</v>
      </c>
      <c r="C121" s="96"/>
      <c r="D121" s="96"/>
      <c r="F121" s="38" t="s">
        <v>89</v>
      </c>
      <c r="G121" s="45">
        <v>0.02</v>
      </c>
      <c r="I121" s="39"/>
    </row>
    <row r="122" spans="1:9" x14ac:dyDescent="0.25">
      <c r="A122" s="105"/>
      <c r="B122" s="95" t="s">
        <v>92</v>
      </c>
      <c r="C122" s="96"/>
      <c r="D122" s="96"/>
      <c r="F122" s="46" t="s">
        <v>90</v>
      </c>
      <c r="I122" s="39"/>
    </row>
    <row r="123" spans="1:9" x14ac:dyDescent="0.25">
      <c r="A123" s="105"/>
      <c r="B123" s="95"/>
      <c r="C123" s="96"/>
      <c r="D123" s="96"/>
      <c r="F123" s="20"/>
    </row>
    <row r="124" spans="1:9" x14ac:dyDescent="0.25">
      <c r="A124" s="101">
        <v>43074</v>
      </c>
      <c r="B124" s="95" t="str">
        <f>B12</f>
        <v>FINANCIAMENTO C. PRAZO</v>
      </c>
      <c r="C124" s="96">
        <v>2500</v>
      </c>
      <c r="D124" s="96"/>
      <c r="E124" s="59"/>
    </row>
    <row r="125" spans="1:9" x14ac:dyDescent="0.25">
      <c r="A125" s="95"/>
      <c r="B125" s="95" t="str">
        <f>B11</f>
        <v>JUROS APROPRIAR</v>
      </c>
      <c r="C125" s="96">
        <v>0</v>
      </c>
      <c r="D125" s="110">
        <v>500</v>
      </c>
      <c r="E125" s="59"/>
    </row>
    <row r="126" spans="1:9" x14ac:dyDescent="0.25">
      <c r="A126" s="95"/>
      <c r="B126" s="95" t="s">
        <v>4</v>
      </c>
      <c r="C126" s="96"/>
      <c r="D126" s="110">
        <v>2000</v>
      </c>
      <c r="E126" s="59"/>
    </row>
    <row r="127" spans="1:9" s="15" customFormat="1" ht="8.25" customHeight="1" x14ac:dyDescent="0.25">
      <c r="A127" s="93"/>
      <c r="B127" s="93"/>
      <c r="C127" s="100"/>
      <c r="D127" s="100"/>
      <c r="G127" s="17"/>
    </row>
    <row r="128" spans="1:9" s="15" customFormat="1" x14ac:dyDescent="0.25">
      <c r="A128" s="92">
        <v>43100</v>
      </c>
      <c r="B128" s="93" t="str">
        <f>B30</f>
        <v>PARTICIPAÇÃO SOCIETARIA DORA</v>
      </c>
      <c r="C128" s="100">
        <v>0</v>
      </c>
      <c r="D128" s="100"/>
      <c r="G128" s="17"/>
    </row>
    <row r="129" spans="1:12" s="15" customFormat="1" x14ac:dyDescent="0.25">
      <c r="A129" s="93"/>
      <c r="B129" s="93" t="s">
        <v>111</v>
      </c>
      <c r="C129" s="100"/>
      <c r="D129" s="100">
        <f>C128</f>
        <v>0</v>
      </c>
      <c r="G129" s="17"/>
    </row>
    <row r="130" spans="1:12" s="15" customFormat="1" ht="9.75" customHeight="1" x14ac:dyDescent="0.25">
      <c r="A130" s="93"/>
      <c r="B130" s="93"/>
      <c r="C130" s="100"/>
      <c r="D130" s="100"/>
      <c r="G130" s="17"/>
    </row>
    <row r="131" spans="1:12" x14ac:dyDescent="0.25">
      <c r="A131" s="101">
        <v>43074</v>
      </c>
      <c r="B131" s="95" t="s">
        <v>68</v>
      </c>
      <c r="C131" s="96">
        <v>3905352.5</v>
      </c>
      <c r="D131" s="96"/>
      <c r="E131" s="60"/>
    </row>
    <row r="132" spans="1:12" x14ac:dyDescent="0.25">
      <c r="A132" s="95"/>
      <c r="B132" s="95" t="s">
        <v>4</v>
      </c>
      <c r="C132" s="96"/>
      <c r="D132" s="110">
        <f>C131</f>
        <v>3905352.5</v>
      </c>
      <c r="E132" s="60"/>
      <c r="F132" s="16"/>
    </row>
    <row r="133" spans="1:12" s="21" customFormat="1" x14ac:dyDescent="0.25">
      <c r="A133" s="95"/>
      <c r="B133" s="95"/>
      <c r="C133" s="96"/>
      <c r="D133" s="96"/>
      <c r="E133" s="60"/>
      <c r="F133" s="15"/>
      <c r="G133" s="17"/>
      <c r="H133" s="15"/>
      <c r="I133" s="15"/>
      <c r="J133" s="15"/>
      <c r="K133" s="15"/>
      <c r="L133" s="15"/>
    </row>
    <row r="134" spans="1:12" x14ac:dyDescent="0.25">
      <c r="A134" s="102">
        <v>43092</v>
      </c>
      <c r="B134" s="103" t="str">
        <f>B103</f>
        <v>CLIENTE ( dupl. A receber )</v>
      </c>
      <c r="C134" s="104">
        <v>14765.48</v>
      </c>
      <c r="D134" s="104"/>
    </row>
    <row r="135" spans="1:12" x14ac:dyDescent="0.25">
      <c r="A135" s="103"/>
      <c r="B135" s="103" t="s">
        <v>23</v>
      </c>
      <c r="C135" s="104"/>
      <c r="D135" s="104">
        <f>C134</f>
        <v>14765.48</v>
      </c>
    </row>
    <row r="136" spans="1:12" ht="9" customHeight="1" x14ac:dyDescent="0.25">
      <c r="A136" s="103"/>
      <c r="B136" s="103"/>
      <c r="C136" s="104"/>
      <c r="D136" s="104"/>
    </row>
    <row r="137" spans="1:12" x14ac:dyDescent="0.25">
      <c r="A137" s="101">
        <v>43100</v>
      </c>
      <c r="B137" s="95" t="s">
        <v>41</v>
      </c>
      <c r="C137" s="96">
        <v>300000</v>
      </c>
      <c r="D137" s="96"/>
      <c r="E137" s="17"/>
    </row>
    <row r="138" spans="1:12" x14ac:dyDescent="0.25">
      <c r="A138" s="95"/>
      <c r="B138" s="95" t="s">
        <v>42</v>
      </c>
      <c r="C138" s="96"/>
      <c r="D138" s="110">
        <v>20000</v>
      </c>
      <c r="E138" s="17"/>
    </row>
    <row r="139" spans="1:12" x14ac:dyDescent="0.25">
      <c r="A139" s="101"/>
      <c r="B139" s="95" t="s">
        <v>24</v>
      </c>
      <c r="C139" s="96"/>
      <c r="D139" s="110">
        <v>25000</v>
      </c>
      <c r="E139" s="17"/>
    </row>
    <row r="140" spans="1:12" x14ac:dyDescent="0.25">
      <c r="A140" s="95"/>
      <c r="B140" s="95" t="s">
        <v>25</v>
      </c>
      <c r="C140" s="96"/>
      <c r="D140" s="110">
        <f>C137-D138-D139</f>
        <v>255000</v>
      </c>
      <c r="E140" s="17"/>
    </row>
    <row r="141" spans="1:12" ht="10.5" customHeight="1" x14ac:dyDescent="0.25">
      <c r="A141" s="95"/>
      <c r="B141" s="95"/>
      <c r="C141" s="96"/>
      <c r="D141" s="96"/>
      <c r="E141" s="17"/>
    </row>
    <row r="142" spans="1:12" x14ac:dyDescent="0.25">
      <c r="A142" s="95"/>
      <c r="B142" s="95" t="s">
        <v>43</v>
      </c>
      <c r="C142" s="96">
        <f>C137*8%</f>
        <v>24000</v>
      </c>
      <c r="D142" s="96"/>
      <c r="E142" s="17"/>
    </row>
    <row r="143" spans="1:12" x14ac:dyDescent="0.25">
      <c r="A143" s="101"/>
      <c r="B143" s="95" t="s">
        <v>40</v>
      </c>
      <c r="C143" s="96"/>
      <c r="D143" s="110">
        <f>C142</f>
        <v>24000</v>
      </c>
      <c r="E143" s="17"/>
    </row>
    <row r="144" spans="1:12" ht="7.5" customHeight="1" x14ac:dyDescent="0.25">
      <c r="A144" s="95"/>
      <c r="B144" s="95"/>
      <c r="C144" s="96"/>
      <c r="D144" s="96"/>
      <c r="E144" s="17"/>
    </row>
    <row r="145" spans="1:12" x14ac:dyDescent="0.25">
      <c r="A145" s="101">
        <v>43039</v>
      </c>
      <c r="B145" s="95" t="s">
        <v>44</v>
      </c>
      <c r="C145" s="96">
        <f>'FOLHA DE PAG.'!E12</f>
        <v>96000</v>
      </c>
      <c r="D145" s="96"/>
      <c r="E145" s="17"/>
    </row>
    <row r="146" spans="1:12" x14ac:dyDescent="0.25">
      <c r="A146" s="95"/>
      <c r="B146" s="95" t="s">
        <v>42</v>
      </c>
      <c r="C146" s="96"/>
      <c r="D146" s="110">
        <f>C145</f>
        <v>96000</v>
      </c>
      <c r="E146" s="17"/>
    </row>
    <row r="147" spans="1:12" ht="7.5" customHeight="1" x14ac:dyDescent="0.25">
      <c r="A147" s="95"/>
      <c r="B147" s="95"/>
      <c r="C147" s="96"/>
      <c r="D147" s="96"/>
      <c r="E147" s="17"/>
    </row>
    <row r="148" spans="1:12" x14ac:dyDescent="0.25">
      <c r="A148" s="101">
        <v>43100</v>
      </c>
      <c r="B148" s="95" t="s">
        <v>45</v>
      </c>
      <c r="C148" s="96">
        <v>25000</v>
      </c>
      <c r="D148" s="96"/>
      <c r="E148" s="52"/>
    </row>
    <row r="149" spans="1:12" x14ac:dyDescent="0.25">
      <c r="A149" s="101"/>
      <c r="B149" s="95" t="s">
        <v>42</v>
      </c>
      <c r="C149" s="96"/>
      <c r="D149" s="110">
        <f>C148*9%</f>
        <v>2250</v>
      </c>
      <c r="E149" s="52"/>
    </row>
    <row r="150" spans="1:12" x14ac:dyDescent="0.25">
      <c r="A150" s="95"/>
      <c r="B150" s="97" t="s">
        <v>129</v>
      </c>
      <c r="C150" s="96"/>
      <c r="D150" s="110">
        <f>C148-D149</f>
        <v>22750</v>
      </c>
      <c r="E150" s="52"/>
    </row>
    <row r="151" spans="1:12" x14ac:dyDescent="0.25">
      <c r="A151" s="101"/>
      <c r="B151" s="95"/>
      <c r="C151" s="96"/>
      <c r="D151" s="96"/>
      <c r="E151" s="17"/>
    </row>
    <row r="152" spans="1:12" x14ac:dyDescent="0.25">
      <c r="A152" s="101">
        <v>43100</v>
      </c>
      <c r="B152" s="107" t="s">
        <v>69</v>
      </c>
      <c r="C152" s="96">
        <f>'FOLHA DE PAG.'!C17</f>
        <v>33333.333333333336</v>
      </c>
      <c r="D152" s="96"/>
    </row>
    <row r="153" spans="1:12" x14ac:dyDescent="0.25">
      <c r="A153" s="95"/>
      <c r="B153" s="107" t="s">
        <v>70</v>
      </c>
      <c r="C153" s="96"/>
      <c r="D153" s="110">
        <f>C152</f>
        <v>33333.333333333336</v>
      </c>
    </row>
    <row r="154" spans="1:12" x14ac:dyDescent="0.25">
      <c r="A154" s="101"/>
      <c r="B154" s="107"/>
      <c r="C154" s="96"/>
      <c r="D154" s="96"/>
    </row>
    <row r="155" spans="1:12" x14ac:dyDescent="0.25">
      <c r="A155" s="101">
        <v>43100</v>
      </c>
      <c r="B155" s="107" t="s">
        <v>85</v>
      </c>
      <c r="C155" s="96">
        <v>536178</v>
      </c>
      <c r="D155" s="96"/>
      <c r="E155" s="60"/>
    </row>
    <row r="156" spans="1:12" x14ac:dyDescent="0.25">
      <c r="A156" s="101"/>
      <c r="B156" s="107" t="s">
        <v>86</v>
      </c>
      <c r="C156" s="96"/>
      <c r="D156" s="96">
        <f>C155</f>
        <v>536178</v>
      </c>
      <c r="E156" s="60"/>
    </row>
    <row r="157" spans="1:12" ht="15.75" thickBot="1" x14ac:dyDescent="0.3">
      <c r="A157" s="101"/>
      <c r="B157" s="107"/>
      <c r="C157" s="96"/>
      <c r="D157" s="96"/>
    </row>
    <row r="158" spans="1:12" s="21" customFormat="1" x14ac:dyDescent="0.25">
      <c r="A158" s="101">
        <v>43100</v>
      </c>
      <c r="B158" s="95"/>
      <c r="C158" s="96"/>
      <c r="D158" s="96"/>
      <c r="E158" s="60"/>
      <c r="F158" s="35" t="s">
        <v>94</v>
      </c>
      <c r="G158" s="43">
        <f>C10</f>
        <v>100000</v>
      </c>
      <c r="H158" s="36"/>
      <c r="I158" s="37"/>
      <c r="J158" s="15"/>
      <c r="K158" s="15"/>
      <c r="L158" s="15"/>
    </row>
    <row r="159" spans="1:12" s="21" customFormat="1" x14ac:dyDescent="0.25">
      <c r="A159" s="95"/>
      <c r="B159" s="95" t="s">
        <v>117</v>
      </c>
      <c r="C159" s="96" t="e">
        <f>#REF!</f>
        <v>#REF!</v>
      </c>
      <c r="D159" s="96"/>
      <c r="E159" s="60"/>
      <c r="F159" s="38" t="s">
        <v>95</v>
      </c>
      <c r="G159" s="49">
        <v>10</v>
      </c>
      <c r="H159" s="15"/>
      <c r="I159" s="39"/>
      <c r="J159" s="15"/>
      <c r="K159" s="15"/>
      <c r="L159" s="15"/>
    </row>
    <row r="160" spans="1:12" s="21" customFormat="1" x14ac:dyDescent="0.25">
      <c r="A160" s="95"/>
      <c r="B160" s="95" t="s">
        <v>118</v>
      </c>
      <c r="C160" s="96"/>
      <c r="D160" s="96" t="e">
        <f>C159</f>
        <v>#REF!</v>
      </c>
      <c r="E160" s="60"/>
      <c r="F160" s="38" t="s">
        <v>96</v>
      </c>
      <c r="G160" s="17">
        <f>G158/60</f>
        <v>1666.6666666666667</v>
      </c>
      <c r="H160" s="15"/>
      <c r="I160" s="39"/>
      <c r="J160" s="15"/>
      <c r="K160" s="15"/>
      <c r="L160" s="15"/>
    </row>
    <row r="161" spans="1:12" s="21" customFormat="1" x14ac:dyDescent="0.25">
      <c r="A161" s="95"/>
      <c r="B161" s="95"/>
      <c r="C161" s="96"/>
      <c r="D161" s="96"/>
      <c r="E161" s="15"/>
      <c r="F161" s="38" t="s">
        <v>97</v>
      </c>
      <c r="G161" s="17">
        <f>G160*G159</f>
        <v>16666.666666666668</v>
      </c>
      <c r="H161" s="15"/>
      <c r="I161" s="39"/>
      <c r="J161" s="15"/>
      <c r="K161" s="15"/>
      <c r="L161" s="15"/>
    </row>
    <row r="162" spans="1:12" s="21" customFormat="1" x14ac:dyDescent="0.25">
      <c r="A162" s="101">
        <v>43100</v>
      </c>
      <c r="B162" s="95"/>
      <c r="C162" s="96"/>
      <c r="D162" s="96"/>
      <c r="E162" s="60"/>
      <c r="F162" s="50" t="s">
        <v>98</v>
      </c>
      <c r="G162" s="51">
        <f>G158-G161</f>
        <v>83333.333333333328</v>
      </c>
      <c r="H162" s="15"/>
      <c r="I162" s="39"/>
      <c r="J162" s="15"/>
      <c r="K162" s="15"/>
      <c r="L162" s="15"/>
    </row>
    <row r="163" spans="1:12" s="21" customFormat="1" x14ac:dyDescent="0.25">
      <c r="A163" s="95"/>
      <c r="B163" s="95" t="s">
        <v>117</v>
      </c>
      <c r="C163" s="96" t="e">
        <f>#REF!</f>
        <v>#REF!</v>
      </c>
      <c r="D163" s="96"/>
      <c r="E163" s="60"/>
      <c r="F163" s="38"/>
      <c r="G163" s="17"/>
      <c r="H163" s="15"/>
      <c r="I163" s="39"/>
      <c r="J163" s="15"/>
      <c r="K163" s="15"/>
      <c r="L163" s="15"/>
    </row>
    <row r="164" spans="1:12" s="21" customFormat="1" x14ac:dyDescent="0.25">
      <c r="A164" s="95"/>
      <c r="B164" s="95" t="s">
        <v>118</v>
      </c>
      <c r="C164" s="96"/>
      <c r="D164" s="96" t="e">
        <f>C163</f>
        <v>#REF!</v>
      </c>
      <c r="E164" s="60"/>
      <c r="F164" s="50" t="s">
        <v>99</v>
      </c>
      <c r="G164" s="51">
        <v>65000</v>
      </c>
      <c r="H164" s="15"/>
      <c r="I164" s="39"/>
      <c r="J164" s="15"/>
      <c r="K164" s="15"/>
      <c r="L164" s="15"/>
    </row>
    <row r="165" spans="1:12" s="21" customFormat="1" x14ac:dyDescent="0.25">
      <c r="A165" s="95"/>
      <c r="B165" s="95"/>
      <c r="C165" s="96"/>
      <c r="D165" s="96"/>
      <c r="E165" s="15"/>
      <c r="F165" s="38"/>
      <c r="G165" s="17"/>
      <c r="H165" s="15"/>
      <c r="I165" s="39"/>
      <c r="J165" s="15"/>
      <c r="K165" s="15"/>
      <c r="L165" s="15"/>
    </row>
    <row r="166" spans="1:12" s="21" customFormat="1" x14ac:dyDescent="0.25">
      <c r="A166" s="95"/>
      <c r="B166" s="95" t="s">
        <v>124</v>
      </c>
      <c r="C166" s="96" t="e">
        <f>#REF!</f>
        <v>#REF!</v>
      </c>
      <c r="D166" s="96"/>
      <c r="E166" s="15"/>
      <c r="F166" s="38"/>
      <c r="G166" s="17"/>
      <c r="H166" s="15"/>
      <c r="I166" s="39"/>
      <c r="J166" s="15"/>
      <c r="K166" s="15"/>
      <c r="L166" s="15"/>
    </row>
    <row r="167" spans="1:12" s="21" customFormat="1" x14ac:dyDescent="0.25">
      <c r="A167" s="95"/>
      <c r="B167" s="95" t="s">
        <v>125</v>
      </c>
      <c r="C167" s="96"/>
      <c r="D167" s="96" t="e">
        <f>C166</f>
        <v>#REF!</v>
      </c>
      <c r="E167" s="15"/>
      <c r="F167" s="38"/>
      <c r="G167" s="17"/>
      <c r="H167" s="15"/>
      <c r="I167" s="39"/>
      <c r="J167" s="15"/>
      <c r="K167" s="15"/>
      <c r="L167" s="15"/>
    </row>
    <row r="168" spans="1:12" s="21" customFormat="1" x14ac:dyDescent="0.25">
      <c r="A168" s="95"/>
      <c r="B168" s="95"/>
      <c r="C168" s="96"/>
      <c r="D168" s="96"/>
      <c r="E168" s="15"/>
      <c r="F168" s="38"/>
      <c r="G168" s="17"/>
      <c r="H168" s="15"/>
      <c r="I168" s="39"/>
      <c r="J168" s="15"/>
      <c r="K168" s="15"/>
      <c r="L168" s="15"/>
    </row>
    <row r="169" spans="1:12" ht="15.75" thickBot="1" x14ac:dyDescent="0.3">
      <c r="A169" s="101">
        <v>43100</v>
      </c>
      <c r="B169" s="95" t="s">
        <v>46</v>
      </c>
      <c r="C169" s="96">
        <v>100000</v>
      </c>
      <c r="D169" s="96"/>
      <c r="F169" s="40"/>
      <c r="G169" s="44"/>
      <c r="H169" s="41"/>
      <c r="I169" s="42"/>
    </row>
    <row r="170" spans="1:12" x14ac:dyDescent="0.25">
      <c r="A170" s="95"/>
      <c r="B170" s="95" t="s">
        <v>101</v>
      </c>
      <c r="C170" s="96"/>
      <c r="D170" s="96">
        <f>C169</f>
        <v>100000</v>
      </c>
    </row>
    <row r="171" spans="1:12" ht="8.25" customHeight="1" x14ac:dyDescent="0.25">
      <c r="A171" s="95"/>
      <c r="B171" s="95"/>
      <c r="C171" s="96"/>
      <c r="D171" s="96"/>
    </row>
    <row r="172" spans="1:12" x14ac:dyDescent="0.25">
      <c r="A172" s="101">
        <v>43100</v>
      </c>
      <c r="B172" s="95" t="s">
        <v>47</v>
      </c>
      <c r="C172" s="96">
        <v>40000</v>
      </c>
      <c r="D172" s="96"/>
    </row>
    <row r="173" spans="1:12" x14ac:dyDescent="0.25">
      <c r="A173" s="95"/>
      <c r="B173" s="95" t="s">
        <v>100</v>
      </c>
      <c r="C173" s="96"/>
      <c r="D173" s="96">
        <f>C172</f>
        <v>40000</v>
      </c>
    </row>
    <row r="174" spans="1:12" ht="11.25" customHeight="1" x14ac:dyDescent="0.25">
      <c r="A174" s="95"/>
      <c r="B174" s="95"/>
      <c r="C174" s="96"/>
      <c r="D174" s="96"/>
    </row>
    <row r="175" spans="1:12" x14ac:dyDescent="0.25">
      <c r="A175" s="101">
        <v>43100</v>
      </c>
      <c r="B175" s="95" t="s">
        <v>48</v>
      </c>
      <c r="C175" s="96">
        <f>D7*7.5%</f>
        <v>562500</v>
      </c>
      <c r="D175" s="96"/>
    </row>
    <row r="176" spans="1:12" x14ac:dyDescent="0.25">
      <c r="A176" s="101"/>
      <c r="B176" s="95" t="str">
        <f>B139</f>
        <v>IRRF A RECOLHER</v>
      </c>
      <c r="C176" s="96"/>
      <c r="D176" s="96">
        <f>C175*15%</f>
        <v>84375</v>
      </c>
    </row>
    <row r="177" spans="1:4" x14ac:dyDescent="0.25">
      <c r="A177" s="95"/>
      <c r="B177" s="95" t="s">
        <v>49</v>
      </c>
      <c r="C177" s="96"/>
      <c r="D177" s="96">
        <f>C175-D176</f>
        <v>478125</v>
      </c>
    </row>
    <row r="178" spans="1:4" x14ac:dyDescent="0.25">
      <c r="A178" s="47"/>
      <c r="B178" s="47"/>
      <c r="C178" s="48"/>
      <c r="D178" s="48"/>
    </row>
    <row r="179" spans="1:4" x14ac:dyDescent="0.25">
      <c r="A179" s="47"/>
      <c r="B179" s="47" t="s">
        <v>130</v>
      </c>
      <c r="C179" s="48">
        <v>2000</v>
      </c>
      <c r="D179" s="48"/>
    </row>
    <row r="180" spans="1:4" x14ac:dyDescent="0.25">
      <c r="A180" s="47"/>
      <c r="B180" s="47" t="s">
        <v>40</v>
      </c>
      <c r="C180" s="48"/>
      <c r="D180" s="48">
        <f>C179</f>
        <v>2000</v>
      </c>
    </row>
    <row r="181" spans="1:4" x14ac:dyDescent="0.25">
      <c r="A181" s="47"/>
      <c r="B181" s="47"/>
      <c r="C181" s="48"/>
      <c r="D181" s="48"/>
    </row>
    <row r="182" spans="1:4" x14ac:dyDescent="0.25">
      <c r="A182" s="47"/>
      <c r="B182" s="47" t="s">
        <v>130</v>
      </c>
      <c r="C182" s="48">
        <v>2666.67</v>
      </c>
      <c r="D182" s="48"/>
    </row>
    <row r="183" spans="1:4" x14ac:dyDescent="0.25">
      <c r="A183" s="47"/>
      <c r="B183" s="47" t="s">
        <v>131</v>
      </c>
      <c r="C183" s="48"/>
      <c r="D183" s="48">
        <f>C182</f>
        <v>2666.67</v>
      </c>
    </row>
    <row r="184" spans="1:4" x14ac:dyDescent="0.25">
      <c r="A184" s="47"/>
      <c r="B184" s="47"/>
      <c r="C184" s="48"/>
      <c r="D184" s="48"/>
    </row>
    <row r="185" spans="1:4" x14ac:dyDescent="0.25">
      <c r="A185" s="47"/>
      <c r="B185" s="47" t="s">
        <v>132</v>
      </c>
      <c r="C185" s="48">
        <v>8933.33</v>
      </c>
      <c r="D185" s="48"/>
    </row>
    <row r="186" spans="1:4" x14ac:dyDescent="0.25">
      <c r="A186" s="47"/>
      <c r="B186" s="47" t="s">
        <v>133</v>
      </c>
      <c r="C186" s="48"/>
      <c r="D186" s="48">
        <f>C185</f>
        <v>8933.33</v>
      </c>
    </row>
    <row r="187" spans="1:4" x14ac:dyDescent="0.25">
      <c r="A187" s="47"/>
      <c r="B187" s="47"/>
      <c r="C187" s="48"/>
      <c r="D187" s="48"/>
    </row>
    <row r="188" spans="1:4" x14ac:dyDescent="0.25">
      <c r="A188" s="47"/>
      <c r="B188" s="47" t="s">
        <v>29</v>
      </c>
      <c r="C188" s="48">
        <v>0</v>
      </c>
      <c r="D188" s="48"/>
    </row>
    <row r="189" spans="1:4" x14ac:dyDescent="0.25">
      <c r="A189" s="47"/>
      <c r="B189" s="47" t="s">
        <v>119</v>
      </c>
      <c r="C189" s="48"/>
      <c r="D189" s="48">
        <v>0</v>
      </c>
    </row>
    <row r="190" spans="1:4" ht="15.75" thickBot="1" x14ac:dyDescent="0.3">
      <c r="A190" s="47"/>
      <c r="B190" s="47" t="s">
        <v>120</v>
      </c>
      <c r="C190" s="48"/>
      <c r="D190" s="48">
        <v>0</v>
      </c>
    </row>
    <row r="191" spans="1:4" ht="15.75" thickBot="1" x14ac:dyDescent="0.3">
      <c r="A191" s="4" t="s">
        <v>50</v>
      </c>
      <c r="B191" s="7"/>
      <c r="C191" s="34" t="e">
        <f>SUM(C2:C190)</f>
        <v>#REF!</v>
      </c>
      <c r="D191" s="34" t="e">
        <f>SUM(D2:D190)</f>
        <v>#REF!</v>
      </c>
    </row>
    <row r="194" spans="1:8" x14ac:dyDescent="0.25">
      <c r="A194" s="5"/>
    </row>
    <row r="195" spans="1:8" x14ac:dyDescent="0.25">
      <c r="B195" s="8" t="s">
        <v>128</v>
      </c>
      <c r="C195" s="1">
        <f>C11</f>
        <v>25000</v>
      </c>
      <c r="H195" s="16"/>
    </row>
    <row r="196" spans="1:8" x14ac:dyDescent="0.25">
      <c r="B196" s="8" t="s">
        <v>126</v>
      </c>
      <c r="D196" s="1">
        <f>D125</f>
        <v>500</v>
      </c>
      <c r="H196" s="16"/>
    </row>
    <row r="197" spans="1:8" x14ac:dyDescent="0.25">
      <c r="H197" s="16"/>
    </row>
    <row r="198" spans="1:8" x14ac:dyDescent="0.25">
      <c r="H198" s="16"/>
    </row>
    <row r="201" spans="1:8" x14ac:dyDescent="0.25">
      <c r="B201" s="62" t="e">
        <f>[1]diario!$D$169-D191</f>
        <v>#REF!</v>
      </c>
    </row>
    <row r="206" spans="1:8" x14ac:dyDescent="0.25">
      <c r="B206" s="61">
        <f>55553994.06-49841820.14</f>
        <v>5712173.9200000018</v>
      </c>
    </row>
    <row r="209" spans="1:12" x14ac:dyDescent="0.25">
      <c r="A209" s="5"/>
    </row>
    <row r="212" spans="1:12" x14ac:dyDescent="0.25">
      <c r="A212" s="5"/>
    </row>
    <row r="214" spans="1:12" x14ac:dyDescent="0.25">
      <c r="I214" s="16"/>
    </row>
    <row r="215" spans="1:12" x14ac:dyDescent="0.25">
      <c r="A215" s="5"/>
      <c r="I215" s="16"/>
    </row>
    <row r="216" spans="1:12" x14ac:dyDescent="0.25">
      <c r="I216" s="16"/>
    </row>
    <row r="217" spans="1:12" x14ac:dyDescent="0.25">
      <c r="I217" s="16"/>
    </row>
    <row r="219" spans="1:12" x14ac:dyDescent="0.25">
      <c r="L219" s="16"/>
    </row>
    <row r="225" spans="1:1" x14ac:dyDescent="0.25">
      <c r="A225" s="5"/>
    </row>
    <row r="228" spans="1:1" x14ac:dyDescent="0.25">
      <c r="A228" s="5"/>
    </row>
    <row r="231" spans="1:1" x14ac:dyDescent="0.25">
      <c r="A231" s="5"/>
    </row>
    <row r="235" spans="1:1" x14ac:dyDescent="0.25">
      <c r="A235" s="5"/>
    </row>
    <row r="247" spans="1:13" x14ac:dyDescent="0.25">
      <c r="A247" s="5"/>
      <c r="M247" s="6"/>
    </row>
    <row r="248" spans="1:13" x14ac:dyDescent="0.25">
      <c r="M248" s="6"/>
    </row>
    <row r="249" spans="1:13" x14ac:dyDescent="0.25">
      <c r="M249" s="6"/>
    </row>
    <row r="250" spans="1:13" x14ac:dyDescent="0.25">
      <c r="A250" s="5"/>
    </row>
    <row r="268" spans="1:1" x14ac:dyDescent="0.25">
      <c r="A268" s="5"/>
    </row>
    <row r="271" spans="1:1" x14ac:dyDescent="0.25">
      <c r="A271" s="5"/>
    </row>
    <row r="274" spans="1:1" x14ac:dyDescent="0.25">
      <c r="A274" s="5"/>
    </row>
    <row r="278" spans="1:1" x14ac:dyDescent="0.25">
      <c r="A278" s="5"/>
    </row>
    <row r="281" spans="1:1" x14ac:dyDescent="0.25">
      <c r="A281" s="5"/>
    </row>
    <row r="287" spans="1:1" x14ac:dyDescent="0.25">
      <c r="A287" s="5"/>
    </row>
    <row r="290" spans="1:1" x14ac:dyDescent="0.25">
      <c r="A290" s="5"/>
    </row>
    <row r="293" spans="1:1" x14ac:dyDescent="0.25">
      <c r="A293" s="5"/>
    </row>
    <row r="296" spans="1:1" x14ac:dyDescent="0.25">
      <c r="A296" s="5"/>
    </row>
    <row r="302" spans="1:1" x14ac:dyDescent="0.25">
      <c r="A302" s="5"/>
    </row>
    <row r="307" spans="1:1" x14ac:dyDescent="0.25">
      <c r="A307" s="5"/>
    </row>
    <row r="319" spans="1:1" x14ac:dyDescent="0.25">
      <c r="A319" s="5"/>
    </row>
    <row r="376" spans="1:1" x14ac:dyDescent="0.25">
      <c r="A376" s="5"/>
    </row>
    <row r="391" spans="1:1" x14ac:dyDescent="0.25">
      <c r="A391" s="5"/>
    </row>
    <row r="397" spans="1:1" x14ac:dyDescent="0.25">
      <c r="A397" s="5"/>
    </row>
    <row r="403" spans="1:1" x14ac:dyDescent="0.25">
      <c r="A403" s="5"/>
    </row>
    <row r="406" spans="1:1" x14ac:dyDescent="0.25">
      <c r="A406" s="5"/>
    </row>
    <row r="412" spans="1:1" x14ac:dyDescent="0.25">
      <c r="A412" s="5"/>
    </row>
    <row r="415" spans="1:1" x14ac:dyDescent="0.25">
      <c r="A415" s="5"/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3:L25"/>
  <sheetViews>
    <sheetView showGridLines="0" topLeftCell="B7" workbookViewId="0">
      <selection activeCell="C21" sqref="C21"/>
    </sheetView>
  </sheetViews>
  <sheetFormatPr defaultRowHeight="15" x14ac:dyDescent="0.25"/>
  <cols>
    <col min="1" max="1" width="9.140625" customWidth="1"/>
    <col min="2" max="2" width="25.28515625" customWidth="1"/>
    <col min="3" max="3" width="16.140625" customWidth="1"/>
    <col min="4" max="4" width="20.28515625" customWidth="1"/>
    <col min="5" max="5" width="15.140625" bestFit="1" customWidth="1"/>
    <col min="6" max="6" width="11.140625" customWidth="1"/>
    <col min="7" max="7" width="12.7109375" customWidth="1"/>
    <col min="8" max="8" width="11.85546875" customWidth="1"/>
    <col min="9" max="9" width="13.7109375" customWidth="1"/>
    <col min="10" max="10" width="13.140625" customWidth="1"/>
    <col min="11" max="11" width="18.140625" bestFit="1" customWidth="1"/>
  </cols>
  <sheetData>
    <row r="3" spans="2:12" ht="15.75" thickBot="1" x14ac:dyDescent="0.3"/>
    <row r="4" spans="2:12" x14ac:dyDescent="0.25">
      <c r="B4" s="31" t="s">
        <v>71</v>
      </c>
      <c r="C4" s="32" t="s">
        <v>72</v>
      </c>
      <c r="D4" s="32" t="s">
        <v>73</v>
      </c>
      <c r="E4" s="32" t="s">
        <v>74</v>
      </c>
      <c r="F4" s="32" t="s">
        <v>75</v>
      </c>
      <c r="G4" s="32" t="s">
        <v>76</v>
      </c>
      <c r="H4" s="32" t="s">
        <v>77</v>
      </c>
      <c r="I4" s="32" t="s">
        <v>78</v>
      </c>
      <c r="J4" s="32" t="s">
        <v>79</v>
      </c>
      <c r="K4" s="33" t="s">
        <v>25</v>
      </c>
    </row>
    <row r="5" spans="2:12" x14ac:dyDescent="0.25">
      <c r="B5" s="14"/>
      <c r="C5" s="3"/>
      <c r="D5" s="3"/>
      <c r="E5" s="3"/>
      <c r="F5" s="3"/>
      <c r="G5" s="3"/>
      <c r="H5" s="3"/>
      <c r="I5" s="3"/>
      <c r="J5" s="3"/>
      <c r="K5" s="22"/>
      <c r="L5" s="1"/>
    </row>
    <row r="6" spans="2:12" x14ac:dyDescent="0.25">
      <c r="B6" s="23" t="s">
        <v>80</v>
      </c>
      <c r="C6" s="24">
        <v>300000</v>
      </c>
      <c r="D6" s="24">
        <v>20000</v>
      </c>
      <c r="E6" s="24">
        <f>C6*32%</f>
        <v>96000</v>
      </c>
      <c r="F6" s="24">
        <f>C6*8%</f>
        <v>24000</v>
      </c>
      <c r="G6" s="24"/>
      <c r="H6" s="24">
        <v>0</v>
      </c>
      <c r="I6" s="24">
        <f t="shared" ref="I6:I11" si="0">C6-D6-G6-H6</f>
        <v>280000</v>
      </c>
      <c r="J6" s="24">
        <v>25000</v>
      </c>
      <c r="K6" s="25">
        <f t="shared" ref="K6:K11" si="1">C6-D6-H6-J6</f>
        <v>255000</v>
      </c>
      <c r="L6" s="1"/>
    </row>
    <row r="7" spans="2:12" x14ac:dyDescent="0.25">
      <c r="B7" s="23"/>
      <c r="C7" s="24">
        <v>0</v>
      </c>
      <c r="D7" s="24">
        <f>C7*9%</f>
        <v>0</v>
      </c>
      <c r="E7" s="24">
        <f t="shared" ref="E7:E11" si="2">C7*32%</f>
        <v>0</v>
      </c>
      <c r="F7" s="24">
        <f t="shared" ref="F7:F11" si="3">C7*8%</f>
        <v>0</v>
      </c>
      <c r="G7" s="24">
        <v>0</v>
      </c>
      <c r="H7" s="24"/>
      <c r="I7" s="24">
        <f t="shared" si="0"/>
        <v>0</v>
      </c>
      <c r="J7" s="24">
        <v>0</v>
      </c>
      <c r="K7" s="25">
        <f t="shared" si="1"/>
        <v>0</v>
      </c>
      <c r="L7" s="1"/>
    </row>
    <row r="8" spans="2:12" x14ac:dyDescent="0.25">
      <c r="B8" s="23"/>
      <c r="C8" s="24">
        <v>0</v>
      </c>
      <c r="D8" s="24">
        <f>C8*11%</f>
        <v>0</v>
      </c>
      <c r="E8" s="24">
        <f t="shared" si="2"/>
        <v>0</v>
      </c>
      <c r="F8" s="24">
        <f t="shared" si="3"/>
        <v>0</v>
      </c>
      <c r="G8" s="24"/>
      <c r="H8" s="24"/>
      <c r="I8" s="24">
        <f t="shared" si="0"/>
        <v>0</v>
      </c>
      <c r="J8" s="24">
        <v>0</v>
      </c>
      <c r="K8" s="25">
        <f t="shared" si="1"/>
        <v>0</v>
      </c>
      <c r="L8" s="1"/>
    </row>
    <row r="9" spans="2:12" x14ac:dyDescent="0.25">
      <c r="B9" s="23"/>
      <c r="C9" s="24">
        <v>0</v>
      </c>
      <c r="D9" s="24">
        <f t="shared" ref="D9:D10" si="4">C9*11%</f>
        <v>0</v>
      </c>
      <c r="E9" s="24">
        <f t="shared" si="2"/>
        <v>0</v>
      </c>
      <c r="F9" s="24">
        <f t="shared" si="3"/>
        <v>0</v>
      </c>
      <c r="G9" s="24"/>
      <c r="H9" s="24"/>
      <c r="I9" s="24">
        <f t="shared" si="0"/>
        <v>0</v>
      </c>
      <c r="J9" s="24">
        <v>0</v>
      </c>
      <c r="K9" s="25">
        <f t="shared" si="1"/>
        <v>0</v>
      </c>
      <c r="L9" s="1"/>
    </row>
    <row r="10" spans="2:12" x14ac:dyDescent="0.25">
      <c r="B10" s="23"/>
      <c r="C10" s="24">
        <v>0</v>
      </c>
      <c r="D10" s="24">
        <f t="shared" si="4"/>
        <v>0</v>
      </c>
      <c r="E10" s="24">
        <f t="shared" si="2"/>
        <v>0</v>
      </c>
      <c r="F10" s="24">
        <f t="shared" si="3"/>
        <v>0</v>
      </c>
      <c r="G10" s="24"/>
      <c r="H10" s="24"/>
      <c r="I10" s="24">
        <f t="shared" si="0"/>
        <v>0</v>
      </c>
      <c r="J10" s="24">
        <v>0</v>
      </c>
      <c r="K10" s="25">
        <f t="shared" si="1"/>
        <v>0</v>
      </c>
      <c r="L10" s="1"/>
    </row>
    <row r="11" spans="2:12" ht="15.75" thickBot="1" x14ac:dyDescent="0.3">
      <c r="B11" s="26"/>
      <c r="C11" s="27">
        <v>0</v>
      </c>
      <c r="D11" s="27">
        <f>C11*8%</f>
        <v>0</v>
      </c>
      <c r="E11" s="24">
        <f t="shared" si="2"/>
        <v>0</v>
      </c>
      <c r="F11" s="27">
        <f t="shared" si="3"/>
        <v>0</v>
      </c>
      <c r="G11" s="27">
        <v>0</v>
      </c>
      <c r="H11" s="27"/>
      <c r="I11" s="27">
        <f t="shared" si="0"/>
        <v>0</v>
      </c>
      <c r="J11" s="27">
        <v>0</v>
      </c>
      <c r="K11" s="28">
        <f t="shared" si="1"/>
        <v>0</v>
      </c>
      <c r="L11" s="1"/>
    </row>
    <row r="12" spans="2:12" ht="15.75" thickBot="1" x14ac:dyDescent="0.3">
      <c r="B12" s="29" t="s">
        <v>59</v>
      </c>
      <c r="C12" s="30">
        <f>SUM(C6:C11)</f>
        <v>300000</v>
      </c>
      <c r="D12" s="30">
        <f t="shared" ref="D12:F12" si="5">SUM(D6:D11)</f>
        <v>20000</v>
      </c>
      <c r="E12" s="30">
        <f>SUM(E6:E11)</f>
        <v>96000</v>
      </c>
      <c r="F12" s="30">
        <f t="shared" si="5"/>
        <v>24000</v>
      </c>
      <c r="G12" s="30"/>
      <c r="H12" s="30"/>
      <c r="I12" s="30"/>
      <c r="J12" s="30">
        <f>SUM(J6:J11)</f>
        <v>25000</v>
      </c>
      <c r="K12" s="30">
        <f>SUM(K6:K11)</f>
        <v>255000</v>
      </c>
      <c r="L12" s="1"/>
    </row>
    <row r="15" spans="2:12" x14ac:dyDescent="0.25">
      <c r="B15" t="s">
        <v>70</v>
      </c>
      <c r="C15" s="2">
        <f>C12/12</f>
        <v>25000</v>
      </c>
      <c r="D15" t="s">
        <v>81</v>
      </c>
      <c r="E15" s="2">
        <f>C15</f>
        <v>25000</v>
      </c>
    </row>
    <row r="16" spans="2:12" x14ac:dyDescent="0.25">
      <c r="B16" t="s">
        <v>82</v>
      </c>
      <c r="C16" s="2">
        <f>C15/3</f>
        <v>8333.3333333333339</v>
      </c>
    </row>
    <row r="17" spans="2:6" x14ac:dyDescent="0.25">
      <c r="B17" t="s">
        <v>59</v>
      </c>
      <c r="C17" s="2">
        <f>C15+C16</f>
        <v>33333.333333333336</v>
      </c>
    </row>
    <row r="19" spans="2:6" x14ac:dyDescent="0.25">
      <c r="E19" s="2"/>
    </row>
    <row r="20" spans="2:6" x14ac:dyDescent="0.25">
      <c r="B20" t="s">
        <v>83</v>
      </c>
      <c r="C20" s="2">
        <f>(C17+E15)*8%</f>
        <v>4666.666666666667</v>
      </c>
      <c r="D20" s="2">
        <f>F12+C20</f>
        <v>28666.666666666668</v>
      </c>
      <c r="E20" s="2">
        <f>E19*8%</f>
        <v>0</v>
      </c>
    </row>
    <row r="21" spans="2:6" x14ac:dyDescent="0.25">
      <c r="B21" t="s">
        <v>84</v>
      </c>
      <c r="C21" s="2">
        <f>(C17+E15)*26.8%</f>
        <v>15633.333333333336</v>
      </c>
    </row>
    <row r="22" spans="2:6" x14ac:dyDescent="0.25">
      <c r="C22" s="2">
        <f>C17*26.8%</f>
        <v>8933.3333333333339</v>
      </c>
    </row>
    <row r="24" spans="2:6" x14ac:dyDescent="0.25">
      <c r="F24" s="2">
        <f>C20-C25</f>
        <v>2666.666666666667</v>
      </c>
    </row>
    <row r="25" spans="2:6" x14ac:dyDescent="0.25">
      <c r="B25" t="s">
        <v>40</v>
      </c>
      <c r="C25" s="2">
        <f>C15*8%</f>
        <v>2000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110"/>
  <sheetViews>
    <sheetView showGridLines="0" topLeftCell="A61" zoomScale="80" zoomScaleNormal="80" workbookViewId="0">
      <selection activeCell="G73" sqref="G73"/>
    </sheetView>
  </sheetViews>
  <sheetFormatPr defaultRowHeight="15" x14ac:dyDescent="0.25"/>
  <cols>
    <col min="1" max="1" width="3.7109375" style="1" bestFit="1" customWidth="1"/>
    <col min="2" max="2" width="31.42578125" style="1" customWidth="1"/>
    <col min="3" max="3" width="15.85546875" style="1" bestFit="1" customWidth="1"/>
    <col min="4" max="5" width="9.140625" style="1"/>
    <col min="6" max="6" width="13.28515625" style="1" bestFit="1" customWidth="1"/>
    <col min="7" max="7" width="15.85546875" style="1" bestFit="1" customWidth="1"/>
    <col min="8" max="8" width="28.28515625" style="1" customWidth="1"/>
    <col min="9" max="10" width="9.140625" style="1"/>
    <col min="11" max="12" width="18" style="1" customWidth="1"/>
    <col min="13" max="16384" width="9.140625" style="1"/>
  </cols>
  <sheetData>
    <row r="1" spans="1:13" x14ac:dyDescent="0.25">
      <c r="A1" s="76" t="s">
        <v>51</v>
      </c>
      <c r="B1" s="154" t="str">
        <f>DIARIO!B5</f>
        <v>BANCO</v>
      </c>
      <c r="C1" s="154"/>
      <c r="D1" s="3" t="s">
        <v>52</v>
      </c>
      <c r="F1" s="10" t="s">
        <v>51</v>
      </c>
      <c r="G1" s="154" t="str">
        <f>DIARIO!B7</f>
        <v>CAPITAL A INTEGRALIZAR</v>
      </c>
      <c r="H1" s="154"/>
      <c r="I1" s="3" t="s">
        <v>52</v>
      </c>
      <c r="J1" s="10" t="s">
        <v>51</v>
      </c>
      <c r="K1" s="154" t="s">
        <v>6</v>
      </c>
      <c r="L1" s="154"/>
      <c r="M1" s="3" t="s">
        <v>52</v>
      </c>
    </row>
    <row r="2" spans="1:13" x14ac:dyDescent="0.25">
      <c r="A2" s="77"/>
      <c r="B2" s="78">
        <f>DIARIO!C5</f>
        <v>8581875</v>
      </c>
      <c r="C2" s="79">
        <f>DIARIO!D19</f>
        <v>50000</v>
      </c>
      <c r="F2" s="3"/>
      <c r="G2" s="78">
        <f>DIARIO!C2</f>
        <v>10000000</v>
      </c>
      <c r="H2" s="79">
        <f>DIARIO!D7</f>
        <v>7500000</v>
      </c>
      <c r="J2" s="3"/>
      <c r="K2" s="78">
        <f>DIARIO!G2</f>
        <v>0</v>
      </c>
      <c r="L2" s="79">
        <f>DIARIO!D3</f>
        <v>10000000</v>
      </c>
    </row>
    <row r="3" spans="1:13" x14ac:dyDescent="0.25">
      <c r="A3" s="80"/>
      <c r="B3" s="71">
        <f>DIARIO!C92</f>
        <v>4560000</v>
      </c>
      <c r="C3" s="80">
        <f>DIARIO!D32</f>
        <v>1600000</v>
      </c>
      <c r="G3" s="71"/>
      <c r="H3" s="80"/>
      <c r="K3" s="71"/>
      <c r="L3" s="80"/>
    </row>
    <row r="4" spans="1:13" x14ac:dyDescent="0.25">
      <c r="A4" s="80"/>
      <c r="B4" s="71"/>
      <c r="C4" s="80">
        <f>DIARIO!D35</f>
        <v>200000</v>
      </c>
      <c r="G4" s="71"/>
      <c r="H4" s="80"/>
      <c r="K4" s="71"/>
      <c r="L4" s="80"/>
    </row>
    <row r="5" spans="1:13" x14ac:dyDescent="0.25">
      <c r="A5" s="80"/>
      <c r="B5" s="71"/>
      <c r="C5" s="80">
        <f>DIARIO!D42</f>
        <v>281550</v>
      </c>
      <c r="G5" s="71">
        <f>SUM(G2:G4)</f>
        <v>10000000</v>
      </c>
      <c r="H5" s="80">
        <f>SUM(H2:H4)</f>
        <v>7500000</v>
      </c>
      <c r="K5" s="71">
        <f>SUM(K2:K4)</f>
        <v>0</v>
      </c>
      <c r="L5" s="80">
        <f>SUM(L2:L4)</f>
        <v>10000000</v>
      </c>
    </row>
    <row r="6" spans="1:13" ht="15.75" thickBot="1" x14ac:dyDescent="0.3">
      <c r="A6" s="80"/>
      <c r="B6" s="71"/>
      <c r="C6" s="80">
        <f>DIARIO!D45</f>
        <v>730000</v>
      </c>
      <c r="G6" s="111">
        <f>G5-H5</f>
        <v>2500000</v>
      </c>
      <c r="H6" s="73"/>
      <c r="K6" s="72">
        <v>0</v>
      </c>
      <c r="L6" s="113">
        <f>L5</f>
        <v>10000000</v>
      </c>
    </row>
    <row r="7" spans="1:13" ht="15.75" thickTop="1" x14ac:dyDescent="0.25">
      <c r="A7" s="80"/>
      <c r="B7" s="71"/>
      <c r="C7" s="80">
        <f>DIARIO!D65</f>
        <v>50000</v>
      </c>
      <c r="G7" s="77"/>
      <c r="H7" s="80"/>
      <c r="K7" s="80"/>
      <c r="L7" s="80"/>
    </row>
    <row r="8" spans="1:13" x14ac:dyDescent="0.25">
      <c r="A8" s="80"/>
      <c r="B8" s="71"/>
      <c r="C8" s="80">
        <f>DIARIO!D87</f>
        <v>469250</v>
      </c>
      <c r="G8" s="3"/>
    </row>
    <row r="9" spans="1:13" x14ac:dyDescent="0.25">
      <c r="A9" s="80"/>
      <c r="B9" s="71"/>
      <c r="C9" s="80">
        <f>DIARIO!D90</f>
        <v>800000</v>
      </c>
      <c r="G9" s="3"/>
    </row>
    <row r="10" spans="1:13" x14ac:dyDescent="0.25">
      <c r="A10" s="80"/>
      <c r="B10" s="71"/>
      <c r="C10" s="80">
        <f>DIARIO!D98</f>
        <v>3130000</v>
      </c>
      <c r="G10" s="3"/>
    </row>
    <row r="11" spans="1:13" x14ac:dyDescent="0.25">
      <c r="A11" s="80"/>
      <c r="B11" s="71"/>
      <c r="C11" s="80">
        <f>DIARIO!D101</f>
        <v>250000</v>
      </c>
      <c r="G11" s="3"/>
    </row>
    <row r="12" spans="1:13" x14ac:dyDescent="0.25">
      <c r="A12" s="80"/>
      <c r="B12" s="71"/>
      <c r="C12" s="80">
        <f>DIARIO!D126</f>
        <v>2000</v>
      </c>
    </row>
    <row r="13" spans="1:13" x14ac:dyDescent="0.25">
      <c r="A13" s="80"/>
      <c r="B13" s="71"/>
      <c r="C13" s="80">
        <f>DIARIO!D132</f>
        <v>3905352.5</v>
      </c>
    </row>
    <row r="14" spans="1:13" x14ac:dyDescent="0.25">
      <c r="A14" s="80"/>
      <c r="B14" s="71"/>
      <c r="C14" s="80">
        <f>DIARIO!D150</f>
        <v>22750</v>
      </c>
    </row>
    <row r="15" spans="1:13" x14ac:dyDescent="0.25">
      <c r="A15" s="80"/>
      <c r="B15" s="71"/>
      <c r="C15" s="80"/>
    </row>
    <row r="16" spans="1:13" x14ac:dyDescent="0.25">
      <c r="A16" s="80"/>
      <c r="B16" s="71"/>
      <c r="C16" s="80"/>
    </row>
    <row r="17" spans="1:10" x14ac:dyDescent="0.25">
      <c r="A17" s="80"/>
      <c r="B17" s="71"/>
      <c r="C17" s="80"/>
    </row>
    <row r="18" spans="1:10" x14ac:dyDescent="0.25">
      <c r="A18" s="80"/>
      <c r="B18" s="71">
        <f>SUM(B2:B17)</f>
        <v>13141875</v>
      </c>
      <c r="C18" s="80">
        <f>SUM(C2:C17)</f>
        <v>11490902.5</v>
      </c>
    </row>
    <row r="19" spans="1:10" ht="15.75" thickBot="1" x14ac:dyDescent="0.3">
      <c r="A19" s="80"/>
      <c r="B19" s="72">
        <f>B18-C18</f>
        <v>1650972.5</v>
      </c>
      <c r="C19" s="73"/>
      <c r="D19" s="3"/>
      <c r="I19" s="3"/>
    </row>
    <row r="20" spans="1:10" ht="15.75" thickTop="1" x14ac:dyDescent="0.25">
      <c r="A20" s="80"/>
      <c r="B20" s="80"/>
      <c r="C20" s="80"/>
    </row>
    <row r="22" spans="1:10" x14ac:dyDescent="0.25">
      <c r="A22" s="10" t="s">
        <v>51</v>
      </c>
      <c r="B22" s="157" t="s">
        <v>134</v>
      </c>
      <c r="C22" s="157"/>
      <c r="D22" s="3" t="s">
        <v>52</v>
      </c>
      <c r="F22" s="10" t="s">
        <v>51</v>
      </c>
      <c r="G22" s="156" t="str">
        <f>DIARIO!B16</f>
        <v>(-) DEPRECIAÇÃO ACUMULADA</v>
      </c>
      <c r="H22" s="156"/>
      <c r="I22" s="3" t="s">
        <v>52</v>
      </c>
    </row>
    <row r="23" spans="1:10" x14ac:dyDescent="0.25">
      <c r="A23" s="3"/>
      <c r="B23" s="129"/>
      <c r="C23" s="130">
        <v>40000</v>
      </c>
      <c r="F23" s="3"/>
      <c r="G23" s="114"/>
      <c r="H23" s="115">
        <f>DIARIO!D16</f>
        <v>18333.333333333336</v>
      </c>
      <c r="J23" s="1" t="s">
        <v>123</v>
      </c>
    </row>
    <row r="24" spans="1:10" x14ac:dyDescent="0.25">
      <c r="B24" s="131"/>
      <c r="C24" s="132"/>
      <c r="G24" s="117"/>
      <c r="H24" s="96">
        <f>DIARIO!D22</f>
        <v>4583.3333333333339</v>
      </c>
      <c r="J24" s="1" t="s">
        <v>122</v>
      </c>
    </row>
    <row r="25" spans="1:10" x14ac:dyDescent="0.25">
      <c r="B25" s="131"/>
      <c r="C25" s="132"/>
      <c r="G25" s="117"/>
      <c r="H25" s="96"/>
    </row>
    <row r="26" spans="1:10" x14ac:dyDescent="0.25">
      <c r="B26" s="131"/>
      <c r="C26" s="132"/>
      <c r="G26" s="117"/>
      <c r="H26" s="96"/>
    </row>
    <row r="27" spans="1:10" x14ac:dyDescent="0.25">
      <c r="B27" s="131">
        <f>SUM(B23:B26)</f>
        <v>0</v>
      </c>
      <c r="C27" s="132">
        <f>SUM(C23:C26)</f>
        <v>40000</v>
      </c>
      <c r="G27" s="117">
        <f>SUM(G23:G26)</f>
        <v>0</v>
      </c>
      <c r="H27" s="96">
        <f>SUM(H23:H26)</f>
        <v>22916.666666666672</v>
      </c>
    </row>
    <row r="28" spans="1:10" ht="15.75" thickBot="1" x14ac:dyDescent="0.3">
      <c r="B28" s="133">
        <f>B27-C27</f>
        <v>-40000</v>
      </c>
      <c r="C28" s="134"/>
      <c r="D28" s="3"/>
      <c r="G28" s="112">
        <v>0</v>
      </c>
      <c r="H28" s="118">
        <f>H27</f>
        <v>22916.666666666672</v>
      </c>
      <c r="I28" s="3"/>
    </row>
    <row r="29" spans="1:10" ht="15.75" thickTop="1" x14ac:dyDescent="0.25"/>
    <row r="30" spans="1:10" x14ac:dyDescent="0.25">
      <c r="A30" s="10" t="s">
        <v>51</v>
      </c>
      <c r="B30" s="156" t="str">
        <f>DIARIO!B18</f>
        <v xml:space="preserve">INSTALAÇOES </v>
      </c>
      <c r="C30" s="156"/>
      <c r="D30" s="3" t="s">
        <v>52</v>
      </c>
      <c r="E30" s="3"/>
    </row>
    <row r="31" spans="1:10" x14ac:dyDescent="0.25">
      <c r="A31" s="3"/>
      <c r="B31" s="114">
        <f>DIARIO!C18</f>
        <v>50000</v>
      </c>
      <c r="C31" s="115"/>
      <c r="F31" s="10" t="s">
        <v>51</v>
      </c>
      <c r="G31" s="156" t="str">
        <f>DIARIO!B24</f>
        <v>ESTQOUE</v>
      </c>
      <c r="H31" s="156"/>
      <c r="I31" s="3" t="s">
        <v>52</v>
      </c>
    </row>
    <row r="32" spans="1:10" x14ac:dyDescent="0.25">
      <c r="B32" s="117"/>
      <c r="C32" s="96"/>
      <c r="F32" s="3"/>
      <c r="G32" s="114">
        <f>DIARIO!C24</f>
        <v>2910000</v>
      </c>
      <c r="H32" s="115">
        <f>DIARIO!D60</f>
        <v>2036999.9999999998</v>
      </c>
    </row>
    <row r="33" spans="1:9" x14ac:dyDescent="0.25">
      <c r="B33" s="117"/>
      <c r="C33" s="96"/>
      <c r="G33" s="100"/>
      <c r="H33" s="116">
        <f>DIARIO!D116</f>
        <v>61500</v>
      </c>
    </row>
    <row r="34" spans="1:9" x14ac:dyDescent="0.25">
      <c r="B34" s="117"/>
      <c r="C34" s="96"/>
      <c r="G34" s="117"/>
      <c r="H34" s="96">
        <f>DIARIO!D80</f>
        <v>750000</v>
      </c>
    </row>
    <row r="35" spans="1:9" x14ac:dyDescent="0.25">
      <c r="B35" s="117">
        <f>SUM(B31:B34)</f>
        <v>50000</v>
      </c>
      <c r="C35" s="96">
        <f>SUM(C31:C34)</f>
        <v>0</v>
      </c>
      <c r="G35" s="117"/>
      <c r="H35" s="96"/>
    </row>
    <row r="36" spans="1:9" ht="15.75" thickBot="1" x14ac:dyDescent="0.3">
      <c r="B36" s="112">
        <f>B35-C35</f>
        <v>50000</v>
      </c>
      <c r="C36" s="118"/>
      <c r="D36" s="3"/>
      <c r="E36" s="3"/>
      <c r="G36" s="117">
        <f>SUM(G32:G35)</f>
        <v>2910000</v>
      </c>
      <c r="H36" s="96">
        <f>SUM(H32:H35)</f>
        <v>2848500</v>
      </c>
    </row>
    <row r="37" spans="1:9" ht="16.5" thickTop="1" thickBot="1" x14ac:dyDescent="0.3">
      <c r="G37" s="112">
        <f>G36-H36</f>
        <v>61500</v>
      </c>
      <c r="H37" s="118"/>
      <c r="I37" s="3"/>
    </row>
    <row r="38" spans="1:9" ht="15.75" thickTop="1" x14ac:dyDescent="0.25"/>
    <row r="40" spans="1:9" x14ac:dyDescent="0.25">
      <c r="A40" s="85" t="s">
        <v>51</v>
      </c>
      <c r="B40" s="158" t="str">
        <f>DIARIO!B25</f>
        <v>ICMS A RECUPERAR</v>
      </c>
      <c r="C40" s="158"/>
      <c r="D40" s="86" t="s">
        <v>52</v>
      </c>
      <c r="F40" s="10" t="s">
        <v>51</v>
      </c>
      <c r="G40" s="156" t="str">
        <f>DIARIO!B26</f>
        <v>PIS A RECUPERAR</v>
      </c>
      <c r="H40" s="156"/>
      <c r="I40" s="3" t="s">
        <v>52</v>
      </c>
    </row>
    <row r="41" spans="1:9" x14ac:dyDescent="0.25">
      <c r="A41" s="86"/>
      <c r="B41" s="123">
        <f>DIARIO!C25</f>
        <v>720000</v>
      </c>
      <c r="C41" s="124">
        <f>B41</f>
        <v>720000</v>
      </c>
      <c r="D41" s="87"/>
      <c r="F41" s="3"/>
      <c r="G41" s="114">
        <f>DIARIO!C26</f>
        <v>66000</v>
      </c>
      <c r="H41" s="115">
        <f>G45</f>
        <v>80025</v>
      </c>
    </row>
    <row r="42" spans="1:9" x14ac:dyDescent="0.25">
      <c r="A42" s="87"/>
      <c r="B42" s="125"/>
      <c r="C42" s="126"/>
      <c r="D42" s="87"/>
      <c r="G42" s="117">
        <f>DIARIO!C64</f>
        <v>825</v>
      </c>
      <c r="H42" s="96"/>
    </row>
    <row r="43" spans="1:9" x14ac:dyDescent="0.25">
      <c r="A43" s="87"/>
      <c r="B43" s="125"/>
      <c r="C43" s="126"/>
      <c r="D43" s="87"/>
      <c r="G43" s="117">
        <f>DIARIO!C86</f>
        <v>8250</v>
      </c>
      <c r="H43" s="96"/>
    </row>
    <row r="44" spans="1:9" x14ac:dyDescent="0.25">
      <c r="A44" s="87"/>
      <c r="B44" s="125"/>
      <c r="C44" s="126"/>
      <c r="D44" s="87"/>
      <c r="G44" s="117">
        <f>DIARIO!C38</f>
        <v>4950</v>
      </c>
      <c r="H44" s="96"/>
    </row>
    <row r="45" spans="1:9" x14ac:dyDescent="0.25">
      <c r="A45" s="87"/>
      <c r="B45" s="125">
        <f>SUM(B41:B44)</f>
        <v>720000</v>
      </c>
      <c r="C45" s="126">
        <f>SUM(C41:C44)</f>
        <v>720000</v>
      </c>
      <c r="D45" s="87"/>
      <c r="G45" s="117">
        <f>SUM(G41:G44)</f>
        <v>80025</v>
      </c>
      <c r="H45" s="96">
        <f>SUM(H41:H44)</f>
        <v>80025</v>
      </c>
    </row>
    <row r="46" spans="1:9" ht="15.75" thickBot="1" x14ac:dyDescent="0.3">
      <c r="A46" s="87"/>
      <c r="B46" s="112">
        <f>B45-C45</f>
        <v>0</v>
      </c>
      <c r="C46" s="118"/>
      <c r="D46" s="86"/>
      <c r="G46" s="112">
        <f>G45-H45</f>
        <v>0</v>
      </c>
      <c r="H46" s="118"/>
      <c r="I46" s="3"/>
    </row>
    <row r="47" spans="1:9" ht="15.75" thickTop="1" x14ac:dyDescent="0.25">
      <c r="A47" s="87"/>
      <c r="B47" s="87"/>
      <c r="C47" s="87"/>
      <c r="D47" s="87"/>
    </row>
    <row r="49" spans="1:9" x14ac:dyDescent="0.25">
      <c r="A49" s="10" t="s">
        <v>51</v>
      </c>
      <c r="B49" s="154" t="str">
        <f>DIARIO!B27</f>
        <v>COFINS A RECUPERAR</v>
      </c>
      <c r="C49" s="154"/>
      <c r="D49" s="3" t="s">
        <v>52</v>
      </c>
      <c r="F49" s="10" t="s">
        <v>51</v>
      </c>
      <c r="G49" s="156" t="str">
        <f>DIARIO!B30</f>
        <v>PARTICIPAÇÃO SOCIETARIA DORA</v>
      </c>
      <c r="H49" s="156"/>
      <c r="I49" s="3" t="s">
        <v>52</v>
      </c>
    </row>
    <row r="50" spans="1:9" x14ac:dyDescent="0.25">
      <c r="A50" s="3"/>
      <c r="B50" s="78">
        <f>DIARIO!C27</f>
        <v>304000</v>
      </c>
      <c r="C50" s="79">
        <f>B54</f>
        <v>368600</v>
      </c>
      <c r="F50" s="3"/>
      <c r="G50" s="114">
        <f>DIARIO!C30</f>
        <v>1360000</v>
      </c>
      <c r="H50" s="115"/>
    </row>
    <row r="51" spans="1:9" x14ac:dyDescent="0.25">
      <c r="B51" s="71">
        <f>DIARIO!C63</f>
        <v>3800</v>
      </c>
      <c r="C51" s="80"/>
      <c r="G51" s="117">
        <f>DIARIO!C155</f>
        <v>536178</v>
      </c>
      <c r="H51" s="96"/>
    </row>
    <row r="52" spans="1:9" x14ac:dyDescent="0.25">
      <c r="B52" s="71">
        <f>DIARIO!C85</f>
        <v>38000</v>
      </c>
      <c r="C52" s="80"/>
      <c r="G52" s="117"/>
      <c r="H52" s="96"/>
    </row>
    <row r="53" spans="1:9" x14ac:dyDescent="0.25">
      <c r="B53" s="71">
        <f>DIARIO!C39</f>
        <v>22800</v>
      </c>
      <c r="C53" s="80"/>
      <c r="D53" s="94"/>
      <c r="E53" s="94"/>
      <c r="G53" s="117"/>
      <c r="H53" s="96"/>
    </row>
    <row r="54" spans="1:9" x14ac:dyDescent="0.25">
      <c r="B54" s="71">
        <f>SUM(B50:B53)</f>
        <v>368600</v>
      </c>
      <c r="C54" s="80">
        <f>SUM(C50:C53)</f>
        <v>368600</v>
      </c>
      <c r="G54" s="117">
        <f>SUM(G50:G53)</f>
        <v>1896178</v>
      </c>
      <c r="H54" s="96">
        <f>SUM(H50:H53)</f>
        <v>0</v>
      </c>
    </row>
    <row r="55" spans="1:9" ht="15.75" thickBot="1" x14ac:dyDescent="0.3">
      <c r="B55" s="112">
        <f>B54-C54</f>
        <v>0</v>
      </c>
      <c r="C55" s="118"/>
      <c r="D55" s="3"/>
      <c r="G55" s="112">
        <f>G54-H54</f>
        <v>1896178</v>
      </c>
      <c r="H55" s="118"/>
      <c r="I55" s="3"/>
    </row>
    <row r="56" spans="1:9" ht="15.75" thickTop="1" x14ac:dyDescent="0.25"/>
    <row r="58" spans="1:9" x14ac:dyDescent="0.25">
      <c r="A58" s="10" t="s">
        <v>51</v>
      </c>
      <c r="B58" s="156" t="str">
        <f>DIARIO!B31</f>
        <v>AGIO NA AQUISIÇÃO DE PART. SOCIETARIA</v>
      </c>
      <c r="C58" s="156"/>
      <c r="D58" s="3" t="s">
        <v>52</v>
      </c>
      <c r="F58" s="10" t="s">
        <v>51</v>
      </c>
      <c r="G58" s="156" t="str">
        <f>DIARIO!B44</f>
        <v>TITULO A RECEBR ( EMPRESTIMO LADA)</v>
      </c>
      <c r="H58" s="156"/>
      <c r="I58" s="3" t="s">
        <v>52</v>
      </c>
    </row>
    <row r="59" spans="1:9" x14ac:dyDescent="0.25">
      <c r="A59" s="3"/>
      <c r="B59" s="114">
        <f>DIARIO!C31</f>
        <v>240000</v>
      </c>
      <c r="C59" s="115"/>
      <c r="F59" s="3"/>
      <c r="G59" s="114">
        <f>DIARIO!C44</f>
        <v>730000</v>
      </c>
      <c r="H59" s="115"/>
    </row>
    <row r="60" spans="1:9" x14ac:dyDescent="0.25">
      <c r="B60" s="117"/>
      <c r="C60" s="96"/>
      <c r="G60" s="117"/>
      <c r="H60" s="96"/>
    </row>
    <row r="61" spans="1:9" x14ac:dyDescent="0.25">
      <c r="B61" s="117"/>
      <c r="C61" s="96"/>
      <c r="G61" s="117"/>
      <c r="H61" s="96"/>
    </row>
    <row r="62" spans="1:9" x14ac:dyDescent="0.25">
      <c r="B62" s="117"/>
      <c r="C62" s="96"/>
      <c r="G62" s="117"/>
      <c r="H62" s="96"/>
    </row>
    <row r="63" spans="1:9" x14ac:dyDescent="0.25">
      <c r="B63" s="117">
        <f>SUM(B59:B62)</f>
        <v>240000</v>
      </c>
      <c r="C63" s="96">
        <f>SUM(C59:C62)</f>
        <v>0</v>
      </c>
      <c r="G63" s="117">
        <f>SUM(G59:G62)</f>
        <v>730000</v>
      </c>
      <c r="H63" s="96">
        <f>SUM(H59:H62)</f>
        <v>0</v>
      </c>
    </row>
    <row r="64" spans="1:9" ht="15.75" thickBot="1" x14ac:dyDescent="0.3">
      <c r="B64" s="112">
        <f>B63-C63</f>
        <v>240000</v>
      </c>
      <c r="C64" s="118"/>
      <c r="D64" s="3"/>
      <c r="G64" s="112">
        <f>G63-H63</f>
        <v>730000</v>
      </c>
      <c r="H64" s="118"/>
      <c r="I64" s="3"/>
    </row>
    <row r="65" spans="1:9" ht="15.75" thickTop="1" x14ac:dyDescent="0.25"/>
    <row r="67" spans="1:9" x14ac:dyDescent="0.25">
      <c r="A67" s="10" t="s">
        <v>51</v>
      </c>
      <c r="B67" s="156" t="str">
        <f>DIARIO!B47</f>
        <v>CLIENTE ( dupl. A receber )</v>
      </c>
      <c r="C67" s="156"/>
      <c r="D67" s="3" t="s">
        <v>52</v>
      </c>
      <c r="F67" s="10" t="s">
        <v>51</v>
      </c>
      <c r="G67" s="156" t="str">
        <f>DIARIO!B67</f>
        <v>CLIENTE LADA</v>
      </c>
      <c r="H67" s="156"/>
      <c r="I67" s="3" t="s">
        <v>52</v>
      </c>
    </row>
    <row r="68" spans="1:9" x14ac:dyDescent="0.25">
      <c r="A68" s="3"/>
      <c r="B68" s="114">
        <f>DIARIO!C47</f>
        <v>5000000</v>
      </c>
      <c r="C68" s="96">
        <f>DIARIO!D94</f>
        <v>4500000</v>
      </c>
      <c r="F68" s="3"/>
      <c r="G68" s="114">
        <f>DIARIO!C67</f>
        <v>900000</v>
      </c>
      <c r="H68" s="115"/>
    </row>
    <row r="69" spans="1:9" x14ac:dyDescent="0.25">
      <c r="B69" s="117">
        <f>DIARIO!D104</f>
        <v>200000</v>
      </c>
      <c r="C69" s="96"/>
      <c r="G69" s="117"/>
      <c r="H69" s="96"/>
    </row>
    <row r="70" spans="1:9" x14ac:dyDescent="0.25">
      <c r="B70" s="117">
        <f>DIARIO!C134</f>
        <v>14765.48</v>
      </c>
      <c r="C70" s="96"/>
      <c r="G70" s="117"/>
      <c r="H70" s="96"/>
    </row>
    <row r="71" spans="1:9" x14ac:dyDescent="0.25">
      <c r="B71" s="117"/>
      <c r="C71" s="96"/>
      <c r="G71" s="117"/>
      <c r="H71" s="96"/>
    </row>
    <row r="72" spans="1:9" x14ac:dyDescent="0.25">
      <c r="B72" s="117">
        <f>SUM(B68:B71)</f>
        <v>5214765.4800000004</v>
      </c>
      <c r="C72" s="96">
        <f>SUM(C68:C71)</f>
        <v>4500000</v>
      </c>
      <c r="G72" s="117">
        <f>SUM(G68:G71)</f>
        <v>900000</v>
      </c>
      <c r="H72" s="96">
        <f>SUM(H68:H71)</f>
        <v>0</v>
      </c>
    </row>
    <row r="73" spans="1:9" ht="15.75" thickBot="1" x14ac:dyDescent="0.3">
      <c r="B73" s="112">
        <f>B72-C72</f>
        <v>714765.48000000045</v>
      </c>
      <c r="C73" s="118"/>
      <c r="D73" s="3"/>
      <c r="G73" s="112">
        <f>G72-H72</f>
        <v>900000</v>
      </c>
      <c r="H73" s="118"/>
      <c r="I73" s="3"/>
    </row>
    <row r="74" spans="1:9" ht="15.75" thickTop="1" x14ac:dyDescent="0.25"/>
    <row r="75" spans="1:9" x14ac:dyDescent="0.25">
      <c r="A75" s="10" t="s">
        <v>51</v>
      </c>
      <c r="B75" s="156" t="str">
        <f>DIARIO!B10</f>
        <v>VEICULO</v>
      </c>
      <c r="C75" s="156"/>
      <c r="D75" s="3" t="s">
        <v>52</v>
      </c>
      <c r="F75" s="10" t="s">
        <v>51</v>
      </c>
      <c r="G75" s="156" t="str">
        <f>DIARIO!B131</f>
        <v>INVESTIMENTO PETROCRASH</v>
      </c>
      <c r="H75" s="156"/>
      <c r="I75" s="3" t="s">
        <v>52</v>
      </c>
    </row>
    <row r="76" spans="1:9" x14ac:dyDescent="0.25">
      <c r="A76" s="3"/>
      <c r="B76" s="114">
        <f>DIARIO!C10</f>
        <v>100000</v>
      </c>
      <c r="C76" s="115"/>
      <c r="F76" s="3"/>
      <c r="G76" s="114">
        <f>DIARIO!C131</f>
        <v>3905352.5</v>
      </c>
      <c r="H76" s="115"/>
    </row>
    <row r="77" spans="1:9" x14ac:dyDescent="0.25">
      <c r="B77" s="117"/>
      <c r="C77" s="96"/>
      <c r="G77" s="117"/>
      <c r="H77" s="96"/>
    </row>
    <row r="78" spans="1:9" x14ac:dyDescent="0.25">
      <c r="B78" s="117"/>
      <c r="C78" s="96"/>
      <c r="G78" s="117"/>
      <c r="H78" s="96"/>
    </row>
    <row r="79" spans="1:9" x14ac:dyDescent="0.25">
      <c r="B79" s="117"/>
      <c r="C79" s="96"/>
      <c r="G79" s="117"/>
      <c r="H79" s="96"/>
    </row>
    <row r="80" spans="1:9" x14ac:dyDescent="0.25">
      <c r="B80" s="117">
        <f>SUM(B76:B79)</f>
        <v>100000</v>
      </c>
      <c r="C80" s="96">
        <f>SUM(C76:C79)</f>
        <v>0</v>
      </c>
      <c r="G80" s="117">
        <f>SUM(G76:G79)</f>
        <v>3905352.5</v>
      </c>
      <c r="H80" s="96">
        <f>SUM(H76:H79)</f>
        <v>0</v>
      </c>
    </row>
    <row r="81" spans="1:9" ht="15.75" thickBot="1" x14ac:dyDescent="0.3">
      <c r="B81" s="112">
        <f>B80-C80</f>
        <v>100000</v>
      </c>
      <c r="C81" s="118"/>
      <c r="D81" s="3"/>
      <c r="G81" s="112">
        <f>G80-H80</f>
        <v>3905352.5</v>
      </c>
      <c r="H81" s="118"/>
      <c r="I81" s="3"/>
    </row>
    <row r="82" spans="1:9" ht="15.75" thickTop="1" x14ac:dyDescent="0.25"/>
    <row r="84" spans="1:9" x14ac:dyDescent="0.25">
      <c r="A84" s="10" t="s">
        <v>51</v>
      </c>
      <c r="B84" s="154" t="str">
        <f>DIARIO!B170</f>
        <v>(-) PCLD</v>
      </c>
      <c r="C84" s="154"/>
      <c r="D84" s="3" t="s">
        <v>52</v>
      </c>
      <c r="F84" s="10"/>
      <c r="G84" s="154" t="str">
        <f>DIARIO!B118</f>
        <v>VENDA MERCADORIA (AJUSTE VLR PRESENTE)</v>
      </c>
      <c r="H84" s="154"/>
      <c r="I84" s="3"/>
    </row>
    <row r="85" spans="1:9" x14ac:dyDescent="0.25">
      <c r="A85" s="3"/>
      <c r="B85" s="78">
        <f>DIARIO!D170</f>
        <v>100000</v>
      </c>
      <c r="C85" s="79"/>
      <c r="F85" s="3"/>
      <c r="G85" s="78">
        <f>DIARIO!C118</f>
        <v>44046.31</v>
      </c>
      <c r="H85" s="79"/>
    </row>
    <row r="86" spans="1:9" x14ac:dyDescent="0.25">
      <c r="B86" s="71"/>
      <c r="C86" s="80"/>
      <c r="G86" s="71"/>
      <c r="H86" s="80"/>
    </row>
    <row r="87" spans="1:9" x14ac:dyDescent="0.25">
      <c r="B87" s="71"/>
      <c r="C87" s="80"/>
      <c r="G87" s="71"/>
      <c r="H87" s="80"/>
    </row>
    <row r="88" spans="1:9" x14ac:dyDescent="0.25">
      <c r="B88" s="71"/>
      <c r="C88" s="80"/>
      <c r="G88" s="71"/>
      <c r="H88" s="80"/>
    </row>
    <row r="89" spans="1:9" x14ac:dyDescent="0.25">
      <c r="B89" s="71">
        <f>SUM(B85:B88)</f>
        <v>100000</v>
      </c>
      <c r="C89" s="80">
        <f>SUM(C85:C88)</f>
        <v>0</v>
      </c>
      <c r="G89" s="71">
        <f>SUM(G85:G88)</f>
        <v>44046.31</v>
      </c>
      <c r="H89" s="80">
        <f>SUM(H85:H88)</f>
        <v>0</v>
      </c>
    </row>
    <row r="90" spans="1:9" ht="15.75" thickBot="1" x14ac:dyDescent="0.3">
      <c r="B90" s="111">
        <f>B89-C89</f>
        <v>100000</v>
      </c>
      <c r="C90" s="73"/>
      <c r="D90" s="3"/>
      <c r="G90" s="111">
        <f>G89-H89</f>
        <v>44046.31</v>
      </c>
      <c r="H90" s="73"/>
      <c r="I90" s="3"/>
    </row>
    <row r="91" spans="1:9" ht="15.75" thickTop="1" x14ac:dyDescent="0.25"/>
    <row r="94" spans="1:9" x14ac:dyDescent="0.25">
      <c r="A94" s="10"/>
      <c r="B94" s="155" t="s">
        <v>127</v>
      </c>
      <c r="C94" s="155"/>
      <c r="D94" s="3"/>
      <c r="F94" s="10" t="s">
        <v>51</v>
      </c>
      <c r="G94" s="154" t="str">
        <f>DIARIO!B125</f>
        <v>JUROS APROPRIAR</v>
      </c>
      <c r="H94" s="154"/>
      <c r="I94" s="3" t="s">
        <v>52</v>
      </c>
    </row>
    <row r="95" spans="1:9" x14ac:dyDescent="0.25">
      <c r="A95" s="3"/>
      <c r="B95" s="142">
        <v>16666.669999999998</v>
      </c>
      <c r="C95" s="143"/>
      <c r="F95" s="3"/>
      <c r="G95" s="78">
        <f>DIARIO!C195</f>
        <v>25000</v>
      </c>
      <c r="H95" s="79">
        <f>DIARIO!D196</f>
        <v>500</v>
      </c>
    </row>
    <row r="96" spans="1:9" x14ac:dyDescent="0.25">
      <c r="B96" s="144">
        <v>7416.67</v>
      </c>
      <c r="C96" s="145"/>
      <c r="G96" s="71"/>
      <c r="H96" s="80"/>
    </row>
    <row r="97" spans="1:9" x14ac:dyDescent="0.25">
      <c r="B97" s="144"/>
      <c r="C97" s="145"/>
      <c r="G97" s="71"/>
      <c r="H97" s="80"/>
    </row>
    <row r="98" spans="1:9" x14ac:dyDescent="0.25">
      <c r="B98" s="144"/>
      <c r="C98" s="145"/>
      <c r="G98" s="71"/>
      <c r="H98" s="80"/>
    </row>
    <row r="99" spans="1:9" x14ac:dyDescent="0.25">
      <c r="B99" s="144"/>
      <c r="C99" s="145"/>
      <c r="G99" s="71">
        <f>SUM(G95:G98)</f>
        <v>25000</v>
      </c>
      <c r="H99" s="80">
        <f>SUM(H95:H98)</f>
        <v>500</v>
      </c>
    </row>
    <row r="100" spans="1:9" ht="15.75" thickBot="1" x14ac:dyDescent="0.3">
      <c r="B100" s="146">
        <f>B95+B96</f>
        <v>24083.339999999997</v>
      </c>
      <c r="C100" s="147"/>
      <c r="D100" s="3"/>
      <c r="G100" s="111">
        <f>G99-H99</f>
        <v>24500</v>
      </c>
      <c r="H100" s="73"/>
      <c r="I100" s="3"/>
    </row>
    <row r="101" spans="1:9" ht="15.75" thickTop="1" x14ac:dyDescent="0.25"/>
    <row r="102" spans="1:9" x14ac:dyDescent="0.25">
      <c r="A102" s="10" t="s">
        <v>51</v>
      </c>
      <c r="B102" s="154" t="str">
        <f>DIARIO!B160</f>
        <v>PROV. P/ PERDA COM DESVALORIÇÃO</v>
      </c>
      <c r="C102" s="154"/>
      <c r="D102" s="3" t="s">
        <v>52</v>
      </c>
    </row>
    <row r="103" spans="1:9" x14ac:dyDescent="0.25">
      <c r="A103" s="3"/>
      <c r="B103" s="78">
        <v>0</v>
      </c>
      <c r="C103" s="79" t="e">
        <f>DIARIO!D160</f>
        <v>#REF!</v>
      </c>
      <c r="F103" s="10" t="s">
        <v>51</v>
      </c>
      <c r="G103" s="159" t="str">
        <f>DIARIO!B119</f>
        <v>REC. FINANCEIRA A TRANSCORRER RED ATIVO</v>
      </c>
      <c r="H103" s="159"/>
      <c r="I103" s="3" t="s">
        <v>52</v>
      </c>
    </row>
    <row r="104" spans="1:9" x14ac:dyDescent="0.25">
      <c r="B104" s="71"/>
      <c r="C104" s="80" t="e">
        <f>DIARIO!D164</f>
        <v>#REF!</v>
      </c>
      <c r="F104" s="3"/>
      <c r="G104" s="11"/>
      <c r="H104" s="12">
        <f>DIARIO!D119</f>
        <v>44046.31</v>
      </c>
    </row>
    <row r="105" spans="1:9" x14ac:dyDescent="0.25">
      <c r="B105" s="71"/>
      <c r="C105" s="80"/>
      <c r="G105" s="13"/>
      <c r="H105" s="1">
        <f>DIARIO!I165</f>
        <v>0</v>
      </c>
    </row>
    <row r="106" spans="1:9" x14ac:dyDescent="0.25">
      <c r="B106" s="71"/>
      <c r="C106" s="80"/>
      <c r="G106" s="13"/>
    </row>
    <row r="107" spans="1:9" x14ac:dyDescent="0.25">
      <c r="B107" s="71">
        <f>SUM(B103:B106)</f>
        <v>0</v>
      </c>
      <c r="C107" s="80" t="e">
        <f>SUM(C103:C106)</f>
        <v>#REF!</v>
      </c>
      <c r="G107" s="13"/>
    </row>
    <row r="108" spans="1:9" ht="15.75" thickBot="1" x14ac:dyDescent="0.3">
      <c r="B108" s="72">
        <v>0</v>
      </c>
      <c r="C108" s="113" t="e">
        <f>C107</f>
        <v>#REF!</v>
      </c>
      <c r="D108" s="3"/>
      <c r="G108" s="13">
        <f>SUM(G104:G107)</f>
        <v>0</v>
      </c>
      <c r="H108" s="1">
        <f>SUM(H104:H107)</f>
        <v>44046.31</v>
      </c>
    </row>
    <row r="109" spans="1:9" ht="16.5" thickTop="1" thickBot="1" x14ac:dyDescent="0.3">
      <c r="G109" s="53">
        <v>0</v>
      </c>
      <c r="H109" s="70">
        <f>H108</f>
        <v>44046.31</v>
      </c>
      <c r="I109" s="3"/>
    </row>
    <row r="110" spans="1:9" ht="15.75" thickTop="1" x14ac:dyDescent="0.25"/>
  </sheetData>
  <mergeCells count="23">
    <mergeCell ref="G103:H103"/>
    <mergeCell ref="B49:C49"/>
    <mergeCell ref="G49:H49"/>
    <mergeCell ref="B58:C58"/>
    <mergeCell ref="B84:C84"/>
    <mergeCell ref="B67:C67"/>
    <mergeCell ref="B75:C75"/>
    <mergeCell ref="B102:C102"/>
    <mergeCell ref="G58:H58"/>
    <mergeCell ref="G67:H67"/>
    <mergeCell ref="G75:H75"/>
    <mergeCell ref="K1:L1"/>
    <mergeCell ref="G94:H94"/>
    <mergeCell ref="G84:H84"/>
    <mergeCell ref="B94:C94"/>
    <mergeCell ref="G31:H31"/>
    <mergeCell ref="B1:C1"/>
    <mergeCell ref="G1:H1"/>
    <mergeCell ref="B22:C22"/>
    <mergeCell ref="G22:H22"/>
    <mergeCell ref="B30:C30"/>
    <mergeCell ref="B40:C40"/>
    <mergeCell ref="G40:H4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90"/>
  <sheetViews>
    <sheetView showGridLines="0" topLeftCell="A52" zoomScale="80" zoomScaleNormal="80" workbookViewId="0">
      <selection activeCell="G37" sqref="G37:H43"/>
    </sheetView>
  </sheetViews>
  <sheetFormatPr defaultRowHeight="15" x14ac:dyDescent="0.25"/>
  <cols>
    <col min="1" max="1" width="6.7109375" style="1" customWidth="1"/>
    <col min="2" max="2" width="18.28515625" style="1" customWidth="1"/>
    <col min="3" max="3" width="29.5703125" style="1" customWidth="1"/>
    <col min="4" max="5" width="9.140625" style="1"/>
    <col min="6" max="6" width="2.28515625" style="1" bestFit="1" customWidth="1"/>
    <col min="7" max="7" width="15.42578125" style="1" customWidth="1"/>
    <col min="8" max="8" width="23.140625" style="1" customWidth="1"/>
    <col min="9" max="16384" width="9.140625" style="1"/>
  </cols>
  <sheetData>
    <row r="1" spans="1:9" x14ac:dyDescent="0.25">
      <c r="A1" s="76" t="s">
        <v>51</v>
      </c>
      <c r="B1" s="154" t="str">
        <f>DIARIO!B11</f>
        <v>JUROS APROPRIAR</v>
      </c>
      <c r="C1" s="154"/>
      <c r="D1" s="77" t="s">
        <v>52</v>
      </c>
      <c r="F1" s="10" t="s">
        <v>51</v>
      </c>
      <c r="G1" s="154" t="str">
        <f>DIARIO!B12</f>
        <v>FINANCIAMENTO C. PRAZO</v>
      </c>
      <c r="H1" s="154"/>
      <c r="I1" s="3" t="s">
        <v>52</v>
      </c>
    </row>
    <row r="2" spans="1:9" x14ac:dyDescent="0.25">
      <c r="A2" s="77"/>
      <c r="B2" s="78">
        <f>DIARIO!C11</f>
        <v>25000</v>
      </c>
      <c r="C2" s="79">
        <f>DIARIO!D125</f>
        <v>500</v>
      </c>
      <c r="D2" s="80"/>
      <c r="F2" s="3"/>
      <c r="G2" s="78"/>
      <c r="H2" s="79">
        <f>DIARIO!D12</f>
        <v>30000</v>
      </c>
    </row>
    <row r="3" spans="1:9" x14ac:dyDescent="0.25">
      <c r="A3" s="80"/>
      <c r="B3" s="71"/>
      <c r="C3" s="80"/>
      <c r="D3" s="80"/>
      <c r="G3" s="71">
        <f>DIARIO!C124</f>
        <v>2500</v>
      </c>
      <c r="H3" s="80"/>
    </row>
    <row r="4" spans="1:9" x14ac:dyDescent="0.25">
      <c r="A4" s="80"/>
      <c r="B4" s="71"/>
      <c r="C4" s="80"/>
      <c r="D4" s="80"/>
      <c r="G4" s="71"/>
      <c r="H4" s="80"/>
    </row>
    <row r="5" spans="1:9" x14ac:dyDescent="0.25">
      <c r="A5" s="80"/>
      <c r="B5" s="71"/>
      <c r="C5" s="80"/>
      <c r="D5" s="80"/>
      <c r="G5" s="71"/>
      <c r="H5" s="80"/>
    </row>
    <row r="6" spans="1:9" x14ac:dyDescent="0.25">
      <c r="A6" s="80"/>
      <c r="B6" s="71">
        <f>SUM(B2:B5)</f>
        <v>25000</v>
      </c>
      <c r="C6" s="77">
        <f>SUM(C2:C5)</f>
        <v>500</v>
      </c>
      <c r="D6" s="77"/>
      <c r="G6" s="71">
        <f>SUM(G2:G5)</f>
        <v>2500</v>
      </c>
      <c r="H6" s="77">
        <f>SUM(H2:H5)</f>
        <v>30000</v>
      </c>
      <c r="I6" s="3"/>
    </row>
    <row r="7" spans="1:9" ht="15.75" thickBot="1" x14ac:dyDescent="0.3">
      <c r="A7" s="80"/>
      <c r="B7" s="72">
        <f>B6-C6</f>
        <v>24500</v>
      </c>
      <c r="C7" s="73"/>
      <c r="D7" s="77"/>
      <c r="G7" s="72">
        <v>0</v>
      </c>
      <c r="H7" s="152">
        <f>H6-G6</f>
        <v>27500</v>
      </c>
      <c r="I7" s="3"/>
    </row>
    <row r="8" spans="1:9" ht="15.75" thickTop="1" x14ac:dyDescent="0.25">
      <c r="A8" s="80"/>
      <c r="B8" s="80"/>
      <c r="C8" s="80"/>
      <c r="D8" s="80"/>
    </row>
    <row r="10" spans="1:9" x14ac:dyDescent="0.25">
      <c r="A10" s="10" t="s">
        <v>51</v>
      </c>
      <c r="B10" s="154" t="str">
        <f>DIARIO!B28</f>
        <v>FORNECEDOR</v>
      </c>
      <c r="C10" s="154"/>
      <c r="D10" s="3" t="s">
        <v>52</v>
      </c>
      <c r="E10" s="83"/>
      <c r="F10" s="81" t="s">
        <v>51</v>
      </c>
      <c r="G10" s="160" t="str">
        <f>DIARIO!B40</f>
        <v xml:space="preserve">IRRF A RECOLHER </v>
      </c>
      <c r="H10" s="160"/>
      <c r="I10" s="82" t="s">
        <v>52</v>
      </c>
    </row>
    <row r="11" spans="1:9" x14ac:dyDescent="0.25">
      <c r="A11" s="3"/>
      <c r="B11" s="78">
        <f>DIARIO!C96</f>
        <v>3100000</v>
      </c>
      <c r="C11" s="79">
        <f>DIARIO!D28</f>
        <v>4000000</v>
      </c>
      <c r="E11" s="83"/>
      <c r="F11" s="82"/>
      <c r="G11" s="119"/>
      <c r="H11" s="120">
        <f>DIARIO!D40</f>
        <v>4500</v>
      </c>
      <c r="I11" s="83"/>
    </row>
    <row r="12" spans="1:9" x14ac:dyDescent="0.25">
      <c r="B12" s="71"/>
      <c r="C12" s="80"/>
      <c r="E12" s="83"/>
      <c r="F12" s="83"/>
      <c r="G12" s="121"/>
      <c r="H12" s="122">
        <f>DIARIO!D84</f>
        <v>7500</v>
      </c>
      <c r="I12" s="83"/>
    </row>
    <row r="13" spans="1:9" x14ac:dyDescent="0.25">
      <c r="B13" s="71"/>
      <c r="C13" s="80"/>
      <c r="E13" s="83"/>
      <c r="F13" s="83"/>
      <c r="G13" s="121"/>
      <c r="H13" s="122">
        <f>DIARIO!D139</f>
        <v>25000</v>
      </c>
      <c r="I13" s="83"/>
    </row>
    <row r="14" spans="1:9" x14ac:dyDescent="0.25">
      <c r="B14" s="71"/>
      <c r="C14" s="80"/>
      <c r="E14" s="83"/>
      <c r="F14" s="83"/>
      <c r="G14" s="121"/>
      <c r="H14" s="122">
        <f>DIARIO!D176</f>
        <v>84375</v>
      </c>
      <c r="I14" s="83"/>
    </row>
    <row r="15" spans="1:9" x14ac:dyDescent="0.25">
      <c r="B15" s="71">
        <f>SUM(B11:B14)</f>
        <v>3100000</v>
      </c>
      <c r="C15" s="80">
        <f>SUM(C11:C14)</f>
        <v>4000000</v>
      </c>
      <c r="E15" s="83"/>
      <c r="F15" s="83"/>
      <c r="G15" s="121"/>
      <c r="H15" s="122"/>
      <c r="I15" s="83"/>
    </row>
    <row r="16" spans="1:9" ht="15.75" thickBot="1" x14ac:dyDescent="0.3">
      <c r="B16" s="64">
        <v>0</v>
      </c>
      <c r="C16" s="152">
        <f>C15-B15</f>
        <v>900000</v>
      </c>
      <c r="D16" s="3"/>
      <c r="E16" s="83"/>
      <c r="F16" s="83"/>
      <c r="G16" s="135">
        <f>SUM(G11:G15)</f>
        <v>0</v>
      </c>
      <c r="H16" s="73">
        <f>SUM(H11:H15)</f>
        <v>121375</v>
      </c>
      <c r="I16" s="82"/>
    </row>
    <row r="17" spans="1:9" ht="15.75" thickTop="1" x14ac:dyDescent="0.25"/>
    <row r="18" spans="1:9" x14ac:dyDescent="0.25">
      <c r="A18" s="10" t="s">
        <v>51</v>
      </c>
      <c r="B18" s="154" t="str">
        <f>DIARIO!B41</f>
        <v>PCC A RECOLHER</v>
      </c>
      <c r="C18" s="154"/>
      <c r="D18" s="3" t="s">
        <v>52</v>
      </c>
      <c r="E18" s="3"/>
    </row>
    <row r="19" spans="1:9" x14ac:dyDescent="0.25">
      <c r="A19" s="3"/>
      <c r="B19" s="78"/>
      <c r="C19" s="79">
        <f>DIARIO!D41</f>
        <v>13950.000000000002</v>
      </c>
      <c r="F19" s="10" t="s">
        <v>51</v>
      </c>
      <c r="G19" s="154" t="str">
        <f>DIARIO!B51</f>
        <v>ICMS A RECOLHER</v>
      </c>
      <c r="H19" s="154"/>
      <c r="I19" s="3" t="s">
        <v>52</v>
      </c>
    </row>
    <row r="20" spans="1:9" x14ac:dyDescent="0.25">
      <c r="B20" s="71"/>
      <c r="C20" s="80">
        <f>DIARIO!D83</f>
        <v>23250.000000000004</v>
      </c>
      <c r="F20" s="3"/>
      <c r="G20" s="78">
        <f>'RAZÃO ATIVO'!B41</f>
        <v>720000</v>
      </c>
      <c r="H20" s="79">
        <f>DIARIO!D51</f>
        <v>900000</v>
      </c>
    </row>
    <row r="21" spans="1:9" x14ac:dyDescent="0.25">
      <c r="B21" s="71"/>
      <c r="C21" s="80"/>
      <c r="G21" s="71"/>
      <c r="H21" s="80">
        <f>DIARIO!C106</f>
        <v>24000</v>
      </c>
    </row>
    <row r="22" spans="1:9" x14ac:dyDescent="0.25">
      <c r="B22" s="71"/>
      <c r="C22" s="80"/>
      <c r="G22" s="71"/>
      <c r="H22" s="80">
        <f>DIARIO!D71</f>
        <v>108000</v>
      </c>
    </row>
    <row r="23" spans="1:9" x14ac:dyDescent="0.25">
      <c r="B23" s="71"/>
      <c r="C23" s="80"/>
      <c r="G23" s="71"/>
      <c r="H23" s="80"/>
    </row>
    <row r="24" spans="1:9" ht="15.75" thickBot="1" x14ac:dyDescent="0.3">
      <c r="B24" s="64">
        <f>SUM(B19:B23)</f>
        <v>0</v>
      </c>
      <c r="C24" s="152">
        <f>SUM(C19:C23)</f>
        <v>37200.000000000007</v>
      </c>
      <c r="D24" s="3"/>
      <c r="E24" s="3"/>
      <c r="G24" s="71">
        <f>SUM(G20:G23)</f>
        <v>720000</v>
      </c>
      <c r="H24" s="80">
        <f>SUM(H20:H23)</f>
        <v>1032000</v>
      </c>
    </row>
    <row r="25" spans="1:9" ht="16.5" thickTop="1" thickBot="1" x14ac:dyDescent="0.3">
      <c r="G25" s="64">
        <v>0</v>
      </c>
      <c r="H25" s="65">
        <f>H24-G24</f>
        <v>312000</v>
      </c>
      <c r="I25" s="3"/>
    </row>
    <row r="26" spans="1:9" ht="15.75" thickTop="1" x14ac:dyDescent="0.25"/>
    <row r="28" spans="1:9" x14ac:dyDescent="0.25">
      <c r="A28" s="81" t="s">
        <v>51</v>
      </c>
      <c r="B28" s="160" t="str">
        <f>DIARIO!B54</f>
        <v>PIS A RECOLHER</v>
      </c>
      <c r="C28" s="160"/>
      <c r="D28" s="82" t="s">
        <v>52</v>
      </c>
      <c r="E28" s="83"/>
      <c r="F28" s="81" t="s">
        <v>51</v>
      </c>
      <c r="G28" s="160" t="str">
        <f>DIARIO!B57</f>
        <v>COFINS A RECOLHER</v>
      </c>
      <c r="H28" s="160"/>
      <c r="I28" s="82" t="s">
        <v>52</v>
      </c>
    </row>
    <row r="29" spans="1:9" x14ac:dyDescent="0.25">
      <c r="A29" s="82"/>
      <c r="B29" s="119">
        <f>'RAZÃO ATIVO'!G45</f>
        <v>80025</v>
      </c>
      <c r="C29" s="120">
        <f>DIARIO!D54</f>
        <v>82500</v>
      </c>
      <c r="D29" s="83"/>
      <c r="E29" s="83"/>
      <c r="F29" s="82"/>
      <c r="G29" s="119">
        <f>'RAZÃO ATIVO'!B54</f>
        <v>368600</v>
      </c>
      <c r="H29" s="120">
        <f>DIARIO!D57</f>
        <v>380000</v>
      </c>
      <c r="I29" s="83"/>
    </row>
    <row r="30" spans="1:9" x14ac:dyDescent="0.25">
      <c r="A30" s="83"/>
      <c r="B30" s="121"/>
      <c r="C30" s="122">
        <f>DIARIO!D74</f>
        <v>14850</v>
      </c>
      <c r="D30" s="83"/>
      <c r="E30" s="83"/>
      <c r="F30" s="83"/>
      <c r="G30" s="121"/>
      <c r="H30" s="122">
        <f>DIARIO!D77</f>
        <v>68400</v>
      </c>
      <c r="I30" s="83"/>
    </row>
    <row r="31" spans="1:9" x14ac:dyDescent="0.25">
      <c r="A31" s="83"/>
      <c r="B31" s="121"/>
      <c r="C31" s="122">
        <f>DIARIO!C109</f>
        <v>3300</v>
      </c>
      <c r="D31" s="83"/>
      <c r="E31" s="83"/>
      <c r="F31" s="83"/>
      <c r="G31" s="121"/>
      <c r="H31" s="122">
        <f>DIARIO!C112</f>
        <v>15200</v>
      </c>
      <c r="I31" s="83"/>
    </row>
    <row r="32" spans="1:9" x14ac:dyDescent="0.25">
      <c r="A32" s="83"/>
      <c r="B32" s="121"/>
      <c r="C32" s="122"/>
      <c r="D32" s="83"/>
      <c r="E32" s="83"/>
      <c r="F32" s="83"/>
      <c r="G32" s="121"/>
      <c r="H32" s="122">
        <f>3800+38000</f>
        <v>41800</v>
      </c>
      <c r="I32" s="83"/>
    </row>
    <row r="33" spans="1:9" x14ac:dyDescent="0.25">
      <c r="A33" s="83"/>
      <c r="B33" s="121">
        <f>SUM(B29:B32)</f>
        <v>80025</v>
      </c>
      <c r="C33" s="122">
        <f>SUM(C29:C32)</f>
        <v>100650</v>
      </c>
      <c r="D33" s="83"/>
      <c r="E33" s="83"/>
      <c r="F33" s="83"/>
      <c r="G33" s="121">
        <f>SUM(G29:G32)</f>
        <v>368600</v>
      </c>
      <c r="H33" s="122">
        <f>SUM(H29:H32)</f>
        <v>505400</v>
      </c>
      <c r="I33" s="83"/>
    </row>
    <row r="34" spans="1:9" ht="15.75" thickBot="1" x14ac:dyDescent="0.3">
      <c r="A34" s="83"/>
      <c r="B34" s="135">
        <v>0</v>
      </c>
      <c r="C34" s="73">
        <f>C33-B33</f>
        <v>20625</v>
      </c>
      <c r="D34" s="82"/>
      <c r="E34" s="83"/>
      <c r="F34" s="83"/>
      <c r="G34" s="135">
        <v>0</v>
      </c>
      <c r="H34" s="73">
        <f>H33-G33</f>
        <v>136800</v>
      </c>
      <c r="I34" s="82"/>
    </row>
    <row r="35" spans="1:9" ht="15.75" thickTop="1" x14ac:dyDescent="0.25"/>
    <row r="37" spans="1:9" x14ac:dyDescent="0.25">
      <c r="A37" s="10" t="s">
        <v>51</v>
      </c>
      <c r="B37" s="154" t="str">
        <f>DIARIO!B140</f>
        <v>SALARIOS A PAGAR</v>
      </c>
      <c r="C37" s="154"/>
      <c r="D37" s="3" t="s">
        <v>52</v>
      </c>
      <c r="F37" s="10" t="s">
        <v>51</v>
      </c>
      <c r="G37" s="156" t="str">
        <f>DIARIO!B71</f>
        <v>ICMS A RECOLHER</v>
      </c>
      <c r="H37" s="156"/>
      <c r="I37" s="3" t="s">
        <v>52</v>
      </c>
    </row>
    <row r="38" spans="1:9" x14ac:dyDescent="0.25">
      <c r="A38" s="3"/>
      <c r="B38" s="78"/>
      <c r="C38" s="79">
        <f>DIARIO!D140</f>
        <v>255000</v>
      </c>
      <c r="F38" s="3"/>
      <c r="G38" s="114">
        <f>'RAZÃO ATIVO'!B45</f>
        <v>720000</v>
      </c>
      <c r="H38" s="115">
        <v>900000</v>
      </c>
      <c r="I38" s="3"/>
    </row>
    <row r="39" spans="1:9" x14ac:dyDescent="0.25">
      <c r="B39" s="71"/>
      <c r="C39" s="80"/>
      <c r="G39" s="117"/>
      <c r="H39" s="96">
        <v>108000</v>
      </c>
    </row>
    <row r="40" spans="1:9" x14ac:dyDescent="0.25">
      <c r="B40" s="71"/>
      <c r="C40" s="80"/>
      <c r="G40" s="117"/>
      <c r="H40" s="96">
        <v>24000</v>
      </c>
    </row>
    <row r="41" spans="1:9" x14ac:dyDescent="0.25">
      <c r="B41" s="71"/>
      <c r="C41" s="80"/>
      <c r="G41" s="117"/>
      <c r="H41" s="96"/>
    </row>
    <row r="42" spans="1:9" x14ac:dyDescent="0.25">
      <c r="B42" s="71"/>
      <c r="C42" s="80">
        <f>SUM(C38:C41)</f>
        <v>255000</v>
      </c>
      <c r="G42" s="117">
        <f>SUM(G38:G41)</f>
        <v>720000</v>
      </c>
      <c r="H42" s="96">
        <f>SUM(H38:H41)</f>
        <v>1032000</v>
      </c>
    </row>
    <row r="43" spans="1:9" ht="15.75" thickBot="1" x14ac:dyDescent="0.3">
      <c r="B43" s="64">
        <f>SUM(B38:B42)</f>
        <v>0</v>
      </c>
      <c r="C43" s="152">
        <v>0</v>
      </c>
      <c r="D43" s="3"/>
      <c r="G43" s="127">
        <v>0</v>
      </c>
      <c r="H43" s="128">
        <f>H42-G42</f>
        <v>312000</v>
      </c>
      <c r="I43" s="3"/>
    </row>
    <row r="44" spans="1:9" ht="15.75" thickTop="1" x14ac:dyDescent="0.25"/>
    <row r="46" spans="1:9" x14ac:dyDescent="0.25">
      <c r="A46" s="81" t="s">
        <v>51</v>
      </c>
      <c r="B46" s="160" t="str">
        <f>DIARIO!B138</f>
        <v>INSS A RECOLHER</v>
      </c>
      <c r="C46" s="160"/>
      <c r="D46" s="82" t="s">
        <v>52</v>
      </c>
      <c r="E46" s="83"/>
      <c r="F46" s="81" t="s">
        <v>51</v>
      </c>
      <c r="G46" s="160" t="str">
        <f>DIARIO!B143</f>
        <v>FGTS A RECOLHER</v>
      </c>
      <c r="H46" s="160"/>
      <c r="I46" s="82" t="s">
        <v>52</v>
      </c>
    </row>
    <row r="47" spans="1:9" x14ac:dyDescent="0.25">
      <c r="A47" s="82"/>
      <c r="B47" s="119"/>
      <c r="C47" s="120">
        <f>DIARIO!D146</f>
        <v>96000</v>
      </c>
      <c r="D47" s="82"/>
      <c r="E47" s="83"/>
      <c r="F47" s="82"/>
      <c r="G47" s="119"/>
      <c r="H47" s="120">
        <f>DIARIO!D143</f>
        <v>24000</v>
      </c>
      <c r="I47" s="82"/>
    </row>
    <row r="48" spans="1:9" x14ac:dyDescent="0.25">
      <c r="A48" s="83"/>
      <c r="B48" s="121"/>
      <c r="C48" s="122">
        <f>DIARIO!D138</f>
        <v>20000</v>
      </c>
      <c r="D48" s="83"/>
      <c r="E48" s="83"/>
      <c r="F48" s="83"/>
      <c r="G48" s="121"/>
      <c r="H48" s="122">
        <f>DIARIO!D180</f>
        <v>2000</v>
      </c>
      <c r="I48" s="83"/>
    </row>
    <row r="49" spans="1:9" x14ac:dyDescent="0.25">
      <c r="A49" s="83"/>
      <c r="B49" s="121"/>
      <c r="C49" s="122">
        <f>DIARIO!D149</f>
        <v>2250</v>
      </c>
      <c r="D49" s="83"/>
      <c r="E49" s="83"/>
      <c r="F49" s="83"/>
      <c r="G49" s="121"/>
      <c r="H49" s="122"/>
      <c r="I49" s="83"/>
    </row>
    <row r="50" spans="1:9" x14ac:dyDescent="0.25">
      <c r="A50" s="83"/>
      <c r="B50" s="121"/>
      <c r="C50" s="122"/>
      <c r="D50" s="83"/>
      <c r="E50" s="83"/>
      <c r="F50" s="83"/>
      <c r="G50" s="121"/>
      <c r="H50" s="122"/>
      <c r="I50" s="83"/>
    </row>
    <row r="51" spans="1:9" x14ac:dyDescent="0.25">
      <c r="A51" s="83"/>
      <c r="B51" s="121"/>
      <c r="C51" s="122"/>
      <c r="D51" s="83"/>
      <c r="E51" s="83"/>
      <c r="F51" s="83"/>
      <c r="G51" s="121"/>
      <c r="H51" s="122"/>
      <c r="I51" s="83"/>
    </row>
    <row r="52" spans="1:9" ht="15.75" thickBot="1" x14ac:dyDescent="0.3">
      <c r="A52" s="83"/>
      <c r="B52" s="135">
        <f>SUM(B47:B51)</f>
        <v>0</v>
      </c>
      <c r="C52" s="73">
        <f>SUM(C47:C51)</f>
        <v>118250</v>
      </c>
      <c r="D52" s="82"/>
      <c r="E52" s="83"/>
      <c r="F52" s="83"/>
      <c r="G52" s="135">
        <f>SUM(G47:G51)</f>
        <v>0</v>
      </c>
      <c r="H52" s="73">
        <f>SUM(H47:H51)</f>
        <v>26000</v>
      </c>
      <c r="I52" s="82"/>
    </row>
    <row r="53" spans="1:9" ht="15.75" thickTop="1" x14ac:dyDescent="0.25"/>
    <row r="55" spans="1:9" x14ac:dyDescent="0.25">
      <c r="A55" s="10" t="s">
        <v>51</v>
      </c>
      <c r="B55" s="154" t="str">
        <f>DIARIO!B13</f>
        <v>FINANCIAMENTO L. PRAZO</v>
      </c>
      <c r="C55" s="154"/>
      <c r="D55" s="3" t="s">
        <v>52</v>
      </c>
      <c r="F55" s="10" t="s">
        <v>51</v>
      </c>
      <c r="G55" s="159" t="str">
        <f>DIARIO!B150</f>
        <v>13º A PAGAR</v>
      </c>
      <c r="H55" s="159"/>
      <c r="I55" s="3" t="s">
        <v>52</v>
      </c>
    </row>
    <row r="56" spans="1:9" x14ac:dyDescent="0.25">
      <c r="A56" s="3"/>
      <c r="B56" s="78"/>
      <c r="C56" s="79">
        <f>DIARIO!D13</f>
        <v>95000</v>
      </c>
      <c r="F56" s="3"/>
      <c r="G56" s="11"/>
      <c r="H56" s="12">
        <f>DIARIO!D150</f>
        <v>22750</v>
      </c>
      <c r="I56" s="3"/>
    </row>
    <row r="57" spans="1:9" x14ac:dyDescent="0.25">
      <c r="B57" s="71"/>
      <c r="C57" s="80"/>
      <c r="G57" s="13"/>
    </row>
    <row r="58" spans="1:9" x14ac:dyDescent="0.25">
      <c r="B58" s="71"/>
      <c r="C58" s="80"/>
      <c r="G58" s="13"/>
    </row>
    <row r="59" spans="1:9" x14ac:dyDescent="0.25">
      <c r="B59" s="71"/>
      <c r="C59" s="80"/>
      <c r="G59" s="13"/>
    </row>
    <row r="60" spans="1:9" x14ac:dyDescent="0.25">
      <c r="B60" s="71"/>
      <c r="C60" s="80"/>
      <c r="G60" s="13"/>
    </row>
    <row r="61" spans="1:9" ht="15.75" thickBot="1" x14ac:dyDescent="0.3">
      <c r="B61" s="64">
        <f>SUM(B56:B60)</f>
        <v>0</v>
      </c>
      <c r="C61" s="152">
        <f>SUM(C56:C60)</f>
        <v>95000</v>
      </c>
      <c r="D61" s="3"/>
      <c r="G61" s="9">
        <f>SUM(G56:G60)</f>
        <v>0</v>
      </c>
      <c r="H61" s="74">
        <f>SUM(H56:H60)</f>
        <v>22750</v>
      </c>
      <c r="I61" s="3"/>
    </row>
    <row r="62" spans="1:9" ht="15.75" thickTop="1" x14ac:dyDescent="0.25"/>
    <row r="64" spans="1:9" x14ac:dyDescent="0.25">
      <c r="F64" s="76" t="s">
        <v>51</v>
      </c>
      <c r="G64" s="154"/>
      <c r="H64" s="154"/>
      <c r="I64" s="77" t="s">
        <v>52</v>
      </c>
    </row>
    <row r="65" spans="1:9" x14ac:dyDescent="0.25">
      <c r="A65" s="81" t="s">
        <v>51</v>
      </c>
      <c r="B65" s="158" t="str">
        <f>DIARIO!B177</f>
        <v>JCP A PAGAR</v>
      </c>
      <c r="C65" s="158"/>
      <c r="D65" s="82" t="s">
        <v>52</v>
      </c>
      <c r="F65" s="77"/>
      <c r="G65" s="78"/>
      <c r="H65" s="79"/>
      <c r="I65" s="80"/>
    </row>
    <row r="66" spans="1:9" x14ac:dyDescent="0.25">
      <c r="A66" s="82"/>
      <c r="B66" s="123"/>
      <c r="C66" s="124">
        <f>DIARIO!D177</f>
        <v>478125</v>
      </c>
      <c r="D66" s="83"/>
      <c r="F66" s="80"/>
      <c r="G66" s="71"/>
      <c r="H66" s="80"/>
      <c r="I66" s="80"/>
    </row>
    <row r="67" spans="1:9" x14ac:dyDescent="0.25">
      <c r="A67" s="83"/>
      <c r="B67" s="125"/>
      <c r="C67" s="126"/>
      <c r="D67" s="83"/>
      <c r="F67" s="80"/>
      <c r="G67" s="71"/>
      <c r="H67" s="80"/>
      <c r="I67" s="80"/>
    </row>
    <row r="68" spans="1:9" x14ac:dyDescent="0.25">
      <c r="A68" s="83"/>
      <c r="B68" s="125"/>
      <c r="C68" s="126"/>
      <c r="D68" s="83"/>
      <c r="F68" s="80"/>
      <c r="G68" s="71"/>
      <c r="H68" s="80"/>
      <c r="I68" s="80"/>
    </row>
    <row r="69" spans="1:9" x14ac:dyDescent="0.25">
      <c r="A69" s="83"/>
      <c r="B69" s="125"/>
      <c r="C69" s="126"/>
      <c r="D69" s="83"/>
      <c r="F69" s="80"/>
      <c r="G69" s="71"/>
      <c r="H69" s="80"/>
      <c r="I69" s="80"/>
    </row>
    <row r="70" spans="1:9" ht="15.75" thickBot="1" x14ac:dyDescent="0.3">
      <c r="A70" s="83"/>
      <c r="B70" s="125"/>
      <c r="C70" s="126"/>
      <c r="D70" s="83"/>
      <c r="F70" s="80"/>
      <c r="G70" s="64">
        <f>SUM(G65:G69)</f>
        <v>0</v>
      </c>
      <c r="H70" s="65">
        <f>SUM(H65:H69)</f>
        <v>0</v>
      </c>
      <c r="I70" s="77"/>
    </row>
    <row r="71" spans="1:9" ht="16.5" thickTop="1" thickBot="1" x14ac:dyDescent="0.3">
      <c r="A71" s="83"/>
      <c r="B71" s="112">
        <f>SUM(B66:B70)</f>
        <v>0</v>
      </c>
      <c r="C71" s="118">
        <f>SUM(C66:C70)</f>
        <v>478125</v>
      </c>
      <c r="D71" s="82"/>
    </row>
    <row r="72" spans="1:9" ht="15.75" thickTop="1" x14ac:dyDescent="0.25"/>
    <row r="74" spans="1:9" x14ac:dyDescent="0.25">
      <c r="A74" s="10" t="s">
        <v>51</v>
      </c>
      <c r="B74" s="154" t="str">
        <f>DIARIO!B8</f>
        <v>AGIO NA EMISSÃO AÇOES</v>
      </c>
      <c r="C74" s="154"/>
      <c r="D74" s="3" t="s">
        <v>52</v>
      </c>
      <c r="F74" s="10" t="s">
        <v>51</v>
      </c>
      <c r="G74" s="154" t="str">
        <f>DIARIO!B153</f>
        <v>PROVISAO DE FÉRIAS</v>
      </c>
      <c r="H74" s="154"/>
      <c r="I74" s="3" t="s">
        <v>52</v>
      </c>
    </row>
    <row r="75" spans="1:9" x14ac:dyDescent="0.25">
      <c r="A75" s="3"/>
      <c r="B75" s="78"/>
      <c r="C75" s="79">
        <f>DIARIO!D8</f>
        <v>1125000</v>
      </c>
      <c r="F75" s="3"/>
      <c r="G75" s="78"/>
      <c r="H75" s="79">
        <f>DIARIO!D153</f>
        <v>33333.333333333336</v>
      </c>
    </row>
    <row r="76" spans="1:9" x14ac:dyDescent="0.25">
      <c r="B76" s="71"/>
      <c r="C76" s="80"/>
      <c r="G76" s="71"/>
      <c r="H76" s="80"/>
    </row>
    <row r="77" spans="1:9" x14ac:dyDescent="0.25">
      <c r="B77" s="71"/>
      <c r="C77" s="80"/>
      <c r="G77" s="71"/>
      <c r="H77" s="80"/>
    </row>
    <row r="78" spans="1:9" x14ac:dyDescent="0.25">
      <c r="B78" s="71"/>
      <c r="C78" s="80"/>
      <c r="G78" s="71"/>
      <c r="H78" s="80"/>
    </row>
    <row r="79" spans="1:9" x14ac:dyDescent="0.25">
      <c r="B79" s="71"/>
      <c r="C79" s="80"/>
      <c r="G79" s="71"/>
      <c r="H79" s="80"/>
    </row>
    <row r="80" spans="1:9" ht="15.75" thickBot="1" x14ac:dyDescent="0.3">
      <c r="B80" s="64">
        <f>SUM(B75:B79)</f>
        <v>0</v>
      </c>
      <c r="C80" s="152">
        <f>SUM(C75:C79)</f>
        <v>1125000</v>
      </c>
      <c r="D80" s="3"/>
      <c r="G80" s="64">
        <f>SUM(G75:G79)</f>
        <v>0</v>
      </c>
      <c r="H80" s="152">
        <f>SUM(H75:H79)</f>
        <v>33333.333333333336</v>
      </c>
      <c r="I80" s="3"/>
    </row>
    <row r="81" spans="1:4" ht="15.75" thickTop="1" x14ac:dyDescent="0.25"/>
    <row r="83" spans="1:4" x14ac:dyDescent="0.25">
      <c r="A83" s="10" t="s">
        <v>51</v>
      </c>
      <c r="B83" s="154" t="str">
        <f>DIARIO!B172</f>
        <v>DESP. PROVISÃO P/ GARANTIA DE PROD.</v>
      </c>
      <c r="C83" s="154"/>
      <c r="D83" s="3" t="s">
        <v>52</v>
      </c>
    </row>
    <row r="84" spans="1:4" x14ac:dyDescent="0.25">
      <c r="A84" s="3"/>
      <c r="B84" s="78">
        <f>-DIARIO!D162</f>
        <v>0</v>
      </c>
      <c r="C84" s="79">
        <f>DIARIO!C172</f>
        <v>40000</v>
      </c>
    </row>
    <row r="85" spans="1:4" x14ac:dyDescent="0.25">
      <c r="B85" s="71"/>
      <c r="C85" s="80"/>
    </row>
    <row r="86" spans="1:4" x14ac:dyDescent="0.25">
      <c r="B86" s="71"/>
      <c r="C86" s="80"/>
    </row>
    <row r="87" spans="1:4" x14ac:dyDescent="0.25">
      <c r="B87" s="71"/>
      <c r="C87" s="80"/>
    </row>
    <row r="88" spans="1:4" x14ac:dyDescent="0.25">
      <c r="B88" s="71">
        <f>SUM(B84:B87)</f>
        <v>0</v>
      </c>
      <c r="C88" s="80">
        <f>SUM(C84:C87)</f>
        <v>40000</v>
      </c>
    </row>
    <row r="89" spans="1:4" ht="15.75" thickBot="1" x14ac:dyDescent="0.3">
      <c r="B89" s="111">
        <f>B88-C88</f>
        <v>-40000</v>
      </c>
      <c r="C89" s="73"/>
      <c r="D89" s="3"/>
    </row>
    <row r="90" spans="1:4" ht="15.75" thickTop="1" x14ac:dyDescent="0.25"/>
  </sheetData>
  <mergeCells count="19">
    <mergeCell ref="B28:C28"/>
    <mergeCell ref="G28:H28"/>
    <mergeCell ref="G37:H37"/>
    <mergeCell ref="G19:H19"/>
    <mergeCell ref="B1:C1"/>
    <mergeCell ref="G1:H1"/>
    <mergeCell ref="B10:C10"/>
    <mergeCell ref="G10:H10"/>
    <mergeCell ref="B18:C18"/>
    <mergeCell ref="B37:C37"/>
    <mergeCell ref="B83:C83"/>
    <mergeCell ref="G74:H74"/>
    <mergeCell ref="B46:C46"/>
    <mergeCell ref="G46:H46"/>
    <mergeCell ref="B74:C74"/>
    <mergeCell ref="B55:C55"/>
    <mergeCell ref="G55:H55"/>
    <mergeCell ref="G64:H64"/>
    <mergeCell ref="B65:C65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170"/>
  <sheetViews>
    <sheetView showGridLines="0" topLeftCell="B10" zoomScale="80" zoomScaleNormal="80" workbookViewId="0">
      <selection activeCell="G93" sqref="G93:H99"/>
    </sheetView>
  </sheetViews>
  <sheetFormatPr defaultRowHeight="15" x14ac:dyDescent="0.25"/>
  <cols>
    <col min="1" max="1" width="4.85546875" style="1" customWidth="1"/>
    <col min="2" max="2" width="20.7109375" style="1" customWidth="1"/>
    <col min="3" max="3" width="24" style="1" customWidth="1"/>
    <col min="4" max="6" width="9.140625" style="1"/>
    <col min="7" max="7" width="24.42578125" style="1" customWidth="1"/>
    <col min="8" max="8" width="15.85546875" style="1" bestFit="1" customWidth="1"/>
    <col min="9" max="16384" width="9.140625" style="1"/>
  </cols>
  <sheetData>
    <row r="1" spans="1:9" x14ac:dyDescent="0.25">
      <c r="A1" s="10" t="s">
        <v>51</v>
      </c>
      <c r="B1" s="159" t="str">
        <f>DIARIO!B15</f>
        <v xml:space="preserve">DESPESAS COM DEPRECIAÇÃO </v>
      </c>
      <c r="C1" s="159"/>
      <c r="D1" s="3" t="s">
        <v>52</v>
      </c>
      <c r="F1" s="10" t="s">
        <v>51</v>
      </c>
      <c r="G1" s="154" t="str">
        <f>DIARIO!B34</f>
        <v xml:space="preserve">DESPESAS FINANCEIRAS </v>
      </c>
      <c r="H1" s="154"/>
      <c r="I1" s="3" t="s">
        <v>52</v>
      </c>
    </row>
    <row r="2" spans="1:9" x14ac:dyDescent="0.25">
      <c r="A2" s="3"/>
      <c r="B2" s="11">
        <f>DIARIO!C188</f>
        <v>0</v>
      </c>
      <c r="C2" s="12"/>
      <c r="F2" s="3"/>
      <c r="G2" s="78">
        <f>DIARIO!C34</f>
        <v>200000</v>
      </c>
      <c r="H2" s="79"/>
    </row>
    <row r="3" spans="1:9" x14ac:dyDescent="0.25">
      <c r="B3" s="13"/>
      <c r="G3" s="71"/>
      <c r="H3" s="80"/>
    </row>
    <row r="4" spans="1:9" x14ac:dyDescent="0.25">
      <c r="B4" s="13"/>
      <c r="G4" s="71"/>
      <c r="H4" s="80"/>
    </row>
    <row r="5" spans="1:9" x14ac:dyDescent="0.25">
      <c r="B5" s="13"/>
      <c r="G5" s="71"/>
      <c r="H5" s="80"/>
    </row>
    <row r="6" spans="1:9" x14ac:dyDescent="0.25">
      <c r="B6" s="13">
        <f>SUM(B2:B5)</f>
        <v>0</v>
      </c>
      <c r="G6" s="71">
        <f>SUM(G2:G5)</f>
        <v>200000</v>
      </c>
      <c r="H6" s="80"/>
    </row>
    <row r="7" spans="1:9" ht="15.75" thickBot="1" x14ac:dyDescent="0.3">
      <c r="B7" s="84">
        <v>0</v>
      </c>
      <c r="C7" s="75">
        <f>SUM(C2:C6)</f>
        <v>0</v>
      </c>
      <c r="D7" s="3"/>
      <c r="G7" s="64">
        <v>0</v>
      </c>
      <c r="H7" s="65">
        <f>SUM(H2:H6)</f>
        <v>0</v>
      </c>
      <c r="I7" s="3"/>
    </row>
    <row r="8" spans="1:9" ht="15.75" thickTop="1" x14ac:dyDescent="0.25"/>
    <row r="10" spans="1:9" x14ac:dyDescent="0.25">
      <c r="A10" s="10" t="s">
        <v>51</v>
      </c>
      <c r="B10" s="154" t="str">
        <f>DIARIO!B37</f>
        <v xml:space="preserve">DESPESAS COMERCIAS </v>
      </c>
      <c r="C10" s="154"/>
      <c r="D10" s="3" t="s">
        <v>52</v>
      </c>
      <c r="F10" s="10" t="s">
        <v>51</v>
      </c>
      <c r="G10" s="154" t="str">
        <f>DIARIO!B48</f>
        <v>RECEITA DE VENDA</v>
      </c>
      <c r="H10" s="154"/>
      <c r="I10" s="3" t="s">
        <v>52</v>
      </c>
    </row>
    <row r="11" spans="1:9" x14ac:dyDescent="0.25">
      <c r="A11" s="3"/>
      <c r="B11" s="78">
        <f>DIARIO!C37</f>
        <v>272250</v>
      </c>
      <c r="C11" s="79"/>
      <c r="F11" s="3"/>
      <c r="G11" s="78">
        <v>0</v>
      </c>
      <c r="H11" s="79">
        <f>DIARIO!D48</f>
        <v>5000000</v>
      </c>
      <c r="I11" s="3"/>
    </row>
    <row r="12" spans="1:9" x14ac:dyDescent="0.25">
      <c r="B12" s="71"/>
      <c r="C12" s="80"/>
      <c r="G12" s="71"/>
      <c r="H12" s="77">
        <f>DIARIO!D68</f>
        <v>900000</v>
      </c>
      <c r="I12" s="3"/>
    </row>
    <row r="13" spans="1:9" x14ac:dyDescent="0.25">
      <c r="B13" s="71"/>
      <c r="C13" s="80"/>
      <c r="G13" s="71"/>
      <c r="H13" s="77">
        <f>DIARIO!C103</f>
        <v>200000</v>
      </c>
      <c r="I13" s="3"/>
    </row>
    <row r="14" spans="1:9" x14ac:dyDescent="0.25">
      <c r="B14" s="71"/>
      <c r="C14" s="80"/>
      <c r="G14" s="71"/>
      <c r="H14" s="80"/>
    </row>
    <row r="15" spans="1:9" x14ac:dyDescent="0.25">
      <c r="B15" s="71">
        <f>SUM(B11:B14)</f>
        <v>272250</v>
      </c>
      <c r="C15" s="80"/>
      <c r="G15" s="71">
        <v>0</v>
      </c>
      <c r="H15" s="80">
        <f>SUM(H11:H14)</f>
        <v>6100000</v>
      </c>
    </row>
    <row r="16" spans="1:9" ht="15.75" thickBot="1" x14ac:dyDescent="0.3">
      <c r="B16" s="64">
        <v>0</v>
      </c>
      <c r="C16" s="65">
        <f>SUM(C11:C15)</f>
        <v>0</v>
      </c>
      <c r="D16" s="3"/>
      <c r="G16" s="64">
        <v>0</v>
      </c>
      <c r="H16" s="65">
        <v>0</v>
      </c>
      <c r="I16" s="3"/>
    </row>
    <row r="17" spans="1:9" ht="15.75" thickTop="1" x14ac:dyDescent="0.25"/>
    <row r="18" spans="1:9" x14ac:dyDescent="0.25">
      <c r="A18" s="10" t="s">
        <v>51</v>
      </c>
      <c r="B18" s="154" t="str">
        <f>DIARIO!B50</f>
        <v>ICMS S/ VENDAS</v>
      </c>
      <c r="C18" s="154"/>
      <c r="D18" s="3" t="s">
        <v>52</v>
      </c>
      <c r="E18" s="3"/>
    </row>
    <row r="19" spans="1:9" x14ac:dyDescent="0.25">
      <c r="A19" s="3"/>
      <c r="B19" s="78">
        <f>DIARIO!C50</f>
        <v>900000</v>
      </c>
      <c r="C19" s="79"/>
      <c r="F19" s="10" t="s">
        <v>51</v>
      </c>
      <c r="G19" s="154" t="str">
        <f>DIARIO!B53</f>
        <v>PIS S/ FATURAMETNO</v>
      </c>
      <c r="H19" s="154"/>
      <c r="I19" s="3" t="s">
        <v>52</v>
      </c>
    </row>
    <row r="20" spans="1:9" x14ac:dyDescent="0.25">
      <c r="B20" s="71">
        <f>DIARIO!C70</f>
        <v>108000</v>
      </c>
      <c r="C20" s="80"/>
      <c r="F20" s="3"/>
      <c r="G20" s="78">
        <f>DIARIO!C53</f>
        <v>82500</v>
      </c>
      <c r="H20" s="79"/>
    </row>
    <row r="21" spans="1:9" x14ac:dyDescent="0.25">
      <c r="B21" s="71">
        <f>DIARIO!D107</f>
        <v>24000</v>
      </c>
      <c r="C21" s="80"/>
      <c r="G21" s="71">
        <f>DIARIO!C73</f>
        <v>14850</v>
      </c>
      <c r="H21" s="80"/>
    </row>
    <row r="22" spans="1:9" x14ac:dyDescent="0.25">
      <c r="B22" s="71"/>
      <c r="C22" s="80"/>
      <c r="G22" s="71">
        <f>DIARIO!D110</f>
        <v>3300</v>
      </c>
      <c r="H22" s="80"/>
    </row>
    <row r="23" spans="1:9" x14ac:dyDescent="0.25">
      <c r="B23" s="71"/>
      <c r="C23" s="80"/>
      <c r="G23" s="71"/>
      <c r="H23" s="80"/>
    </row>
    <row r="24" spans="1:9" ht="15.75" thickBot="1" x14ac:dyDescent="0.3">
      <c r="B24" s="64">
        <f>SUM(B19:B23)</f>
        <v>1032000</v>
      </c>
      <c r="C24" s="65">
        <f>SUM(C19:C23)</f>
        <v>0</v>
      </c>
      <c r="D24" s="3"/>
      <c r="E24" s="3"/>
      <c r="G24" s="71"/>
      <c r="H24" s="80"/>
    </row>
    <row r="25" spans="1:9" ht="16.5" thickTop="1" thickBot="1" x14ac:dyDescent="0.3">
      <c r="G25" s="64">
        <f>SUM(G20:G24)</f>
        <v>100650</v>
      </c>
      <c r="H25" s="65">
        <f>SUM(H20:H24)</f>
        <v>0</v>
      </c>
      <c r="I25" s="3"/>
    </row>
    <row r="26" spans="1:9" ht="15.75" thickTop="1" x14ac:dyDescent="0.25"/>
    <row r="28" spans="1:9" x14ac:dyDescent="0.25">
      <c r="A28" s="10" t="s">
        <v>51</v>
      </c>
      <c r="B28" s="154" t="str">
        <f>DIARIO!B56</f>
        <v>COFINS S/ FATURAMENTO</v>
      </c>
      <c r="C28" s="154"/>
      <c r="D28" s="3" t="s">
        <v>52</v>
      </c>
      <c r="F28" s="10" t="s">
        <v>51</v>
      </c>
      <c r="G28" s="154" t="str">
        <f>DIARIO!B59</f>
        <v>CMV</v>
      </c>
      <c r="H28" s="154"/>
      <c r="I28" s="3" t="s">
        <v>52</v>
      </c>
    </row>
    <row r="29" spans="1:9" x14ac:dyDescent="0.25">
      <c r="A29" s="3"/>
      <c r="B29" s="78">
        <f>DIARIO!C56</f>
        <v>380000</v>
      </c>
      <c r="C29" s="79"/>
      <c r="F29" s="3"/>
      <c r="G29" s="78">
        <f>DIARIO!C59</f>
        <v>2036999.9999999998</v>
      </c>
      <c r="H29" s="79"/>
    </row>
    <row r="30" spans="1:9" x14ac:dyDescent="0.25">
      <c r="B30" s="71">
        <f>DIARIO!C76</f>
        <v>68400</v>
      </c>
      <c r="C30" s="80"/>
      <c r="G30" s="71">
        <f>DIARIO!C79</f>
        <v>750000</v>
      </c>
      <c r="H30" s="80"/>
    </row>
    <row r="31" spans="1:9" x14ac:dyDescent="0.25">
      <c r="B31" s="71">
        <f>DIARIO!D113</f>
        <v>15200</v>
      </c>
      <c r="C31" s="80"/>
      <c r="G31" s="71">
        <f>DIARIO!C115</f>
        <v>61500</v>
      </c>
      <c r="H31" s="80"/>
    </row>
    <row r="32" spans="1:9" x14ac:dyDescent="0.25">
      <c r="B32" s="71">
        <f>3800+38000</f>
        <v>41800</v>
      </c>
      <c r="C32" s="80"/>
      <c r="G32" s="71"/>
      <c r="H32" s="80"/>
    </row>
    <row r="33" spans="1:9" x14ac:dyDescent="0.25">
      <c r="B33" s="71"/>
      <c r="C33" s="80"/>
      <c r="G33" s="71"/>
      <c r="H33" s="80"/>
    </row>
    <row r="34" spans="1:9" ht="15.75" thickBot="1" x14ac:dyDescent="0.3">
      <c r="B34" s="64">
        <f>SUM(B29:B33)</f>
        <v>505400</v>
      </c>
      <c r="C34" s="65">
        <f>SUM(C29:C33)</f>
        <v>0</v>
      </c>
      <c r="D34" s="3"/>
      <c r="G34" s="64">
        <f>SUM(G29:G33)</f>
        <v>2848500</v>
      </c>
      <c r="H34" s="65">
        <f>SUM(H29:H33)</f>
        <v>0</v>
      </c>
      <c r="I34" s="3"/>
    </row>
    <row r="35" spans="1:9" ht="15.75" thickTop="1" x14ac:dyDescent="0.25"/>
    <row r="37" spans="1:9" x14ac:dyDescent="0.25">
      <c r="A37" s="10" t="s">
        <v>51</v>
      </c>
      <c r="B37" s="154" t="str">
        <f>DIARIO!B62</f>
        <v>DESP. C/ ALUGUEL LADA</v>
      </c>
      <c r="C37" s="154"/>
      <c r="D37" s="3" t="s">
        <v>52</v>
      </c>
      <c r="F37" s="10" t="s">
        <v>51</v>
      </c>
      <c r="G37" s="154" t="str">
        <f>DIARIO!B82</f>
        <v>DESPESAS ASSESSORIA TEC.</v>
      </c>
      <c r="H37" s="154"/>
      <c r="I37" s="3" t="s">
        <v>52</v>
      </c>
    </row>
    <row r="38" spans="1:9" x14ac:dyDescent="0.25">
      <c r="A38" s="3"/>
      <c r="B38" s="78">
        <f>DIARIO!C62</f>
        <v>45375</v>
      </c>
      <c r="C38" s="79"/>
      <c r="F38" s="3"/>
      <c r="G38" s="78">
        <f>DIARIO!C82</f>
        <v>453750</v>
      </c>
      <c r="H38" s="79"/>
    </row>
    <row r="39" spans="1:9" x14ac:dyDescent="0.25">
      <c r="B39" s="71"/>
      <c r="C39" s="80"/>
      <c r="G39" s="71"/>
      <c r="H39" s="80"/>
    </row>
    <row r="40" spans="1:9" x14ac:dyDescent="0.25">
      <c r="B40" s="71"/>
      <c r="C40" s="80"/>
      <c r="G40" s="71"/>
      <c r="H40" s="80"/>
    </row>
    <row r="41" spans="1:9" x14ac:dyDescent="0.25">
      <c r="B41" s="71"/>
      <c r="C41" s="80"/>
      <c r="G41" s="71"/>
      <c r="H41" s="80"/>
    </row>
    <row r="42" spans="1:9" x14ac:dyDescent="0.25">
      <c r="B42" s="71">
        <f>SUM(B38:B41)</f>
        <v>45375</v>
      </c>
      <c r="C42" s="80"/>
      <c r="G42" s="71">
        <f>SUM(G38:G41)</f>
        <v>453750</v>
      </c>
      <c r="H42" s="80"/>
    </row>
    <row r="43" spans="1:9" ht="15.75" thickBot="1" x14ac:dyDescent="0.3">
      <c r="B43" s="64">
        <v>0</v>
      </c>
      <c r="C43" s="65">
        <f>SUM(C38:C42)</f>
        <v>0</v>
      </c>
      <c r="D43" s="3"/>
      <c r="G43" s="64">
        <v>0</v>
      </c>
      <c r="H43" s="65">
        <f>SUM(H38:H42)</f>
        <v>0</v>
      </c>
      <c r="I43" s="3"/>
    </row>
    <row r="44" spans="1:9" ht="15.75" thickTop="1" x14ac:dyDescent="0.25"/>
    <row r="46" spans="1:9" x14ac:dyDescent="0.25">
      <c r="A46" s="10" t="s">
        <v>51</v>
      </c>
      <c r="B46" s="154" t="str">
        <f>DIARIO!B89</f>
        <v xml:space="preserve">DESPESAS ADMINISTRATIVAS </v>
      </c>
      <c r="C46" s="154"/>
      <c r="D46" s="3" t="s">
        <v>52</v>
      </c>
      <c r="F46" s="10" t="s">
        <v>51</v>
      </c>
      <c r="G46" s="154" t="str">
        <f>DIARIO!B93</f>
        <v>RECEITAS (JUROS)</v>
      </c>
      <c r="H46" s="162"/>
      <c r="I46" s="3" t="s">
        <v>52</v>
      </c>
    </row>
    <row r="47" spans="1:9" x14ac:dyDescent="0.25">
      <c r="A47" s="3"/>
      <c r="B47" s="78">
        <f>DIARIO!C89</f>
        <v>800000</v>
      </c>
      <c r="C47" s="79"/>
      <c r="F47" s="3"/>
      <c r="G47" s="78"/>
      <c r="H47" s="79">
        <f>DIARIO!D93</f>
        <v>60000</v>
      </c>
    </row>
    <row r="48" spans="1:9" x14ac:dyDescent="0.25">
      <c r="B48" s="71"/>
      <c r="C48" s="80"/>
      <c r="G48" s="71"/>
      <c r="H48" s="80"/>
    </row>
    <row r="49" spans="1:9" x14ac:dyDescent="0.25">
      <c r="B49" s="71"/>
      <c r="C49" s="80"/>
      <c r="G49" s="71"/>
      <c r="H49" s="80"/>
    </row>
    <row r="50" spans="1:9" x14ac:dyDescent="0.25">
      <c r="B50" s="71"/>
      <c r="C50" s="80"/>
      <c r="G50" s="71"/>
      <c r="H50" s="80"/>
    </row>
    <row r="51" spans="1:9" x14ac:dyDescent="0.25">
      <c r="B51" s="71">
        <f>SUM(B47:B50)</f>
        <v>800000</v>
      </c>
      <c r="C51" s="80"/>
      <c r="G51" s="71"/>
      <c r="H51" s="80">
        <f>SUM(H47:H50)</f>
        <v>60000</v>
      </c>
    </row>
    <row r="52" spans="1:9" ht="15.75" thickBot="1" x14ac:dyDescent="0.3">
      <c r="B52" s="64">
        <v>0</v>
      </c>
      <c r="C52" s="65">
        <f>SUM(C47:C51)</f>
        <v>0</v>
      </c>
      <c r="D52" s="3"/>
      <c r="G52" s="64">
        <v>0</v>
      </c>
      <c r="H52" s="65">
        <v>0</v>
      </c>
      <c r="I52" s="3"/>
    </row>
    <row r="53" spans="1:9" ht="15.75" thickTop="1" x14ac:dyDescent="0.25"/>
    <row r="55" spans="1:9" x14ac:dyDescent="0.25">
      <c r="A55" s="10" t="s">
        <v>51</v>
      </c>
      <c r="B55" s="154" t="str">
        <f>DIARIO!B97</f>
        <v>DESP. C/ JUROS</v>
      </c>
      <c r="C55" s="154"/>
      <c r="D55" s="3" t="s">
        <v>52</v>
      </c>
      <c r="F55" s="10" t="s">
        <v>51</v>
      </c>
      <c r="G55" s="154" t="str">
        <f>DIARIO!B100</f>
        <v>DEPESAS COM MULTAS (IRPJ)</v>
      </c>
      <c r="H55" s="154"/>
      <c r="I55" s="3" t="s">
        <v>52</v>
      </c>
    </row>
    <row r="56" spans="1:9" x14ac:dyDescent="0.25">
      <c r="A56" s="3"/>
      <c r="B56" s="78">
        <f>DIARIO!C97</f>
        <v>30000</v>
      </c>
      <c r="C56" s="79"/>
      <c r="F56" s="3"/>
      <c r="G56" s="78">
        <f>DIARIO!C100</f>
        <v>250000</v>
      </c>
      <c r="H56" s="79"/>
    </row>
    <row r="57" spans="1:9" x14ac:dyDescent="0.25">
      <c r="B57" s="71"/>
      <c r="C57" s="80"/>
      <c r="G57" s="71"/>
      <c r="H57" s="80"/>
    </row>
    <row r="58" spans="1:9" x14ac:dyDescent="0.25">
      <c r="B58" s="71"/>
      <c r="C58" s="80"/>
      <c r="G58" s="71"/>
      <c r="H58" s="80"/>
    </row>
    <row r="59" spans="1:9" x14ac:dyDescent="0.25">
      <c r="B59" s="71"/>
      <c r="C59" s="80"/>
      <c r="G59" s="71"/>
      <c r="H59" s="80"/>
    </row>
    <row r="60" spans="1:9" x14ac:dyDescent="0.25">
      <c r="B60" s="71">
        <f>SUM(B56:B59)</f>
        <v>30000</v>
      </c>
      <c r="C60" s="80"/>
      <c r="G60" s="71">
        <f>SUM(G56:G59)</f>
        <v>250000</v>
      </c>
      <c r="H60" s="80"/>
    </row>
    <row r="61" spans="1:9" ht="15.75" thickBot="1" x14ac:dyDescent="0.3">
      <c r="B61" s="64">
        <v>0</v>
      </c>
      <c r="C61" s="65">
        <f>SUM(C56:C60)</f>
        <v>0</v>
      </c>
      <c r="D61" s="3"/>
      <c r="G61" s="64">
        <v>0</v>
      </c>
      <c r="H61" s="65">
        <f>SUM(H56:H60)</f>
        <v>0</v>
      </c>
      <c r="I61" s="3"/>
    </row>
    <row r="62" spans="1:9" ht="15.75" thickTop="1" x14ac:dyDescent="0.25"/>
    <row r="64" spans="1:9" x14ac:dyDescent="0.25">
      <c r="A64" s="10" t="s">
        <v>51</v>
      </c>
      <c r="B64" s="163" t="str">
        <f>DIARIO!B135</f>
        <v>RECEITA DE SERVICOS</v>
      </c>
      <c r="C64" s="164"/>
      <c r="D64" s="3" t="s">
        <v>52</v>
      </c>
      <c r="F64" s="10" t="s">
        <v>51</v>
      </c>
      <c r="G64" s="154" t="str">
        <f>DIARIO!B142</f>
        <v>DESPESAS COM FGTS</v>
      </c>
      <c r="H64" s="154"/>
      <c r="I64" s="3" t="s">
        <v>52</v>
      </c>
    </row>
    <row r="65" spans="1:9" x14ac:dyDescent="0.25">
      <c r="A65" s="3"/>
      <c r="B65" s="148"/>
      <c r="C65" s="149">
        <f>DIARIO!D135</f>
        <v>14765.48</v>
      </c>
      <c r="F65" s="3"/>
      <c r="G65" s="78">
        <f>DIARIO!C142</f>
        <v>24000</v>
      </c>
      <c r="H65" s="79"/>
    </row>
    <row r="66" spans="1:9" x14ac:dyDescent="0.25">
      <c r="B66" s="150"/>
      <c r="C66" s="151"/>
      <c r="G66" s="71">
        <f>'FOLHA DE PAG.'!C20</f>
        <v>4666.666666666667</v>
      </c>
      <c r="H66" s="80"/>
    </row>
    <row r="67" spans="1:9" x14ac:dyDescent="0.25">
      <c r="B67" s="150"/>
      <c r="C67" s="151"/>
      <c r="G67" s="71"/>
      <c r="H67" s="80"/>
    </row>
    <row r="68" spans="1:9" x14ac:dyDescent="0.25">
      <c r="B68" s="150"/>
      <c r="C68" s="151"/>
      <c r="G68" s="71"/>
      <c r="H68" s="80"/>
    </row>
    <row r="69" spans="1:9" x14ac:dyDescent="0.25">
      <c r="B69" s="150"/>
      <c r="C69" s="151">
        <f>SUM(C65:C68)</f>
        <v>14765.48</v>
      </c>
      <c r="G69" s="71">
        <f>SUM(G65:G68)</f>
        <v>28666.666666666668</v>
      </c>
      <c r="H69" s="80"/>
    </row>
    <row r="70" spans="1:9" ht="15.75" thickBot="1" x14ac:dyDescent="0.3">
      <c r="B70" s="69">
        <v>0</v>
      </c>
      <c r="C70" s="70">
        <v>0</v>
      </c>
      <c r="D70" s="3"/>
      <c r="G70" s="64">
        <v>0</v>
      </c>
      <c r="H70" s="65">
        <f>SUM(H65:H69)</f>
        <v>0</v>
      </c>
      <c r="I70" s="3"/>
    </row>
    <row r="71" spans="1:9" ht="15.75" thickTop="1" x14ac:dyDescent="0.25"/>
    <row r="74" spans="1:9" x14ac:dyDescent="0.25">
      <c r="A74" s="10" t="s">
        <v>51</v>
      </c>
      <c r="B74" s="154" t="str">
        <f>DIARIO!B137</f>
        <v>DESPESAS COM SALARIOS</v>
      </c>
      <c r="C74" s="154"/>
      <c r="D74" s="3" t="s">
        <v>52</v>
      </c>
      <c r="F74" s="10" t="s">
        <v>51</v>
      </c>
      <c r="G74" s="154" t="str">
        <f>DIARIO!B145</f>
        <v>DESPESAS COM INSS</v>
      </c>
      <c r="H74" s="154"/>
      <c r="I74" s="3" t="s">
        <v>52</v>
      </c>
    </row>
    <row r="75" spans="1:9" x14ac:dyDescent="0.25">
      <c r="A75" s="3"/>
      <c r="B75" s="78">
        <f>DIARIO!C137</f>
        <v>300000</v>
      </c>
      <c r="C75" s="79"/>
      <c r="F75" s="3"/>
      <c r="G75" s="153">
        <f>DIARIO!C145</f>
        <v>96000</v>
      </c>
      <c r="H75" s="79"/>
    </row>
    <row r="76" spans="1:9" x14ac:dyDescent="0.25">
      <c r="B76" s="71"/>
      <c r="C76" s="80"/>
      <c r="G76" s="71">
        <f>'FOLHA DE PAG.'!C22</f>
        <v>8933.3333333333339</v>
      </c>
      <c r="H76" s="80"/>
    </row>
    <row r="77" spans="1:9" x14ac:dyDescent="0.25">
      <c r="B77" s="71"/>
      <c r="C77" s="80"/>
      <c r="G77" s="71"/>
      <c r="H77" s="80"/>
    </row>
    <row r="78" spans="1:9" x14ac:dyDescent="0.25">
      <c r="B78" s="71"/>
      <c r="C78" s="80"/>
      <c r="G78" s="71"/>
      <c r="H78" s="80"/>
    </row>
    <row r="79" spans="1:9" x14ac:dyDescent="0.25">
      <c r="B79" s="71">
        <f>SUM(B75:B78)</f>
        <v>300000</v>
      </c>
      <c r="C79" s="80"/>
      <c r="G79" s="71">
        <f>SUM(G75:G78)</f>
        <v>104933.33333333333</v>
      </c>
      <c r="H79" s="80"/>
    </row>
    <row r="80" spans="1:9" ht="15.75" thickBot="1" x14ac:dyDescent="0.3">
      <c r="B80" s="64">
        <v>0</v>
      </c>
      <c r="C80" s="65">
        <f>SUM(C75:C79)</f>
        <v>0</v>
      </c>
      <c r="D80" s="3"/>
      <c r="G80" s="64">
        <v>0</v>
      </c>
      <c r="H80" s="65">
        <f>SUM(H75:H79)</f>
        <v>0</v>
      </c>
      <c r="I80" s="3"/>
    </row>
    <row r="81" spans="1:9" ht="15.75" thickTop="1" x14ac:dyDescent="0.25"/>
    <row r="83" spans="1:9" x14ac:dyDescent="0.25">
      <c r="A83" s="10" t="s">
        <v>51</v>
      </c>
      <c r="B83" s="154" t="str">
        <f>DIARIO!B148</f>
        <v xml:space="preserve">DESPESAS COM 13º SALARIOS </v>
      </c>
      <c r="C83" s="154"/>
      <c r="D83" s="3" t="s">
        <v>52</v>
      </c>
      <c r="F83" s="10" t="s">
        <v>51</v>
      </c>
      <c r="G83" s="156" t="str">
        <f>DIARIO!B169</f>
        <v>DESPESAS COM PROVISOES PCLD</v>
      </c>
      <c r="H83" s="156"/>
      <c r="I83" s="3" t="s">
        <v>52</v>
      </c>
    </row>
    <row r="84" spans="1:9" x14ac:dyDescent="0.25">
      <c r="A84" s="3"/>
      <c r="B84" s="78">
        <f>DIARIO!C148</f>
        <v>25000</v>
      </c>
      <c r="C84" s="79"/>
      <c r="F84" s="3"/>
      <c r="G84" s="114">
        <f>DIARIO!C169</f>
        <v>100000</v>
      </c>
      <c r="H84" s="115"/>
    </row>
    <row r="85" spans="1:9" x14ac:dyDescent="0.25">
      <c r="B85" s="71"/>
      <c r="C85" s="80"/>
      <c r="G85" s="117"/>
      <c r="H85" s="96"/>
    </row>
    <row r="86" spans="1:9" x14ac:dyDescent="0.25">
      <c r="B86" s="71"/>
      <c r="C86" s="80"/>
      <c r="G86" s="117"/>
      <c r="H86" s="96"/>
    </row>
    <row r="87" spans="1:9" x14ac:dyDescent="0.25">
      <c r="B87" s="71"/>
      <c r="C87" s="80"/>
      <c r="G87" s="117"/>
      <c r="H87" s="96"/>
    </row>
    <row r="88" spans="1:9" x14ac:dyDescent="0.25">
      <c r="B88" s="71">
        <f>SUM(B84:B87)</f>
        <v>25000</v>
      </c>
      <c r="C88" s="80"/>
      <c r="G88" s="117">
        <f>SUM(G84:G87)</f>
        <v>100000</v>
      </c>
      <c r="H88" s="96"/>
    </row>
    <row r="89" spans="1:9" ht="15.75" thickBot="1" x14ac:dyDescent="0.3">
      <c r="B89" s="64">
        <v>0</v>
      </c>
      <c r="C89" s="65">
        <f>SUM(C84:C88)</f>
        <v>0</v>
      </c>
      <c r="D89" s="3"/>
      <c r="G89" s="127">
        <v>0</v>
      </c>
      <c r="H89" s="128">
        <f>SUM(H84:H88)</f>
        <v>0</v>
      </c>
      <c r="I89" s="3"/>
    </row>
    <row r="90" spans="1:9" ht="15.75" thickTop="1" x14ac:dyDescent="0.25"/>
    <row r="93" spans="1:9" x14ac:dyDescent="0.25">
      <c r="A93" s="10" t="s">
        <v>51</v>
      </c>
      <c r="B93" s="154" t="str">
        <f>DIARIO!B175</f>
        <v>DESP. COM JCP</v>
      </c>
      <c r="C93" s="154"/>
      <c r="D93" s="3" t="s">
        <v>52</v>
      </c>
      <c r="F93" s="10" t="s">
        <v>51</v>
      </c>
      <c r="G93" s="154" t="str">
        <f>DIARIO!B6</f>
        <v>DESP. C EMISSOES DE AÇOES dre</v>
      </c>
      <c r="H93" s="154"/>
      <c r="I93" s="3" t="s">
        <v>52</v>
      </c>
    </row>
    <row r="94" spans="1:9" x14ac:dyDescent="0.25">
      <c r="A94" s="3"/>
      <c r="B94" s="78">
        <f>DIARIO!C175</f>
        <v>562500</v>
      </c>
      <c r="C94" s="79"/>
      <c r="F94" s="3"/>
      <c r="G94" s="78">
        <f>DIARIO!C6</f>
        <v>43125</v>
      </c>
      <c r="H94" s="79"/>
    </row>
    <row r="95" spans="1:9" x14ac:dyDescent="0.25">
      <c r="B95" s="71"/>
      <c r="C95" s="80"/>
      <c r="G95" s="71"/>
      <c r="H95" s="80"/>
    </row>
    <row r="96" spans="1:9" x14ac:dyDescent="0.25">
      <c r="B96" s="71"/>
      <c r="C96" s="80"/>
      <c r="G96" s="71"/>
      <c r="H96" s="80"/>
    </row>
    <row r="97" spans="1:9" x14ac:dyDescent="0.25">
      <c r="B97" s="71"/>
      <c r="C97" s="80"/>
      <c r="G97" s="71"/>
      <c r="H97" s="80"/>
    </row>
    <row r="98" spans="1:9" x14ac:dyDescent="0.25">
      <c r="B98" s="71">
        <f>SUM(B94:B97)</f>
        <v>562500</v>
      </c>
      <c r="C98" s="80"/>
      <c r="G98" s="71">
        <f>SUM(G94:G97)</f>
        <v>43125</v>
      </c>
      <c r="H98" s="80"/>
    </row>
    <row r="99" spans="1:9" ht="15.75" thickBot="1" x14ac:dyDescent="0.3">
      <c r="B99" s="64">
        <v>0</v>
      </c>
      <c r="C99" s="65">
        <f>SUM(C94:C98)</f>
        <v>0</v>
      </c>
      <c r="D99" s="3"/>
      <c r="G99" s="64">
        <v>0</v>
      </c>
      <c r="H99" s="65">
        <f>SUM(H94:H98)</f>
        <v>0</v>
      </c>
      <c r="I99" s="3"/>
    </row>
    <row r="100" spans="1:9" ht="15.75" thickTop="1" x14ac:dyDescent="0.25"/>
    <row r="102" spans="1:9" x14ac:dyDescent="0.25">
      <c r="A102" s="10" t="s">
        <v>51</v>
      </c>
      <c r="B102" s="154" t="str">
        <f>DIARIO!B119</f>
        <v>REC. FINANCEIRA A TRANSCORRER RED ATIVO</v>
      </c>
      <c r="C102" s="154"/>
      <c r="D102" s="3" t="s">
        <v>52</v>
      </c>
      <c r="F102" s="10" t="s">
        <v>51</v>
      </c>
      <c r="G102" s="154" t="str">
        <f>DIARIO!B172</f>
        <v>DESP. PROVISÃO P/ GARANTIA DE PROD.</v>
      </c>
      <c r="H102" s="154"/>
      <c r="I102" s="3" t="s">
        <v>52</v>
      </c>
    </row>
    <row r="103" spans="1:9" x14ac:dyDescent="0.25">
      <c r="A103" s="3"/>
      <c r="B103" s="78"/>
      <c r="C103" s="79">
        <f>DIARIO!D119</f>
        <v>44046.31</v>
      </c>
      <c r="F103" s="3"/>
      <c r="G103" s="78">
        <f>DIARIO!C172</f>
        <v>40000</v>
      </c>
      <c r="H103" s="79"/>
    </row>
    <row r="104" spans="1:9" x14ac:dyDescent="0.25">
      <c r="B104" s="71"/>
      <c r="C104" s="80"/>
      <c r="G104" s="71"/>
      <c r="H104" s="80"/>
    </row>
    <row r="105" spans="1:9" x14ac:dyDescent="0.25">
      <c r="B105" s="71"/>
      <c r="C105" s="80"/>
      <c r="G105" s="71"/>
      <c r="H105" s="80"/>
    </row>
    <row r="106" spans="1:9" x14ac:dyDescent="0.25">
      <c r="B106" s="71"/>
      <c r="C106" s="80"/>
      <c r="G106" s="71"/>
      <c r="H106" s="80"/>
    </row>
    <row r="107" spans="1:9" x14ac:dyDescent="0.25">
      <c r="B107" s="71"/>
      <c r="C107" s="80">
        <f>SUM(C103:C106)</f>
        <v>44046.31</v>
      </c>
      <c r="G107" s="71">
        <f>SUM(G103:G106)</f>
        <v>40000</v>
      </c>
      <c r="H107" s="80"/>
    </row>
    <row r="108" spans="1:9" ht="15.75" thickBot="1" x14ac:dyDescent="0.3">
      <c r="B108" s="64">
        <v>0</v>
      </c>
      <c r="C108" s="65">
        <v>0</v>
      </c>
      <c r="D108" s="3"/>
      <c r="G108" s="64">
        <v>0</v>
      </c>
      <c r="H108" s="65">
        <f>SUM(H103:H107)</f>
        <v>0</v>
      </c>
      <c r="I108" s="3"/>
    </row>
    <row r="109" spans="1:9" ht="15.75" thickTop="1" x14ac:dyDescent="0.25"/>
    <row r="111" spans="1:9" x14ac:dyDescent="0.25">
      <c r="A111" s="10" t="s">
        <v>51</v>
      </c>
      <c r="B111" s="159" t="str">
        <f>DIARIO!B129</f>
        <v>RECEITA DE EQUIVALENCIA PAT.</v>
      </c>
      <c r="C111" s="159"/>
      <c r="D111" s="3" t="s">
        <v>52</v>
      </c>
      <c r="F111" s="10" t="s">
        <v>51</v>
      </c>
      <c r="G111" s="154" t="str">
        <f>DIARIO!B152</f>
        <v>DESPESAS C/FÉRIAS</v>
      </c>
      <c r="H111" s="154"/>
      <c r="I111" s="3" t="s">
        <v>52</v>
      </c>
    </row>
    <row r="112" spans="1:9" x14ac:dyDescent="0.25">
      <c r="A112" s="3"/>
      <c r="B112" s="11"/>
      <c r="C112" s="12">
        <f>DIARIO!D129</f>
        <v>0</v>
      </c>
      <c r="F112" s="3"/>
      <c r="G112" s="78">
        <f>DIARIO!C152</f>
        <v>33333.333333333336</v>
      </c>
      <c r="H112" s="79">
        <f>DIARIO!I129</f>
        <v>0</v>
      </c>
    </row>
    <row r="113" spans="1:9" x14ac:dyDescent="0.25">
      <c r="B113" s="13"/>
      <c r="G113" s="71"/>
      <c r="H113" s="80"/>
    </row>
    <row r="114" spans="1:9" x14ac:dyDescent="0.25">
      <c r="B114" s="13"/>
      <c r="G114" s="71"/>
      <c r="H114" s="80"/>
    </row>
    <row r="115" spans="1:9" x14ac:dyDescent="0.25">
      <c r="B115" s="13"/>
      <c r="G115" s="71"/>
      <c r="H115" s="80"/>
    </row>
    <row r="116" spans="1:9" x14ac:dyDescent="0.25">
      <c r="B116" s="13"/>
      <c r="C116" s="1">
        <f>SUM(C112:C115)</f>
        <v>0</v>
      </c>
      <c r="G116" s="71">
        <f>SUM(G112:G115)</f>
        <v>33333.333333333336</v>
      </c>
      <c r="H116" s="80"/>
    </row>
    <row r="117" spans="1:9" ht="15.75" thickBot="1" x14ac:dyDescent="0.3">
      <c r="B117" s="84">
        <v>0</v>
      </c>
      <c r="C117" s="75">
        <v>0</v>
      </c>
      <c r="D117" s="3"/>
      <c r="G117" s="64">
        <v>0</v>
      </c>
      <c r="H117" s="65">
        <f>SUM(H112:H116)</f>
        <v>0</v>
      </c>
      <c r="I117" s="3"/>
    </row>
    <row r="118" spans="1:9" ht="15.75" thickTop="1" x14ac:dyDescent="0.25"/>
    <row r="120" spans="1:9" x14ac:dyDescent="0.25">
      <c r="A120" s="10" t="s">
        <v>51</v>
      </c>
      <c r="B120" s="159" t="str">
        <f>DIARIO!B159</f>
        <v>DESP. COM PROVISÃO DE PERDA</v>
      </c>
      <c r="C120" s="159"/>
      <c r="D120" s="3" t="s">
        <v>52</v>
      </c>
      <c r="F120" s="10" t="s">
        <v>51</v>
      </c>
      <c r="G120" s="161" t="s">
        <v>135</v>
      </c>
      <c r="H120" s="161"/>
      <c r="I120" s="3" t="s">
        <v>52</v>
      </c>
    </row>
    <row r="121" spans="1:9" x14ac:dyDescent="0.25">
      <c r="A121" s="3"/>
      <c r="B121" s="11" t="e">
        <f>DIARIO!C159</f>
        <v>#REF!</v>
      </c>
      <c r="C121" s="12">
        <v>0</v>
      </c>
      <c r="F121" s="3"/>
      <c r="G121" s="136"/>
      <c r="H121" s="137">
        <v>390535.25</v>
      </c>
    </row>
    <row r="122" spans="1:9" x14ac:dyDescent="0.25">
      <c r="B122" s="13" t="e">
        <f>DIARIO!C163</f>
        <v>#REF!</v>
      </c>
      <c r="G122" s="138"/>
      <c r="H122" s="139"/>
    </row>
    <row r="123" spans="1:9" x14ac:dyDescent="0.25">
      <c r="B123" s="13"/>
      <c r="G123" s="138"/>
      <c r="H123" s="139"/>
    </row>
    <row r="124" spans="1:9" x14ac:dyDescent="0.25">
      <c r="B124" s="13"/>
      <c r="G124" s="138"/>
      <c r="H124" s="139"/>
    </row>
    <row r="125" spans="1:9" x14ac:dyDescent="0.25">
      <c r="B125" s="13" t="e">
        <f>SUM(B121:B124)</f>
        <v>#REF!</v>
      </c>
      <c r="G125" s="138"/>
      <c r="H125" s="139"/>
    </row>
    <row r="126" spans="1:9" ht="15.75" thickBot="1" x14ac:dyDescent="0.3">
      <c r="B126" s="84">
        <v>0</v>
      </c>
      <c r="C126" s="75">
        <f>SUM(C121:C125)</f>
        <v>0</v>
      </c>
      <c r="D126" s="3"/>
      <c r="G126" s="140"/>
      <c r="H126" s="141">
        <f>SUM(H121:H125)</f>
        <v>390535.25</v>
      </c>
      <c r="I126" s="3"/>
    </row>
    <row r="127" spans="1:9" ht="15.75" thickTop="1" x14ac:dyDescent="0.25"/>
    <row r="128" spans="1:9" x14ac:dyDescent="0.25">
      <c r="A128" s="10" t="s">
        <v>51</v>
      </c>
      <c r="B128" s="154"/>
      <c r="C128" s="154"/>
      <c r="D128" s="3" t="s">
        <v>52</v>
      </c>
    </row>
    <row r="129" spans="1:4" x14ac:dyDescent="0.25">
      <c r="A129" s="3"/>
      <c r="B129" s="78"/>
      <c r="C129" s="79"/>
    </row>
    <row r="130" spans="1:4" x14ac:dyDescent="0.25">
      <c r="B130" s="71"/>
      <c r="C130" s="80"/>
    </row>
    <row r="131" spans="1:4" x14ac:dyDescent="0.25">
      <c r="B131" s="71"/>
      <c r="C131" s="80"/>
    </row>
    <row r="132" spans="1:4" x14ac:dyDescent="0.25">
      <c r="B132" s="71"/>
      <c r="C132" s="80"/>
    </row>
    <row r="133" spans="1:4" x14ac:dyDescent="0.25">
      <c r="B133" s="71"/>
      <c r="C133" s="80"/>
    </row>
    <row r="134" spans="1:4" ht="15.75" thickBot="1" x14ac:dyDescent="0.3">
      <c r="B134" s="135"/>
      <c r="C134" s="73"/>
      <c r="D134" s="3"/>
    </row>
    <row r="135" spans="1:4" ht="15.75" thickTop="1" x14ac:dyDescent="0.25"/>
    <row r="139" spans="1:4" x14ac:dyDescent="0.25">
      <c r="A139" s="10" t="s">
        <v>51</v>
      </c>
      <c r="B139" s="159" t="s">
        <v>58</v>
      </c>
      <c r="C139" s="159"/>
      <c r="D139" s="3" t="s">
        <v>52</v>
      </c>
    </row>
    <row r="140" spans="1:4" x14ac:dyDescent="0.25">
      <c r="A140" s="3"/>
      <c r="B140" s="89">
        <f>B6</f>
        <v>0</v>
      </c>
      <c r="C140" s="90">
        <f>H15</f>
        <v>6100000</v>
      </c>
    </row>
    <row r="141" spans="1:4" x14ac:dyDescent="0.25">
      <c r="A141" s="3"/>
      <c r="B141" s="88">
        <f>G6</f>
        <v>200000</v>
      </c>
      <c r="C141" s="17">
        <f>H51</f>
        <v>60000</v>
      </c>
    </row>
    <row r="142" spans="1:4" x14ac:dyDescent="0.25">
      <c r="A142" s="3"/>
      <c r="B142" s="88">
        <f>B15</f>
        <v>272250</v>
      </c>
      <c r="C142" s="17">
        <v>14765.48</v>
      </c>
    </row>
    <row r="143" spans="1:4" x14ac:dyDescent="0.25">
      <c r="A143" s="3"/>
      <c r="B143" s="88">
        <f>B42</f>
        <v>45375</v>
      </c>
      <c r="C143" s="17">
        <f>-C107</f>
        <v>-44046.31</v>
      </c>
    </row>
    <row r="144" spans="1:4" x14ac:dyDescent="0.25">
      <c r="A144" s="3"/>
      <c r="B144" s="88">
        <f>G42</f>
        <v>453750</v>
      </c>
      <c r="C144" s="17">
        <f>C116</f>
        <v>0</v>
      </c>
    </row>
    <row r="145" spans="1:3" x14ac:dyDescent="0.25">
      <c r="A145" s="3"/>
      <c r="B145" s="88">
        <f>B51</f>
        <v>800000</v>
      </c>
      <c r="C145" s="17" t="e">
        <f>DIARIO!D167</f>
        <v>#REF!</v>
      </c>
    </row>
    <row r="146" spans="1:3" x14ac:dyDescent="0.25">
      <c r="A146" s="3"/>
      <c r="B146" s="88">
        <f>B60</f>
        <v>30000</v>
      </c>
      <c r="C146" s="17"/>
    </row>
    <row r="147" spans="1:3" x14ac:dyDescent="0.25">
      <c r="A147" s="3"/>
      <c r="B147" s="88">
        <f>G60</f>
        <v>250000</v>
      </c>
      <c r="C147" s="17"/>
    </row>
    <row r="148" spans="1:3" x14ac:dyDescent="0.25">
      <c r="A148" s="3"/>
      <c r="B148" s="88">
        <f>G69</f>
        <v>28666.666666666668</v>
      </c>
      <c r="C148" s="17"/>
    </row>
    <row r="149" spans="1:3" x14ac:dyDescent="0.25">
      <c r="A149" s="3"/>
      <c r="B149" s="88">
        <f>B79</f>
        <v>300000</v>
      </c>
      <c r="C149" s="17"/>
    </row>
    <row r="150" spans="1:3" x14ac:dyDescent="0.25">
      <c r="A150" s="3"/>
      <c r="B150" s="88">
        <f>G79</f>
        <v>104933.33333333333</v>
      </c>
      <c r="C150" s="17"/>
    </row>
    <row r="151" spans="1:3" x14ac:dyDescent="0.25">
      <c r="A151" s="3"/>
      <c r="B151" s="88">
        <v>0</v>
      </c>
      <c r="C151" s="17"/>
    </row>
    <row r="152" spans="1:3" x14ac:dyDescent="0.25">
      <c r="A152" s="3"/>
      <c r="B152" s="88">
        <f>G88</f>
        <v>100000</v>
      </c>
      <c r="C152" s="17"/>
    </row>
    <row r="153" spans="1:3" x14ac:dyDescent="0.25">
      <c r="B153" s="88">
        <f>B98</f>
        <v>562500</v>
      </c>
      <c r="C153" s="91"/>
    </row>
    <row r="154" spans="1:3" x14ac:dyDescent="0.25">
      <c r="B154" s="88">
        <v>0</v>
      </c>
      <c r="C154" s="91"/>
    </row>
    <row r="155" spans="1:3" x14ac:dyDescent="0.25">
      <c r="B155" s="88">
        <f>G107</f>
        <v>40000</v>
      </c>
      <c r="C155" s="91"/>
    </row>
    <row r="156" spans="1:3" x14ac:dyDescent="0.25">
      <c r="B156" s="88">
        <f>G116</f>
        <v>33333.333333333336</v>
      </c>
      <c r="C156" s="91"/>
    </row>
    <row r="157" spans="1:3" x14ac:dyDescent="0.25">
      <c r="B157" s="88" t="e">
        <f>B125</f>
        <v>#REF!</v>
      </c>
      <c r="C157" s="91"/>
    </row>
    <row r="158" spans="1:3" x14ac:dyDescent="0.25">
      <c r="B158" s="88">
        <f>B133</f>
        <v>0</v>
      </c>
      <c r="C158" s="91"/>
    </row>
    <row r="159" spans="1:3" x14ac:dyDescent="0.25">
      <c r="B159" s="88">
        <f>B24</f>
        <v>1032000</v>
      </c>
      <c r="C159" s="91"/>
    </row>
    <row r="160" spans="1:3" x14ac:dyDescent="0.25">
      <c r="B160" s="88">
        <f>G25</f>
        <v>100650</v>
      </c>
      <c r="C160" s="91"/>
    </row>
    <row r="161" spans="2:10" x14ac:dyDescent="0.25">
      <c r="B161" s="88">
        <f>B34</f>
        <v>505400</v>
      </c>
      <c r="C161" s="91"/>
    </row>
    <row r="162" spans="2:10" x14ac:dyDescent="0.25">
      <c r="B162" s="88">
        <f>G34</f>
        <v>2848500</v>
      </c>
      <c r="C162" s="91"/>
      <c r="J162" s="13">
        <f>K66</f>
        <v>0</v>
      </c>
    </row>
    <row r="163" spans="2:10" x14ac:dyDescent="0.25">
      <c r="B163" s="88">
        <f>B6</f>
        <v>0</v>
      </c>
      <c r="C163" s="91"/>
    </row>
    <row r="164" spans="2:10" x14ac:dyDescent="0.25">
      <c r="B164" s="88">
        <v>0</v>
      </c>
      <c r="C164" s="91"/>
      <c r="H164" s="1">
        <v>151652.23000000001</v>
      </c>
    </row>
    <row r="165" spans="2:10" x14ac:dyDescent="0.25">
      <c r="B165" s="13"/>
    </row>
    <row r="166" spans="2:10" x14ac:dyDescent="0.25">
      <c r="B166" s="13"/>
    </row>
    <row r="167" spans="2:10" x14ac:dyDescent="0.25">
      <c r="B167" s="13"/>
    </row>
    <row r="168" spans="2:10" x14ac:dyDescent="0.25">
      <c r="B168" s="13" t="e">
        <f>SUM(B140:B165)</f>
        <v>#REF!</v>
      </c>
      <c r="C168" s="1" t="e">
        <f>SUM(C140:C165)</f>
        <v>#REF!</v>
      </c>
    </row>
    <row r="169" spans="2:10" ht="15.75" thickBot="1" x14ac:dyDescent="0.3">
      <c r="B169" s="54" t="e">
        <f>B168-C168</f>
        <v>#REF!</v>
      </c>
      <c r="C169" s="54">
        <v>0</v>
      </c>
      <c r="D169" s="3"/>
    </row>
    <row r="170" spans="2:10" ht="15.75" thickTop="1" x14ac:dyDescent="0.25"/>
  </sheetData>
  <mergeCells count="30">
    <mergeCell ref="B128:C128"/>
    <mergeCell ref="B139:C139"/>
    <mergeCell ref="B28:C28"/>
    <mergeCell ref="G28:H28"/>
    <mergeCell ref="B37:C37"/>
    <mergeCell ref="G37:H37"/>
    <mergeCell ref="B46:C46"/>
    <mergeCell ref="G46:H46"/>
    <mergeCell ref="B120:C120"/>
    <mergeCell ref="B111:C111"/>
    <mergeCell ref="B93:C93"/>
    <mergeCell ref="G93:H93"/>
    <mergeCell ref="B55:C55"/>
    <mergeCell ref="G55:H55"/>
    <mergeCell ref="B64:C64"/>
    <mergeCell ref="G64:H64"/>
    <mergeCell ref="G19:H19"/>
    <mergeCell ref="B1:C1"/>
    <mergeCell ref="G1:H1"/>
    <mergeCell ref="B10:C10"/>
    <mergeCell ref="G10:H10"/>
    <mergeCell ref="B18:C18"/>
    <mergeCell ref="G111:H111"/>
    <mergeCell ref="G120:H120"/>
    <mergeCell ref="B74:C74"/>
    <mergeCell ref="G74:H74"/>
    <mergeCell ref="B102:C102"/>
    <mergeCell ref="G102:H102"/>
    <mergeCell ref="B83:C83"/>
    <mergeCell ref="G83:H83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15"/>
  <sheetViews>
    <sheetView showGridLines="0" tabSelected="1" workbookViewId="0">
      <selection activeCell="D21" sqref="D21"/>
    </sheetView>
  </sheetViews>
  <sheetFormatPr defaultRowHeight="15" x14ac:dyDescent="0.25"/>
  <cols>
    <col min="1" max="1" width="19.5703125" bestFit="1" customWidth="1"/>
    <col min="3" max="3" width="8.85546875" customWidth="1"/>
    <col min="4" max="4" width="12.28515625" customWidth="1"/>
    <col min="5" max="5" width="11.5703125" style="1" bestFit="1" customWidth="1"/>
    <col min="6" max="6" width="11.42578125" customWidth="1"/>
  </cols>
  <sheetData>
    <row r="1" spans="1:10" x14ac:dyDescent="0.25">
      <c r="A1" s="57" t="s">
        <v>105</v>
      </c>
      <c r="B1" s="57"/>
      <c r="C1" s="57"/>
      <c r="D1" s="57"/>
      <c r="E1" s="56"/>
    </row>
    <row r="2" spans="1:10" x14ac:dyDescent="0.25">
      <c r="A2" t="s">
        <v>104</v>
      </c>
      <c r="D2" s="1">
        <v>67022.5</v>
      </c>
    </row>
    <row r="3" spans="1:10" x14ac:dyDescent="0.25">
      <c r="A3" t="s">
        <v>106</v>
      </c>
      <c r="D3" s="58">
        <v>0.8</v>
      </c>
    </row>
    <row r="4" spans="1:10" x14ac:dyDescent="0.25">
      <c r="A4" t="s">
        <v>107</v>
      </c>
      <c r="D4" s="2">
        <f>D2*D3</f>
        <v>53618</v>
      </c>
    </row>
    <row r="5" spans="1:10" x14ac:dyDescent="0.25">
      <c r="D5" s="55"/>
    </row>
    <row r="7" spans="1:10" x14ac:dyDescent="0.25">
      <c r="D7" t="s">
        <v>108</v>
      </c>
      <c r="E7" t="s">
        <v>109</v>
      </c>
    </row>
    <row r="8" spans="1:10" x14ac:dyDescent="0.25">
      <c r="A8" t="str">
        <f>DIARIO!B30</f>
        <v>PARTICIPAÇÃO SOCIETARIA DORA</v>
      </c>
    </row>
    <row r="15" spans="1:10" x14ac:dyDescent="0.25">
      <c r="J15">
        <v>67022.5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DIARIO</vt:lpstr>
      <vt:lpstr>FOLHA DE PAG.</vt:lpstr>
      <vt:lpstr>RAZÃO ATIVO</vt:lpstr>
      <vt:lpstr>RAZÃO PASSIVO</vt:lpstr>
      <vt:lpstr>RAZÃO DESPESAS</vt:lpstr>
      <vt:lpstr>EQUIVALENCIA PATRIMONIAL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Escritorio</dc:creator>
  <cp:lastModifiedBy>gisele.alves</cp:lastModifiedBy>
  <cp:lastPrinted>2017-11-01T18:11:56Z</cp:lastPrinted>
  <dcterms:created xsi:type="dcterms:W3CDTF">2016-10-10T12:50:21Z</dcterms:created>
  <dcterms:modified xsi:type="dcterms:W3CDTF">2018-03-11T17:33:05Z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2658133e-ed96-439a-a7a6-1442a27ab423</vt:lpwstr>
  </property>
</Properties>
</file>