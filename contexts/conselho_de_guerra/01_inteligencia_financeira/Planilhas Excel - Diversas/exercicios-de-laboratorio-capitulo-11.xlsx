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1\"/>
    </mc:Choice>
  </mc:AlternateContent>
  <bookViews>
    <workbookView xWindow="0" yWindow="0" windowWidth="15735" windowHeight="5565"/>
  </bookViews>
  <sheets>
    <sheet name="Planilh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3" l="1"/>
  <c r="N36" i="3"/>
  <c r="N35" i="3"/>
  <c r="N34" i="3"/>
  <c r="N33" i="3"/>
  <c r="M32" i="3"/>
  <c r="L32" i="3"/>
  <c r="K32" i="3"/>
  <c r="J32" i="3"/>
  <c r="I32" i="3"/>
  <c r="H32" i="3"/>
  <c r="G32" i="3"/>
  <c r="F32" i="3"/>
  <c r="E32" i="3"/>
  <c r="D32" i="3"/>
  <c r="C32" i="3"/>
  <c r="B32" i="3"/>
  <c r="N30" i="3"/>
  <c r="N29" i="3"/>
  <c r="N28" i="3"/>
  <c r="N27" i="3"/>
  <c r="N26" i="3"/>
  <c r="N25" i="3"/>
  <c r="M24" i="3"/>
  <c r="L24" i="3"/>
  <c r="K24" i="3"/>
  <c r="J24" i="3"/>
  <c r="I24" i="3"/>
  <c r="H24" i="3"/>
  <c r="G24" i="3"/>
  <c r="F24" i="3"/>
  <c r="E24" i="3"/>
  <c r="D24" i="3"/>
  <c r="C24" i="3"/>
  <c r="B24" i="3"/>
  <c r="N22" i="3"/>
  <c r="N21" i="3"/>
  <c r="N20" i="3"/>
  <c r="N19" i="3"/>
  <c r="N18" i="3"/>
  <c r="M17" i="3"/>
  <c r="L17" i="3"/>
  <c r="K17" i="3"/>
  <c r="J17" i="3"/>
  <c r="I17" i="3"/>
  <c r="H17" i="3"/>
  <c r="G17" i="3"/>
  <c r="F17" i="3"/>
  <c r="E17" i="3"/>
  <c r="D17" i="3"/>
  <c r="C17" i="3"/>
  <c r="B17" i="3"/>
  <c r="N15" i="3"/>
  <c r="N14" i="3"/>
  <c r="N13" i="3"/>
  <c r="M12" i="3"/>
  <c r="L12" i="3"/>
  <c r="K12" i="3"/>
  <c r="J12" i="3"/>
  <c r="I12" i="3"/>
  <c r="H12" i="3"/>
  <c r="G12" i="3"/>
  <c r="F12" i="3"/>
  <c r="E12" i="3"/>
  <c r="D12" i="3"/>
  <c r="C12" i="3"/>
  <c r="B12" i="3"/>
  <c r="N10" i="3"/>
  <c r="N9" i="3"/>
  <c r="N8" i="3"/>
  <c r="N7" i="3"/>
  <c r="M6" i="3"/>
  <c r="L6" i="3"/>
  <c r="K6" i="3"/>
  <c r="J6" i="3"/>
  <c r="I6" i="3"/>
  <c r="H6" i="3"/>
  <c r="G6" i="3"/>
  <c r="F6" i="3"/>
  <c r="E6" i="3"/>
  <c r="D6" i="3"/>
  <c r="D39" i="3" s="1"/>
  <c r="D40" i="3" s="1"/>
  <c r="C6" i="3"/>
  <c r="B6" i="3"/>
  <c r="N4" i="3"/>
  <c r="H39" i="3" l="1"/>
  <c r="H40" i="3" s="1"/>
  <c r="N32" i="3"/>
  <c r="G39" i="3"/>
  <c r="G40" i="3" s="1"/>
  <c r="E39" i="3"/>
  <c r="E40" i="3" s="1"/>
  <c r="C39" i="3"/>
  <c r="C40" i="3" s="1"/>
  <c r="M39" i="3"/>
  <c r="M40" i="3" s="1"/>
  <c r="N24" i="3"/>
  <c r="L39" i="3"/>
  <c r="L40" i="3" s="1"/>
  <c r="K39" i="3"/>
  <c r="K40" i="3" s="1"/>
  <c r="I39" i="3"/>
  <c r="I40" i="3" s="1"/>
  <c r="N17" i="3"/>
  <c r="B39" i="3"/>
  <c r="B40" i="3" s="1"/>
  <c r="F39" i="3"/>
  <c r="F40" i="3" s="1"/>
  <c r="J39" i="3"/>
  <c r="J40" i="3" s="1"/>
  <c r="N12" i="3"/>
  <c r="N6" i="3"/>
  <c r="N39" i="3" l="1"/>
  <c r="N40" i="3"/>
  <c r="B41" i="3"/>
  <c r="C41" i="3" s="1"/>
  <c r="D41" i="3" s="1"/>
  <c r="E41" i="3" s="1"/>
  <c r="F41" i="3" s="1"/>
  <c r="G41" i="3" s="1"/>
  <c r="H41" i="3" s="1"/>
  <c r="I41" i="3" s="1"/>
  <c r="J41" i="3" s="1"/>
  <c r="K41" i="3" s="1"/>
  <c r="L41" i="3" s="1"/>
  <c r="M41" i="3" s="1"/>
</calcChain>
</file>

<file path=xl/sharedStrings.xml><?xml version="1.0" encoding="utf-8"?>
<sst xmlns="http://schemas.openxmlformats.org/spreadsheetml/2006/main" count="46" uniqueCount="43">
  <si>
    <t>Orçamento Doméstico</t>
  </si>
  <si>
    <t>Total</t>
  </si>
  <si>
    <t>Salários/Rendimentos</t>
  </si>
  <si>
    <t>Habitação</t>
  </si>
  <si>
    <t>Prestação/Aluguel</t>
  </si>
  <si>
    <t>Condomínio</t>
  </si>
  <si>
    <t>IPTU</t>
  </si>
  <si>
    <t>Reforma/Manutenção</t>
  </si>
  <si>
    <t>Alimentação</t>
  </si>
  <si>
    <t>Supermercado</t>
  </si>
  <si>
    <t>Restaurante/Bar/Café</t>
  </si>
  <si>
    <t>Outros</t>
  </si>
  <si>
    <t>Saúde</t>
  </si>
  <si>
    <t>Plano de Saúde</t>
  </si>
  <si>
    <t>Dentista</t>
  </si>
  <si>
    <t>Farmácia/Medicamentos</t>
  </si>
  <si>
    <t>Higiene Pessoal</t>
  </si>
  <si>
    <t>Serviços</t>
  </si>
  <si>
    <t>Telefone fixo</t>
  </si>
  <si>
    <t>Luz (energia)</t>
  </si>
  <si>
    <t>Gás</t>
  </si>
  <si>
    <t>Água / esgoto</t>
  </si>
  <si>
    <t>TV a cabo/Internet</t>
  </si>
  <si>
    <t>Despesas Pessoais</t>
  </si>
  <si>
    <t>Cinema/Teatro/Show</t>
  </si>
  <si>
    <t>Passagens</t>
  </si>
  <si>
    <t>Passeios</t>
  </si>
  <si>
    <t>Cursos</t>
  </si>
  <si>
    <t>Total das despesas</t>
  </si>
  <si>
    <t>Saldo do mês</t>
  </si>
  <si>
    <t>Saldo acumulado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</si>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</sst>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4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2" xfId="0" applyFill="1" applyBorder="1"/>
    <xf numFmtId="0" fontId="1" fillId="0" borderId="5" xfId="0" applyFont="1" applyBorder="1"/>
    <xf numFmtId="0" fontId="0" fillId="2" borderId="1" xfId="0" applyFill="1" applyBorder="1"/>
    <xf numFmtId="164" fontId="1" fillId="2" borderId="1" xfId="0" applyNumberFormat="1" applyFont="1" applyFill="1" applyBorder="1"/>
    <xf numFmtId="164" fontId="0" fillId="0" borderId="0" xfId="0" applyNumberFormat="1"/>
    <xf numFmtId="164" fontId="1" fillId="2" borderId="2" xfId="0" applyNumberFormat="1" applyFont="1" applyFill="1" applyBorder="1"/>
    <xf numFmtId="164" fontId="0" fillId="0" borderId="3" xfId="0" applyNumberFormat="1" applyBorder="1"/>
    <xf numFmtId="164" fontId="1" fillId="0" borderId="3" xfId="0" applyNumberFormat="1" applyFont="1" applyBorder="1"/>
    <xf numFmtId="164" fontId="0" fillId="0" borderId="4" xfId="0" applyNumberForma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2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showGridLines="0" tabSelected="1" zoomScaleNormal="100" workbookViewId="0">
      <selection activeCell="N1" sqref="N1"/>
    </sheetView>
  </sheetViews>
  <sheetFormatPr defaultRowHeight="15" x14ac:dyDescent="0.25"/>
  <cols>
    <col min="1" max="1" width="23.28515625" bestFit="1" customWidth="1"/>
    <col min="2" max="9" width="9.5703125" bestFit="1" customWidth="1"/>
    <col min="10" max="10" width="9.7109375" bestFit="1" customWidth="1"/>
    <col min="11" max="11" width="9.5703125" bestFit="1" customWidth="1"/>
    <col min="12" max="12" width="10.42578125" bestFit="1" customWidth="1"/>
    <col min="13" max="13" width="10.140625" bestFit="1" customWidth="1"/>
    <col min="14" max="14" width="10.5703125" bestFit="1" customWidth="1"/>
  </cols>
  <sheetData>
    <row r="1" spans="1:14" ht="24.75" x14ac:dyDescent="0.5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7"/>
    </row>
    <row r="3" spans="1:14" ht="19.5" thickBot="1" x14ac:dyDescent="0.45">
      <c r="B3" s="15" t="s">
        <v>31</v>
      </c>
      <c r="C3" s="15" t="s">
        <v>32</v>
      </c>
      <c r="D3" s="15" t="s">
        <v>33</v>
      </c>
      <c r="E3" s="15" t="s">
        <v>34</v>
      </c>
      <c r="F3" s="15" t="s">
        <v>35</v>
      </c>
      <c r="G3" s="15" t="s">
        <v>36</v>
      </c>
      <c r="H3" s="15" t="s">
        <v>37</v>
      </c>
      <c r="I3" s="15" t="s">
        <v>38</v>
      </c>
      <c r="J3" s="15" t="s">
        <v>39</v>
      </c>
      <c r="K3" s="15" t="s">
        <v>40</v>
      </c>
      <c r="L3" s="15" t="s">
        <v>41</v>
      </c>
      <c r="M3" s="15" t="s">
        <v>42</v>
      </c>
      <c r="N3" s="15" t="s">
        <v>1</v>
      </c>
    </row>
    <row r="4" spans="1:14" x14ac:dyDescent="0.25">
      <c r="A4" s="4" t="s">
        <v>2</v>
      </c>
      <c r="B4" s="5">
        <v>7250</v>
      </c>
      <c r="C4" s="5">
        <v>5200</v>
      </c>
      <c r="D4" s="5">
        <v>5200</v>
      </c>
      <c r="E4" s="5">
        <v>5200</v>
      </c>
      <c r="F4" s="5">
        <v>5200</v>
      </c>
      <c r="G4" s="5">
        <v>5200</v>
      </c>
      <c r="H4" s="5">
        <v>6400</v>
      </c>
      <c r="I4" s="5">
        <v>6400</v>
      </c>
      <c r="J4" s="5">
        <v>6400</v>
      </c>
      <c r="K4" s="5">
        <v>6400</v>
      </c>
      <c r="L4" s="5">
        <v>9600</v>
      </c>
      <c r="M4" s="5">
        <v>9600</v>
      </c>
      <c r="N4" s="5">
        <f>SUM(B4:M4)</f>
        <v>78050</v>
      </c>
    </row>
    <row r="5" spans="1:14" ht="15.75" thickBot="1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2" t="s">
        <v>3</v>
      </c>
      <c r="B6" s="7">
        <f>SUM(B7:B10)</f>
        <v>2230</v>
      </c>
      <c r="C6" s="7">
        <f t="shared" ref="C6:M6" si="0">SUM(C7:C10)</f>
        <v>2625</v>
      </c>
      <c r="D6" s="7">
        <f t="shared" si="0"/>
        <v>2345</v>
      </c>
      <c r="E6" s="7">
        <f t="shared" si="0"/>
        <v>3145</v>
      </c>
      <c r="F6" s="7">
        <f t="shared" si="0"/>
        <v>2345</v>
      </c>
      <c r="G6" s="7">
        <f t="shared" si="0"/>
        <v>3545</v>
      </c>
      <c r="H6" s="7">
        <f t="shared" si="0"/>
        <v>2345</v>
      </c>
      <c r="I6" s="7">
        <f t="shared" si="0"/>
        <v>2345</v>
      </c>
      <c r="J6" s="7">
        <f t="shared" si="0"/>
        <v>2345</v>
      </c>
      <c r="K6" s="7">
        <f t="shared" si="0"/>
        <v>2905</v>
      </c>
      <c r="L6" s="7">
        <f t="shared" si="0"/>
        <v>2405</v>
      </c>
      <c r="M6" s="7">
        <f t="shared" si="0"/>
        <v>2290</v>
      </c>
      <c r="N6" s="7">
        <f t="shared" ref="N6:N40" si="1">SUM(B6:M6)</f>
        <v>30870</v>
      </c>
    </row>
    <row r="7" spans="1:14" x14ac:dyDescent="0.25">
      <c r="A7" s="13" t="s">
        <v>4</v>
      </c>
      <c r="B7" s="8">
        <v>1750</v>
      </c>
      <c r="C7" s="8">
        <v>1750</v>
      </c>
      <c r="D7" s="8">
        <v>1750</v>
      </c>
      <c r="E7" s="8">
        <v>1750</v>
      </c>
      <c r="F7" s="8">
        <v>1750</v>
      </c>
      <c r="G7" s="8">
        <v>1750</v>
      </c>
      <c r="H7" s="8">
        <v>1750</v>
      </c>
      <c r="I7" s="8">
        <v>1750</v>
      </c>
      <c r="J7" s="8">
        <v>1750</v>
      </c>
      <c r="K7" s="8">
        <v>1750</v>
      </c>
      <c r="L7" s="8">
        <v>1750</v>
      </c>
      <c r="M7" s="8">
        <v>1750</v>
      </c>
      <c r="N7" s="9">
        <f t="shared" si="1"/>
        <v>21000</v>
      </c>
    </row>
    <row r="8" spans="1:14" x14ac:dyDescent="0.25">
      <c r="A8" s="13" t="s">
        <v>5</v>
      </c>
      <c r="B8" s="8">
        <v>480</v>
      </c>
      <c r="C8" s="8">
        <v>480</v>
      </c>
      <c r="D8" s="8">
        <v>480</v>
      </c>
      <c r="E8" s="8">
        <v>480</v>
      </c>
      <c r="F8" s="8">
        <v>480</v>
      </c>
      <c r="G8" s="8">
        <v>480</v>
      </c>
      <c r="H8" s="8">
        <v>480</v>
      </c>
      <c r="I8" s="8">
        <v>480</v>
      </c>
      <c r="J8" s="8">
        <v>480</v>
      </c>
      <c r="K8" s="8">
        <v>540</v>
      </c>
      <c r="L8" s="8">
        <v>540</v>
      </c>
      <c r="M8" s="8">
        <v>540</v>
      </c>
      <c r="N8" s="9">
        <f t="shared" si="1"/>
        <v>5940</v>
      </c>
    </row>
    <row r="9" spans="1:14" x14ac:dyDescent="0.25">
      <c r="A9" s="13" t="s">
        <v>6</v>
      </c>
      <c r="B9" s="8"/>
      <c r="C9" s="8">
        <v>115</v>
      </c>
      <c r="D9" s="8">
        <v>115</v>
      </c>
      <c r="E9" s="8">
        <v>115</v>
      </c>
      <c r="F9" s="8">
        <v>115</v>
      </c>
      <c r="G9" s="8">
        <v>115</v>
      </c>
      <c r="H9" s="8">
        <v>115</v>
      </c>
      <c r="I9" s="8">
        <v>115</v>
      </c>
      <c r="J9" s="8">
        <v>115</v>
      </c>
      <c r="K9" s="8">
        <v>115</v>
      </c>
      <c r="L9" s="8">
        <v>115</v>
      </c>
      <c r="M9" s="8"/>
      <c r="N9" s="9">
        <f t="shared" si="1"/>
        <v>1150</v>
      </c>
    </row>
    <row r="10" spans="1:14" x14ac:dyDescent="0.25">
      <c r="A10" s="14" t="s">
        <v>7</v>
      </c>
      <c r="B10" s="10"/>
      <c r="C10" s="10">
        <v>280</v>
      </c>
      <c r="D10" s="10"/>
      <c r="E10" s="10">
        <v>800</v>
      </c>
      <c r="F10" s="10"/>
      <c r="G10" s="10">
        <v>1200</v>
      </c>
      <c r="H10" s="10"/>
      <c r="I10" s="10"/>
      <c r="J10" s="10"/>
      <c r="K10" s="10">
        <v>500</v>
      </c>
      <c r="L10" s="10"/>
      <c r="M10" s="10"/>
      <c r="N10" s="11">
        <f t="shared" si="1"/>
        <v>2780</v>
      </c>
    </row>
    <row r="11" spans="1:14" ht="15.75" thickBot="1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2" t="s">
        <v>8</v>
      </c>
      <c r="B12" s="7">
        <f>SUM(B13:B15)</f>
        <v>485</v>
      </c>
      <c r="C12" s="7">
        <f t="shared" ref="C12:M12" si="2">SUM(C13:C15)</f>
        <v>682.5</v>
      </c>
      <c r="D12" s="7">
        <f t="shared" si="2"/>
        <v>605</v>
      </c>
      <c r="E12" s="7">
        <f t="shared" si="2"/>
        <v>601</v>
      </c>
      <c r="F12" s="7">
        <f t="shared" si="2"/>
        <v>646.29999999999995</v>
      </c>
      <c r="G12" s="7">
        <f t="shared" si="2"/>
        <v>743</v>
      </c>
      <c r="H12" s="7">
        <f t="shared" si="2"/>
        <v>985</v>
      </c>
      <c r="I12" s="7">
        <f t="shared" si="2"/>
        <v>1288</v>
      </c>
      <c r="J12" s="7">
        <f t="shared" si="2"/>
        <v>1169</v>
      </c>
      <c r="K12" s="7">
        <f t="shared" si="2"/>
        <v>1049</v>
      </c>
      <c r="L12" s="7">
        <f t="shared" si="2"/>
        <v>725</v>
      </c>
      <c r="M12" s="7">
        <f t="shared" si="2"/>
        <v>1094</v>
      </c>
      <c r="N12" s="7">
        <f t="shared" si="1"/>
        <v>10072.799999999999</v>
      </c>
    </row>
    <row r="13" spans="1:14" x14ac:dyDescent="0.25">
      <c r="A13" s="13" t="s">
        <v>9</v>
      </c>
      <c r="B13" s="8">
        <v>450</v>
      </c>
      <c r="C13" s="8">
        <v>580</v>
      </c>
      <c r="D13" s="8">
        <v>525</v>
      </c>
      <c r="E13" s="8">
        <v>479</v>
      </c>
      <c r="F13" s="8">
        <v>574</v>
      </c>
      <c r="G13" s="8">
        <v>620</v>
      </c>
      <c r="H13" s="8">
        <v>740</v>
      </c>
      <c r="I13" s="8">
        <v>800</v>
      </c>
      <c r="J13" s="8">
        <v>755</v>
      </c>
      <c r="K13" s="8">
        <v>925</v>
      </c>
      <c r="L13" s="8">
        <v>690</v>
      </c>
      <c r="M13" s="8">
        <v>845</v>
      </c>
      <c r="N13" s="9">
        <f t="shared" si="1"/>
        <v>7983</v>
      </c>
    </row>
    <row r="14" spans="1:14" x14ac:dyDescent="0.25">
      <c r="A14" s="13" t="s">
        <v>10</v>
      </c>
      <c r="B14" s="8">
        <v>35</v>
      </c>
      <c r="C14" s="8">
        <v>102.5</v>
      </c>
      <c r="D14" s="8">
        <v>65</v>
      </c>
      <c r="E14" s="8">
        <v>122</v>
      </c>
      <c r="F14" s="8">
        <v>48</v>
      </c>
      <c r="G14" s="8">
        <v>123</v>
      </c>
      <c r="H14" s="8">
        <v>245</v>
      </c>
      <c r="I14" s="8">
        <v>368</v>
      </c>
      <c r="J14" s="8">
        <v>214</v>
      </c>
      <c r="K14" s="8">
        <v>124</v>
      </c>
      <c r="L14" s="8">
        <v>35</v>
      </c>
      <c r="M14" s="8">
        <v>249</v>
      </c>
      <c r="N14" s="9">
        <f t="shared" si="1"/>
        <v>1730.5</v>
      </c>
    </row>
    <row r="15" spans="1:14" x14ac:dyDescent="0.25">
      <c r="A15" s="14" t="s">
        <v>11</v>
      </c>
      <c r="B15" s="10"/>
      <c r="C15" s="10"/>
      <c r="D15" s="10">
        <v>15</v>
      </c>
      <c r="E15" s="10"/>
      <c r="F15" s="10">
        <v>24.3</v>
      </c>
      <c r="G15" s="10"/>
      <c r="H15" s="10"/>
      <c r="I15" s="10">
        <v>120</v>
      </c>
      <c r="J15" s="10">
        <v>200</v>
      </c>
      <c r="K15" s="10"/>
      <c r="L15" s="10"/>
      <c r="M15" s="10"/>
      <c r="N15" s="11">
        <f t="shared" si="1"/>
        <v>359.3</v>
      </c>
    </row>
    <row r="16" spans="1:14" ht="15.75" thickBo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2" t="s">
        <v>12</v>
      </c>
      <c r="B17" s="7">
        <f>SUM(B18:B22)</f>
        <v>403</v>
      </c>
      <c r="C17" s="7">
        <f t="shared" ref="C17:M17" si="3">SUM(C18:C22)</f>
        <v>660</v>
      </c>
      <c r="D17" s="7">
        <f t="shared" si="3"/>
        <v>422.4</v>
      </c>
      <c r="E17" s="7">
        <f t="shared" si="3"/>
        <v>782</v>
      </c>
      <c r="F17" s="7">
        <f t="shared" si="3"/>
        <v>370</v>
      </c>
      <c r="G17" s="7">
        <f t="shared" si="3"/>
        <v>424.4</v>
      </c>
      <c r="H17" s="7">
        <f t="shared" si="3"/>
        <v>345</v>
      </c>
      <c r="I17" s="7">
        <f t="shared" si="3"/>
        <v>1298</v>
      </c>
      <c r="J17" s="7">
        <f t="shared" si="3"/>
        <v>525</v>
      </c>
      <c r="K17" s="7">
        <f t="shared" si="3"/>
        <v>429</v>
      </c>
      <c r="L17" s="7">
        <f t="shared" si="3"/>
        <v>360</v>
      </c>
      <c r="M17" s="7">
        <f t="shared" si="3"/>
        <v>345</v>
      </c>
      <c r="N17" s="7">
        <f t="shared" si="1"/>
        <v>6363.8</v>
      </c>
    </row>
    <row r="18" spans="1:14" x14ac:dyDescent="0.25">
      <c r="A18" s="13" t="s">
        <v>13</v>
      </c>
      <c r="B18" s="8">
        <v>345</v>
      </c>
      <c r="C18" s="8">
        <v>345</v>
      </c>
      <c r="D18" s="8">
        <v>345</v>
      </c>
      <c r="E18" s="8">
        <v>345</v>
      </c>
      <c r="F18" s="8">
        <v>345</v>
      </c>
      <c r="G18" s="8">
        <v>345</v>
      </c>
      <c r="H18" s="8">
        <v>345</v>
      </c>
      <c r="I18" s="8">
        <v>345</v>
      </c>
      <c r="J18" s="8">
        <v>345</v>
      </c>
      <c r="K18" s="8">
        <v>345</v>
      </c>
      <c r="L18" s="8">
        <v>345</v>
      </c>
      <c r="M18" s="8">
        <v>345</v>
      </c>
      <c r="N18" s="9">
        <f t="shared" si="1"/>
        <v>4140</v>
      </c>
    </row>
    <row r="19" spans="1:14" x14ac:dyDescent="0.25">
      <c r="A19" s="13" t="s">
        <v>14</v>
      </c>
      <c r="B19" s="8"/>
      <c r="C19" s="8">
        <v>250</v>
      </c>
      <c r="D19" s="8"/>
      <c r="E19" s="8">
        <v>425</v>
      </c>
      <c r="F19" s="8"/>
      <c r="G19" s="8"/>
      <c r="H19" s="8"/>
      <c r="I19" s="8">
        <v>800</v>
      </c>
      <c r="J19" s="8"/>
      <c r="K19" s="8"/>
      <c r="L19" s="8"/>
      <c r="M19" s="8"/>
      <c r="N19" s="9">
        <f t="shared" si="1"/>
        <v>1475</v>
      </c>
    </row>
    <row r="20" spans="1:14" x14ac:dyDescent="0.25">
      <c r="A20" s="13" t="s">
        <v>15</v>
      </c>
      <c r="B20" s="8">
        <v>35</v>
      </c>
      <c r="C20" s="8"/>
      <c r="D20" s="8">
        <v>21.5</v>
      </c>
      <c r="E20" s="8"/>
      <c r="F20" s="8"/>
      <c r="G20" s="8">
        <v>38</v>
      </c>
      <c r="H20" s="8"/>
      <c r="I20" s="8">
        <v>153</v>
      </c>
      <c r="J20" s="8"/>
      <c r="K20" s="8">
        <v>84</v>
      </c>
      <c r="L20" s="8">
        <v>15</v>
      </c>
      <c r="M20" s="8"/>
      <c r="N20" s="9">
        <f t="shared" si="1"/>
        <v>346.5</v>
      </c>
    </row>
    <row r="21" spans="1:14" x14ac:dyDescent="0.25">
      <c r="A21" s="13" t="s">
        <v>16</v>
      </c>
      <c r="B21" s="8">
        <v>23</v>
      </c>
      <c r="C21" s="8">
        <v>32.5</v>
      </c>
      <c r="D21" s="8">
        <v>43.2</v>
      </c>
      <c r="E21" s="8">
        <v>12</v>
      </c>
      <c r="F21" s="8"/>
      <c r="G21" s="8">
        <v>41.4</v>
      </c>
      <c r="H21" s="8"/>
      <c r="I21" s="8"/>
      <c r="J21" s="8">
        <v>180</v>
      </c>
      <c r="K21" s="8"/>
      <c r="L21" s="8"/>
      <c r="M21" s="8"/>
      <c r="N21" s="9">
        <f t="shared" si="1"/>
        <v>332.1</v>
      </c>
    </row>
    <row r="22" spans="1:14" x14ac:dyDescent="0.25">
      <c r="A22" s="14" t="s">
        <v>11</v>
      </c>
      <c r="B22" s="10"/>
      <c r="C22" s="10">
        <v>32.5</v>
      </c>
      <c r="D22" s="10">
        <v>12.7</v>
      </c>
      <c r="E22" s="10"/>
      <c r="F22" s="10">
        <v>25</v>
      </c>
      <c r="G22" s="10"/>
      <c r="H22" s="10"/>
      <c r="I22" s="10"/>
      <c r="J22" s="10"/>
      <c r="K22" s="10"/>
      <c r="L22" s="10"/>
      <c r="M22" s="10"/>
      <c r="N22" s="11">
        <f t="shared" si="1"/>
        <v>70.2</v>
      </c>
    </row>
    <row r="23" spans="1:14" ht="15.75" thickBot="1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2" t="s">
        <v>17</v>
      </c>
      <c r="B24" s="7">
        <f>SUM(B25:B30)</f>
        <v>521.70000000000005</v>
      </c>
      <c r="C24" s="7">
        <f t="shared" ref="C24:M24" si="4">SUM(C25:C30)</f>
        <v>540.9</v>
      </c>
      <c r="D24" s="7">
        <f t="shared" si="4"/>
        <v>484.54999999999995</v>
      </c>
      <c r="E24" s="7">
        <f t="shared" si="4"/>
        <v>555.96</v>
      </c>
      <c r="F24" s="7">
        <f t="shared" si="4"/>
        <v>504.4</v>
      </c>
      <c r="G24" s="7">
        <f t="shared" si="4"/>
        <v>504.34</v>
      </c>
      <c r="H24" s="7">
        <f t="shared" si="4"/>
        <v>506.79999999999995</v>
      </c>
      <c r="I24" s="7">
        <f t="shared" si="4"/>
        <v>791.5</v>
      </c>
      <c r="J24" s="7">
        <f t="shared" si="4"/>
        <v>631.4</v>
      </c>
      <c r="K24" s="7">
        <f t="shared" si="4"/>
        <v>513.29999999999995</v>
      </c>
      <c r="L24" s="7">
        <f t="shared" si="4"/>
        <v>524.1</v>
      </c>
      <c r="M24" s="7">
        <f t="shared" si="4"/>
        <v>571.84999999999991</v>
      </c>
      <c r="N24" s="7">
        <f t="shared" si="1"/>
        <v>6650.7999999999993</v>
      </c>
    </row>
    <row r="25" spans="1:14" x14ac:dyDescent="0.25">
      <c r="A25" s="13" t="s">
        <v>18</v>
      </c>
      <c r="B25" s="8">
        <v>29.9</v>
      </c>
      <c r="C25" s="8">
        <v>29.9</v>
      </c>
      <c r="D25" s="8">
        <v>29.9</v>
      </c>
      <c r="E25" s="8">
        <v>29.9</v>
      </c>
      <c r="F25" s="8">
        <v>29.9</v>
      </c>
      <c r="G25" s="8">
        <v>29.9</v>
      </c>
      <c r="H25" s="8">
        <v>29.9</v>
      </c>
      <c r="I25" s="8">
        <v>29.9</v>
      </c>
      <c r="J25" s="8">
        <v>29.9</v>
      </c>
      <c r="K25" s="8">
        <v>29.9</v>
      </c>
      <c r="L25" s="8">
        <v>29.9</v>
      </c>
      <c r="M25" s="8">
        <v>29.9</v>
      </c>
      <c r="N25" s="9">
        <f t="shared" si="1"/>
        <v>358.79999999999995</v>
      </c>
    </row>
    <row r="26" spans="1:14" x14ac:dyDescent="0.25">
      <c r="A26" s="13" t="s">
        <v>19</v>
      </c>
      <c r="B26" s="8">
        <v>184</v>
      </c>
      <c r="C26" s="8">
        <v>165</v>
      </c>
      <c r="D26" s="8">
        <v>150</v>
      </c>
      <c r="E26" s="8">
        <v>142</v>
      </c>
      <c r="F26" s="8">
        <v>156</v>
      </c>
      <c r="G26" s="8">
        <v>165</v>
      </c>
      <c r="H26" s="8">
        <v>172</v>
      </c>
      <c r="I26" s="8">
        <v>169</v>
      </c>
      <c r="J26" s="8">
        <v>157</v>
      </c>
      <c r="K26" s="8">
        <v>164</v>
      </c>
      <c r="L26" s="8">
        <v>178</v>
      </c>
      <c r="M26" s="8">
        <v>212.5</v>
      </c>
      <c r="N26" s="9">
        <f t="shared" si="1"/>
        <v>2014.5</v>
      </c>
    </row>
    <row r="27" spans="1:14" x14ac:dyDescent="0.25">
      <c r="A27" s="13" t="s">
        <v>20</v>
      </c>
      <c r="B27" s="8">
        <v>12.6</v>
      </c>
      <c r="C27" s="8">
        <v>18.2</v>
      </c>
      <c r="D27" s="8">
        <v>14.35</v>
      </c>
      <c r="E27" s="8">
        <v>13.79</v>
      </c>
      <c r="F27" s="8">
        <v>21.4</v>
      </c>
      <c r="G27" s="8">
        <v>18.2</v>
      </c>
      <c r="H27" s="8">
        <v>12.5</v>
      </c>
      <c r="I27" s="8">
        <v>19.3</v>
      </c>
      <c r="J27" s="8">
        <v>25.1</v>
      </c>
      <c r="K27" s="8">
        <v>26.7</v>
      </c>
      <c r="L27" s="8">
        <v>22.4</v>
      </c>
      <c r="M27" s="8">
        <v>32.75</v>
      </c>
      <c r="N27" s="9">
        <f t="shared" si="1"/>
        <v>237.29</v>
      </c>
    </row>
    <row r="28" spans="1:14" x14ac:dyDescent="0.25">
      <c r="A28" s="13" t="s">
        <v>21</v>
      </c>
      <c r="B28" s="8">
        <v>25.3</v>
      </c>
      <c r="C28" s="8">
        <v>22.9</v>
      </c>
      <c r="D28" s="8">
        <v>20.399999999999999</v>
      </c>
      <c r="E28" s="8">
        <v>22.12</v>
      </c>
      <c r="F28" s="8">
        <v>27.2</v>
      </c>
      <c r="G28" s="8">
        <v>21.34</v>
      </c>
      <c r="H28" s="8">
        <v>22.5</v>
      </c>
      <c r="I28" s="8">
        <v>23.4</v>
      </c>
      <c r="J28" s="8">
        <v>24.5</v>
      </c>
      <c r="K28" s="8">
        <v>22.8</v>
      </c>
      <c r="L28" s="8">
        <v>23.9</v>
      </c>
      <c r="M28" s="8">
        <v>26.8</v>
      </c>
      <c r="N28" s="9">
        <f t="shared" si="1"/>
        <v>283.16000000000003</v>
      </c>
    </row>
    <row r="29" spans="1:14" x14ac:dyDescent="0.25">
      <c r="A29" s="13" t="s">
        <v>22</v>
      </c>
      <c r="B29" s="8">
        <v>269.89999999999998</v>
      </c>
      <c r="C29" s="8">
        <v>269.89999999999998</v>
      </c>
      <c r="D29" s="8">
        <v>269.89999999999998</v>
      </c>
      <c r="E29" s="8">
        <v>269.89999999999998</v>
      </c>
      <c r="F29" s="8">
        <v>269.89999999999998</v>
      </c>
      <c r="G29" s="8">
        <v>269.89999999999998</v>
      </c>
      <c r="H29" s="8">
        <v>269.89999999999998</v>
      </c>
      <c r="I29" s="8">
        <v>269.89999999999998</v>
      </c>
      <c r="J29" s="8">
        <v>269.89999999999998</v>
      </c>
      <c r="K29" s="8">
        <v>269.89999999999998</v>
      </c>
      <c r="L29" s="8">
        <v>269.89999999999998</v>
      </c>
      <c r="M29" s="8">
        <v>269.89999999999998</v>
      </c>
      <c r="N29" s="9">
        <f t="shared" si="1"/>
        <v>3238.8000000000006</v>
      </c>
    </row>
    <row r="30" spans="1:14" x14ac:dyDescent="0.25">
      <c r="A30" s="14" t="s">
        <v>11</v>
      </c>
      <c r="B30" s="10"/>
      <c r="C30" s="10">
        <v>35</v>
      </c>
      <c r="D30" s="10"/>
      <c r="E30" s="10">
        <v>78.25</v>
      </c>
      <c r="F30" s="10"/>
      <c r="G30" s="10"/>
      <c r="H30" s="10"/>
      <c r="I30" s="10">
        <v>280</v>
      </c>
      <c r="J30" s="10">
        <v>125</v>
      </c>
      <c r="K30" s="10"/>
      <c r="L30" s="10"/>
      <c r="M30" s="10"/>
      <c r="N30" s="11">
        <f t="shared" si="1"/>
        <v>518.25</v>
      </c>
    </row>
    <row r="31" spans="1:14" ht="15.75" thickBot="1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2" t="s">
        <v>23</v>
      </c>
      <c r="B32" s="7">
        <f>SUM(B33:B37)</f>
        <v>1022</v>
      </c>
      <c r="C32" s="7">
        <f t="shared" ref="C32:M32" si="5">SUM(C33:C37)</f>
        <v>198</v>
      </c>
      <c r="D32" s="7">
        <f t="shared" si="5"/>
        <v>300</v>
      </c>
      <c r="E32" s="7">
        <f t="shared" si="5"/>
        <v>999</v>
      </c>
      <c r="F32" s="7">
        <f t="shared" si="5"/>
        <v>845</v>
      </c>
      <c r="G32" s="7">
        <f t="shared" si="5"/>
        <v>848</v>
      </c>
      <c r="H32" s="7">
        <f t="shared" si="5"/>
        <v>1530</v>
      </c>
      <c r="I32" s="7">
        <f t="shared" si="5"/>
        <v>1114</v>
      </c>
      <c r="J32" s="7">
        <f t="shared" si="5"/>
        <v>1050</v>
      </c>
      <c r="K32" s="7">
        <f t="shared" si="5"/>
        <v>582</v>
      </c>
      <c r="L32" s="7">
        <f t="shared" si="5"/>
        <v>83</v>
      </c>
      <c r="M32" s="7">
        <f t="shared" si="5"/>
        <v>758</v>
      </c>
      <c r="N32" s="7">
        <f t="shared" si="1"/>
        <v>9329</v>
      </c>
    </row>
    <row r="33" spans="1:14" x14ac:dyDescent="0.25">
      <c r="A33" s="13" t="s">
        <v>24</v>
      </c>
      <c r="B33" s="8">
        <v>50</v>
      </c>
      <c r="C33" s="8">
        <v>48</v>
      </c>
      <c r="D33" s="8">
        <v>240</v>
      </c>
      <c r="E33" s="8">
        <v>84</v>
      </c>
      <c r="F33" s="8">
        <v>25</v>
      </c>
      <c r="G33" s="8">
        <v>248</v>
      </c>
      <c r="H33" s="8">
        <v>580</v>
      </c>
      <c r="I33" s="8">
        <v>124</v>
      </c>
      <c r="J33" s="8">
        <v>100</v>
      </c>
      <c r="K33" s="8">
        <v>82</v>
      </c>
      <c r="L33" s="8">
        <v>48</v>
      </c>
      <c r="M33" s="8">
        <v>100</v>
      </c>
      <c r="N33" s="9">
        <f t="shared" si="1"/>
        <v>1729</v>
      </c>
    </row>
    <row r="34" spans="1:14" x14ac:dyDescent="0.25">
      <c r="A34" s="13" t="s">
        <v>25</v>
      </c>
      <c r="B34" s="8">
        <v>780</v>
      </c>
      <c r="C34" s="8"/>
      <c r="D34" s="8"/>
      <c r="E34" s="8">
        <v>790</v>
      </c>
      <c r="F34" s="8"/>
      <c r="G34" s="8"/>
      <c r="H34" s="8">
        <v>450</v>
      </c>
      <c r="I34" s="8">
        <v>450</v>
      </c>
      <c r="J34" s="8">
        <v>450</v>
      </c>
      <c r="K34" s="8"/>
      <c r="L34" s="8"/>
      <c r="M34" s="8"/>
      <c r="N34" s="9">
        <f t="shared" si="1"/>
        <v>2920</v>
      </c>
    </row>
    <row r="35" spans="1:14" x14ac:dyDescent="0.25">
      <c r="A35" s="13" t="s">
        <v>26</v>
      </c>
      <c r="B35" s="8">
        <v>120</v>
      </c>
      <c r="C35" s="8"/>
      <c r="D35" s="8">
        <v>60</v>
      </c>
      <c r="E35" s="8"/>
      <c r="F35" s="8"/>
      <c r="G35" s="8"/>
      <c r="H35" s="8"/>
      <c r="I35" s="8"/>
      <c r="J35" s="8"/>
      <c r="K35" s="8"/>
      <c r="L35" s="8"/>
      <c r="M35" s="8">
        <v>580</v>
      </c>
      <c r="N35" s="9">
        <f t="shared" si="1"/>
        <v>760</v>
      </c>
    </row>
    <row r="36" spans="1:14" x14ac:dyDescent="0.25">
      <c r="A36" s="13" t="s">
        <v>27</v>
      </c>
      <c r="B36" s="8"/>
      <c r="C36" s="8"/>
      <c r="D36" s="8"/>
      <c r="E36" s="8"/>
      <c r="F36" s="8">
        <v>500</v>
      </c>
      <c r="G36" s="8">
        <v>500</v>
      </c>
      <c r="H36" s="8">
        <v>500</v>
      </c>
      <c r="I36" s="8">
        <v>500</v>
      </c>
      <c r="J36" s="8">
        <v>500</v>
      </c>
      <c r="K36" s="8">
        <v>500</v>
      </c>
      <c r="L36" s="8"/>
      <c r="M36" s="8"/>
      <c r="N36" s="9">
        <f t="shared" si="1"/>
        <v>3000</v>
      </c>
    </row>
    <row r="37" spans="1:14" x14ac:dyDescent="0.25">
      <c r="A37" s="14" t="s">
        <v>11</v>
      </c>
      <c r="B37" s="10">
        <v>72</v>
      </c>
      <c r="C37" s="10">
        <v>150</v>
      </c>
      <c r="D37" s="10"/>
      <c r="E37" s="10">
        <v>125</v>
      </c>
      <c r="F37" s="10">
        <v>320</v>
      </c>
      <c r="G37" s="10">
        <v>100</v>
      </c>
      <c r="H37" s="10"/>
      <c r="I37" s="10">
        <v>40</v>
      </c>
      <c r="J37" s="10"/>
      <c r="K37" s="10"/>
      <c r="L37" s="10">
        <v>35</v>
      </c>
      <c r="M37" s="10">
        <v>78</v>
      </c>
      <c r="N37" s="11">
        <f t="shared" si="1"/>
        <v>920</v>
      </c>
    </row>
    <row r="38" spans="1:14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3" t="s">
        <v>28</v>
      </c>
      <c r="B39" s="12">
        <f>B6+B12+B17+B24+B32</f>
        <v>4661.7</v>
      </c>
      <c r="C39" s="12">
        <f t="shared" ref="C39:M39" si="6">C6+C12+C17+C24+C32</f>
        <v>4706.3999999999996</v>
      </c>
      <c r="D39" s="12">
        <f t="shared" si="6"/>
        <v>4156.95</v>
      </c>
      <c r="E39" s="12">
        <f t="shared" si="6"/>
        <v>6082.96</v>
      </c>
      <c r="F39" s="12">
        <f t="shared" si="6"/>
        <v>4710.7000000000007</v>
      </c>
      <c r="G39" s="12">
        <f t="shared" si="6"/>
        <v>6064.74</v>
      </c>
      <c r="H39" s="12">
        <f t="shared" si="6"/>
        <v>5711.8</v>
      </c>
      <c r="I39" s="12">
        <f t="shared" si="6"/>
        <v>6836.5</v>
      </c>
      <c r="J39" s="12">
        <f t="shared" si="6"/>
        <v>5720.4</v>
      </c>
      <c r="K39" s="12">
        <f t="shared" si="6"/>
        <v>5478.3</v>
      </c>
      <c r="L39" s="12">
        <f t="shared" si="6"/>
        <v>4097.1000000000004</v>
      </c>
      <c r="M39" s="12">
        <f t="shared" si="6"/>
        <v>5058.8500000000004</v>
      </c>
      <c r="N39" s="12">
        <f t="shared" si="1"/>
        <v>63286.400000000001</v>
      </c>
    </row>
    <row r="40" spans="1:14" x14ac:dyDescent="0.25">
      <c r="A40" s="3" t="s">
        <v>29</v>
      </c>
      <c r="B40" s="12">
        <f>B4-B39</f>
        <v>2588.3000000000002</v>
      </c>
      <c r="C40" s="12">
        <f t="shared" ref="C40:M40" si="7">C4-C39</f>
        <v>493.60000000000036</v>
      </c>
      <c r="D40" s="12">
        <f t="shared" si="7"/>
        <v>1043.0500000000002</v>
      </c>
      <c r="E40" s="12">
        <f t="shared" si="7"/>
        <v>-882.96</v>
      </c>
      <c r="F40" s="12">
        <f t="shared" si="7"/>
        <v>489.29999999999927</v>
      </c>
      <c r="G40" s="12">
        <f t="shared" si="7"/>
        <v>-864.73999999999978</v>
      </c>
      <c r="H40" s="12">
        <f t="shared" si="7"/>
        <v>688.19999999999982</v>
      </c>
      <c r="I40" s="12">
        <f t="shared" si="7"/>
        <v>-436.5</v>
      </c>
      <c r="J40" s="12">
        <f t="shared" si="7"/>
        <v>679.60000000000036</v>
      </c>
      <c r="K40" s="12">
        <f t="shared" si="7"/>
        <v>921.69999999999982</v>
      </c>
      <c r="L40" s="12">
        <f t="shared" si="7"/>
        <v>5502.9</v>
      </c>
      <c r="M40" s="12">
        <f t="shared" si="7"/>
        <v>4541.1499999999996</v>
      </c>
      <c r="N40" s="12">
        <f t="shared" si="1"/>
        <v>14763.6</v>
      </c>
    </row>
    <row r="41" spans="1:14" x14ac:dyDescent="0.25">
      <c r="A41" s="3" t="s">
        <v>30</v>
      </c>
      <c r="B41" s="12">
        <f>B40</f>
        <v>2588.3000000000002</v>
      </c>
      <c r="C41" s="12">
        <f>B41+C40</f>
        <v>3081.9000000000005</v>
      </c>
      <c r="D41" s="12">
        <f t="shared" ref="D41:M41" si="8">C41+D40</f>
        <v>4124.9500000000007</v>
      </c>
      <c r="E41" s="12">
        <f t="shared" si="8"/>
        <v>3241.9900000000007</v>
      </c>
      <c r="F41" s="12">
        <f t="shared" si="8"/>
        <v>3731.29</v>
      </c>
      <c r="G41" s="12">
        <f t="shared" si="8"/>
        <v>2866.55</v>
      </c>
      <c r="H41" s="12">
        <f t="shared" si="8"/>
        <v>3554.75</v>
      </c>
      <c r="I41" s="12">
        <f t="shared" si="8"/>
        <v>3118.25</v>
      </c>
      <c r="J41" s="12">
        <f t="shared" si="8"/>
        <v>3797.8500000000004</v>
      </c>
      <c r="K41" s="12">
        <f t="shared" si="8"/>
        <v>4719.55</v>
      </c>
      <c r="L41" s="12">
        <f t="shared" si="8"/>
        <v>10222.450000000001</v>
      </c>
      <c r="M41" s="12">
        <f t="shared" si="8"/>
        <v>14763.6</v>
      </c>
      <c r="N41" s="12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cp:lastPrinted>2016-01-21T01:27:02Z</cp:lastPrinted>
  <dcterms:created xsi:type="dcterms:W3CDTF">2016-01-21T01:00:24Z</dcterms:created>
  <dcterms:modified xsi:type="dcterms:W3CDTF">2016-01-24T21:58:19Z</dcterms:modified>
</cp:coreProperties>
</file>