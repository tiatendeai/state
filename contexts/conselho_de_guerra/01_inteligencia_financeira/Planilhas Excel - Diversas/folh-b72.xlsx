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d9\AC\Temp\"/>
    </mc:Choice>
  </mc:AlternateContent>
  <bookViews>
    <workbookView xWindow="-600" yWindow="120" windowWidth="9405" windowHeight="4605" tabRatio="601" xr2:uid="{00000000-000D-0000-FFFF-FFFF00000000}"/>
  </bookViews>
  <sheets>
    <sheet name="Problema" sheetId="23" r:id="rId1"/>
    <sheet name="Solução" sheetId="20" r:id="rId2"/>
  </sheets>
  <definedNames>
    <definedName name="MVA">#REF!</definedName>
    <definedName name="VPV">#REF!</definedName>
    <definedName name="VV">#REF!</definedName>
  </definedNames>
  <calcPr calcId="171026"/>
</workbook>
</file>

<file path=xl/calcChain.xml><?xml version="1.0" encoding="utf-8"?>
<calcChain xmlns="http://schemas.openxmlformats.org/spreadsheetml/2006/main">
  <c r="K9" i="20" l="1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W38" i="20"/>
  <c r="W39" i="20"/>
  <c r="K24" i="20"/>
  <c r="K4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K25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W44" i="20"/>
  <c r="W45" i="20"/>
  <c r="W46" i="20"/>
  <c r="W47" i="20"/>
  <c r="W43" i="20"/>
  <c r="W49" i="20"/>
  <c r="W50" i="20"/>
  <c r="W51" i="20"/>
  <c r="W48" i="20"/>
  <c r="W5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K59" i="20"/>
  <c r="W59" i="20"/>
  <c r="K60" i="20"/>
  <c r="W60" i="20"/>
  <c r="K61" i="20"/>
  <c r="W61" i="20"/>
  <c r="K62" i="20"/>
  <c r="W62" i="20"/>
  <c r="K63" i="20"/>
  <c r="W63" i="20"/>
  <c r="W65" i="20"/>
  <c r="X65" i="20"/>
  <c r="X63" i="20"/>
  <c r="X62" i="20"/>
  <c r="X61" i="20"/>
  <c r="X60" i="20"/>
  <c r="X59" i="20"/>
  <c r="X53" i="20"/>
  <c r="X52" i="20"/>
  <c r="X51" i="20"/>
  <c r="X50" i="20"/>
  <c r="X49" i="20"/>
  <c r="X48" i="20"/>
  <c r="X47" i="20"/>
  <c r="X46" i="20"/>
  <c r="X45" i="20"/>
  <c r="X44" i="20"/>
  <c r="X43" i="20"/>
  <c r="X42" i="20"/>
  <c r="X41" i="20"/>
  <c r="X40" i="20"/>
  <c r="X39" i="20"/>
  <c r="X38" i="20"/>
  <c r="X37" i="20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M34" i="20"/>
  <c r="N34" i="20"/>
  <c r="O34" i="20"/>
  <c r="P34" i="20"/>
  <c r="Q34" i="20"/>
  <c r="R34" i="20"/>
  <c r="S34" i="20"/>
  <c r="T34" i="20"/>
  <c r="U34" i="20"/>
  <c r="V34" i="20"/>
  <c r="W34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K11" i="20"/>
  <c r="M11" i="20"/>
  <c r="K12" i="20"/>
  <c r="M12" i="20"/>
  <c r="K10" i="20"/>
  <c r="M10" i="20"/>
  <c r="K6" i="20"/>
  <c r="M6" i="20"/>
  <c r="K7" i="20"/>
  <c r="M7" i="20"/>
  <c r="K5" i="20"/>
  <c r="M5" i="20"/>
  <c r="V38" i="20"/>
  <c r="V39" i="20"/>
  <c r="V44" i="20"/>
  <c r="V45" i="20"/>
  <c r="V46" i="20"/>
  <c r="V47" i="20"/>
  <c r="V43" i="20"/>
  <c r="V49" i="20"/>
  <c r="V50" i="20"/>
  <c r="V51" i="20"/>
  <c r="V48" i="20"/>
  <c r="V53" i="20"/>
  <c r="U38" i="20"/>
  <c r="U39" i="20"/>
  <c r="U44" i="20"/>
  <c r="U45" i="20"/>
  <c r="U46" i="20"/>
  <c r="U47" i="20"/>
  <c r="U43" i="20"/>
  <c r="U49" i="20"/>
  <c r="U50" i="20"/>
  <c r="U51" i="20"/>
  <c r="U48" i="20"/>
  <c r="U53" i="20"/>
  <c r="T38" i="20"/>
  <c r="T39" i="20"/>
  <c r="T44" i="20"/>
  <c r="T45" i="20"/>
  <c r="T46" i="20"/>
  <c r="T47" i="20"/>
  <c r="T43" i="20"/>
  <c r="T49" i="20"/>
  <c r="T50" i="20"/>
  <c r="T51" i="20"/>
  <c r="T48" i="20"/>
  <c r="T53" i="20"/>
  <c r="S38" i="20"/>
  <c r="S39" i="20"/>
  <c r="S44" i="20"/>
  <c r="S45" i="20"/>
  <c r="S46" i="20"/>
  <c r="S47" i="20"/>
  <c r="S43" i="20"/>
  <c r="S49" i="20"/>
  <c r="S50" i="20"/>
  <c r="S51" i="20"/>
  <c r="S48" i="20"/>
  <c r="S53" i="20"/>
  <c r="R38" i="20"/>
  <c r="R39" i="20"/>
  <c r="R44" i="20"/>
  <c r="R45" i="20"/>
  <c r="R46" i="20"/>
  <c r="R47" i="20"/>
  <c r="R43" i="20"/>
  <c r="R49" i="20"/>
  <c r="R50" i="20"/>
  <c r="R51" i="20"/>
  <c r="R48" i="20"/>
  <c r="R53" i="20"/>
  <c r="Q38" i="20"/>
  <c r="Q39" i="20"/>
  <c r="Q44" i="20"/>
  <c r="Q45" i="20"/>
  <c r="Q46" i="20"/>
  <c r="Q47" i="20"/>
  <c r="Q43" i="20"/>
  <c r="Q49" i="20"/>
  <c r="Q50" i="20"/>
  <c r="Q51" i="20"/>
  <c r="Q48" i="20"/>
  <c r="Q53" i="20"/>
  <c r="P38" i="20"/>
  <c r="P39" i="20"/>
  <c r="P44" i="20"/>
  <c r="P45" i="20"/>
  <c r="P46" i="20"/>
  <c r="P47" i="20"/>
  <c r="P43" i="20"/>
  <c r="P49" i="20"/>
  <c r="P50" i="20"/>
  <c r="P51" i="20"/>
  <c r="P48" i="20"/>
  <c r="P53" i="20"/>
  <c r="O38" i="20"/>
  <c r="O39" i="20"/>
  <c r="O44" i="20"/>
  <c r="O45" i="20"/>
  <c r="O46" i="20"/>
  <c r="O47" i="20"/>
  <c r="O43" i="20"/>
  <c r="O49" i="20"/>
  <c r="O50" i="20"/>
  <c r="O51" i="20"/>
  <c r="O48" i="20"/>
  <c r="O53" i="20"/>
  <c r="N38" i="20"/>
  <c r="N39" i="20"/>
  <c r="N44" i="20"/>
  <c r="N45" i="20"/>
  <c r="N46" i="20"/>
  <c r="N47" i="20"/>
  <c r="N43" i="20"/>
  <c r="N49" i="20"/>
  <c r="N50" i="20"/>
  <c r="N51" i="20"/>
  <c r="N48" i="20"/>
  <c r="N53" i="20"/>
  <c r="M38" i="20"/>
  <c r="M39" i="20"/>
  <c r="M44" i="20"/>
  <c r="M45" i="20"/>
  <c r="M46" i="20"/>
  <c r="M47" i="20"/>
  <c r="M43" i="20"/>
  <c r="M49" i="20"/>
  <c r="M50" i="20"/>
  <c r="M51" i="20"/>
  <c r="M48" i="20"/>
  <c r="M53" i="20"/>
  <c r="L38" i="20"/>
  <c r="L39" i="20"/>
  <c r="L44" i="20"/>
  <c r="L45" i="20"/>
  <c r="L46" i="20"/>
  <c r="L47" i="20"/>
  <c r="L43" i="20"/>
  <c r="L49" i="20"/>
  <c r="L50" i="20"/>
  <c r="L51" i="20"/>
  <c r="L48" i="20"/>
  <c r="L53" i="20"/>
  <c r="K38" i="20"/>
  <c r="K39" i="20"/>
  <c r="K44" i="20"/>
  <c r="K45" i="20"/>
  <c r="K46" i="20"/>
  <c r="K47" i="20"/>
  <c r="K43" i="20"/>
  <c r="K49" i="20"/>
  <c r="K50" i="20"/>
  <c r="K51" i="20"/>
  <c r="K48" i="20"/>
  <c r="K53" i="20"/>
  <c r="V63" i="20"/>
  <c r="U63" i="20"/>
  <c r="T63" i="20"/>
  <c r="S63" i="20"/>
  <c r="R63" i="20"/>
  <c r="Q63" i="20"/>
  <c r="P63" i="20"/>
  <c r="O63" i="20"/>
  <c r="N63" i="20"/>
  <c r="M63" i="20"/>
  <c r="L63" i="20"/>
  <c r="V62" i="20"/>
  <c r="U62" i="20"/>
  <c r="T62" i="20"/>
  <c r="S62" i="20"/>
  <c r="R62" i="20"/>
  <c r="Q62" i="20"/>
  <c r="P62" i="20"/>
  <c r="O62" i="20"/>
  <c r="N62" i="20"/>
  <c r="M62" i="20"/>
  <c r="L62" i="20"/>
  <c r="V61" i="20"/>
  <c r="U61" i="20"/>
  <c r="T61" i="20"/>
  <c r="S61" i="20"/>
  <c r="R61" i="20"/>
  <c r="Q61" i="20"/>
  <c r="P61" i="20"/>
  <c r="O61" i="20"/>
  <c r="N61" i="20"/>
  <c r="M61" i="20"/>
  <c r="L61" i="20"/>
  <c r="V60" i="20"/>
  <c r="U60" i="20"/>
  <c r="T60" i="20"/>
  <c r="S60" i="20"/>
  <c r="R60" i="20"/>
  <c r="Q60" i="20"/>
  <c r="P60" i="20"/>
  <c r="O60" i="20"/>
  <c r="N60" i="20"/>
  <c r="M60" i="20"/>
  <c r="L60" i="20"/>
  <c r="V59" i="20"/>
  <c r="U59" i="20"/>
  <c r="T59" i="20"/>
  <c r="S59" i="20"/>
  <c r="R59" i="20"/>
  <c r="Q59" i="20"/>
  <c r="P59" i="20"/>
  <c r="O59" i="20"/>
  <c r="N59" i="20"/>
  <c r="M59" i="20"/>
  <c r="L59" i="20"/>
  <c r="K17" i="20"/>
  <c r="K16" i="20"/>
  <c r="K15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V65" i="20"/>
  <c r="U65" i="20"/>
  <c r="T65" i="20"/>
  <c r="S65" i="20"/>
  <c r="R65" i="20"/>
  <c r="Q65" i="20"/>
  <c r="P65" i="20"/>
  <c r="O65" i="20"/>
  <c r="N65" i="20"/>
  <c r="M65" i="20"/>
  <c r="L65" i="20"/>
</calcChain>
</file>

<file path=xl/sharedStrings.xml><?xml version="1.0" encoding="utf-8"?>
<sst xmlns="http://schemas.openxmlformats.org/spreadsheetml/2006/main" count="153" uniqueCount="79">
  <si>
    <t>Departamento</t>
  </si>
  <si>
    <t>Nome</t>
  </si>
  <si>
    <t>Admissão</t>
  </si>
  <si>
    <t>1.01</t>
  </si>
  <si>
    <t>1.02</t>
  </si>
  <si>
    <t>1.03</t>
  </si>
  <si>
    <t>2.01</t>
  </si>
  <si>
    <t>2.02</t>
  </si>
  <si>
    <t>2.03</t>
  </si>
  <si>
    <t>3.01</t>
  </si>
  <si>
    <t>3.02</t>
  </si>
  <si>
    <t>3.03</t>
  </si>
  <si>
    <t>Prod. P. A</t>
  </si>
  <si>
    <t>Prod. P. B</t>
  </si>
  <si>
    <t>Prod. Comum</t>
  </si>
  <si>
    <t>Comercial Norte</t>
  </si>
  <si>
    <t>Comercial Sul</t>
  </si>
  <si>
    <t>Comercial Centro</t>
  </si>
  <si>
    <t>Adm. Geral</t>
  </si>
  <si>
    <t>Adm. Financeira</t>
  </si>
  <si>
    <t>Presidência</t>
  </si>
  <si>
    <t>João Gilberto da Silva</t>
  </si>
  <si>
    <t>José Moraes Moreira</t>
  </si>
  <si>
    <t>João Bosco</t>
  </si>
  <si>
    <t>Ângela Maria da Silva</t>
  </si>
  <si>
    <t>Agnaldo Timóteo de Souza</t>
  </si>
  <si>
    <t>Celi Campelo de Arruda</t>
  </si>
  <si>
    <t>Nora Nei Gonçalves Dias</t>
  </si>
  <si>
    <t>Lupicínio Rodrigues de Azevedo</t>
  </si>
  <si>
    <t>Ataulfo Alves e Alves</t>
  </si>
  <si>
    <t>Noel Rosa e Silva</t>
  </si>
  <si>
    <t>Caetano Veloso Marques</t>
  </si>
  <si>
    <t>Adoniran Barbosa Lima</t>
  </si>
  <si>
    <t>Francisco Buarque de Belgrado</t>
  </si>
  <si>
    <t>Roberto Carlos do Espírito Santo</t>
  </si>
  <si>
    <t>Salário</t>
  </si>
  <si>
    <t>INSS</t>
  </si>
  <si>
    <t>FGTS</t>
  </si>
  <si>
    <t>Encargos</t>
  </si>
  <si>
    <t>Benefícios</t>
  </si>
  <si>
    <t>Vale Transporte</t>
  </si>
  <si>
    <t>Vale Refeição</t>
  </si>
  <si>
    <t>Assistencia Médica</t>
  </si>
  <si>
    <t>Quantidade de Funcionários</t>
  </si>
  <si>
    <t>Assistência Médica</t>
  </si>
  <si>
    <t>CodFunc</t>
  </si>
  <si>
    <t>Provisão de Férias</t>
  </si>
  <si>
    <t>13º Salário</t>
  </si>
  <si>
    <t>Total despesas de Pessoal</t>
  </si>
  <si>
    <t>AreaAux.</t>
  </si>
  <si>
    <t>Area</t>
  </si>
  <si>
    <t>1.00</t>
  </si>
  <si>
    <t>2.00</t>
  </si>
  <si>
    <t>3.00</t>
  </si>
  <si>
    <t>4.00</t>
  </si>
  <si>
    <t>5.00</t>
  </si>
  <si>
    <t>Participação</t>
  </si>
  <si>
    <t>DESPESA de PESSOAL por AREA</t>
  </si>
  <si>
    <t>Custo/Func.</t>
  </si>
  <si>
    <t>Administração</t>
  </si>
  <si>
    <t>Produção</t>
  </si>
  <si>
    <t>Comercial</t>
  </si>
  <si>
    <t>Salário Máximo</t>
  </si>
  <si>
    <t>Salário Mínimo</t>
  </si>
  <si>
    <t>Salário Médio</t>
  </si>
  <si>
    <t>Área</t>
  </si>
  <si>
    <t xml:space="preserve">Como calcular e administrar a folha de pagamento </t>
  </si>
  <si>
    <t>RELATÓRIO  GERAL DE FOLHA DE PAGAMENTO</t>
  </si>
  <si>
    <t>1/3 de Férias</t>
  </si>
  <si>
    <t>FGTS s/ Férias</t>
  </si>
  <si>
    <t>INSS s/ Férias</t>
  </si>
  <si>
    <t>Férias</t>
  </si>
  <si>
    <t>FGTS s/ 13º</t>
  </si>
  <si>
    <t>INSS s/ 13º</t>
  </si>
  <si>
    <t>Provisão de 13º Salário</t>
  </si>
  <si>
    <t>Part. %</t>
  </si>
  <si>
    <t>Variação de Salário -=&gt;</t>
  </si>
  <si>
    <t>Total Folha de Pagamento (Base)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</si>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</sst>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&quot;R$&quot;* #,##0.00_);_(&quot;R$&quot;* \(#,##0.00\);_(&quot;R$&quot;* &quot;-&quot;??_);_(@_)"/>
    <numFmt numFmtId="166" formatCode="0.0%"/>
    <numFmt numFmtId="167" formatCode="[$$-409]#,##0_);[Red]\([$$-409]#,##0\)"/>
    <numFmt numFmtId="168" formatCode="[$$-409]#,##0.00_);[Red]\([$$-409]#,##0.00\)"/>
    <numFmt numFmtId="169" formatCode="&quot;R$ &quot;#,##0.00"/>
  </numFmts>
  <fonts count="14" x14ac:knownFonts="1">
    <font>
      <sz val="10"/>
      <name val="Arial"/>
    </font>
    <font>
      <sz val="10"/>
      <name val="Arial"/>
    </font>
    <font>
      <sz val="18"/>
      <color indexed="8"/>
      <name val="Georgia"/>
      <family val="1"/>
    </font>
    <font>
      <b/>
      <sz val="10"/>
      <color indexed="18"/>
      <name val="Georgia"/>
      <family val="1"/>
    </font>
    <font>
      <b/>
      <sz val="11"/>
      <name val="Arial"/>
      <family val="2"/>
    </font>
    <font>
      <b/>
      <sz val="9"/>
      <color indexed="8"/>
      <name val="Georgia"/>
      <family val="1"/>
    </font>
    <font>
      <sz val="8"/>
      <name val="Georgia"/>
      <family val="1"/>
    </font>
    <font>
      <b/>
      <sz val="8"/>
      <name val="Georgia"/>
      <family val="1"/>
    </font>
    <font>
      <b/>
      <sz val="8"/>
      <color indexed="12"/>
      <name val="Georgia"/>
      <family val="1"/>
    </font>
    <font>
      <b/>
      <i/>
      <sz val="8"/>
      <name val="Georgia"/>
      <family val="1"/>
    </font>
    <font>
      <b/>
      <sz val="8"/>
      <color indexed="9"/>
      <name val="Georgia"/>
      <family val="1"/>
    </font>
    <font>
      <b/>
      <u/>
      <sz val="8"/>
      <name val="Georgia"/>
      <family val="1"/>
    </font>
    <font>
      <sz val="8"/>
      <name val="Arial"/>
    </font>
    <font>
      <sz val="8"/>
      <color indexed="12"/>
      <name val="Georgia"/>
      <family val="1"/>
    </font>
  </fonts>
  <fills count="7">
    <fill>
      <patternFill patternType="none"/>
    </fill>
    <fill>
      <patternFill patternType="gray125"/>
    </fill>
    <fill>
      <patternFill patternType="lightGray">
        <fgColor indexed="26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lightGray">
        <fgColor indexed="26"/>
        <bgColor indexed="9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57"/>
      </bottom>
      <diagonal/>
    </border>
    <border>
      <left style="thin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 style="dashed">
        <color indexed="55"/>
      </left>
      <right style="dashed">
        <color indexed="55"/>
      </right>
      <top/>
      <bottom style="dashed">
        <color indexed="55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medium">
        <color indexed="63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57"/>
      </left>
      <right/>
      <top style="medium">
        <color indexed="57"/>
      </top>
      <bottom/>
      <diagonal/>
    </border>
    <border>
      <left/>
      <right/>
      <top style="medium">
        <color indexed="57"/>
      </top>
      <bottom style="thin">
        <color indexed="64"/>
      </bottom>
      <diagonal/>
    </border>
    <border>
      <left/>
      <right style="medium">
        <color indexed="57"/>
      </right>
      <top style="medium">
        <color indexed="57"/>
      </top>
      <bottom style="thin">
        <color indexed="64"/>
      </bottom>
      <diagonal/>
    </border>
    <border>
      <left style="medium">
        <color indexed="57"/>
      </left>
      <right/>
      <top/>
      <bottom/>
      <diagonal/>
    </border>
    <border>
      <left/>
      <right style="medium">
        <color indexed="57"/>
      </right>
      <top/>
      <bottom/>
      <diagonal/>
    </border>
    <border>
      <left style="medium">
        <color indexed="57"/>
      </left>
      <right style="thin">
        <color indexed="57"/>
      </right>
      <top style="thin">
        <color indexed="57"/>
      </top>
      <bottom style="medium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medium">
        <color indexed="57"/>
      </bottom>
      <diagonal/>
    </border>
    <border>
      <left style="thin">
        <color indexed="57"/>
      </left>
      <right style="medium">
        <color indexed="57"/>
      </right>
      <top style="thin">
        <color indexed="57"/>
      </top>
      <bottom style="medium">
        <color indexed="57"/>
      </bottom>
      <diagonal/>
    </border>
    <border>
      <left style="medium">
        <color indexed="57"/>
      </left>
      <right style="dashed">
        <color indexed="55"/>
      </right>
      <top style="medium">
        <color indexed="57"/>
      </top>
      <bottom style="dashed">
        <color indexed="55"/>
      </bottom>
      <diagonal/>
    </border>
    <border>
      <left style="dashed">
        <color indexed="55"/>
      </left>
      <right style="dashed">
        <color indexed="55"/>
      </right>
      <top style="medium">
        <color indexed="57"/>
      </top>
      <bottom style="dashed">
        <color indexed="55"/>
      </bottom>
      <diagonal/>
    </border>
    <border>
      <left style="dashed">
        <color indexed="55"/>
      </left>
      <right style="medium">
        <color indexed="57"/>
      </right>
      <top style="medium">
        <color indexed="57"/>
      </top>
      <bottom style="dashed">
        <color indexed="55"/>
      </bottom>
      <diagonal/>
    </border>
    <border>
      <left style="medium">
        <color indexed="57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 style="dashed">
        <color indexed="55"/>
      </left>
      <right style="medium">
        <color indexed="57"/>
      </right>
      <top style="dashed">
        <color indexed="55"/>
      </top>
      <bottom style="dashed">
        <color indexed="55"/>
      </bottom>
      <diagonal/>
    </border>
    <border>
      <left style="dashed">
        <color indexed="55"/>
      </left>
      <right style="medium">
        <color indexed="57"/>
      </right>
      <top style="dashed">
        <color indexed="55"/>
      </top>
      <bottom style="medium">
        <color indexed="63"/>
      </bottom>
      <diagonal/>
    </border>
    <border>
      <left style="dashed">
        <color indexed="55"/>
      </left>
      <right style="medium">
        <color indexed="57"/>
      </right>
      <top/>
      <bottom style="dashed">
        <color indexed="55"/>
      </bottom>
      <diagonal/>
    </border>
    <border>
      <left style="dashed">
        <color indexed="55"/>
      </left>
      <right style="medium">
        <color indexed="57"/>
      </right>
      <top style="dashed">
        <color indexed="55"/>
      </top>
      <bottom style="medium">
        <color indexed="64"/>
      </bottom>
      <diagonal/>
    </border>
    <border>
      <left style="medium">
        <color indexed="57"/>
      </left>
      <right style="dashed">
        <color indexed="55"/>
      </right>
      <top style="dashed">
        <color indexed="55"/>
      </top>
      <bottom style="medium">
        <color indexed="57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medium">
        <color indexed="57"/>
      </bottom>
      <diagonal/>
    </border>
    <border>
      <left style="dashed">
        <color indexed="55"/>
      </left>
      <right style="medium">
        <color indexed="57"/>
      </right>
      <top style="dashed">
        <color indexed="55"/>
      </top>
      <bottom style="medium">
        <color indexed="57"/>
      </bottom>
      <diagonal/>
    </border>
    <border>
      <left style="thin">
        <color indexed="57"/>
      </left>
      <right/>
      <top style="thin">
        <color indexed="57"/>
      </top>
      <bottom style="medium">
        <color indexed="57"/>
      </bottom>
      <diagonal/>
    </border>
    <border>
      <left/>
      <right/>
      <top style="thin">
        <color indexed="57"/>
      </top>
      <bottom style="medium">
        <color indexed="57"/>
      </bottom>
      <diagonal/>
    </border>
    <border>
      <left/>
      <right style="thin">
        <color indexed="57"/>
      </right>
      <top style="thin">
        <color indexed="57"/>
      </top>
      <bottom style="medium">
        <color indexed="57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3" borderId="0" xfId="0" applyFill="1"/>
    <xf numFmtId="0" fontId="4" fillId="3" borderId="0" xfId="0" applyFont="1" applyFill="1" applyAlignment="1">
      <alignment horizontal="right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Fill="1"/>
    <xf numFmtId="169" fontId="6" fillId="0" borderId="0" xfId="0" applyNumberFormat="1" applyFont="1" applyFill="1"/>
    <xf numFmtId="0" fontId="6" fillId="4" borderId="3" xfId="0" applyFont="1" applyFill="1" applyBorder="1"/>
    <xf numFmtId="0" fontId="7" fillId="4" borderId="4" xfId="0" applyFont="1" applyFill="1" applyBorder="1"/>
    <xf numFmtId="169" fontId="7" fillId="4" borderId="0" xfId="0" applyNumberFormat="1" applyFont="1" applyFill="1" applyBorder="1"/>
    <xf numFmtId="0" fontId="7" fillId="0" borderId="0" xfId="0" applyFont="1" applyFill="1"/>
    <xf numFmtId="0" fontId="6" fillId="0" borderId="4" xfId="0" applyFont="1" applyBorder="1"/>
    <xf numFmtId="0" fontId="6" fillId="0" borderId="3" xfId="0" applyFont="1" applyBorder="1"/>
    <xf numFmtId="0" fontId="7" fillId="0" borderId="0" xfId="0" applyFont="1" applyFill="1" applyBorder="1"/>
    <xf numFmtId="0" fontId="6" fillId="0" borderId="0" xfId="0" applyFont="1" applyBorder="1"/>
    <xf numFmtId="0" fontId="7" fillId="0" borderId="5" xfId="0" applyFont="1" applyFill="1" applyBorder="1"/>
    <xf numFmtId="15" fontId="7" fillId="0" borderId="6" xfId="0" applyNumberFormat="1" applyFont="1" applyBorder="1" applyAlignment="1">
      <alignment horizontal="center"/>
    </xf>
    <xf numFmtId="15" fontId="7" fillId="0" borderId="7" xfId="0" applyNumberFormat="1" applyFont="1" applyBorder="1" applyAlignment="1">
      <alignment horizontal="center"/>
    </xf>
    <xf numFmtId="0" fontId="6" fillId="0" borderId="0" xfId="0" applyFont="1" applyFill="1" applyBorder="1"/>
    <xf numFmtId="164" fontId="6" fillId="0" borderId="0" xfId="3" applyFont="1"/>
    <xf numFmtId="0" fontId="9" fillId="0" borderId="0" xfId="0" applyFont="1"/>
    <xf numFmtId="0" fontId="7" fillId="0" borderId="0" xfId="0" applyFont="1"/>
    <xf numFmtId="15" fontId="7" fillId="0" borderId="0" xfId="0" applyNumberFormat="1" applyFont="1"/>
    <xf numFmtId="0" fontId="6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7" fillId="4" borderId="3" xfId="0" applyFont="1" applyFill="1" applyBorder="1"/>
    <xf numFmtId="0" fontId="7" fillId="0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0" borderId="4" xfId="0" applyFont="1" applyBorder="1" applyAlignment="1">
      <alignment horizontal="left" indent="2"/>
    </xf>
    <xf numFmtId="0" fontId="6" fillId="4" borderId="4" xfId="0" applyFont="1" applyFill="1" applyBorder="1" applyAlignment="1">
      <alignment horizontal="left" indent="2"/>
    </xf>
    <xf numFmtId="0" fontId="11" fillId="4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0" xfId="0" applyFont="1" applyBorder="1"/>
    <xf numFmtId="168" fontId="6" fillId="0" borderId="8" xfId="0" applyNumberFormat="1" applyFont="1" applyFill="1" applyBorder="1" applyProtection="1">
      <protection locked="0"/>
    </xf>
    <xf numFmtId="168" fontId="6" fillId="0" borderId="8" xfId="0" applyNumberFormat="1" applyFont="1" applyFill="1" applyBorder="1" applyAlignment="1" applyProtection="1">
      <alignment horizontal="right"/>
    </xf>
    <xf numFmtId="168" fontId="6" fillId="0" borderId="8" xfId="0" applyNumberFormat="1" applyFont="1" applyFill="1" applyBorder="1"/>
    <xf numFmtId="0" fontId="7" fillId="0" borderId="8" xfId="0" applyFont="1" applyFill="1" applyBorder="1" applyAlignment="1" applyProtection="1">
      <alignment horizontal="fill"/>
    </xf>
    <xf numFmtId="167" fontId="6" fillId="0" borderId="8" xfId="0" applyNumberFormat="1" applyFont="1" applyFill="1" applyBorder="1" applyProtection="1"/>
    <xf numFmtId="168" fontId="6" fillId="0" borderId="9" xfId="0" applyNumberFormat="1" applyFont="1" applyFill="1" applyBorder="1"/>
    <xf numFmtId="168" fontId="6" fillId="0" borderId="10" xfId="0" applyNumberFormat="1" applyFont="1" applyFill="1" applyBorder="1" applyAlignment="1" applyProtection="1">
      <alignment horizontal="right"/>
    </xf>
    <xf numFmtId="168" fontId="6" fillId="0" borderId="11" xfId="0" applyNumberFormat="1" applyFont="1" applyFill="1" applyBorder="1"/>
    <xf numFmtId="0" fontId="11" fillId="4" borderId="0" xfId="0" applyFont="1" applyFill="1" applyBorder="1" applyAlignment="1">
      <alignment horizontal="center"/>
    </xf>
    <xf numFmtId="0" fontId="6" fillId="4" borderId="0" xfId="0" applyFont="1" applyFill="1" applyBorder="1"/>
    <xf numFmtId="0" fontId="7" fillId="4" borderId="0" xfId="0" applyFont="1" applyFill="1" applyBorder="1"/>
    <xf numFmtId="0" fontId="7" fillId="0" borderId="12" xfId="0" applyFont="1" applyBorder="1" applyAlignment="1"/>
    <xf numFmtId="0" fontId="7" fillId="0" borderId="13" xfId="0" applyFont="1" applyBorder="1" applyAlignment="1"/>
    <xf numFmtId="0" fontId="7" fillId="0" borderId="14" xfId="0" applyFont="1" applyBorder="1" applyAlignment="1"/>
    <xf numFmtId="166" fontId="6" fillId="0" borderId="3" xfId="2" applyNumberFormat="1" applyFont="1" applyBorder="1" applyAlignment="1">
      <alignment horizontal="center"/>
    </xf>
    <xf numFmtId="166" fontId="6" fillId="4" borderId="3" xfId="2" applyNumberFormat="1" applyFont="1" applyFill="1" applyBorder="1" applyAlignment="1">
      <alignment horizontal="center"/>
    </xf>
    <xf numFmtId="165" fontId="6" fillId="4" borderId="0" xfId="1" applyFont="1" applyFill="1" applyBorder="1" applyAlignment="1">
      <alignment horizontal="center"/>
    </xf>
    <xf numFmtId="165" fontId="6" fillId="3" borderId="0" xfId="1" applyFont="1" applyFill="1" applyBorder="1" applyAlignment="1">
      <alignment horizontal="center"/>
    </xf>
    <xf numFmtId="169" fontId="7" fillId="4" borderId="15" xfId="0" applyNumberFormat="1" applyFont="1" applyFill="1" applyBorder="1"/>
    <xf numFmtId="0" fontId="11" fillId="4" borderId="4" xfId="0" applyFont="1" applyFill="1" applyBorder="1"/>
    <xf numFmtId="0" fontId="11" fillId="4" borderId="4" xfId="0" applyFont="1" applyFill="1" applyBorder="1" applyAlignment="1">
      <alignment horizontal="left"/>
    </xf>
    <xf numFmtId="0" fontId="11" fillId="0" borderId="4" xfId="0" applyFont="1" applyFill="1" applyBorder="1"/>
    <xf numFmtId="0" fontId="7" fillId="0" borderId="0" xfId="0" applyFont="1" applyAlignment="1">
      <alignment horizontal="right"/>
    </xf>
    <xf numFmtId="0" fontId="6" fillId="5" borderId="16" xfId="0" applyFont="1" applyFill="1" applyBorder="1"/>
    <xf numFmtId="0" fontId="7" fillId="5" borderId="17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15" fontId="7" fillId="5" borderId="0" xfId="0" applyNumberFormat="1" applyFont="1" applyFill="1" applyBorder="1" applyAlignment="1">
      <alignment horizontal="center"/>
    </xf>
    <xf numFmtId="15" fontId="7" fillId="5" borderId="20" xfId="0" applyNumberFormat="1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10" fontId="8" fillId="5" borderId="22" xfId="0" applyNumberFormat="1" applyFont="1" applyFill="1" applyBorder="1" applyProtection="1">
      <protection locked="0"/>
    </xf>
    <xf numFmtId="10" fontId="8" fillId="5" borderId="23" xfId="0" applyNumberFormat="1" applyFont="1" applyFill="1" applyBorder="1" applyProtection="1">
      <protection locked="0"/>
    </xf>
    <xf numFmtId="0" fontId="7" fillId="4" borderId="22" xfId="0" applyFont="1" applyFill="1" applyBorder="1" applyAlignment="1" applyProtection="1">
      <alignment horizontal="fill"/>
    </xf>
    <xf numFmtId="0" fontId="7" fillId="0" borderId="24" xfId="0" applyFont="1" applyBorder="1" applyAlignment="1">
      <alignment horizontal="left"/>
    </xf>
    <xf numFmtId="168" fontId="6" fillId="0" borderId="25" xfId="0" applyNumberFormat="1" applyFont="1" applyFill="1" applyBorder="1" applyProtection="1">
      <protection locked="0"/>
    </xf>
    <xf numFmtId="168" fontId="6" fillId="0" borderId="25" xfId="0" applyNumberFormat="1" applyFont="1" applyFill="1" applyBorder="1" applyProtection="1"/>
    <xf numFmtId="168" fontId="6" fillId="0" borderId="26" xfId="0" applyNumberFormat="1" applyFont="1" applyFill="1" applyBorder="1" applyProtection="1"/>
    <xf numFmtId="0" fontId="7" fillId="0" borderId="27" xfId="0" applyFont="1" applyFill="1" applyBorder="1"/>
    <xf numFmtId="168" fontId="6" fillId="0" borderId="28" xfId="0" applyNumberFormat="1" applyFont="1" applyFill="1" applyBorder="1" applyProtection="1">
      <protection locked="0"/>
    </xf>
    <xf numFmtId="168" fontId="6" fillId="0" borderId="28" xfId="0" applyNumberFormat="1" applyFont="1" applyFill="1" applyBorder="1" applyAlignment="1" applyProtection="1">
      <alignment horizontal="right"/>
    </xf>
    <xf numFmtId="168" fontId="6" fillId="0" borderId="29" xfId="0" applyNumberFormat="1" applyFont="1" applyFill="1" applyBorder="1" applyAlignment="1" applyProtection="1">
      <alignment horizontal="right"/>
    </xf>
    <xf numFmtId="0" fontId="7" fillId="0" borderId="27" xfId="0" applyFont="1" applyFill="1" applyBorder="1" applyAlignment="1">
      <alignment horizontal="left" indent="2"/>
    </xf>
    <xf numFmtId="168" fontId="6" fillId="0" borderId="30" xfId="0" applyNumberFormat="1" applyFont="1" applyFill="1" applyBorder="1"/>
    <xf numFmtId="168" fontId="6" fillId="0" borderId="28" xfId="0" applyNumberFormat="1" applyFont="1" applyFill="1" applyBorder="1"/>
    <xf numFmtId="168" fontId="6" fillId="0" borderId="31" xfId="0" applyNumberFormat="1" applyFont="1" applyFill="1" applyBorder="1"/>
    <xf numFmtId="0" fontId="6" fillId="0" borderId="27" xfId="0" applyFont="1" applyFill="1" applyBorder="1"/>
    <xf numFmtId="167" fontId="6" fillId="0" borderId="28" xfId="0" applyNumberFormat="1" applyFont="1" applyFill="1" applyBorder="1" applyProtection="1"/>
    <xf numFmtId="0" fontId="7" fillId="6" borderId="32" xfId="0" applyFont="1" applyFill="1" applyBorder="1"/>
    <xf numFmtId="168" fontId="6" fillId="6" borderId="33" xfId="0" applyNumberFormat="1" applyFont="1" applyFill="1" applyBorder="1"/>
    <xf numFmtId="168" fontId="6" fillId="6" borderId="34" xfId="0" applyNumberFormat="1" applyFont="1" applyFill="1" applyBorder="1"/>
    <xf numFmtId="0" fontId="10" fillId="0" borderId="0" xfId="0" applyFont="1" applyFill="1" applyAlignment="1">
      <alignment horizontal="center"/>
    </xf>
    <xf numFmtId="0" fontId="7" fillId="0" borderId="35" xfId="0" applyFont="1" applyFill="1" applyBorder="1" applyAlignment="1">
      <alignment horizontal="center"/>
    </xf>
    <xf numFmtId="0" fontId="7" fillId="0" borderId="36" xfId="0" applyFont="1" applyFill="1" applyBorder="1" applyAlignment="1">
      <alignment horizontal="center"/>
    </xf>
    <xf numFmtId="0" fontId="7" fillId="0" borderId="37" xfId="0" applyFont="1" applyFill="1" applyBorder="1" applyAlignment="1">
      <alignment horizontal="center"/>
    </xf>
    <xf numFmtId="169" fontId="8" fillId="4" borderId="0" xfId="0" applyNumberFormat="1" applyFont="1" applyFill="1" applyBorder="1"/>
    <xf numFmtId="166" fontId="8" fillId="4" borderId="0" xfId="0" applyNumberFormat="1" applyFont="1" applyFill="1" applyBorder="1"/>
    <xf numFmtId="0" fontId="13" fillId="0" borderId="0" xfId="0" applyFont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Fill="1"/>
    <xf numFmtId="14" fontId="13" fillId="0" borderId="0" xfId="0" applyNumberFormat="1" applyFont="1" applyFill="1"/>
    <xf numFmtId="169" fontId="13" fillId="0" borderId="0" xfId="0" applyNumberFormat="1" applyFont="1" applyFill="1"/>
    <xf numFmtId="0" fontId="13" fillId="0" borderId="0" xfId="0" applyFont="1" applyFill="1" applyAlignment="1">
      <alignment horizontal="left"/>
    </xf>
    <xf numFmtId="166" fontId="6" fillId="0" borderId="0" xfId="2" applyNumberFormat="1" applyFont="1"/>
    <xf numFmtId="0" fontId="7" fillId="6" borderId="38" xfId="0" applyFont="1" applyFill="1" applyBorder="1"/>
    <xf numFmtId="168" fontId="6" fillId="6" borderId="38" xfId="0" applyNumberFormat="1" applyFont="1" applyFill="1" applyBorder="1"/>
    <xf numFmtId="0" fontId="6" fillId="5" borderId="0" xfId="0" applyFont="1" applyFill="1" applyAlignment="1">
      <alignment horizontal="right"/>
    </xf>
    <xf numFmtId="166" fontId="7" fillId="5" borderId="0" xfId="2" applyNumberFormat="1" applyFont="1" applyFill="1" applyAlignment="1">
      <alignment horizontal="center"/>
    </xf>
    <xf numFmtId="164" fontId="6" fillId="5" borderId="0" xfId="3" applyFont="1" applyFill="1"/>
    <xf numFmtId="166" fontId="7" fillId="0" borderId="0" xfId="2" applyNumberFormat="1" applyFont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2">
    <dxf>
      <font>
        <b/>
        <i val="0"/>
        <condense val="0"/>
        <extend val="0"/>
      </font>
      <fill>
        <patternFill>
          <bgColor indexed="41"/>
        </patternFill>
      </fill>
    </dxf>
    <dxf>
      <font>
        <b/>
        <i val="0"/>
        <condense val="0"/>
        <extend val="0"/>
      </font>
      <fill>
        <patternFill>
          <bgColor indexed="2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 /><Relationship Id="rId1" Type="http://schemas.openxmlformats.org/officeDocument/2006/relationships/image" Target="../media/image1.emf" 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 /><Relationship Id="rId1" Type="http://schemas.openxmlformats.org/officeDocument/2006/relationships/image" Target="../media/image3.emf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19</xdr:row>
          <xdr:rowOff>76200</xdr:rowOff>
        </xdr:from>
        <xdr:to>
          <xdr:col>7</xdr:col>
          <xdr:colOff>571500</xdr:colOff>
          <xdr:row>51</xdr:row>
          <xdr:rowOff>133350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249690D-FFCA-41BA-805A-63562E2D52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50</xdr:row>
          <xdr:rowOff>47625</xdr:rowOff>
        </xdr:from>
        <xdr:to>
          <xdr:col>7</xdr:col>
          <xdr:colOff>514350</xdr:colOff>
          <xdr:row>57</xdr:row>
          <xdr:rowOff>47625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CB8CC64C-4859-4754-8386-6C33BD1CC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17</xdr:row>
          <xdr:rowOff>123825</xdr:rowOff>
        </xdr:from>
        <xdr:to>
          <xdr:col>7</xdr:col>
          <xdr:colOff>638175</xdr:colOff>
          <xdr:row>79</xdr:row>
          <xdr:rowOff>28575</xdr:rowOff>
        </xdr:to>
        <xdr:sp macro="" textlink="">
          <xdr:nvSpPr>
            <xdr:cNvPr id="5129" name="Object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F5B5AEF4-5F18-4A3B-B1EB-612E4028A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76</xdr:row>
          <xdr:rowOff>95250</xdr:rowOff>
        </xdr:from>
        <xdr:to>
          <xdr:col>7</xdr:col>
          <xdr:colOff>638175</xdr:colOff>
          <xdr:row>127</xdr:row>
          <xdr:rowOff>104775</xdr:rowOff>
        </xdr:to>
        <xdr:sp macro="" textlink="">
          <xdr:nvSpPr>
            <xdr:cNvPr id="5130" name="Object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FDA4482D-5CCD-4878-835A-956D71B88D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7" Type="http://schemas.openxmlformats.org/officeDocument/2006/relationships/image" Target="../media/image2.emf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6" Type="http://schemas.openxmlformats.org/officeDocument/2006/relationships/oleObject" Target="../embeddings/oleObject2.bin" /><Relationship Id="rId5" Type="http://schemas.openxmlformats.org/officeDocument/2006/relationships/image" Target="../media/image1.emf" /><Relationship Id="rId4" Type="http://schemas.openxmlformats.org/officeDocument/2006/relationships/oleObject" Target="../embeddings/oleObject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7" Type="http://schemas.openxmlformats.org/officeDocument/2006/relationships/image" Target="../media/image4.emf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6" Type="http://schemas.openxmlformats.org/officeDocument/2006/relationships/oleObject" Target="../embeddings/oleObject4.bin" /><Relationship Id="rId5" Type="http://schemas.openxmlformats.org/officeDocument/2006/relationships/image" Target="../media/image3.emf" /><Relationship Id="rId4" Type="http://schemas.openxmlformats.org/officeDocument/2006/relationships/oleObject" Target="../embeddings/oleObject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"/>
  <sheetViews>
    <sheetView showGridLines="0" tabSelected="1" topLeftCell="B1" workbookViewId="0" xr3:uid="{AEA406A1-0E4B-5B11-9CD5-51D6E497D94C}">
      <pane ySplit="1" topLeftCell="B9" activePane="bottomLeft" state="frozen"/>
      <selection activeCell="B1" sqref="B1"/>
      <selection pane="bottomLeft" activeCell="J25" sqref="J25"/>
    </sheetView>
  </sheetViews>
  <sheetFormatPr defaultColWidth="9.16796875" defaultRowHeight="10.5" x14ac:dyDescent="0.1"/>
  <cols>
    <col min="1" max="1" width="9.03515625" style="6" bestFit="1" customWidth="1"/>
    <col min="2" max="2" width="5.52734375" style="6" bestFit="1" customWidth="1"/>
    <col min="3" max="3" width="15.5078125" style="10" bestFit="1" customWidth="1"/>
    <col min="4" max="4" width="8.8984375" style="6" bestFit="1" customWidth="1"/>
    <col min="5" max="5" width="27.5078125" style="6" bestFit="1" customWidth="1"/>
    <col min="6" max="6" width="11.19140625" style="6" customWidth="1"/>
    <col min="7" max="7" width="11.59375" style="6" bestFit="1" customWidth="1"/>
    <col min="8" max="8" width="11.59375" style="6" customWidth="1"/>
    <col min="9" max="9" width="5.66015625" style="6" customWidth="1"/>
    <col min="10" max="10" width="30.87890625" style="6" bestFit="1" customWidth="1"/>
    <col min="11" max="11" width="13.75390625" style="6" bestFit="1" customWidth="1"/>
    <col min="12" max="23" width="11.8671875" style="6" bestFit="1" customWidth="1"/>
    <col min="24" max="24" width="13.078125" style="6" bestFit="1" customWidth="1"/>
    <col min="25" max="47" width="11.8671875" style="6" bestFit="1" customWidth="1"/>
    <col min="48" max="49" width="10.65234375" style="6" customWidth="1"/>
    <col min="50" max="16384" width="9.16796875" style="6"/>
  </cols>
  <sheetData>
    <row r="1" spans="1:27" customFormat="1" ht="30.75" customHeight="1" thickBot="1" x14ac:dyDescent="0.2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7" customFormat="1" ht="24.75" customHeight="1" thickBot="1" x14ac:dyDescent="0.2">
      <c r="A2" s="2" t="s">
        <v>67</v>
      </c>
      <c r="B2" s="3"/>
      <c r="C2" s="3"/>
      <c r="D2" s="3"/>
      <c r="E2" s="3"/>
      <c r="F2" s="3"/>
      <c r="G2" s="4"/>
      <c r="H2" s="4"/>
    </row>
    <row r="3" spans="1:27" ht="15" customHeight="1" thickBot="1" x14ac:dyDescent="0.2">
      <c r="A3" s="5" t="s">
        <v>49</v>
      </c>
      <c r="B3" s="5" t="s">
        <v>50</v>
      </c>
      <c r="C3" s="5" t="s">
        <v>0</v>
      </c>
      <c r="D3" s="5" t="s">
        <v>45</v>
      </c>
      <c r="E3" s="5" t="s">
        <v>1</v>
      </c>
      <c r="F3" s="5" t="s">
        <v>2</v>
      </c>
      <c r="G3" s="5" t="s">
        <v>35</v>
      </c>
      <c r="H3" s="4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27" ht="12.75" x14ac:dyDescent="0.15">
      <c r="A4" s="8" t="str">
        <f t="shared" ref="A4:A17" si="0">LEFT(B4,1)</f>
        <v>1</v>
      </c>
      <c r="B4" s="100" t="s">
        <v>5</v>
      </c>
      <c r="C4" s="101" t="s">
        <v>20</v>
      </c>
      <c r="D4" s="100">
        <v>10001</v>
      </c>
      <c r="E4" s="102" t="s">
        <v>29</v>
      </c>
      <c r="F4" s="103">
        <v>31223</v>
      </c>
      <c r="G4" s="104">
        <v>8000</v>
      </c>
      <c r="H4" s="12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27" ht="12.75" x14ac:dyDescent="0.15">
      <c r="A5" s="8" t="str">
        <f t="shared" si="0"/>
        <v>2</v>
      </c>
      <c r="B5" s="100" t="s">
        <v>6</v>
      </c>
      <c r="C5" s="101" t="s">
        <v>12</v>
      </c>
      <c r="D5" s="100">
        <v>10002</v>
      </c>
      <c r="E5" s="102" t="s">
        <v>26</v>
      </c>
      <c r="F5" s="103">
        <v>35386</v>
      </c>
      <c r="G5" s="104">
        <v>1200</v>
      </c>
      <c r="H5" s="12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27" ht="12.75" x14ac:dyDescent="0.15">
      <c r="A6" s="8" t="str">
        <f t="shared" si="0"/>
        <v>3</v>
      </c>
      <c r="B6" s="100" t="s">
        <v>10</v>
      </c>
      <c r="C6" s="105" t="s">
        <v>16</v>
      </c>
      <c r="D6" s="100">
        <v>10003</v>
      </c>
      <c r="E6" s="102" t="s">
        <v>21</v>
      </c>
      <c r="F6" s="103">
        <v>31420</v>
      </c>
      <c r="G6" s="104">
        <v>5000</v>
      </c>
      <c r="H6" s="12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:27" ht="12.75" x14ac:dyDescent="0.15">
      <c r="A7" s="8" t="str">
        <f t="shared" si="0"/>
        <v>2</v>
      </c>
      <c r="B7" s="100" t="s">
        <v>8</v>
      </c>
      <c r="C7" s="101" t="s">
        <v>14</v>
      </c>
      <c r="D7" s="100">
        <v>10004</v>
      </c>
      <c r="E7" s="102" t="s">
        <v>22</v>
      </c>
      <c r="F7" s="103">
        <v>32212</v>
      </c>
      <c r="G7" s="104">
        <v>1800</v>
      </c>
      <c r="H7" s="12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1:27" ht="12.75" x14ac:dyDescent="0.15">
      <c r="A8" s="8" t="str">
        <f t="shared" si="0"/>
        <v>1</v>
      </c>
      <c r="B8" s="100" t="s">
        <v>3</v>
      </c>
      <c r="C8" s="101" t="s">
        <v>18</v>
      </c>
      <c r="D8" s="100">
        <v>10005</v>
      </c>
      <c r="E8" s="101" t="s">
        <v>33</v>
      </c>
      <c r="F8" s="103">
        <v>33402</v>
      </c>
      <c r="G8" s="104">
        <v>2500</v>
      </c>
      <c r="H8" s="12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1:27" ht="12.75" x14ac:dyDescent="0.15">
      <c r="A9" s="8" t="str">
        <f t="shared" si="0"/>
        <v>2</v>
      </c>
      <c r="B9" s="100" t="s">
        <v>7</v>
      </c>
      <c r="C9" s="101" t="s">
        <v>13</v>
      </c>
      <c r="D9" s="100">
        <v>10006</v>
      </c>
      <c r="E9" s="102" t="s">
        <v>30</v>
      </c>
      <c r="F9" s="103">
        <v>33005</v>
      </c>
      <c r="G9" s="104">
        <v>1300</v>
      </c>
      <c r="H9" s="12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1:27" ht="12.75" x14ac:dyDescent="0.15">
      <c r="A10" s="8" t="str">
        <f t="shared" si="0"/>
        <v>2</v>
      </c>
      <c r="B10" s="100" t="s">
        <v>6</v>
      </c>
      <c r="C10" s="101" t="s">
        <v>12</v>
      </c>
      <c r="D10" s="100">
        <v>10007</v>
      </c>
      <c r="E10" s="102" t="s">
        <v>24</v>
      </c>
      <c r="F10" s="103">
        <v>34593</v>
      </c>
      <c r="G10" s="104">
        <v>1400</v>
      </c>
      <c r="H10" s="12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1:27" ht="12.75" x14ac:dyDescent="0.15">
      <c r="A11" s="8" t="str">
        <f t="shared" si="0"/>
        <v>3</v>
      </c>
      <c r="B11" s="100" t="s">
        <v>11</v>
      </c>
      <c r="C11" s="105" t="s">
        <v>17</v>
      </c>
      <c r="D11" s="100">
        <v>10008</v>
      </c>
      <c r="E11" s="102" t="s">
        <v>31</v>
      </c>
      <c r="F11" s="103">
        <v>35096</v>
      </c>
      <c r="G11" s="104">
        <v>4800</v>
      </c>
      <c r="H11" s="12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1:27" ht="12.75" x14ac:dyDescent="0.15">
      <c r="A12" s="8" t="str">
        <f t="shared" si="0"/>
        <v>2</v>
      </c>
      <c r="B12" s="100" t="s">
        <v>7</v>
      </c>
      <c r="C12" s="101" t="s">
        <v>13</v>
      </c>
      <c r="D12" s="100">
        <v>10009</v>
      </c>
      <c r="E12" s="102" t="s">
        <v>23</v>
      </c>
      <c r="F12" s="103">
        <v>32609</v>
      </c>
      <c r="G12" s="104">
        <v>1350</v>
      </c>
      <c r="H12" s="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ht="12.75" x14ac:dyDescent="0.15">
      <c r="A13" s="8" t="str">
        <f t="shared" si="0"/>
        <v>3</v>
      </c>
      <c r="B13" s="100" t="s">
        <v>9</v>
      </c>
      <c r="C13" s="105" t="s">
        <v>15</v>
      </c>
      <c r="D13" s="100">
        <v>10010</v>
      </c>
      <c r="E13" s="102" t="s">
        <v>32</v>
      </c>
      <c r="F13" s="103">
        <v>31817</v>
      </c>
      <c r="G13" s="104">
        <v>5200</v>
      </c>
      <c r="H13" s="12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ht="12.75" x14ac:dyDescent="0.15">
      <c r="A14" s="8" t="str">
        <f t="shared" si="0"/>
        <v>2</v>
      </c>
      <c r="B14" s="100" t="s">
        <v>8</v>
      </c>
      <c r="C14" s="101" t="s">
        <v>14</v>
      </c>
      <c r="D14" s="100">
        <v>10011</v>
      </c>
      <c r="E14" s="102" t="s">
        <v>25</v>
      </c>
      <c r="F14" s="103">
        <v>34989</v>
      </c>
      <c r="G14" s="104">
        <v>1450</v>
      </c>
      <c r="H14" s="12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ht="12.75" x14ac:dyDescent="0.15">
      <c r="A15" s="8" t="str">
        <f t="shared" si="0"/>
        <v>1</v>
      </c>
      <c r="B15" s="100" t="s">
        <v>4</v>
      </c>
      <c r="C15" s="101" t="s">
        <v>19</v>
      </c>
      <c r="D15" s="100">
        <v>10012</v>
      </c>
      <c r="E15" s="102" t="s">
        <v>28</v>
      </c>
      <c r="F15" s="103">
        <v>33799</v>
      </c>
      <c r="G15" s="104">
        <v>3000</v>
      </c>
      <c r="H15" s="12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ht="12.75" x14ac:dyDescent="0.15">
      <c r="A16" s="8" t="str">
        <f t="shared" si="0"/>
        <v>2</v>
      </c>
      <c r="B16" s="100" t="s">
        <v>7</v>
      </c>
      <c r="C16" s="101" t="s">
        <v>13</v>
      </c>
      <c r="D16" s="100">
        <v>10013</v>
      </c>
      <c r="E16" s="102" t="s">
        <v>34</v>
      </c>
      <c r="F16" s="103">
        <v>35782</v>
      </c>
      <c r="G16" s="104">
        <v>1600</v>
      </c>
      <c r="H16" s="12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7" ht="12.75" x14ac:dyDescent="0.15">
      <c r="A17" s="8" t="str">
        <f t="shared" si="0"/>
        <v>1</v>
      </c>
      <c r="B17" s="100" t="s">
        <v>4</v>
      </c>
      <c r="C17" s="101" t="s">
        <v>19</v>
      </c>
      <c r="D17" s="100">
        <v>10018</v>
      </c>
      <c r="E17" s="102" t="s">
        <v>27</v>
      </c>
      <c r="F17" s="103">
        <v>34196</v>
      </c>
      <c r="G17" s="104">
        <v>1900</v>
      </c>
      <c r="H17" s="12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1:27" ht="12.75" x14ac:dyDescent="0.15">
      <c r="I18" s="16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1:27" ht="12.75" x14ac:dyDescent="0.15"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ht="12.75" x14ac:dyDescent="0.15">
      <c r="D20" s="11"/>
      <c r="E20" s="11"/>
      <c r="I20" s="16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27" ht="12.75" x14ac:dyDescent="0.15"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ht="12.75" x14ac:dyDescent="0.15">
      <c r="D22" s="9"/>
      <c r="E22" s="9"/>
      <c r="I22" s="7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1:27" ht="12.75" x14ac:dyDescent="0.15"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27" ht="12.75" x14ac:dyDescent="0.15"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27" ht="12.75" x14ac:dyDescent="0.15"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27" ht="12.75" x14ac:dyDescent="0.15"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27" ht="12.75" x14ac:dyDescent="0.15"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27" ht="12.75" x14ac:dyDescent="0.15"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27" ht="12.75" x14ac:dyDescent="0.15"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27" ht="12.75" x14ac:dyDescent="0.15"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27" ht="12.75" x14ac:dyDescent="0.15"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1:27" ht="12.75" x14ac:dyDescent="0.15"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10:27" ht="12.75" x14ac:dyDescent="0.15"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10:27" ht="12.75" x14ac:dyDescent="0.15"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10:27" ht="12.75" x14ac:dyDescent="0.15"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10:27" ht="12.75" x14ac:dyDescent="0.15"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10:27" ht="12.75" x14ac:dyDescent="0.15"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10:27" ht="12.75" x14ac:dyDescent="0.15"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10:27" ht="12.75" x14ac:dyDescent="0.15"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10:27" ht="12.75" x14ac:dyDescent="0.15"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10:27" ht="12.75" x14ac:dyDescent="0.15"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0:27" ht="12.75" x14ac:dyDescent="0.15"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0:27" ht="12.75" x14ac:dyDescent="0.15"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10:27" ht="12.75" x14ac:dyDescent="0.15"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10:27" ht="12.75" x14ac:dyDescent="0.15"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10:27" ht="12.75" x14ac:dyDescent="0.15"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10:27" ht="12.75" x14ac:dyDescent="0.15"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</row>
    <row r="48" spans="10:27" ht="12.75" x14ac:dyDescent="0.15"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</row>
    <row r="49" spans="10:27" ht="12.75" x14ac:dyDescent="0.15"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</row>
    <row r="50" spans="10:27" ht="12.75" x14ac:dyDescent="0.15"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10:27" ht="12.75" x14ac:dyDescent="0.15"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10:27" ht="12.75" x14ac:dyDescent="0.15"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0:27" ht="12.75" x14ac:dyDescent="0.15"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10:27" ht="12.75" x14ac:dyDescent="0.15"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</row>
    <row r="55" spans="10:27" ht="12.75" x14ac:dyDescent="0.15"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0:27" ht="12.75" x14ac:dyDescent="0.15"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0:27" ht="12.75" x14ac:dyDescent="0.15"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0:27" ht="12.75" x14ac:dyDescent="0.15"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0:27" ht="12.75" x14ac:dyDescent="0.15"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0:27" ht="12.75" x14ac:dyDescent="0.15"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0:27" ht="12.75" x14ac:dyDescent="0.15"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0:27" ht="12.75" x14ac:dyDescent="0.15"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0:27" ht="12.75" x14ac:dyDescent="0.15"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0:27" ht="12.75" x14ac:dyDescent="0.15"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0:37" ht="12.75" x14ac:dyDescent="0.15"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0:37" ht="12.75" x14ac:dyDescent="0.15"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0:37" ht="12.75" x14ac:dyDescent="0.15"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J67" s="24"/>
      <c r="AK67" s="24"/>
    </row>
    <row r="68" spans="10:37" ht="12.75" x14ac:dyDescent="0.15"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J68" s="24"/>
      <c r="AK68" s="24"/>
    </row>
    <row r="69" spans="10:37" x14ac:dyDescent="0.1">
      <c r="AJ69" s="24"/>
      <c r="AK69" s="24"/>
    </row>
    <row r="70" spans="10:37" x14ac:dyDescent="0.1">
      <c r="AJ70" s="24"/>
      <c r="AK70" s="24"/>
    </row>
    <row r="71" spans="10:37" x14ac:dyDescent="0.1">
      <c r="AJ71" s="24"/>
      <c r="AK71" s="24"/>
    </row>
    <row r="72" spans="10:37" x14ac:dyDescent="0.1">
      <c r="AJ72" s="24"/>
      <c r="AK72" s="24"/>
    </row>
    <row r="73" spans="10:37" x14ac:dyDescent="0.1">
      <c r="AJ73" s="24"/>
      <c r="AK73" s="24"/>
    </row>
    <row r="74" spans="10:37" x14ac:dyDescent="0.1"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</row>
    <row r="75" spans="10:37" x14ac:dyDescent="0.1"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</row>
    <row r="76" spans="10:37" x14ac:dyDescent="0.1"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</row>
    <row r="77" spans="10:37" x14ac:dyDescent="0.1"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</row>
    <row r="78" spans="10:37" x14ac:dyDescent="0.1"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</row>
    <row r="79" spans="10:37" x14ac:dyDescent="0.1"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</row>
    <row r="80" spans="10:37" x14ac:dyDescent="0.1"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</row>
    <row r="81" spans="10:37" x14ac:dyDescent="0.1"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</row>
    <row r="82" spans="10:37" x14ac:dyDescent="0.1"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</row>
    <row r="83" spans="10:37" x14ac:dyDescent="0.1"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</row>
    <row r="84" spans="10:37" x14ac:dyDescent="0.1"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</row>
  </sheetData>
  <phoneticPr fontId="12" type="noConversion"/>
  <pageMargins left="0.75" right="0.75" top="1" bottom="1" header="0.49212598499999999" footer="0.49212598499999999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6146" r:id="rId4">
          <objectPr defaultSize="0" r:id="rId5">
            <anchor moveWithCells="1">
              <from>
                <xdr:col>0</xdr:col>
                <xdr:colOff>76200</xdr:colOff>
                <xdr:row>19</xdr:row>
                <xdr:rowOff>76200</xdr:rowOff>
              </from>
              <to>
                <xdr:col>7</xdr:col>
                <xdr:colOff>571500</xdr:colOff>
                <xdr:row>51</xdr:row>
                <xdr:rowOff>133350</xdr:rowOff>
              </to>
            </anchor>
          </objectPr>
        </oleObject>
      </mc:Choice>
      <mc:Fallback>
        <oleObject progId="Word.Document.8" shapeId="6146" r:id="rId4"/>
      </mc:Fallback>
    </mc:AlternateContent>
    <mc:AlternateContent xmlns:mc="http://schemas.openxmlformats.org/markup-compatibility/2006">
      <mc:Choice Requires="x14">
        <oleObject progId="Word.Document.8" shapeId="6147" r:id="rId6">
          <objectPr defaultSize="0" r:id="rId7">
            <anchor moveWithCells="1">
              <from>
                <xdr:col>0</xdr:col>
                <xdr:colOff>19050</xdr:colOff>
                <xdr:row>50</xdr:row>
                <xdr:rowOff>47625</xdr:rowOff>
              </from>
              <to>
                <xdr:col>7</xdr:col>
                <xdr:colOff>514350</xdr:colOff>
                <xdr:row>57</xdr:row>
                <xdr:rowOff>47625</xdr:rowOff>
              </to>
            </anchor>
          </objectPr>
        </oleObject>
      </mc:Choice>
      <mc:Fallback>
        <oleObject progId="Word.Document.8" shapeId="6147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4"/>
  <sheetViews>
    <sheetView showGridLines="0" workbookViewId="0" xr3:uid="{958C4451-9541-5A59-BF78-D2F731DF1C81}">
      <pane ySplit="1" topLeftCell="A2" activePane="bottomLeft" state="frozen"/>
      <selection pane="bottomLeft" activeCell="A2" sqref="A2:IV2"/>
    </sheetView>
  </sheetViews>
  <sheetFormatPr defaultColWidth="9.16796875" defaultRowHeight="10.5" x14ac:dyDescent="0.1"/>
  <cols>
    <col min="1" max="1" width="9.03515625" style="6" bestFit="1" customWidth="1"/>
    <col min="2" max="2" width="5.52734375" style="6" bestFit="1" customWidth="1"/>
    <col min="3" max="3" width="15.5078125" style="10" bestFit="1" customWidth="1"/>
    <col min="4" max="4" width="8.8984375" style="6" bestFit="1" customWidth="1"/>
    <col min="5" max="5" width="27.5078125" style="6" bestFit="1" customWidth="1"/>
    <col min="6" max="6" width="11.19140625" style="6" customWidth="1"/>
    <col min="7" max="7" width="11.59375" style="6" bestFit="1" customWidth="1"/>
    <col min="8" max="8" width="11.59375" style="6" customWidth="1"/>
    <col min="9" max="9" width="5.66015625" style="6" customWidth="1"/>
    <col min="10" max="10" width="28.453125" style="6" customWidth="1"/>
    <col min="11" max="11" width="13.75390625" style="6" bestFit="1" customWidth="1"/>
    <col min="12" max="47" width="11.8671875" style="6" bestFit="1" customWidth="1"/>
    <col min="48" max="49" width="10.65234375" style="6" customWidth="1"/>
    <col min="50" max="16384" width="9.16796875" style="6"/>
  </cols>
  <sheetData>
    <row r="1" spans="1:13" customFormat="1" ht="30.75" customHeight="1" thickBot="1" x14ac:dyDescent="0.2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customFormat="1" ht="24.75" customHeight="1" thickBot="1" x14ac:dyDescent="0.2">
      <c r="A2" s="2" t="s">
        <v>67</v>
      </c>
      <c r="B2" s="3"/>
      <c r="C2" s="3"/>
      <c r="D2" s="3"/>
      <c r="E2" s="3"/>
      <c r="F2" s="3"/>
      <c r="G2" s="4"/>
      <c r="H2" s="4"/>
    </row>
    <row r="3" spans="1:13" ht="15" customHeight="1" thickBot="1" x14ac:dyDescent="0.2">
      <c r="A3" s="5" t="s">
        <v>49</v>
      </c>
      <c r="B3" s="5" t="s">
        <v>50</v>
      </c>
      <c r="C3" s="5" t="s">
        <v>0</v>
      </c>
      <c r="D3" s="5" t="s">
        <v>45</v>
      </c>
      <c r="E3" s="5" t="s">
        <v>1</v>
      </c>
      <c r="F3" s="5" t="s">
        <v>2</v>
      </c>
      <c r="G3" s="5" t="s">
        <v>35</v>
      </c>
      <c r="H3" s="4"/>
      <c r="J3" s="52"/>
      <c r="K3" s="53"/>
      <c r="L3" s="53"/>
      <c r="M3" s="54"/>
    </row>
    <row r="4" spans="1:13" ht="11.25" thickBot="1" x14ac:dyDescent="0.15">
      <c r="A4" s="8" t="str">
        <f t="shared" ref="A4:A17" si="0">LEFT(B4,1)</f>
        <v>1</v>
      </c>
      <c r="B4" s="100" t="s">
        <v>5</v>
      </c>
      <c r="C4" s="101" t="s">
        <v>20</v>
      </c>
      <c r="D4" s="100">
        <v>10001</v>
      </c>
      <c r="E4" s="102" t="s">
        <v>29</v>
      </c>
      <c r="F4" s="103">
        <v>31223</v>
      </c>
      <c r="G4" s="104">
        <v>8000</v>
      </c>
      <c r="H4" s="12"/>
      <c r="J4" s="61" t="s">
        <v>43</v>
      </c>
      <c r="K4" s="33">
        <f>COUNT(D:D)</f>
        <v>14</v>
      </c>
      <c r="L4" s="49" t="s">
        <v>65</v>
      </c>
      <c r="M4" s="38" t="s">
        <v>75</v>
      </c>
    </row>
    <row r="5" spans="1:13" x14ac:dyDescent="0.1">
      <c r="A5" s="8" t="str">
        <f t="shared" si="0"/>
        <v>2</v>
      </c>
      <c r="B5" s="100" t="s">
        <v>6</v>
      </c>
      <c r="C5" s="101" t="s">
        <v>12</v>
      </c>
      <c r="D5" s="100">
        <v>10002</v>
      </c>
      <c r="E5" s="102" t="s">
        <v>26</v>
      </c>
      <c r="F5" s="103">
        <v>35386</v>
      </c>
      <c r="G5" s="104">
        <v>1200</v>
      </c>
      <c r="H5" s="12"/>
      <c r="J5" s="36" t="s">
        <v>59</v>
      </c>
      <c r="K5" s="34">
        <f>COUNTIF($A$4:$A$17,L5)</f>
        <v>4</v>
      </c>
      <c r="L5" s="97">
        <v>1</v>
      </c>
      <c r="M5" s="55">
        <f>K5/$K$4</f>
        <v>0.2857142857142857</v>
      </c>
    </row>
    <row r="6" spans="1:13" x14ac:dyDescent="0.1">
      <c r="A6" s="8" t="str">
        <f t="shared" si="0"/>
        <v>3</v>
      </c>
      <c r="B6" s="100" t="s">
        <v>10</v>
      </c>
      <c r="C6" s="105" t="s">
        <v>16</v>
      </c>
      <c r="D6" s="100">
        <v>10003</v>
      </c>
      <c r="E6" s="102" t="s">
        <v>21</v>
      </c>
      <c r="F6" s="103">
        <v>31420</v>
      </c>
      <c r="G6" s="104">
        <v>5000</v>
      </c>
      <c r="H6" s="12"/>
      <c r="J6" s="37" t="s">
        <v>60</v>
      </c>
      <c r="K6" s="35">
        <f>COUNTIF($A$4:$A$17,L6)</f>
        <v>7</v>
      </c>
      <c r="L6" s="98">
        <v>2</v>
      </c>
      <c r="M6" s="56">
        <f>K6/$K$4</f>
        <v>0.5</v>
      </c>
    </row>
    <row r="7" spans="1:13" x14ac:dyDescent="0.1">
      <c r="A7" s="8" t="str">
        <f t="shared" si="0"/>
        <v>2</v>
      </c>
      <c r="B7" s="100" t="s">
        <v>8</v>
      </c>
      <c r="C7" s="101" t="s">
        <v>14</v>
      </c>
      <c r="D7" s="100">
        <v>10004</v>
      </c>
      <c r="E7" s="102" t="s">
        <v>22</v>
      </c>
      <c r="F7" s="103">
        <v>32212</v>
      </c>
      <c r="G7" s="104">
        <v>1800</v>
      </c>
      <c r="H7" s="12"/>
      <c r="J7" s="36" t="s">
        <v>61</v>
      </c>
      <c r="K7" s="34">
        <f>COUNTIF($A$4:$A$17,L7)</f>
        <v>3</v>
      </c>
      <c r="L7" s="99">
        <v>3</v>
      </c>
      <c r="M7" s="55">
        <f>K7/$K$4</f>
        <v>0.21428571428571427</v>
      </c>
    </row>
    <row r="8" spans="1:13" x14ac:dyDescent="0.1">
      <c r="A8" s="8" t="str">
        <f t="shared" si="0"/>
        <v>1</v>
      </c>
      <c r="B8" s="100" t="s">
        <v>3</v>
      </c>
      <c r="C8" s="101" t="s">
        <v>18</v>
      </c>
      <c r="D8" s="100">
        <v>10005</v>
      </c>
      <c r="E8" s="101" t="s">
        <v>33</v>
      </c>
      <c r="F8" s="103">
        <v>33402</v>
      </c>
      <c r="G8" s="104">
        <v>2500</v>
      </c>
      <c r="H8" s="12"/>
      <c r="J8" s="17"/>
      <c r="K8" s="20"/>
      <c r="L8" s="20"/>
      <c r="M8" s="18"/>
    </row>
    <row r="9" spans="1:13" x14ac:dyDescent="0.1">
      <c r="A9" s="8" t="str">
        <f t="shared" si="0"/>
        <v>2</v>
      </c>
      <c r="B9" s="100" t="s">
        <v>7</v>
      </c>
      <c r="C9" s="101" t="s">
        <v>13</v>
      </c>
      <c r="D9" s="100">
        <v>10006</v>
      </c>
      <c r="E9" s="102" t="s">
        <v>30</v>
      </c>
      <c r="F9" s="103">
        <v>33005</v>
      </c>
      <c r="G9" s="104">
        <v>1300</v>
      </c>
      <c r="H9" s="12"/>
      <c r="J9" s="60" t="s">
        <v>77</v>
      </c>
      <c r="K9" s="59">
        <f>SUM(G:G)</f>
        <v>40500</v>
      </c>
      <c r="L9" s="49" t="s">
        <v>65</v>
      </c>
      <c r="M9" s="38" t="s">
        <v>75</v>
      </c>
    </row>
    <row r="10" spans="1:13" x14ac:dyDescent="0.1">
      <c r="A10" s="8" t="str">
        <f t="shared" si="0"/>
        <v>2</v>
      </c>
      <c r="B10" s="100" t="s">
        <v>6</v>
      </c>
      <c r="C10" s="101" t="s">
        <v>12</v>
      </c>
      <c r="D10" s="100">
        <v>10007</v>
      </c>
      <c r="E10" s="102" t="s">
        <v>24</v>
      </c>
      <c r="F10" s="103">
        <v>34593</v>
      </c>
      <c r="G10" s="104">
        <v>1400</v>
      </c>
      <c r="H10" s="12"/>
      <c r="J10" s="36" t="s">
        <v>59</v>
      </c>
      <c r="K10" s="58">
        <f>SUMIF(A:A,L10,G:G)</f>
        <v>15400</v>
      </c>
      <c r="L10" s="97">
        <v>1</v>
      </c>
      <c r="M10" s="55">
        <f>K10/K$9</f>
        <v>0.38024691358024693</v>
      </c>
    </row>
    <row r="11" spans="1:13" x14ac:dyDescent="0.1">
      <c r="A11" s="8" t="str">
        <f t="shared" si="0"/>
        <v>3</v>
      </c>
      <c r="B11" s="100" t="s">
        <v>11</v>
      </c>
      <c r="C11" s="105" t="s">
        <v>17</v>
      </c>
      <c r="D11" s="100">
        <v>10008</v>
      </c>
      <c r="E11" s="102" t="s">
        <v>31</v>
      </c>
      <c r="F11" s="103">
        <v>35096</v>
      </c>
      <c r="G11" s="104">
        <v>4800</v>
      </c>
      <c r="H11" s="12"/>
      <c r="J11" s="37" t="s">
        <v>60</v>
      </c>
      <c r="K11" s="57">
        <f>SUMIF(A:A,L11,G:G)</f>
        <v>10100</v>
      </c>
      <c r="L11" s="98">
        <v>2</v>
      </c>
      <c r="M11" s="56">
        <f>K11/K$9</f>
        <v>0.24938271604938272</v>
      </c>
    </row>
    <row r="12" spans="1:13" x14ac:dyDescent="0.1">
      <c r="A12" s="8" t="str">
        <f t="shared" si="0"/>
        <v>2</v>
      </c>
      <c r="B12" s="100" t="s">
        <v>7</v>
      </c>
      <c r="C12" s="101" t="s">
        <v>13</v>
      </c>
      <c r="D12" s="100">
        <v>10009</v>
      </c>
      <c r="E12" s="102" t="s">
        <v>23</v>
      </c>
      <c r="F12" s="103">
        <v>32609</v>
      </c>
      <c r="G12" s="104">
        <v>1350</v>
      </c>
      <c r="H12" s="12"/>
      <c r="J12" s="36" t="s">
        <v>61</v>
      </c>
      <c r="K12" s="58">
        <f>SUMIF(A:A,L12,G:G)</f>
        <v>15000</v>
      </c>
      <c r="L12" s="99">
        <v>3</v>
      </c>
      <c r="M12" s="55">
        <f>K12/K$9</f>
        <v>0.37037037037037035</v>
      </c>
    </row>
    <row r="13" spans="1:13" x14ac:dyDescent="0.1">
      <c r="A13" s="8" t="str">
        <f t="shared" si="0"/>
        <v>3</v>
      </c>
      <c r="B13" s="100" t="s">
        <v>9</v>
      </c>
      <c r="C13" s="105" t="s">
        <v>15</v>
      </c>
      <c r="D13" s="100">
        <v>10010</v>
      </c>
      <c r="E13" s="102" t="s">
        <v>32</v>
      </c>
      <c r="F13" s="103">
        <v>31817</v>
      </c>
      <c r="G13" s="104">
        <v>5200</v>
      </c>
      <c r="H13" s="12"/>
      <c r="J13" s="17"/>
      <c r="K13" s="20"/>
      <c r="L13" s="20"/>
      <c r="M13" s="18"/>
    </row>
    <row r="14" spans="1:13" x14ac:dyDescent="0.1">
      <c r="A14" s="8" t="str">
        <f t="shared" si="0"/>
        <v>2</v>
      </c>
      <c r="B14" s="100" t="s">
        <v>8</v>
      </c>
      <c r="C14" s="101" t="s">
        <v>14</v>
      </c>
      <c r="D14" s="100">
        <v>10011</v>
      </c>
      <c r="E14" s="102" t="s">
        <v>25</v>
      </c>
      <c r="F14" s="103">
        <v>34989</v>
      </c>
      <c r="G14" s="104">
        <v>1450</v>
      </c>
      <c r="H14" s="12"/>
      <c r="J14" s="29"/>
      <c r="K14" s="30" t="s">
        <v>35</v>
      </c>
      <c r="L14" s="20"/>
      <c r="M14" s="18"/>
    </row>
    <row r="15" spans="1:13" x14ac:dyDescent="0.1">
      <c r="A15" s="8" t="str">
        <f t="shared" si="0"/>
        <v>1</v>
      </c>
      <c r="B15" s="100" t="s">
        <v>4</v>
      </c>
      <c r="C15" s="101" t="s">
        <v>19</v>
      </c>
      <c r="D15" s="100">
        <v>10012</v>
      </c>
      <c r="E15" s="102" t="s">
        <v>28</v>
      </c>
      <c r="F15" s="103">
        <v>33799</v>
      </c>
      <c r="G15" s="104">
        <v>3000</v>
      </c>
      <c r="H15" s="12"/>
      <c r="J15" s="14" t="s">
        <v>62</v>
      </c>
      <c r="K15" s="15">
        <f>MAX(G4:G17)</f>
        <v>8000</v>
      </c>
      <c r="L15" s="51"/>
      <c r="M15" s="31"/>
    </row>
    <row r="16" spans="1:13" x14ac:dyDescent="0.1">
      <c r="A16" s="8" t="str">
        <f t="shared" si="0"/>
        <v>2</v>
      </c>
      <c r="B16" s="100" t="s">
        <v>7</v>
      </c>
      <c r="C16" s="101" t="s">
        <v>13</v>
      </c>
      <c r="D16" s="100">
        <v>10013</v>
      </c>
      <c r="E16" s="102" t="s">
        <v>34</v>
      </c>
      <c r="F16" s="103">
        <v>35782</v>
      </c>
      <c r="G16" s="104">
        <v>1600</v>
      </c>
      <c r="H16" s="12"/>
      <c r="J16" s="14" t="s">
        <v>63</v>
      </c>
      <c r="K16" s="15">
        <f>MIN(G4:G17)</f>
        <v>1200</v>
      </c>
      <c r="L16" s="51"/>
      <c r="M16" s="31"/>
    </row>
    <row r="17" spans="1:23" x14ac:dyDescent="0.1">
      <c r="A17" s="8" t="str">
        <f t="shared" si="0"/>
        <v>1</v>
      </c>
      <c r="B17" s="100" t="s">
        <v>4</v>
      </c>
      <c r="C17" s="101" t="s">
        <v>19</v>
      </c>
      <c r="D17" s="100">
        <v>10018</v>
      </c>
      <c r="E17" s="102" t="s">
        <v>27</v>
      </c>
      <c r="F17" s="103">
        <v>34196</v>
      </c>
      <c r="G17" s="104">
        <v>1900</v>
      </c>
      <c r="H17" s="12"/>
      <c r="J17" s="14" t="s">
        <v>64</v>
      </c>
      <c r="K17" s="15">
        <f>AVERAGE(G4:G17)</f>
        <v>2892.8571428571427</v>
      </c>
      <c r="L17" s="51"/>
      <c r="M17" s="31"/>
    </row>
    <row r="18" spans="1:23" x14ac:dyDescent="0.1">
      <c r="I18" s="16"/>
      <c r="J18" s="17"/>
      <c r="K18" s="20"/>
      <c r="L18" s="20"/>
      <c r="M18" s="18"/>
    </row>
    <row r="19" spans="1:23" x14ac:dyDescent="0.1">
      <c r="J19" s="62" t="s">
        <v>38</v>
      </c>
      <c r="K19" s="19"/>
      <c r="L19" s="20"/>
      <c r="M19" s="18"/>
    </row>
    <row r="20" spans="1:23" x14ac:dyDescent="0.1">
      <c r="D20" s="11"/>
      <c r="E20" s="11"/>
      <c r="I20" s="16"/>
      <c r="J20" s="14" t="s">
        <v>36</v>
      </c>
      <c r="K20" s="96">
        <v>0.27800000000000002</v>
      </c>
      <c r="L20" s="50"/>
      <c r="M20" s="13"/>
    </row>
    <row r="21" spans="1:23" x14ac:dyDescent="0.1">
      <c r="J21" s="14" t="s">
        <v>37</v>
      </c>
      <c r="K21" s="96">
        <v>8.5000000000000006E-2</v>
      </c>
      <c r="L21" s="50"/>
      <c r="M21" s="13"/>
    </row>
    <row r="22" spans="1:23" x14ac:dyDescent="0.1">
      <c r="D22" s="9"/>
      <c r="E22" s="9"/>
      <c r="I22" s="7"/>
      <c r="J22" s="17"/>
      <c r="K22" s="20"/>
      <c r="L22" s="20"/>
      <c r="M22" s="18"/>
    </row>
    <row r="23" spans="1:23" x14ac:dyDescent="0.1">
      <c r="J23" s="39" t="s">
        <v>39</v>
      </c>
      <c r="K23" s="40" t="s">
        <v>58</v>
      </c>
      <c r="L23" s="20"/>
      <c r="M23" s="18"/>
    </row>
    <row r="24" spans="1:23" x14ac:dyDescent="0.1">
      <c r="J24" s="14" t="s">
        <v>40</v>
      </c>
      <c r="K24" s="95">
        <f>7.5*2*22</f>
        <v>330</v>
      </c>
      <c r="L24" s="50"/>
      <c r="M24" s="13"/>
    </row>
    <row r="25" spans="1:23" x14ac:dyDescent="0.1">
      <c r="J25" s="14" t="s">
        <v>41</v>
      </c>
      <c r="K25" s="95">
        <f>12*22</f>
        <v>264</v>
      </c>
      <c r="L25" s="50"/>
      <c r="M25" s="13"/>
    </row>
    <row r="26" spans="1:23" x14ac:dyDescent="0.1">
      <c r="J26" s="14" t="s">
        <v>42</v>
      </c>
      <c r="K26" s="95">
        <v>80</v>
      </c>
      <c r="L26" s="50"/>
      <c r="M26" s="13"/>
    </row>
    <row r="27" spans="1:23" x14ac:dyDescent="0.1">
      <c r="J27" s="17"/>
      <c r="L27" s="20"/>
      <c r="M27" s="18"/>
    </row>
    <row r="28" spans="1:23" ht="11.25" thickBot="1" x14ac:dyDescent="0.15">
      <c r="J28" s="21"/>
      <c r="K28" s="22"/>
      <c r="L28" s="22"/>
      <c r="M28" s="23"/>
    </row>
    <row r="32" spans="1:23" x14ac:dyDescent="0.1"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</row>
    <row r="33" spans="10:24" ht="11.25" thickBot="1" x14ac:dyDescent="0.15">
      <c r="J33" s="16"/>
      <c r="K33" s="91"/>
      <c r="L33" s="92" t="str">
        <f ca="1">IF(L34&lt;=MONTH(TODAY()),"REAL","PROJETADO")</f>
        <v>REAL</v>
      </c>
      <c r="M33" s="93" t="str">
        <f t="shared" ref="M33:W33" ca="1" si="1">IF(M34&lt;=MONTH(TODAY()),"REAL","PROJETADO")</f>
        <v>REAL</v>
      </c>
      <c r="N33" s="93" t="str">
        <f t="shared" ca="1" si="1"/>
        <v>PROJETADO</v>
      </c>
      <c r="O33" s="93" t="str">
        <f t="shared" ca="1" si="1"/>
        <v>PROJETADO</v>
      </c>
      <c r="P33" s="93" t="str">
        <f t="shared" ca="1" si="1"/>
        <v>PROJETADO</v>
      </c>
      <c r="Q33" s="93" t="str">
        <f t="shared" ca="1" si="1"/>
        <v>PROJETADO</v>
      </c>
      <c r="R33" s="93" t="str">
        <f t="shared" ca="1" si="1"/>
        <v>PROJETADO</v>
      </c>
      <c r="S33" s="93" t="str">
        <f t="shared" ca="1" si="1"/>
        <v>PROJETADO</v>
      </c>
      <c r="T33" s="93" t="str">
        <f t="shared" ca="1" si="1"/>
        <v>PROJETADO</v>
      </c>
      <c r="U33" s="93" t="str">
        <f t="shared" ca="1" si="1"/>
        <v>PROJETADO</v>
      </c>
      <c r="V33" s="93" t="str">
        <f t="shared" ca="1" si="1"/>
        <v>PROJETADO</v>
      </c>
      <c r="W33" s="94" t="str">
        <f t="shared" ca="1" si="1"/>
        <v>PROJETADO</v>
      </c>
    </row>
    <row r="34" spans="10:24" x14ac:dyDescent="0.1">
      <c r="J34" s="64"/>
      <c r="K34" s="65" t="s">
        <v>78</v>
      </c>
      <c r="L34" s="65">
        <v>1</v>
      </c>
      <c r="M34" s="65">
        <f t="shared" ref="M34:W34" si="2">L34+1</f>
        <v>2</v>
      </c>
      <c r="N34" s="65">
        <f t="shared" si="2"/>
        <v>3</v>
      </c>
      <c r="O34" s="65">
        <f t="shared" si="2"/>
        <v>4</v>
      </c>
      <c r="P34" s="65">
        <f t="shared" si="2"/>
        <v>5</v>
      </c>
      <c r="Q34" s="65">
        <f t="shared" si="2"/>
        <v>6</v>
      </c>
      <c r="R34" s="65">
        <f t="shared" si="2"/>
        <v>7</v>
      </c>
      <c r="S34" s="65">
        <f t="shared" si="2"/>
        <v>8</v>
      </c>
      <c r="T34" s="65">
        <f t="shared" si="2"/>
        <v>9</v>
      </c>
      <c r="U34" s="65">
        <f t="shared" si="2"/>
        <v>10</v>
      </c>
      <c r="V34" s="65">
        <f t="shared" si="2"/>
        <v>11</v>
      </c>
      <c r="W34" s="66">
        <f t="shared" si="2"/>
        <v>12</v>
      </c>
    </row>
    <row r="35" spans="10:24" x14ac:dyDescent="0.1">
      <c r="J35" s="67"/>
      <c r="K35" s="68" t="e">
        <f ca="1">_xll.FIMMÊS(DATE(YEAR(TODAY())-1,12,1),0)</f>
        <v>#NAME?</v>
      </c>
      <c r="L35" s="68" t="e">
        <f ca="1">_xll.FIMMÊS(K35,1)</f>
        <v>#NAME?</v>
      </c>
      <c r="M35" s="68" t="e">
        <f ca="1">_xll.FIMMÊS(L35,1)</f>
        <v>#NAME?</v>
      </c>
      <c r="N35" s="68" t="e">
        <f ca="1">_xll.FIMMÊS(M35,1)</f>
        <v>#NAME?</v>
      </c>
      <c r="O35" s="68" t="e">
        <f ca="1">_xll.FIMMÊS(N35,1)</f>
        <v>#NAME?</v>
      </c>
      <c r="P35" s="68" t="e">
        <f ca="1">_xll.FIMMÊS(O35,1)</f>
        <v>#NAME?</v>
      </c>
      <c r="Q35" s="68" t="e">
        <f ca="1">_xll.FIMMÊS(P35,1)</f>
        <v>#NAME?</v>
      </c>
      <c r="R35" s="68" t="e">
        <f ca="1">_xll.FIMMÊS(Q35,1)</f>
        <v>#NAME?</v>
      </c>
      <c r="S35" s="68" t="e">
        <f ca="1">_xll.FIMMÊS(R35,1)</f>
        <v>#NAME?</v>
      </c>
      <c r="T35" s="68" t="e">
        <f ca="1">_xll.FIMMÊS(S35,1)</f>
        <v>#NAME?</v>
      </c>
      <c r="U35" s="68" t="e">
        <f ca="1">_xll.FIMMÊS(T35,1)</f>
        <v>#NAME?</v>
      </c>
      <c r="V35" s="68" t="e">
        <f ca="1">_xll.FIMMÊS(U35,1)</f>
        <v>#NAME?</v>
      </c>
      <c r="W35" s="69" t="e">
        <f ca="1">_xll.FIMMÊS(V35,1)</f>
        <v>#NAME?</v>
      </c>
    </row>
    <row r="36" spans="10:24" ht="11.25" thickBot="1" x14ac:dyDescent="0.15">
      <c r="J36" s="70" t="s">
        <v>76</v>
      </c>
      <c r="K36" s="73"/>
      <c r="L36" s="71">
        <v>0</v>
      </c>
      <c r="M36" s="71">
        <v>0.1</v>
      </c>
      <c r="N36" s="71">
        <v>0</v>
      </c>
      <c r="O36" s="71">
        <v>0</v>
      </c>
      <c r="P36" s="71">
        <v>7.0000000000000007E-2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2">
        <v>0</v>
      </c>
    </row>
    <row r="37" spans="10:24" x14ac:dyDescent="0.1">
      <c r="J37" s="74" t="s">
        <v>35</v>
      </c>
      <c r="K37" s="75">
        <f>K9</f>
        <v>40500</v>
      </c>
      <c r="L37" s="76">
        <f t="shared" ref="L37:W37" si="3">K37*(1+L36)</f>
        <v>40500</v>
      </c>
      <c r="M37" s="76">
        <f t="shared" si="3"/>
        <v>44550</v>
      </c>
      <c r="N37" s="76">
        <f t="shared" si="3"/>
        <v>44550</v>
      </c>
      <c r="O37" s="76">
        <f t="shared" si="3"/>
        <v>44550</v>
      </c>
      <c r="P37" s="76">
        <f t="shared" si="3"/>
        <v>47668.5</v>
      </c>
      <c r="Q37" s="76">
        <f t="shared" si="3"/>
        <v>47668.5</v>
      </c>
      <c r="R37" s="76">
        <f t="shared" si="3"/>
        <v>47668.5</v>
      </c>
      <c r="S37" s="76">
        <f t="shared" si="3"/>
        <v>47668.5</v>
      </c>
      <c r="T37" s="76">
        <f t="shared" si="3"/>
        <v>47668.5</v>
      </c>
      <c r="U37" s="76">
        <f t="shared" si="3"/>
        <v>47668.5</v>
      </c>
      <c r="V37" s="76">
        <f t="shared" si="3"/>
        <v>47668.5</v>
      </c>
      <c r="W37" s="77">
        <f t="shared" si="3"/>
        <v>47668.5</v>
      </c>
      <c r="X37" s="112">
        <f>W37/W$53</f>
        <v>0.54765166231059315</v>
      </c>
    </row>
    <row r="38" spans="10:24" x14ac:dyDescent="0.1">
      <c r="J38" s="78" t="s">
        <v>36</v>
      </c>
      <c r="K38" s="41">
        <f t="shared" ref="K38:W38" si="4">K37*$K$20</f>
        <v>11259.000000000002</v>
      </c>
      <c r="L38" s="41">
        <f t="shared" si="4"/>
        <v>11259.000000000002</v>
      </c>
      <c r="M38" s="41">
        <f t="shared" si="4"/>
        <v>12384.900000000001</v>
      </c>
      <c r="N38" s="41">
        <f t="shared" si="4"/>
        <v>12384.900000000001</v>
      </c>
      <c r="O38" s="41">
        <f t="shared" si="4"/>
        <v>12384.900000000001</v>
      </c>
      <c r="P38" s="41">
        <f t="shared" si="4"/>
        <v>13251.843000000001</v>
      </c>
      <c r="Q38" s="41">
        <f t="shared" si="4"/>
        <v>13251.843000000001</v>
      </c>
      <c r="R38" s="41">
        <f t="shared" si="4"/>
        <v>13251.843000000001</v>
      </c>
      <c r="S38" s="41">
        <f t="shared" si="4"/>
        <v>13251.843000000001</v>
      </c>
      <c r="T38" s="41">
        <f t="shared" si="4"/>
        <v>13251.843000000001</v>
      </c>
      <c r="U38" s="41">
        <f t="shared" si="4"/>
        <v>13251.843000000001</v>
      </c>
      <c r="V38" s="41">
        <f t="shared" si="4"/>
        <v>13251.843000000001</v>
      </c>
      <c r="W38" s="79">
        <f t="shared" si="4"/>
        <v>13251.843000000001</v>
      </c>
      <c r="X38" s="112">
        <f t="shared" ref="X38:X53" si="5">W38/W$53</f>
        <v>0.1522471621223449</v>
      </c>
    </row>
    <row r="39" spans="10:24" x14ac:dyDescent="0.1">
      <c r="J39" s="78" t="s">
        <v>37</v>
      </c>
      <c r="K39" s="42">
        <f t="shared" ref="K39:W39" si="6">K37*$K$21</f>
        <v>3442.5000000000005</v>
      </c>
      <c r="L39" s="42">
        <f t="shared" si="6"/>
        <v>3442.5000000000005</v>
      </c>
      <c r="M39" s="42">
        <f t="shared" si="6"/>
        <v>3786.7500000000005</v>
      </c>
      <c r="N39" s="42">
        <f t="shared" si="6"/>
        <v>3786.7500000000005</v>
      </c>
      <c r="O39" s="42">
        <f t="shared" si="6"/>
        <v>3786.7500000000005</v>
      </c>
      <c r="P39" s="42">
        <f t="shared" si="6"/>
        <v>4051.8225000000002</v>
      </c>
      <c r="Q39" s="42">
        <f t="shared" si="6"/>
        <v>4051.8225000000002</v>
      </c>
      <c r="R39" s="42">
        <f t="shared" si="6"/>
        <v>4051.8225000000002</v>
      </c>
      <c r="S39" s="42">
        <f t="shared" si="6"/>
        <v>4051.8225000000002</v>
      </c>
      <c r="T39" s="42">
        <f t="shared" si="6"/>
        <v>4051.8225000000002</v>
      </c>
      <c r="U39" s="42">
        <f t="shared" si="6"/>
        <v>4051.8225000000002</v>
      </c>
      <c r="V39" s="42">
        <f t="shared" si="6"/>
        <v>4051.8225000000002</v>
      </c>
      <c r="W39" s="80">
        <f t="shared" si="6"/>
        <v>4051.8225000000002</v>
      </c>
      <c r="X39" s="112">
        <f t="shared" si="5"/>
        <v>4.6550391296400422E-2</v>
      </c>
    </row>
    <row r="40" spans="10:24" x14ac:dyDescent="0.1">
      <c r="J40" s="78" t="s">
        <v>40</v>
      </c>
      <c r="K40" s="42">
        <f>K24*$K$4</f>
        <v>4620</v>
      </c>
      <c r="L40" s="42">
        <f>K40</f>
        <v>4620</v>
      </c>
      <c r="M40" s="42">
        <f t="shared" ref="M40:W40" si="7">L40</f>
        <v>4620</v>
      </c>
      <c r="N40" s="42">
        <f t="shared" si="7"/>
        <v>4620</v>
      </c>
      <c r="O40" s="42">
        <f t="shared" si="7"/>
        <v>4620</v>
      </c>
      <c r="P40" s="42">
        <f t="shared" si="7"/>
        <v>4620</v>
      </c>
      <c r="Q40" s="42">
        <f t="shared" si="7"/>
        <v>4620</v>
      </c>
      <c r="R40" s="42">
        <f t="shared" si="7"/>
        <v>4620</v>
      </c>
      <c r="S40" s="42">
        <f t="shared" si="7"/>
        <v>4620</v>
      </c>
      <c r="T40" s="42">
        <f t="shared" si="7"/>
        <v>4620</v>
      </c>
      <c r="U40" s="42">
        <f t="shared" si="7"/>
        <v>4620</v>
      </c>
      <c r="V40" s="42">
        <f t="shared" si="7"/>
        <v>4620</v>
      </c>
      <c r="W40" s="80">
        <f t="shared" si="7"/>
        <v>4620</v>
      </c>
      <c r="X40" s="112">
        <f t="shared" si="5"/>
        <v>5.3078042729998644E-2</v>
      </c>
    </row>
    <row r="41" spans="10:24" x14ac:dyDescent="0.1">
      <c r="J41" s="78" t="s">
        <v>41</v>
      </c>
      <c r="K41" s="42">
        <f>K25*K4</f>
        <v>3696</v>
      </c>
      <c r="L41" s="42">
        <f>K41</f>
        <v>3696</v>
      </c>
      <c r="M41" s="42">
        <f t="shared" ref="M41:W41" si="8">L41</f>
        <v>3696</v>
      </c>
      <c r="N41" s="42">
        <f t="shared" si="8"/>
        <v>3696</v>
      </c>
      <c r="O41" s="42">
        <f t="shared" si="8"/>
        <v>3696</v>
      </c>
      <c r="P41" s="42">
        <f t="shared" si="8"/>
        <v>3696</v>
      </c>
      <c r="Q41" s="42">
        <f t="shared" si="8"/>
        <v>3696</v>
      </c>
      <c r="R41" s="42">
        <f t="shared" si="8"/>
        <v>3696</v>
      </c>
      <c r="S41" s="42">
        <f t="shared" si="8"/>
        <v>3696</v>
      </c>
      <c r="T41" s="42">
        <f t="shared" si="8"/>
        <v>3696</v>
      </c>
      <c r="U41" s="42">
        <f t="shared" si="8"/>
        <v>3696</v>
      </c>
      <c r="V41" s="42">
        <f t="shared" si="8"/>
        <v>3696</v>
      </c>
      <c r="W41" s="80">
        <f t="shared" si="8"/>
        <v>3696</v>
      </c>
      <c r="X41" s="112">
        <f t="shared" si="5"/>
        <v>4.2462434183998914E-2</v>
      </c>
    </row>
    <row r="42" spans="10:24" x14ac:dyDescent="0.1">
      <c r="J42" s="78" t="s">
        <v>44</v>
      </c>
      <c r="K42" s="42">
        <f>K26*K4</f>
        <v>1120</v>
      </c>
      <c r="L42" s="42">
        <f>K42</f>
        <v>1120</v>
      </c>
      <c r="M42" s="42">
        <f t="shared" ref="M42:W42" si="9">L42</f>
        <v>1120</v>
      </c>
      <c r="N42" s="42">
        <f t="shared" si="9"/>
        <v>1120</v>
      </c>
      <c r="O42" s="42">
        <f t="shared" si="9"/>
        <v>1120</v>
      </c>
      <c r="P42" s="42">
        <f t="shared" si="9"/>
        <v>1120</v>
      </c>
      <c r="Q42" s="42">
        <f t="shared" si="9"/>
        <v>1120</v>
      </c>
      <c r="R42" s="42">
        <f t="shared" si="9"/>
        <v>1120</v>
      </c>
      <c r="S42" s="42">
        <f t="shared" si="9"/>
        <v>1120</v>
      </c>
      <c r="T42" s="42">
        <f t="shared" si="9"/>
        <v>1120</v>
      </c>
      <c r="U42" s="42">
        <f t="shared" si="9"/>
        <v>1120</v>
      </c>
      <c r="V42" s="42">
        <f t="shared" si="9"/>
        <v>1120</v>
      </c>
      <c r="W42" s="80">
        <f t="shared" si="9"/>
        <v>1120</v>
      </c>
      <c r="X42" s="112">
        <f t="shared" si="5"/>
        <v>1.2867404298181491E-2</v>
      </c>
    </row>
    <row r="43" spans="10:24" ht="11.25" thickBot="1" x14ac:dyDescent="0.15">
      <c r="J43" s="78" t="s">
        <v>71</v>
      </c>
      <c r="K43" s="47">
        <f>SUM(K44:K47)</f>
        <v>6133.5</v>
      </c>
      <c r="L43" s="47">
        <f t="shared" ref="L43:W43" si="10">SUM(L44:L47)</f>
        <v>6133.5</v>
      </c>
      <c r="M43" s="47">
        <f t="shared" si="10"/>
        <v>6746.85</v>
      </c>
      <c r="N43" s="47">
        <f t="shared" si="10"/>
        <v>6746.85</v>
      </c>
      <c r="O43" s="47">
        <f t="shared" si="10"/>
        <v>6746.85</v>
      </c>
      <c r="P43" s="47">
        <f t="shared" si="10"/>
        <v>7219.1295000000009</v>
      </c>
      <c r="Q43" s="47">
        <f t="shared" si="10"/>
        <v>7219.1295000000009</v>
      </c>
      <c r="R43" s="47">
        <f t="shared" si="10"/>
        <v>7219.1295000000009</v>
      </c>
      <c r="S43" s="47">
        <f t="shared" si="10"/>
        <v>7219.1295000000009</v>
      </c>
      <c r="T43" s="47">
        <f t="shared" si="10"/>
        <v>7219.1295000000009</v>
      </c>
      <c r="U43" s="47">
        <f t="shared" si="10"/>
        <v>7219.1295000000009</v>
      </c>
      <c r="V43" s="47">
        <f t="shared" si="10"/>
        <v>7219.1295000000009</v>
      </c>
      <c r="W43" s="81">
        <f t="shared" si="10"/>
        <v>7219.1295000000009</v>
      </c>
      <c r="X43" s="112">
        <f t="shared" si="5"/>
        <v>8.293880174770428E-2</v>
      </c>
    </row>
    <row r="44" spans="10:24" x14ac:dyDescent="0.1">
      <c r="J44" s="82" t="s">
        <v>46</v>
      </c>
      <c r="K44" s="46">
        <f>K37/12</f>
        <v>3375</v>
      </c>
      <c r="L44" s="46">
        <f t="shared" ref="L44:W44" si="11">L37/12</f>
        <v>3375</v>
      </c>
      <c r="M44" s="46">
        <f t="shared" si="11"/>
        <v>3712.5</v>
      </c>
      <c r="N44" s="46">
        <f t="shared" si="11"/>
        <v>3712.5</v>
      </c>
      <c r="O44" s="46">
        <f t="shared" si="11"/>
        <v>3712.5</v>
      </c>
      <c r="P44" s="46">
        <f t="shared" si="11"/>
        <v>3972.375</v>
      </c>
      <c r="Q44" s="46">
        <f t="shared" si="11"/>
        <v>3972.375</v>
      </c>
      <c r="R44" s="46">
        <f t="shared" si="11"/>
        <v>3972.375</v>
      </c>
      <c r="S44" s="46">
        <f t="shared" si="11"/>
        <v>3972.375</v>
      </c>
      <c r="T44" s="46">
        <f t="shared" si="11"/>
        <v>3972.375</v>
      </c>
      <c r="U44" s="46">
        <f t="shared" si="11"/>
        <v>3972.375</v>
      </c>
      <c r="V44" s="46">
        <f t="shared" si="11"/>
        <v>3972.375</v>
      </c>
      <c r="W44" s="83">
        <f t="shared" si="11"/>
        <v>3972.375</v>
      </c>
      <c r="X44" s="112">
        <f t="shared" si="5"/>
        <v>4.5637638525882762E-2</v>
      </c>
    </row>
    <row r="45" spans="10:24" x14ac:dyDescent="0.1">
      <c r="J45" s="82" t="s">
        <v>68</v>
      </c>
      <c r="K45" s="43">
        <f t="shared" ref="K45:W45" si="12">K44/3</f>
        <v>1125</v>
      </c>
      <c r="L45" s="43">
        <f t="shared" si="12"/>
        <v>1125</v>
      </c>
      <c r="M45" s="43">
        <f t="shared" si="12"/>
        <v>1237.5</v>
      </c>
      <c r="N45" s="43">
        <f t="shared" si="12"/>
        <v>1237.5</v>
      </c>
      <c r="O45" s="43">
        <f t="shared" si="12"/>
        <v>1237.5</v>
      </c>
      <c r="P45" s="43">
        <f t="shared" si="12"/>
        <v>1324.125</v>
      </c>
      <c r="Q45" s="43">
        <f t="shared" si="12"/>
        <v>1324.125</v>
      </c>
      <c r="R45" s="43">
        <f t="shared" si="12"/>
        <v>1324.125</v>
      </c>
      <c r="S45" s="43">
        <f t="shared" si="12"/>
        <v>1324.125</v>
      </c>
      <c r="T45" s="43">
        <f t="shared" si="12"/>
        <v>1324.125</v>
      </c>
      <c r="U45" s="43">
        <f t="shared" si="12"/>
        <v>1324.125</v>
      </c>
      <c r="V45" s="43">
        <f t="shared" si="12"/>
        <v>1324.125</v>
      </c>
      <c r="W45" s="84">
        <f t="shared" si="12"/>
        <v>1324.125</v>
      </c>
      <c r="X45" s="112">
        <f t="shared" si="5"/>
        <v>1.5212546175294255E-2</v>
      </c>
    </row>
    <row r="46" spans="10:24" x14ac:dyDescent="0.1">
      <c r="J46" s="82" t="s">
        <v>69</v>
      </c>
      <c r="K46" s="43">
        <f t="shared" ref="K46:W46" si="13">(K44+K45)*$K$21</f>
        <v>382.5</v>
      </c>
      <c r="L46" s="43">
        <f t="shared" si="13"/>
        <v>382.5</v>
      </c>
      <c r="M46" s="43">
        <f t="shared" si="13"/>
        <v>420.75000000000006</v>
      </c>
      <c r="N46" s="43">
        <f t="shared" si="13"/>
        <v>420.75000000000006</v>
      </c>
      <c r="O46" s="43">
        <f t="shared" si="13"/>
        <v>420.75000000000006</v>
      </c>
      <c r="P46" s="43">
        <f t="shared" si="13"/>
        <v>450.20250000000004</v>
      </c>
      <c r="Q46" s="43">
        <f t="shared" si="13"/>
        <v>450.20250000000004</v>
      </c>
      <c r="R46" s="43">
        <f t="shared" si="13"/>
        <v>450.20250000000004</v>
      </c>
      <c r="S46" s="43">
        <f t="shared" si="13"/>
        <v>450.20250000000004</v>
      </c>
      <c r="T46" s="43">
        <f t="shared" si="13"/>
        <v>450.20250000000004</v>
      </c>
      <c r="U46" s="43">
        <f t="shared" si="13"/>
        <v>450.20250000000004</v>
      </c>
      <c r="V46" s="43">
        <f t="shared" si="13"/>
        <v>450.20250000000004</v>
      </c>
      <c r="W46" s="84">
        <f t="shared" si="13"/>
        <v>450.20250000000004</v>
      </c>
      <c r="X46" s="112">
        <f t="shared" si="5"/>
        <v>5.1722656996000468E-3</v>
      </c>
    </row>
    <row r="47" spans="10:24" x14ac:dyDescent="0.1">
      <c r="J47" s="82" t="s">
        <v>70</v>
      </c>
      <c r="K47" s="43">
        <f t="shared" ref="K47:W47" si="14">(K44+K45)*$K$20</f>
        <v>1251</v>
      </c>
      <c r="L47" s="43">
        <f t="shared" si="14"/>
        <v>1251</v>
      </c>
      <c r="M47" s="43">
        <f t="shared" si="14"/>
        <v>1376.1000000000001</v>
      </c>
      <c r="N47" s="43">
        <f t="shared" si="14"/>
        <v>1376.1000000000001</v>
      </c>
      <c r="O47" s="43">
        <f t="shared" si="14"/>
        <v>1376.1000000000001</v>
      </c>
      <c r="P47" s="43">
        <f t="shared" si="14"/>
        <v>1472.4270000000001</v>
      </c>
      <c r="Q47" s="43">
        <f t="shared" si="14"/>
        <v>1472.4270000000001</v>
      </c>
      <c r="R47" s="43">
        <f t="shared" si="14"/>
        <v>1472.4270000000001</v>
      </c>
      <c r="S47" s="43">
        <f t="shared" si="14"/>
        <v>1472.4270000000001</v>
      </c>
      <c r="T47" s="43">
        <f t="shared" si="14"/>
        <v>1472.4270000000001</v>
      </c>
      <c r="U47" s="43">
        <f t="shared" si="14"/>
        <v>1472.4270000000001</v>
      </c>
      <c r="V47" s="43">
        <f t="shared" si="14"/>
        <v>1472.4270000000001</v>
      </c>
      <c r="W47" s="84">
        <f t="shared" si="14"/>
        <v>1472.4270000000001</v>
      </c>
      <c r="X47" s="112">
        <f t="shared" si="5"/>
        <v>1.6916351346927212E-2</v>
      </c>
    </row>
    <row r="48" spans="10:24" ht="11.25" thickBot="1" x14ac:dyDescent="0.15">
      <c r="J48" s="78" t="s">
        <v>47</v>
      </c>
      <c r="K48" s="48">
        <f>SUM(K49:K51)</f>
        <v>4600.125</v>
      </c>
      <c r="L48" s="48">
        <f t="shared" ref="L48:W48" si="15">SUM(L49:L51)</f>
        <v>4600.125</v>
      </c>
      <c r="M48" s="48">
        <f t="shared" si="15"/>
        <v>5060.1374999999998</v>
      </c>
      <c r="N48" s="48">
        <f t="shared" si="15"/>
        <v>5060.1374999999998</v>
      </c>
      <c r="O48" s="48">
        <f t="shared" si="15"/>
        <v>5060.1374999999998</v>
      </c>
      <c r="P48" s="48">
        <f t="shared" si="15"/>
        <v>5414.3471249999993</v>
      </c>
      <c r="Q48" s="48">
        <f t="shared" si="15"/>
        <v>5414.3471249999993</v>
      </c>
      <c r="R48" s="48">
        <f t="shared" si="15"/>
        <v>5414.3471249999993</v>
      </c>
      <c r="S48" s="48">
        <f t="shared" si="15"/>
        <v>5414.3471249999993</v>
      </c>
      <c r="T48" s="48">
        <f t="shared" si="15"/>
        <v>5414.3471249999993</v>
      </c>
      <c r="U48" s="48">
        <f t="shared" si="15"/>
        <v>5414.3471249999993</v>
      </c>
      <c r="V48" s="48">
        <f t="shared" si="15"/>
        <v>5414.3471249999993</v>
      </c>
      <c r="W48" s="85">
        <f t="shared" si="15"/>
        <v>5414.3471249999993</v>
      </c>
      <c r="X48" s="112">
        <f t="shared" si="5"/>
        <v>6.22041013107782E-2</v>
      </c>
    </row>
    <row r="49" spans="10:25" x14ac:dyDescent="0.1">
      <c r="J49" s="82" t="s">
        <v>74</v>
      </c>
      <c r="K49" s="46">
        <f>K37/12</f>
        <v>3375</v>
      </c>
      <c r="L49" s="46">
        <f t="shared" ref="L49:W49" si="16">L37/12</f>
        <v>3375</v>
      </c>
      <c r="M49" s="46">
        <f t="shared" si="16"/>
        <v>3712.5</v>
      </c>
      <c r="N49" s="46">
        <f t="shared" si="16"/>
        <v>3712.5</v>
      </c>
      <c r="O49" s="46">
        <f t="shared" si="16"/>
        <v>3712.5</v>
      </c>
      <c r="P49" s="46">
        <f t="shared" si="16"/>
        <v>3972.375</v>
      </c>
      <c r="Q49" s="46">
        <f t="shared" si="16"/>
        <v>3972.375</v>
      </c>
      <c r="R49" s="46">
        <f t="shared" si="16"/>
        <v>3972.375</v>
      </c>
      <c r="S49" s="46">
        <f t="shared" si="16"/>
        <v>3972.375</v>
      </c>
      <c r="T49" s="46">
        <f t="shared" si="16"/>
        <v>3972.375</v>
      </c>
      <c r="U49" s="46">
        <f t="shared" si="16"/>
        <v>3972.375</v>
      </c>
      <c r="V49" s="46">
        <f t="shared" si="16"/>
        <v>3972.375</v>
      </c>
      <c r="W49" s="83">
        <f t="shared" si="16"/>
        <v>3972.375</v>
      </c>
      <c r="X49" s="112">
        <f t="shared" si="5"/>
        <v>4.5637638525882762E-2</v>
      </c>
    </row>
    <row r="50" spans="10:25" x14ac:dyDescent="0.1">
      <c r="J50" s="82" t="s">
        <v>72</v>
      </c>
      <c r="K50" s="43">
        <f t="shared" ref="K50:W50" si="17">K49*$K21</f>
        <v>286.875</v>
      </c>
      <c r="L50" s="43">
        <f t="shared" si="17"/>
        <v>286.875</v>
      </c>
      <c r="M50" s="43">
        <f t="shared" si="17"/>
        <v>315.5625</v>
      </c>
      <c r="N50" s="43">
        <f t="shared" si="17"/>
        <v>315.5625</v>
      </c>
      <c r="O50" s="43">
        <f t="shared" si="17"/>
        <v>315.5625</v>
      </c>
      <c r="P50" s="43">
        <f t="shared" si="17"/>
        <v>337.65187500000002</v>
      </c>
      <c r="Q50" s="43">
        <f t="shared" si="17"/>
        <v>337.65187500000002</v>
      </c>
      <c r="R50" s="43">
        <f t="shared" si="17"/>
        <v>337.65187500000002</v>
      </c>
      <c r="S50" s="43">
        <f t="shared" si="17"/>
        <v>337.65187500000002</v>
      </c>
      <c r="T50" s="43">
        <f t="shared" si="17"/>
        <v>337.65187500000002</v>
      </c>
      <c r="U50" s="43">
        <f t="shared" si="17"/>
        <v>337.65187500000002</v>
      </c>
      <c r="V50" s="43">
        <f t="shared" si="17"/>
        <v>337.65187500000002</v>
      </c>
      <c r="W50" s="84">
        <f t="shared" si="17"/>
        <v>337.65187500000002</v>
      </c>
      <c r="X50" s="112">
        <f t="shared" si="5"/>
        <v>3.8791992747000351E-3</v>
      </c>
    </row>
    <row r="51" spans="10:25" x14ac:dyDescent="0.1">
      <c r="J51" s="82" t="s">
        <v>73</v>
      </c>
      <c r="K51" s="43">
        <f t="shared" ref="K51:W51" si="18">K49*$K20</f>
        <v>938.25000000000011</v>
      </c>
      <c r="L51" s="43">
        <f t="shared" si="18"/>
        <v>938.25000000000011</v>
      </c>
      <c r="M51" s="43">
        <f t="shared" si="18"/>
        <v>1032.075</v>
      </c>
      <c r="N51" s="43">
        <f t="shared" si="18"/>
        <v>1032.075</v>
      </c>
      <c r="O51" s="43">
        <f t="shared" si="18"/>
        <v>1032.075</v>
      </c>
      <c r="P51" s="43">
        <f t="shared" si="18"/>
        <v>1104.32025</v>
      </c>
      <c r="Q51" s="43">
        <f t="shared" si="18"/>
        <v>1104.32025</v>
      </c>
      <c r="R51" s="43">
        <f t="shared" si="18"/>
        <v>1104.32025</v>
      </c>
      <c r="S51" s="43">
        <f t="shared" si="18"/>
        <v>1104.32025</v>
      </c>
      <c r="T51" s="43">
        <f t="shared" si="18"/>
        <v>1104.32025</v>
      </c>
      <c r="U51" s="43">
        <f t="shared" si="18"/>
        <v>1104.32025</v>
      </c>
      <c r="V51" s="43">
        <f t="shared" si="18"/>
        <v>1104.32025</v>
      </c>
      <c r="W51" s="84">
        <f t="shared" si="18"/>
        <v>1104.32025</v>
      </c>
      <c r="X51" s="112">
        <f t="shared" si="5"/>
        <v>1.2687263510195407E-2</v>
      </c>
    </row>
    <row r="52" spans="10:25" x14ac:dyDescent="0.1">
      <c r="J52" s="86"/>
      <c r="K52" s="44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87"/>
      <c r="X52" s="112">
        <f t="shared" si="5"/>
        <v>0</v>
      </c>
    </row>
    <row r="53" spans="10:25" ht="11.25" thickBot="1" x14ac:dyDescent="0.15">
      <c r="J53" s="88" t="s">
        <v>48</v>
      </c>
      <c r="K53" s="89">
        <f>SUM(K37:K43,K48)</f>
        <v>75371.125</v>
      </c>
      <c r="L53" s="89">
        <f t="shared" ref="L53:W53" si="19">SUM(L37:L43,L48)</f>
        <v>75371.125</v>
      </c>
      <c r="M53" s="89">
        <f t="shared" si="19"/>
        <v>81964.637499999997</v>
      </c>
      <c r="N53" s="89">
        <f t="shared" si="19"/>
        <v>81964.637499999997</v>
      </c>
      <c r="O53" s="89">
        <f t="shared" si="19"/>
        <v>81964.637499999997</v>
      </c>
      <c r="P53" s="89">
        <f t="shared" si="19"/>
        <v>87041.642124999998</v>
      </c>
      <c r="Q53" s="89">
        <f t="shared" si="19"/>
        <v>87041.642124999998</v>
      </c>
      <c r="R53" s="89">
        <f t="shared" si="19"/>
        <v>87041.642124999998</v>
      </c>
      <c r="S53" s="89">
        <f t="shared" si="19"/>
        <v>87041.642124999998</v>
      </c>
      <c r="T53" s="89">
        <f t="shared" si="19"/>
        <v>87041.642124999998</v>
      </c>
      <c r="U53" s="89">
        <f t="shared" si="19"/>
        <v>87041.642124999998</v>
      </c>
      <c r="V53" s="89">
        <f t="shared" si="19"/>
        <v>87041.642124999998</v>
      </c>
      <c r="W53" s="90">
        <f t="shared" si="19"/>
        <v>87041.642124999998</v>
      </c>
      <c r="X53" s="112">
        <f t="shared" si="5"/>
        <v>1</v>
      </c>
    </row>
    <row r="54" spans="10:25" x14ac:dyDescent="0.1">
      <c r="K54" s="25"/>
      <c r="X54" s="7"/>
    </row>
    <row r="55" spans="10:25" x14ac:dyDescent="0.1">
      <c r="K55" s="25"/>
      <c r="X55" s="7"/>
    </row>
    <row r="56" spans="10:25" x14ac:dyDescent="0.1">
      <c r="X56" s="7"/>
    </row>
    <row r="57" spans="10:25" x14ac:dyDescent="0.1">
      <c r="J57" s="26" t="s">
        <v>57</v>
      </c>
      <c r="X57" s="7"/>
    </row>
    <row r="58" spans="10:25" x14ac:dyDescent="0.1">
      <c r="J58" s="63" t="s">
        <v>50</v>
      </c>
      <c r="K58" s="27" t="s">
        <v>56</v>
      </c>
      <c r="L58" s="28" t="e">
        <f t="shared" ref="L58:W58" ca="1" si="20">L35</f>
        <v>#NAME?</v>
      </c>
      <c r="M58" s="28" t="e">
        <f t="shared" ca="1" si="20"/>
        <v>#NAME?</v>
      </c>
      <c r="N58" s="28" t="e">
        <f t="shared" ca="1" si="20"/>
        <v>#NAME?</v>
      </c>
      <c r="O58" s="28" t="e">
        <f t="shared" ca="1" si="20"/>
        <v>#NAME?</v>
      </c>
      <c r="P58" s="28" t="e">
        <f t="shared" ca="1" si="20"/>
        <v>#NAME?</v>
      </c>
      <c r="Q58" s="28" t="e">
        <f t="shared" ca="1" si="20"/>
        <v>#NAME?</v>
      </c>
      <c r="R58" s="28" t="e">
        <f t="shared" ca="1" si="20"/>
        <v>#NAME?</v>
      </c>
      <c r="S58" s="28" t="e">
        <f t="shared" ca="1" si="20"/>
        <v>#NAME?</v>
      </c>
      <c r="T58" s="28" t="e">
        <f t="shared" ca="1" si="20"/>
        <v>#NAME?</v>
      </c>
      <c r="U58" s="28" t="e">
        <f t="shared" ca="1" si="20"/>
        <v>#NAME?</v>
      </c>
      <c r="V58" s="28" t="e">
        <f t="shared" ca="1" si="20"/>
        <v>#NAME?</v>
      </c>
      <c r="W58" s="28" t="e">
        <f t="shared" ca="1" si="20"/>
        <v>#NAME?</v>
      </c>
      <c r="X58" s="7"/>
    </row>
    <row r="59" spans="10:25" x14ac:dyDescent="0.1">
      <c r="J59" s="109" t="s">
        <v>51</v>
      </c>
      <c r="K59" s="110">
        <f>SUMIF(A:A,LEFT(J59,1),G:G)/$K$9</f>
        <v>0.38024691358024693</v>
      </c>
      <c r="L59" s="111">
        <f>L$53*$K59</f>
        <v>28659.637654320988</v>
      </c>
      <c r="M59" s="111">
        <f t="shared" ref="M59:W63" si="21">M$53*$K59</f>
        <v>31166.800432098764</v>
      </c>
      <c r="N59" s="111">
        <f t="shared" si="21"/>
        <v>31166.800432098764</v>
      </c>
      <c r="O59" s="111">
        <f t="shared" si="21"/>
        <v>31166.800432098764</v>
      </c>
      <c r="P59" s="111">
        <f t="shared" si="21"/>
        <v>33097.315770987654</v>
      </c>
      <c r="Q59" s="111">
        <f t="shared" si="21"/>
        <v>33097.315770987654</v>
      </c>
      <c r="R59" s="111">
        <f t="shared" si="21"/>
        <v>33097.315770987654</v>
      </c>
      <c r="S59" s="111">
        <f t="shared" si="21"/>
        <v>33097.315770987654</v>
      </c>
      <c r="T59" s="111">
        <f t="shared" si="21"/>
        <v>33097.315770987654</v>
      </c>
      <c r="U59" s="111">
        <f t="shared" si="21"/>
        <v>33097.315770987654</v>
      </c>
      <c r="V59" s="111">
        <f t="shared" si="21"/>
        <v>33097.315770987654</v>
      </c>
      <c r="W59" s="111">
        <f t="shared" si="21"/>
        <v>33097.315770987654</v>
      </c>
      <c r="X59" s="112">
        <f>W59/W$65</f>
        <v>0.38024691358024693</v>
      </c>
      <c r="Y59" s="106"/>
    </row>
    <row r="60" spans="10:25" x14ac:dyDescent="0.1">
      <c r="J60" s="109" t="s">
        <v>52</v>
      </c>
      <c r="K60" s="110">
        <f>SUMIF(A:A,LEFT(J60,1),G:G)/$K$9</f>
        <v>0.24938271604938272</v>
      </c>
      <c r="L60" s="111">
        <f>L$53*$K60</f>
        <v>18796.25586419753</v>
      </c>
      <c r="M60" s="111">
        <f t="shared" si="21"/>
        <v>20440.563919753087</v>
      </c>
      <c r="N60" s="111">
        <f t="shared" si="21"/>
        <v>20440.563919753087</v>
      </c>
      <c r="O60" s="111">
        <f t="shared" si="21"/>
        <v>20440.563919753087</v>
      </c>
      <c r="P60" s="111">
        <f t="shared" si="21"/>
        <v>21706.681122530863</v>
      </c>
      <c r="Q60" s="111">
        <f t="shared" si="21"/>
        <v>21706.681122530863</v>
      </c>
      <c r="R60" s="111">
        <f t="shared" si="21"/>
        <v>21706.681122530863</v>
      </c>
      <c r="S60" s="111">
        <f t="shared" si="21"/>
        <v>21706.681122530863</v>
      </c>
      <c r="T60" s="111">
        <f t="shared" si="21"/>
        <v>21706.681122530863</v>
      </c>
      <c r="U60" s="111">
        <f t="shared" si="21"/>
        <v>21706.681122530863</v>
      </c>
      <c r="V60" s="111">
        <f t="shared" si="21"/>
        <v>21706.681122530863</v>
      </c>
      <c r="W60" s="111">
        <f t="shared" si="21"/>
        <v>21706.681122530863</v>
      </c>
      <c r="X60" s="112">
        <f t="shared" ref="X60:X65" si="22">W60/W$65</f>
        <v>0.2493827160493827</v>
      </c>
      <c r="Y60" s="106"/>
    </row>
    <row r="61" spans="10:25" x14ac:dyDescent="0.1">
      <c r="J61" s="109" t="s">
        <v>53</v>
      </c>
      <c r="K61" s="110">
        <f>SUMIF(A:A,LEFT(J61,1),G:G)/$K$9</f>
        <v>0.37037037037037035</v>
      </c>
      <c r="L61" s="111">
        <f>L$53*$K61</f>
        <v>27915.231481481478</v>
      </c>
      <c r="M61" s="111">
        <f t="shared" si="21"/>
        <v>30357.273148148146</v>
      </c>
      <c r="N61" s="111">
        <f t="shared" si="21"/>
        <v>30357.273148148146</v>
      </c>
      <c r="O61" s="111">
        <f t="shared" si="21"/>
        <v>30357.273148148146</v>
      </c>
      <c r="P61" s="111">
        <f t="shared" si="21"/>
        <v>32237.645231481478</v>
      </c>
      <c r="Q61" s="111">
        <f t="shared" si="21"/>
        <v>32237.645231481478</v>
      </c>
      <c r="R61" s="111">
        <f t="shared" si="21"/>
        <v>32237.645231481478</v>
      </c>
      <c r="S61" s="111">
        <f t="shared" si="21"/>
        <v>32237.645231481478</v>
      </c>
      <c r="T61" s="111">
        <f t="shared" si="21"/>
        <v>32237.645231481478</v>
      </c>
      <c r="U61" s="111">
        <f t="shared" si="21"/>
        <v>32237.645231481478</v>
      </c>
      <c r="V61" s="111">
        <f t="shared" si="21"/>
        <v>32237.645231481478</v>
      </c>
      <c r="W61" s="111">
        <f t="shared" si="21"/>
        <v>32237.645231481478</v>
      </c>
      <c r="X61" s="112">
        <f t="shared" si="22"/>
        <v>0.37037037037037035</v>
      </c>
      <c r="Y61" s="106"/>
    </row>
    <row r="62" spans="10:25" x14ac:dyDescent="0.1">
      <c r="J62" s="109" t="s">
        <v>54</v>
      </c>
      <c r="K62" s="110">
        <f>SUMIF(A:A,LEFT(J62,1),G:G)/$K$9</f>
        <v>0</v>
      </c>
      <c r="L62" s="111">
        <f>L$53*$K62</f>
        <v>0</v>
      </c>
      <c r="M62" s="111">
        <f t="shared" si="21"/>
        <v>0</v>
      </c>
      <c r="N62" s="111">
        <f t="shared" si="21"/>
        <v>0</v>
      </c>
      <c r="O62" s="111">
        <f t="shared" si="21"/>
        <v>0</v>
      </c>
      <c r="P62" s="111">
        <f t="shared" si="21"/>
        <v>0</v>
      </c>
      <c r="Q62" s="111">
        <f t="shared" si="21"/>
        <v>0</v>
      </c>
      <c r="R62" s="111">
        <f t="shared" si="21"/>
        <v>0</v>
      </c>
      <c r="S62" s="111">
        <f t="shared" si="21"/>
        <v>0</v>
      </c>
      <c r="T62" s="111">
        <f t="shared" si="21"/>
        <v>0</v>
      </c>
      <c r="U62" s="111">
        <f t="shared" si="21"/>
        <v>0</v>
      </c>
      <c r="V62" s="111">
        <f t="shared" si="21"/>
        <v>0</v>
      </c>
      <c r="W62" s="111">
        <f t="shared" si="21"/>
        <v>0</v>
      </c>
      <c r="X62" s="112">
        <f t="shared" si="22"/>
        <v>0</v>
      </c>
      <c r="Y62" s="106"/>
    </row>
    <row r="63" spans="10:25" x14ac:dyDescent="0.1">
      <c r="J63" s="109" t="s">
        <v>55</v>
      </c>
      <c r="K63" s="110">
        <f>SUMIF(A:A,LEFT(J63,1),G:G)/$K$9</f>
        <v>0</v>
      </c>
      <c r="L63" s="111">
        <f>L$53*$K63</f>
        <v>0</v>
      </c>
      <c r="M63" s="111">
        <f t="shared" si="21"/>
        <v>0</v>
      </c>
      <c r="N63" s="111">
        <f t="shared" si="21"/>
        <v>0</v>
      </c>
      <c r="O63" s="111">
        <f t="shared" si="21"/>
        <v>0</v>
      </c>
      <c r="P63" s="111">
        <f t="shared" si="21"/>
        <v>0</v>
      </c>
      <c r="Q63" s="111">
        <f t="shared" si="21"/>
        <v>0</v>
      </c>
      <c r="R63" s="111">
        <f t="shared" si="21"/>
        <v>0</v>
      </c>
      <c r="S63" s="111">
        <f t="shared" si="21"/>
        <v>0</v>
      </c>
      <c r="T63" s="111">
        <f t="shared" si="21"/>
        <v>0</v>
      </c>
      <c r="U63" s="111">
        <f t="shared" si="21"/>
        <v>0</v>
      </c>
      <c r="V63" s="111">
        <f t="shared" si="21"/>
        <v>0</v>
      </c>
      <c r="W63" s="111">
        <f t="shared" si="21"/>
        <v>0</v>
      </c>
      <c r="X63" s="112">
        <f t="shared" si="22"/>
        <v>0</v>
      </c>
      <c r="Y63" s="106"/>
    </row>
    <row r="64" spans="10:25" x14ac:dyDescent="0.1">
      <c r="L64" s="25"/>
      <c r="X64" s="112"/>
      <c r="Y64" s="106"/>
    </row>
    <row r="65" spans="10:37" x14ac:dyDescent="0.1">
      <c r="J65" s="107" t="s">
        <v>48</v>
      </c>
      <c r="K65" s="108"/>
      <c r="L65" s="108">
        <f>SUM(L59:L63)</f>
        <v>75371.125</v>
      </c>
      <c r="M65" s="108">
        <f t="shared" ref="M65:W65" si="23">SUM(M59:M63)</f>
        <v>81964.637499999997</v>
      </c>
      <c r="N65" s="108">
        <f t="shared" si="23"/>
        <v>81964.637499999997</v>
      </c>
      <c r="O65" s="108">
        <f t="shared" si="23"/>
        <v>81964.637499999997</v>
      </c>
      <c r="P65" s="108">
        <f t="shared" si="23"/>
        <v>87041.642124999998</v>
      </c>
      <c r="Q65" s="108">
        <f t="shared" si="23"/>
        <v>87041.642124999998</v>
      </c>
      <c r="R65" s="108">
        <f t="shared" si="23"/>
        <v>87041.642124999998</v>
      </c>
      <c r="S65" s="108">
        <f t="shared" si="23"/>
        <v>87041.642124999998</v>
      </c>
      <c r="T65" s="108">
        <f t="shared" si="23"/>
        <v>87041.642124999998</v>
      </c>
      <c r="U65" s="108">
        <f t="shared" si="23"/>
        <v>87041.642124999998</v>
      </c>
      <c r="V65" s="108">
        <f t="shared" si="23"/>
        <v>87041.642124999998</v>
      </c>
      <c r="W65" s="108">
        <f t="shared" si="23"/>
        <v>87041.642124999998</v>
      </c>
      <c r="X65" s="112">
        <f t="shared" si="22"/>
        <v>1</v>
      </c>
      <c r="Y65" s="106"/>
    </row>
    <row r="67" spans="10:37" x14ac:dyDescent="0.1">
      <c r="AJ67" s="24"/>
      <c r="AK67" s="24"/>
    </row>
    <row r="68" spans="10:37" x14ac:dyDescent="0.1">
      <c r="AJ68" s="24"/>
      <c r="AK68" s="24"/>
    </row>
    <row r="69" spans="10:37" x14ac:dyDescent="0.1">
      <c r="AJ69" s="24"/>
      <c r="AK69" s="24"/>
    </row>
    <row r="70" spans="10:37" x14ac:dyDescent="0.1">
      <c r="AJ70" s="24"/>
      <c r="AK70" s="24"/>
    </row>
    <row r="71" spans="10:37" x14ac:dyDescent="0.1">
      <c r="AJ71" s="24"/>
      <c r="AK71" s="24"/>
    </row>
    <row r="72" spans="10:37" x14ac:dyDescent="0.1">
      <c r="AJ72" s="24"/>
      <c r="AK72" s="24"/>
    </row>
    <row r="73" spans="10:37" x14ac:dyDescent="0.1">
      <c r="AJ73" s="24"/>
      <c r="AK73" s="24"/>
    </row>
    <row r="74" spans="10:37" x14ac:dyDescent="0.1"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</row>
    <row r="75" spans="10:37" x14ac:dyDescent="0.1"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</row>
    <row r="76" spans="10:37" x14ac:dyDescent="0.1"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</row>
    <row r="77" spans="10:37" x14ac:dyDescent="0.1"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</row>
    <row r="78" spans="10:37" x14ac:dyDescent="0.1"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</row>
    <row r="79" spans="10:37" x14ac:dyDescent="0.1"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</row>
    <row r="80" spans="10:37" x14ac:dyDescent="0.1"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</row>
    <row r="81" spans="10:37" x14ac:dyDescent="0.1"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</row>
    <row r="82" spans="10:37" x14ac:dyDescent="0.1"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</row>
    <row r="83" spans="10:37" x14ac:dyDescent="0.1"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</row>
    <row r="84" spans="10:37" x14ac:dyDescent="0.1"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</row>
  </sheetData>
  <phoneticPr fontId="0" type="noConversion"/>
  <conditionalFormatting sqref="L33:W33">
    <cfRule type="cellIs" dxfId="1" priority="1" stopIfTrue="1" operator="equal">
      <formula>"REAL"</formula>
    </cfRule>
    <cfRule type="cellIs" dxfId="0" priority="2" stopIfTrue="1" operator="equal">
      <formula>"PROJETADO"</formula>
    </cfRule>
  </conditionalFormatting>
  <pageMargins left="0.75" right="0.75" top="1" bottom="1" header="0.49212598499999999" footer="0.49212598499999999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5129" r:id="rId4">
          <objectPr defaultSize="0" r:id="rId5">
            <anchor moveWithCells="1">
              <from>
                <xdr:col>0</xdr:col>
                <xdr:colOff>9525</xdr:colOff>
                <xdr:row>17</xdr:row>
                <xdr:rowOff>123825</xdr:rowOff>
              </from>
              <to>
                <xdr:col>7</xdr:col>
                <xdr:colOff>638175</xdr:colOff>
                <xdr:row>79</xdr:row>
                <xdr:rowOff>28575</xdr:rowOff>
              </to>
            </anchor>
          </objectPr>
        </oleObject>
      </mc:Choice>
      <mc:Fallback>
        <oleObject progId="Word.Document.8" shapeId="5129" r:id="rId4"/>
      </mc:Fallback>
    </mc:AlternateContent>
    <mc:AlternateContent xmlns:mc="http://schemas.openxmlformats.org/markup-compatibility/2006">
      <mc:Choice Requires="x14">
        <oleObject progId="Word.Document.8" shapeId="5130" r:id="rId6">
          <objectPr defaultSize="0" r:id="rId7">
            <anchor moveWithCells="1">
              <from>
                <xdr:col>0</xdr:col>
                <xdr:colOff>9525</xdr:colOff>
                <xdr:row>76</xdr:row>
                <xdr:rowOff>95250</xdr:rowOff>
              </from>
              <to>
                <xdr:col>7</xdr:col>
                <xdr:colOff>638175</xdr:colOff>
                <xdr:row>127</xdr:row>
                <xdr:rowOff>104775</xdr:rowOff>
              </to>
            </anchor>
          </objectPr>
        </oleObject>
      </mc:Choice>
      <mc:Fallback>
        <oleObject progId="Word.Document.8" shapeId="5130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Problema</vt:lpstr>
      <vt:lpstr>Solução</vt:lpstr>
    </vt:vector>
  </TitlesOfParts>
  <Company>Cavalcante &amp; Associados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Cavalcante Consultores</dc:creator>
  <dc:description>Material do treinamento de Orçamento em Excel</dc:description>
  <cp:lastModifiedBy>X</cp:lastModifiedBy>
  <dcterms:created xsi:type="dcterms:W3CDTF">2000-05-11T16:55:49Z</dcterms:created>
  <dcterms:modified xsi:type="dcterms:W3CDTF">2018-02-07T01:13:19Z</dcterms:modified>
</cp:coreProperties>
</file>