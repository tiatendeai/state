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4.xml" ContentType="application/vnd.openxmlformats-officedocument.drawingml.char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heets/sheet4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5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1.xml" ContentType="application/vnd.openxmlformats-officedocument.spreadsheetml.chartsheet+xml"/>
  <Override PartName="/xl/comments1.xml" ContentType="application/vnd.openxmlformats-officedocument.spreadsheetml.comments+xml"/>
  <Override PartName="/xl/comments5.xml" ContentType="application/vnd.openxmlformats-officedocument.spreadsheetml.comments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9a4\AC\Temp\"/>
    </mc:Choice>
  </mc:AlternateContent>
  <xr:revisionPtr revIDLastSave="0" documentId="8_{7637A892-68F3-AE49-8D55-11090547B45F}" xr6:coauthVersionLast="28" xr6:coauthVersionMax="28" xr10:uidLastSave="{00000000-0000-0000-0000-000000000000}"/>
  <bookViews>
    <workbookView xWindow="-15" yWindow="-15" windowWidth="11970" windowHeight="3075" tabRatio="716" activeTab="4" xr2:uid="{00000000-000D-0000-FFFF-FFFF00000000}"/>
  </bookViews>
  <sheets>
    <sheet name="Simulação" sheetId="79" r:id="rId1"/>
    <sheet name="comparação" sheetId="80" r:id="rId2"/>
    <sheet name="cargasATMT" sheetId="77" r:id="rId3"/>
    <sheet name="rateio ATMT" sheetId="20" r:id="rId4"/>
    <sheet name="controle" sheetId="81" r:id="rId5"/>
    <sheet name="kWh-unid" sheetId="82" r:id="rId6"/>
    <sheet name="R$-unid" sheetId="83" r:id="rId7"/>
    <sheet name="EconkWh" sheetId="84" r:id="rId8"/>
    <sheet name="EconR$" sheetId="85" r:id="rId9"/>
  </sheets>
  <definedNames>
    <definedName name="_xlnm.Print_Area" localSheetId="1">comparação!$A$1:$N$34</definedName>
    <definedName name="_xlnm.Print_Area" localSheetId="4">controle!$1:$1048576</definedName>
  </definedNames>
  <calcPr calcId="171026"/>
</workbook>
</file>

<file path=xl/calcChain.xml><?xml version="1.0" encoding="utf-8"?>
<calcChain xmlns="http://schemas.openxmlformats.org/spreadsheetml/2006/main">
  <c r="G17" i="81" l="1"/>
  <c r="H17" i="81"/>
  <c r="I17" i="81"/>
  <c r="G18" i="81"/>
  <c r="H18" i="81"/>
  <c r="I18" i="81"/>
  <c r="G19" i="81"/>
  <c r="H19" i="81"/>
  <c r="I19" i="81"/>
  <c r="G20" i="81"/>
  <c r="H20" i="81"/>
  <c r="I20" i="81"/>
  <c r="G21" i="81"/>
  <c r="H21" i="81"/>
  <c r="I21" i="81"/>
  <c r="G22" i="81"/>
  <c r="H22" i="81"/>
  <c r="I22" i="81"/>
  <c r="G23" i="81"/>
  <c r="H23" i="81"/>
  <c r="I23" i="81"/>
  <c r="G24" i="81"/>
  <c r="H24" i="81"/>
  <c r="I24" i="81"/>
  <c r="G25" i="81"/>
  <c r="H25" i="81"/>
  <c r="I25" i="81"/>
  <c r="G26" i="81"/>
  <c r="H26" i="81"/>
  <c r="I26" i="81"/>
  <c r="G27" i="81"/>
  <c r="H27" i="81"/>
  <c r="I27" i="81"/>
  <c r="G28" i="81"/>
  <c r="H28" i="81"/>
  <c r="I28" i="81"/>
  <c r="G32" i="81"/>
  <c r="H32" i="81"/>
  <c r="I32" i="81"/>
  <c r="J32" i="81"/>
  <c r="K32" i="81"/>
  <c r="L32" i="81"/>
  <c r="G33" i="81"/>
  <c r="H33" i="81"/>
  <c r="I33" i="81"/>
  <c r="J33" i="81"/>
  <c r="K33" i="81"/>
  <c r="L33" i="81"/>
  <c r="G34" i="81"/>
  <c r="H34" i="81"/>
  <c r="I34" i="81"/>
  <c r="J34" i="81"/>
  <c r="K34" i="81"/>
  <c r="L34" i="81"/>
  <c r="G35" i="81"/>
  <c r="H35" i="81"/>
  <c r="I35" i="81"/>
  <c r="J35" i="81"/>
  <c r="K35" i="81"/>
  <c r="L35" i="81"/>
  <c r="G36" i="81"/>
  <c r="H36" i="81"/>
  <c r="I36" i="81"/>
  <c r="J36" i="81"/>
  <c r="K36" i="81"/>
  <c r="L36" i="81"/>
  <c r="G37" i="81"/>
  <c r="H37" i="81"/>
  <c r="I37" i="81"/>
  <c r="J37" i="81"/>
  <c r="K37" i="81"/>
  <c r="L37" i="81"/>
  <c r="G38" i="81"/>
  <c r="H38" i="81"/>
  <c r="I38" i="81"/>
  <c r="J38" i="81"/>
  <c r="K38" i="81"/>
  <c r="L38" i="81"/>
  <c r="G39" i="81"/>
  <c r="H39" i="81"/>
  <c r="I39" i="81"/>
  <c r="J39" i="81"/>
  <c r="K39" i="81"/>
  <c r="L39" i="81"/>
  <c r="G40" i="81"/>
  <c r="H40" i="81"/>
  <c r="I40" i="81"/>
  <c r="J40" i="81"/>
  <c r="K40" i="81"/>
  <c r="L40" i="81"/>
  <c r="G41" i="81"/>
  <c r="H41" i="81"/>
  <c r="I41" i="81"/>
  <c r="J41" i="81"/>
  <c r="K41" i="81"/>
  <c r="L41" i="81"/>
  <c r="G42" i="81"/>
  <c r="H42" i="81"/>
  <c r="I42" i="81"/>
  <c r="J42" i="81"/>
  <c r="K42" i="81"/>
  <c r="L42" i="81"/>
  <c r="G43" i="81"/>
  <c r="H43" i="81"/>
  <c r="I43" i="81"/>
  <c r="J43" i="81"/>
  <c r="K43" i="81"/>
  <c r="L43" i="81"/>
  <c r="G6" i="79"/>
  <c r="L16" i="80"/>
  <c r="L17" i="80"/>
  <c r="E14" i="79"/>
  <c r="C14" i="79"/>
  <c r="D14" i="79"/>
  <c r="H4" i="79"/>
  <c r="E4" i="79"/>
  <c r="F4" i="79"/>
  <c r="H5" i="79"/>
  <c r="E5" i="79"/>
  <c r="F5" i="79"/>
  <c r="E6" i="79"/>
  <c r="F6" i="79"/>
  <c r="H6" i="79"/>
  <c r="C11" i="79"/>
  <c r="D11" i="79"/>
  <c r="F11" i="79"/>
  <c r="G11" i="79"/>
  <c r="H11" i="79"/>
  <c r="C12" i="79"/>
  <c r="D12" i="79"/>
  <c r="E12" i="79"/>
  <c r="F12" i="79"/>
  <c r="G12" i="79"/>
  <c r="H12" i="79"/>
  <c r="C13" i="79"/>
  <c r="D13" i="79"/>
  <c r="E13" i="79"/>
  <c r="F14" i="79"/>
  <c r="F13" i="79"/>
  <c r="G14" i="79"/>
  <c r="G13" i="79"/>
  <c r="H14" i="79"/>
  <c r="H13" i="79"/>
  <c r="O3" i="80"/>
  <c r="B5" i="80"/>
  <c r="C5" i="80"/>
  <c r="D5" i="80"/>
  <c r="E17" i="80"/>
  <c r="E16" i="80"/>
  <c r="E5" i="80"/>
  <c r="F17" i="80"/>
  <c r="F5" i="80"/>
  <c r="G5" i="80"/>
  <c r="J5" i="80"/>
  <c r="K5" i="80"/>
  <c r="L5" i="80"/>
  <c r="O14" i="80"/>
  <c r="M17" i="80"/>
  <c r="M16" i="80"/>
  <c r="M5" i="80"/>
  <c r="N17" i="80"/>
  <c r="N16" i="80"/>
  <c r="N5" i="80"/>
  <c r="O17" i="80"/>
  <c r="O16" i="80"/>
  <c r="O5" i="80"/>
  <c r="B6" i="80"/>
  <c r="C6" i="80"/>
  <c r="D6" i="80"/>
  <c r="E6" i="80"/>
  <c r="F6" i="80"/>
  <c r="G6" i="80"/>
  <c r="J6" i="80"/>
  <c r="K6" i="80"/>
  <c r="L6" i="80"/>
  <c r="M6" i="80"/>
  <c r="N6" i="80"/>
  <c r="O6" i="80"/>
  <c r="B7" i="80"/>
  <c r="C7" i="80"/>
  <c r="D7" i="80"/>
  <c r="E7" i="80"/>
  <c r="F7" i="80"/>
  <c r="G7" i="80"/>
  <c r="J7" i="80"/>
  <c r="K7" i="80"/>
  <c r="L7" i="80"/>
  <c r="M7" i="80"/>
  <c r="N7" i="80"/>
  <c r="O7" i="80"/>
  <c r="B8" i="80"/>
  <c r="C8" i="80"/>
  <c r="D8" i="80"/>
  <c r="E8" i="80"/>
  <c r="F8" i="80"/>
  <c r="G8" i="80"/>
  <c r="J8" i="80"/>
  <c r="K8" i="80"/>
  <c r="L8" i="80"/>
  <c r="M8" i="80"/>
  <c r="N8" i="80"/>
  <c r="O8" i="80"/>
  <c r="B9" i="80"/>
  <c r="C9" i="80"/>
  <c r="D9" i="80"/>
  <c r="E9" i="80"/>
  <c r="F9" i="80"/>
  <c r="G9" i="80"/>
  <c r="J9" i="80"/>
  <c r="K9" i="80"/>
  <c r="L9" i="80"/>
  <c r="M9" i="80"/>
  <c r="N9" i="80"/>
  <c r="O9" i="80"/>
  <c r="B10" i="80"/>
  <c r="C10" i="80"/>
  <c r="D10" i="80"/>
  <c r="E10" i="80"/>
  <c r="F10" i="80"/>
  <c r="G10" i="80"/>
  <c r="J10" i="80"/>
  <c r="K10" i="80"/>
  <c r="L10" i="80"/>
  <c r="M10" i="80"/>
  <c r="N10" i="80"/>
  <c r="O10" i="80"/>
  <c r="B11" i="80"/>
  <c r="C11" i="80"/>
  <c r="D11" i="80"/>
  <c r="E11" i="80"/>
  <c r="F11" i="80"/>
  <c r="G11" i="80"/>
  <c r="J11" i="80"/>
  <c r="K11" i="80"/>
  <c r="L11" i="80"/>
  <c r="M11" i="80"/>
  <c r="N11" i="80"/>
  <c r="O11" i="80"/>
  <c r="B12" i="80"/>
  <c r="C12" i="80"/>
  <c r="D12" i="80"/>
  <c r="E12" i="80"/>
  <c r="F12" i="80"/>
  <c r="G12" i="80"/>
  <c r="J12" i="80"/>
  <c r="K12" i="80"/>
  <c r="L12" i="80"/>
  <c r="M12" i="80"/>
  <c r="N12" i="80"/>
  <c r="O12" i="80"/>
  <c r="G14" i="80"/>
  <c r="F16" i="80"/>
  <c r="G16" i="80"/>
  <c r="G17" i="80"/>
  <c r="G21" i="80"/>
  <c r="B23" i="80"/>
  <c r="C23" i="80"/>
  <c r="D23" i="80"/>
  <c r="E23" i="80"/>
  <c r="F23" i="80"/>
  <c r="G23" i="80"/>
  <c r="B24" i="80"/>
  <c r="C24" i="80"/>
  <c r="D24" i="80"/>
  <c r="E24" i="80"/>
  <c r="F24" i="80"/>
  <c r="G24" i="80"/>
  <c r="B25" i="80"/>
  <c r="C25" i="80"/>
  <c r="D25" i="80"/>
  <c r="E25" i="80"/>
  <c r="F25" i="80"/>
  <c r="G25" i="80"/>
  <c r="B26" i="80"/>
  <c r="C26" i="80"/>
  <c r="D26" i="80"/>
  <c r="E26" i="80"/>
  <c r="F26" i="80"/>
  <c r="G26" i="80"/>
  <c r="B27" i="80"/>
  <c r="C27" i="80"/>
  <c r="D27" i="80"/>
  <c r="E27" i="80"/>
  <c r="F27" i="80"/>
  <c r="G27" i="80"/>
  <c r="B28" i="80"/>
  <c r="C28" i="80"/>
  <c r="D28" i="80"/>
  <c r="E28" i="80"/>
  <c r="F28" i="80"/>
  <c r="G28" i="80"/>
  <c r="B29" i="80"/>
  <c r="C29" i="80"/>
  <c r="D29" i="80"/>
  <c r="E29" i="80"/>
  <c r="F29" i="80"/>
  <c r="G29" i="80"/>
  <c r="B30" i="80"/>
  <c r="C30" i="80"/>
  <c r="D30" i="80"/>
  <c r="E30" i="80"/>
  <c r="F30" i="80"/>
  <c r="G30" i="80"/>
  <c r="AC58" i="77"/>
  <c r="AB58" i="77"/>
  <c r="AA58" i="77"/>
  <c r="Z58" i="77"/>
  <c r="Y58" i="77"/>
  <c r="X58" i="77"/>
  <c r="W58" i="77"/>
  <c r="V58" i="77"/>
  <c r="U58" i="77"/>
  <c r="T58" i="77"/>
  <c r="S58" i="77"/>
  <c r="R58" i="77"/>
  <c r="Q58" i="77"/>
  <c r="P58" i="77"/>
  <c r="O58" i="77"/>
  <c r="N58" i="77"/>
  <c r="M58" i="77"/>
  <c r="L58" i="77"/>
  <c r="K58" i="77"/>
  <c r="J58" i="77"/>
  <c r="I58" i="77"/>
  <c r="H58" i="77"/>
  <c r="G58" i="77"/>
  <c r="F58" i="77"/>
  <c r="AG59" i="77"/>
  <c r="AF59" i="77"/>
  <c r="AC59" i="77"/>
  <c r="AB59" i="77"/>
  <c r="AA59" i="77"/>
  <c r="Z59" i="77"/>
  <c r="Y59" i="77"/>
  <c r="X59" i="77"/>
  <c r="W59" i="77"/>
  <c r="V59" i="77"/>
  <c r="U59" i="77"/>
  <c r="T59" i="77"/>
  <c r="S59" i="77"/>
  <c r="R59" i="77"/>
  <c r="Q59" i="77"/>
  <c r="P59" i="77"/>
  <c r="O59" i="77"/>
  <c r="N59" i="77"/>
  <c r="M59" i="77"/>
  <c r="L59" i="77"/>
  <c r="K59" i="77"/>
  <c r="J59" i="77"/>
  <c r="I59" i="77"/>
  <c r="H59" i="77"/>
  <c r="G59" i="77"/>
  <c r="F59" i="77"/>
  <c r="AG58" i="77"/>
  <c r="AF58" i="77"/>
  <c r="E58" i="77"/>
  <c r="E59" i="77"/>
  <c r="D26" i="20"/>
  <c r="J7" i="20"/>
  <c r="K7" i="20"/>
  <c r="D27" i="20"/>
  <c r="L7" i="20"/>
  <c r="M7" i="20"/>
  <c r="J8" i="20"/>
  <c r="K8" i="20"/>
  <c r="L8" i="20"/>
  <c r="M8" i="20"/>
  <c r="J9" i="20"/>
  <c r="K9" i="20"/>
  <c r="L9" i="20"/>
  <c r="M9" i="20"/>
  <c r="J10" i="20"/>
  <c r="K10" i="20"/>
  <c r="L10" i="20"/>
  <c r="M10" i="20"/>
  <c r="J11" i="20"/>
  <c r="K11" i="20"/>
  <c r="L11" i="20"/>
  <c r="M11" i="20"/>
  <c r="J12" i="20"/>
  <c r="K12" i="20"/>
  <c r="L12" i="20"/>
  <c r="M12" i="20"/>
  <c r="J13" i="20"/>
  <c r="K13" i="20"/>
  <c r="L13" i="20"/>
  <c r="M13" i="20"/>
  <c r="J14" i="20"/>
  <c r="K14" i="20"/>
  <c r="L14" i="20"/>
  <c r="M14" i="20"/>
  <c r="J15" i="20"/>
  <c r="K15" i="20"/>
  <c r="L15" i="20"/>
  <c r="M15" i="20"/>
  <c r="J16" i="20"/>
  <c r="K16" i="20"/>
  <c r="L16" i="20"/>
  <c r="M16" i="20"/>
  <c r="J17" i="20"/>
  <c r="K17" i="20"/>
  <c r="L17" i="20"/>
  <c r="M17" i="20"/>
  <c r="J18" i="20"/>
  <c r="K18" i="20"/>
  <c r="L18" i="20"/>
  <c r="M18" i="20"/>
  <c r="J19" i="20"/>
  <c r="K19" i="20"/>
  <c r="L19" i="20"/>
  <c r="M19" i="20"/>
  <c r="J20" i="20"/>
  <c r="K20" i="20"/>
  <c r="L20" i="20"/>
  <c r="M20" i="20"/>
  <c r="J21" i="20"/>
  <c r="K21" i="20"/>
  <c r="L21" i="20"/>
  <c r="M21" i="20"/>
  <c r="L6" i="20"/>
  <c r="J6" i="20"/>
  <c r="M6" i="20"/>
  <c r="K6" i="20"/>
  <c r="C27" i="20"/>
  <c r="H21" i="20"/>
  <c r="I21" i="20"/>
  <c r="H20" i="20"/>
  <c r="I20" i="20"/>
  <c r="H19" i="20"/>
  <c r="I19" i="20"/>
  <c r="H18" i="20"/>
  <c r="I18" i="20"/>
  <c r="H17" i="20"/>
  <c r="I17" i="20"/>
  <c r="H16" i="20"/>
  <c r="I16" i="20"/>
  <c r="H15" i="20"/>
  <c r="I15" i="20"/>
  <c r="H14" i="20"/>
  <c r="I14" i="20"/>
  <c r="H13" i="20"/>
  <c r="I13" i="20"/>
  <c r="H12" i="20"/>
  <c r="I12" i="20"/>
  <c r="H11" i="20"/>
  <c r="I11" i="20"/>
  <c r="H10" i="20"/>
  <c r="I10" i="20"/>
  <c r="H9" i="20"/>
  <c r="I9" i="20"/>
  <c r="H8" i="20"/>
  <c r="I8" i="20"/>
  <c r="H7" i="20"/>
  <c r="I7" i="20"/>
  <c r="H6" i="20"/>
  <c r="I6" i="20"/>
  <c r="C2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6" i="20"/>
  <c r="G6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 Aurélio Guimarães Monteiro</author>
  </authors>
  <commentList>
    <comment ref="E3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caso o consumo não seja dado, inserir valores para simulação.
 Preencher o consumo dado usando os valores calculados.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 Aurélio Guimarães Monteiro</author>
  </authors>
  <commentList>
    <comment ref="G3" authorId="0" shapeId="0" xr:uid="{00000000-0006-0000-0100-000001000000}">
      <text>
        <r>
          <rPr>
            <b/>
            <sz val="14"/>
            <color indexed="81"/>
            <rFont val="Tahoma"/>
            <family val="2"/>
          </rPr>
          <t>entrar com taxa de ICMS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 Aurélio</author>
    <author>Marco Aurélio Guimarães Monteiro</author>
  </authors>
  <commentList>
    <comment ref="X4" authorId="0" shapeId="0" xr:uid="{00000000-0006-0000-0200-000001000000}">
      <text>
        <r>
          <rPr>
            <sz val="11"/>
            <color indexed="81"/>
            <rFont val="Tahoma"/>
            <family val="2"/>
          </rPr>
          <t>se a ponta for em outro horário, favor modificar</t>
        </r>
        <r>
          <rPr>
            <sz val="8"/>
            <color indexed="81"/>
            <rFont val="Tahoma"/>
          </rPr>
          <t xml:space="preserve">
</t>
        </r>
      </text>
    </comment>
    <comment ref="C5" authorId="1" shapeId="0" xr:uid="{00000000-0006-0000-0200-000002000000}">
      <text>
        <r>
          <rPr>
            <b/>
            <sz val="12"/>
            <color indexed="81"/>
            <rFont val="Tahoma"/>
            <family val="2"/>
          </rPr>
          <t>indicar a unidade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 Aurélio Guimarães Monteiro</author>
  </authors>
  <commentList>
    <comment ref="F23" authorId="0" shapeId="0" xr:uid="{00000000-0006-0000-0300-000001000000}">
      <text>
        <r>
          <rPr>
            <b/>
            <sz val="12"/>
            <color indexed="81"/>
            <rFont val="Tahoma"/>
            <family val="2"/>
          </rPr>
          <t>Entrar com os dados reais obtidos da conta de energia</t>
        </r>
      </text>
    </comment>
    <comment ref="H23" authorId="0" shapeId="0" xr:uid="{00000000-0006-0000-0300-000002000000}">
      <text>
        <r>
          <rPr>
            <b/>
            <sz val="12"/>
            <color indexed="81"/>
            <rFont val="Tahoma"/>
            <family val="2"/>
          </rPr>
          <t>Entrar com os dados reais obtidos da conta de energia</t>
        </r>
      </text>
    </comment>
    <comment ref="J23" authorId="0" shapeId="0" xr:uid="{00000000-0006-0000-0300-000003000000}">
      <text>
        <r>
          <rPr>
            <b/>
            <sz val="12"/>
            <color indexed="81"/>
            <rFont val="Tahoma"/>
            <family val="2"/>
          </rPr>
          <t>Entrar com os dados reais obtidos da conta de energia</t>
        </r>
      </text>
    </comment>
    <comment ref="L23" authorId="0" shapeId="0" xr:uid="{00000000-0006-0000-0300-000004000000}">
      <text>
        <r>
          <rPr>
            <b/>
            <sz val="12"/>
            <color indexed="81"/>
            <rFont val="Tahoma"/>
            <family val="2"/>
          </rPr>
          <t>Entrar com os dados reais obtidos da conta de energia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 Aurélio</author>
    <author>Comissão Coordenadora Conservação de Energia</author>
    <author>c041112</author>
    <author>c040359</author>
    <author>Marco Aurélio Guimarães Monteiro</author>
  </authors>
  <commentList>
    <comment ref="B4" authorId="0" shapeId="0" xr:uid="{00000000-0006-0000-0400-000001000000}">
      <text>
        <r>
          <rPr>
            <b/>
            <sz val="8"/>
            <color indexed="81"/>
            <rFont val="Tahoma"/>
          </rPr>
          <t xml:space="preserve">local, cidade,etc
</t>
        </r>
        <r>
          <rPr>
            <sz val="8"/>
            <color indexed="81"/>
            <rFont val="Tahoma"/>
            <family val="2"/>
          </rPr>
          <t>Ex. Planta de Ubá ou unidade de fiação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B5" authorId="1" shapeId="0" xr:uid="{00000000-0006-0000-0400-000002000000}">
      <text>
        <r>
          <rPr>
            <b/>
            <sz val="10"/>
            <color indexed="81"/>
            <rFont val="Tahoma"/>
            <family val="2"/>
          </rPr>
          <t>Informar se a unidade pertence ao Grupo "A", "AS".</t>
        </r>
        <r>
          <rPr>
            <sz val="8"/>
            <color indexed="81"/>
            <rFont val="Tahoma"/>
          </rPr>
          <t xml:space="preserve">
</t>
        </r>
      </text>
    </comment>
    <comment ref="D5" authorId="1" shapeId="0" xr:uid="{00000000-0006-0000-0400-000003000000}">
      <text>
        <r>
          <rPr>
            <b/>
            <sz val="10"/>
            <color indexed="81"/>
            <rFont val="Tahoma"/>
            <family val="2"/>
          </rPr>
          <t>Colocar qual o tipo de tarifa: Verde,  Azul, Convencional .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B10" authorId="2" shapeId="0" xr:uid="{00000000-0006-0000-0400-000004000000}">
      <text>
        <r>
          <rPr>
            <b/>
            <sz val="10"/>
            <color indexed="81"/>
            <rFont val="Tahoma"/>
            <family val="2"/>
          </rPr>
          <t>Relacionar atividade exercida no local.</t>
        </r>
      </text>
    </comment>
    <comment ref="B11" authorId="3" shapeId="0" xr:uid="{00000000-0006-0000-0400-000005000000}">
      <text>
        <r>
          <rPr>
            <b/>
            <sz val="10"/>
            <color indexed="81"/>
            <rFont val="Tahoma"/>
            <family val="2"/>
          </rPr>
          <t>Informar os produtos acabados.</t>
        </r>
      </text>
    </comment>
    <comment ref="C15" authorId="3" shapeId="0" xr:uid="{00000000-0006-0000-0400-000006000000}">
      <text>
        <r>
          <rPr>
            <b/>
            <sz val="10"/>
            <color indexed="81"/>
            <rFont val="Tahoma"/>
            <family val="2"/>
          </rPr>
          <t xml:space="preserve">Informar o ciclo de faturamento:
(trata-se do período compreendido entre a leitura anterior e a atual).
</t>
        </r>
        <r>
          <rPr>
            <sz val="10"/>
            <color indexed="81"/>
            <rFont val="Tahoma"/>
            <family val="2"/>
          </rPr>
          <t>Ex:   O ciclo de Jan, será elaborado utilizando-se a fatura do mês de Fev. A leitura desta fatura: anterior foi dia 07/01 e a atual  foi 04/02, portanto o ciclo a ser informado no espaço abaixo será : 08/01 a 04/02.</t>
        </r>
      </text>
    </comment>
    <comment ref="D15" authorId="3" shapeId="0" xr:uid="{00000000-0006-0000-0400-000007000000}">
      <text>
        <r>
          <rPr>
            <b/>
            <sz val="10"/>
            <color indexed="81"/>
            <rFont val="Tahoma"/>
            <family val="2"/>
          </rPr>
          <t xml:space="preserve">Refere-se ao consumo em kWh registrado  e faturado na conta do mês seguinte  ao mês de referência.
Se for THS, considerar o consumo registrado (HP+HFP) .
</t>
        </r>
        <r>
          <rPr>
            <sz val="10"/>
            <color indexed="81"/>
            <rFont val="Tahoma"/>
            <family val="2"/>
          </rPr>
          <t>Ex.: Para o mês de referência Jan, levantar o consumo registrado na conta de Fev.</t>
        </r>
      </text>
    </comment>
    <comment ref="E15" authorId="2" shapeId="0" xr:uid="{00000000-0006-0000-0400-000008000000}">
      <text>
        <r>
          <rPr>
            <b/>
            <sz val="10"/>
            <color indexed="81"/>
            <rFont val="Tahoma"/>
            <family val="2"/>
          </rPr>
          <t>Valor total pago pela fatura.</t>
        </r>
      </text>
    </comment>
    <comment ref="G15" authorId="4" shapeId="0" xr:uid="{00000000-0006-0000-0400-000009000000}">
      <text>
        <r>
          <rPr>
            <sz val="9"/>
            <color indexed="81"/>
            <rFont val="Tahoma"/>
            <family val="2"/>
          </rPr>
          <t>Os preços médios devem ser calculados usando a mesma tarifa</t>
        </r>
      </text>
    </comment>
    <comment ref="H15" authorId="3" shapeId="0" xr:uid="{00000000-0006-0000-0400-00000A000000}">
      <text>
        <r>
          <rPr>
            <sz val="10"/>
            <color indexed="81"/>
            <rFont val="Tahoma"/>
            <family val="2"/>
          </rPr>
          <t>Refere-se  ao consumo por unidade produzida ou serviço prestado. 
É obtido através da divisão do consumo TOTAL (colocado na coluna  "Consumo") e do valor da coluna "Produção".</t>
        </r>
      </text>
    </comment>
    <comment ref="I15" authorId="3" shapeId="0" xr:uid="{00000000-0006-0000-0400-00000B000000}">
      <text>
        <r>
          <rPr>
            <b/>
            <sz val="10"/>
            <color indexed="81"/>
            <rFont val="Tahoma"/>
            <family val="2"/>
          </rPr>
          <t>Refere-se  ao preço gasto com cada unidade produzida ou serviço prestado. É obtido multiplicando o preço médio (R$/kWh) pelo consumo específico (kWh/*).</t>
        </r>
      </text>
    </comment>
    <comment ref="F16" authorId="1" shapeId="0" xr:uid="{00000000-0006-0000-0400-00000C000000}">
      <text>
        <r>
          <rPr>
            <b/>
            <sz val="10"/>
            <color indexed="81"/>
            <rFont val="Tahoma"/>
            <family val="2"/>
          </rPr>
          <t xml:space="preserve">Colocar a unidade da variável que corresponde à produção. 
</t>
        </r>
        <r>
          <rPr>
            <sz val="10"/>
            <color indexed="81"/>
            <rFont val="Tahoma"/>
            <family val="2"/>
          </rPr>
          <t>Ex.:  horas trabalhadas, dias, kg, pçs, diárias, ton, etc.</t>
        </r>
        <r>
          <rPr>
            <b/>
            <sz val="10"/>
            <color indexed="81"/>
            <rFont val="Tahoma"/>
            <family val="2"/>
          </rPr>
          <t xml:space="preserve">
</t>
        </r>
      </text>
    </comment>
    <comment ref="H16" authorId="1" shapeId="0" xr:uid="{00000000-0006-0000-0400-00000D000000}">
      <text>
        <r>
          <rPr>
            <sz val="10"/>
            <color indexed="81"/>
            <rFont val="Tahoma"/>
            <family val="2"/>
          </rPr>
          <t>No lugar do asterisco colocar a unidade que constará na célula F16.</t>
        </r>
      </text>
    </comment>
    <comment ref="I16" authorId="1" shapeId="0" xr:uid="{00000000-0006-0000-0400-00000E000000}">
      <text>
        <r>
          <rPr>
            <b/>
            <sz val="10"/>
            <color indexed="81"/>
            <rFont val="Tahoma"/>
            <family val="2"/>
          </rPr>
          <t>O asterisco é substituído pela unidade colocada na célula F16.</t>
        </r>
      </text>
    </comment>
    <comment ref="B30" authorId="3" shapeId="0" xr:uid="{00000000-0006-0000-0400-00000F000000}">
      <text>
        <r>
          <rPr>
            <b/>
            <sz val="10"/>
            <color indexed="81"/>
            <rFont val="Tahoma"/>
            <family val="2"/>
          </rPr>
          <t>Mês de referência.</t>
        </r>
      </text>
    </comment>
    <comment ref="C30" authorId="3" shapeId="0" xr:uid="{00000000-0006-0000-0400-000010000000}">
      <text>
        <r>
          <rPr>
            <b/>
            <sz val="10"/>
            <color indexed="81"/>
            <rFont val="Tahoma"/>
            <family val="2"/>
          </rPr>
          <t xml:space="preserve">Informar o ciclo de faturamento:
(trata-se do período compreendido entre a leitura anterior e a atual).
</t>
        </r>
        <r>
          <rPr>
            <sz val="10"/>
            <color indexed="81"/>
            <rFont val="Tahoma"/>
            <family val="2"/>
          </rPr>
          <t>Ex:   O ciclo de Jan/03, será elaborado utilizando-se a fatura do mês de Fev/03. A leitura desta fatura: anterior foi dia 07/01 e a atual  foi 04/02, portanto o ciclo a ser informado no espaço abaixo será : 08/01 a 04/02.</t>
        </r>
      </text>
    </comment>
    <comment ref="D30" authorId="3" shapeId="0" xr:uid="{00000000-0006-0000-0400-000011000000}">
      <text>
        <r>
          <rPr>
            <b/>
            <sz val="10"/>
            <color indexed="81"/>
            <rFont val="Tahoma"/>
            <family val="2"/>
          </rPr>
          <t xml:space="preserve">Refere-se ao consumo em kWh registrado  e faturado na conta do mês seguinte  ao mês de referência.
Se for THS, considerar o consumo registrado (HP+HFP) .
</t>
        </r>
        <r>
          <rPr>
            <sz val="10"/>
            <color indexed="81"/>
            <rFont val="Tahoma"/>
            <family val="2"/>
          </rPr>
          <t>Ex.: Para o mês de referência Jan/03, levantar o consumo registrado na conta de Fev/03.</t>
        </r>
      </text>
    </comment>
    <comment ref="E30" authorId="2" shapeId="0" xr:uid="{00000000-0006-0000-0400-000012000000}">
      <text>
        <r>
          <rPr>
            <b/>
            <sz val="10"/>
            <color indexed="81"/>
            <rFont val="Tahoma"/>
            <family val="2"/>
          </rPr>
          <t>Valor total pago pela fatura.</t>
        </r>
      </text>
    </comment>
    <comment ref="G30" authorId="4" shapeId="0" xr:uid="{00000000-0006-0000-0400-000013000000}">
      <text>
        <r>
          <rPr>
            <sz val="9"/>
            <color indexed="81"/>
            <rFont val="Tahoma"/>
            <family val="2"/>
          </rPr>
          <t xml:space="preserve">caso haja aumento tarifário, aplicá-lo sobre os preços médios do ano anterior para nivelar os preços.
</t>
        </r>
      </text>
    </comment>
    <comment ref="H30" authorId="3" shapeId="0" xr:uid="{00000000-0006-0000-0400-000014000000}">
      <text>
        <r>
          <rPr>
            <b/>
            <sz val="10"/>
            <color indexed="81"/>
            <rFont val="Tahoma"/>
            <family val="2"/>
          </rPr>
          <t>Refere-se  ao consumo por unidade produzida ou serviço prestado. 
É obtido através da divisão do consumo TOTAL (colocado na coluna  "Consumo") e do valor da coluna "Produção".</t>
        </r>
      </text>
    </comment>
    <comment ref="I30" authorId="3" shapeId="0" xr:uid="{00000000-0006-0000-0400-000015000000}">
      <text>
        <r>
          <rPr>
            <b/>
            <sz val="10"/>
            <color indexed="81"/>
            <rFont val="Tahoma"/>
            <family val="2"/>
          </rPr>
          <t>Refere-se  ao preço gasto com cada unidade produzida ou serviço prestado. É obtido multiplicando o preço médio (R$/kWh) pelo consumo específico (kWh/*).</t>
        </r>
      </text>
    </comment>
    <comment ref="J30" authorId="2" shapeId="0" xr:uid="{00000000-0006-0000-0400-000016000000}">
      <text>
        <r>
          <rPr>
            <b/>
            <sz val="10"/>
            <color indexed="81"/>
            <rFont val="Tahoma"/>
            <family val="2"/>
          </rPr>
          <t>Será a diferença entre o Cons. Espec. Anterior(no Ex. o de 2002) e o Atual(no Ex. o de 2003) vezes a produção atual.</t>
        </r>
        <r>
          <rPr>
            <sz val="8"/>
            <color indexed="81"/>
            <rFont val="Tahoma"/>
          </rPr>
          <t xml:space="preserve">
</t>
        </r>
      </text>
    </comment>
    <comment ref="K30" authorId="2" shapeId="0" xr:uid="{00000000-0006-0000-0400-000017000000}">
      <text>
        <r>
          <rPr>
            <sz val="10"/>
            <color indexed="81"/>
            <rFont val="Tahoma"/>
            <family val="2"/>
          </rPr>
          <t>Será a economia em kWh multiplicado pelo preço médio do ano anterior.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31" authorId="1" shapeId="0" xr:uid="{00000000-0006-0000-0400-000018000000}">
      <text>
        <r>
          <rPr>
            <b/>
            <sz val="10"/>
            <color indexed="81"/>
            <rFont val="Tahoma"/>
            <family val="2"/>
          </rPr>
          <t xml:space="preserve">Colocar a unidade da variável que corresponde à produção. 
</t>
        </r>
        <r>
          <rPr>
            <sz val="10"/>
            <color indexed="81"/>
            <rFont val="Tahoma"/>
            <family val="2"/>
          </rPr>
          <t>Ex.:  horas trabalhadas, dias, kg, pçs, diárias, ton, etc.</t>
        </r>
        <r>
          <rPr>
            <b/>
            <sz val="10"/>
            <color indexed="81"/>
            <rFont val="Tahoma"/>
            <family val="2"/>
          </rPr>
          <t xml:space="preserve">
</t>
        </r>
      </text>
    </comment>
    <comment ref="H31" authorId="1" shapeId="0" xr:uid="{00000000-0006-0000-0400-000019000000}">
      <text>
        <r>
          <rPr>
            <b/>
            <sz val="10"/>
            <color indexed="81"/>
            <rFont val="Tahoma"/>
            <family val="2"/>
          </rPr>
          <t>No lugar do asterisco colocar a unidade que constará na célula F31.</t>
        </r>
        <r>
          <rPr>
            <sz val="8"/>
            <color indexed="81"/>
            <rFont val="Tahoma"/>
          </rPr>
          <t xml:space="preserve">
</t>
        </r>
      </text>
    </comment>
    <comment ref="I31" authorId="1" shapeId="0" xr:uid="{00000000-0006-0000-0400-00001A000000}">
      <text>
        <r>
          <rPr>
            <b/>
            <sz val="10"/>
            <color indexed="81"/>
            <rFont val="Tahoma"/>
            <family val="2"/>
          </rPr>
          <t>O asterisco é substituído pela unidade colocada na célula F31.</t>
        </r>
      </text>
    </comment>
  </commentList>
</comments>
</file>

<file path=xl/sharedStrings.xml><?xml version="1.0" encoding="utf-8"?>
<sst xmlns="http://schemas.openxmlformats.org/spreadsheetml/2006/main" count="201" uniqueCount="119">
  <si>
    <t>HFP</t>
  </si>
  <si>
    <t>HP</t>
  </si>
  <si>
    <t xml:space="preserve">Consumo Real (kWh/mês)  </t>
  </si>
  <si>
    <t>Data :</t>
  </si>
  <si>
    <t xml:space="preserve">Consumo (kWh/mês)  </t>
  </si>
  <si>
    <t>Demanda Utilizada ( kW )</t>
  </si>
  <si>
    <t>%</t>
  </si>
  <si>
    <t>Nome</t>
  </si>
  <si>
    <t>Componentes / Especificações</t>
  </si>
  <si>
    <t>Quant.</t>
  </si>
  <si>
    <t>consumo</t>
  </si>
  <si>
    <t>Potência Instalada - kW</t>
  </si>
  <si>
    <t>Total</t>
  </si>
  <si>
    <t>Data</t>
  </si>
  <si>
    <t>Centro de Custo</t>
  </si>
  <si>
    <t>( Este fator retrata o índice de utilização médio dos equipamentos da indústria referente ao consumo e à demanda )</t>
  </si>
  <si>
    <t>Horas /mês</t>
  </si>
  <si>
    <t>Empresa</t>
  </si>
  <si>
    <t xml:space="preserve">Potência Instalada </t>
  </si>
  <si>
    <t>HFP - kW</t>
  </si>
  <si>
    <t>HP - kW</t>
  </si>
  <si>
    <t>demanda</t>
  </si>
  <si>
    <t xml:space="preserve">Consumo - (kWh/mês)  </t>
  </si>
  <si>
    <t>APROPRIAÇÃO DE DEMANDA E CONSUMO  POR CENTRO DE CUSTO</t>
  </si>
  <si>
    <t xml:space="preserve">Fator de condição de carga  FP </t>
  </si>
  <si>
    <t>Fator de condição de carga  HP</t>
  </si>
  <si>
    <t>Levantamento de Cargas e Regime de Funcionamento</t>
  </si>
  <si>
    <t>Ponta</t>
  </si>
  <si>
    <t>Planilha AT e MT</t>
  </si>
  <si>
    <t>RATEIO AT e MT</t>
  </si>
  <si>
    <t>Entrar dados apenas nas células em amarelo</t>
  </si>
  <si>
    <t>Consumo - kWh</t>
  </si>
  <si>
    <t>Potência - kW</t>
  </si>
  <si>
    <t>Fator de carga</t>
  </si>
  <si>
    <t>calculado</t>
  </si>
  <si>
    <t>dado</t>
  </si>
  <si>
    <t>Fc - calculado</t>
  </si>
  <si>
    <t xml:space="preserve"> Hp = </t>
  </si>
  <si>
    <t xml:space="preserve">Única ou Hfp = </t>
  </si>
  <si>
    <t>Final</t>
  </si>
  <si>
    <t>Custo da energia em R$/kWh</t>
  </si>
  <si>
    <t>A4 sem ICMS</t>
  </si>
  <si>
    <t>A4 com ICMS de</t>
  </si>
  <si>
    <t>Azul</t>
  </si>
  <si>
    <t>Verde</t>
  </si>
  <si>
    <t>convenc.</t>
  </si>
  <si>
    <t>Hp</t>
  </si>
  <si>
    <t>Fatura - R$</t>
  </si>
  <si>
    <t>FC</t>
  </si>
  <si>
    <t>Tarifas - Período Seco</t>
  </si>
  <si>
    <t>Sem ICMS</t>
  </si>
  <si>
    <t xml:space="preserve">Com ICMS de </t>
  </si>
  <si>
    <t xml:space="preserve">consumo </t>
  </si>
  <si>
    <t>Tarifa do</t>
  </si>
  <si>
    <t xml:space="preserve">B3  = </t>
  </si>
  <si>
    <t>R$ / MWh</t>
  </si>
  <si>
    <t>SENHA para desproteger = " " (espaço em branco)</t>
  </si>
  <si>
    <t>PM = Preço Médio</t>
  </si>
  <si>
    <t>TC = Tarifa de Consumo</t>
  </si>
  <si>
    <t xml:space="preserve">  NH = Nº de Horas</t>
  </si>
  <si>
    <t>TD = Tarifa de Demanda</t>
  </si>
  <si>
    <r>
      <t xml:space="preserve"> - Custo do kWh na </t>
    </r>
    <r>
      <rPr>
        <b/>
        <sz val="10"/>
        <rFont val="Arial"/>
        <family val="2"/>
      </rPr>
      <t>ponta</t>
    </r>
    <r>
      <rPr>
        <sz val="10"/>
        <rFont val="Arial"/>
        <family val="2"/>
      </rPr>
      <t xml:space="preserve"> em reais para qualquer potência</t>
    </r>
  </si>
  <si>
    <r>
      <t xml:space="preserve"> - Custo do kWh </t>
    </r>
    <r>
      <rPr>
        <b/>
        <sz val="10"/>
        <rFont val="Arial"/>
        <family val="2"/>
      </rPr>
      <t>fora da ponta</t>
    </r>
    <r>
      <rPr>
        <sz val="10"/>
        <rFont val="Arial"/>
        <family val="2"/>
      </rPr>
      <t xml:space="preserve"> em reais para qualquer potência</t>
    </r>
  </si>
  <si>
    <r>
      <t xml:space="preserve">Custo do kWh </t>
    </r>
    <r>
      <rPr>
        <b/>
        <sz val="10"/>
        <rFont val="Arial"/>
        <family val="2"/>
      </rPr>
      <t>médio</t>
    </r>
    <r>
      <rPr>
        <sz val="10"/>
        <rFont val="Arial"/>
        <family val="2"/>
      </rPr>
      <t xml:space="preserve"> em reais para qualquer potência - A4 e mesmo Fc</t>
    </r>
  </si>
  <si>
    <r>
      <t xml:space="preserve">  </t>
    </r>
    <r>
      <rPr>
        <b/>
        <sz val="10"/>
        <color indexed="10"/>
        <rFont val="Arial"/>
        <family val="2"/>
      </rPr>
      <t>Fc</t>
    </r>
    <r>
      <rPr>
        <sz val="10"/>
        <rFont val="Arial"/>
      </rPr>
      <t xml:space="preserve"> = Fator de Carga</t>
    </r>
  </si>
  <si>
    <t>entrar Tarifas  nas células em amarelo</t>
  </si>
  <si>
    <t>PLANILHA DE ACOMPANHAMENTO E COMPARATIVO DE                                                                  CONSUMO E DE CUSTO DE ENERGIA ELÉTRICA</t>
  </si>
  <si>
    <t>Dados de Identificação da Empresa</t>
  </si>
  <si>
    <t>Planta / unidade :</t>
  </si>
  <si>
    <t>Identificador:</t>
  </si>
  <si>
    <t>Grupo:</t>
  </si>
  <si>
    <t>Modalidade Tarifária :</t>
  </si>
  <si>
    <t>Nº Contrato:</t>
  </si>
  <si>
    <t>vigente</t>
  </si>
  <si>
    <t>anterior 1</t>
  </si>
  <si>
    <t>anterior 2</t>
  </si>
  <si>
    <t>Demanda contratada fora de ponta ou única - kW</t>
  </si>
  <si>
    <t>Demanda contratada de ponta - kW</t>
  </si>
  <si>
    <t>Atividade Produtiva:</t>
  </si>
  <si>
    <t>Produto Acabado</t>
  </si>
  <si>
    <t>Controle do consumo e custo específicos</t>
  </si>
  <si>
    <t>Mês/ano de</t>
  </si>
  <si>
    <t>Ciclo de</t>
  </si>
  <si>
    <t>Consumo</t>
  </si>
  <si>
    <t>Total Fatura</t>
  </si>
  <si>
    <t>Produção</t>
  </si>
  <si>
    <t>Preço Médio</t>
  </si>
  <si>
    <t>Cons. Específico</t>
  </si>
  <si>
    <t>Custo Específico</t>
  </si>
  <si>
    <t>Referência</t>
  </si>
  <si>
    <t>Faturamento</t>
  </si>
  <si>
    <t>(kWh)</t>
  </si>
  <si>
    <t>(R$)</t>
  </si>
  <si>
    <t>(*)</t>
  </si>
  <si>
    <t>(R$/kWh)</t>
  </si>
  <si>
    <t>(kWh/*)</t>
  </si>
  <si>
    <t>(R$/*)</t>
  </si>
  <si>
    <t>08/01 -04/02</t>
  </si>
  <si>
    <t>ECONOMIAS</t>
  </si>
  <si>
    <t>Mês de</t>
  </si>
  <si>
    <t>ECONOMIA</t>
  </si>
  <si>
    <t>ACUMULADO</t>
  </si>
  <si>
    <t>Mês</t>
  </si>
  <si>
    <t>no mês (kWh)</t>
  </si>
  <si>
    <t>no mês   (R$)</t>
  </si>
  <si>
    <t>Atualizado (R$)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</si>
  <si>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</si>
  <si>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</si>
  <si>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</si>
  <si>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</si>
  <si>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</si>
  <si>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</si>
  <si>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</si>
  <si>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</si>
  <si>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</si>
  <si>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</si>
  <si>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</si>
  <si>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</si>
  <si>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* colocar a unidade de produção (t, peças, dias ou horas trabalhadas,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</si>
</sst>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#,##0.0"/>
    <numFmt numFmtId="166" formatCode="0.000"/>
    <numFmt numFmtId="167" formatCode="0.0"/>
    <numFmt numFmtId="168" formatCode="0.0%"/>
    <numFmt numFmtId="169" formatCode="_(* #,##0_);_(* \(#,##0\);_(* &quot;-&quot;??_);_(@_)"/>
    <numFmt numFmtId="170" formatCode="_(* #,##0.000_);_(* \(#,##0.000\);_(* &quot;-&quot;??_);_(@_)"/>
    <numFmt numFmtId="171" formatCode="_(* #,##0.0000_);_(* \(#,##0.0000\);_(* &quot;-&quot;??_);_(@_)"/>
    <numFmt numFmtId="172" formatCode="#,##0.0000"/>
  </numFmts>
  <fonts count="24" x14ac:knownFonts="1">
    <font>
      <sz val="10"/>
      <name val="Arial"/>
    </font>
    <font>
      <sz val="10"/>
      <name val="Arial"/>
    </font>
    <font>
      <sz val="11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sz val="8"/>
      <color indexed="81"/>
      <name val="Tahoma"/>
    </font>
    <font>
      <sz val="11"/>
      <color indexed="81"/>
      <name val="Tahoma"/>
      <family val="2"/>
    </font>
    <font>
      <sz val="8"/>
      <name val="Arial"/>
    </font>
    <font>
      <b/>
      <sz val="14"/>
      <name val="Arial"/>
      <family val="2"/>
    </font>
    <font>
      <b/>
      <sz val="10"/>
      <color indexed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</font>
    <font>
      <b/>
      <sz val="14"/>
      <color indexed="81"/>
      <name val="Tahoma"/>
      <family val="2"/>
    </font>
    <font>
      <b/>
      <sz val="12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9"/>
      <color indexed="81"/>
      <name val="Tahoma"/>
      <family val="2"/>
    </font>
    <font>
      <b/>
      <sz val="12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45">
    <xf numFmtId="0" fontId="0" fillId="0" borderId="0" xfId="0"/>
    <xf numFmtId="0" fontId="4" fillId="0" borderId="0" xfId="0" applyFont="1"/>
    <xf numFmtId="3" fontId="0" fillId="0" borderId="1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/>
    <xf numFmtId="0" fontId="5" fillId="0" borderId="4" xfId="0" applyFont="1" applyBorder="1" applyAlignment="1">
      <alignment vertical="center"/>
    </xf>
    <xf numFmtId="0" fontId="6" fillId="0" borderId="0" xfId="0" applyFont="1" applyAlignment="1"/>
    <xf numFmtId="0" fontId="6" fillId="0" borderId="0" xfId="0" applyFont="1" applyFill="1" applyAlignment="1"/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9" fontId="0" fillId="0" borderId="2" xfId="1" applyFont="1" applyBorder="1" applyAlignment="1">
      <alignment horizontal="center" vertical="center"/>
    </xf>
    <xf numFmtId="3" fontId="8" fillId="2" borderId="2" xfId="0" applyNumberFormat="1" applyFont="1" applyFill="1" applyBorder="1" applyAlignment="1">
      <alignment horizontal="center" vertical="center"/>
    </xf>
    <xf numFmtId="1" fontId="8" fillId="2" borderId="8" xfId="0" applyNumberFormat="1" applyFon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165" fontId="6" fillId="3" borderId="1" xfId="0" applyNumberFormat="1" applyFont="1" applyFill="1" applyBorder="1" applyAlignment="1">
      <alignment vertical="center"/>
    </xf>
    <xf numFmtId="165" fontId="6" fillId="3" borderId="1" xfId="0" applyNumberFormat="1" applyFont="1" applyFill="1" applyBorder="1" applyAlignment="1"/>
    <xf numFmtId="169" fontId="0" fillId="0" borderId="9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left" vertical="center"/>
    </xf>
    <xf numFmtId="0" fontId="4" fillId="0" borderId="0" xfId="0" applyFont="1" applyBorder="1" applyAlignment="1">
      <alignment vertical="center"/>
    </xf>
    <xf numFmtId="3" fontId="6" fillId="0" borderId="0" xfId="0" applyNumberFormat="1" applyFont="1" applyBorder="1" applyAlignment="1">
      <alignment vertical="center"/>
    </xf>
    <xf numFmtId="0" fontId="0" fillId="0" borderId="10" xfId="0" applyBorder="1" applyAlignment="1">
      <alignment horizontal="left" vertical="center"/>
    </xf>
    <xf numFmtId="169" fontId="0" fillId="0" borderId="11" xfId="2" applyNumberFormat="1" applyFon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168" fontId="0" fillId="0" borderId="12" xfId="1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165" fontId="6" fillId="4" borderId="1" xfId="0" applyNumberFormat="1" applyFont="1" applyFill="1" applyBorder="1" applyAlignment="1"/>
    <xf numFmtId="0" fontId="5" fillId="0" borderId="13" xfId="0" applyFont="1" applyBorder="1" applyAlignment="1">
      <alignment vertical="center"/>
    </xf>
    <xf numFmtId="17" fontId="6" fillId="0" borderId="14" xfId="0" applyNumberFormat="1" applyFont="1" applyBorder="1" applyAlignment="1">
      <alignment vertical="center"/>
    </xf>
    <xf numFmtId="169" fontId="0" fillId="0" borderId="15" xfId="0" applyNumberFormat="1" applyBorder="1" applyAlignment="1">
      <alignment horizontal="right" vertical="center"/>
    </xf>
    <xf numFmtId="169" fontId="0" fillId="0" borderId="16" xfId="0" applyNumberFormat="1" applyBorder="1" applyAlignment="1">
      <alignment horizontal="right" vertical="center"/>
    </xf>
    <xf numFmtId="169" fontId="0" fillId="0" borderId="17" xfId="0" applyNumberFormat="1" applyBorder="1" applyAlignment="1">
      <alignment horizontal="right"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9" fontId="0" fillId="0" borderId="20" xfId="1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3" fontId="0" fillId="0" borderId="23" xfId="0" applyNumberFormat="1" applyBorder="1" applyAlignment="1">
      <alignment horizontal="center" vertical="center"/>
    </xf>
    <xf numFmtId="3" fontId="0" fillId="0" borderId="24" xfId="0" applyNumberFormat="1" applyBorder="1" applyAlignment="1">
      <alignment horizontal="center" vertical="center"/>
    </xf>
    <xf numFmtId="3" fontId="0" fillId="0" borderId="25" xfId="0" applyNumberFormat="1" applyBorder="1" applyAlignment="1">
      <alignment horizontal="center" vertical="center"/>
    </xf>
    <xf numFmtId="3" fontId="0" fillId="0" borderId="26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0" fillId="0" borderId="27" xfId="0" applyNumberFormat="1" applyBorder="1" applyAlignment="1">
      <alignment horizontal="center" vertical="center"/>
    </xf>
    <xf numFmtId="168" fontId="0" fillId="0" borderId="25" xfId="1" applyNumberFormat="1" applyFont="1" applyBorder="1" applyAlignment="1">
      <alignment horizontal="center" vertical="center"/>
    </xf>
    <xf numFmtId="168" fontId="0" fillId="0" borderId="17" xfId="1" applyNumberFormat="1" applyFont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3" fontId="0" fillId="0" borderId="28" xfId="0" applyNumberFormat="1" applyBorder="1" applyAlignment="1">
      <alignment horizontal="center" vertical="center"/>
    </xf>
    <xf numFmtId="169" fontId="0" fillId="0" borderId="29" xfId="2" applyNumberFormat="1" applyFont="1" applyBorder="1" applyAlignment="1">
      <alignment horizontal="center" vertical="center"/>
    </xf>
    <xf numFmtId="167" fontId="0" fillId="0" borderId="30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7" fontId="0" fillId="0" borderId="32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6" fillId="0" borderId="0" xfId="0" applyFont="1" applyBorder="1" applyAlignment="1"/>
    <xf numFmtId="0" fontId="6" fillId="3" borderId="38" xfId="0" applyFont="1" applyFill="1" applyBorder="1" applyAlignment="1">
      <alignment vertical="center"/>
    </xf>
    <xf numFmtId="169" fontId="6" fillId="3" borderId="15" xfId="2" applyNumberFormat="1" applyFont="1" applyFill="1" applyBorder="1" applyAlignment="1">
      <alignment vertical="center"/>
    </xf>
    <xf numFmtId="0" fontId="6" fillId="3" borderId="10" xfId="0" applyFont="1" applyFill="1" applyBorder="1" applyAlignment="1">
      <alignment vertical="center"/>
    </xf>
    <xf numFmtId="0" fontId="6" fillId="3" borderId="12" xfId="0" applyFont="1" applyFill="1" applyBorder="1" applyAlignment="1">
      <alignment vertical="center"/>
    </xf>
    <xf numFmtId="0" fontId="6" fillId="4" borderId="12" xfId="0" applyFont="1" applyFill="1" applyBorder="1" applyAlignment="1">
      <alignment vertical="center"/>
    </xf>
    <xf numFmtId="169" fontId="6" fillId="3" borderId="16" xfId="2" applyNumberFormat="1" applyFont="1" applyFill="1" applyBorder="1" applyAlignment="1">
      <alignment vertical="center"/>
    </xf>
    <xf numFmtId="0" fontId="3" fillId="0" borderId="32" xfId="0" applyFont="1" applyBorder="1" applyAlignment="1">
      <alignment horizontal="center" vertical="center"/>
    </xf>
    <xf numFmtId="0" fontId="6" fillId="3" borderId="39" xfId="0" applyFont="1" applyFill="1" applyBorder="1" applyAlignment="1">
      <alignment vertical="center"/>
    </xf>
    <xf numFmtId="0" fontId="6" fillId="3" borderId="40" xfId="0" applyFont="1" applyFill="1" applyBorder="1" applyAlignment="1">
      <alignment vertical="center"/>
    </xf>
    <xf numFmtId="0" fontId="6" fillId="3" borderId="40" xfId="0" applyFont="1" applyFill="1" applyBorder="1" applyAlignment="1">
      <alignment horizontal="center"/>
    </xf>
    <xf numFmtId="0" fontId="6" fillId="3" borderId="16" xfId="0" applyFont="1" applyFill="1" applyBorder="1" applyAlignment="1">
      <alignment vertical="center"/>
    </xf>
    <xf numFmtId="0" fontId="6" fillId="3" borderId="15" xfId="0" applyFont="1" applyFill="1" applyBorder="1" applyAlignment="1">
      <alignment vertical="center"/>
    </xf>
    <xf numFmtId="167" fontId="6" fillId="3" borderId="15" xfId="0" applyNumberFormat="1" applyFont="1" applyFill="1" applyBorder="1" applyAlignment="1">
      <alignment vertical="center"/>
    </xf>
    <xf numFmtId="165" fontId="6" fillId="3" borderId="38" xfId="0" applyNumberFormat="1" applyFont="1" applyFill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165" fontId="6" fillId="3" borderId="40" xfId="0" applyNumberFormat="1" applyFont="1" applyFill="1" applyBorder="1" applyAlignment="1"/>
    <xf numFmtId="1" fontId="6" fillId="3" borderId="38" xfId="0" applyNumberFormat="1" applyFont="1" applyFill="1" applyBorder="1" applyAlignment="1">
      <alignment vertical="center"/>
    </xf>
    <xf numFmtId="1" fontId="6" fillId="3" borderId="15" xfId="0" applyNumberFormat="1" applyFont="1" applyFill="1" applyBorder="1" applyAlignment="1">
      <alignment vertical="center"/>
    </xf>
    <xf numFmtId="0" fontId="6" fillId="0" borderId="42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169" fontId="6" fillId="3" borderId="10" xfId="2" applyNumberFormat="1" applyFont="1" applyFill="1" applyBorder="1" applyAlignment="1">
      <alignment vertical="center"/>
    </xf>
    <xf numFmtId="169" fontId="6" fillId="3" borderId="38" xfId="2" applyNumberFormat="1" applyFont="1" applyFill="1" applyBorder="1" applyAlignment="1">
      <alignment vertical="center"/>
    </xf>
    <xf numFmtId="0" fontId="6" fillId="3" borderId="43" xfId="0" applyFont="1" applyFill="1" applyBorder="1" applyAlignment="1">
      <alignment vertical="center"/>
    </xf>
    <xf numFmtId="0" fontId="6" fillId="3" borderId="44" xfId="0" applyFont="1" applyFill="1" applyBorder="1" applyAlignment="1">
      <alignment vertical="center"/>
    </xf>
    <xf numFmtId="4" fontId="6" fillId="3" borderId="43" xfId="0" applyNumberFormat="1" applyFont="1" applyFill="1" applyBorder="1" applyAlignment="1">
      <alignment vertical="center"/>
    </xf>
    <xf numFmtId="4" fontId="6" fillId="3" borderId="45" xfId="0" applyNumberFormat="1" applyFont="1" applyFill="1" applyBorder="1" applyAlignment="1">
      <alignment vertical="center"/>
    </xf>
    <xf numFmtId="4" fontId="6" fillId="3" borderId="46" xfId="0" applyNumberFormat="1" applyFont="1" applyFill="1" applyBorder="1" applyAlignment="1">
      <alignment vertical="center"/>
    </xf>
    <xf numFmtId="165" fontId="6" fillId="3" borderId="45" xfId="0" applyNumberFormat="1" applyFont="1" applyFill="1" applyBorder="1" applyAlignment="1"/>
    <xf numFmtId="165" fontId="6" fillId="4" borderId="45" xfId="0" applyNumberFormat="1" applyFont="1" applyFill="1" applyBorder="1" applyAlignment="1"/>
    <xf numFmtId="165" fontId="6" fillId="3" borderId="44" xfId="0" applyNumberFormat="1" applyFont="1" applyFill="1" applyBorder="1" applyAlignment="1"/>
    <xf numFmtId="167" fontId="6" fillId="3" borderId="43" xfId="0" applyNumberFormat="1" applyFont="1" applyFill="1" applyBorder="1" applyAlignment="1">
      <alignment vertical="center"/>
    </xf>
    <xf numFmtId="167" fontId="6" fillId="3" borderId="46" xfId="0" applyNumberFormat="1" applyFont="1" applyFill="1" applyBorder="1" applyAlignment="1">
      <alignment vertical="center"/>
    </xf>
    <xf numFmtId="169" fontId="6" fillId="3" borderId="43" xfId="2" applyNumberFormat="1" applyFont="1" applyFill="1" applyBorder="1" applyAlignment="1">
      <alignment vertical="center"/>
    </xf>
    <xf numFmtId="169" fontId="6" fillId="3" borderId="46" xfId="2" applyNumberFormat="1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3" fontId="6" fillId="0" borderId="20" xfId="0" applyNumberFormat="1" applyFont="1" applyBorder="1" applyAlignment="1">
      <alignment vertical="center"/>
    </xf>
    <xf numFmtId="3" fontId="6" fillId="4" borderId="20" xfId="0" applyNumberFormat="1" applyFont="1" applyFill="1" applyBorder="1" applyAlignment="1">
      <alignment vertical="center"/>
    </xf>
    <xf numFmtId="3" fontId="6" fillId="0" borderId="47" xfId="0" applyNumberFormat="1" applyFont="1" applyBorder="1" applyAlignment="1">
      <alignment vertical="center"/>
    </xf>
    <xf numFmtId="3" fontId="6" fillId="0" borderId="48" xfId="0" applyNumberFormat="1" applyFont="1" applyBorder="1" applyAlignment="1">
      <alignment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vertical="center"/>
    </xf>
    <xf numFmtId="0" fontId="5" fillId="0" borderId="0" xfId="0" applyFont="1"/>
    <xf numFmtId="0" fontId="0" fillId="0" borderId="10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3" fontId="6" fillId="0" borderId="20" xfId="0" applyNumberFormat="1" applyFont="1" applyFill="1" applyBorder="1" applyAlignment="1">
      <alignment vertical="center"/>
    </xf>
    <xf numFmtId="168" fontId="1" fillId="0" borderId="0" xfId="1" applyNumberFormat="1"/>
    <xf numFmtId="0" fontId="5" fillId="0" borderId="0" xfId="0" applyFont="1" applyProtection="1">
      <protection locked="0"/>
    </xf>
    <xf numFmtId="0" fontId="0" fillId="0" borderId="0" xfId="0" applyProtection="1">
      <protection hidden="1"/>
    </xf>
    <xf numFmtId="0" fontId="0" fillId="0" borderId="0" xfId="0" applyBorder="1" applyProtection="1">
      <protection hidden="1"/>
    </xf>
    <xf numFmtId="0" fontId="0" fillId="0" borderId="1" xfId="0" applyBorder="1" applyAlignment="1" applyProtection="1">
      <alignment horizontal="center"/>
      <protection locked="0"/>
    </xf>
    <xf numFmtId="170" fontId="1" fillId="0" borderId="0" xfId="2" applyNumberFormat="1" applyBorder="1" applyProtection="1">
      <protection hidden="1"/>
    </xf>
    <xf numFmtId="0" fontId="0" fillId="0" borderId="1" xfId="0" applyBorder="1" applyProtection="1">
      <protection hidden="1"/>
    </xf>
    <xf numFmtId="0" fontId="0" fillId="0" borderId="1" xfId="0" applyBorder="1" applyProtection="1">
      <protection locked="0"/>
    </xf>
    <xf numFmtId="170" fontId="1" fillId="0" borderId="1" xfId="2" applyNumberFormat="1" applyFont="1" applyBorder="1" applyProtection="1">
      <protection locked="0"/>
    </xf>
    <xf numFmtId="0" fontId="0" fillId="0" borderId="1" xfId="0" applyBorder="1" applyAlignment="1" applyProtection="1">
      <alignment horizontal="right"/>
      <protection locked="0"/>
    </xf>
    <xf numFmtId="0" fontId="0" fillId="5" borderId="1" xfId="0" applyFill="1" applyBorder="1" applyProtection="1">
      <protection locked="0"/>
    </xf>
    <xf numFmtId="164" fontId="1" fillId="3" borderId="1" xfId="2" applyNumberFormat="1" applyFill="1" applyBorder="1" applyAlignment="1" applyProtection="1">
      <protection locked="0"/>
    </xf>
    <xf numFmtId="169" fontId="6" fillId="0" borderId="1" xfId="0" applyNumberFormat="1" applyFont="1" applyFill="1" applyBorder="1" applyProtection="1">
      <protection hidden="1"/>
    </xf>
    <xf numFmtId="164" fontId="1" fillId="0" borderId="1" xfId="2" applyNumberFormat="1" applyBorder="1" applyProtection="1">
      <protection hidden="1"/>
    </xf>
    <xf numFmtId="164" fontId="1" fillId="0" borderId="1" xfId="2" applyBorder="1" applyProtection="1">
      <protection hidden="1"/>
    </xf>
    <xf numFmtId="169" fontId="6" fillId="0" borderId="1" xfId="0" applyNumberFormat="1" applyFont="1" applyBorder="1" applyProtection="1">
      <protection hidden="1"/>
    </xf>
    <xf numFmtId="169" fontId="5" fillId="0" borderId="1" xfId="0" applyNumberFormat="1" applyFont="1" applyBorder="1" applyProtection="1">
      <protection hidden="1"/>
    </xf>
    <xf numFmtId="9" fontId="5" fillId="5" borderId="71" xfId="1" applyFont="1" applyFill="1" applyBorder="1" applyAlignment="1" applyProtection="1">
      <alignment horizontal="center"/>
      <protection locked="0"/>
    </xf>
    <xf numFmtId="0" fontId="5" fillId="2" borderId="45" xfId="0" applyFont="1" applyFill="1" applyBorder="1" applyAlignment="1" applyProtection="1">
      <alignment horizontal="center"/>
      <protection locked="0"/>
    </xf>
    <xf numFmtId="0" fontId="5" fillId="6" borderId="45" xfId="0" applyFont="1" applyFill="1" applyBorder="1" applyAlignment="1" applyProtection="1">
      <alignment horizontal="center"/>
      <protection locked="0"/>
    </xf>
    <xf numFmtId="0" fontId="5" fillId="0" borderId="45" xfId="0" applyFont="1" applyBorder="1" applyAlignment="1" applyProtection="1">
      <alignment horizontal="center"/>
      <protection locked="0"/>
    </xf>
    <xf numFmtId="171" fontId="5" fillId="2" borderId="1" xfId="2" applyNumberFormat="1" applyFont="1" applyFill="1" applyBorder="1" applyProtection="1">
      <protection hidden="1"/>
    </xf>
    <xf numFmtId="171" fontId="5" fillId="6" borderId="1" xfId="2" applyNumberFormat="1" applyFont="1" applyFill="1" applyBorder="1" applyProtection="1">
      <protection hidden="1"/>
    </xf>
    <xf numFmtId="171" fontId="5" fillId="0" borderId="1" xfId="2" applyNumberFormat="1" applyFont="1" applyFill="1" applyBorder="1" applyProtection="1">
      <protection hidden="1"/>
    </xf>
    <xf numFmtId="0" fontId="5" fillId="7" borderId="1" xfId="0" applyFont="1" applyFill="1" applyBorder="1" applyProtection="1">
      <protection locked="0"/>
    </xf>
    <xf numFmtId="164" fontId="5" fillId="7" borderId="1" xfId="2" applyNumberFormat="1" applyFont="1" applyFill="1" applyBorder="1" applyProtection="1">
      <protection hidden="1"/>
    </xf>
    <xf numFmtId="0" fontId="0" fillId="0" borderId="0" xfId="0" applyFill="1" applyBorder="1" applyAlignment="1" applyProtection="1">
      <alignment horizontal="left"/>
      <protection hidden="1"/>
    </xf>
    <xf numFmtId="0" fontId="0" fillId="0" borderId="72" xfId="0" applyBorder="1"/>
    <xf numFmtId="0" fontId="6" fillId="0" borderId="0" xfId="0" applyFont="1" applyProtection="1">
      <protection hidden="1"/>
    </xf>
    <xf numFmtId="0" fontId="4" fillId="0" borderId="0" xfId="0" applyFont="1" applyProtection="1">
      <protection hidden="1"/>
    </xf>
    <xf numFmtId="9" fontId="5" fillId="5" borderId="64" xfId="1" applyFont="1" applyFill="1" applyBorder="1" applyAlignment="1" applyProtection="1">
      <alignment horizontal="center"/>
      <protection hidden="1"/>
    </xf>
    <xf numFmtId="9" fontId="5" fillId="0" borderId="64" xfId="1" applyFont="1" applyFill="1" applyBorder="1" applyAlignment="1" applyProtection="1">
      <alignment horizontal="center"/>
      <protection hidden="1"/>
    </xf>
    <xf numFmtId="0" fontId="0" fillId="0" borderId="54" xfId="0" applyBorder="1" applyAlignment="1" applyProtection="1">
      <alignment horizontal="center"/>
      <protection hidden="1"/>
    </xf>
    <xf numFmtId="0" fontId="5" fillId="2" borderId="38" xfId="0" applyFont="1" applyFill="1" applyBorder="1" applyAlignment="1" applyProtection="1">
      <alignment horizontal="center"/>
      <protection hidden="1"/>
    </xf>
    <xf numFmtId="0" fontId="5" fillId="6" borderId="1" xfId="0" applyFont="1" applyFill="1" applyBorder="1" applyAlignment="1" applyProtection="1">
      <alignment horizontal="center"/>
      <protection hidden="1"/>
    </xf>
    <xf numFmtId="0" fontId="5" fillId="0" borderId="15" xfId="0" applyFont="1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164" fontId="1" fillId="0" borderId="9" xfId="2" applyBorder="1" applyAlignment="1" applyProtection="1">
      <alignment horizontal="left"/>
      <protection hidden="1"/>
    </xf>
    <xf numFmtId="170" fontId="1" fillId="2" borderId="38" xfId="2" applyNumberFormat="1" applyFill="1" applyBorder="1" applyProtection="1">
      <protection hidden="1"/>
    </xf>
    <xf numFmtId="170" fontId="1" fillId="6" borderId="1" xfId="2" applyNumberFormat="1" applyFill="1" applyBorder="1" applyProtection="1">
      <protection hidden="1"/>
    </xf>
    <xf numFmtId="170" fontId="1" fillId="0" borderId="15" xfId="2" applyNumberFormat="1" applyBorder="1" applyProtection="1">
      <protection hidden="1"/>
    </xf>
    <xf numFmtId="164" fontId="1" fillId="0" borderId="9" xfId="2" applyBorder="1" applyAlignment="1" applyProtection="1">
      <protection hidden="1"/>
    </xf>
    <xf numFmtId="164" fontId="1" fillId="0" borderId="30" xfId="2" applyBorder="1" applyAlignment="1" applyProtection="1">
      <protection hidden="1"/>
    </xf>
    <xf numFmtId="170" fontId="1" fillId="2" borderId="33" xfId="2" applyNumberFormat="1" applyFill="1" applyBorder="1" applyProtection="1">
      <protection hidden="1"/>
    </xf>
    <xf numFmtId="170" fontId="1" fillId="6" borderId="32" xfId="2" applyNumberFormat="1" applyFill="1" applyBorder="1" applyProtection="1">
      <protection hidden="1"/>
    </xf>
    <xf numFmtId="170" fontId="1" fillId="0" borderId="31" xfId="2" applyNumberFormat="1" applyBorder="1" applyProtection="1">
      <protection hidden="1"/>
    </xf>
    <xf numFmtId="164" fontId="1" fillId="0" borderId="0" xfId="2" applyBorder="1" applyAlignment="1" applyProtection="1">
      <protection hidden="1"/>
    </xf>
    <xf numFmtId="170" fontId="1" fillId="0" borderId="71" xfId="2" applyNumberFormat="1" applyBorder="1" applyProtection="1">
      <protection hidden="1"/>
    </xf>
    <xf numFmtId="170" fontId="1" fillId="0" borderId="0" xfId="2" applyNumberFormat="1" applyProtection="1">
      <protection hidden="1"/>
    </xf>
    <xf numFmtId="9" fontId="5" fillId="0" borderId="71" xfId="1" applyFont="1" applyFill="1" applyBorder="1" applyAlignment="1" applyProtection="1">
      <alignment horizontal="center"/>
      <protection hidden="1"/>
    </xf>
    <xf numFmtId="9" fontId="5" fillId="0" borderId="71" xfId="0" applyNumberFormat="1" applyFont="1" applyBorder="1" applyAlignment="1" applyProtection="1">
      <alignment horizontal="center"/>
      <protection hidden="1"/>
    </xf>
    <xf numFmtId="0" fontId="5" fillId="2" borderId="1" xfId="0" applyFont="1" applyFill="1" applyBorder="1" applyAlignment="1" applyProtection="1">
      <alignment horizontal="center"/>
      <protection hidden="1"/>
    </xf>
    <xf numFmtId="164" fontId="1" fillId="5" borderId="1" xfId="2" applyFill="1" applyBorder="1" applyProtection="1">
      <protection locked="0"/>
    </xf>
    <xf numFmtId="164" fontId="1" fillId="2" borderId="1" xfId="2" applyFill="1" applyBorder="1" applyProtection="1">
      <protection locked="0"/>
    </xf>
    <xf numFmtId="164" fontId="1" fillId="6" borderId="1" xfId="2" applyFill="1" applyBorder="1" applyProtection="1">
      <protection locked="0"/>
    </xf>
    <xf numFmtId="164" fontId="1" fillId="0" borderId="1" xfId="2" applyBorder="1" applyProtection="1">
      <protection locked="0"/>
    </xf>
    <xf numFmtId="164" fontId="1" fillId="0" borderId="0" xfId="2" applyBorder="1" applyProtection="1">
      <protection locked="0"/>
    </xf>
    <xf numFmtId="164" fontId="1" fillId="0" borderId="1" xfId="2" applyBorder="1" applyProtection="1">
      <protection locked="0" hidden="1"/>
    </xf>
    <xf numFmtId="164" fontId="1" fillId="2" borderId="1" xfId="2" applyFill="1" applyBorder="1" applyProtection="1">
      <protection locked="0" hidden="1"/>
    </xf>
    <xf numFmtId="164" fontId="1" fillId="6" borderId="1" xfId="2" applyFill="1" applyBorder="1" applyProtection="1">
      <protection locked="0" hidden="1"/>
    </xf>
    <xf numFmtId="164" fontId="1" fillId="0" borderId="0" xfId="2" applyProtection="1">
      <protection hidden="1"/>
    </xf>
    <xf numFmtId="0" fontId="0" fillId="0" borderId="1" xfId="0" applyBorder="1" applyAlignment="1" applyProtection="1">
      <protection hidden="1"/>
    </xf>
    <xf numFmtId="0" fontId="0" fillId="0" borderId="1" xfId="0" applyBorder="1" applyAlignment="1" applyProtection="1">
      <protection locked="0"/>
    </xf>
    <xf numFmtId="170" fontId="1" fillId="0" borderId="0" xfId="2" applyNumberFormat="1" applyFont="1" applyBorder="1" applyProtection="1">
      <protection hidden="1"/>
    </xf>
    <xf numFmtId="0" fontId="0" fillId="0" borderId="0" xfId="0" applyProtection="1">
      <protection locked="0"/>
    </xf>
    <xf numFmtId="170" fontId="1" fillId="0" borderId="0" xfId="2" applyNumberFormat="1" applyFont="1" applyBorder="1" applyProtection="1">
      <protection locked="0"/>
    </xf>
    <xf numFmtId="164" fontId="1" fillId="0" borderId="0" xfId="2" applyProtection="1">
      <protection locked="0"/>
    </xf>
    <xf numFmtId="0" fontId="0" fillId="0" borderId="0" xfId="0" applyBorder="1" applyAlignment="1" applyProtection="1">
      <protection locked="0"/>
    </xf>
    <xf numFmtId="170" fontId="1" fillId="0" borderId="0" xfId="2" applyNumberFormat="1" applyBorder="1" applyProtection="1">
      <protection locked="0"/>
    </xf>
    <xf numFmtId="0" fontId="5" fillId="8" borderId="3" xfId="0" applyFont="1" applyFill="1" applyBorder="1" applyProtection="1">
      <protection locked="0"/>
    </xf>
    <xf numFmtId="0" fontId="5" fillId="8" borderId="8" xfId="0" applyFont="1" applyFill="1" applyBorder="1" applyProtection="1">
      <protection locked="0"/>
    </xf>
    <xf numFmtId="2" fontId="5" fillId="5" borderId="8" xfId="0" applyNumberFormat="1" applyFont="1" applyFill="1" applyBorder="1" applyProtection="1">
      <protection locked="0"/>
    </xf>
    <xf numFmtId="0" fontId="5" fillId="8" borderId="56" xfId="0" applyFont="1" applyFill="1" applyBorder="1" applyProtection="1">
      <protection locked="0"/>
    </xf>
    <xf numFmtId="170" fontId="1" fillId="0" borderId="0" xfId="2" applyNumberFormat="1" applyProtection="1">
      <protection locked="0"/>
    </xf>
    <xf numFmtId="0" fontId="3" fillId="0" borderId="0" xfId="0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0" xfId="0" applyBorder="1" applyAlignment="1" applyProtection="1">
      <alignment horizontal="right"/>
      <protection hidden="1"/>
    </xf>
    <xf numFmtId="169" fontId="5" fillId="5" borderId="1" xfId="0" applyNumberFormat="1" applyFont="1" applyFill="1" applyBorder="1" applyProtection="1">
      <protection locked="0"/>
    </xf>
    <xf numFmtId="0" fontId="18" fillId="0" borderId="0" xfId="0" applyFont="1" applyAlignment="1" applyProtection="1">
      <alignment horizontal="center"/>
    </xf>
    <xf numFmtId="0" fontId="18" fillId="0" borderId="0" xfId="0" applyFont="1" applyAlignment="1" applyProtection="1"/>
    <xf numFmtId="0" fontId="19" fillId="0" borderId="8" xfId="0" applyFont="1" applyBorder="1" applyAlignment="1" applyProtection="1"/>
    <xf numFmtId="0" fontId="19" fillId="0" borderId="1" xfId="0" applyFont="1" applyBorder="1" applyAlignment="1" applyProtection="1">
      <alignment horizontal="center"/>
    </xf>
    <xf numFmtId="0" fontId="6" fillId="0" borderId="42" xfId="0" applyFont="1" applyBorder="1" applyAlignment="1" applyProtection="1">
      <protection locked="0"/>
    </xf>
    <xf numFmtId="0" fontId="6" fillId="0" borderId="74" xfId="0" applyFont="1" applyBorder="1" applyAlignment="1"/>
    <xf numFmtId="0" fontId="5" fillId="0" borderId="75" xfId="0" applyFont="1" applyBorder="1" applyAlignment="1" applyProtection="1">
      <alignment horizontal="left"/>
    </xf>
    <xf numFmtId="0" fontId="5" fillId="0" borderId="38" xfId="0" applyFont="1" applyBorder="1" applyAlignment="1" applyProtection="1"/>
    <xf numFmtId="0" fontId="6" fillId="0" borderId="1" xfId="0" applyFont="1" applyBorder="1" applyAlignment="1" applyProtection="1">
      <alignment horizontal="left"/>
      <protection locked="0"/>
    </xf>
    <xf numFmtId="0" fontId="5" fillId="0" borderId="1" xfId="0" applyFont="1" applyBorder="1" applyAlignment="1" applyProtection="1">
      <alignment horizontal="left"/>
    </xf>
    <xf numFmtId="0" fontId="6" fillId="0" borderId="15" xfId="0" applyFont="1" applyBorder="1" applyAlignment="1" applyProtection="1">
      <alignment horizontal="left"/>
      <protection locked="0"/>
    </xf>
    <xf numFmtId="0" fontId="5" fillId="0" borderId="1" xfId="0" applyFont="1" applyBorder="1" applyAlignment="1" applyProtection="1">
      <alignment horizontal="center"/>
    </xf>
    <xf numFmtId="0" fontId="5" fillId="0" borderId="1" xfId="0" applyFont="1" applyBorder="1" applyAlignment="1" applyProtection="1">
      <protection locked="0"/>
    </xf>
    <xf numFmtId="0" fontId="5" fillId="0" borderId="15" xfId="0" applyFont="1" applyBorder="1" applyAlignment="1" applyProtection="1">
      <protection locked="0"/>
    </xf>
    <xf numFmtId="0" fontId="6" fillId="0" borderId="1" xfId="0" applyFont="1" applyBorder="1" applyAlignment="1" applyProtection="1">
      <protection locked="0"/>
    </xf>
    <xf numFmtId="0" fontId="6" fillId="0" borderId="15" xfId="0" applyFont="1" applyBorder="1" applyAlignment="1" applyProtection="1">
      <protection locked="0"/>
    </xf>
    <xf numFmtId="0" fontId="5" fillId="0" borderId="32" xfId="0" applyFont="1" applyBorder="1" applyAlignment="1" applyProtection="1">
      <alignment horizontal="left"/>
    </xf>
    <xf numFmtId="0" fontId="5" fillId="0" borderId="32" xfId="0" applyFont="1" applyBorder="1" applyAlignment="1" applyProtection="1">
      <protection locked="0"/>
    </xf>
    <xf numFmtId="0" fontId="6" fillId="0" borderId="31" xfId="0" applyFont="1" applyBorder="1" applyAlignment="1"/>
    <xf numFmtId="0" fontId="5" fillId="0" borderId="79" xfId="0" applyFont="1" applyBorder="1" applyAlignment="1" applyProtection="1">
      <protection locked="0"/>
    </xf>
    <xf numFmtId="0" fontId="5" fillId="0" borderId="80" xfId="0" applyFont="1" applyBorder="1" applyAlignment="1" applyProtection="1">
      <protection locked="0"/>
    </xf>
    <xf numFmtId="0" fontId="5" fillId="0" borderId="81" xfId="0" applyFont="1" applyBorder="1" applyAlignment="1" applyProtection="1">
      <protection locked="0"/>
    </xf>
    <xf numFmtId="0" fontId="18" fillId="0" borderId="0" xfId="0" applyFont="1" applyBorder="1" applyAlignment="1" applyProtection="1">
      <alignment horizontal="center"/>
    </xf>
    <xf numFmtId="0" fontId="5" fillId="0" borderId="38" xfId="0" applyFont="1" applyBorder="1" applyAlignment="1" applyProtection="1">
      <alignment horizontal="center"/>
    </xf>
    <xf numFmtId="0" fontId="5" fillId="0" borderId="23" xfId="0" applyFont="1" applyBorder="1" applyAlignment="1">
      <alignment horizontal="center"/>
    </xf>
    <xf numFmtId="0" fontId="5" fillId="0" borderId="23" xfId="0" applyFont="1" applyBorder="1" applyAlignment="1" applyProtection="1">
      <alignment horizontal="center"/>
    </xf>
    <xf numFmtId="17" fontId="6" fillId="0" borderId="38" xfId="0" applyNumberFormat="1" applyFont="1" applyBorder="1" applyAlignment="1" applyProtection="1">
      <alignment horizontal="left"/>
    </xf>
    <xf numFmtId="0" fontId="6" fillId="0" borderId="1" xfId="0" applyFont="1" applyBorder="1" applyAlignment="1" applyProtection="1">
      <alignment horizontal="center"/>
      <protection locked="0"/>
    </xf>
    <xf numFmtId="4" fontId="6" fillId="0" borderId="1" xfId="0" applyNumberFormat="1" applyFont="1" applyBorder="1" applyAlignment="1" applyProtection="1">
      <alignment horizontal="center"/>
      <protection locked="0"/>
    </xf>
    <xf numFmtId="172" fontId="6" fillId="0" borderId="1" xfId="0" applyNumberFormat="1" applyFont="1" applyBorder="1" applyAlignment="1" applyProtection="1">
      <alignment horizontal="center"/>
    </xf>
    <xf numFmtId="4" fontId="6" fillId="0" borderId="23" xfId="0" applyNumberFormat="1" applyFont="1" applyBorder="1" applyAlignment="1" applyProtection="1">
      <alignment horizontal="center"/>
      <protection locked="0"/>
    </xf>
    <xf numFmtId="17" fontId="6" fillId="0" borderId="33" xfId="0" applyNumberFormat="1" applyFont="1" applyBorder="1" applyAlignment="1" applyProtection="1">
      <alignment horizontal="left"/>
    </xf>
    <xf numFmtId="0" fontId="6" fillId="0" borderId="32" xfId="0" applyFont="1" applyBorder="1" applyAlignment="1" applyProtection="1">
      <alignment horizontal="center"/>
      <protection locked="0"/>
    </xf>
    <xf numFmtId="4" fontId="6" fillId="0" borderId="32" xfId="0" applyNumberFormat="1" applyFont="1" applyBorder="1" applyAlignment="1" applyProtection="1">
      <alignment horizontal="center"/>
      <protection locked="0"/>
    </xf>
    <xf numFmtId="172" fontId="6" fillId="0" borderId="32" xfId="0" applyNumberFormat="1" applyFont="1" applyBorder="1" applyAlignment="1" applyProtection="1">
      <alignment horizontal="center"/>
    </xf>
    <xf numFmtId="4" fontId="6" fillId="0" borderId="35" xfId="0" applyNumberFormat="1" applyFont="1" applyBorder="1" applyAlignment="1" applyProtection="1">
      <alignment horizontal="center"/>
      <protection locked="0"/>
    </xf>
    <xf numFmtId="0" fontId="5" fillId="0" borderId="15" xfId="0" applyFont="1" applyBorder="1" applyAlignment="1" applyProtection="1">
      <alignment horizontal="center"/>
    </xf>
    <xf numFmtId="0" fontId="5" fillId="0" borderId="43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5" fillId="0" borderId="46" xfId="0" applyFont="1" applyFill="1" applyBorder="1" applyAlignment="1" applyProtection="1">
      <alignment horizontal="center"/>
    </xf>
    <xf numFmtId="0" fontId="5" fillId="0" borderId="88" xfId="0" applyFont="1" applyBorder="1" applyAlignment="1">
      <alignment horizontal="center"/>
    </xf>
    <xf numFmtId="0" fontId="5" fillId="0" borderId="61" xfId="0" applyFont="1" applyBorder="1" applyAlignment="1">
      <alignment horizontal="center"/>
    </xf>
    <xf numFmtId="0" fontId="5" fillId="0" borderId="89" xfId="0" applyFont="1" applyBorder="1" applyAlignment="1">
      <alignment horizontal="center"/>
    </xf>
    <xf numFmtId="4" fontId="6" fillId="0" borderId="40" xfId="0" applyNumberFormat="1" applyFont="1" applyBorder="1" applyAlignment="1" applyProtection="1">
      <alignment horizontal="center"/>
      <protection locked="0"/>
    </xf>
    <xf numFmtId="1" fontId="6" fillId="0" borderId="90" xfId="0" applyNumberFormat="1" applyFont="1" applyBorder="1" applyAlignment="1" applyProtection="1">
      <alignment horizontal="center"/>
    </xf>
    <xf numFmtId="4" fontId="6" fillId="0" borderId="75" xfId="0" applyNumberFormat="1" applyFont="1" applyBorder="1" applyAlignment="1" applyProtection="1">
      <alignment horizontal="center"/>
    </xf>
    <xf numFmtId="4" fontId="6" fillId="0" borderId="91" xfId="0" applyNumberFormat="1" applyFont="1" applyBorder="1" applyAlignment="1" applyProtection="1">
      <alignment horizontal="center"/>
    </xf>
    <xf numFmtId="1" fontId="6" fillId="0" borderId="38" xfId="0" applyNumberFormat="1" applyFont="1" applyBorder="1" applyAlignment="1" applyProtection="1">
      <alignment horizontal="center"/>
    </xf>
    <xf numFmtId="4" fontId="6" fillId="0" borderId="1" xfId="0" applyNumberFormat="1" applyFont="1" applyBorder="1" applyAlignment="1" applyProtection="1">
      <alignment horizontal="center"/>
    </xf>
    <xf numFmtId="4" fontId="6" fillId="0" borderId="15" xfId="0" applyNumberFormat="1" applyFont="1" applyBorder="1" applyAlignment="1" applyProtection="1">
      <alignment horizontal="center"/>
    </xf>
    <xf numFmtId="4" fontId="6" fillId="0" borderId="41" xfId="0" applyNumberFormat="1" applyFont="1" applyBorder="1" applyAlignment="1" applyProtection="1">
      <alignment horizontal="center"/>
      <protection locked="0"/>
    </xf>
    <xf numFmtId="1" fontId="6" fillId="0" borderId="33" xfId="0" applyNumberFormat="1" applyFont="1" applyBorder="1" applyAlignment="1" applyProtection="1">
      <alignment horizontal="center"/>
    </xf>
    <xf numFmtId="4" fontId="6" fillId="0" borderId="32" xfId="0" applyNumberFormat="1" applyFont="1" applyBorder="1" applyAlignment="1" applyProtection="1">
      <alignment horizontal="center"/>
    </xf>
    <xf numFmtId="4" fontId="6" fillId="0" borderId="31" xfId="0" applyNumberFormat="1" applyFont="1" applyBorder="1" applyAlignment="1" applyProtection="1">
      <alignment horizontal="center"/>
    </xf>
    <xf numFmtId="17" fontId="5" fillId="0" borderId="0" xfId="0" applyNumberFormat="1" applyFont="1" applyFill="1" applyBorder="1" applyAlignment="1" applyProtection="1">
      <alignment horizontal="center" vertical="center"/>
    </xf>
    <xf numFmtId="0" fontId="0" fillId="0" borderId="0" xfId="0" applyBorder="1"/>
    <xf numFmtId="0" fontId="5" fillId="0" borderId="0" xfId="0" applyFont="1" applyBorder="1" applyAlignment="1" applyProtection="1">
      <alignment horizontal="center"/>
    </xf>
    <xf numFmtId="0" fontId="6" fillId="0" borderId="0" xfId="0" applyFont="1" applyAlignment="1" applyProtection="1"/>
    <xf numFmtId="0" fontId="6" fillId="0" borderId="0" xfId="0" applyFont="1" applyBorder="1" applyAlignment="1" applyProtection="1">
      <alignment horizontal="center"/>
    </xf>
    <xf numFmtId="0" fontId="5" fillId="0" borderId="40" xfId="0" applyFont="1" applyBorder="1" applyAlignment="1" applyProtection="1">
      <alignment horizontal="center"/>
      <protection locked="0"/>
    </xf>
    <xf numFmtId="0" fontId="5" fillId="0" borderId="70" xfId="0" applyFont="1" applyBorder="1" applyAlignment="1" applyProtection="1">
      <alignment horizontal="center"/>
      <protection locked="0"/>
    </xf>
    <xf numFmtId="0" fontId="5" fillId="0" borderId="71" xfId="0" applyFont="1" applyBorder="1" applyAlignment="1" applyProtection="1">
      <alignment horizontal="center"/>
      <protection locked="0"/>
    </xf>
    <xf numFmtId="0" fontId="5" fillId="0" borderId="40" xfId="0" applyFont="1" applyBorder="1" applyAlignment="1" applyProtection="1">
      <alignment horizontal="right"/>
      <protection locked="0"/>
    </xf>
    <xf numFmtId="0" fontId="5" fillId="0" borderId="70" xfId="0" applyFont="1" applyBorder="1" applyAlignment="1" applyProtection="1">
      <alignment horizontal="right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57" xfId="0" applyBorder="1" applyAlignment="1" applyProtection="1">
      <alignment horizontal="left"/>
      <protection locked="0"/>
    </xf>
    <xf numFmtId="0" fontId="0" fillId="0" borderId="40" xfId="0" applyBorder="1" applyAlignment="1" applyProtection="1">
      <alignment horizontal="center"/>
      <protection hidden="1"/>
    </xf>
    <xf numFmtId="0" fontId="0" fillId="0" borderId="70" xfId="0" applyBorder="1" applyAlignment="1" applyProtection="1">
      <alignment horizontal="center"/>
      <protection hidden="1"/>
    </xf>
    <xf numFmtId="0" fontId="0" fillId="0" borderId="71" xfId="0" applyBorder="1" applyAlignment="1" applyProtection="1">
      <alignment horizontal="center"/>
      <protection hidden="1"/>
    </xf>
    <xf numFmtId="0" fontId="0" fillId="0" borderId="40" xfId="0" applyBorder="1" applyAlignment="1" applyProtection="1">
      <alignment horizontal="right"/>
      <protection hidden="1"/>
    </xf>
    <xf numFmtId="0" fontId="0" fillId="0" borderId="70" xfId="0" applyBorder="1" applyAlignment="1" applyProtection="1">
      <alignment horizontal="right"/>
      <protection hidden="1"/>
    </xf>
    <xf numFmtId="0" fontId="5" fillId="0" borderId="62" xfId="0" applyFont="1" applyFill="1" applyBorder="1" applyAlignment="1" applyProtection="1">
      <alignment horizontal="center"/>
      <protection hidden="1"/>
    </xf>
    <xf numFmtId="0" fontId="5" fillId="0" borderId="63" xfId="0" applyFont="1" applyFill="1" applyBorder="1" applyAlignment="1" applyProtection="1">
      <alignment horizontal="center"/>
      <protection hidden="1"/>
    </xf>
    <xf numFmtId="0" fontId="5" fillId="0" borderId="64" xfId="0" applyFont="1" applyFill="1" applyBorder="1" applyAlignment="1" applyProtection="1">
      <alignment horizontal="center"/>
      <protection hidden="1"/>
    </xf>
    <xf numFmtId="0" fontId="12" fillId="5" borderId="0" xfId="0" applyFont="1" applyFill="1" applyAlignment="1" applyProtection="1">
      <alignment horizontal="center" wrapText="1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45" xfId="0" applyBorder="1" applyAlignment="1" applyProtection="1">
      <alignment horizontal="center"/>
      <protection hidden="1"/>
    </xf>
    <xf numFmtId="0" fontId="4" fillId="0" borderId="18" xfId="0" applyFont="1" applyBorder="1" applyAlignment="1">
      <alignment horizontal="center" vertical="center"/>
    </xf>
    <xf numFmtId="0" fontId="5" fillId="0" borderId="51" xfId="0" applyFont="1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6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0" fillId="0" borderId="8" xfId="0" applyBorder="1" applyAlignment="1"/>
    <xf numFmtId="0" fontId="0" fillId="0" borderId="56" xfId="0" applyBorder="1" applyAlignment="1"/>
    <xf numFmtId="14" fontId="0" fillId="0" borderId="8" xfId="0" applyNumberFormat="1" applyBorder="1" applyAlignment="1">
      <alignment horizontal="center"/>
    </xf>
    <xf numFmtId="0" fontId="4" fillId="9" borderId="3" xfId="0" applyFont="1" applyFill="1" applyBorder="1" applyAlignment="1" applyProtection="1">
      <alignment horizontal="center"/>
    </xf>
    <xf numFmtId="0" fontId="4" fillId="9" borderId="8" xfId="0" applyFont="1" applyFill="1" applyBorder="1" applyAlignment="1" applyProtection="1">
      <alignment horizontal="center"/>
    </xf>
    <xf numFmtId="0" fontId="4" fillId="9" borderId="56" xfId="0" applyFont="1" applyFill="1" applyBorder="1" applyAlignment="1" applyProtection="1">
      <alignment horizontal="center"/>
    </xf>
    <xf numFmtId="0" fontId="6" fillId="0" borderId="76" xfId="0" applyFont="1" applyBorder="1" applyAlignment="1" applyProtection="1">
      <alignment horizontal="center"/>
      <protection locked="0"/>
    </xf>
    <xf numFmtId="0" fontId="6" fillId="0" borderId="55" xfId="0" applyFont="1" applyBorder="1" applyAlignment="1" applyProtection="1">
      <alignment horizontal="center"/>
      <protection locked="0"/>
    </xf>
    <xf numFmtId="0" fontId="19" fillId="0" borderId="38" xfId="0" applyFont="1" applyBorder="1" applyAlignment="1" applyProtection="1">
      <alignment horizontal="center"/>
    </xf>
    <xf numFmtId="0" fontId="19" fillId="0" borderId="1" xfId="0" applyFont="1" applyBorder="1" applyAlignment="1" applyProtection="1">
      <alignment horizontal="center"/>
    </xf>
    <xf numFmtId="0" fontId="17" fillId="9" borderId="73" xfId="0" applyFont="1" applyFill="1" applyBorder="1" applyAlignment="1" applyProtection="1">
      <alignment horizontal="center" wrapText="1"/>
    </xf>
    <xf numFmtId="0" fontId="17" fillId="9" borderId="0" xfId="0" applyFont="1" applyFill="1" applyBorder="1" applyAlignment="1" applyProtection="1">
      <alignment horizontal="center" wrapText="1"/>
    </xf>
    <xf numFmtId="0" fontId="6" fillId="0" borderId="86" xfId="0" applyFont="1" applyBorder="1" applyAlignment="1" applyProtection="1">
      <alignment horizontal="center"/>
    </xf>
    <xf numFmtId="0" fontId="6" fillId="0" borderId="87" xfId="0" applyFont="1" applyBorder="1" applyAlignment="1" applyProtection="1">
      <alignment horizontal="center"/>
    </xf>
    <xf numFmtId="0" fontId="5" fillId="0" borderId="33" xfId="0" applyFont="1" applyBorder="1" applyAlignment="1" applyProtection="1">
      <alignment horizontal="center"/>
      <protection locked="0"/>
    </xf>
    <xf numFmtId="0" fontId="5" fillId="0" borderId="32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0" fillId="0" borderId="1" xfId="0" applyBorder="1" applyAlignment="1">
      <alignment horizontal="left"/>
    </xf>
    <xf numFmtId="0" fontId="5" fillId="0" borderId="77" xfId="0" applyFont="1" applyBorder="1" applyAlignment="1" applyProtection="1">
      <alignment horizontal="left"/>
    </xf>
    <xf numFmtId="0" fontId="5" fillId="0" borderId="78" xfId="0" applyFont="1" applyBorder="1" applyAlignment="1" applyProtection="1">
      <alignment horizontal="left"/>
    </xf>
    <xf numFmtId="0" fontId="18" fillId="0" borderId="1" xfId="0" applyFont="1" applyBorder="1" applyAlignment="1" applyProtection="1">
      <alignment horizontal="center"/>
    </xf>
    <xf numFmtId="0" fontId="5" fillId="0" borderId="38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17" fontId="4" fillId="9" borderId="54" xfId="0" applyNumberFormat="1" applyFont="1" applyFill="1" applyBorder="1" applyAlignment="1" applyProtection="1">
      <alignment horizontal="center" vertical="center"/>
    </xf>
    <xf numFmtId="17" fontId="4" fillId="9" borderId="42" xfId="0" applyNumberFormat="1" applyFont="1" applyFill="1" applyBorder="1" applyAlignment="1" applyProtection="1">
      <alignment horizontal="center" vertical="center"/>
    </xf>
    <xf numFmtId="17" fontId="4" fillId="9" borderId="55" xfId="0" applyNumberFormat="1" applyFont="1" applyFill="1" applyBorder="1" applyAlignment="1" applyProtection="1">
      <alignment horizontal="center" vertical="center"/>
    </xf>
    <xf numFmtId="0" fontId="4" fillId="9" borderId="11" xfId="0" applyFont="1" applyFill="1" applyBorder="1" applyAlignment="1" applyProtection="1">
      <alignment horizontal="center"/>
    </xf>
    <xf numFmtId="0" fontId="4" fillId="9" borderId="57" xfId="0" applyFont="1" applyFill="1" applyBorder="1" applyAlignment="1" applyProtection="1">
      <alignment horizontal="center"/>
    </xf>
    <xf numFmtId="0" fontId="4" fillId="9" borderId="24" xfId="0" applyFont="1" applyFill="1" applyBorder="1" applyAlignment="1" applyProtection="1">
      <alignment horizontal="center"/>
    </xf>
    <xf numFmtId="0" fontId="6" fillId="0" borderId="8" xfId="0" applyFont="1" applyBorder="1" applyAlignment="1" applyProtection="1">
      <alignment horizontal="center"/>
    </xf>
    <xf numFmtId="0" fontId="6" fillId="0" borderId="63" xfId="0" applyFont="1" applyBorder="1" applyAlignment="1" applyProtection="1">
      <alignment horizontal="center"/>
    </xf>
    <xf numFmtId="17" fontId="6" fillId="0" borderId="0" xfId="0" applyNumberFormat="1" applyFont="1" applyBorder="1" applyAlignment="1" applyProtection="1">
      <alignment horizontal="left"/>
    </xf>
    <xf numFmtId="0" fontId="6" fillId="0" borderId="0" xfId="0" applyFont="1" applyBorder="1" applyAlignment="1"/>
    <xf numFmtId="0" fontId="4" fillId="9" borderId="62" xfId="0" applyFont="1" applyFill="1" applyBorder="1" applyAlignment="1" applyProtection="1">
      <alignment horizontal="center"/>
    </xf>
    <xf numFmtId="0" fontId="4" fillId="9" borderId="63" xfId="0" applyFont="1" applyFill="1" applyBorder="1" applyAlignment="1" applyProtection="1">
      <alignment horizontal="center"/>
    </xf>
    <xf numFmtId="0" fontId="4" fillId="9" borderId="64" xfId="0" applyFont="1" applyFill="1" applyBorder="1" applyAlignment="1" applyProtection="1">
      <alignment horizontal="center"/>
    </xf>
    <xf numFmtId="0" fontId="6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center"/>
    </xf>
    <xf numFmtId="0" fontId="6" fillId="0" borderId="83" xfId="0" applyFont="1" applyBorder="1" applyAlignment="1" applyProtection="1">
      <alignment horizontal="center"/>
    </xf>
    <xf numFmtId="0" fontId="5" fillId="0" borderId="82" xfId="0" applyFont="1" applyBorder="1" applyAlignment="1" applyProtection="1">
      <alignment horizontal="center" wrapText="1"/>
    </xf>
    <xf numFmtId="0" fontId="6" fillId="0" borderId="85" xfId="0" applyFont="1" applyBorder="1" applyAlignment="1">
      <alignment horizontal="center" wrapText="1"/>
    </xf>
    <xf numFmtId="0" fontId="6" fillId="0" borderId="84" xfId="0" applyFont="1" applyBorder="1" applyAlignment="1" applyProtection="1">
      <alignment horizont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 /><Relationship Id="rId13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chartsheet" Target="chartsheets/sheet2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hartsheet" Target="chartsheets/sheet1.xml" /><Relationship Id="rId11" Type="http://schemas.openxmlformats.org/officeDocument/2006/relationships/styles" Target="styles.xml" /><Relationship Id="rId5" Type="http://schemas.openxmlformats.org/officeDocument/2006/relationships/worksheet" Target="worksheets/sheet5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chartsheet" Target="chartsheets/sheet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1" u="none" strike="noStrike" baseline="0">
                <a:solidFill>
                  <a:srgbClr val="FF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VARIAÇÃO DO CONSUMO ESPECÍFICO (kWh/unid.)</a:t>
            </a:r>
          </a:p>
        </c:rich>
      </c:tx>
      <c:layout>
        <c:manualLayout>
          <c:xMode val="edge"/>
          <c:yMode val="edge"/>
          <c:x val="0.22546972860125261"/>
          <c:y val="2.0270270270270271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1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8.0375782881002084E-2"/>
          <c:y val="0.11824324324324324"/>
          <c:w val="0.90814196242171186"/>
          <c:h val="0.72128378378378377"/>
        </c:manualLayout>
      </c:layout>
      <c:bar3DChart>
        <c:barDir val="col"/>
        <c:grouping val="clustered"/>
        <c:varyColors val="0"/>
        <c:ser>
          <c:idx val="0"/>
          <c:order val="0"/>
          <c:tx>
            <c:v>2003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controle!$A$32:$A$43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controle!$H$17:$H$28</c:f>
              <c:numCache>
                <c:formatCode>#,##0.00</c:formatCode>
                <c:ptCount val="12"/>
                <c:pt idx="0">
                  <c:v>5</c:v>
                </c:pt>
                <c:pt idx="1">
                  <c:v>4.666666666666667</c:v>
                </c:pt>
                <c:pt idx="2">
                  <c:v>5</c:v>
                </c:pt>
                <c:pt idx="3">
                  <c:v>4.7058823529411766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4.7058823529411766</c:v>
                </c:pt>
                <c:pt idx="8">
                  <c:v>5</c:v>
                </c:pt>
                <c:pt idx="9">
                  <c:v>4</c:v>
                </c:pt>
                <c:pt idx="10">
                  <c:v>5</c:v>
                </c:pt>
                <c:pt idx="11">
                  <c:v>4.7368421052631575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3-4D09-A7BA-2EE5E1BF0483}"/>
            </c:ext>
          </c:extLst>
        </c:ser>
        <c:ser>
          <c:idx val="1"/>
          <c:order val="1"/>
          <c:tx>
            <c:v>2004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controle!$A$32:$A$43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controle!$H$32:$H$43</c:f>
              <c:numCache>
                <c:formatCode>#,##0.00</c:formatCode>
                <c:ptCount val="12"/>
                <c:pt idx="0">
                  <c:v>4.8780487804878048</c:v>
                </c:pt>
                <c:pt idx="1">
                  <c:v>4.4585987261146496</c:v>
                </c:pt>
                <c:pt idx="2">
                  <c:v>5.1428571428571432</c:v>
                </c:pt>
                <c:pt idx="3">
                  <c:v>4.5977011494252871</c:v>
                </c:pt>
                <c:pt idx="4">
                  <c:v>4.9261083743842367</c:v>
                </c:pt>
                <c:pt idx="5">
                  <c:v>4.8309178743961354</c:v>
                </c:pt>
                <c:pt idx="6">
                  <c:v>5.1428571428571432</c:v>
                </c:pt>
                <c:pt idx="7">
                  <c:v>4.4444444444444446</c:v>
                </c:pt>
                <c:pt idx="8">
                  <c:v>4.9261083743842367</c:v>
                </c:pt>
                <c:pt idx="9">
                  <c:v>3.9473684210526314</c:v>
                </c:pt>
                <c:pt idx="10">
                  <c:v>4.9327354260089686</c:v>
                </c:pt>
                <c:pt idx="11">
                  <c:v>4.8648648648648649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03-4D09-A7BA-2EE5E1BF0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05595647"/>
        <c:axId val="1"/>
        <c:axId val="0"/>
      </c:bar3DChart>
      <c:catAx>
        <c:axId val="1505595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MESES</a:t>
                </a:r>
              </a:p>
            </c:rich>
          </c:tx>
          <c:layout>
            <c:manualLayout>
              <c:xMode val="edge"/>
              <c:yMode val="edge"/>
              <c:x val="0.5"/>
              <c:y val="0.88175675675675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kWh/unid.</a:t>
                </a:r>
              </a:p>
            </c:rich>
          </c:tx>
          <c:layout>
            <c:manualLayout>
              <c:xMode val="edge"/>
              <c:yMode val="edge"/>
              <c:x val="3.5490605427974949E-2"/>
              <c:y val="0.4206081081081081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505595647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47703549060542799"/>
          <c:y val="0.9408783783783784"/>
          <c:w val="9.916492693110647E-2"/>
          <c:h val="4.054054054054054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1" u="none" strike="noStrike" baseline="0">
                <a:solidFill>
                  <a:srgbClr val="FF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VARIAÇÃO DO CUSTO ESPECÍFICO(R$/unid)</a:t>
            </a:r>
          </a:p>
        </c:rich>
      </c:tx>
      <c:layout>
        <c:manualLayout>
          <c:xMode val="edge"/>
          <c:yMode val="edge"/>
          <c:x val="0.25991649269311062"/>
          <c:y val="2.0270270270270271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1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8.0375782881002084E-2"/>
          <c:y val="0.11824324324324324"/>
          <c:w val="0.90814196242171186"/>
          <c:h val="0.72128378378378377"/>
        </c:manualLayout>
      </c:layout>
      <c:bar3DChart>
        <c:barDir val="col"/>
        <c:grouping val="clustered"/>
        <c:varyColors val="0"/>
        <c:ser>
          <c:idx val="0"/>
          <c:order val="0"/>
          <c:tx>
            <c:v>2003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controle!$A$32:$A$43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controle!$I$17:$I$28</c:f>
              <c:numCache>
                <c:formatCode>#,##0.00</c:formatCode>
                <c:ptCount val="12"/>
                <c:pt idx="0">
                  <c:v>1</c:v>
                </c:pt>
                <c:pt idx="1">
                  <c:v>0.96666666666666679</c:v>
                </c:pt>
                <c:pt idx="2">
                  <c:v>0.94444444444444442</c:v>
                </c:pt>
                <c:pt idx="3">
                  <c:v>0.94117647058823539</c:v>
                </c:pt>
                <c:pt idx="4">
                  <c:v>1</c:v>
                </c:pt>
                <c:pt idx="5">
                  <c:v>1</c:v>
                </c:pt>
                <c:pt idx="6">
                  <c:v>0.94444444444444442</c:v>
                </c:pt>
                <c:pt idx="7">
                  <c:v>0.94117647058823539</c:v>
                </c:pt>
                <c:pt idx="8">
                  <c:v>1</c:v>
                </c:pt>
                <c:pt idx="9">
                  <c:v>0.96666666666666667</c:v>
                </c:pt>
                <c:pt idx="10">
                  <c:v>0.95454545454545459</c:v>
                </c:pt>
                <c:pt idx="11">
                  <c:v>0.89473684210526305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9-423B-AFE3-594AE7D66E37}"/>
            </c:ext>
          </c:extLst>
        </c:ser>
        <c:ser>
          <c:idx val="1"/>
          <c:order val="1"/>
          <c:tx>
            <c:v>2004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controle!$A$32:$A$43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controle!$I$32:$I$43</c:f>
              <c:numCache>
                <c:formatCode>#,##0.00</c:formatCode>
                <c:ptCount val="12"/>
                <c:pt idx="0">
                  <c:v>0.92682926829268286</c:v>
                </c:pt>
                <c:pt idx="1">
                  <c:v>0.89171974522292996</c:v>
                </c:pt>
                <c:pt idx="2">
                  <c:v>1</c:v>
                </c:pt>
                <c:pt idx="3">
                  <c:v>0.90804597701149425</c:v>
                </c:pt>
                <c:pt idx="4">
                  <c:v>0.935960591133005</c:v>
                </c:pt>
                <c:pt idx="5">
                  <c:v>0.91787439613526578</c:v>
                </c:pt>
                <c:pt idx="6">
                  <c:v>1</c:v>
                </c:pt>
                <c:pt idx="7">
                  <c:v>0.87777777777777788</c:v>
                </c:pt>
                <c:pt idx="8">
                  <c:v>0.935960591133005</c:v>
                </c:pt>
                <c:pt idx="9">
                  <c:v>0.82236842105263153</c:v>
                </c:pt>
                <c:pt idx="10">
                  <c:v>0.89686098654708524</c:v>
                </c:pt>
                <c:pt idx="11">
                  <c:v>0.94594594594594594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B9-423B-AFE3-594AE7D66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05596479"/>
        <c:axId val="1"/>
        <c:axId val="0"/>
      </c:bar3DChart>
      <c:catAx>
        <c:axId val="1505596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MESES</a:t>
                </a:r>
              </a:p>
            </c:rich>
          </c:tx>
          <c:layout>
            <c:manualLayout>
              <c:xMode val="edge"/>
              <c:yMode val="edge"/>
              <c:x val="0.5"/>
              <c:y val="0.88175675675675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R$/unid</a:t>
                </a:r>
              </a:p>
            </c:rich>
          </c:tx>
          <c:layout>
            <c:manualLayout>
              <c:xMode val="edge"/>
              <c:yMode val="edge"/>
              <c:x val="3.5490605427974949E-2"/>
              <c:y val="0.435810810810810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505596479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47286012526096033"/>
          <c:y val="0.9408783783783784"/>
          <c:w val="9.916492693110647E-2"/>
          <c:h val="4.054054054054054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1" u="none" strike="noStrike" baseline="0">
                <a:solidFill>
                  <a:srgbClr val="FF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ECONOMIA (kWh)</a:t>
            </a:r>
          </a:p>
        </c:rich>
      </c:tx>
      <c:layout>
        <c:manualLayout>
          <c:xMode val="edge"/>
          <c:yMode val="edge"/>
          <c:x val="0.40187891440501045"/>
          <c:y val="2.0270270270270271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4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7.3068893528183715E-2"/>
          <c:y val="0.11824324324324324"/>
          <c:w val="0.91649269311064718"/>
          <c:h val="0.77027027027027029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controle!$A$32:$A$43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controle!$J$32:$J$43</c:f>
              <c:numCache>
                <c:formatCode>0</c:formatCode>
                <c:ptCount val="12"/>
                <c:pt idx="0">
                  <c:v>25.000000000000021</c:v>
                </c:pt>
                <c:pt idx="1">
                  <c:v>32.666666666666728</c:v>
                </c:pt>
                <c:pt idx="2">
                  <c:v>-25.000000000000068</c:v>
                </c:pt>
                <c:pt idx="3">
                  <c:v>18.823529411764781</c:v>
                </c:pt>
                <c:pt idx="4">
                  <c:v>14.999999999999959</c:v>
                </c:pt>
                <c:pt idx="5">
                  <c:v>34.999999999999972</c:v>
                </c:pt>
                <c:pt idx="6">
                  <c:v>-25.000000000000068</c:v>
                </c:pt>
                <c:pt idx="7">
                  <c:v>47.058823529411754</c:v>
                </c:pt>
                <c:pt idx="8">
                  <c:v>14.999999999999959</c:v>
                </c:pt>
                <c:pt idx="9">
                  <c:v>8.0000000000000249</c:v>
                </c:pt>
                <c:pt idx="10">
                  <c:v>14.999999999999993</c:v>
                </c:pt>
                <c:pt idx="11">
                  <c:v>-23.684210526315866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B-4D0E-85EF-B45D5A7AA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05590655"/>
        <c:axId val="1"/>
        <c:axId val="0"/>
      </c:bar3DChart>
      <c:catAx>
        <c:axId val="1505590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MESES</a:t>
                </a:r>
              </a:p>
            </c:rich>
          </c:tx>
          <c:layout>
            <c:manualLayout>
              <c:xMode val="edge"/>
              <c:yMode val="edge"/>
              <c:x val="0.49373695198329853"/>
              <c:y val="0.929054054054054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</a:t>
                </a:r>
              </a:p>
            </c:rich>
          </c:tx>
          <c:layout>
            <c:manualLayout>
              <c:xMode val="edge"/>
              <c:yMode val="edge"/>
              <c:x val="3.5490605427974949E-2"/>
              <c:y val="0.483108108108108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50559065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1" u="none" strike="noStrike" baseline="0">
                <a:solidFill>
                  <a:srgbClr val="FF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ECONOMIA (R$)</a:t>
            </a:r>
          </a:p>
        </c:rich>
      </c:tx>
      <c:layout>
        <c:manualLayout>
          <c:xMode val="edge"/>
          <c:yMode val="edge"/>
          <c:x val="0.41127348643006262"/>
          <c:y val="2.0270270270270271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4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25400">
          <a:noFill/>
        </a:ln>
      </c:spPr>
    </c:sideWall>
    <c:backWall>
      <c:thickness val="0"/>
      <c:spPr>
        <a:solidFill>
          <a:srgbClr val="C0C0C0"/>
        </a:solidFill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7.8288100208768266E-2"/>
          <c:y val="0.11824324324324324"/>
          <c:w val="0.91127348643006267"/>
          <c:h val="0.77027027027027029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controle!$A$32:$A$43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controle!$K$32:$K$43</c:f>
              <c:numCache>
                <c:formatCode>#,##0.00</c:formatCode>
                <c:ptCount val="12"/>
                <c:pt idx="0">
                  <c:v>5.0000000000000044</c:v>
                </c:pt>
                <c:pt idx="1">
                  <c:v>6.7666666666666799</c:v>
                </c:pt>
                <c:pt idx="2">
                  <c:v>-4.7222222222222348</c:v>
                </c:pt>
                <c:pt idx="3">
                  <c:v>3.7647058823529562</c:v>
                </c:pt>
                <c:pt idx="4">
                  <c:v>2.999999999999992</c:v>
                </c:pt>
                <c:pt idx="5">
                  <c:v>6.9999999999999947</c:v>
                </c:pt>
                <c:pt idx="6">
                  <c:v>-4.7222222222222348</c:v>
                </c:pt>
                <c:pt idx="7">
                  <c:v>9.4117647058823515</c:v>
                </c:pt>
                <c:pt idx="8">
                  <c:v>2.999999999999992</c:v>
                </c:pt>
                <c:pt idx="9">
                  <c:v>1.9333333333333393</c:v>
                </c:pt>
                <c:pt idx="10">
                  <c:v>2.8636363636363624</c:v>
                </c:pt>
                <c:pt idx="11">
                  <c:v>-4.4736842105263301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1-46F5-90E8-6427E1B0E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05593567"/>
        <c:axId val="1"/>
        <c:axId val="0"/>
      </c:bar3DChart>
      <c:catAx>
        <c:axId val="1505593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MESES</a:t>
                </a:r>
              </a:p>
            </c:rich>
          </c:tx>
          <c:layout>
            <c:manualLayout>
              <c:xMode val="edge"/>
              <c:yMode val="edge"/>
              <c:x val="0.49686847599164929"/>
              <c:y val="0.929054054054054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R$</a:t>
                </a:r>
              </a:p>
            </c:rich>
          </c:tx>
          <c:layout>
            <c:manualLayout>
              <c:xMode val="edge"/>
              <c:yMode val="edge"/>
              <c:x val="3.2359081419624215E-2"/>
              <c:y val="0.498310810810810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50559356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5.bin" 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6.bin" 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7.bin" 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Relationship Id="rId1" Type="http://schemas.openxmlformats.org/officeDocument/2006/relationships/printerSettings" Target="../printerSettings/printerSettings8.bin" 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66" workbookViewId="0" zoomToFit="1" xr3:uid="{78B4E459-6924-5F8B-B7BA-2DD04133E49E}"/>
  </sheetViews>
  <pageMargins left="0.75" right="0.75" top="1" bottom="1" header="0.49212598499999999" footer="0.49212598499999999"/>
  <pageSetup paperSize="9"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zoomScale="66" workbookViewId="0" zoomToFit="1" xr3:uid="{9B253EF2-77E0-53E3-AE26-4D66ECD923F3}"/>
  </sheetViews>
  <pageMargins left="0.75" right="0.75" top="1" bottom="1" header="0.49212598499999999" footer="0.49212598499999999"/>
  <pageSetup paperSize="9"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66" workbookViewId="0" zoomToFit="1" xr3:uid="{85D5C41F-068E-5C55-9968-509E7C2A5619}"/>
  </sheetViews>
  <pageMargins left="0.75" right="0.75" top="1" bottom="1" header="0.49212598499999999" footer="0.49212598499999999"/>
  <pageSetup paperSize="9"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zoomScale="70" workbookViewId="0" zoomToFit="1" xr3:uid="{44B22561-5205-5C8A-B808-2C70100D228F}"/>
  </sheetViews>
  <pageMargins left="0.75" right="0.75" top="1" bottom="1" header="0.49212598499999999" footer="0.49212598499999999"/>
  <pageSetup paperSize="9" orientation="landscape" r:id="rId1"/>
  <headerFooter alignWithMargins="0"/>
  <drawing r:id="rId2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31</xdr:row>
      <xdr:rowOff>76200</xdr:rowOff>
    </xdr:from>
    <xdr:to>
      <xdr:col>1</xdr:col>
      <xdr:colOff>0</xdr:colOff>
      <xdr:row>32</xdr:row>
      <xdr:rowOff>152400</xdr:rowOff>
    </xdr:to>
    <xdr:sp macro="" textlink="">
      <xdr:nvSpPr>
        <xdr:cNvPr id="72705" name="Rectangle 1">
          <a:extLst>
            <a:ext uri="{FF2B5EF4-FFF2-40B4-BE49-F238E27FC236}">
              <a16:creationId xmlns:a16="http://schemas.microsoft.com/office/drawing/2014/main" id="{1108ACC9-DFB3-479A-98B4-01630E532883}"/>
            </a:ext>
          </a:extLst>
        </xdr:cNvPr>
        <xdr:cNvSpPr>
          <a:spLocks noChangeArrowheads="1"/>
        </xdr:cNvSpPr>
      </xdr:nvSpPr>
      <xdr:spPr bwMode="auto">
        <a:xfrm>
          <a:off x="180975" y="4838700"/>
          <a:ext cx="4095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PM =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9525</xdr:colOff>
      <xdr:row>31</xdr:row>
      <xdr:rowOff>66675</xdr:rowOff>
    </xdr:from>
    <xdr:to>
      <xdr:col>2</xdr:col>
      <xdr:colOff>495300</xdr:colOff>
      <xdr:row>33</xdr:row>
      <xdr:rowOff>133350</xdr:rowOff>
    </xdr:to>
    <xdr:sp macro="" textlink="">
      <xdr:nvSpPr>
        <xdr:cNvPr id="72706" name="Rectangle 2">
          <a:extLst>
            <a:ext uri="{FF2B5EF4-FFF2-40B4-BE49-F238E27FC236}">
              <a16:creationId xmlns:a16="http://schemas.microsoft.com/office/drawing/2014/main" id="{39DEB655-2616-4AC8-802C-F78A6FC8085D}"/>
            </a:ext>
          </a:extLst>
        </xdr:cNvPr>
        <xdr:cNvSpPr>
          <a:spLocks noChangeArrowheads="1"/>
        </xdr:cNvSpPr>
      </xdr:nvSpPr>
      <xdr:spPr bwMode="auto">
        <a:xfrm>
          <a:off x="600075" y="4829175"/>
          <a:ext cx="106680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TC +       TD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Fc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x NH    </a:t>
          </a:r>
        </a:p>
      </xdr:txBody>
    </xdr:sp>
    <xdr:clientData/>
  </xdr:twoCellAnchor>
  <xdr:twoCellAnchor>
    <xdr:from>
      <xdr:col>1</xdr:col>
      <xdr:colOff>295275</xdr:colOff>
      <xdr:row>32</xdr:row>
      <xdr:rowOff>47625</xdr:rowOff>
    </xdr:from>
    <xdr:to>
      <xdr:col>2</xdr:col>
      <xdr:colOff>257175</xdr:colOff>
      <xdr:row>32</xdr:row>
      <xdr:rowOff>47625</xdr:rowOff>
    </xdr:to>
    <xdr:sp macro="" textlink="">
      <xdr:nvSpPr>
        <xdr:cNvPr id="72707" name="Line 3">
          <a:extLst>
            <a:ext uri="{FF2B5EF4-FFF2-40B4-BE49-F238E27FC236}">
              <a16:creationId xmlns:a16="http://schemas.microsoft.com/office/drawing/2014/main" id="{060E2CC3-FDCE-45FF-854F-458B1700885D}"/>
            </a:ext>
          </a:extLst>
        </xdr:cNvPr>
        <xdr:cNvSpPr>
          <a:spLocks noChangeShapeType="1"/>
        </xdr:cNvSpPr>
      </xdr:nvSpPr>
      <xdr:spPr bwMode="auto">
        <a:xfrm>
          <a:off x="885825" y="4972050"/>
          <a:ext cx="542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124950" cy="56388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6A4F2F18-7203-47F1-961D-94F739CB185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124950" cy="56388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05C4CFED-B13B-4E7C-AF53-665C14923FE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124950" cy="56388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446DAF41-A529-456B-88EF-017F368B861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124950" cy="56388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225DB813-AF6E-4B18-A9BA-A9D9BF281A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4" Type="http://schemas.openxmlformats.org/officeDocument/2006/relationships/comments" Target="../comments2.xml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 /><Relationship Id="rId2" Type="http://schemas.openxmlformats.org/officeDocument/2006/relationships/vmlDrawing" Target="../drawings/vmlDrawing3.vml" /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 /><Relationship Id="rId2" Type="http://schemas.openxmlformats.org/officeDocument/2006/relationships/vmlDrawing" Target="../drawings/vmlDrawing4.vml" /><Relationship Id="rId1" Type="http://schemas.openxmlformats.org/officeDocument/2006/relationships/printerSettings" Target="../printerSettings/printerSettings3.bin" 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 /><Relationship Id="rId2" Type="http://schemas.openxmlformats.org/officeDocument/2006/relationships/vmlDrawing" Target="../drawings/vmlDrawing5.vml" /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6"/>
  <sheetViews>
    <sheetView showGridLines="0" workbookViewId="0" xr3:uid="{AEA406A1-0E4B-5B11-9CD5-51D6E497D94C}">
      <selection activeCell="G11" sqref="G11"/>
    </sheetView>
  </sheetViews>
  <sheetFormatPr defaultRowHeight="12.75" x14ac:dyDescent="0.15"/>
  <cols>
    <col min="1" max="1" width="2.42578125" customWidth="1"/>
    <col min="2" max="3" width="14.0234375" bestFit="1" customWidth="1"/>
    <col min="4" max="4" width="12.80859375" bestFit="1" customWidth="1"/>
    <col min="5" max="5" width="13.078125" bestFit="1" customWidth="1"/>
    <col min="6" max="7" width="10.24609375" bestFit="1" customWidth="1"/>
    <col min="8" max="8" width="14.0234375" bestFit="1" customWidth="1"/>
  </cols>
  <sheetData>
    <row r="1" spans="2:8" x14ac:dyDescent="0.15">
      <c r="C1" s="117" t="s">
        <v>30</v>
      </c>
    </row>
    <row r="2" spans="2:8" x14ac:dyDescent="0.15">
      <c r="B2" s="118"/>
      <c r="C2" s="119"/>
      <c r="D2" s="119"/>
      <c r="E2" s="119"/>
      <c r="F2" s="258" t="s">
        <v>31</v>
      </c>
      <c r="G2" s="258"/>
      <c r="H2" s="121"/>
    </row>
    <row r="3" spans="2:8" x14ac:dyDescent="0.15">
      <c r="B3" s="119"/>
      <c r="C3" s="122"/>
      <c r="D3" s="123" t="s">
        <v>32</v>
      </c>
      <c r="E3" s="120" t="s">
        <v>33</v>
      </c>
      <c r="F3" s="120" t="s">
        <v>34</v>
      </c>
      <c r="G3" s="120" t="s">
        <v>35</v>
      </c>
      <c r="H3" s="124" t="s">
        <v>36</v>
      </c>
    </row>
    <row r="4" spans="2:8" x14ac:dyDescent="0.15">
      <c r="B4" s="118"/>
      <c r="C4" s="125" t="s">
        <v>37</v>
      </c>
      <c r="D4" s="126"/>
      <c r="E4" s="127" t="e">
        <f>H4</f>
        <v>#DIV/0!</v>
      </c>
      <c r="F4" s="128" t="e">
        <f>D4*E4*66</f>
        <v>#DIV/0!</v>
      </c>
      <c r="G4" s="193"/>
      <c r="H4" s="129" t="e">
        <f>G4/D4/66</f>
        <v>#DIV/0!</v>
      </c>
    </row>
    <row r="5" spans="2:8" x14ac:dyDescent="0.15">
      <c r="B5" s="118"/>
      <c r="C5" s="125" t="s">
        <v>38</v>
      </c>
      <c r="D5" s="126"/>
      <c r="E5" s="127" t="e">
        <f>H5</f>
        <v>#DIV/0!</v>
      </c>
      <c r="F5" s="128" t="e">
        <f>D5*E5*664</f>
        <v>#DIV/0!</v>
      </c>
      <c r="G5" s="193"/>
      <c r="H5" s="129" t="e">
        <f>G5/D5/664</f>
        <v>#DIV/0!</v>
      </c>
    </row>
    <row r="6" spans="2:8" x14ac:dyDescent="0.15">
      <c r="B6" s="118"/>
      <c r="C6" s="125" t="s">
        <v>39</v>
      </c>
      <c r="D6" s="130"/>
      <c r="E6" s="130" t="e">
        <f>(E4*66+E5*664)/730</f>
        <v>#DIV/0!</v>
      </c>
      <c r="F6" s="131" t="e">
        <f>F4+F5</f>
        <v>#DIV/0!</v>
      </c>
      <c r="G6" s="132">
        <f>G4+G5</f>
        <v>0</v>
      </c>
      <c r="H6" s="130" t="e">
        <f>(H4*66+H5*664)/730</f>
        <v>#DIV/0!</v>
      </c>
    </row>
    <row r="7" spans="2:8" x14ac:dyDescent="0.15">
      <c r="B7" s="118"/>
      <c r="C7" s="118"/>
      <c r="D7" s="118"/>
      <c r="E7" s="118"/>
      <c r="F7" s="118"/>
      <c r="G7" s="118"/>
      <c r="H7" s="118"/>
    </row>
    <row r="8" spans="2:8" x14ac:dyDescent="0.15">
      <c r="B8" s="118"/>
      <c r="C8" s="259" t="s">
        <v>40</v>
      </c>
      <c r="D8" s="259"/>
      <c r="E8" s="259"/>
      <c r="F8" s="118"/>
      <c r="G8" s="118"/>
      <c r="H8" s="118"/>
    </row>
    <row r="9" spans="2:8" x14ac:dyDescent="0.15">
      <c r="B9" s="119"/>
      <c r="C9" s="253" t="s">
        <v>41</v>
      </c>
      <c r="D9" s="254"/>
      <c r="E9" s="255"/>
      <c r="F9" s="256" t="s">
        <v>42</v>
      </c>
      <c r="G9" s="257"/>
      <c r="H9" s="133">
        <v>0.18</v>
      </c>
    </row>
    <row r="10" spans="2:8" x14ac:dyDescent="0.15">
      <c r="B10" s="119"/>
      <c r="C10" s="134" t="s">
        <v>43</v>
      </c>
      <c r="D10" s="135" t="s">
        <v>44</v>
      </c>
      <c r="E10" s="136" t="s">
        <v>45</v>
      </c>
      <c r="F10" s="134" t="s">
        <v>43</v>
      </c>
      <c r="G10" s="135" t="s">
        <v>44</v>
      </c>
      <c r="H10" s="136" t="s">
        <v>45</v>
      </c>
    </row>
    <row r="11" spans="2:8" x14ac:dyDescent="0.15">
      <c r="B11" s="125" t="s">
        <v>46</v>
      </c>
      <c r="C11" s="137" t="e">
        <f>comparação!$B$17/1000+comparação!$B$16/(66*$E4)</f>
        <v>#DIV/0!</v>
      </c>
      <c r="D11" s="138">
        <f>comparação!C$17/1000</f>
        <v>0.88254999999999995</v>
      </c>
      <c r="E11" s="139"/>
      <c r="F11" s="137" t="e">
        <f t="shared" ref="F11:H12" si="0">C11/(1-$H$9)</f>
        <v>#DIV/0!</v>
      </c>
      <c r="G11" s="138">
        <f t="shared" si="0"/>
        <v>1.0762804878048779</v>
      </c>
      <c r="H11" s="139">
        <f t="shared" si="0"/>
        <v>0</v>
      </c>
    </row>
    <row r="12" spans="2:8" x14ac:dyDescent="0.15">
      <c r="B12" s="125" t="s">
        <v>38</v>
      </c>
      <c r="C12" s="137" t="e">
        <f>comparação!J$17/1000+comparação!J$16/(664*$E5)</f>
        <v>#DIV/0!</v>
      </c>
      <c r="D12" s="138" t="e">
        <f>comparação!K$17/1000+comparação!K$16/(664*$E5)</f>
        <v>#DIV/0!</v>
      </c>
      <c r="E12" s="139" t="e">
        <f>E14/F6</f>
        <v>#DIV/0!</v>
      </c>
      <c r="F12" s="137" t="e">
        <f t="shared" si="0"/>
        <v>#DIV/0!</v>
      </c>
      <c r="G12" s="138" t="e">
        <f t="shared" si="0"/>
        <v>#DIV/0!</v>
      </c>
      <c r="H12" s="139" t="e">
        <f t="shared" si="0"/>
        <v>#DIV/0!</v>
      </c>
    </row>
    <row r="13" spans="2:8" x14ac:dyDescent="0.15">
      <c r="B13" s="125" t="s">
        <v>39</v>
      </c>
      <c r="C13" s="137" t="e">
        <f t="shared" ref="C13:H13" si="1">C14/$F$6</f>
        <v>#DIV/0!</v>
      </c>
      <c r="D13" s="138" t="e">
        <f t="shared" si="1"/>
        <v>#DIV/0!</v>
      </c>
      <c r="E13" s="139" t="e">
        <f t="shared" si="1"/>
        <v>#DIV/0!</v>
      </c>
      <c r="F13" s="137" t="e">
        <f t="shared" si="1"/>
        <v>#DIV/0!</v>
      </c>
      <c r="G13" s="138" t="e">
        <f t="shared" si="1"/>
        <v>#DIV/0!</v>
      </c>
      <c r="H13" s="139" t="e">
        <f t="shared" si="1"/>
        <v>#DIV/0!</v>
      </c>
    </row>
    <row r="14" spans="2:8" x14ac:dyDescent="0.15">
      <c r="B14" s="140" t="s">
        <v>47</v>
      </c>
      <c r="C14" s="141">
        <f>$D$4*comparação!B16+D5*comparação!J16+$G4*comparação!$B17/1000+G5*comparação!$J17/1000</f>
        <v>0</v>
      </c>
      <c r="D14" s="141">
        <f>D5*comparação!K16+G4*comparação!C17/1000+G5*comparação!K17/1000</f>
        <v>0</v>
      </c>
      <c r="E14" s="141">
        <f>$D$5*comparação!L16+G6*comparação!L17/1000</f>
        <v>0</v>
      </c>
      <c r="F14" s="141">
        <f>C14/(1-$H$9)</f>
        <v>0</v>
      </c>
      <c r="G14" s="141">
        <f>D14/(1-$H$9)</f>
        <v>0</v>
      </c>
      <c r="H14" s="141">
        <f>E14/(1-$H$9)</f>
        <v>0</v>
      </c>
    </row>
    <row r="15" spans="2:8" x14ac:dyDescent="0.15">
      <c r="B15" s="142"/>
      <c r="C15" s="143"/>
    </row>
    <row r="16" spans="2:8" x14ac:dyDescent="0.15">
      <c r="D16" s="116"/>
      <c r="E16" s="116"/>
    </row>
  </sheetData>
  <sheetProtection password="CE0A" sheet="1" objects="1" scenarios="1"/>
  <mergeCells count="4">
    <mergeCell ref="C9:E9"/>
    <mergeCell ref="F9:G9"/>
    <mergeCell ref="F2:G2"/>
    <mergeCell ref="C8:E8"/>
  </mergeCells>
  <phoneticPr fontId="11" type="noConversion"/>
  <pageMargins left="0.75" right="0.75" top="1" bottom="1" header="0.49212598499999999" footer="0.49212598499999999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J34"/>
  <sheetViews>
    <sheetView showGridLines="0" zoomScale="75" workbookViewId="0" xr3:uid="{958C4451-9541-5A59-BF78-D2F731DF1C81}">
      <selection activeCell="G3" sqref="G3"/>
    </sheetView>
  </sheetViews>
  <sheetFormatPr defaultColWidth="7.8203125" defaultRowHeight="12.75" x14ac:dyDescent="0.15"/>
  <cols>
    <col min="1" max="1" width="8.8984375" style="118" customWidth="1"/>
    <col min="2" max="3" width="8.76171875" style="118" customWidth="1"/>
    <col min="4" max="4" width="10.11328125" style="118" customWidth="1"/>
    <col min="5" max="6" width="8.76171875" style="118" customWidth="1"/>
    <col min="7" max="7" width="10.11328125" style="118" customWidth="1"/>
    <col min="8" max="8" width="6.7421875" style="118" customWidth="1"/>
    <col min="9" max="9" width="9.3046875" style="118" customWidth="1"/>
    <col min="10" max="11" width="8.76171875" style="118" customWidth="1"/>
    <col min="12" max="12" width="10.515625" style="118" customWidth="1"/>
    <col min="13" max="14" width="8.76171875" style="118" customWidth="1"/>
    <col min="15" max="15" width="10.3828125" style="118" bestFit="1" customWidth="1"/>
    <col min="16" max="16" width="9.57421875" style="118" customWidth="1"/>
    <col min="17" max="16384" width="7.8203125" style="118"/>
  </cols>
  <sheetData>
    <row r="1" spans="1:36" x14ac:dyDescent="0.15">
      <c r="A1" s="144" t="s">
        <v>61</v>
      </c>
      <c r="I1" s="144" t="s">
        <v>62</v>
      </c>
    </row>
    <row r="2" spans="1:36" ht="6.75" customHeight="1" thickBot="1" x14ac:dyDescent="0.2">
      <c r="C2" s="145"/>
      <c r="D2" s="145"/>
      <c r="E2" s="145"/>
    </row>
    <row r="3" spans="1:36" ht="13.5" thickBot="1" x14ac:dyDescent="0.2">
      <c r="B3" s="265" t="s">
        <v>41</v>
      </c>
      <c r="C3" s="266"/>
      <c r="D3" s="267"/>
      <c r="E3" s="265" t="s">
        <v>42</v>
      </c>
      <c r="F3" s="266"/>
      <c r="G3" s="146">
        <v>0.18</v>
      </c>
      <c r="H3" s="119"/>
      <c r="J3" s="265" t="s">
        <v>41</v>
      </c>
      <c r="K3" s="266"/>
      <c r="L3" s="267"/>
      <c r="M3" s="265" t="s">
        <v>42</v>
      </c>
      <c r="N3" s="266"/>
      <c r="O3" s="147">
        <f>G3</f>
        <v>0.18</v>
      </c>
    </row>
    <row r="4" spans="1:36" x14ac:dyDescent="0.15">
      <c r="A4" s="148" t="s">
        <v>48</v>
      </c>
      <c r="B4" s="149" t="s">
        <v>43</v>
      </c>
      <c r="C4" s="150" t="s">
        <v>44</v>
      </c>
      <c r="D4" s="151" t="s">
        <v>45</v>
      </c>
      <c r="E4" s="149" t="s">
        <v>43</v>
      </c>
      <c r="F4" s="150" t="s">
        <v>44</v>
      </c>
      <c r="G4" s="151" t="s">
        <v>45</v>
      </c>
      <c r="H4" s="152"/>
      <c r="I4" s="148" t="s">
        <v>48</v>
      </c>
      <c r="J4" s="149" t="s">
        <v>43</v>
      </c>
      <c r="K4" s="150" t="s">
        <v>44</v>
      </c>
      <c r="L4" s="151" t="s">
        <v>45</v>
      </c>
      <c r="M4" s="149" t="s">
        <v>43</v>
      </c>
      <c r="N4" s="150" t="s">
        <v>44</v>
      </c>
      <c r="O4" s="151" t="s">
        <v>45</v>
      </c>
    </row>
    <row r="5" spans="1:36" x14ac:dyDescent="0.15">
      <c r="A5" s="153">
        <v>0.1</v>
      </c>
      <c r="B5" s="154">
        <f t="shared" ref="B5:B12" si="0">B$17/1000+(B$16/(66*$A5))</f>
        <v>5.6924736363636361</v>
      </c>
      <c r="C5" s="155">
        <f t="shared" ref="C5:C12" si="1">C$17/1000</f>
        <v>0.88254999999999995</v>
      </c>
      <c r="D5" s="156">
        <f t="shared" ref="D5:D12" si="2">D$17/1000+D$16/(730*$A5)</f>
        <v>0.46539945205479449</v>
      </c>
      <c r="E5" s="154">
        <f t="shared" ref="E5:E12" si="3">E$17/1000+(E$16/(66*$A5))</f>
        <v>6.9420410199556528</v>
      </c>
      <c r="F5" s="155">
        <f t="shared" ref="F5:F12" si="4">F$17/1000</f>
        <v>1.0762804878048779</v>
      </c>
      <c r="G5" s="156">
        <f t="shared" ref="G5:G12" si="5">D5/(1-$G$3)</f>
        <v>0.56756030738389573</v>
      </c>
      <c r="H5" s="121"/>
      <c r="I5" s="153">
        <v>0.1</v>
      </c>
      <c r="J5" s="154">
        <f t="shared" ref="J5:J12" si="6">J$17/1000+(J$16/(664*$I5))</f>
        <v>0.28263445783132529</v>
      </c>
      <c r="K5" s="155">
        <f t="shared" ref="K5:K12" si="7">K$17/1000+K$16/(664*$I5)</f>
        <v>0.28263445783132529</v>
      </c>
      <c r="L5" s="156">
        <f t="shared" ref="L5:L12" si="8">L$17/1000+L$16/(730*$I5)</f>
        <v>0.46539945205479449</v>
      </c>
      <c r="M5" s="154">
        <f t="shared" ref="M5:M12" si="9">M$17/1000+(M$16/(664*$I5))</f>
        <v>0.34467616808698198</v>
      </c>
      <c r="N5" s="155">
        <f t="shared" ref="N5:N12" si="10">N$17/1000+N$16/(664*$I5)</f>
        <v>0.34467616808698198</v>
      </c>
      <c r="O5" s="156">
        <f t="shared" ref="O5:O12" si="11">O$17/1000+O$16/(730*$I5)</f>
        <v>0.56756030738389573</v>
      </c>
      <c r="P5" s="121"/>
    </row>
    <row r="6" spans="1:36" x14ac:dyDescent="0.15">
      <c r="A6" s="157">
        <v>0.3</v>
      </c>
      <c r="B6" s="154">
        <f t="shared" si="0"/>
        <v>2.0348978787878789</v>
      </c>
      <c r="C6" s="155">
        <f t="shared" si="1"/>
        <v>0.88254999999999995</v>
      </c>
      <c r="D6" s="156">
        <f t="shared" si="2"/>
        <v>0.26174648401826484</v>
      </c>
      <c r="E6" s="154">
        <f t="shared" si="3"/>
        <v>2.4815827790096079</v>
      </c>
      <c r="F6" s="155">
        <f t="shared" si="4"/>
        <v>1.0762804878048779</v>
      </c>
      <c r="G6" s="156">
        <f t="shared" si="5"/>
        <v>0.31920302929056688</v>
      </c>
      <c r="H6" s="121"/>
      <c r="I6" s="157">
        <v>0.3</v>
      </c>
      <c r="J6" s="154">
        <f t="shared" si="6"/>
        <v>0.16355815261044176</v>
      </c>
      <c r="K6" s="155">
        <f t="shared" si="7"/>
        <v>0.16355815261044176</v>
      </c>
      <c r="L6" s="156">
        <f t="shared" si="8"/>
        <v>0.26174648401826484</v>
      </c>
      <c r="M6" s="154">
        <f t="shared" si="9"/>
        <v>0.19946116172005093</v>
      </c>
      <c r="N6" s="155">
        <f t="shared" si="10"/>
        <v>0.19946116172005093</v>
      </c>
      <c r="O6" s="156">
        <f t="shared" si="11"/>
        <v>0.31920302929056688</v>
      </c>
      <c r="P6" s="121"/>
    </row>
    <row r="7" spans="1:36" x14ac:dyDescent="0.15">
      <c r="A7" s="157">
        <v>0.5</v>
      </c>
      <c r="B7" s="154">
        <f t="shared" si="0"/>
        <v>1.3033827272727274</v>
      </c>
      <c r="C7" s="155">
        <f t="shared" si="1"/>
        <v>0.88254999999999995</v>
      </c>
      <c r="D7" s="156">
        <f t="shared" si="2"/>
        <v>0.22101589041095887</v>
      </c>
      <c r="E7" s="154">
        <f t="shared" si="3"/>
        <v>1.5894911308203992</v>
      </c>
      <c r="F7" s="155">
        <f t="shared" si="4"/>
        <v>1.0762804878048779</v>
      </c>
      <c r="G7" s="156">
        <f t="shared" si="5"/>
        <v>0.26953157367190106</v>
      </c>
      <c r="H7" s="121"/>
      <c r="I7" s="157">
        <v>0.5</v>
      </c>
      <c r="J7" s="154">
        <f t="shared" si="6"/>
        <v>0.13974289156626507</v>
      </c>
      <c r="K7" s="155">
        <f t="shared" si="7"/>
        <v>0.13974289156626507</v>
      </c>
      <c r="L7" s="156">
        <f t="shared" si="8"/>
        <v>0.22101589041095887</v>
      </c>
      <c r="M7" s="154">
        <f t="shared" si="9"/>
        <v>0.17041816044666469</v>
      </c>
      <c r="N7" s="155">
        <f t="shared" si="10"/>
        <v>0.17041816044666469</v>
      </c>
      <c r="O7" s="156">
        <f t="shared" si="11"/>
        <v>0.26953157367190106</v>
      </c>
      <c r="P7" s="121"/>
    </row>
    <row r="8" spans="1:36" x14ac:dyDescent="0.15">
      <c r="A8" s="157">
        <v>0.6</v>
      </c>
      <c r="B8" s="154">
        <f t="shared" si="0"/>
        <v>1.1205039393939393</v>
      </c>
      <c r="C8" s="155">
        <f t="shared" si="1"/>
        <v>0.88254999999999995</v>
      </c>
      <c r="D8" s="156">
        <f t="shared" si="2"/>
        <v>0.21083324200913239</v>
      </c>
      <c r="E8" s="154">
        <f t="shared" si="3"/>
        <v>1.3664682187730968</v>
      </c>
      <c r="F8" s="155">
        <f t="shared" si="4"/>
        <v>1.0762804878048779</v>
      </c>
      <c r="G8" s="156">
        <f t="shared" si="5"/>
        <v>0.25711370976723463</v>
      </c>
      <c r="H8" s="121"/>
      <c r="I8" s="157">
        <v>0.6</v>
      </c>
      <c r="J8" s="154">
        <f t="shared" si="6"/>
        <v>0.13378907630522088</v>
      </c>
      <c r="K8" s="155">
        <f t="shared" si="7"/>
        <v>0.13378907630522088</v>
      </c>
      <c r="L8" s="156">
        <f t="shared" si="8"/>
        <v>0.21083324200913239</v>
      </c>
      <c r="M8" s="154">
        <f t="shared" si="9"/>
        <v>0.16315741012831814</v>
      </c>
      <c r="N8" s="155">
        <f t="shared" si="10"/>
        <v>0.16315741012831814</v>
      </c>
      <c r="O8" s="156">
        <f t="shared" si="11"/>
        <v>0.25711370976723463</v>
      </c>
      <c r="P8" s="121"/>
    </row>
    <row r="9" spans="1:36" x14ac:dyDescent="0.15">
      <c r="A9" s="157">
        <v>0.7</v>
      </c>
      <c r="B9" s="154">
        <f t="shared" si="0"/>
        <v>0.9898762337662339</v>
      </c>
      <c r="C9" s="155">
        <f t="shared" si="1"/>
        <v>0.88254999999999995</v>
      </c>
      <c r="D9" s="156">
        <f t="shared" si="2"/>
        <v>0.20355992172211348</v>
      </c>
      <c r="E9" s="154">
        <f t="shared" si="3"/>
        <v>1.2071661387393096</v>
      </c>
      <c r="F9" s="155">
        <f t="shared" si="4"/>
        <v>1.0762804878048779</v>
      </c>
      <c r="G9" s="156">
        <f t="shared" si="5"/>
        <v>0.24824380697818715</v>
      </c>
      <c r="H9" s="121"/>
      <c r="I9" s="157">
        <v>0.7</v>
      </c>
      <c r="J9" s="154">
        <f t="shared" si="6"/>
        <v>0.12953635111876077</v>
      </c>
      <c r="K9" s="155">
        <f t="shared" si="7"/>
        <v>0.12953635111876077</v>
      </c>
      <c r="L9" s="156">
        <f t="shared" si="8"/>
        <v>0.20355992172211348</v>
      </c>
      <c r="M9" s="154">
        <f t="shared" si="9"/>
        <v>0.15797115990092775</v>
      </c>
      <c r="N9" s="155">
        <f t="shared" si="10"/>
        <v>0.15797115990092775</v>
      </c>
      <c r="O9" s="156">
        <f t="shared" si="11"/>
        <v>0.24824380697818718</v>
      </c>
      <c r="P9" s="121"/>
    </row>
    <row r="10" spans="1:36" x14ac:dyDescent="0.15">
      <c r="A10" s="157">
        <v>0.8</v>
      </c>
      <c r="B10" s="154">
        <f t="shared" si="0"/>
        <v>0.89190545454545456</v>
      </c>
      <c r="C10" s="155">
        <f t="shared" si="1"/>
        <v>0.88254999999999995</v>
      </c>
      <c r="D10" s="156">
        <f t="shared" si="2"/>
        <v>0.1981049315068493</v>
      </c>
      <c r="E10" s="154">
        <f t="shared" si="3"/>
        <v>1.0876895787139689</v>
      </c>
      <c r="F10" s="155">
        <f t="shared" si="4"/>
        <v>1.0762804878048779</v>
      </c>
      <c r="G10" s="156">
        <f t="shared" si="5"/>
        <v>0.24159137988640156</v>
      </c>
      <c r="H10" s="121"/>
      <c r="I10" s="157">
        <v>0.8</v>
      </c>
      <c r="J10" s="154">
        <f t="shared" si="6"/>
        <v>0.12634680722891567</v>
      </c>
      <c r="K10" s="155">
        <f t="shared" si="7"/>
        <v>0.12634680722891567</v>
      </c>
      <c r="L10" s="156">
        <f t="shared" si="8"/>
        <v>0.1981049315068493</v>
      </c>
      <c r="M10" s="154">
        <f t="shared" si="9"/>
        <v>0.15408147223038496</v>
      </c>
      <c r="N10" s="155">
        <f t="shared" si="10"/>
        <v>0.15408147223038496</v>
      </c>
      <c r="O10" s="156">
        <f t="shared" si="11"/>
        <v>0.24159137988640159</v>
      </c>
      <c r="P10" s="121"/>
    </row>
    <row r="11" spans="1:36" x14ac:dyDescent="0.15">
      <c r="A11" s="157">
        <v>0.9</v>
      </c>
      <c r="B11" s="154">
        <f t="shared" si="0"/>
        <v>0.8157059595959596</v>
      </c>
      <c r="C11" s="155">
        <f t="shared" si="1"/>
        <v>0.88254999999999995</v>
      </c>
      <c r="D11" s="156">
        <f t="shared" si="2"/>
        <v>0.19386216133942158</v>
      </c>
      <c r="E11" s="154">
        <f t="shared" si="3"/>
        <v>0.99476336536092624</v>
      </c>
      <c r="F11" s="155">
        <f t="shared" si="4"/>
        <v>1.0762804878048779</v>
      </c>
      <c r="G11" s="156">
        <f t="shared" si="5"/>
        <v>0.23641726992612386</v>
      </c>
      <c r="H11" s="121"/>
      <c r="I11" s="157">
        <v>0.9</v>
      </c>
      <c r="J11" s="154">
        <f t="shared" si="6"/>
        <v>0.12386605087014725</v>
      </c>
      <c r="K11" s="155">
        <f t="shared" si="7"/>
        <v>0.12386605087014725</v>
      </c>
      <c r="L11" s="156">
        <f t="shared" si="8"/>
        <v>0.19386216133942158</v>
      </c>
      <c r="M11" s="154">
        <f t="shared" si="9"/>
        <v>0.15105615959774055</v>
      </c>
      <c r="N11" s="155">
        <f t="shared" si="10"/>
        <v>0.15105615959774055</v>
      </c>
      <c r="O11" s="156">
        <f t="shared" si="11"/>
        <v>0.23641726992612389</v>
      </c>
      <c r="P11" s="121"/>
    </row>
    <row r="12" spans="1:36" ht="13.5" thickBot="1" x14ac:dyDescent="0.2">
      <c r="A12" s="158">
        <v>1</v>
      </c>
      <c r="B12" s="159">
        <f t="shared" si="0"/>
        <v>0.75474636363636372</v>
      </c>
      <c r="C12" s="160">
        <f t="shared" si="1"/>
        <v>0.88254999999999995</v>
      </c>
      <c r="D12" s="161">
        <f t="shared" si="2"/>
        <v>0.19046794520547944</v>
      </c>
      <c r="E12" s="159">
        <f t="shared" si="3"/>
        <v>0.92042239467849218</v>
      </c>
      <c r="F12" s="160">
        <f t="shared" si="4"/>
        <v>1.0762804878048779</v>
      </c>
      <c r="G12" s="161">
        <f t="shared" si="5"/>
        <v>0.23227798195790172</v>
      </c>
      <c r="H12" s="121"/>
      <c r="I12" s="158">
        <v>1</v>
      </c>
      <c r="J12" s="159">
        <f t="shared" si="6"/>
        <v>0.12188144578313254</v>
      </c>
      <c r="K12" s="160">
        <f t="shared" si="7"/>
        <v>0.12188144578313254</v>
      </c>
      <c r="L12" s="161">
        <f t="shared" si="8"/>
        <v>0.19046794520547944</v>
      </c>
      <c r="M12" s="159">
        <f t="shared" si="9"/>
        <v>0.14863590949162503</v>
      </c>
      <c r="N12" s="160">
        <f t="shared" si="10"/>
        <v>0.14863590949162503</v>
      </c>
      <c r="O12" s="161">
        <f t="shared" si="11"/>
        <v>0.23227798195790175</v>
      </c>
      <c r="P12" s="121"/>
    </row>
    <row r="13" spans="1:36" ht="10.5" customHeight="1" x14ac:dyDescent="0.15">
      <c r="A13" s="162"/>
      <c r="B13" s="269" t="s">
        <v>49</v>
      </c>
      <c r="C13" s="269"/>
      <c r="D13" s="269"/>
      <c r="E13" s="270"/>
      <c r="F13" s="270"/>
      <c r="G13" s="119"/>
      <c r="H13" s="119"/>
      <c r="I13" s="162"/>
      <c r="J13" s="260" t="s">
        <v>49</v>
      </c>
      <c r="K13" s="261"/>
      <c r="L13" s="261"/>
      <c r="M13" s="261"/>
      <c r="N13" s="261"/>
      <c r="O13" s="163"/>
      <c r="P13" s="164"/>
      <c r="Q13" s="164"/>
      <c r="R13" s="164"/>
    </row>
    <row r="14" spans="1:36" ht="10.5" customHeight="1" x14ac:dyDescent="0.15">
      <c r="A14" s="119"/>
      <c r="B14" s="269" t="s">
        <v>50</v>
      </c>
      <c r="C14" s="269"/>
      <c r="D14" s="260"/>
      <c r="E14" s="263" t="s">
        <v>51</v>
      </c>
      <c r="F14" s="264"/>
      <c r="G14" s="165">
        <f>G3</f>
        <v>0.18</v>
      </c>
      <c r="H14" s="121"/>
      <c r="I14" s="119"/>
      <c r="J14" s="260" t="s">
        <v>50</v>
      </c>
      <c r="K14" s="261"/>
      <c r="L14" s="262"/>
      <c r="M14" s="263" t="s">
        <v>51</v>
      </c>
      <c r="N14" s="264"/>
      <c r="O14" s="166">
        <f>G3</f>
        <v>0.18</v>
      </c>
    </row>
    <row r="15" spans="1:36" x14ac:dyDescent="0.15">
      <c r="A15" s="152"/>
      <c r="B15" s="167" t="s">
        <v>43</v>
      </c>
      <c r="C15" s="150" t="s">
        <v>44</v>
      </c>
      <c r="D15" s="151" t="s">
        <v>45</v>
      </c>
      <c r="E15" s="149" t="s">
        <v>43</v>
      </c>
      <c r="F15" s="150" t="s">
        <v>44</v>
      </c>
      <c r="G15" s="151" t="s">
        <v>45</v>
      </c>
      <c r="H15" s="121"/>
      <c r="I15" s="152"/>
      <c r="J15" s="167" t="s">
        <v>43</v>
      </c>
      <c r="K15" s="150" t="s">
        <v>44</v>
      </c>
      <c r="L15" s="151" t="s">
        <v>45</v>
      </c>
      <c r="M15" s="149" t="s">
        <v>43</v>
      </c>
      <c r="N15" s="150" t="s">
        <v>44</v>
      </c>
      <c r="O15" s="151" t="s">
        <v>45</v>
      </c>
    </row>
    <row r="16" spans="1:36" x14ac:dyDescent="0.15">
      <c r="A16" s="122" t="s">
        <v>21</v>
      </c>
      <c r="B16" s="168">
        <v>36.21</v>
      </c>
      <c r="C16" s="168"/>
      <c r="D16" s="168">
        <v>22.3</v>
      </c>
      <c r="E16" s="169">
        <f t="shared" ref="E16:G17" si="12">B16/(1-$G$3)</f>
        <v>44.158536585365852</v>
      </c>
      <c r="F16" s="170">
        <f t="shared" si="12"/>
        <v>0</v>
      </c>
      <c r="G16" s="171">
        <f t="shared" si="12"/>
        <v>27.195121951219512</v>
      </c>
      <c r="H16" s="172"/>
      <c r="I16" s="123" t="s">
        <v>21</v>
      </c>
      <c r="J16" s="168">
        <v>11.86</v>
      </c>
      <c r="K16" s="168">
        <v>11.86</v>
      </c>
      <c r="L16" s="173">
        <f>D16</f>
        <v>22.3</v>
      </c>
      <c r="M16" s="174">
        <f t="shared" ref="M16:O17" si="13">J16/(1-$O$14)</f>
        <v>14.463414634146339</v>
      </c>
      <c r="N16" s="175">
        <f t="shared" si="13"/>
        <v>14.463414634146339</v>
      </c>
      <c r="O16" s="173">
        <f t="shared" si="13"/>
        <v>27.195121951219512</v>
      </c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  <c r="AH16" s="176"/>
      <c r="AI16" s="176"/>
      <c r="AJ16" s="176"/>
    </row>
    <row r="17" spans="1:36" x14ac:dyDescent="0.15">
      <c r="A17" s="177" t="s">
        <v>52</v>
      </c>
      <c r="B17" s="168">
        <v>206.11</v>
      </c>
      <c r="C17" s="168">
        <v>882.55</v>
      </c>
      <c r="D17" s="168">
        <v>159.91999999999999</v>
      </c>
      <c r="E17" s="169">
        <f t="shared" si="12"/>
        <v>251.35365853658536</v>
      </c>
      <c r="F17" s="170">
        <f t="shared" si="12"/>
        <v>1076.280487804878</v>
      </c>
      <c r="G17" s="171">
        <f t="shared" si="12"/>
        <v>195.02439024390242</v>
      </c>
      <c r="H17" s="172"/>
      <c r="I17" s="178" t="s">
        <v>52</v>
      </c>
      <c r="J17" s="168">
        <v>104.02</v>
      </c>
      <c r="K17" s="168">
        <v>104.02</v>
      </c>
      <c r="L17" s="173">
        <f>D17</f>
        <v>159.91999999999999</v>
      </c>
      <c r="M17" s="174">
        <f t="shared" si="13"/>
        <v>126.85365853658536</v>
      </c>
      <c r="N17" s="175">
        <f t="shared" si="13"/>
        <v>126.85365853658536</v>
      </c>
      <c r="O17" s="173">
        <f t="shared" si="13"/>
        <v>195.02439024390242</v>
      </c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  <c r="AB17" s="176"/>
      <c r="AC17" s="176"/>
      <c r="AD17" s="176"/>
      <c r="AE17" s="176"/>
      <c r="AF17" s="176"/>
      <c r="AG17" s="176"/>
      <c r="AH17" s="176"/>
      <c r="AI17" s="176"/>
      <c r="AJ17" s="176"/>
    </row>
    <row r="18" spans="1:36" ht="6.75" customHeight="1" thickBot="1" x14ac:dyDescent="0.2">
      <c r="A18" s="179"/>
      <c r="B18" s="180"/>
      <c r="C18" s="180"/>
      <c r="D18" s="180"/>
      <c r="E18" s="172"/>
      <c r="F18" s="172"/>
      <c r="G18" s="172"/>
      <c r="H18" s="172"/>
      <c r="I18" s="181"/>
      <c r="J18" s="180"/>
      <c r="K18" s="180"/>
      <c r="L18" s="180"/>
      <c r="M18" s="172"/>
      <c r="N18" s="172"/>
      <c r="O18" s="182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76"/>
      <c r="AH18" s="176"/>
      <c r="AI18" s="176"/>
      <c r="AJ18" s="176"/>
    </row>
    <row r="19" spans="1:36" ht="13.5" thickBot="1" x14ac:dyDescent="0.2">
      <c r="A19" s="144" t="s">
        <v>63</v>
      </c>
      <c r="B19" s="183"/>
      <c r="C19" s="183"/>
      <c r="D19" s="183"/>
      <c r="E19" s="183"/>
      <c r="F19" s="183"/>
      <c r="G19" s="184"/>
      <c r="H19" s="184"/>
      <c r="I19" s="185" t="s">
        <v>53</v>
      </c>
      <c r="J19" s="186" t="s">
        <v>54</v>
      </c>
      <c r="K19" s="187">
        <v>311.33</v>
      </c>
      <c r="L19" s="188" t="s">
        <v>55</v>
      </c>
      <c r="M19" s="172"/>
      <c r="N19" s="172"/>
      <c r="O19" s="189"/>
      <c r="P19" s="164"/>
      <c r="Q19" s="164"/>
      <c r="R19" s="164"/>
    </row>
    <row r="20" spans="1:36" ht="5.25" customHeight="1" thickBot="1" x14ac:dyDescent="0.2">
      <c r="O20" s="164"/>
      <c r="P20" s="164"/>
      <c r="Q20" s="164"/>
      <c r="R20" s="164"/>
    </row>
    <row r="21" spans="1:36" ht="13.5" thickBot="1" x14ac:dyDescent="0.2">
      <c r="B21" s="265" t="s">
        <v>41</v>
      </c>
      <c r="C21" s="266"/>
      <c r="D21" s="267"/>
      <c r="E21" s="265" t="s">
        <v>42</v>
      </c>
      <c r="F21" s="266"/>
      <c r="G21" s="147">
        <f>G3</f>
        <v>0.18</v>
      </c>
      <c r="H21" s="164"/>
      <c r="M21" s="164"/>
      <c r="N21" s="164"/>
      <c r="O21" s="164"/>
      <c r="P21" s="164"/>
      <c r="Q21" s="164"/>
      <c r="R21" s="164"/>
    </row>
    <row r="22" spans="1:36" x14ac:dyDescent="0.15">
      <c r="A22" s="148" t="s">
        <v>48</v>
      </c>
      <c r="B22" s="149" t="s">
        <v>43</v>
      </c>
      <c r="C22" s="150" t="s">
        <v>44</v>
      </c>
      <c r="D22" s="151" t="s">
        <v>45</v>
      </c>
      <c r="E22" s="149" t="s">
        <v>43</v>
      </c>
      <c r="F22" s="150" t="s">
        <v>44</v>
      </c>
      <c r="G22" s="151" t="s">
        <v>45</v>
      </c>
      <c r="H22" s="164"/>
      <c r="P22" s="164"/>
      <c r="Q22" s="164"/>
      <c r="R22" s="164"/>
    </row>
    <row r="23" spans="1:36" x14ac:dyDescent="0.15">
      <c r="A23" s="153">
        <v>0.1</v>
      </c>
      <c r="B23" s="154">
        <f t="shared" ref="B23:G30" si="14">(J5*666+64*B5)/730</f>
        <v>0.75692172827799364</v>
      </c>
      <c r="C23" s="155">
        <f t="shared" si="14"/>
        <v>0.33522979303515432</v>
      </c>
      <c r="D23" s="156">
        <f t="shared" si="14"/>
        <v>0.46539945205479444</v>
      </c>
      <c r="E23" s="154">
        <f t="shared" si="14"/>
        <v>0.92307527838779702</v>
      </c>
      <c r="F23" s="155">
        <f t="shared" si="14"/>
        <v>0.40881682077457837</v>
      </c>
      <c r="G23" s="156">
        <f t="shared" si="14"/>
        <v>0.56756030738389573</v>
      </c>
      <c r="H23" s="164"/>
      <c r="I23" s="268" t="s">
        <v>65</v>
      </c>
      <c r="J23" s="268"/>
      <c r="K23" s="268"/>
      <c r="L23" s="268"/>
      <c r="P23" s="164"/>
      <c r="Q23" s="164"/>
      <c r="R23" s="164"/>
    </row>
    <row r="24" spans="1:36" x14ac:dyDescent="0.15">
      <c r="A24" s="157">
        <v>0.3</v>
      </c>
      <c r="B24" s="154">
        <f t="shared" si="14"/>
        <v>0.32762081353558692</v>
      </c>
      <c r="C24" s="155">
        <f t="shared" si="14"/>
        <v>0.22659305429938931</v>
      </c>
      <c r="D24" s="156">
        <f t="shared" si="14"/>
        <v>0.26174648401826484</v>
      </c>
      <c r="E24" s="154">
        <f t="shared" si="14"/>
        <v>0.39953757748242302</v>
      </c>
      <c r="F24" s="155">
        <f t="shared" si="14"/>
        <v>0.27633299304803577</v>
      </c>
      <c r="G24" s="156">
        <f t="shared" si="14"/>
        <v>0.31920302929056688</v>
      </c>
      <c r="I24" s="268"/>
      <c r="J24" s="268"/>
      <c r="K24" s="268"/>
      <c r="L24" s="268"/>
    </row>
    <row r="25" spans="1:36" x14ac:dyDescent="0.15">
      <c r="A25" s="157">
        <v>0.5</v>
      </c>
      <c r="B25" s="154">
        <f t="shared" si="14"/>
        <v>0.24176063058710559</v>
      </c>
      <c r="C25" s="155">
        <f t="shared" si="14"/>
        <v>0.20486570655223632</v>
      </c>
      <c r="D25" s="156">
        <f t="shared" si="14"/>
        <v>0.22101589041095887</v>
      </c>
      <c r="E25" s="154">
        <f t="shared" si="14"/>
        <v>0.29483003730134827</v>
      </c>
      <c r="F25" s="155">
        <f t="shared" si="14"/>
        <v>0.24983622750272724</v>
      </c>
      <c r="G25" s="156">
        <f t="shared" si="14"/>
        <v>0.26953157367190111</v>
      </c>
      <c r="I25" s="268"/>
      <c r="J25" s="268"/>
      <c r="K25" s="268"/>
      <c r="L25" s="268"/>
    </row>
    <row r="26" spans="1:36" x14ac:dyDescent="0.15">
      <c r="A26" s="157">
        <v>0.6</v>
      </c>
      <c r="B26" s="154">
        <f t="shared" si="14"/>
        <v>0.22029558484998524</v>
      </c>
      <c r="C26" s="155">
        <f t="shared" si="14"/>
        <v>0.19943386961544807</v>
      </c>
      <c r="D26" s="156">
        <f t="shared" si="14"/>
        <v>0.21083324200913237</v>
      </c>
      <c r="E26" s="154">
        <f t="shared" si="14"/>
        <v>0.26865315225607955</v>
      </c>
      <c r="F26" s="155">
        <f t="shared" si="14"/>
        <v>0.2432120361164001</v>
      </c>
      <c r="G26" s="156">
        <f t="shared" si="14"/>
        <v>0.25711370976723463</v>
      </c>
    </row>
    <row r="27" spans="1:36" x14ac:dyDescent="0.15">
      <c r="A27" s="157">
        <v>0.7</v>
      </c>
      <c r="B27" s="154">
        <f t="shared" si="14"/>
        <v>0.20496340932347074</v>
      </c>
      <c r="C27" s="155">
        <f t="shared" si="14"/>
        <v>0.19555398608917079</v>
      </c>
      <c r="D27" s="156">
        <f t="shared" si="14"/>
        <v>0.20355992172211348</v>
      </c>
      <c r="E27" s="154">
        <f t="shared" si="14"/>
        <v>0.24995537722374478</v>
      </c>
      <c r="F27" s="155">
        <f t="shared" si="14"/>
        <v>0.23848047084045212</v>
      </c>
      <c r="G27" s="156">
        <f t="shared" si="14"/>
        <v>0.24824380697818721</v>
      </c>
      <c r="I27" s="118" t="s">
        <v>56</v>
      </c>
    </row>
    <row r="28" spans="1:36" x14ac:dyDescent="0.15">
      <c r="A28" s="157">
        <v>0.8</v>
      </c>
      <c r="B28" s="154">
        <f t="shared" si="14"/>
        <v>0.19346427767858482</v>
      </c>
      <c r="C28" s="155">
        <f t="shared" si="14"/>
        <v>0.19264407344446277</v>
      </c>
      <c r="D28" s="156">
        <f t="shared" si="14"/>
        <v>0.1981049315068493</v>
      </c>
      <c r="E28" s="154">
        <f t="shared" si="14"/>
        <v>0.23593204594949369</v>
      </c>
      <c r="F28" s="155">
        <f t="shared" si="14"/>
        <v>0.2349317968834912</v>
      </c>
      <c r="G28" s="156">
        <f t="shared" si="14"/>
        <v>0.24159137988640159</v>
      </c>
    </row>
    <row r="29" spans="1:36" x14ac:dyDescent="0.15">
      <c r="A29" s="157">
        <v>0.9</v>
      </c>
      <c r="B29" s="154">
        <f t="shared" si="14"/>
        <v>0.18452050862145133</v>
      </c>
      <c r="C29" s="155">
        <f t="shared" si="14"/>
        <v>0.19038080805413435</v>
      </c>
      <c r="D29" s="156">
        <f t="shared" si="14"/>
        <v>0.19386216133942158</v>
      </c>
      <c r="E29" s="154">
        <f t="shared" si="14"/>
        <v>0.22502501051396506</v>
      </c>
      <c r="F29" s="155">
        <f t="shared" si="14"/>
        <v>0.23217171713918822</v>
      </c>
      <c r="G29" s="156">
        <f t="shared" si="14"/>
        <v>0.23641726992612389</v>
      </c>
    </row>
    <row r="30" spans="1:36" ht="13.5" thickBot="1" x14ac:dyDescent="0.2">
      <c r="A30" s="158">
        <v>1</v>
      </c>
      <c r="B30" s="159">
        <f t="shared" si="14"/>
        <v>0.17736549337574459</v>
      </c>
      <c r="C30" s="160">
        <f t="shared" si="14"/>
        <v>0.18857019574187159</v>
      </c>
      <c r="D30" s="161">
        <f t="shared" si="14"/>
        <v>0.19046794520547944</v>
      </c>
      <c r="E30" s="159">
        <f t="shared" si="14"/>
        <v>0.21629938216554215</v>
      </c>
      <c r="F30" s="160">
        <f t="shared" si="14"/>
        <v>0.22996365334374583</v>
      </c>
      <c r="G30" s="161">
        <f t="shared" si="14"/>
        <v>0.23227798195790178</v>
      </c>
    </row>
    <row r="32" spans="1:36" x14ac:dyDescent="0.15">
      <c r="D32" s="190" t="s">
        <v>57</v>
      </c>
      <c r="F32" s="191" t="s">
        <v>64</v>
      </c>
      <c r="G32" s="121"/>
      <c r="H32" s="192"/>
    </row>
    <row r="33" spans="4:8" x14ac:dyDescent="0.15">
      <c r="D33" s="190" t="s">
        <v>58</v>
      </c>
      <c r="F33" s="191" t="s">
        <v>59</v>
      </c>
      <c r="H33" s="121"/>
    </row>
    <row r="34" spans="4:8" x14ac:dyDescent="0.15">
      <c r="D34" s="190" t="s">
        <v>60</v>
      </c>
    </row>
  </sheetData>
  <sheetProtection formatCells="0" formatColumns="0" formatRows="0"/>
  <mergeCells count="13">
    <mergeCell ref="I23:L25"/>
    <mergeCell ref="B21:D21"/>
    <mergeCell ref="E21:F21"/>
    <mergeCell ref="J13:N13"/>
    <mergeCell ref="B13:F13"/>
    <mergeCell ref="B14:D14"/>
    <mergeCell ref="J14:L14"/>
    <mergeCell ref="E14:F14"/>
    <mergeCell ref="M14:N14"/>
    <mergeCell ref="B3:D3"/>
    <mergeCell ref="E3:F3"/>
    <mergeCell ref="J3:L3"/>
    <mergeCell ref="M3:N3"/>
  </mergeCells>
  <phoneticPr fontId="0" type="noConversion"/>
  <printOptions horizontalCentered="1" verticalCentered="1"/>
  <pageMargins left="0.59055118110236227" right="0.59055118110236227" top="0.98425196850393704" bottom="0.98425196850393704" header="0.51181102362204722" footer="0.51181102362204722"/>
  <pageSetup paperSize="9" scale="95" orientation="landscape" horizontalDpi="180" verticalDpi="18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G69"/>
  <sheetViews>
    <sheetView showGridLines="0" showZeros="0" zoomScale="75" workbookViewId="0" xr3:uid="{842E5F09-E766-5B8D-85AF-A39847EA96FD}">
      <selection activeCell="A5" sqref="A5"/>
    </sheetView>
  </sheetViews>
  <sheetFormatPr defaultColWidth="7.8203125" defaultRowHeight="12.75" x14ac:dyDescent="0.15"/>
  <cols>
    <col min="1" max="1" width="20.359375" style="9" customWidth="1"/>
    <col min="2" max="2" width="6.60546875" style="9" customWidth="1"/>
    <col min="3" max="3" width="6.875" style="9" bestFit="1" customWidth="1"/>
    <col min="4" max="4" width="9.3046875" style="9" bestFit="1" customWidth="1"/>
    <col min="5" max="5" width="8.08984375" style="9" bestFit="1" customWidth="1"/>
    <col min="6" max="15" width="2.828125" style="9" customWidth="1"/>
    <col min="16" max="17" width="2.6953125" style="9" customWidth="1"/>
    <col min="18" max="22" width="2.828125" style="9" customWidth="1"/>
    <col min="23" max="26" width="3.1015625" style="9" bestFit="1" customWidth="1"/>
    <col min="27" max="29" width="2.828125" style="9" customWidth="1"/>
    <col min="30" max="30" width="5.52734375" style="9" customWidth="1"/>
    <col min="31" max="31" width="7.01171875" style="9" bestFit="1" customWidth="1"/>
    <col min="32" max="32" width="9.57421875" style="9" customWidth="1"/>
    <col min="33" max="33" width="9.4375" style="9" customWidth="1"/>
    <col min="34" max="16384" width="7.8203125" style="9"/>
  </cols>
  <sheetData>
    <row r="1" spans="1:33" s="7" customFormat="1" ht="20.25" customHeight="1" thickBot="1" x14ac:dyDescent="0.2">
      <c r="A1" s="111" t="s">
        <v>28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38"/>
      <c r="AE1" s="38"/>
      <c r="AF1" s="38"/>
      <c r="AG1" s="39"/>
    </row>
    <row r="2" spans="1:33" s="7" customFormat="1" ht="20.25" customHeight="1" thickTop="1" thickBot="1" x14ac:dyDescent="0.2">
      <c r="A2" s="286" t="s">
        <v>26</v>
      </c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8"/>
    </row>
    <row r="3" spans="1:33" ht="21" customHeight="1" thickTop="1" thickBot="1" x14ac:dyDescent="0.2">
      <c r="A3" s="8" t="s">
        <v>17</v>
      </c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85" t="s">
        <v>14</v>
      </c>
      <c r="P3" s="273"/>
      <c r="Q3" s="273"/>
      <c r="R3" s="273"/>
      <c r="S3" s="273"/>
      <c r="T3" s="274"/>
      <c r="U3" s="272"/>
      <c r="V3" s="273"/>
      <c r="W3" s="273"/>
      <c r="X3" s="273"/>
      <c r="Y3" s="273"/>
      <c r="Z3" s="273"/>
      <c r="AA3" s="273"/>
      <c r="AB3" s="273"/>
      <c r="AC3" s="274"/>
      <c r="AD3" s="33" t="s">
        <v>3</v>
      </c>
      <c r="AE3" s="34"/>
      <c r="AF3" s="13"/>
      <c r="AG3" s="13"/>
    </row>
    <row r="4" spans="1:33" ht="14.25" customHeight="1" thickTop="1" thickBot="1" x14ac:dyDescent="0.2">
      <c r="A4" s="279" t="s">
        <v>8</v>
      </c>
      <c r="B4" s="281"/>
      <c r="C4" s="279" t="s">
        <v>18</v>
      </c>
      <c r="D4" s="280"/>
      <c r="E4" s="281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U4" s="84"/>
      <c r="V4" s="84"/>
      <c r="X4" s="282" t="s">
        <v>27</v>
      </c>
      <c r="Y4" s="283"/>
      <c r="Z4" s="284"/>
      <c r="AA4" s="84"/>
      <c r="AB4" s="84"/>
      <c r="AC4" s="84"/>
      <c r="AD4" s="277" t="s">
        <v>16</v>
      </c>
      <c r="AE4" s="278"/>
      <c r="AF4" s="275" t="s">
        <v>4</v>
      </c>
      <c r="AG4" s="276"/>
    </row>
    <row r="5" spans="1:33" ht="13.5" thickBot="1" x14ac:dyDescent="0.2">
      <c r="A5" s="40" t="s">
        <v>7</v>
      </c>
      <c r="B5" s="85" t="s">
        <v>9</v>
      </c>
      <c r="C5" s="110"/>
      <c r="D5" s="109" t="s">
        <v>19</v>
      </c>
      <c r="E5" s="85" t="s">
        <v>20</v>
      </c>
      <c r="F5" s="72">
        <v>1</v>
      </c>
      <c r="G5" s="72">
        <v>2</v>
      </c>
      <c r="H5" s="72">
        <v>3</v>
      </c>
      <c r="I5" s="72">
        <v>4</v>
      </c>
      <c r="J5" s="72">
        <v>5</v>
      </c>
      <c r="K5" s="72">
        <v>6</v>
      </c>
      <c r="L5" s="72">
        <v>7</v>
      </c>
      <c r="M5" s="72">
        <v>8</v>
      </c>
      <c r="N5" s="72">
        <v>9</v>
      </c>
      <c r="O5" s="72">
        <v>10</v>
      </c>
      <c r="P5" s="72">
        <v>11</v>
      </c>
      <c r="Q5" s="72">
        <v>12</v>
      </c>
      <c r="R5" s="72">
        <v>13</v>
      </c>
      <c r="S5" s="72">
        <v>14</v>
      </c>
      <c r="T5" s="72">
        <v>15</v>
      </c>
      <c r="U5" s="72">
        <v>16</v>
      </c>
      <c r="V5" s="72">
        <v>17</v>
      </c>
      <c r="W5" s="72">
        <v>18</v>
      </c>
      <c r="X5" s="72">
        <v>19</v>
      </c>
      <c r="Y5" s="72">
        <v>20</v>
      </c>
      <c r="Z5" s="72">
        <v>21</v>
      </c>
      <c r="AA5" s="72">
        <v>22</v>
      </c>
      <c r="AB5" s="72">
        <v>23</v>
      </c>
      <c r="AC5" s="80">
        <v>24</v>
      </c>
      <c r="AD5" s="86" t="s">
        <v>0</v>
      </c>
      <c r="AE5" s="87" t="s">
        <v>1</v>
      </c>
      <c r="AF5" s="88" t="s">
        <v>0</v>
      </c>
      <c r="AG5" s="85" t="s">
        <v>1</v>
      </c>
    </row>
    <row r="6" spans="1:33" x14ac:dyDescent="0.15">
      <c r="A6" s="68"/>
      <c r="B6" s="73"/>
      <c r="C6" s="68"/>
      <c r="D6" s="69"/>
      <c r="E6" s="76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70"/>
      <c r="Y6" s="70"/>
      <c r="Z6" s="70"/>
      <c r="AA6" s="69"/>
      <c r="AB6" s="69"/>
      <c r="AC6" s="73"/>
      <c r="AD6" s="68"/>
      <c r="AE6" s="76"/>
      <c r="AF6" s="89"/>
      <c r="AG6" s="71"/>
    </row>
    <row r="7" spans="1:33" x14ac:dyDescent="0.15">
      <c r="A7" s="66"/>
      <c r="B7" s="74"/>
      <c r="C7" s="66"/>
      <c r="D7" s="20"/>
      <c r="E7" s="77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31"/>
      <c r="Y7" s="31"/>
      <c r="Z7" s="31"/>
      <c r="AA7" s="20"/>
      <c r="AB7" s="20"/>
      <c r="AC7" s="74"/>
      <c r="AD7" s="66"/>
      <c r="AE7" s="77"/>
      <c r="AF7" s="90"/>
      <c r="AG7" s="67"/>
    </row>
    <row r="8" spans="1:33" x14ac:dyDescent="0.15">
      <c r="A8" s="66"/>
      <c r="B8" s="74"/>
      <c r="C8" s="66"/>
      <c r="D8" s="20"/>
      <c r="E8" s="77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31"/>
      <c r="Y8" s="31"/>
      <c r="Z8" s="31"/>
      <c r="AA8" s="20"/>
      <c r="AB8" s="20"/>
      <c r="AC8" s="74"/>
      <c r="AD8" s="66"/>
      <c r="AE8" s="77"/>
      <c r="AF8" s="90"/>
      <c r="AG8" s="67"/>
    </row>
    <row r="9" spans="1:33" x14ac:dyDescent="0.15">
      <c r="A9" s="66"/>
      <c r="B9" s="74"/>
      <c r="C9" s="66"/>
      <c r="D9" s="20"/>
      <c r="E9" s="77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31"/>
      <c r="Y9" s="31"/>
      <c r="Z9" s="31"/>
      <c r="AA9" s="20"/>
      <c r="AB9" s="20"/>
      <c r="AC9" s="74"/>
      <c r="AD9" s="66"/>
      <c r="AE9" s="77"/>
      <c r="AF9" s="90"/>
      <c r="AG9" s="67"/>
    </row>
    <row r="10" spans="1:33" x14ac:dyDescent="0.15">
      <c r="A10" s="66"/>
      <c r="B10" s="74"/>
      <c r="C10" s="66"/>
      <c r="D10" s="20"/>
      <c r="E10" s="77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31"/>
      <c r="Y10" s="31"/>
      <c r="Z10" s="31"/>
      <c r="AA10" s="20"/>
      <c r="AB10" s="20"/>
      <c r="AC10" s="74"/>
      <c r="AD10" s="66"/>
      <c r="AE10" s="77"/>
      <c r="AF10" s="90"/>
      <c r="AG10" s="67"/>
    </row>
    <row r="11" spans="1:33" x14ac:dyDescent="0.15">
      <c r="A11" s="66"/>
      <c r="B11" s="74"/>
      <c r="C11" s="66"/>
      <c r="D11" s="20"/>
      <c r="E11" s="77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31"/>
      <c r="Y11" s="31"/>
      <c r="Z11" s="31"/>
      <c r="AA11" s="20"/>
      <c r="AB11" s="20"/>
      <c r="AC11" s="74"/>
      <c r="AD11" s="66"/>
      <c r="AE11" s="77"/>
      <c r="AF11" s="90"/>
      <c r="AG11" s="67"/>
    </row>
    <row r="12" spans="1:33" x14ac:dyDescent="0.15">
      <c r="A12" s="66"/>
      <c r="B12" s="74"/>
      <c r="C12" s="66"/>
      <c r="D12" s="20"/>
      <c r="E12" s="77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31"/>
      <c r="Y12" s="31"/>
      <c r="Z12" s="31"/>
      <c r="AA12" s="20"/>
      <c r="AB12" s="20"/>
      <c r="AC12" s="74"/>
      <c r="AD12" s="66"/>
      <c r="AE12" s="77"/>
      <c r="AF12" s="90"/>
      <c r="AG12" s="67"/>
    </row>
    <row r="13" spans="1:33" x14ac:dyDescent="0.15">
      <c r="A13" s="66"/>
      <c r="B13" s="74"/>
      <c r="C13" s="66"/>
      <c r="D13" s="20"/>
      <c r="E13" s="77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31"/>
      <c r="Y13" s="31"/>
      <c r="Z13" s="31"/>
      <c r="AA13" s="20"/>
      <c r="AB13" s="20"/>
      <c r="AC13" s="74"/>
      <c r="AD13" s="66"/>
      <c r="AE13" s="77"/>
      <c r="AF13" s="90"/>
      <c r="AG13" s="67"/>
    </row>
    <row r="14" spans="1:33" x14ac:dyDescent="0.15">
      <c r="A14" s="66"/>
      <c r="B14" s="74"/>
      <c r="C14" s="66"/>
      <c r="D14" s="20"/>
      <c r="E14" s="77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31"/>
      <c r="Y14" s="31"/>
      <c r="Z14" s="31"/>
      <c r="AA14" s="20"/>
      <c r="AB14" s="20"/>
      <c r="AC14" s="74"/>
      <c r="AD14" s="66"/>
      <c r="AE14" s="77"/>
      <c r="AF14" s="90"/>
      <c r="AG14" s="67"/>
    </row>
    <row r="15" spans="1:33" x14ac:dyDescent="0.15">
      <c r="A15" s="66"/>
      <c r="B15" s="74"/>
      <c r="C15" s="66"/>
      <c r="D15" s="20"/>
      <c r="E15" s="77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31"/>
      <c r="Y15" s="31"/>
      <c r="Z15" s="31"/>
      <c r="AA15" s="20"/>
      <c r="AB15" s="20"/>
      <c r="AC15" s="74"/>
      <c r="AD15" s="66"/>
      <c r="AE15" s="77"/>
      <c r="AF15" s="90"/>
      <c r="AG15" s="67"/>
    </row>
    <row r="16" spans="1:33" x14ac:dyDescent="0.15">
      <c r="A16" s="66"/>
      <c r="B16" s="74"/>
      <c r="C16" s="66"/>
      <c r="D16" s="20"/>
      <c r="E16" s="77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31"/>
      <c r="Y16" s="31"/>
      <c r="Z16" s="31"/>
      <c r="AA16" s="20"/>
      <c r="AB16" s="20"/>
      <c r="AC16" s="74"/>
      <c r="AD16" s="66"/>
      <c r="AE16" s="77"/>
      <c r="AF16" s="90"/>
      <c r="AG16" s="67"/>
    </row>
    <row r="17" spans="1:33" x14ac:dyDescent="0.15">
      <c r="A17" s="66"/>
      <c r="B17" s="74"/>
      <c r="C17" s="66"/>
      <c r="D17" s="20"/>
      <c r="E17" s="77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31"/>
      <c r="Y17" s="31"/>
      <c r="Z17" s="31"/>
      <c r="AA17" s="20"/>
      <c r="AB17" s="20"/>
      <c r="AC17" s="74"/>
      <c r="AD17" s="82"/>
      <c r="AE17" s="83"/>
      <c r="AF17" s="90"/>
      <c r="AG17" s="67"/>
    </row>
    <row r="18" spans="1:33" x14ac:dyDescent="0.15">
      <c r="A18" s="66"/>
      <c r="B18" s="74"/>
      <c r="C18" s="66"/>
      <c r="D18" s="20"/>
      <c r="E18" s="77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31"/>
      <c r="Y18" s="31"/>
      <c r="Z18" s="31"/>
      <c r="AA18" s="20"/>
      <c r="AB18" s="20"/>
      <c r="AC18" s="74"/>
      <c r="AD18" s="66"/>
      <c r="AE18" s="77"/>
      <c r="AF18" s="90"/>
      <c r="AG18" s="67"/>
    </row>
    <row r="19" spans="1:33" x14ac:dyDescent="0.15">
      <c r="A19" s="66"/>
      <c r="B19" s="74"/>
      <c r="C19" s="66"/>
      <c r="D19" s="20"/>
      <c r="E19" s="77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31"/>
      <c r="Y19" s="31"/>
      <c r="Z19" s="31"/>
      <c r="AA19" s="20"/>
      <c r="AB19" s="20"/>
      <c r="AC19" s="74"/>
      <c r="AD19" s="66"/>
      <c r="AE19" s="77"/>
      <c r="AF19" s="90"/>
      <c r="AG19" s="67"/>
    </row>
    <row r="20" spans="1:33" x14ac:dyDescent="0.15">
      <c r="A20" s="66"/>
      <c r="B20" s="74"/>
      <c r="C20" s="66"/>
      <c r="D20" s="20"/>
      <c r="E20" s="77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31"/>
      <c r="Y20" s="31"/>
      <c r="Z20" s="31"/>
      <c r="AA20" s="20"/>
      <c r="AB20" s="20"/>
      <c r="AC20" s="74"/>
      <c r="AD20" s="66"/>
      <c r="AE20" s="77"/>
      <c r="AF20" s="90"/>
      <c r="AG20" s="67"/>
    </row>
    <row r="21" spans="1:33" x14ac:dyDescent="0.15">
      <c r="A21" s="66"/>
      <c r="B21" s="74"/>
      <c r="C21" s="66"/>
      <c r="D21" s="20"/>
      <c r="E21" s="77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31"/>
      <c r="Y21" s="31"/>
      <c r="Z21" s="31"/>
      <c r="AA21" s="20"/>
      <c r="AB21" s="20"/>
      <c r="AC21" s="74"/>
      <c r="AD21" s="66"/>
      <c r="AE21" s="77"/>
      <c r="AF21" s="90"/>
      <c r="AG21" s="67"/>
    </row>
    <row r="22" spans="1:33" x14ac:dyDescent="0.15">
      <c r="A22" s="66"/>
      <c r="B22" s="74"/>
      <c r="C22" s="66"/>
      <c r="D22" s="20"/>
      <c r="E22" s="77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31"/>
      <c r="Y22" s="31"/>
      <c r="Z22" s="31"/>
      <c r="AA22" s="20"/>
      <c r="AB22" s="20"/>
      <c r="AC22" s="74"/>
      <c r="AD22" s="66"/>
      <c r="AE22" s="77"/>
      <c r="AF22" s="90"/>
      <c r="AG22" s="67"/>
    </row>
    <row r="23" spans="1:33" x14ac:dyDescent="0.15">
      <c r="A23" s="66"/>
      <c r="B23" s="74"/>
      <c r="C23" s="66"/>
      <c r="D23" s="20"/>
      <c r="E23" s="77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31"/>
      <c r="Y23" s="31"/>
      <c r="Z23" s="31"/>
      <c r="AA23" s="20"/>
      <c r="AB23" s="20"/>
      <c r="AC23" s="74"/>
      <c r="AD23" s="66"/>
      <c r="AE23" s="77"/>
      <c r="AF23" s="90"/>
      <c r="AG23" s="67"/>
    </row>
    <row r="24" spans="1:33" x14ac:dyDescent="0.15">
      <c r="A24" s="66"/>
      <c r="B24" s="74"/>
      <c r="C24" s="66"/>
      <c r="D24" s="20"/>
      <c r="E24" s="77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31"/>
      <c r="Y24" s="31"/>
      <c r="Z24" s="31"/>
      <c r="AA24" s="20"/>
      <c r="AB24" s="20"/>
      <c r="AC24" s="74"/>
      <c r="AD24" s="66"/>
      <c r="AE24" s="77"/>
      <c r="AF24" s="90"/>
      <c r="AG24" s="67"/>
    </row>
    <row r="25" spans="1:33" x14ac:dyDescent="0.15">
      <c r="A25" s="66"/>
      <c r="B25" s="74"/>
      <c r="C25" s="66"/>
      <c r="D25" s="20"/>
      <c r="E25" s="77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31"/>
      <c r="Y25" s="31"/>
      <c r="Z25" s="31"/>
      <c r="AA25" s="20"/>
      <c r="AB25" s="20"/>
      <c r="AC25" s="74"/>
      <c r="AD25" s="66"/>
      <c r="AE25" s="77"/>
      <c r="AF25" s="90"/>
      <c r="AG25" s="67"/>
    </row>
    <row r="26" spans="1:33" s="10" customFormat="1" x14ac:dyDescent="0.15">
      <c r="A26" s="66"/>
      <c r="B26" s="74"/>
      <c r="C26" s="66"/>
      <c r="D26" s="20"/>
      <c r="E26" s="77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31"/>
      <c r="Y26" s="31"/>
      <c r="Z26" s="31"/>
      <c r="AA26" s="20"/>
      <c r="AB26" s="20"/>
      <c r="AC26" s="74"/>
      <c r="AD26" s="66"/>
      <c r="AE26" s="77"/>
      <c r="AF26" s="90"/>
      <c r="AG26" s="67"/>
    </row>
    <row r="27" spans="1:33" x14ac:dyDescent="0.15">
      <c r="A27" s="66"/>
      <c r="B27" s="74"/>
      <c r="C27" s="66"/>
      <c r="D27" s="20"/>
      <c r="E27" s="77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31"/>
      <c r="Y27" s="31"/>
      <c r="Z27" s="31"/>
      <c r="AA27" s="20"/>
      <c r="AB27" s="20"/>
      <c r="AC27" s="74"/>
      <c r="AD27" s="66"/>
      <c r="AE27" s="77"/>
      <c r="AF27" s="90"/>
      <c r="AG27" s="67"/>
    </row>
    <row r="28" spans="1:33" x14ac:dyDescent="0.15">
      <c r="A28" s="66"/>
      <c r="B28" s="74"/>
      <c r="C28" s="66"/>
      <c r="D28" s="20"/>
      <c r="E28" s="77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31"/>
      <c r="Y28" s="31"/>
      <c r="Z28" s="31"/>
      <c r="AA28" s="20"/>
      <c r="AB28" s="20"/>
      <c r="AC28" s="74"/>
      <c r="AD28" s="66"/>
      <c r="AE28" s="77"/>
      <c r="AF28" s="90"/>
      <c r="AG28" s="67"/>
    </row>
    <row r="29" spans="1:33" x14ac:dyDescent="0.15">
      <c r="A29" s="66"/>
      <c r="B29" s="74"/>
      <c r="C29" s="66"/>
      <c r="D29" s="20"/>
      <c r="E29" s="77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31"/>
      <c r="Y29" s="31"/>
      <c r="Z29" s="31"/>
      <c r="AA29" s="20"/>
      <c r="AB29" s="20"/>
      <c r="AC29" s="74"/>
      <c r="AD29" s="66"/>
      <c r="AE29" s="77"/>
      <c r="AF29" s="90"/>
      <c r="AG29" s="67"/>
    </row>
    <row r="30" spans="1:33" x14ac:dyDescent="0.15">
      <c r="A30" s="66"/>
      <c r="B30" s="74"/>
      <c r="C30" s="66"/>
      <c r="D30" s="20"/>
      <c r="E30" s="77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31"/>
      <c r="Y30" s="31"/>
      <c r="Z30" s="31"/>
      <c r="AA30" s="20"/>
      <c r="AB30" s="20"/>
      <c r="AC30" s="74"/>
      <c r="AD30" s="66"/>
      <c r="AE30" s="77"/>
      <c r="AF30" s="90"/>
      <c r="AG30" s="67"/>
    </row>
    <row r="31" spans="1:33" x14ac:dyDescent="0.15">
      <c r="A31" s="66"/>
      <c r="B31" s="74"/>
      <c r="C31" s="66"/>
      <c r="D31" s="20"/>
      <c r="E31" s="77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31"/>
      <c r="Y31" s="31"/>
      <c r="Z31" s="31"/>
      <c r="AA31" s="20"/>
      <c r="AB31" s="20"/>
      <c r="AC31" s="74"/>
      <c r="AD31" s="66"/>
      <c r="AE31" s="77"/>
      <c r="AF31" s="90"/>
      <c r="AG31" s="67"/>
    </row>
    <row r="32" spans="1:33" x14ac:dyDescent="0.15">
      <c r="A32" s="66"/>
      <c r="B32" s="74"/>
      <c r="C32" s="66"/>
      <c r="D32" s="20"/>
      <c r="E32" s="77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31"/>
      <c r="Y32" s="31"/>
      <c r="Z32" s="31"/>
      <c r="AA32" s="20"/>
      <c r="AB32" s="20"/>
      <c r="AC32" s="74"/>
      <c r="AD32" s="66"/>
      <c r="AE32" s="77"/>
      <c r="AF32" s="90"/>
      <c r="AG32" s="67"/>
    </row>
    <row r="33" spans="1:33" x14ac:dyDescent="0.15">
      <c r="A33" s="66"/>
      <c r="B33" s="74"/>
      <c r="C33" s="66"/>
      <c r="D33" s="20"/>
      <c r="E33" s="77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31"/>
      <c r="Y33" s="31"/>
      <c r="Z33" s="31"/>
      <c r="AA33" s="20"/>
      <c r="AB33" s="20"/>
      <c r="AC33" s="74"/>
      <c r="AD33" s="66"/>
      <c r="AE33" s="77"/>
      <c r="AF33" s="90"/>
      <c r="AG33" s="67"/>
    </row>
    <row r="34" spans="1:33" x14ac:dyDescent="0.15">
      <c r="A34" s="66"/>
      <c r="B34" s="74"/>
      <c r="C34" s="66"/>
      <c r="D34" s="20"/>
      <c r="E34" s="77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31"/>
      <c r="Y34" s="31"/>
      <c r="Z34" s="31"/>
      <c r="AA34" s="20"/>
      <c r="AB34" s="20"/>
      <c r="AC34" s="74"/>
      <c r="AD34" s="66"/>
      <c r="AE34" s="77"/>
      <c r="AF34" s="90"/>
      <c r="AG34" s="67"/>
    </row>
    <row r="35" spans="1:33" x14ac:dyDescent="0.15">
      <c r="A35" s="66"/>
      <c r="B35" s="74"/>
      <c r="C35" s="66"/>
      <c r="D35" s="20"/>
      <c r="E35" s="77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31"/>
      <c r="Y35" s="31"/>
      <c r="Z35" s="31"/>
      <c r="AA35" s="20"/>
      <c r="AB35" s="20"/>
      <c r="AC35" s="74"/>
      <c r="AD35" s="66"/>
      <c r="AE35" s="77"/>
      <c r="AF35" s="90"/>
      <c r="AG35" s="67"/>
    </row>
    <row r="36" spans="1:33" x14ac:dyDescent="0.15">
      <c r="A36" s="66"/>
      <c r="B36" s="74"/>
      <c r="C36" s="66"/>
      <c r="D36" s="20"/>
      <c r="E36" s="77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31"/>
      <c r="Y36" s="31"/>
      <c r="Z36" s="31"/>
      <c r="AA36" s="20"/>
      <c r="AB36" s="20"/>
      <c r="AC36" s="74"/>
      <c r="AD36" s="66"/>
      <c r="AE36" s="77"/>
      <c r="AF36" s="90"/>
      <c r="AG36" s="67"/>
    </row>
    <row r="37" spans="1:33" x14ac:dyDescent="0.15">
      <c r="A37" s="66"/>
      <c r="B37" s="74"/>
      <c r="C37" s="66"/>
      <c r="D37" s="20"/>
      <c r="E37" s="77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31"/>
      <c r="Y37" s="31"/>
      <c r="Z37" s="31"/>
      <c r="AA37" s="20"/>
      <c r="AB37" s="20"/>
      <c r="AC37" s="74"/>
      <c r="AD37" s="66"/>
      <c r="AE37" s="77"/>
      <c r="AF37" s="90"/>
      <c r="AG37" s="67"/>
    </row>
    <row r="38" spans="1:33" x14ac:dyDescent="0.15">
      <c r="A38" s="66"/>
      <c r="B38" s="74"/>
      <c r="C38" s="66"/>
      <c r="D38" s="20"/>
      <c r="E38" s="77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31"/>
      <c r="Y38" s="31"/>
      <c r="Z38" s="31"/>
      <c r="AA38" s="20"/>
      <c r="AB38" s="20"/>
      <c r="AC38" s="74"/>
      <c r="AD38" s="66"/>
      <c r="AE38" s="77"/>
      <c r="AF38" s="90"/>
      <c r="AG38" s="67"/>
    </row>
    <row r="39" spans="1:33" x14ac:dyDescent="0.15">
      <c r="A39" s="66"/>
      <c r="B39" s="74"/>
      <c r="C39" s="66"/>
      <c r="D39" s="20"/>
      <c r="E39" s="77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31"/>
      <c r="Y39" s="31"/>
      <c r="Z39" s="31"/>
      <c r="AA39" s="20"/>
      <c r="AB39" s="20"/>
      <c r="AC39" s="74"/>
      <c r="AD39" s="66"/>
      <c r="AE39" s="77"/>
      <c r="AF39" s="90"/>
      <c r="AG39" s="67"/>
    </row>
    <row r="40" spans="1:33" x14ac:dyDescent="0.15">
      <c r="A40" s="66"/>
      <c r="B40" s="74"/>
      <c r="C40" s="66"/>
      <c r="D40" s="20"/>
      <c r="E40" s="77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31"/>
      <c r="Y40" s="31"/>
      <c r="Z40" s="31"/>
      <c r="AA40" s="20"/>
      <c r="AB40" s="20"/>
      <c r="AC40" s="74"/>
      <c r="AD40" s="66"/>
      <c r="AE40" s="77"/>
      <c r="AF40" s="90"/>
      <c r="AG40" s="67"/>
    </row>
    <row r="41" spans="1:33" x14ac:dyDescent="0.15">
      <c r="A41" s="66"/>
      <c r="B41" s="74"/>
      <c r="C41" s="66"/>
      <c r="D41" s="20"/>
      <c r="E41" s="77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31"/>
      <c r="Y41" s="31"/>
      <c r="Z41" s="31"/>
      <c r="AA41" s="20"/>
      <c r="AB41" s="20"/>
      <c r="AC41" s="74"/>
      <c r="AD41" s="66"/>
      <c r="AE41" s="77"/>
      <c r="AF41" s="90"/>
      <c r="AG41" s="67"/>
    </row>
    <row r="42" spans="1:33" x14ac:dyDescent="0.15">
      <c r="A42" s="66"/>
      <c r="B42" s="74"/>
      <c r="C42" s="66"/>
      <c r="D42" s="20"/>
      <c r="E42" s="77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31"/>
      <c r="Y42" s="31"/>
      <c r="Z42" s="31"/>
      <c r="AA42" s="20"/>
      <c r="AB42" s="20"/>
      <c r="AC42" s="74"/>
      <c r="AD42" s="66"/>
      <c r="AE42" s="77"/>
      <c r="AF42" s="90"/>
      <c r="AG42" s="67"/>
    </row>
    <row r="43" spans="1:33" x14ac:dyDescent="0.15">
      <c r="A43" s="66"/>
      <c r="B43" s="74"/>
      <c r="C43" s="66"/>
      <c r="D43" s="20"/>
      <c r="E43" s="77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31"/>
      <c r="Y43" s="31"/>
      <c r="Z43" s="31"/>
      <c r="AA43" s="20"/>
      <c r="AB43" s="20"/>
      <c r="AC43" s="74"/>
      <c r="AD43" s="66"/>
      <c r="AE43" s="77"/>
      <c r="AF43" s="90"/>
      <c r="AG43" s="67"/>
    </row>
    <row r="44" spans="1:33" x14ac:dyDescent="0.15">
      <c r="A44" s="66"/>
      <c r="B44" s="74"/>
      <c r="C44" s="66"/>
      <c r="D44" s="20"/>
      <c r="E44" s="77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31"/>
      <c r="Y44" s="31"/>
      <c r="Z44" s="31"/>
      <c r="AA44" s="20"/>
      <c r="AB44" s="20"/>
      <c r="AC44" s="74"/>
      <c r="AD44" s="66"/>
      <c r="AE44" s="77"/>
      <c r="AF44" s="90"/>
      <c r="AG44" s="67"/>
    </row>
    <row r="45" spans="1:33" x14ac:dyDescent="0.15">
      <c r="A45" s="66"/>
      <c r="B45" s="74"/>
      <c r="C45" s="66"/>
      <c r="D45" s="20"/>
      <c r="E45" s="77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31"/>
      <c r="Y45" s="31"/>
      <c r="Z45" s="31"/>
      <c r="AA45" s="20"/>
      <c r="AB45" s="20"/>
      <c r="AC45" s="74"/>
      <c r="AD45" s="66"/>
      <c r="AE45" s="77"/>
      <c r="AF45" s="90"/>
      <c r="AG45" s="67"/>
    </row>
    <row r="46" spans="1:33" x14ac:dyDescent="0.15">
      <c r="A46" s="66"/>
      <c r="B46" s="74"/>
      <c r="C46" s="66"/>
      <c r="D46" s="20"/>
      <c r="E46" s="77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31"/>
      <c r="Y46" s="31"/>
      <c r="Z46" s="31"/>
      <c r="AA46" s="20"/>
      <c r="AB46" s="20"/>
      <c r="AC46" s="74"/>
      <c r="AD46" s="66"/>
      <c r="AE46" s="77"/>
      <c r="AF46" s="90"/>
      <c r="AG46" s="67"/>
    </row>
    <row r="47" spans="1:33" x14ac:dyDescent="0.15">
      <c r="A47" s="66"/>
      <c r="B47" s="74"/>
      <c r="C47" s="66"/>
      <c r="D47" s="20"/>
      <c r="E47" s="77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31"/>
      <c r="Y47" s="31"/>
      <c r="Z47" s="31"/>
      <c r="AA47" s="20"/>
      <c r="AB47" s="20"/>
      <c r="AC47" s="74"/>
      <c r="AD47" s="66"/>
      <c r="AE47" s="77"/>
      <c r="AF47" s="90"/>
      <c r="AG47" s="67"/>
    </row>
    <row r="48" spans="1:33" x14ac:dyDescent="0.15">
      <c r="A48" s="66"/>
      <c r="B48" s="74"/>
      <c r="C48" s="66"/>
      <c r="D48" s="20"/>
      <c r="E48" s="77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31"/>
      <c r="Y48" s="31"/>
      <c r="Z48" s="31"/>
      <c r="AA48" s="20"/>
      <c r="AB48" s="20"/>
      <c r="AC48" s="74"/>
      <c r="AD48" s="66"/>
      <c r="AE48" s="77"/>
      <c r="AF48" s="90"/>
      <c r="AG48" s="67"/>
    </row>
    <row r="49" spans="1:33" x14ac:dyDescent="0.15">
      <c r="A49" s="66"/>
      <c r="B49" s="74"/>
      <c r="C49" s="66"/>
      <c r="D49" s="20"/>
      <c r="E49" s="77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31"/>
      <c r="Y49" s="31"/>
      <c r="Z49" s="31"/>
      <c r="AA49" s="20"/>
      <c r="AB49" s="20"/>
      <c r="AC49" s="74"/>
      <c r="AD49" s="66"/>
      <c r="AE49" s="77"/>
      <c r="AF49" s="90"/>
      <c r="AG49" s="67"/>
    </row>
    <row r="50" spans="1:33" x14ac:dyDescent="0.15">
      <c r="A50" s="66"/>
      <c r="B50" s="74"/>
      <c r="C50" s="66"/>
      <c r="D50" s="20"/>
      <c r="E50" s="77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31"/>
      <c r="Y50" s="31"/>
      <c r="Z50" s="31"/>
      <c r="AA50" s="20"/>
      <c r="AB50" s="20"/>
      <c r="AC50" s="74"/>
      <c r="AD50" s="66"/>
      <c r="AE50" s="77"/>
      <c r="AF50" s="90"/>
      <c r="AG50" s="67"/>
    </row>
    <row r="51" spans="1:33" x14ac:dyDescent="0.15">
      <c r="A51" s="66"/>
      <c r="B51" s="74"/>
      <c r="C51" s="66"/>
      <c r="D51" s="20"/>
      <c r="E51" s="78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31"/>
      <c r="Y51" s="31"/>
      <c r="Z51" s="31"/>
      <c r="AA51" s="20"/>
      <c r="AB51" s="20"/>
      <c r="AC51" s="74"/>
      <c r="AD51" s="66"/>
      <c r="AE51" s="77"/>
      <c r="AF51" s="90"/>
      <c r="AG51" s="67"/>
    </row>
    <row r="52" spans="1:33" x14ac:dyDescent="0.15">
      <c r="A52" s="66"/>
      <c r="B52" s="74"/>
      <c r="C52" s="66"/>
      <c r="D52" s="20"/>
      <c r="E52" s="78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31"/>
      <c r="Y52" s="31"/>
      <c r="Z52" s="31"/>
      <c r="AA52" s="20"/>
      <c r="AB52" s="20"/>
      <c r="AC52" s="74"/>
      <c r="AD52" s="66"/>
      <c r="AE52" s="77"/>
      <c r="AF52" s="90"/>
      <c r="AG52" s="67"/>
    </row>
    <row r="53" spans="1:33" x14ac:dyDescent="0.15">
      <c r="A53" s="66"/>
      <c r="B53" s="74"/>
      <c r="C53" s="66"/>
      <c r="D53" s="20"/>
      <c r="E53" s="78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31"/>
      <c r="Y53" s="31"/>
      <c r="Z53" s="31"/>
      <c r="AA53" s="20"/>
      <c r="AB53" s="20"/>
      <c r="AC53" s="74"/>
      <c r="AD53" s="66"/>
      <c r="AE53" s="77"/>
      <c r="AF53" s="90"/>
      <c r="AG53" s="67"/>
    </row>
    <row r="54" spans="1:33" x14ac:dyDescent="0.15">
      <c r="A54" s="66"/>
      <c r="B54" s="74"/>
      <c r="C54" s="66"/>
      <c r="D54" s="20"/>
      <c r="E54" s="78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31"/>
      <c r="Y54" s="31"/>
      <c r="Z54" s="31"/>
      <c r="AA54" s="20"/>
      <c r="AB54" s="20"/>
      <c r="AC54" s="74"/>
      <c r="AD54" s="66"/>
      <c r="AE54" s="77"/>
      <c r="AF54" s="90"/>
      <c r="AG54" s="67"/>
    </row>
    <row r="55" spans="1:33" x14ac:dyDescent="0.15">
      <c r="A55" s="66"/>
      <c r="B55" s="75"/>
      <c r="C55" s="79"/>
      <c r="D55" s="21"/>
      <c r="E55" s="78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32"/>
      <c r="Y55" s="32"/>
      <c r="Z55" s="32"/>
      <c r="AA55" s="22"/>
      <c r="AB55" s="22"/>
      <c r="AC55" s="81"/>
      <c r="AD55" s="82"/>
      <c r="AE55" s="83"/>
      <c r="AF55" s="90"/>
      <c r="AG55" s="67"/>
    </row>
    <row r="56" spans="1:33" x14ac:dyDescent="0.15">
      <c r="A56" s="66"/>
      <c r="B56" s="75"/>
      <c r="C56" s="79"/>
      <c r="D56" s="21"/>
      <c r="E56" s="78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32"/>
      <c r="Y56" s="32"/>
      <c r="Z56" s="32"/>
      <c r="AA56" s="22"/>
      <c r="AB56" s="22"/>
      <c r="AC56" s="81"/>
      <c r="AD56" s="82"/>
      <c r="AE56" s="83"/>
      <c r="AF56" s="90"/>
      <c r="AG56" s="67"/>
    </row>
    <row r="57" spans="1:33" ht="13.5" thickBot="1" x14ac:dyDescent="0.2">
      <c r="A57" s="91"/>
      <c r="B57" s="92"/>
      <c r="C57" s="93"/>
      <c r="D57" s="94"/>
      <c r="E57" s="95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7"/>
      <c r="Y57" s="97"/>
      <c r="Z57" s="97"/>
      <c r="AA57" s="96"/>
      <c r="AB57" s="96"/>
      <c r="AC57" s="98"/>
      <c r="AD57" s="99"/>
      <c r="AE57" s="100"/>
      <c r="AF57" s="101"/>
      <c r="AG57" s="102"/>
    </row>
    <row r="58" spans="1:33" ht="15" thickBot="1" x14ac:dyDescent="0.2">
      <c r="A58" s="103" t="s">
        <v>12</v>
      </c>
      <c r="B58" s="104"/>
      <c r="C58" s="103"/>
      <c r="D58" s="105"/>
      <c r="E58" s="105">
        <f>SUM(E6:E50)</f>
        <v>0</v>
      </c>
      <c r="F58" s="105">
        <f t="shared" ref="F58:AC58" si="0">SUM(F6:F50)</f>
        <v>0</v>
      </c>
      <c r="G58" s="105">
        <f t="shared" si="0"/>
        <v>0</v>
      </c>
      <c r="H58" s="105">
        <f t="shared" si="0"/>
        <v>0</v>
      </c>
      <c r="I58" s="105">
        <f t="shared" si="0"/>
        <v>0</v>
      </c>
      <c r="J58" s="105">
        <f t="shared" si="0"/>
        <v>0</v>
      </c>
      <c r="K58" s="105">
        <f t="shared" si="0"/>
        <v>0</v>
      </c>
      <c r="L58" s="105">
        <f t="shared" si="0"/>
        <v>0</v>
      </c>
      <c r="M58" s="105">
        <f t="shared" si="0"/>
        <v>0</v>
      </c>
      <c r="N58" s="105">
        <f t="shared" si="0"/>
        <v>0</v>
      </c>
      <c r="O58" s="105">
        <f t="shared" si="0"/>
        <v>0</v>
      </c>
      <c r="P58" s="105">
        <f t="shared" si="0"/>
        <v>0</v>
      </c>
      <c r="Q58" s="105">
        <f t="shared" si="0"/>
        <v>0</v>
      </c>
      <c r="R58" s="105">
        <f t="shared" si="0"/>
        <v>0</v>
      </c>
      <c r="S58" s="105">
        <f t="shared" si="0"/>
        <v>0</v>
      </c>
      <c r="T58" s="105">
        <f t="shared" si="0"/>
        <v>0</v>
      </c>
      <c r="U58" s="105">
        <f t="shared" si="0"/>
        <v>0</v>
      </c>
      <c r="V58" s="105">
        <f t="shared" si="0"/>
        <v>0</v>
      </c>
      <c r="W58" s="115">
        <f t="shared" si="0"/>
        <v>0</v>
      </c>
      <c r="X58" s="106">
        <f t="shared" si="0"/>
        <v>0</v>
      </c>
      <c r="Y58" s="106">
        <f t="shared" si="0"/>
        <v>0</v>
      </c>
      <c r="Z58" s="106">
        <f t="shared" si="0"/>
        <v>0</v>
      </c>
      <c r="AA58" s="105">
        <f t="shared" si="0"/>
        <v>0</v>
      </c>
      <c r="AB58" s="105">
        <f t="shared" si="0"/>
        <v>0</v>
      </c>
      <c r="AC58" s="107">
        <f t="shared" si="0"/>
        <v>0</v>
      </c>
      <c r="AD58" s="108"/>
      <c r="AE58" s="105"/>
      <c r="AF58" s="108">
        <f>SUM(AF6:AF50)</f>
        <v>0</v>
      </c>
      <c r="AG58" s="105">
        <f>SUM(AG6:AG50)</f>
        <v>0</v>
      </c>
    </row>
    <row r="59" spans="1:33" s="65" customFormat="1" ht="14.25" x14ac:dyDescent="0.15">
      <c r="A59" s="25"/>
      <c r="B59" s="25"/>
      <c r="C59" s="25"/>
      <c r="D59" s="26"/>
      <c r="E59" s="26">
        <f>SUM(E51:E56)</f>
        <v>0</v>
      </c>
      <c r="F59" s="26">
        <f t="shared" ref="F59:AC59" si="1">SUM(F51:F56)</f>
        <v>0</v>
      </c>
      <c r="G59" s="26">
        <f t="shared" si="1"/>
        <v>0</v>
      </c>
      <c r="H59" s="26">
        <f t="shared" si="1"/>
        <v>0</v>
      </c>
      <c r="I59" s="26">
        <f t="shared" si="1"/>
        <v>0</v>
      </c>
      <c r="J59" s="26">
        <f t="shared" si="1"/>
        <v>0</v>
      </c>
      <c r="K59" s="26">
        <f t="shared" si="1"/>
        <v>0</v>
      </c>
      <c r="L59" s="26">
        <f t="shared" si="1"/>
        <v>0</v>
      </c>
      <c r="M59" s="26">
        <f t="shared" si="1"/>
        <v>0</v>
      </c>
      <c r="N59" s="26">
        <f t="shared" si="1"/>
        <v>0</v>
      </c>
      <c r="O59" s="26">
        <f t="shared" si="1"/>
        <v>0</v>
      </c>
      <c r="P59" s="26">
        <f t="shared" si="1"/>
        <v>0</v>
      </c>
      <c r="Q59" s="26">
        <f t="shared" si="1"/>
        <v>0</v>
      </c>
      <c r="R59" s="26">
        <f t="shared" si="1"/>
        <v>0</v>
      </c>
      <c r="S59" s="26">
        <f t="shared" si="1"/>
        <v>0</v>
      </c>
      <c r="T59" s="26">
        <f t="shared" si="1"/>
        <v>0</v>
      </c>
      <c r="U59" s="26">
        <f t="shared" si="1"/>
        <v>0</v>
      </c>
      <c r="V59" s="26">
        <f t="shared" si="1"/>
        <v>0</v>
      </c>
      <c r="W59" s="26">
        <f t="shared" si="1"/>
        <v>0</v>
      </c>
      <c r="X59" s="26">
        <f t="shared" si="1"/>
        <v>0</v>
      </c>
      <c r="Y59" s="26">
        <f t="shared" si="1"/>
        <v>0</v>
      </c>
      <c r="Z59" s="26">
        <f t="shared" si="1"/>
        <v>0</v>
      </c>
      <c r="AA59" s="26">
        <f t="shared" si="1"/>
        <v>0</v>
      </c>
      <c r="AB59" s="26">
        <f t="shared" si="1"/>
        <v>0</v>
      </c>
      <c r="AC59" s="26">
        <f t="shared" si="1"/>
        <v>0</v>
      </c>
      <c r="AD59" s="26"/>
      <c r="AE59" s="26"/>
      <c r="AF59" s="26">
        <f>SUM(AF51:AF56)</f>
        <v>0</v>
      </c>
      <c r="AG59" s="26">
        <f>SUM(AG51:AG56)</f>
        <v>0</v>
      </c>
    </row>
    <row r="60" spans="1:33" x14ac:dyDescent="0.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 s="26"/>
      <c r="AE60" s="26"/>
      <c r="AF60" s="26"/>
      <c r="AG60" s="26"/>
    </row>
    <row r="61" spans="1:33" x14ac:dyDescent="0.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</row>
    <row r="62" spans="1:33" x14ac:dyDescent="0.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</row>
    <row r="63" spans="1:33" x14ac:dyDescent="0.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</row>
    <row r="64" spans="1:33" x14ac:dyDescent="0.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</row>
    <row r="65" spans="1:33" x14ac:dyDescent="0.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</row>
    <row r="66" spans="1:33" x14ac:dyDescent="0.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</row>
    <row r="67" spans="1:33" x14ac:dyDescent="0.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</row>
    <row r="68" spans="1:33" x14ac:dyDescent="0.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</row>
    <row r="69" spans="1:33" x14ac:dyDescent="0.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</row>
  </sheetData>
  <mergeCells count="9">
    <mergeCell ref="B1:AC1"/>
    <mergeCell ref="U3:AC3"/>
    <mergeCell ref="AF4:AG4"/>
    <mergeCell ref="AD4:AE4"/>
    <mergeCell ref="C4:E4"/>
    <mergeCell ref="X4:Z4"/>
    <mergeCell ref="A4:B4"/>
    <mergeCell ref="O3:T3"/>
    <mergeCell ref="A2:AG2"/>
  </mergeCells>
  <phoneticPr fontId="0" type="noConversion"/>
  <printOptions horizontalCentered="1" verticalCentered="1"/>
  <pageMargins left="0.59055118110236227" right="0.59055118110236227" top="0.98425196850393704" bottom="0.98425196850393704" header="0.51181102362204722" footer="0.51181102362204722"/>
  <pageSetup paperSize="9" scale="49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28"/>
  <sheetViews>
    <sheetView showGridLines="0" zoomScale="75" zoomScaleNormal="75" workbookViewId="0" xr3:uid="{51F8DEE0-4D01-5F28-A812-FC0BD7CAC4A5}">
      <selection activeCell="A2" sqref="A2:M2"/>
    </sheetView>
  </sheetViews>
  <sheetFormatPr defaultRowHeight="12.75" x14ac:dyDescent="0.15"/>
  <cols>
    <col min="1" max="1" width="23.8671875" customWidth="1"/>
    <col min="2" max="2" width="10.65234375" customWidth="1"/>
    <col min="3" max="3" width="10.24609375" customWidth="1"/>
    <col min="4" max="4" width="10.65234375" customWidth="1"/>
    <col min="5" max="5" width="11.32421875" customWidth="1"/>
    <col min="6" max="6" width="12.5390625" bestFit="1" customWidth="1"/>
    <col min="7" max="7" width="7.14453125" customWidth="1"/>
    <col min="8" max="8" width="11.59375" bestFit="1" customWidth="1"/>
    <col min="9" max="9" width="7.14453125" customWidth="1"/>
    <col min="10" max="10" width="12.5390625" bestFit="1" customWidth="1"/>
    <col min="11" max="11" width="7.14453125" bestFit="1" customWidth="1"/>
    <col min="12" max="12" width="12.5390625" bestFit="1" customWidth="1"/>
    <col min="13" max="13" width="7.14453125" bestFit="1" customWidth="1"/>
    <col min="14" max="16" width="12.5390625" bestFit="1" customWidth="1"/>
    <col min="18" max="18" width="12.26953125" bestFit="1" customWidth="1"/>
    <col min="19" max="20" width="11.32421875" bestFit="1" customWidth="1"/>
    <col min="21" max="21" width="12.26953125" bestFit="1" customWidth="1"/>
    <col min="22" max="22" width="10.24609375" bestFit="1" customWidth="1"/>
    <col min="23" max="23" width="9.70703125" bestFit="1" customWidth="1"/>
  </cols>
  <sheetData>
    <row r="1" spans="1:13" ht="13.5" thickBot="1" x14ac:dyDescent="0.2">
      <c r="A1" s="112" t="s">
        <v>29</v>
      </c>
    </row>
    <row r="2" spans="1:13" s="1" customFormat="1" ht="20.25" customHeight="1" thickBot="1" x14ac:dyDescent="0.2">
      <c r="A2" s="291" t="s">
        <v>23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3"/>
    </row>
    <row r="3" spans="1:13" ht="21" customHeight="1" thickBot="1" x14ac:dyDescent="0.2">
      <c r="A3" s="63" t="s">
        <v>17</v>
      </c>
      <c r="B3" s="302"/>
      <c r="C3" s="303"/>
      <c r="D3" s="303"/>
      <c r="E3" s="304"/>
      <c r="F3" s="64" t="s">
        <v>13</v>
      </c>
      <c r="G3" s="305"/>
      <c r="H3" s="305"/>
      <c r="I3" s="303"/>
      <c r="J3" s="303"/>
      <c r="K3" s="303"/>
      <c r="L3" s="303"/>
      <c r="M3" s="304"/>
    </row>
    <row r="4" spans="1:13" x14ac:dyDescent="0.15">
      <c r="A4" s="294" t="s">
        <v>14</v>
      </c>
      <c r="B4" s="296" t="s">
        <v>11</v>
      </c>
      <c r="C4" s="297"/>
      <c r="D4" s="298" t="s">
        <v>22</v>
      </c>
      <c r="E4" s="299"/>
      <c r="F4" s="300" t="s">
        <v>2</v>
      </c>
      <c r="G4" s="301"/>
      <c r="H4" s="301"/>
      <c r="I4" s="278"/>
      <c r="J4" s="300" t="s">
        <v>5</v>
      </c>
      <c r="K4" s="301"/>
      <c r="L4" s="301"/>
      <c r="M4" s="278"/>
    </row>
    <row r="5" spans="1:13" ht="13.5" thickBot="1" x14ac:dyDescent="0.2">
      <c r="A5" s="295"/>
      <c r="B5" s="55" t="s">
        <v>0</v>
      </c>
      <c r="C5" s="56" t="s">
        <v>1</v>
      </c>
      <c r="D5" s="57" t="s">
        <v>0</v>
      </c>
      <c r="E5" s="56" t="s">
        <v>1</v>
      </c>
      <c r="F5" s="58" t="s">
        <v>0</v>
      </c>
      <c r="G5" s="59" t="s">
        <v>6</v>
      </c>
      <c r="H5" s="57" t="s">
        <v>1</v>
      </c>
      <c r="I5" s="60" t="s">
        <v>6</v>
      </c>
      <c r="J5" s="58" t="s">
        <v>0</v>
      </c>
      <c r="K5" s="61" t="s">
        <v>6</v>
      </c>
      <c r="L5" s="62" t="s">
        <v>1</v>
      </c>
      <c r="M5" s="56" t="s">
        <v>6</v>
      </c>
    </row>
    <row r="6" spans="1:13" x14ac:dyDescent="0.15">
      <c r="A6" s="43"/>
      <c r="B6" s="28"/>
      <c r="C6" s="36"/>
      <c r="D6" s="29"/>
      <c r="E6" s="45"/>
      <c r="F6" s="48" t="e">
        <f t="shared" ref="F6:F21" si="0">$C$26*D6</f>
        <v>#DIV/0!</v>
      </c>
      <c r="G6" s="30" t="e">
        <f t="shared" ref="G6:G21" si="1">F6/F$23</f>
        <v>#DIV/0!</v>
      </c>
      <c r="H6" s="29" t="e">
        <f t="shared" ref="H6:H21" si="2">E6*$C$27</f>
        <v>#DIV/0!</v>
      </c>
      <c r="I6" s="30" t="e">
        <f t="shared" ref="I6:I21" si="3">H6/H$23</f>
        <v>#DIV/0!</v>
      </c>
      <c r="J6" s="113" t="e">
        <f t="shared" ref="J6:J21" si="4">$D$26*C6</f>
        <v>#DIV/0!</v>
      </c>
      <c r="K6" s="30" t="e">
        <f t="shared" ref="K6:K21" si="5">J6/J$23</f>
        <v>#DIV/0!</v>
      </c>
      <c r="L6" s="114" t="e">
        <f t="shared" ref="L6:L21" si="6">C6*$D$27</f>
        <v>#DIV/0!</v>
      </c>
      <c r="M6" s="30" t="e">
        <f t="shared" ref="M6:M21" si="7">L6/L$23</f>
        <v>#DIV/0!</v>
      </c>
    </row>
    <row r="7" spans="1:13" x14ac:dyDescent="0.15">
      <c r="A7" s="42"/>
      <c r="B7" s="23"/>
      <c r="C7" s="35"/>
      <c r="D7" s="2"/>
      <c r="E7" s="44"/>
      <c r="F7" s="48" t="e">
        <f t="shared" si="0"/>
        <v>#DIV/0!</v>
      </c>
      <c r="G7" s="30" t="e">
        <f t="shared" si="1"/>
        <v>#DIV/0!</v>
      </c>
      <c r="H7" s="29" t="e">
        <f t="shared" si="2"/>
        <v>#DIV/0!</v>
      </c>
      <c r="I7" s="30" t="e">
        <f t="shared" si="3"/>
        <v>#DIV/0!</v>
      </c>
      <c r="J7" s="113" t="e">
        <f t="shared" si="4"/>
        <v>#DIV/0!</v>
      </c>
      <c r="K7" s="30" t="e">
        <f t="shared" si="5"/>
        <v>#DIV/0!</v>
      </c>
      <c r="L7" s="114" t="e">
        <f t="shared" si="6"/>
        <v>#DIV/0!</v>
      </c>
      <c r="M7" s="30" t="e">
        <f t="shared" si="7"/>
        <v>#DIV/0!</v>
      </c>
    </row>
    <row r="8" spans="1:13" x14ac:dyDescent="0.15">
      <c r="A8" s="42"/>
      <c r="B8" s="23"/>
      <c r="C8" s="35"/>
      <c r="D8" s="2"/>
      <c r="E8" s="44"/>
      <c r="F8" s="48" t="e">
        <f t="shared" si="0"/>
        <v>#DIV/0!</v>
      </c>
      <c r="G8" s="30" t="e">
        <f t="shared" si="1"/>
        <v>#DIV/0!</v>
      </c>
      <c r="H8" s="29" t="e">
        <f t="shared" si="2"/>
        <v>#DIV/0!</v>
      </c>
      <c r="I8" s="30" t="e">
        <f t="shared" si="3"/>
        <v>#DIV/0!</v>
      </c>
      <c r="J8" s="113" t="e">
        <f t="shared" si="4"/>
        <v>#DIV/0!</v>
      </c>
      <c r="K8" s="30" t="e">
        <f t="shared" si="5"/>
        <v>#DIV/0!</v>
      </c>
      <c r="L8" s="114" t="e">
        <f t="shared" si="6"/>
        <v>#DIV/0!</v>
      </c>
      <c r="M8" s="30" t="e">
        <f t="shared" si="7"/>
        <v>#DIV/0!</v>
      </c>
    </row>
    <row r="9" spans="1:13" x14ac:dyDescent="0.15">
      <c r="A9" s="42"/>
      <c r="B9" s="23"/>
      <c r="C9" s="35"/>
      <c r="D9" s="2"/>
      <c r="E9" s="44"/>
      <c r="F9" s="48" t="e">
        <f t="shared" si="0"/>
        <v>#DIV/0!</v>
      </c>
      <c r="G9" s="30" t="e">
        <f t="shared" si="1"/>
        <v>#DIV/0!</v>
      </c>
      <c r="H9" s="29" t="e">
        <f t="shared" si="2"/>
        <v>#DIV/0!</v>
      </c>
      <c r="I9" s="30" t="e">
        <f t="shared" si="3"/>
        <v>#DIV/0!</v>
      </c>
      <c r="J9" s="113" t="e">
        <f t="shared" si="4"/>
        <v>#DIV/0!</v>
      </c>
      <c r="K9" s="30" t="e">
        <f t="shared" si="5"/>
        <v>#DIV/0!</v>
      </c>
      <c r="L9" s="114" t="e">
        <f t="shared" si="6"/>
        <v>#DIV/0!</v>
      </c>
      <c r="M9" s="30" t="e">
        <f t="shared" si="7"/>
        <v>#DIV/0!</v>
      </c>
    </row>
    <row r="10" spans="1:13" x14ac:dyDescent="0.15">
      <c r="A10" s="42"/>
      <c r="B10" s="23"/>
      <c r="C10" s="35"/>
      <c r="D10" s="2"/>
      <c r="E10" s="44"/>
      <c r="F10" s="48" t="e">
        <f t="shared" si="0"/>
        <v>#DIV/0!</v>
      </c>
      <c r="G10" s="30" t="e">
        <f t="shared" si="1"/>
        <v>#DIV/0!</v>
      </c>
      <c r="H10" s="29" t="e">
        <f t="shared" si="2"/>
        <v>#DIV/0!</v>
      </c>
      <c r="I10" s="30" t="e">
        <f t="shared" si="3"/>
        <v>#DIV/0!</v>
      </c>
      <c r="J10" s="113" t="e">
        <f t="shared" si="4"/>
        <v>#DIV/0!</v>
      </c>
      <c r="K10" s="30" t="e">
        <f t="shared" si="5"/>
        <v>#DIV/0!</v>
      </c>
      <c r="L10" s="114" t="e">
        <f t="shared" si="6"/>
        <v>#DIV/0!</v>
      </c>
      <c r="M10" s="30" t="e">
        <f t="shared" si="7"/>
        <v>#DIV/0!</v>
      </c>
    </row>
    <row r="11" spans="1:13" x14ac:dyDescent="0.15">
      <c r="A11" s="42"/>
      <c r="B11" s="23"/>
      <c r="C11" s="35"/>
      <c r="D11" s="2"/>
      <c r="E11" s="44"/>
      <c r="F11" s="48" t="e">
        <f t="shared" si="0"/>
        <v>#DIV/0!</v>
      </c>
      <c r="G11" s="30" t="e">
        <f t="shared" si="1"/>
        <v>#DIV/0!</v>
      </c>
      <c r="H11" s="29" t="e">
        <f t="shared" si="2"/>
        <v>#DIV/0!</v>
      </c>
      <c r="I11" s="30" t="e">
        <f t="shared" si="3"/>
        <v>#DIV/0!</v>
      </c>
      <c r="J11" s="113" t="e">
        <f t="shared" si="4"/>
        <v>#DIV/0!</v>
      </c>
      <c r="K11" s="30" t="e">
        <f t="shared" si="5"/>
        <v>#DIV/0!</v>
      </c>
      <c r="L11" s="114" t="e">
        <f t="shared" si="6"/>
        <v>#DIV/0!</v>
      </c>
      <c r="M11" s="30" t="e">
        <f t="shared" si="7"/>
        <v>#DIV/0!</v>
      </c>
    </row>
    <row r="12" spans="1:13" x14ac:dyDescent="0.15">
      <c r="A12" s="42"/>
      <c r="B12" s="23"/>
      <c r="C12" s="35"/>
      <c r="D12" s="2"/>
      <c r="E12" s="44"/>
      <c r="F12" s="48" t="e">
        <f t="shared" si="0"/>
        <v>#DIV/0!</v>
      </c>
      <c r="G12" s="30" t="e">
        <f t="shared" si="1"/>
        <v>#DIV/0!</v>
      </c>
      <c r="H12" s="29" t="e">
        <f t="shared" si="2"/>
        <v>#DIV/0!</v>
      </c>
      <c r="I12" s="30" t="e">
        <f t="shared" si="3"/>
        <v>#DIV/0!</v>
      </c>
      <c r="J12" s="113" t="e">
        <f t="shared" si="4"/>
        <v>#DIV/0!</v>
      </c>
      <c r="K12" s="30" t="e">
        <f t="shared" si="5"/>
        <v>#DIV/0!</v>
      </c>
      <c r="L12" s="114" t="e">
        <f t="shared" si="6"/>
        <v>#DIV/0!</v>
      </c>
      <c r="M12" s="30" t="e">
        <f t="shared" si="7"/>
        <v>#DIV/0!</v>
      </c>
    </row>
    <row r="13" spans="1:13" x14ac:dyDescent="0.15">
      <c r="A13" s="42"/>
      <c r="B13" s="23"/>
      <c r="C13" s="35"/>
      <c r="D13" s="2"/>
      <c r="E13" s="44"/>
      <c r="F13" s="48" t="e">
        <f t="shared" si="0"/>
        <v>#DIV/0!</v>
      </c>
      <c r="G13" s="30" t="e">
        <f t="shared" si="1"/>
        <v>#DIV/0!</v>
      </c>
      <c r="H13" s="29" t="e">
        <f t="shared" si="2"/>
        <v>#DIV/0!</v>
      </c>
      <c r="I13" s="30" t="e">
        <f t="shared" si="3"/>
        <v>#DIV/0!</v>
      </c>
      <c r="J13" s="113" t="e">
        <f t="shared" si="4"/>
        <v>#DIV/0!</v>
      </c>
      <c r="K13" s="30" t="e">
        <f t="shared" si="5"/>
        <v>#DIV/0!</v>
      </c>
      <c r="L13" s="114" t="e">
        <f t="shared" si="6"/>
        <v>#DIV/0!</v>
      </c>
      <c r="M13" s="30" t="e">
        <f t="shared" si="7"/>
        <v>#DIV/0!</v>
      </c>
    </row>
    <row r="14" spans="1:13" x14ac:dyDescent="0.15">
      <c r="A14" s="42"/>
      <c r="B14" s="23"/>
      <c r="C14" s="35"/>
      <c r="D14" s="2"/>
      <c r="E14" s="44"/>
      <c r="F14" s="48" t="e">
        <f t="shared" si="0"/>
        <v>#DIV/0!</v>
      </c>
      <c r="G14" s="30" t="e">
        <f t="shared" si="1"/>
        <v>#DIV/0!</v>
      </c>
      <c r="H14" s="29" t="e">
        <f t="shared" si="2"/>
        <v>#DIV/0!</v>
      </c>
      <c r="I14" s="30" t="e">
        <f t="shared" si="3"/>
        <v>#DIV/0!</v>
      </c>
      <c r="J14" s="113" t="e">
        <f t="shared" si="4"/>
        <v>#DIV/0!</v>
      </c>
      <c r="K14" s="30" t="e">
        <f t="shared" si="5"/>
        <v>#DIV/0!</v>
      </c>
      <c r="L14" s="114" t="e">
        <f t="shared" si="6"/>
        <v>#DIV/0!</v>
      </c>
      <c r="M14" s="30" t="e">
        <f t="shared" si="7"/>
        <v>#DIV/0!</v>
      </c>
    </row>
    <row r="15" spans="1:13" x14ac:dyDescent="0.15">
      <c r="A15" s="42"/>
      <c r="B15" s="23"/>
      <c r="C15" s="35"/>
      <c r="D15" s="2"/>
      <c r="E15" s="44"/>
      <c r="F15" s="48" t="e">
        <f t="shared" si="0"/>
        <v>#DIV/0!</v>
      </c>
      <c r="G15" s="30" t="e">
        <f t="shared" si="1"/>
        <v>#DIV/0!</v>
      </c>
      <c r="H15" s="29" t="e">
        <f t="shared" si="2"/>
        <v>#DIV/0!</v>
      </c>
      <c r="I15" s="30" t="e">
        <f t="shared" si="3"/>
        <v>#DIV/0!</v>
      </c>
      <c r="J15" s="113" t="e">
        <f t="shared" si="4"/>
        <v>#DIV/0!</v>
      </c>
      <c r="K15" s="30" t="e">
        <f t="shared" si="5"/>
        <v>#DIV/0!</v>
      </c>
      <c r="L15" s="114" t="e">
        <f t="shared" si="6"/>
        <v>#DIV/0!</v>
      </c>
      <c r="M15" s="30" t="e">
        <f t="shared" si="7"/>
        <v>#DIV/0!</v>
      </c>
    </row>
    <row r="16" spans="1:13" x14ac:dyDescent="0.15">
      <c r="A16" s="42"/>
      <c r="B16" s="23"/>
      <c r="C16" s="35"/>
      <c r="D16" s="2"/>
      <c r="E16" s="44"/>
      <c r="F16" s="48" t="e">
        <f t="shared" si="0"/>
        <v>#DIV/0!</v>
      </c>
      <c r="G16" s="30" t="e">
        <f t="shared" si="1"/>
        <v>#DIV/0!</v>
      </c>
      <c r="H16" s="29" t="e">
        <f t="shared" si="2"/>
        <v>#DIV/0!</v>
      </c>
      <c r="I16" s="30" t="e">
        <f t="shared" si="3"/>
        <v>#DIV/0!</v>
      </c>
      <c r="J16" s="113" t="e">
        <f t="shared" si="4"/>
        <v>#DIV/0!</v>
      </c>
      <c r="K16" s="30" t="e">
        <f t="shared" si="5"/>
        <v>#DIV/0!</v>
      </c>
      <c r="L16" s="114" t="e">
        <f t="shared" si="6"/>
        <v>#DIV/0!</v>
      </c>
      <c r="M16" s="30" t="e">
        <f t="shared" si="7"/>
        <v>#DIV/0!</v>
      </c>
    </row>
    <row r="17" spans="1:13" x14ac:dyDescent="0.15">
      <c r="A17" s="42"/>
      <c r="B17" s="23"/>
      <c r="C17" s="35"/>
      <c r="D17" s="2"/>
      <c r="E17" s="44"/>
      <c r="F17" s="48" t="e">
        <f t="shared" si="0"/>
        <v>#DIV/0!</v>
      </c>
      <c r="G17" s="30" t="e">
        <f t="shared" si="1"/>
        <v>#DIV/0!</v>
      </c>
      <c r="H17" s="29" t="e">
        <f t="shared" si="2"/>
        <v>#DIV/0!</v>
      </c>
      <c r="I17" s="30" t="e">
        <f t="shared" si="3"/>
        <v>#DIV/0!</v>
      </c>
      <c r="J17" s="113" t="e">
        <f t="shared" si="4"/>
        <v>#DIV/0!</v>
      </c>
      <c r="K17" s="30" t="e">
        <f t="shared" si="5"/>
        <v>#DIV/0!</v>
      </c>
      <c r="L17" s="114" t="e">
        <f t="shared" si="6"/>
        <v>#DIV/0!</v>
      </c>
      <c r="M17" s="30" t="e">
        <f t="shared" si="7"/>
        <v>#DIV/0!</v>
      </c>
    </row>
    <row r="18" spans="1:13" x14ac:dyDescent="0.15">
      <c r="A18" s="42"/>
      <c r="B18" s="23"/>
      <c r="C18" s="35"/>
      <c r="D18" s="2"/>
      <c r="E18" s="44"/>
      <c r="F18" s="48" t="e">
        <f t="shared" si="0"/>
        <v>#DIV/0!</v>
      </c>
      <c r="G18" s="30" t="e">
        <f t="shared" si="1"/>
        <v>#DIV/0!</v>
      </c>
      <c r="H18" s="29" t="e">
        <f t="shared" si="2"/>
        <v>#DIV/0!</v>
      </c>
      <c r="I18" s="30" t="e">
        <f t="shared" si="3"/>
        <v>#DIV/0!</v>
      </c>
      <c r="J18" s="113" t="e">
        <f t="shared" si="4"/>
        <v>#DIV/0!</v>
      </c>
      <c r="K18" s="30" t="e">
        <f t="shared" si="5"/>
        <v>#DIV/0!</v>
      </c>
      <c r="L18" s="114" t="e">
        <f t="shared" si="6"/>
        <v>#DIV/0!</v>
      </c>
      <c r="M18" s="30" t="e">
        <f t="shared" si="7"/>
        <v>#DIV/0!</v>
      </c>
    </row>
    <row r="19" spans="1:13" x14ac:dyDescent="0.15">
      <c r="A19" s="42"/>
      <c r="B19" s="23"/>
      <c r="C19" s="35"/>
      <c r="D19" s="2"/>
      <c r="E19" s="44"/>
      <c r="F19" s="48" t="e">
        <f t="shared" si="0"/>
        <v>#DIV/0!</v>
      </c>
      <c r="G19" s="30" t="e">
        <f t="shared" si="1"/>
        <v>#DIV/0!</v>
      </c>
      <c r="H19" s="29" t="e">
        <f t="shared" si="2"/>
        <v>#DIV/0!</v>
      </c>
      <c r="I19" s="30" t="e">
        <f t="shared" si="3"/>
        <v>#DIV/0!</v>
      </c>
      <c r="J19" s="113" t="e">
        <f t="shared" si="4"/>
        <v>#DIV/0!</v>
      </c>
      <c r="K19" s="30" t="e">
        <f t="shared" si="5"/>
        <v>#DIV/0!</v>
      </c>
      <c r="L19" s="114" t="e">
        <f t="shared" si="6"/>
        <v>#DIV/0!</v>
      </c>
      <c r="M19" s="30" t="e">
        <f t="shared" si="7"/>
        <v>#DIV/0!</v>
      </c>
    </row>
    <row r="20" spans="1:13" x14ac:dyDescent="0.15">
      <c r="A20" s="42"/>
      <c r="B20" s="23"/>
      <c r="C20" s="35"/>
      <c r="D20" s="2"/>
      <c r="E20" s="44"/>
      <c r="F20" s="48" t="e">
        <f t="shared" si="0"/>
        <v>#DIV/0!</v>
      </c>
      <c r="G20" s="30" t="e">
        <f t="shared" si="1"/>
        <v>#DIV/0!</v>
      </c>
      <c r="H20" s="29" t="e">
        <f t="shared" si="2"/>
        <v>#DIV/0!</v>
      </c>
      <c r="I20" s="30" t="e">
        <f t="shared" si="3"/>
        <v>#DIV/0!</v>
      </c>
      <c r="J20" s="113" t="e">
        <f t="shared" si="4"/>
        <v>#DIV/0!</v>
      </c>
      <c r="K20" s="30" t="e">
        <f t="shared" si="5"/>
        <v>#DIV/0!</v>
      </c>
      <c r="L20" s="114" t="e">
        <f t="shared" si="6"/>
        <v>#DIV/0!</v>
      </c>
      <c r="M20" s="30" t="e">
        <f t="shared" si="7"/>
        <v>#DIV/0!</v>
      </c>
    </row>
    <row r="21" spans="1:13" x14ac:dyDescent="0.15">
      <c r="A21" s="42"/>
      <c r="B21" s="23"/>
      <c r="C21" s="35"/>
      <c r="D21" s="2"/>
      <c r="E21" s="44"/>
      <c r="F21" s="48" t="e">
        <f t="shared" si="0"/>
        <v>#DIV/0!</v>
      </c>
      <c r="G21" s="30" t="e">
        <f t="shared" si="1"/>
        <v>#DIV/0!</v>
      </c>
      <c r="H21" s="29" t="e">
        <f t="shared" si="2"/>
        <v>#DIV/0!</v>
      </c>
      <c r="I21" s="30" t="e">
        <f t="shared" si="3"/>
        <v>#DIV/0!</v>
      </c>
      <c r="J21" s="113" t="e">
        <f t="shared" si="4"/>
        <v>#DIV/0!</v>
      </c>
      <c r="K21" s="30" t="e">
        <f t="shared" si="5"/>
        <v>#DIV/0!</v>
      </c>
      <c r="L21" s="114" t="e">
        <f t="shared" si="6"/>
        <v>#DIV/0!</v>
      </c>
      <c r="M21" s="30" t="e">
        <f t="shared" si="7"/>
        <v>#DIV/0!</v>
      </c>
    </row>
    <row r="22" spans="1:13" ht="6.75" customHeight="1" thickBot="1" x14ac:dyDescent="0.2">
      <c r="A22" s="27"/>
      <c r="B22" s="54"/>
      <c r="C22" s="37"/>
      <c r="D22" s="46"/>
      <c r="E22" s="47"/>
      <c r="F22" s="49"/>
      <c r="G22" s="50"/>
      <c r="H22" s="46"/>
      <c r="I22" s="51"/>
      <c r="J22" s="52"/>
      <c r="K22" s="50"/>
      <c r="L22" s="53"/>
      <c r="M22" s="51"/>
    </row>
    <row r="23" spans="1:13" ht="19.5" customHeight="1" thickBot="1" x14ac:dyDescent="0.2">
      <c r="A23" s="6" t="s">
        <v>12</v>
      </c>
      <c r="B23" s="3"/>
      <c r="C23" s="3"/>
      <c r="D23" s="3"/>
      <c r="E23" s="3"/>
      <c r="F23" s="19"/>
      <c r="G23" s="16"/>
      <c r="H23" s="19"/>
      <c r="I23" s="16"/>
      <c r="J23" s="17"/>
      <c r="K23" s="16"/>
      <c r="L23" s="18"/>
      <c r="M23" s="41"/>
    </row>
    <row r="25" spans="1:13" x14ac:dyDescent="0.15">
      <c r="C25" s="14" t="s">
        <v>10</v>
      </c>
      <c r="D25" s="14" t="s">
        <v>21</v>
      </c>
      <c r="E25" s="24"/>
      <c r="F25" s="24"/>
      <c r="G25" s="24"/>
      <c r="H25" s="5"/>
      <c r="I25" s="24"/>
    </row>
    <row r="26" spans="1:13" x14ac:dyDescent="0.15">
      <c r="A26" t="s">
        <v>24</v>
      </c>
      <c r="B26" s="4"/>
      <c r="C26" s="15" t="e">
        <f>F23/D23</f>
        <v>#DIV/0!</v>
      </c>
      <c r="D26" s="15" t="e">
        <f>J23/B23</f>
        <v>#DIV/0!</v>
      </c>
      <c r="E26" s="289" t="s">
        <v>15</v>
      </c>
      <c r="F26" s="290"/>
      <c r="G26" s="290"/>
      <c r="H26" s="290"/>
      <c r="I26" s="290"/>
      <c r="J26" s="290"/>
    </row>
    <row r="27" spans="1:13" x14ac:dyDescent="0.15">
      <c r="A27" t="s">
        <v>25</v>
      </c>
      <c r="B27" s="4"/>
      <c r="C27" s="15" t="e">
        <f>H23/E23</f>
        <v>#DIV/0!</v>
      </c>
      <c r="D27" s="15" t="e">
        <f>L23/C23</f>
        <v>#DIV/0!</v>
      </c>
      <c r="E27" s="289"/>
      <c r="F27" s="290"/>
      <c r="G27" s="290"/>
      <c r="H27" s="290"/>
      <c r="I27" s="290"/>
      <c r="J27" s="290"/>
      <c r="K27" s="5"/>
      <c r="L27" s="5"/>
    </row>
    <row r="28" spans="1:13" x14ac:dyDescent="0.15">
      <c r="K28" s="5"/>
      <c r="L28" s="5"/>
      <c r="M28" s="5"/>
    </row>
  </sheetData>
  <mergeCells count="9">
    <mergeCell ref="E26:J27"/>
    <mergeCell ref="A2:M2"/>
    <mergeCell ref="A4:A5"/>
    <mergeCell ref="B4:C4"/>
    <mergeCell ref="D4:E4"/>
    <mergeCell ref="J4:M4"/>
    <mergeCell ref="F4:I4"/>
    <mergeCell ref="B3:E3"/>
    <mergeCell ref="G3:M3"/>
  </mergeCells>
  <phoneticPr fontId="0" type="noConversion"/>
  <printOptions horizontalCentered="1" verticalCentered="1"/>
  <pageMargins left="0.19685039370078741" right="0.19685039370078741" top="0.59055118110236227" bottom="0.59055118110236227" header="0" footer="0"/>
  <pageSetup paperSize="9" scale="64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8"/>
  <sheetViews>
    <sheetView showGridLines="0" tabSelected="1" zoomScale="75" workbookViewId="0" xr3:uid="{F9CF3CF3-643B-5BE6-8B46-32C596A47465}">
      <selection activeCell="C18" sqref="C18"/>
    </sheetView>
  </sheetViews>
  <sheetFormatPr defaultColWidth="12.67578125" defaultRowHeight="12.75" x14ac:dyDescent="0.15"/>
  <cols>
    <col min="1" max="1" width="3.234375" style="195" customWidth="1"/>
    <col min="2" max="2" width="12.80859375" style="195" customWidth="1"/>
    <col min="3" max="3" width="13.34765625" style="195" customWidth="1"/>
    <col min="4" max="5" width="14.83203125" style="195" bestFit="1" customWidth="1"/>
    <col min="6" max="6" width="16.31640625" style="195" customWidth="1"/>
    <col min="7" max="7" width="18.609375" style="195" customWidth="1"/>
    <col min="8" max="9" width="18.87890625" style="195" bestFit="1" customWidth="1"/>
    <col min="10" max="11" width="14.83203125" style="195" bestFit="1" customWidth="1"/>
    <col min="12" max="12" width="17.2578125" style="195" bestFit="1" customWidth="1"/>
    <col min="13" max="16384" width="12.67578125" style="195"/>
  </cols>
  <sheetData>
    <row r="1" spans="2:11" ht="30" customHeight="1" thickBot="1" x14ac:dyDescent="0.2">
      <c r="B1" s="313" t="s">
        <v>66</v>
      </c>
      <c r="C1" s="314"/>
      <c r="D1" s="314"/>
      <c r="E1" s="314"/>
      <c r="F1" s="314"/>
      <c r="G1" s="314"/>
      <c r="H1" s="314"/>
      <c r="I1" s="314"/>
      <c r="J1" s="194"/>
    </row>
    <row r="2" spans="2:11" ht="7.5" customHeight="1" thickBot="1" x14ac:dyDescent="0.2">
      <c r="B2" s="196"/>
      <c r="C2" s="196"/>
      <c r="D2" s="196"/>
      <c r="E2" s="196"/>
      <c r="F2" s="196"/>
      <c r="G2" s="196"/>
      <c r="H2" s="196"/>
    </row>
    <row r="3" spans="2:11" ht="15" thickBot="1" x14ac:dyDescent="0.2">
      <c r="B3" s="306" t="s">
        <v>67</v>
      </c>
      <c r="C3" s="307"/>
      <c r="D3" s="307"/>
      <c r="E3" s="307"/>
      <c r="F3" s="307"/>
      <c r="G3" s="307"/>
      <c r="H3" s="308"/>
    </row>
    <row r="4" spans="2:11" x14ac:dyDescent="0.15">
      <c r="B4" s="311" t="s">
        <v>68</v>
      </c>
      <c r="C4" s="312"/>
      <c r="D4" s="198"/>
      <c r="E4" s="199"/>
      <c r="F4" s="200" t="s">
        <v>69</v>
      </c>
      <c r="G4" s="309"/>
      <c r="H4" s="310"/>
      <c r="I4" s="194"/>
      <c r="J4" s="194"/>
    </row>
    <row r="5" spans="2:11" x14ac:dyDescent="0.15">
      <c r="B5" s="201" t="s">
        <v>70</v>
      </c>
      <c r="C5" s="202"/>
      <c r="D5" s="319" t="s">
        <v>71</v>
      </c>
      <c r="E5" s="320"/>
      <c r="F5" s="203" t="s">
        <v>72</v>
      </c>
      <c r="G5" s="202"/>
      <c r="H5" s="204"/>
      <c r="I5" s="194"/>
      <c r="J5" s="194"/>
    </row>
    <row r="6" spans="2:11" x14ac:dyDescent="0.15">
      <c r="D6" s="323"/>
      <c r="E6" s="323"/>
      <c r="F6" s="205" t="s">
        <v>73</v>
      </c>
      <c r="G6" s="206" t="s">
        <v>74</v>
      </c>
      <c r="H6" s="207" t="s">
        <v>75</v>
      </c>
      <c r="I6" s="194"/>
      <c r="J6" s="194"/>
      <c r="K6" s="194"/>
    </row>
    <row r="7" spans="2:11" x14ac:dyDescent="0.15">
      <c r="B7" s="324" t="s">
        <v>76</v>
      </c>
      <c r="C7" s="325"/>
      <c r="D7" s="325"/>
      <c r="E7" s="325"/>
      <c r="F7" s="203"/>
      <c r="G7" s="208"/>
      <c r="H7" s="209"/>
      <c r="I7" s="194"/>
      <c r="J7" s="194"/>
    </row>
    <row r="8" spans="2:11" ht="13.5" thickBot="1" x14ac:dyDescent="0.2">
      <c r="B8" s="317" t="s">
        <v>77</v>
      </c>
      <c r="C8" s="318"/>
      <c r="D8" s="318"/>
      <c r="E8" s="318"/>
      <c r="F8" s="210"/>
      <c r="G8" s="211"/>
      <c r="H8" s="212"/>
      <c r="I8" s="194"/>
      <c r="J8" s="194"/>
    </row>
    <row r="9" spans="2:11" ht="7.5" customHeight="1" thickBot="1" x14ac:dyDescent="0.2">
      <c r="B9" s="332"/>
      <c r="C9" s="332"/>
      <c r="D9" s="332"/>
      <c r="E9" s="332"/>
      <c r="F9" s="332"/>
      <c r="G9" s="333"/>
      <c r="H9" s="333"/>
    </row>
    <row r="10" spans="2:11" x14ac:dyDescent="0.15">
      <c r="B10" s="321" t="s">
        <v>78</v>
      </c>
      <c r="C10" s="322"/>
      <c r="D10" s="213"/>
      <c r="E10" s="214"/>
      <c r="F10" s="215"/>
      <c r="G10" s="216"/>
      <c r="H10" s="216"/>
    </row>
    <row r="11" spans="2:11" x14ac:dyDescent="0.15">
      <c r="B11" s="342" t="s">
        <v>79</v>
      </c>
      <c r="C11" s="341"/>
      <c r="D11" s="341"/>
      <c r="E11" s="341"/>
      <c r="F11" s="344"/>
    </row>
    <row r="12" spans="2:11" ht="13.5" thickBot="1" x14ac:dyDescent="0.2">
      <c r="B12" s="343"/>
      <c r="C12" s="315"/>
      <c r="D12" s="315"/>
      <c r="E12" s="315"/>
      <c r="F12" s="316"/>
    </row>
    <row r="13" spans="2:11" ht="13.5" thickBot="1" x14ac:dyDescent="0.2">
      <c r="B13" s="339"/>
      <c r="C13" s="340"/>
      <c r="D13" s="340"/>
      <c r="E13" s="340"/>
      <c r="F13" s="340"/>
      <c r="G13" s="340"/>
      <c r="H13" s="340"/>
    </row>
    <row r="14" spans="2:11" ht="14.25" x14ac:dyDescent="0.15">
      <c r="B14" s="336" t="s">
        <v>80</v>
      </c>
      <c r="C14" s="337"/>
      <c r="D14" s="337"/>
      <c r="E14" s="337"/>
      <c r="F14" s="337"/>
      <c r="G14" s="337"/>
      <c r="H14" s="337"/>
      <c r="I14" s="338"/>
    </row>
    <row r="15" spans="2:11" x14ac:dyDescent="0.15">
      <c r="B15" s="217" t="s">
        <v>81</v>
      </c>
      <c r="C15" s="205" t="s">
        <v>82</v>
      </c>
      <c r="D15" s="205" t="s">
        <v>83</v>
      </c>
      <c r="E15" s="205" t="s">
        <v>84</v>
      </c>
      <c r="F15" s="205" t="s">
        <v>85</v>
      </c>
      <c r="G15" s="197" t="s">
        <v>86</v>
      </c>
      <c r="H15" s="205" t="s">
        <v>87</v>
      </c>
      <c r="I15" s="218" t="s">
        <v>88</v>
      </c>
    </row>
    <row r="16" spans="2:11" x14ac:dyDescent="0.15">
      <c r="B16" s="217" t="s">
        <v>89</v>
      </c>
      <c r="C16" s="205" t="s">
        <v>90</v>
      </c>
      <c r="D16" s="205" t="s">
        <v>91</v>
      </c>
      <c r="E16" s="205" t="s">
        <v>92</v>
      </c>
      <c r="F16" s="205" t="s">
        <v>93</v>
      </c>
      <c r="G16" s="205" t="s">
        <v>94</v>
      </c>
      <c r="H16" s="205" t="s">
        <v>95</v>
      </c>
      <c r="I16" s="219" t="s">
        <v>96</v>
      </c>
    </row>
    <row r="17" spans="1:13" x14ac:dyDescent="0.15">
      <c r="B17" s="220">
        <v>37622</v>
      </c>
      <c r="C17" s="221" t="s">
        <v>97</v>
      </c>
      <c r="D17" s="221">
        <v>1000</v>
      </c>
      <c r="E17" s="222">
        <v>200</v>
      </c>
      <c r="F17" s="221">
        <v>200</v>
      </c>
      <c r="G17" s="223">
        <f t="shared" ref="G17:G28" si="0">E17/D17</f>
        <v>0.2</v>
      </c>
      <c r="H17" s="222">
        <f t="shared" ref="H17:H28" si="1">D17/F17</f>
        <v>5</v>
      </c>
      <c r="I17" s="224">
        <f t="shared" ref="I17:I28" si="2">H17*G17</f>
        <v>1</v>
      </c>
    </row>
    <row r="18" spans="1:13" x14ac:dyDescent="0.15">
      <c r="B18" s="220">
        <v>37653</v>
      </c>
      <c r="C18" s="221"/>
      <c r="D18" s="221">
        <v>700</v>
      </c>
      <c r="E18" s="222">
        <v>145</v>
      </c>
      <c r="F18" s="221">
        <v>150</v>
      </c>
      <c r="G18" s="223">
        <f t="shared" si="0"/>
        <v>0.20714285714285716</v>
      </c>
      <c r="H18" s="222">
        <f t="shared" si="1"/>
        <v>4.666666666666667</v>
      </c>
      <c r="I18" s="224">
        <f t="shared" si="2"/>
        <v>0.96666666666666679</v>
      </c>
    </row>
    <row r="19" spans="1:13" x14ac:dyDescent="0.15">
      <c r="B19" s="220">
        <v>37681</v>
      </c>
      <c r="C19" s="221"/>
      <c r="D19" s="221">
        <v>900</v>
      </c>
      <c r="E19" s="222">
        <v>170</v>
      </c>
      <c r="F19" s="221">
        <v>180</v>
      </c>
      <c r="G19" s="223">
        <f t="shared" si="0"/>
        <v>0.18888888888888888</v>
      </c>
      <c r="H19" s="222">
        <f t="shared" si="1"/>
        <v>5</v>
      </c>
      <c r="I19" s="224">
        <f t="shared" si="2"/>
        <v>0.94444444444444442</v>
      </c>
      <c r="K19"/>
      <c r="L19"/>
      <c r="M19"/>
    </row>
    <row r="20" spans="1:13" x14ac:dyDescent="0.15">
      <c r="B20" s="220">
        <v>37712</v>
      </c>
      <c r="C20" s="221"/>
      <c r="D20" s="221">
        <v>800</v>
      </c>
      <c r="E20" s="222">
        <v>160</v>
      </c>
      <c r="F20" s="221">
        <v>170</v>
      </c>
      <c r="G20" s="223">
        <f t="shared" si="0"/>
        <v>0.2</v>
      </c>
      <c r="H20" s="222">
        <f t="shared" si="1"/>
        <v>4.7058823529411766</v>
      </c>
      <c r="I20" s="224">
        <f t="shared" si="2"/>
        <v>0.94117647058823539</v>
      </c>
    </row>
    <row r="21" spans="1:13" x14ac:dyDescent="0.15">
      <c r="B21" s="220">
        <v>37742</v>
      </c>
      <c r="C21" s="221"/>
      <c r="D21" s="221">
        <v>1000</v>
      </c>
      <c r="E21" s="222">
        <v>200</v>
      </c>
      <c r="F21" s="221">
        <v>200</v>
      </c>
      <c r="G21" s="223">
        <f t="shared" si="0"/>
        <v>0.2</v>
      </c>
      <c r="H21" s="222">
        <f t="shared" si="1"/>
        <v>5</v>
      </c>
      <c r="I21" s="224">
        <f t="shared" si="2"/>
        <v>1</v>
      </c>
    </row>
    <row r="22" spans="1:13" x14ac:dyDescent="0.15">
      <c r="B22" s="220">
        <v>37773</v>
      </c>
      <c r="C22" s="221"/>
      <c r="D22" s="221">
        <v>1000</v>
      </c>
      <c r="E22" s="222">
        <v>200</v>
      </c>
      <c r="F22" s="221">
        <v>200</v>
      </c>
      <c r="G22" s="223">
        <f t="shared" si="0"/>
        <v>0.2</v>
      </c>
      <c r="H22" s="222">
        <f t="shared" si="1"/>
        <v>5</v>
      </c>
      <c r="I22" s="224">
        <f t="shared" si="2"/>
        <v>1</v>
      </c>
    </row>
    <row r="23" spans="1:13" x14ac:dyDescent="0.15">
      <c r="B23" s="220">
        <v>37803</v>
      </c>
      <c r="C23" s="221"/>
      <c r="D23" s="221">
        <v>900</v>
      </c>
      <c r="E23" s="222">
        <v>170</v>
      </c>
      <c r="F23" s="221">
        <v>180</v>
      </c>
      <c r="G23" s="223">
        <f t="shared" si="0"/>
        <v>0.18888888888888888</v>
      </c>
      <c r="H23" s="222">
        <f t="shared" si="1"/>
        <v>5</v>
      </c>
      <c r="I23" s="224">
        <f t="shared" si="2"/>
        <v>0.94444444444444442</v>
      </c>
    </row>
    <row r="24" spans="1:13" x14ac:dyDescent="0.15">
      <c r="B24" s="220">
        <v>37834</v>
      </c>
      <c r="C24" s="221"/>
      <c r="D24" s="221">
        <v>800</v>
      </c>
      <c r="E24" s="222">
        <v>160</v>
      </c>
      <c r="F24" s="221">
        <v>170</v>
      </c>
      <c r="G24" s="223">
        <f t="shared" si="0"/>
        <v>0.2</v>
      </c>
      <c r="H24" s="222">
        <f t="shared" si="1"/>
        <v>4.7058823529411766</v>
      </c>
      <c r="I24" s="224">
        <f t="shared" si="2"/>
        <v>0.94117647058823539</v>
      </c>
    </row>
    <row r="25" spans="1:13" x14ac:dyDescent="0.15">
      <c r="B25" s="220">
        <v>37865</v>
      </c>
      <c r="C25" s="221"/>
      <c r="D25" s="221">
        <v>1000</v>
      </c>
      <c r="E25" s="222">
        <v>200</v>
      </c>
      <c r="F25" s="221">
        <v>200</v>
      </c>
      <c r="G25" s="223">
        <f t="shared" si="0"/>
        <v>0.2</v>
      </c>
      <c r="H25" s="222">
        <f t="shared" si="1"/>
        <v>5</v>
      </c>
      <c r="I25" s="224">
        <f t="shared" si="2"/>
        <v>1</v>
      </c>
    </row>
    <row r="26" spans="1:13" x14ac:dyDescent="0.15">
      <c r="B26" s="220">
        <v>37895</v>
      </c>
      <c r="C26" s="221"/>
      <c r="D26" s="221">
        <v>600</v>
      </c>
      <c r="E26" s="222">
        <v>145</v>
      </c>
      <c r="F26" s="221">
        <v>150</v>
      </c>
      <c r="G26" s="223">
        <f t="shared" si="0"/>
        <v>0.24166666666666667</v>
      </c>
      <c r="H26" s="222">
        <f t="shared" si="1"/>
        <v>4</v>
      </c>
      <c r="I26" s="224">
        <f t="shared" si="2"/>
        <v>0.96666666666666667</v>
      </c>
    </row>
    <row r="27" spans="1:13" x14ac:dyDescent="0.15">
      <c r="B27" s="220">
        <v>37926</v>
      </c>
      <c r="C27" s="221"/>
      <c r="D27" s="221">
        <v>1100</v>
      </c>
      <c r="E27" s="222">
        <v>210</v>
      </c>
      <c r="F27" s="221">
        <v>220</v>
      </c>
      <c r="G27" s="223">
        <f t="shared" si="0"/>
        <v>0.19090909090909092</v>
      </c>
      <c r="H27" s="222">
        <f t="shared" si="1"/>
        <v>5</v>
      </c>
      <c r="I27" s="224">
        <f t="shared" si="2"/>
        <v>0.95454545454545459</v>
      </c>
    </row>
    <row r="28" spans="1:13" ht="13.5" thickBot="1" x14ac:dyDescent="0.2">
      <c r="B28" s="225">
        <v>37956</v>
      </c>
      <c r="C28" s="226"/>
      <c r="D28" s="226">
        <v>900</v>
      </c>
      <c r="E28" s="227">
        <v>170</v>
      </c>
      <c r="F28" s="226">
        <v>190</v>
      </c>
      <c r="G28" s="228">
        <f t="shared" si="0"/>
        <v>0.18888888888888888</v>
      </c>
      <c r="H28" s="227">
        <f t="shared" si="1"/>
        <v>4.7368421052631575</v>
      </c>
      <c r="I28" s="229">
        <f t="shared" si="2"/>
        <v>0.89473684210526305</v>
      </c>
    </row>
    <row r="29" spans="1:13" ht="14.25" x14ac:dyDescent="0.15">
      <c r="B29" s="329" t="s">
        <v>80</v>
      </c>
      <c r="C29" s="330"/>
      <c r="D29" s="330"/>
      <c r="E29" s="330"/>
      <c r="F29" s="330"/>
      <c r="G29" s="330"/>
      <c r="H29" s="330"/>
      <c r="I29" s="331"/>
      <c r="J29" s="326" t="s">
        <v>98</v>
      </c>
      <c r="K29" s="327"/>
      <c r="L29" s="328"/>
    </row>
    <row r="30" spans="1:13" x14ac:dyDescent="0.15">
      <c r="B30" s="217" t="s">
        <v>99</v>
      </c>
      <c r="C30" s="205" t="s">
        <v>82</v>
      </c>
      <c r="D30" s="205" t="s">
        <v>83</v>
      </c>
      <c r="E30" s="205" t="s">
        <v>84</v>
      </c>
      <c r="F30" s="205" t="s">
        <v>85</v>
      </c>
      <c r="G30" s="197" t="s">
        <v>86</v>
      </c>
      <c r="H30" s="205" t="s">
        <v>87</v>
      </c>
      <c r="I30" s="230" t="s">
        <v>88</v>
      </c>
      <c r="J30" s="231" t="s">
        <v>100</v>
      </c>
      <c r="K30" s="232" t="s">
        <v>100</v>
      </c>
      <c r="L30" s="233" t="s">
        <v>101</v>
      </c>
    </row>
    <row r="31" spans="1:13" ht="13.5" thickBot="1" x14ac:dyDescent="0.2">
      <c r="A31" s="195" t="s">
        <v>102</v>
      </c>
      <c r="B31" s="217" t="s">
        <v>89</v>
      </c>
      <c r="C31" s="205" t="s">
        <v>90</v>
      </c>
      <c r="D31" s="205" t="s">
        <v>91</v>
      </c>
      <c r="E31" s="205" t="s">
        <v>92</v>
      </c>
      <c r="F31" s="205" t="s">
        <v>93</v>
      </c>
      <c r="G31" s="205" t="s">
        <v>94</v>
      </c>
      <c r="H31" s="205" t="s">
        <v>95</v>
      </c>
      <c r="I31" s="230" t="s">
        <v>96</v>
      </c>
      <c r="J31" s="234" t="s">
        <v>103</v>
      </c>
      <c r="K31" s="235" t="s">
        <v>104</v>
      </c>
      <c r="L31" s="236" t="s">
        <v>105</v>
      </c>
    </row>
    <row r="32" spans="1:13" x14ac:dyDescent="0.15">
      <c r="A32" s="195" t="s">
        <v>106</v>
      </c>
      <c r="B32" s="220">
        <v>37987</v>
      </c>
      <c r="C32" s="221"/>
      <c r="D32" s="221">
        <v>1000</v>
      </c>
      <c r="E32" s="222">
        <v>190</v>
      </c>
      <c r="F32" s="221">
        <v>205</v>
      </c>
      <c r="G32" s="223">
        <f t="shared" ref="G32:G43" si="3">E32/D32</f>
        <v>0.19</v>
      </c>
      <c r="H32" s="222">
        <f t="shared" ref="H32:H43" si="4">D32/F32</f>
        <v>4.8780487804878048</v>
      </c>
      <c r="I32" s="237">
        <f t="shared" ref="I32:I43" si="5">H32*G32</f>
        <v>0.92682926829268286</v>
      </c>
      <c r="J32" s="238">
        <f t="shared" ref="J32:J43" si="6">(H17-H32)*F32</f>
        <v>25.000000000000021</v>
      </c>
      <c r="K32" s="239">
        <f>J32*G$17</f>
        <v>5.0000000000000044</v>
      </c>
      <c r="L32" s="240">
        <f>SUM($K$32:K32)</f>
        <v>5.0000000000000044</v>
      </c>
    </row>
    <row r="33" spans="1:12" x14ac:dyDescent="0.15">
      <c r="A33" s="195" t="s">
        <v>107</v>
      </c>
      <c r="B33" s="220">
        <v>38018</v>
      </c>
      <c r="C33" s="221"/>
      <c r="D33" s="221">
        <v>700</v>
      </c>
      <c r="E33" s="222">
        <v>140</v>
      </c>
      <c r="F33" s="221">
        <v>157</v>
      </c>
      <c r="G33" s="223">
        <f t="shared" si="3"/>
        <v>0.2</v>
      </c>
      <c r="H33" s="222">
        <f t="shared" si="4"/>
        <v>4.4585987261146496</v>
      </c>
      <c r="I33" s="237">
        <f t="shared" si="5"/>
        <v>0.89171974522292996</v>
      </c>
      <c r="J33" s="241">
        <f t="shared" si="6"/>
        <v>32.666666666666728</v>
      </c>
      <c r="K33" s="242">
        <f t="shared" ref="K33:K43" si="7">J33*$G18</f>
        <v>6.7666666666666799</v>
      </c>
      <c r="L33" s="243">
        <f>SUM($K$32:K33)</f>
        <v>11.766666666666683</v>
      </c>
    </row>
    <row r="34" spans="1:12" x14ac:dyDescent="0.15">
      <c r="A34" s="195" t="s">
        <v>108</v>
      </c>
      <c r="B34" s="220">
        <v>38047</v>
      </c>
      <c r="C34" s="221"/>
      <c r="D34" s="221">
        <v>900</v>
      </c>
      <c r="E34" s="222">
        <v>175</v>
      </c>
      <c r="F34" s="221">
        <v>175</v>
      </c>
      <c r="G34" s="223">
        <f t="shared" si="3"/>
        <v>0.19444444444444445</v>
      </c>
      <c r="H34" s="222">
        <f t="shared" si="4"/>
        <v>5.1428571428571432</v>
      </c>
      <c r="I34" s="237">
        <f t="shared" si="5"/>
        <v>1</v>
      </c>
      <c r="J34" s="241">
        <f t="shared" si="6"/>
        <v>-25.000000000000068</v>
      </c>
      <c r="K34" s="242">
        <f t="shared" si="7"/>
        <v>-4.7222222222222348</v>
      </c>
      <c r="L34" s="243">
        <f>SUM($K$32:K34)</f>
        <v>7.0444444444444487</v>
      </c>
    </row>
    <row r="35" spans="1:12" x14ac:dyDescent="0.15">
      <c r="A35" s="195" t="s">
        <v>109</v>
      </c>
      <c r="B35" s="220">
        <v>38078</v>
      </c>
      <c r="C35" s="221"/>
      <c r="D35" s="221">
        <v>800</v>
      </c>
      <c r="E35" s="222">
        <v>158</v>
      </c>
      <c r="F35" s="221">
        <v>174</v>
      </c>
      <c r="G35" s="223">
        <f t="shared" si="3"/>
        <v>0.19750000000000001</v>
      </c>
      <c r="H35" s="222">
        <f t="shared" si="4"/>
        <v>4.5977011494252871</v>
      </c>
      <c r="I35" s="237">
        <f t="shared" si="5"/>
        <v>0.90804597701149425</v>
      </c>
      <c r="J35" s="241">
        <f t="shared" si="6"/>
        <v>18.823529411764781</v>
      </c>
      <c r="K35" s="242">
        <f t="shared" si="7"/>
        <v>3.7647058823529562</v>
      </c>
      <c r="L35" s="243">
        <f>SUM($K$32:K35)</f>
        <v>10.809150326797404</v>
      </c>
    </row>
    <row r="36" spans="1:12" x14ac:dyDescent="0.15">
      <c r="A36" s="195" t="s">
        <v>110</v>
      </c>
      <c r="B36" s="220">
        <v>38108</v>
      </c>
      <c r="C36" s="221"/>
      <c r="D36" s="221">
        <v>1000</v>
      </c>
      <c r="E36" s="222">
        <v>190</v>
      </c>
      <c r="F36" s="221">
        <v>203</v>
      </c>
      <c r="G36" s="223">
        <f t="shared" si="3"/>
        <v>0.19</v>
      </c>
      <c r="H36" s="222">
        <f t="shared" si="4"/>
        <v>4.9261083743842367</v>
      </c>
      <c r="I36" s="237">
        <f t="shared" si="5"/>
        <v>0.935960591133005</v>
      </c>
      <c r="J36" s="241">
        <f t="shared" si="6"/>
        <v>14.999999999999959</v>
      </c>
      <c r="K36" s="242">
        <f t="shared" si="7"/>
        <v>2.999999999999992</v>
      </c>
      <c r="L36" s="243">
        <f>SUM($K$32:K36)</f>
        <v>13.809150326797397</v>
      </c>
    </row>
    <row r="37" spans="1:12" x14ac:dyDescent="0.15">
      <c r="A37" s="195" t="s">
        <v>111</v>
      </c>
      <c r="B37" s="220">
        <v>38139</v>
      </c>
      <c r="C37" s="221"/>
      <c r="D37" s="221">
        <v>1000</v>
      </c>
      <c r="E37" s="222">
        <v>190</v>
      </c>
      <c r="F37" s="221">
        <v>207</v>
      </c>
      <c r="G37" s="223">
        <f t="shared" si="3"/>
        <v>0.19</v>
      </c>
      <c r="H37" s="222">
        <f t="shared" si="4"/>
        <v>4.8309178743961354</v>
      </c>
      <c r="I37" s="237">
        <f t="shared" si="5"/>
        <v>0.91787439613526578</v>
      </c>
      <c r="J37" s="241">
        <f t="shared" si="6"/>
        <v>34.999999999999972</v>
      </c>
      <c r="K37" s="242">
        <f t="shared" si="7"/>
        <v>6.9999999999999947</v>
      </c>
      <c r="L37" s="243">
        <f>SUM($K$32:K37)</f>
        <v>20.809150326797393</v>
      </c>
    </row>
    <row r="38" spans="1:12" x14ac:dyDescent="0.15">
      <c r="A38" s="195" t="s">
        <v>112</v>
      </c>
      <c r="B38" s="220">
        <v>38169</v>
      </c>
      <c r="C38" s="221"/>
      <c r="D38" s="221">
        <v>900</v>
      </c>
      <c r="E38" s="222">
        <v>175</v>
      </c>
      <c r="F38" s="221">
        <v>175</v>
      </c>
      <c r="G38" s="223">
        <f t="shared" si="3"/>
        <v>0.19444444444444445</v>
      </c>
      <c r="H38" s="222">
        <f t="shared" si="4"/>
        <v>5.1428571428571432</v>
      </c>
      <c r="I38" s="237">
        <f t="shared" si="5"/>
        <v>1</v>
      </c>
      <c r="J38" s="241">
        <f t="shared" si="6"/>
        <v>-25.000000000000068</v>
      </c>
      <c r="K38" s="242">
        <f t="shared" si="7"/>
        <v>-4.7222222222222348</v>
      </c>
      <c r="L38" s="243">
        <f>SUM($K$32:K38)</f>
        <v>16.086928104575158</v>
      </c>
    </row>
    <row r="39" spans="1:12" x14ac:dyDescent="0.15">
      <c r="A39" s="195" t="s">
        <v>113</v>
      </c>
      <c r="B39" s="220">
        <v>38200</v>
      </c>
      <c r="C39" s="221"/>
      <c r="D39" s="221">
        <v>800</v>
      </c>
      <c r="E39" s="222">
        <v>158</v>
      </c>
      <c r="F39" s="221">
        <v>180</v>
      </c>
      <c r="G39" s="223">
        <f t="shared" si="3"/>
        <v>0.19750000000000001</v>
      </c>
      <c r="H39" s="222">
        <f t="shared" si="4"/>
        <v>4.4444444444444446</v>
      </c>
      <c r="I39" s="237">
        <f t="shared" si="5"/>
        <v>0.87777777777777788</v>
      </c>
      <c r="J39" s="241">
        <f t="shared" si="6"/>
        <v>47.058823529411754</v>
      </c>
      <c r="K39" s="242">
        <f t="shared" si="7"/>
        <v>9.4117647058823515</v>
      </c>
      <c r="L39" s="243">
        <f>SUM($K$32:K39)</f>
        <v>25.498692810457509</v>
      </c>
    </row>
    <row r="40" spans="1:12" x14ac:dyDescent="0.15">
      <c r="A40" s="195" t="s">
        <v>114</v>
      </c>
      <c r="B40" s="220">
        <v>38231</v>
      </c>
      <c r="C40" s="221"/>
      <c r="D40" s="221">
        <v>1000</v>
      </c>
      <c r="E40" s="222">
        <v>190</v>
      </c>
      <c r="F40" s="221">
        <v>203</v>
      </c>
      <c r="G40" s="223">
        <f t="shared" si="3"/>
        <v>0.19</v>
      </c>
      <c r="H40" s="222">
        <f t="shared" si="4"/>
        <v>4.9261083743842367</v>
      </c>
      <c r="I40" s="237">
        <f t="shared" si="5"/>
        <v>0.935960591133005</v>
      </c>
      <c r="J40" s="241">
        <f t="shared" si="6"/>
        <v>14.999999999999959</v>
      </c>
      <c r="K40" s="242">
        <f t="shared" si="7"/>
        <v>2.999999999999992</v>
      </c>
      <c r="L40" s="243">
        <f>SUM($K$32:K40)</f>
        <v>28.498692810457502</v>
      </c>
    </row>
    <row r="41" spans="1:12" x14ac:dyDescent="0.15">
      <c r="A41" s="195" t="s">
        <v>115</v>
      </c>
      <c r="B41" s="220">
        <v>38261</v>
      </c>
      <c r="C41" s="221"/>
      <c r="D41" s="221">
        <v>600</v>
      </c>
      <c r="E41" s="222">
        <v>125</v>
      </c>
      <c r="F41" s="221">
        <v>152</v>
      </c>
      <c r="G41" s="223">
        <f t="shared" si="3"/>
        <v>0.20833333333333334</v>
      </c>
      <c r="H41" s="222">
        <f t="shared" si="4"/>
        <v>3.9473684210526314</v>
      </c>
      <c r="I41" s="237">
        <f t="shared" si="5"/>
        <v>0.82236842105263153</v>
      </c>
      <c r="J41" s="241">
        <f t="shared" si="6"/>
        <v>8.0000000000000249</v>
      </c>
      <c r="K41" s="242">
        <f t="shared" si="7"/>
        <v>1.9333333333333393</v>
      </c>
      <c r="L41" s="243">
        <f>SUM($K$32:K41)</f>
        <v>30.432026143790843</v>
      </c>
    </row>
    <row r="42" spans="1:12" x14ac:dyDescent="0.15">
      <c r="A42" s="195" t="s">
        <v>116</v>
      </c>
      <c r="B42" s="220">
        <v>38292</v>
      </c>
      <c r="C42" s="221"/>
      <c r="D42" s="221">
        <v>1100</v>
      </c>
      <c r="E42" s="222">
        <v>200</v>
      </c>
      <c r="F42" s="221">
        <v>223</v>
      </c>
      <c r="G42" s="223">
        <f t="shared" si="3"/>
        <v>0.18181818181818182</v>
      </c>
      <c r="H42" s="222">
        <f t="shared" si="4"/>
        <v>4.9327354260089686</v>
      </c>
      <c r="I42" s="237">
        <f t="shared" si="5"/>
        <v>0.89686098654708524</v>
      </c>
      <c r="J42" s="241">
        <f t="shared" si="6"/>
        <v>14.999999999999993</v>
      </c>
      <c r="K42" s="242">
        <f t="shared" si="7"/>
        <v>2.8636363636363624</v>
      </c>
      <c r="L42" s="243">
        <f>SUM($K$32:K42)</f>
        <v>33.295662507427203</v>
      </c>
    </row>
    <row r="43" spans="1:12" ht="13.5" thickBot="1" x14ac:dyDescent="0.2">
      <c r="A43" s="195" t="s">
        <v>117</v>
      </c>
      <c r="B43" s="225">
        <v>38322</v>
      </c>
      <c r="C43" s="226"/>
      <c r="D43" s="226">
        <v>900</v>
      </c>
      <c r="E43" s="227">
        <v>175</v>
      </c>
      <c r="F43" s="226">
        <v>185</v>
      </c>
      <c r="G43" s="228">
        <f t="shared" si="3"/>
        <v>0.19444444444444445</v>
      </c>
      <c r="H43" s="227">
        <f t="shared" si="4"/>
        <v>4.8648648648648649</v>
      </c>
      <c r="I43" s="244">
        <f t="shared" si="5"/>
        <v>0.94594594594594594</v>
      </c>
      <c r="J43" s="245">
        <f t="shared" si="6"/>
        <v>-23.684210526315866</v>
      </c>
      <c r="K43" s="246">
        <f t="shared" si="7"/>
        <v>-4.4736842105263301</v>
      </c>
      <c r="L43" s="247">
        <f>SUM($K$32:K43)</f>
        <v>28.821978296900873</v>
      </c>
    </row>
    <row r="44" spans="1:12" x14ac:dyDescent="0.15">
      <c r="B44" s="334" t="s">
        <v>118</v>
      </c>
      <c r="C44" s="335"/>
      <c r="D44" s="335"/>
      <c r="E44" s="335"/>
      <c r="F44" s="335"/>
      <c r="G44" s="335"/>
      <c r="H44" s="335"/>
      <c r="K44"/>
    </row>
    <row r="45" spans="1:12" x14ac:dyDescent="0.15">
      <c r="B45" s="248"/>
      <c r="C45" s="249"/>
      <c r="D45"/>
      <c r="E45"/>
      <c r="F45"/>
      <c r="G45"/>
      <c r="H45" s="65"/>
      <c r="K45"/>
    </row>
    <row r="46" spans="1:12" x14ac:dyDescent="0.15">
      <c r="B46" s="250"/>
      <c r="C46" s="249"/>
      <c r="H46" s="251"/>
      <c r="K46"/>
    </row>
    <row r="47" spans="1:12" x14ac:dyDescent="0.15">
      <c r="B47" s="250"/>
      <c r="C47" s="249"/>
      <c r="H47" s="251"/>
      <c r="K47"/>
    </row>
    <row r="48" spans="1:12" x14ac:dyDescent="0.15">
      <c r="B48" s="252"/>
      <c r="C48" s="249"/>
      <c r="H48" s="251"/>
      <c r="K48"/>
    </row>
    <row r="49" spans="2:8" x14ac:dyDescent="0.15">
      <c r="B49" s="252"/>
      <c r="C49" s="249"/>
      <c r="H49" s="251"/>
    </row>
    <row r="50" spans="2:8" x14ac:dyDescent="0.15">
      <c r="B50" s="252"/>
      <c r="C50" s="249"/>
      <c r="H50" s="251"/>
    </row>
    <row r="51" spans="2:8" ht="14.25" customHeight="1" x14ac:dyDescent="0.15">
      <c r="B51" s="252"/>
      <c r="C51" s="249"/>
      <c r="H51" s="251"/>
    </row>
    <row r="52" spans="2:8" x14ac:dyDescent="0.15">
      <c r="B52" s="252"/>
      <c r="C52" s="249"/>
      <c r="H52" s="251"/>
    </row>
    <row r="53" spans="2:8" x14ac:dyDescent="0.15">
      <c r="B53" s="252"/>
      <c r="C53" s="249"/>
      <c r="H53" s="251"/>
    </row>
    <row r="54" spans="2:8" x14ac:dyDescent="0.15">
      <c r="B54" s="252"/>
      <c r="C54" s="249"/>
      <c r="H54" s="251"/>
    </row>
    <row r="55" spans="2:8" x14ac:dyDescent="0.15">
      <c r="B55" s="252"/>
      <c r="C55" s="249"/>
      <c r="H55" s="251"/>
    </row>
    <row r="56" spans="2:8" x14ac:dyDescent="0.15">
      <c r="B56" s="252"/>
      <c r="C56" s="249"/>
      <c r="H56" s="251"/>
    </row>
    <row r="57" spans="2:8" x14ac:dyDescent="0.15">
      <c r="B57" s="252"/>
      <c r="C57" s="249"/>
      <c r="H57" s="251"/>
    </row>
    <row r="58" spans="2:8" x14ac:dyDescent="0.15">
      <c r="B58" s="252"/>
      <c r="C58" s="249"/>
      <c r="H58" s="251"/>
    </row>
    <row r="59" spans="2:8" x14ac:dyDescent="0.15">
      <c r="B59" s="252"/>
      <c r="C59" s="249"/>
      <c r="H59" s="251"/>
    </row>
    <row r="60" spans="2:8" x14ac:dyDescent="0.15">
      <c r="C60"/>
    </row>
    <row r="61" spans="2:8" x14ac:dyDescent="0.15">
      <c r="C61"/>
    </row>
    <row r="62" spans="2:8" x14ac:dyDescent="0.15">
      <c r="C62"/>
    </row>
    <row r="63" spans="2:8" x14ac:dyDescent="0.15">
      <c r="C63"/>
    </row>
    <row r="64" spans="2:8" x14ac:dyDescent="0.15">
      <c r="C64"/>
    </row>
    <row r="65" spans="3:3" x14ac:dyDescent="0.15">
      <c r="C65"/>
    </row>
    <row r="66" spans="3:3" x14ac:dyDescent="0.15">
      <c r="C66"/>
    </row>
    <row r="67" spans="3:3" x14ac:dyDescent="0.15">
      <c r="C67"/>
    </row>
    <row r="68" spans="3:3" x14ac:dyDescent="0.15">
      <c r="C68"/>
    </row>
  </sheetData>
  <mergeCells count="20">
    <mergeCell ref="J29:L29"/>
    <mergeCell ref="B29:I29"/>
    <mergeCell ref="B9:H9"/>
    <mergeCell ref="B44:H44"/>
    <mergeCell ref="B14:I14"/>
    <mergeCell ref="B13:H13"/>
    <mergeCell ref="C11:D11"/>
    <mergeCell ref="B11:B12"/>
    <mergeCell ref="E11:F11"/>
    <mergeCell ref="C12:D12"/>
    <mergeCell ref="B3:H3"/>
    <mergeCell ref="G4:H4"/>
    <mergeCell ref="B4:C4"/>
    <mergeCell ref="B1:I1"/>
    <mergeCell ref="E12:F12"/>
    <mergeCell ref="B8:E8"/>
    <mergeCell ref="D5:E5"/>
    <mergeCell ref="B10:C10"/>
    <mergeCell ref="D6:E6"/>
    <mergeCell ref="B7:E7"/>
  </mergeCells>
  <phoneticPr fontId="0" type="noConversion"/>
  <printOptions horizontalCentered="1" verticalCentered="1"/>
  <pageMargins left="0.39370078740157483" right="0.39370078740157483" top="0.78740157480314965" bottom="0.39370078740157483" header="0.51181102362204722" footer="0.51181102362204722"/>
  <pageSetup paperSize="9" scale="75" orientation="portrait" horizontalDpi="4294967293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6" baseType="variant">
      <vt:variant>
        <vt:lpstr>Planilhas</vt:lpstr>
      </vt:variant>
      <vt:variant>
        <vt:i4>5</vt:i4>
      </vt:variant>
      <vt:variant>
        <vt:lpstr>Gráficos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11" baseType="lpstr">
      <vt:lpstr>Simulação</vt:lpstr>
      <vt:lpstr>comparação</vt:lpstr>
      <vt:lpstr>cargasATMT</vt:lpstr>
      <vt:lpstr>rateio ATMT</vt:lpstr>
      <vt:lpstr>controle</vt:lpstr>
      <vt:lpstr>kWh-unid</vt:lpstr>
      <vt:lpstr>R$-unid</vt:lpstr>
      <vt:lpstr>EconkWh</vt:lpstr>
      <vt:lpstr>EconR$</vt:lpstr>
      <vt:lpstr>comparação!Area_de_impressao</vt:lpstr>
      <vt:lpstr>controle!Area_de_impressao</vt:lpstr>
    </vt:vector>
  </TitlesOfParts>
  <Company>CEMIG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CMCE_060</dc:creator>
  <cp:lastModifiedBy>X</cp:lastModifiedBy>
  <cp:lastPrinted>2003-07-16T13:56:49Z</cp:lastPrinted>
  <dcterms:created xsi:type="dcterms:W3CDTF">1999-05-21T14:32:39Z</dcterms:created>
  <dcterms:modified xsi:type="dcterms:W3CDTF">2018-03-10T09:16:09Z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441434000</vt:i4>
  </property>
  <property fmtid="{D5CDD505-2E9C-101B-9397-08002B2CF9AE}" pid="3" name="_EmailSubject">
    <vt:lpwstr>planilhas</vt:lpwstr>
  </property>
  <property fmtid="{D5CDD505-2E9C-101B-9397-08002B2CF9AE}" pid="4" name="_AuthorEmail">
    <vt:lpwstr>maguima@cemig.com.br</vt:lpwstr>
  </property>
  <property fmtid="{D5CDD505-2E9C-101B-9397-08002B2CF9AE}" pid="5" name="_AuthorEmailDisplayName">
    <vt:lpwstr>Marco Aurelio Guimaraes Monteiro</vt:lpwstr>
  </property>
  <property fmtid="{D5CDD505-2E9C-101B-9397-08002B2CF9AE}" pid="6" name="_PreviousAdHocReviewCycleID">
    <vt:i4>441434000</vt:i4>
  </property>
  <property fmtid="{D5CDD505-2E9C-101B-9397-08002B2CF9AE}" pid="7" name="_ReviewingToolsShownOnce">
    <vt:lpwstr/>
  </property>
</Properties>
</file>