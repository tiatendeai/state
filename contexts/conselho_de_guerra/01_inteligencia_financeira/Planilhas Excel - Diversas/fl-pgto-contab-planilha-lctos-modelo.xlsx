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0" windowWidth="13395" windowHeight="11310" tabRatio="643"/>
  </bookViews>
  <sheets>
    <sheet name="Modelo" sheetId="22" r:id="rId1"/>
  </sheets>
  <calcPr calcId="144525"/>
</workbook>
</file>

<file path=xl/calcChain.xml><?xml version="1.0" encoding="utf-8"?>
<calcChain xmlns="http://schemas.openxmlformats.org/spreadsheetml/2006/main">
  <c r="C111" i="22" l="1"/>
  <c r="H105" i="22"/>
  <c r="C103" i="22"/>
  <c r="D104" i="22" s="1"/>
  <c r="C101" i="22"/>
  <c r="D102" i="22" s="1"/>
  <c r="C99" i="22"/>
  <c r="D100" i="22" s="1"/>
  <c r="C97" i="22"/>
  <c r="D98" i="22" s="1"/>
  <c r="D96" i="22"/>
  <c r="D91" i="22"/>
  <c r="D90" i="22"/>
  <c r="C86" i="22"/>
  <c r="C83" i="22"/>
  <c r="C82" i="22"/>
  <c r="C81" i="22"/>
  <c r="G80" i="22"/>
  <c r="C72" i="22"/>
  <c r="D73" i="22" s="1"/>
  <c r="C70" i="22"/>
  <c r="D71" i="22" s="1"/>
  <c r="C68" i="22"/>
  <c r="D69" i="22" s="1"/>
  <c r="C66" i="22"/>
  <c r="D67" i="22" s="1"/>
  <c r="D65" i="22"/>
  <c r="D61" i="22"/>
  <c r="D60" i="22"/>
  <c r="C53" i="22"/>
  <c r="C52" i="22"/>
  <c r="C51" i="22"/>
  <c r="C75" i="22" s="1"/>
  <c r="G50" i="22"/>
  <c r="C42" i="22"/>
  <c r="D43" i="22" s="1"/>
  <c r="D45" i="22" s="1"/>
  <c r="C38" i="22"/>
  <c r="D28" i="22"/>
  <c r="C27" i="22"/>
  <c r="D26" i="22"/>
  <c r="C25" i="22"/>
  <c r="D24" i="22"/>
  <c r="C23" i="22"/>
  <c r="D22" i="22"/>
  <c r="C21" i="22"/>
  <c r="D19" i="22"/>
  <c r="D15" i="22"/>
  <c r="D14" i="22"/>
  <c r="D30" i="22" s="1"/>
  <c r="C6" i="22"/>
  <c r="C5" i="22"/>
  <c r="H16" i="22" s="1"/>
  <c r="H19" i="22" s="1"/>
  <c r="C4" i="22"/>
  <c r="C30" i="22" l="1"/>
  <c r="C45" i="22"/>
  <c r="D46" i="22" s="1"/>
  <c r="H64" i="22"/>
  <c r="H65" i="22" s="1"/>
  <c r="D75" i="22"/>
  <c r="C106" i="22"/>
  <c r="D107" i="22" s="1"/>
  <c r="D106" i="22"/>
  <c r="D31" i="22"/>
  <c r="D111" i="22"/>
  <c r="D76" i="22"/>
  <c r="H40" i="22"/>
  <c r="H41" i="22" s="1"/>
  <c r="H95" i="22"/>
  <c r="H96" i="22" s="1"/>
</calcChain>
</file>

<file path=xl/sharedStrings.xml><?xml version="1.0" encoding="utf-8"?>
<sst xmlns="http://schemas.openxmlformats.org/spreadsheetml/2006/main" count="319" uniqueCount="80">
  <si>
    <t>Cód Red</t>
  </si>
  <si>
    <t>Débito</t>
  </si>
  <si>
    <t>Crédito</t>
  </si>
  <si>
    <t>HP</t>
  </si>
  <si>
    <t>Complemento</t>
  </si>
  <si>
    <t>534-7</t>
  </si>
  <si>
    <t>480-7</t>
  </si>
  <si>
    <t>Provisão Pró Labore Mês</t>
  </si>
  <si>
    <t>INSS s/ Pró Labore Mês</t>
  </si>
  <si>
    <t>IRRF s/ Pró Labore Mês</t>
  </si>
  <si>
    <t>483-1</t>
  </si>
  <si>
    <t>474-1</t>
  </si>
  <si>
    <t>536-9</t>
  </si>
  <si>
    <t>Lançamentos  Fl Pgto / Pró Labore:-</t>
  </si>
  <si>
    <t>Provisão Salário Mês</t>
  </si>
  <si>
    <t>535-8</t>
  </si>
  <si>
    <t xml:space="preserve">Desconto Adto Salarial </t>
  </si>
  <si>
    <t>260-3</t>
  </si>
  <si>
    <t>Provisão INSS Mês</t>
  </si>
  <si>
    <t>Provisão FGTS Mês</t>
  </si>
  <si>
    <t>481-8</t>
  </si>
  <si>
    <t>IRRF s/ Salário Mês</t>
  </si>
  <si>
    <t>537-1</t>
  </si>
  <si>
    <t>Desconto Fl Pgto Mes</t>
  </si>
  <si>
    <t>545-9</t>
  </si>
  <si>
    <t>475-2</t>
  </si>
  <si>
    <t>PRÓ  LABORE</t>
  </si>
  <si>
    <t>Provisão Férias Mês</t>
  </si>
  <si>
    <t>Provisão 13º Sal Mês</t>
  </si>
  <si>
    <t>539-3</t>
  </si>
  <si>
    <t>479-6</t>
  </si>
  <si>
    <t>538-2</t>
  </si>
  <si>
    <t>476-3</t>
  </si>
  <si>
    <t>INSS a Pagar</t>
  </si>
  <si>
    <t>Pro Labore (Desp)</t>
  </si>
  <si>
    <t>IRRF a Pagar</t>
  </si>
  <si>
    <t>Pro Labore a Pagar</t>
  </si>
  <si>
    <t>INSS (Desp)</t>
  </si>
  <si>
    <t>SALÁRIOS -  __MATRIZ____</t>
  </si>
  <si>
    <t>Sal e Orden (Desp)</t>
  </si>
  <si>
    <t>Adiant de Salario</t>
  </si>
  <si>
    <t>Vale Ref (Desp)</t>
  </si>
  <si>
    <t>FGTS (Desp)</t>
  </si>
  <si>
    <t>Prov Férias e Enc (Desp)</t>
  </si>
  <si>
    <t>Prov 13º e Enc (Desp)</t>
  </si>
  <si>
    <t>FGTS a Pagar</t>
  </si>
  <si>
    <t>Prov Férias e Enc a Pagar</t>
  </si>
  <si>
    <t>Prov 13º e Enc a Pagar</t>
  </si>
  <si>
    <t>Sal e Orden a Pagar (Liq)</t>
  </si>
  <si>
    <t>Salario Familia Mes</t>
  </si>
  <si>
    <t>SALÁRIOS -  __SINOP____</t>
  </si>
  <si>
    <t>SALÁRIOS -  __NOVO  PROGRESSO____</t>
  </si>
  <si>
    <t>Assistencia Medica / Odon</t>
  </si>
  <si>
    <t>540-4</t>
  </si>
  <si>
    <t>Assist Med / Odont (Desp)</t>
  </si>
  <si>
    <t>INSS a Pagar (Sal Fam)</t>
  </si>
  <si>
    <t>Desconto Fl Pgto Mês</t>
  </si>
  <si>
    <t>478-5</t>
  </si>
  <si>
    <t>Rescisões a Pagar</t>
  </si>
  <si>
    <t>Indenizações Trab (Desp)</t>
  </si>
  <si>
    <t>7420-9</t>
  </si>
  <si>
    <t>Pgto Rescisão</t>
  </si>
  <si>
    <t>Contrib Sind a Pagar</t>
  </si>
  <si>
    <t>482-9</t>
  </si>
  <si>
    <t>Sal Maternidade a Pagar</t>
  </si>
  <si>
    <t>Prov 13º Sal e Enc a Pagar</t>
  </si>
  <si>
    <t>7825-5</t>
  </si>
  <si>
    <t>Emprestimo Funcionarios</t>
  </si>
  <si>
    <t xml:space="preserve">Desconto Emprestimo </t>
  </si>
  <si>
    <t>Pgto Salário Matern Mês</t>
  </si>
  <si>
    <t>12/2017</t>
  </si>
  <si>
    <t>12/2017 - Férias Mês</t>
  </si>
  <si>
    <t>12/2017 - 13º Sal</t>
  </si>
  <si>
    <t>12/2017 - Contrib Sindical</t>
  </si>
  <si>
    <t>12/2017 - Vale Ref</t>
  </si>
  <si>
    <t>12/2017 - Empresa</t>
  </si>
  <si>
    <t>12/2017 e 13/2017</t>
  </si>
  <si>
    <t>Lote:  17127</t>
  </si>
  <si>
    <t>Prov Férias e Enc a Pagar (Desp)</t>
  </si>
  <si>
    <t>Prov 13º Sal e Enc a Pagar (Desp)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</si>
</sst>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6]mmmm\-yy;@"/>
    <numFmt numFmtId="165" formatCode="#,##0.00_ ;[Red]\-#,##0.00\ 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Microsoft Tai Le"/>
      <family val="2"/>
    </font>
    <font>
      <b/>
      <sz val="10"/>
      <color theme="1"/>
      <name val="Microsoft Tai Le"/>
      <family val="2"/>
    </font>
    <font>
      <b/>
      <sz val="10"/>
      <color rgb="FF0000FF"/>
      <name val="Microsoft Tai Le"/>
      <family val="2"/>
    </font>
    <font>
      <sz val="10"/>
      <color theme="1"/>
      <name val="Microsoft Tai Le"/>
      <family val="2"/>
    </font>
    <font>
      <sz val="9"/>
      <color theme="1"/>
      <name val="Microsoft Tai Le"/>
      <family val="2"/>
    </font>
    <font>
      <sz val="8"/>
      <color rgb="FFFF0000"/>
      <name val="Microsoft Tai Le"/>
      <family val="2"/>
    </font>
    <font>
      <sz val="10"/>
      <color rgb="FFFF0000"/>
      <name val="Microsoft Tai Le"/>
      <family val="2"/>
    </font>
    <font>
      <sz val="9"/>
      <color rgb="FFFF0000"/>
      <name val="Microsoft Tai Le"/>
      <family val="2"/>
    </font>
    <font>
      <sz val="9"/>
      <name val="Microsoft Tai Le"/>
      <family val="2"/>
    </font>
    <font>
      <b/>
      <sz val="9"/>
      <color theme="1"/>
      <name val="Microsoft Tai Le"/>
      <family val="2"/>
    </font>
    <font>
      <sz val="10"/>
      <name val="Microsoft Tai Le"/>
      <family val="2"/>
    </font>
    <font>
      <b/>
      <sz val="9"/>
      <color rgb="FF0070C0"/>
      <name val="Microsoft Tai Le"/>
      <family val="2"/>
    </font>
    <font>
      <b/>
      <sz val="10"/>
      <color rgb="FF0070C0"/>
      <name val="Microsoft Tai Le"/>
      <family val="2"/>
    </font>
    <font>
      <b/>
      <sz val="8"/>
      <color theme="1"/>
      <name val="Microsoft Tai Le"/>
      <family val="2"/>
    </font>
    <font>
      <sz val="9"/>
      <color rgb="FF0070C0"/>
      <name val="Microsoft Tai Le"/>
      <family val="2"/>
    </font>
    <font>
      <b/>
      <sz val="9"/>
      <name val="Microsoft Tai Le"/>
      <family val="2"/>
    </font>
    <font>
      <b/>
      <sz val="9"/>
      <color rgb="FF0000FF"/>
      <name val="Microsoft Tai L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1">
    <xf numFmtId="0" fontId="0" fillId="0" borderId="0" xfId="0"/>
    <xf numFmtId="0" fontId="19" fillId="0" borderId="0" xfId="0" applyFont="1" applyAlignment="1">
      <alignment horizontal="center"/>
    </xf>
    <xf numFmtId="0" fontId="21" fillId="0" borderId="0" xfId="0" applyFont="1"/>
    <xf numFmtId="40" fontId="19" fillId="0" borderId="0" xfId="0" applyNumberFormat="1" applyFont="1"/>
    <xf numFmtId="165" fontId="19" fillId="0" borderId="0" xfId="0" applyNumberFormat="1" applyFont="1"/>
    <xf numFmtId="165" fontId="20" fillId="0" borderId="0" xfId="0" applyNumberFormat="1" applyFont="1"/>
    <xf numFmtId="0" fontId="18" fillId="0" borderId="0" xfId="0" applyFont="1" applyAlignment="1">
      <alignment horizontal="center"/>
    </xf>
    <xf numFmtId="0" fontId="19" fillId="0" borderId="0" xfId="0" applyFont="1"/>
    <xf numFmtId="0" fontId="22" fillId="0" borderId="0" xfId="0" applyFont="1"/>
    <xf numFmtId="164" fontId="23" fillId="0" borderId="0" xfId="0" applyNumberFormat="1" applyFont="1" applyAlignment="1">
      <alignment horizontal="center"/>
    </xf>
    <xf numFmtId="164" fontId="24" fillId="0" borderId="0" xfId="0" applyNumberFormat="1" applyFont="1" applyAlignment="1"/>
    <xf numFmtId="0" fontId="25" fillId="0" borderId="0" xfId="0" applyFont="1" applyAlignment="1">
      <alignment horizontal="center"/>
    </xf>
    <xf numFmtId="40" fontId="26" fillId="0" borderId="0" xfId="0" applyNumberFormat="1" applyFont="1"/>
    <xf numFmtId="0" fontId="26" fillId="0" borderId="0" xfId="0" applyFont="1" applyAlignment="1">
      <alignment horizontal="center"/>
    </xf>
    <xf numFmtId="49" fontId="26" fillId="0" borderId="0" xfId="0" applyNumberFormat="1" applyFont="1"/>
    <xf numFmtId="17" fontId="26" fillId="0" borderId="0" xfId="0" applyNumberFormat="1" applyFont="1"/>
    <xf numFmtId="0" fontId="25" fillId="0" borderId="11" xfId="0" applyFont="1" applyBorder="1" applyAlignment="1">
      <alignment horizontal="center"/>
    </xf>
    <xf numFmtId="0" fontId="26" fillId="0" borderId="13" xfId="0" applyFont="1" applyBorder="1"/>
    <xf numFmtId="0" fontId="25" fillId="0" borderId="10" xfId="0" applyFont="1" applyBorder="1" applyAlignment="1">
      <alignment horizontal="center"/>
    </xf>
    <xf numFmtId="40" fontId="26" fillId="0" borderId="10" xfId="0" applyNumberFormat="1" applyFont="1" applyBorder="1"/>
    <xf numFmtId="0" fontId="26" fillId="0" borderId="10" xfId="0" applyFont="1" applyBorder="1" applyAlignment="1">
      <alignment horizontal="center"/>
    </xf>
    <xf numFmtId="0" fontId="26" fillId="0" borderId="10" xfId="0" applyFont="1" applyBorder="1"/>
    <xf numFmtId="49" fontId="26" fillId="0" borderId="10" xfId="0" applyNumberFormat="1" applyFont="1" applyBorder="1"/>
    <xf numFmtId="0" fontId="26" fillId="0" borderId="11" xfId="0" applyFont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center"/>
    </xf>
    <xf numFmtId="40" fontId="29" fillId="0" borderId="10" xfId="0" applyNumberFormat="1" applyFont="1" applyBorder="1"/>
    <xf numFmtId="49" fontId="30" fillId="0" borderId="10" xfId="0" applyNumberFormat="1" applyFont="1" applyBorder="1"/>
    <xf numFmtId="165" fontId="22" fillId="0" borderId="0" xfId="0" applyNumberFormat="1" applyFont="1"/>
    <xf numFmtId="0" fontId="31" fillId="0" borderId="0" xfId="0" applyFont="1"/>
    <xf numFmtId="0" fontId="23" fillId="0" borderId="10" xfId="0" applyFont="1" applyBorder="1" applyAlignment="1">
      <alignment horizontal="center"/>
    </xf>
    <xf numFmtId="40" fontId="31" fillId="0" borderId="10" xfId="0" applyNumberFormat="1" applyFont="1" applyBorder="1"/>
    <xf numFmtId="0" fontId="31" fillId="0" borderId="10" xfId="0" applyFont="1" applyBorder="1"/>
    <xf numFmtId="49" fontId="31" fillId="0" borderId="10" xfId="0" applyNumberFormat="1" applyFont="1" applyBorder="1"/>
    <xf numFmtId="165" fontId="26" fillId="0" borderId="0" xfId="0" applyNumberFormat="1" applyFont="1"/>
    <xf numFmtId="0" fontId="26" fillId="0" borderId="0" xfId="0" applyFont="1"/>
    <xf numFmtId="0" fontId="32" fillId="0" borderId="10" xfId="0" applyFont="1" applyBorder="1" applyAlignment="1">
      <alignment horizontal="center"/>
    </xf>
    <xf numFmtId="40" fontId="30" fillId="0" borderId="10" xfId="0" applyNumberFormat="1" applyFont="1" applyBorder="1"/>
    <xf numFmtId="0" fontId="30" fillId="0" borderId="10" xfId="0" applyFont="1" applyBorder="1" applyAlignment="1">
      <alignment horizontal="center"/>
    </xf>
    <xf numFmtId="0" fontId="30" fillId="0" borderId="10" xfId="0" applyFont="1" applyBorder="1"/>
    <xf numFmtId="0" fontId="33" fillId="0" borderId="0" xfId="0" applyFont="1"/>
    <xf numFmtId="0" fontId="34" fillId="0" borderId="10" xfId="0" applyFont="1" applyBorder="1" applyAlignment="1">
      <alignment horizontal="center"/>
    </xf>
    <xf numFmtId="10" fontId="33" fillId="0" borderId="10" xfId="0" applyNumberFormat="1" applyFont="1" applyBorder="1"/>
    <xf numFmtId="40" fontId="33" fillId="0" borderId="10" xfId="0" applyNumberFormat="1" applyFont="1" applyBorder="1"/>
    <xf numFmtId="0" fontId="33" fillId="0" borderId="10" xfId="0" applyFont="1" applyBorder="1" applyAlignment="1">
      <alignment horizontal="center"/>
    </xf>
    <xf numFmtId="49" fontId="33" fillId="0" borderId="10" xfId="0" applyNumberFormat="1" applyFont="1" applyBorder="1"/>
    <xf numFmtId="40" fontId="31" fillId="0" borderId="0" xfId="0" applyNumberFormat="1" applyFont="1" applyBorder="1"/>
    <xf numFmtId="0" fontId="35" fillId="0" borderId="0" xfId="0" applyFont="1" applyAlignment="1">
      <alignment horizontal="center"/>
    </xf>
    <xf numFmtId="40" fontId="31" fillId="0" borderId="10" xfId="0" applyNumberFormat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49" fontId="26" fillId="0" borderId="0" xfId="0" applyNumberFormat="1" applyFont="1" applyBorder="1"/>
    <xf numFmtId="0" fontId="26" fillId="0" borderId="0" xfId="0" applyFont="1" applyBorder="1"/>
    <xf numFmtId="0" fontId="22" fillId="33" borderId="0" xfId="0" applyFont="1" applyFill="1"/>
    <xf numFmtId="0" fontId="32" fillId="33" borderId="10" xfId="0" applyFont="1" applyFill="1" applyBorder="1" applyAlignment="1">
      <alignment horizontal="center"/>
    </xf>
    <xf numFmtId="40" fontId="30" fillId="33" borderId="10" xfId="0" applyNumberFormat="1" applyFont="1" applyFill="1" applyBorder="1"/>
    <xf numFmtId="0" fontId="30" fillId="33" borderId="11" xfId="0" applyFont="1" applyFill="1" applyBorder="1" applyAlignment="1">
      <alignment horizontal="center"/>
    </xf>
    <xf numFmtId="0" fontId="30" fillId="33" borderId="10" xfId="0" applyFont="1" applyFill="1" applyBorder="1"/>
    <xf numFmtId="165" fontId="36" fillId="0" borderId="0" xfId="0" applyNumberFormat="1" applyFont="1"/>
    <xf numFmtId="40" fontId="37" fillId="0" borderId="10" xfId="0" applyNumberFormat="1" applyFont="1" applyBorder="1"/>
    <xf numFmtId="40" fontId="16" fillId="0" borderId="0" xfId="0" applyNumberFormat="1" applyFont="1"/>
    <xf numFmtId="164" fontId="38" fillId="0" borderId="13" xfId="0" applyNumberFormat="1" applyFont="1" applyBorder="1"/>
    <xf numFmtId="0" fontId="31" fillId="0" borderId="10" xfId="0" applyFont="1" applyBorder="1" applyAlignment="1">
      <alignment horizontal="center"/>
    </xf>
    <xf numFmtId="40" fontId="23" fillId="0" borderId="12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31" fillId="0" borderId="10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31" fillId="0" borderId="11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00FF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tabSelected="1" zoomScaleNormal="100" workbookViewId="0">
      <selection activeCell="N41" sqref="N41"/>
    </sheetView>
  </sheetViews>
  <sheetFormatPr defaultRowHeight="12.75" x14ac:dyDescent="0.2"/>
  <cols>
    <col min="1" max="1" width="24.7109375" style="2" customWidth="1"/>
    <col min="2" max="2" width="9.42578125" style="6" customWidth="1"/>
    <col min="3" max="4" width="10.28515625" style="3" customWidth="1"/>
    <col min="5" max="5" width="4" style="1" customWidth="1"/>
    <col min="6" max="6" width="22.5703125" style="7" customWidth="1"/>
    <col min="7" max="7" width="22" style="7" customWidth="1"/>
    <col min="8" max="8" width="9.140625" style="2"/>
    <col min="9" max="16384" width="9.140625" style="7"/>
  </cols>
  <sheetData>
    <row r="1" spans="1:8" ht="13.5" x14ac:dyDescent="0.25">
      <c r="A1" s="8"/>
      <c r="B1" s="67" t="s">
        <v>13</v>
      </c>
      <c r="C1" s="67"/>
      <c r="D1" s="67"/>
      <c r="E1" s="67"/>
      <c r="F1" s="9">
        <v>43070</v>
      </c>
      <c r="G1" s="10" t="s">
        <v>77</v>
      </c>
      <c r="H1" s="8"/>
    </row>
    <row r="2" spans="1:8" ht="13.5" x14ac:dyDescent="0.25">
      <c r="A2" s="8"/>
      <c r="B2" s="11"/>
      <c r="C2" s="12"/>
      <c r="D2" s="12"/>
      <c r="E2" s="13"/>
      <c r="F2" s="14"/>
      <c r="G2" s="15"/>
      <c r="H2" s="8"/>
    </row>
    <row r="3" spans="1:8" ht="13.5" x14ac:dyDescent="0.25">
      <c r="A3" s="8"/>
      <c r="B3" s="16"/>
      <c r="C3" s="66" t="s">
        <v>38</v>
      </c>
      <c r="D3" s="66"/>
      <c r="E3" s="66"/>
      <c r="F3" s="66"/>
      <c r="G3" s="17"/>
      <c r="H3" s="8"/>
    </row>
    <row r="4" spans="1:8" ht="13.5" x14ac:dyDescent="0.25">
      <c r="A4" s="8" t="s">
        <v>39</v>
      </c>
      <c r="B4" s="18" t="s">
        <v>15</v>
      </c>
      <c r="C4" s="37">
        <f>9928.4+2.39-1.59+0.6</f>
        <v>9929.7999999999993</v>
      </c>
      <c r="D4" s="37"/>
      <c r="E4" s="20">
        <v>8</v>
      </c>
      <c r="F4" s="21" t="s">
        <v>14</v>
      </c>
      <c r="G4" s="22" t="s">
        <v>70</v>
      </c>
      <c r="H4" s="8"/>
    </row>
    <row r="5" spans="1:8" ht="13.5" x14ac:dyDescent="0.25">
      <c r="A5" s="8" t="s">
        <v>78</v>
      </c>
      <c r="B5" s="18" t="s">
        <v>30</v>
      </c>
      <c r="C5" s="37">
        <f>3414.6+1138.09</f>
        <v>4552.6899999999996</v>
      </c>
      <c r="D5" s="37"/>
      <c r="E5" s="20">
        <v>19</v>
      </c>
      <c r="F5" s="21" t="s">
        <v>27</v>
      </c>
      <c r="G5" s="22" t="s">
        <v>71</v>
      </c>
      <c r="H5" s="8"/>
    </row>
    <row r="6" spans="1:8" ht="13.5" x14ac:dyDescent="0.25">
      <c r="A6" s="8" t="s">
        <v>79</v>
      </c>
      <c r="B6" s="18" t="s">
        <v>32</v>
      </c>
      <c r="C6" s="37">
        <f>13204.83+0.99-1.07</f>
        <v>13204.75</v>
      </c>
      <c r="D6" s="37"/>
      <c r="E6" s="23">
        <v>20</v>
      </c>
      <c r="F6" s="21" t="s">
        <v>28</v>
      </c>
      <c r="G6" s="22" t="s">
        <v>72</v>
      </c>
      <c r="H6" s="47"/>
    </row>
    <row r="7" spans="1:8" ht="13.5" x14ac:dyDescent="0.25">
      <c r="A7" s="8" t="s">
        <v>59</v>
      </c>
      <c r="B7" s="18" t="s">
        <v>60</v>
      </c>
      <c r="C7" s="37"/>
      <c r="D7" s="37"/>
      <c r="E7" s="13">
        <v>23</v>
      </c>
      <c r="F7" s="35" t="s">
        <v>61</v>
      </c>
      <c r="G7" s="22" t="s">
        <v>70</v>
      </c>
      <c r="H7" s="8"/>
    </row>
    <row r="8" spans="1:8" ht="13.5" x14ac:dyDescent="0.25">
      <c r="A8" s="8" t="s">
        <v>55</v>
      </c>
      <c r="B8" s="18" t="s">
        <v>6</v>
      </c>
      <c r="C8" s="37"/>
      <c r="D8" s="37"/>
      <c r="E8" s="23">
        <v>47</v>
      </c>
      <c r="F8" s="21" t="s">
        <v>49</v>
      </c>
      <c r="G8" s="22" t="s">
        <v>70</v>
      </c>
      <c r="H8" s="8"/>
    </row>
    <row r="9" spans="1:8" ht="13.5" x14ac:dyDescent="0.25">
      <c r="A9" s="8" t="s">
        <v>54</v>
      </c>
      <c r="B9" s="18" t="s">
        <v>53</v>
      </c>
      <c r="C9" s="37"/>
      <c r="D9" s="37"/>
      <c r="E9" s="20">
        <v>48</v>
      </c>
      <c r="F9" s="21" t="s">
        <v>52</v>
      </c>
      <c r="G9" s="22" t="s">
        <v>70</v>
      </c>
      <c r="H9" s="8"/>
    </row>
    <row r="10" spans="1:8" ht="13.5" x14ac:dyDescent="0.25">
      <c r="A10" s="8" t="s">
        <v>62</v>
      </c>
      <c r="B10" s="18" t="s">
        <v>63</v>
      </c>
      <c r="C10" s="37"/>
      <c r="D10" s="37"/>
      <c r="E10" s="23">
        <v>46</v>
      </c>
      <c r="F10" s="21" t="s">
        <v>23</v>
      </c>
      <c r="G10" s="22" t="s">
        <v>73</v>
      </c>
      <c r="H10" s="8"/>
    </row>
    <row r="11" spans="1:8" ht="13.5" x14ac:dyDescent="0.25">
      <c r="A11" s="8" t="s">
        <v>40</v>
      </c>
      <c r="B11" s="18" t="s">
        <v>17</v>
      </c>
      <c r="C11" s="37"/>
      <c r="D11" s="37">
        <v>2411</v>
      </c>
      <c r="E11" s="13">
        <v>45</v>
      </c>
      <c r="F11" s="21" t="s">
        <v>16</v>
      </c>
      <c r="G11" s="22" t="s">
        <v>70</v>
      </c>
      <c r="H11" s="47"/>
    </row>
    <row r="12" spans="1:8" ht="13.5" x14ac:dyDescent="0.25">
      <c r="A12" s="8" t="s">
        <v>67</v>
      </c>
      <c r="B12" s="18" t="s">
        <v>66</v>
      </c>
      <c r="C12" s="37"/>
      <c r="D12" s="37"/>
      <c r="E12" s="13">
        <v>45</v>
      </c>
      <c r="F12" s="21" t="s">
        <v>68</v>
      </c>
      <c r="G12" s="22" t="s">
        <v>70</v>
      </c>
      <c r="H12" s="8"/>
    </row>
    <row r="13" spans="1:8" ht="13.5" x14ac:dyDescent="0.25">
      <c r="A13" s="8" t="s">
        <v>41</v>
      </c>
      <c r="B13" s="18" t="s">
        <v>24</v>
      </c>
      <c r="C13" s="37"/>
      <c r="D13" s="37">
        <v>22</v>
      </c>
      <c r="E13" s="23">
        <v>46</v>
      </c>
      <c r="F13" s="21" t="s">
        <v>23</v>
      </c>
      <c r="G13" s="21" t="s">
        <v>74</v>
      </c>
      <c r="H13" s="8"/>
    </row>
    <row r="14" spans="1:8" ht="13.5" x14ac:dyDescent="0.25">
      <c r="A14" s="8" t="s">
        <v>35</v>
      </c>
      <c r="B14" s="18" t="s">
        <v>10</v>
      </c>
      <c r="C14" s="37"/>
      <c r="D14" s="37">
        <f>627.55+1038.23+1087.87</f>
        <v>2753.6499999999996</v>
      </c>
      <c r="E14" s="23">
        <v>30</v>
      </c>
      <c r="F14" s="21" t="s">
        <v>21</v>
      </c>
      <c r="G14" s="22" t="s">
        <v>70</v>
      </c>
      <c r="H14" s="8"/>
    </row>
    <row r="15" spans="1:8" ht="13.5" x14ac:dyDescent="0.25">
      <c r="A15" s="24" t="s">
        <v>33</v>
      </c>
      <c r="B15" s="25" t="s">
        <v>6</v>
      </c>
      <c r="C15" s="37"/>
      <c r="D15" s="26">
        <f>1012.53+376.78+1338.46</f>
        <v>2727.77</v>
      </c>
      <c r="E15" s="23">
        <v>9</v>
      </c>
      <c r="F15" s="21" t="s">
        <v>18</v>
      </c>
      <c r="G15" s="22" t="s">
        <v>70</v>
      </c>
      <c r="H15" s="8"/>
    </row>
    <row r="16" spans="1:8" ht="13.5" x14ac:dyDescent="0.25">
      <c r="A16" s="8" t="s">
        <v>46</v>
      </c>
      <c r="B16" s="18" t="s">
        <v>30</v>
      </c>
      <c r="C16" s="37"/>
      <c r="D16" s="37">
        <v>3691.4</v>
      </c>
      <c r="E16" s="23">
        <v>46</v>
      </c>
      <c r="F16" s="21" t="s">
        <v>23</v>
      </c>
      <c r="G16" s="27" t="s">
        <v>71</v>
      </c>
      <c r="H16" s="28">
        <f>C4+C5+C6+C7+C8-D10-D11-D12-D13-D14-D15-D16-D17-D18</f>
        <v>9478.9999999999964</v>
      </c>
    </row>
    <row r="17" spans="1:9" ht="13.5" x14ac:dyDescent="0.25">
      <c r="A17" s="8" t="s">
        <v>65</v>
      </c>
      <c r="B17" s="18" t="s">
        <v>32</v>
      </c>
      <c r="C17" s="37"/>
      <c r="D17" s="37">
        <v>6602.42</v>
      </c>
      <c r="E17" s="23">
        <v>20</v>
      </c>
      <c r="F17" s="21" t="s">
        <v>28</v>
      </c>
      <c r="G17" s="22" t="s">
        <v>72</v>
      </c>
      <c r="H17" s="47"/>
    </row>
    <row r="18" spans="1:9" ht="13.5" x14ac:dyDescent="0.25">
      <c r="A18" s="8" t="s">
        <v>58</v>
      </c>
      <c r="B18" s="18" t="s">
        <v>57</v>
      </c>
      <c r="C18" s="37"/>
      <c r="D18" s="37"/>
      <c r="E18" s="23">
        <v>46</v>
      </c>
      <c r="F18" s="21" t="s">
        <v>56</v>
      </c>
      <c r="G18" s="22" t="s">
        <v>70</v>
      </c>
      <c r="H18" s="28"/>
    </row>
    <row r="19" spans="1:9" ht="13.5" x14ac:dyDescent="0.25">
      <c r="A19" s="29" t="s">
        <v>48</v>
      </c>
      <c r="B19" s="30" t="s">
        <v>25</v>
      </c>
      <c r="C19" s="31"/>
      <c r="D19" s="31">
        <f>5303+4176</f>
        <v>9479</v>
      </c>
      <c r="E19" s="65">
        <v>8</v>
      </c>
      <c r="F19" s="32" t="s">
        <v>14</v>
      </c>
      <c r="G19" s="33" t="s">
        <v>70</v>
      </c>
      <c r="H19" s="28">
        <f>H16-D19</f>
        <v>0</v>
      </c>
    </row>
    <row r="20" spans="1:9" ht="13.5" x14ac:dyDescent="0.25">
      <c r="A20" s="29"/>
      <c r="B20" s="30"/>
      <c r="C20" s="31"/>
      <c r="D20" s="31"/>
      <c r="E20" s="70"/>
      <c r="F20" s="32"/>
      <c r="G20" s="33"/>
      <c r="H20" s="28"/>
    </row>
    <row r="21" spans="1:9" ht="13.5" x14ac:dyDescent="0.25">
      <c r="A21" s="8" t="s">
        <v>37</v>
      </c>
      <c r="B21" s="18" t="s">
        <v>12</v>
      </c>
      <c r="C21" s="19">
        <f>2896.22+839.9+217.22+2640.97+765.88+198.07-0.03</f>
        <v>7558.23</v>
      </c>
      <c r="D21" s="19"/>
      <c r="E21" s="23">
        <v>9</v>
      </c>
      <c r="F21" s="21" t="s">
        <v>18</v>
      </c>
      <c r="G21" s="22" t="s">
        <v>75</v>
      </c>
      <c r="H21" s="8"/>
    </row>
    <row r="22" spans="1:9" ht="13.5" x14ac:dyDescent="0.25">
      <c r="A22" s="24" t="s">
        <v>33</v>
      </c>
      <c r="B22" s="25" t="s">
        <v>6</v>
      </c>
      <c r="C22" s="26"/>
      <c r="D22" s="26">
        <f>C21</f>
        <v>7558.23</v>
      </c>
      <c r="E22" s="23">
        <v>9</v>
      </c>
      <c r="F22" s="21" t="s">
        <v>18</v>
      </c>
      <c r="G22" s="22" t="s">
        <v>75</v>
      </c>
      <c r="H22" s="28"/>
      <c r="I22" s="3"/>
    </row>
    <row r="23" spans="1:9" ht="13.5" x14ac:dyDescent="0.25">
      <c r="A23" s="8" t="s">
        <v>42</v>
      </c>
      <c r="B23" s="18" t="s">
        <v>22</v>
      </c>
      <c r="C23" s="37">
        <f>1158.48+528.2</f>
        <v>1686.68</v>
      </c>
      <c r="D23" s="19"/>
      <c r="E23" s="23">
        <v>10</v>
      </c>
      <c r="F23" s="21" t="s">
        <v>19</v>
      </c>
      <c r="G23" s="22" t="s">
        <v>76</v>
      </c>
      <c r="H23" s="47"/>
    </row>
    <row r="24" spans="1:9" ht="13.5" x14ac:dyDescent="0.25">
      <c r="A24" s="8" t="s">
        <v>45</v>
      </c>
      <c r="B24" s="18" t="s">
        <v>20</v>
      </c>
      <c r="C24" s="19"/>
      <c r="D24" s="19">
        <f>C23</f>
        <v>1686.68</v>
      </c>
      <c r="E24" s="23">
        <v>10</v>
      </c>
      <c r="F24" s="21" t="s">
        <v>19</v>
      </c>
      <c r="G24" s="22" t="s">
        <v>70</v>
      </c>
      <c r="H24" s="35"/>
    </row>
    <row r="25" spans="1:9" ht="13.5" x14ac:dyDescent="0.25">
      <c r="A25" s="8" t="s">
        <v>43</v>
      </c>
      <c r="B25" s="36" t="s">
        <v>29</v>
      </c>
      <c r="C25" s="37">
        <f>1256.51+418.79+457.35+134.01</f>
        <v>2266.66</v>
      </c>
      <c r="D25" s="37"/>
      <c r="E25" s="38">
        <v>19</v>
      </c>
      <c r="F25" s="39" t="s">
        <v>27</v>
      </c>
      <c r="G25" s="22" t="s">
        <v>70</v>
      </c>
      <c r="H25" s="35"/>
    </row>
    <row r="26" spans="1:9" ht="13.5" x14ac:dyDescent="0.25">
      <c r="A26" s="8" t="s">
        <v>46</v>
      </c>
      <c r="B26" s="36" t="s">
        <v>30</v>
      </c>
      <c r="C26" s="37"/>
      <c r="D26" s="37">
        <f>C25</f>
        <v>2266.66</v>
      </c>
      <c r="E26" s="38">
        <v>19</v>
      </c>
      <c r="F26" s="39" t="s">
        <v>27</v>
      </c>
      <c r="G26" s="22" t="s">
        <v>70</v>
      </c>
      <c r="H26" s="34"/>
    </row>
    <row r="27" spans="1:9" ht="13.5" x14ac:dyDescent="0.25">
      <c r="A27" s="8" t="s">
        <v>44</v>
      </c>
      <c r="B27" s="18" t="s">
        <v>31</v>
      </c>
      <c r="C27" s="19">
        <f>1111.91+303.54+88.96</f>
        <v>1504.41</v>
      </c>
      <c r="D27" s="19"/>
      <c r="E27" s="20">
        <v>20</v>
      </c>
      <c r="F27" s="21" t="s">
        <v>28</v>
      </c>
      <c r="G27" s="22" t="s">
        <v>70</v>
      </c>
      <c r="H27" s="35"/>
    </row>
    <row r="28" spans="1:9" ht="13.5" x14ac:dyDescent="0.25">
      <c r="A28" s="8" t="s">
        <v>47</v>
      </c>
      <c r="B28" s="18" t="s">
        <v>32</v>
      </c>
      <c r="C28" s="19"/>
      <c r="D28" s="19">
        <f>C27</f>
        <v>1504.41</v>
      </c>
      <c r="E28" s="20">
        <v>20</v>
      </c>
      <c r="F28" s="21" t="s">
        <v>28</v>
      </c>
      <c r="G28" s="22" t="s">
        <v>70</v>
      </c>
      <c r="H28" s="35"/>
    </row>
    <row r="29" spans="1:9" ht="13.5" x14ac:dyDescent="0.25">
      <c r="A29" s="40"/>
      <c r="B29" s="41"/>
      <c r="C29" s="42"/>
      <c r="D29" s="43"/>
      <c r="E29" s="44"/>
      <c r="F29" s="45"/>
      <c r="G29" s="45"/>
      <c r="H29" s="35"/>
    </row>
    <row r="30" spans="1:9" ht="13.5" x14ac:dyDescent="0.25">
      <c r="A30" s="8"/>
      <c r="B30" s="18"/>
      <c r="C30" s="31">
        <f>SUM(C4:C28)</f>
        <v>40703.22</v>
      </c>
      <c r="D30" s="31">
        <f>SUM(D4:D28)</f>
        <v>40703.22</v>
      </c>
      <c r="E30" s="20"/>
      <c r="F30" s="22"/>
      <c r="G30" s="21"/>
      <c r="H30" s="35"/>
    </row>
    <row r="31" spans="1:9" ht="13.5" x14ac:dyDescent="0.25">
      <c r="A31" s="8"/>
      <c r="B31" s="11"/>
      <c r="C31" s="46"/>
      <c r="D31" s="46">
        <f>C30-D30</f>
        <v>0</v>
      </c>
      <c r="E31" s="13"/>
      <c r="F31" s="14"/>
      <c r="G31" s="35"/>
      <c r="H31" s="35"/>
    </row>
    <row r="32" spans="1:9" ht="13.5" x14ac:dyDescent="0.25">
      <c r="A32" s="8"/>
      <c r="B32" s="11"/>
      <c r="C32" s="46"/>
      <c r="D32" s="46"/>
      <c r="E32" s="13"/>
      <c r="F32" s="14"/>
      <c r="G32" s="35"/>
      <c r="H32" s="35"/>
    </row>
    <row r="33" spans="1:8" ht="13.5" x14ac:dyDescent="0.25">
      <c r="A33" s="8"/>
      <c r="B33" s="11"/>
      <c r="C33" s="46"/>
      <c r="D33" s="46"/>
      <c r="E33" s="13"/>
      <c r="F33" s="14"/>
      <c r="G33" s="35"/>
      <c r="H33" s="35"/>
    </row>
    <row r="34" spans="1:8" ht="13.5" x14ac:dyDescent="0.25">
      <c r="A34" s="8"/>
      <c r="B34" s="11"/>
      <c r="C34" s="12"/>
      <c r="D34" s="12"/>
      <c r="E34" s="13"/>
      <c r="F34" s="14"/>
      <c r="G34" s="35"/>
      <c r="H34" s="35"/>
    </row>
    <row r="35" spans="1:8" ht="13.5" x14ac:dyDescent="0.25">
      <c r="A35" s="8"/>
      <c r="B35" s="11"/>
      <c r="C35" s="12"/>
      <c r="D35" s="12"/>
      <c r="E35" s="13"/>
      <c r="F35" s="14"/>
      <c r="G35" s="35"/>
      <c r="H35" s="35"/>
    </row>
    <row r="36" spans="1:8" ht="13.5" x14ac:dyDescent="0.25">
      <c r="A36" s="47"/>
      <c r="B36" s="30" t="s">
        <v>0</v>
      </c>
      <c r="C36" s="48" t="s">
        <v>1</v>
      </c>
      <c r="D36" s="48" t="s">
        <v>2</v>
      </c>
      <c r="E36" s="68" t="s">
        <v>3</v>
      </c>
      <c r="F36" s="68"/>
      <c r="G36" s="65" t="s">
        <v>4</v>
      </c>
      <c r="H36" s="47"/>
    </row>
    <row r="37" spans="1:8" ht="13.5" x14ac:dyDescent="0.25">
      <c r="A37" s="8"/>
      <c r="B37" s="49"/>
      <c r="C37" s="69" t="s">
        <v>26</v>
      </c>
      <c r="D37" s="69"/>
      <c r="E37" s="69"/>
      <c r="F37" s="69"/>
      <c r="G37" s="50"/>
      <c r="H37" s="28"/>
    </row>
    <row r="38" spans="1:8" ht="13.5" x14ac:dyDescent="0.25">
      <c r="A38" s="8" t="s">
        <v>34</v>
      </c>
      <c r="B38" s="18" t="s">
        <v>5</v>
      </c>
      <c r="C38" s="19">
        <f>9120+1.7-1.36</f>
        <v>9120.34</v>
      </c>
      <c r="D38" s="19"/>
      <c r="E38" s="20">
        <v>41</v>
      </c>
      <c r="F38" s="21" t="s">
        <v>7</v>
      </c>
      <c r="G38" s="22" t="s">
        <v>70</v>
      </c>
      <c r="H38" s="8"/>
    </row>
    <row r="39" spans="1:8" ht="13.5" x14ac:dyDescent="0.25">
      <c r="A39" s="24" t="s">
        <v>33</v>
      </c>
      <c r="B39" s="25" t="s">
        <v>6</v>
      </c>
      <c r="C39" s="26"/>
      <c r="D39" s="26">
        <v>1003.2</v>
      </c>
      <c r="E39" s="23">
        <v>44</v>
      </c>
      <c r="F39" s="21" t="s">
        <v>8</v>
      </c>
      <c r="G39" s="22" t="s">
        <v>70</v>
      </c>
      <c r="H39" s="28"/>
    </row>
    <row r="40" spans="1:8" ht="13.5" x14ac:dyDescent="0.25">
      <c r="A40" s="8" t="s">
        <v>35</v>
      </c>
      <c r="B40" s="18" t="s">
        <v>10</v>
      </c>
      <c r="C40" s="19"/>
      <c r="D40" s="19">
        <v>166.14</v>
      </c>
      <c r="E40" s="23">
        <v>43</v>
      </c>
      <c r="F40" s="21" t="s">
        <v>9</v>
      </c>
      <c r="G40" s="22" t="s">
        <v>70</v>
      </c>
      <c r="H40" s="28">
        <f>C38-D39-D40</f>
        <v>7951</v>
      </c>
    </row>
    <row r="41" spans="1:8" ht="13.5" x14ac:dyDescent="0.25">
      <c r="A41" s="29" t="s">
        <v>36</v>
      </c>
      <c r="B41" s="30" t="s">
        <v>11</v>
      </c>
      <c r="C41" s="31"/>
      <c r="D41" s="31">
        <v>7951</v>
      </c>
      <c r="E41" s="65">
        <v>41</v>
      </c>
      <c r="F41" s="32" t="s">
        <v>7</v>
      </c>
      <c r="G41" s="33" t="s">
        <v>70</v>
      </c>
      <c r="H41" s="28">
        <f>H40-D41</f>
        <v>0</v>
      </c>
    </row>
    <row r="42" spans="1:8" ht="13.5" x14ac:dyDescent="0.25">
      <c r="A42" s="8" t="s">
        <v>37</v>
      </c>
      <c r="B42" s="18" t="s">
        <v>12</v>
      </c>
      <c r="C42" s="19">
        <f>1824</f>
        <v>1824</v>
      </c>
      <c r="D42" s="19"/>
      <c r="E42" s="23">
        <v>44</v>
      </c>
      <c r="F42" s="21" t="s">
        <v>8</v>
      </c>
      <c r="G42" s="22" t="s">
        <v>75</v>
      </c>
      <c r="H42" s="35"/>
    </row>
    <row r="43" spans="1:8" ht="13.5" x14ac:dyDescent="0.25">
      <c r="A43" s="24" t="s">
        <v>33</v>
      </c>
      <c r="B43" s="25" t="s">
        <v>6</v>
      </c>
      <c r="C43" s="26"/>
      <c r="D43" s="26">
        <f>C42</f>
        <v>1824</v>
      </c>
      <c r="E43" s="23">
        <v>44</v>
      </c>
      <c r="F43" s="21" t="s">
        <v>8</v>
      </c>
      <c r="G43" s="22" t="s">
        <v>75</v>
      </c>
      <c r="H43" s="35"/>
    </row>
    <row r="44" spans="1:8" x14ac:dyDescent="0.25">
      <c r="A44" s="40"/>
      <c r="B44" s="44"/>
      <c r="C44" s="42"/>
      <c r="D44" s="43"/>
      <c r="E44" s="51"/>
      <c r="F44" s="40"/>
      <c r="G44" s="45"/>
      <c r="H44" s="35"/>
    </row>
    <row r="45" spans="1:8" ht="13.5" x14ac:dyDescent="0.25">
      <c r="A45" s="8"/>
      <c r="B45" s="18"/>
      <c r="C45" s="31">
        <f>SUM(C38:C43)</f>
        <v>10944.34</v>
      </c>
      <c r="D45" s="31">
        <f>SUM(D38:D43)</f>
        <v>10944.34</v>
      </c>
      <c r="E45" s="23"/>
      <c r="F45" s="22"/>
      <c r="G45" s="21"/>
      <c r="H45" s="35"/>
    </row>
    <row r="46" spans="1:8" ht="13.5" x14ac:dyDescent="0.25">
      <c r="A46" s="8"/>
      <c r="B46" s="52"/>
      <c r="C46" s="46"/>
      <c r="D46" s="46">
        <f>C45-D45</f>
        <v>0</v>
      </c>
      <c r="E46" s="53"/>
      <c r="F46" s="54"/>
      <c r="G46" s="55"/>
      <c r="H46" s="35"/>
    </row>
    <row r="47" spans="1:8" ht="13.5" x14ac:dyDescent="0.25">
      <c r="A47" s="8"/>
      <c r="B47" s="11"/>
      <c r="C47" s="12"/>
      <c r="D47" s="12"/>
      <c r="E47" s="13"/>
      <c r="F47" s="14"/>
      <c r="G47" s="35"/>
      <c r="H47" s="35"/>
    </row>
    <row r="48" spans="1:8" ht="13.5" x14ac:dyDescent="0.25">
      <c r="A48" s="8"/>
      <c r="B48" s="11"/>
      <c r="C48" s="12"/>
      <c r="D48" s="12"/>
      <c r="E48" s="13"/>
      <c r="F48" s="14"/>
      <c r="G48" s="35"/>
      <c r="H48" s="35"/>
    </row>
    <row r="49" spans="1:8" ht="13.5" x14ac:dyDescent="0.25">
      <c r="A49" s="8"/>
      <c r="B49" s="11"/>
      <c r="C49" s="12"/>
      <c r="D49" s="12"/>
      <c r="E49" s="13"/>
      <c r="F49" s="14"/>
      <c r="G49" s="35"/>
      <c r="H49" s="35"/>
    </row>
    <row r="50" spans="1:8" ht="13.5" x14ac:dyDescent="0.25">
      <c r="A50" s="8"/>
      <c r="B50" s="16"/>
      <c r="C50" s="66" t="s">
        <v>50</v>
      </c>
      <c r="D50" s="66"/>
      <c r="E50" s="66"/>
      <c r="F50" s="66"/>
      <c r="G50" s="64" t="str">
        <f>G1</f>
        <v>Lote:  17127</v>
      </c>
      <c r="H50" s="35"/>
    </row>
    <row r="51" spans="1:8" ht="13.5" x14ac:dyDescent="0.25">
      <c r="A51" s="8" t="s">
        <v>39</v>
      </c>
      <c r="B51" s="18" t="s">
        <v>15</v>
      </c>
      <c r="C51" s="19">
        <f>5480.7+42.24+10.14+1-1.03</f>
        <v>5533.05</v>
      </c>
      <c r="D51" s="19"/>
      <c r="E51" s="20">
        <v>8</v>
      </c>
      <c r="F51" s="21" t="s">
        <v>14</v>
      </c>
      <c r="G51" s="22" t="s">
        <v>70</v>
      </c>
      <c r="H51" s="35"/>
    </row>
    <row r="52" spans="1:8" ht="13.5" x14ac:dyDescent="0.25">
      <c r="A52" s="8" t="s">
        <v>46</v>
      </c>
      <c r="B52" s="18" t="s">
        <v>30</v>
      </c>
      <c r="C52" s="19">
        <f>4816+6.07+1535.99+2119.14+1834+557.15+796.97</f>
        <v>11665.319999999998</v>
      </c>
      <c r="D52" s="19"/>
      <c r="E52" s="20">
        <v>19</v>
      </c>
      <c r="F52" s="21" t="s">
        <v>27</v>
      </c>
      <c r="G52" s="22" t="s">
        <v>71</v>
      </c>
      <c r="H52" s="35"/>
    </row>
    <row r="53" spans="1:8" ht="13.5" x14ac:dyDescent="0.25">
      <c r="A53" s="8" t="s">
        <v>65</v>
      </c>
      <c r="B53" s="18" t="s">
        <v>32</v>
      </c>
      <c r="C53" s="37">
        <f>10320+13.79+3325.12+1.03-0.51</f>
        <v>13659.43</v>
      </c>
      <c r="D53" s="19"/>
      <c r="E53" s="23">
        <v>20</v>
      </c>
      <c r="F53" s="21" t="s">
        <v>28</v>
      </c>
      <c r="G53" s="22" t="s">
        <v>72</v>
      </c>
      <c r="H53" s="47"/>
    </row>
    <row r="54" spans="1:8" ht="13.5" x14ac:dyDescent="0.25">
      <c r="A54" s="8" t="s">
        <v>59</v>
      </c>
      <c r="B54" s="18" t="s">
        <v>60</v>
      </c>
      <c r="C54" s="19"/>
      <c r="D54" s="19"/>
      <c r="E54" s="13">
        <v>23</v>
      </c>
      <c r="F54" s="35" t="s">
        <v>61</v>
      </c>
      <c r="G54" s="22" t="s">
        <v>70</v>
      </c>
      <c r="H54" s="35"/>
    </row>
    <row r="55" spans="1:8" ht="13.5" x14ac:dyDescent="0.25">
      <c r="A55" s="8" t="s">
        <v>55</v>
      </c>
      <c r="B55" s="18" t="s">
        <v>6</v>
      </c>
      <c r="C55" s="19"/>
      <c r="D55" s="19"/>
      <c r="E55" s="20">
        <v>47</v>
      </c>
      <c r="F55" s="21" t="s">
        <v>49</v>
      </c>
      <c r="G55" s="22" t="s">
        <v>70</v>
      </c>
      <c r="H55" s="35"/>
    </row>
    <row r="56" spans="1:8" ht="13.5" x14ac:dyDescent="0.25">
      <c r="A56" s="8" t="s">
        <v>54</v>
      </c>
      <c r="B56" s="18" t="s">
        <v>53</v>
      </c>
      <c r="C56" s="19"/>
      <c r="D56" s="19"/>
      <c r="E56" s="20">
        <v>48</v>
      </c>
      <c r="F56" s="21" t="s">
        <v>52</v>
      </c>
      <c r="G56" s="22" t="s">
        <v>70</v>
      </c>
      <c r="H56" s="35"/>
    </row>
    <row r="57" spans="1:8" ht="13.5" x14ac:dyDescent="0.25">
      <c r="A57" s="8" t="s">
        <v>62</v>
      </c>
      <c r="B57" s="18" t="s">
        <v>63</v>
      </c>
      <c r="C57" s="19"/>
      <c r="D57" s="19"/>
      <c r="E57" s="23">
        <v>46</v>
      </c>
      <c r="F57" s="21" t="s">
        <v>23</v>
      </c>
      <c r="G57" s="22" t="s">
        <v>73</v>
      </c>
      <c r="H57" s="35"/>
    </row>
    <row r="58" spans="1:8" ht="13.5" x14ac:dyDescent="0.25">
      <c r="A58" s="8" t="s">
        <v>40</v>
      </c>
      <c r="B58" s="18" t="s">
        <v>17</v>
      </c>
      <c r="C58" s="19"/>
      <c r="D58" s="37"/>
      <c r="E58" s="13">
        <v>45</v>
      </c>
      <c r="F58" s="21" t="s">
        <v>16</v>
      </c>
      <c r="G58" s="22" t="s">
        <v>70</v>
      </c>
      <c r="H58" s="47"/>
    </row>
    <row r="59" spans="1:8" ht="13.5" x14ac:dyDescent="0.25">
      <c r="A59" s="8" t="s">
        <v>41</v>
      </c>
      <c r="B59" s="18" t="s">
        <v>24</v>
      </c>
      <c r="C59" s="19"/>
      <c r="D59" s="19"/>
      <c r="E59" s="23">
        <v>46</v>
      </c>
      <c r="F59" s="21" t="s">
        <v>23</v>
      </c>
      <c r="G59" s="21" t="s">
        <v>74</v>
      </c>
      <c r="H59" s="28"/>
    </row>
    <row r="60" spans="1:8" ht="13.5" x14ac:dyDescent="0.25">
      <c r="A60" s="8" t="s">
        <v>35</v>
      </c>
      <c r="B60" s="18" t="s">
        <v>10</v>
      </c>
      <c r="C60" s="19"/>
      <c r="D60" s="19">
        <f>532.61+795.78</f>
        <v>1328.3899999999999</v>
      </c>
      <c r="E60" s="20">
        <v>30</v>
      </c>
      <c r="F60" s="21" t="s">
        <v>21</v>
      </c>
      <c r="G60" s="22" t="s">
        <v>70</v>
      </c>
      <c r="H60" s="28"/>
    </row>
    <row r="61" spans="1:8" ht="13.5" x14ac:dyDescent="0.25">
      <c r="A61" s="24" t="s">
        <v>33</v>
      </c>
      <c r="B61" s="25" t="s">
        <v>6</v>
      </c>
      <c r="C61" s="26"/>
      <c r="D61" s="26">
        <f>932.48+508.43+1427.28</f>
        <v>2868.19</v>
      </c>
      <c r="E61" s="20">
        <v>9</v>
      </c>
      <c r="F61" s="21" t="s">
        <v>18</v>
      </c>
      <c r="G61" s="22" t="s">
        <v>70</v>
      </c>
      <c r="H61" s="28"/>
    </row>
    <row r="62" spans="1:8" ht="13.5" x14ac:dyDescent="0.25">
      <c r="A62" s="8" t="s">
        <v>46</v>
      </c>
      <c r="B62" s="18" t="s">
        <v>30</v>
      </c>
      <c r="C62" s="19"/>
      <c r="D62" s="19">
        <v>10360.85</v>
      </c>
      <c r="E62" s="23">
        <v>46</v>
      </c>
      <c r="F62" s="21" t="s">
        <v>23</v>
      </c>
      <c r="G62" s="27" t="s">
        <v>71</v>
      </c>
      <c r="H62" s="8"/>
    </row>
    <row r="63" spans="1:8" ht="13.5" x14ac:dyDescent="0.25">
      <c r="A63" s="8" t="s">
        <v>47</v>
      </c>
      <c r="B63" s="18" t="s">
        <v>32</v>
      </c>
      <c r="C63" s="19"/>
      <c r="D63" s="37">
        <v>6802.37</v>
      </c>
      <c r="E63" s="23">
        <v>46</v>
      </c>
      <c r="F63" s="21" t="s">
        <v>56</v>
      </c>
      <c r="G63" s="22" t="s">
        <v>72</v>
      </c>
      <c r="H63" s="47"/>
    </row>
    <row r="64" spans="1:8" ht="13.5" x14ac:dyDescent="0.25">
      <c r="A64" s="8" t="s">
        <v>58</v>
      </c>
      <c r="B64" s="18" t="s">
        <v>57</v>
      </c>
      <c r="C64" s="19"/>
      <c r="D64" s="19"/>
      <c r="E64" s="23">
        <v>46</v>
      </c>
      <c r="F64" s="21" t="s">
        <v>56</v>
      </c>
      <c r="G64" s="22" t="s">
        <v>70</v>
      </c>
      <c r="H64" s="28">
        <f>C51+C52+C53+C54+C55-D57-D56-D58-D59-D60-D61-D62-D63-D64</f>
        <v>9498</v>
      </c>
    </row>
    <row r="65" spans="1:9" ht="13.5" x14ac:dyDescent="0.25">
      <c r="A65" s="29" t="s">
        <v>48</v>
      </c>
      <c r="B65" s="30" t="s">
        <v>25</v>
      </c>
      <c r="C65" s="31"/>
      <c r="D65" s="31">
        <f>4864+4634</f>
        <v>9498</v>
      </c>
      <c r="E65" s="65">
        <v>8</v>
      </c>
      <c r="F65" s="32" t="s">
        <v>14</v>
      </c>
      <c r="G65" s="33" t="s">
        <v>70</v>
      </c>
      <c r="H65" s="28">
        <f>H64-D65</f>
        <v>0</v>
      </c>
    </row>
    <row r="66" spans="1:9" ht="13.5" x14ac:dyDescent="0.25">
      <c r="A66" s="24" t="s">
        <v>37</v>
      </c>
      <c r="B66" s="25" t="s">
        <v>12</v>
      </c>
      <c r="C66" s="26">
        <f>2802.06+812.59+210.15+2731.78+792.21+204.88-0.01</f>
        <v>7553.66</v>
      </c>
      <c r="D66" s="26"/>
      <c r="E66" s="23">
        <v>9</v>
      </c>
      <c r="F66" s="21" t="s">
        <v>18</v>
      </c>
      <c r="G66" s="22" t="s">
        <v>75</v>
      </c>
      <c r="H66" s="8"/>
    </row>
    <row r="67" spans="1:9" ht="13.5" x14ac:dyDescent="0.25">
      <c r="A67" s="8" t="s">
        <v>33</v>
      </c>
      <c r="B67" s="18" t="s">
        <v>6</v>
      </c>
      <c r="C67" s="19"/>
      <c r="D67" s="19">
        <f>C66</f>
        <v>7553.66</v>
      </c>
      <c r="E67" s="23">
        <v>9</v>
      </c>
      <c r="F67" s="21" t="s">
        <v>18</v>
      </c>
      <c r="G67" s="22" t="s">
        <v>75</v>
      </c>
      <c r="H67" s="8"/>
    </row>
    <row r="68" spans="1:9" ht="13.5" x14ac:dyDescent="0.25">
      <c r="A68" s="8" t="s">
        <v>42</v>
      </c>
      <c r="B68" s="18" t="s">
        <v>22</v>
      </c>
      <c r="C68" s="37">
        <f>1120.81+548.5+0.03</f>
        <v>1669.34</v>
      </c>
      <c r="D68" s="19"/>
      <c r="E68" s="23">
        <v>10</v>
      </c>
      <c r="F68" s="21" t="s">
        <v>19</v>
      </c>
      <c r="G68" s="22" t="s">
        <v>76</v>
      </c>
      <c r="H68" s="8"/>
    </row>
    <row r="69" spans="1:9" ht="13.5" x14ac:dyDescent="0.25">
      <c r="A69" s="8" t="s">
        <v>45</v>
      </c>
      <c r="B69" s="18" t="s">
        <v>20</v>
      </c>
      <c r="C69" s="19"/>
      <c r="D69" s="19">
        <f>C68</f>
        <v>1669.34</v>
      </c>
      <c r="E69" s="23">
        <v>10</v>
      </c>
      <c r="F69" s="21" t="s">
        <v>19</v>
      </c>
      <c r="G69" s="22" t="s">
        <v>70</v>
      </c>
      <c r="H69" s="8"/>
    </row>
    <row r="70" spans="1:9" ht="13.5" x14ac:dyDescent="0.25">
      <c r="A70" s="8" t="s">
        <v>43</v>
      </c>
      <c r="B70" s="18" t="s">
        <v>29</v>
      </c>
      <c r="C70" s="19">
        <f>911.1+303.66+331.62+97.16</f>
        <v>1643.5400000000002</v>
      </c>
      <c r="D70" s="19"/>
      <c r="E70" s="20">
        <v>19</v>
      </c>
      <c r="F70" s="21" t="s">
        <v>27</v>
      </c>
      <c r="G70" s="22" t="s">
        <v>70</v>
      </c>
      <c r="H70" s="8"/>
    </row>
    <row r="71" spans="1:9" ht="13.5" x14ac:dyDescent="0.25">
      <c r="A71" s="8" t="s">
        <v>46</v>
      </c>
      <c r="B71" s="18" t="s">
        <v>30</v>
      </c>
      <c r="C71" s="19"/>
      <c r="D71" s="19">
        <f>C70</f>
        <v>1643.5400000000002</v>
      </c>
      <c r="E71" s="20">
        <v>19</v>
      </c>
      <c r="F71" s="21" t="s">
        <v>27</v>
      </c>
      <c r="G71" s="22" t="s">
        <v>70</v>
      </c>
      <c r="H71" s="8"/>
    </row>
    <row r="72" spans="1:9" ht="13.5" x14ac:dyDescent="0.25">
      <c r="A72" s="8" t="s">
        <v>44</v>
      </c>
      <c r="B72" s="18" t="s">
        <v>31</v>
      </c>
      <c r="C72" s="19">
        <f>1138.25+310.75+91.06</f>
        <v>1540.06</v>
      </c>
      <c r="D72" s="19"/>
      <c r="E72" s="20">
        <v>20</v>
      </c>
      <c r="F72" s="21" t="s">
        <v>28</v>
      </c>
      <c r="G72" s="22" t="s">
        <v>70</v>
      </c>
      <c r="H72" s="8"/>
    </row>
    <row r="73" spans="1:9" ht="13.5" x14ac:dyDescent="0.25">
      <c r="A73" s="8" t="s">
        <v>47</v>
      </c>
      <c r="B73" s="18" t="s">
        <v>32</v>
      </c>
      <c r="C73" s="19"/>
      <c r="D73" s="19">
        <f>C72</f>
        <v>1540.06</v>
      </c>
      <c r="E73" s="20">
        <v>20</v>
      </c>
      <c r="F73" s="21" t="s">
        <v>28</v>
      </c>
      <c r="G73" s="22" t="s">
        <v>70</v>
      </c>
      <c r="H73" s="8"/>
    </row>
    <row r="74" spans="1:9" ht="13.5" x14ac:dyDescent="0.25">
      <c r="A74" s="40"/>
      <c r="B74" s="41"/>
      <c r="C74" s="42"/>
      <c r="D74" s="43"/>
      <c r="E74" s="44"/>
      <c r="F74" s="45"/>
      <c r="G74" s="45"/>
      <c r="H74" s="8"/>
    </row>
    <row r="75" spans="1:9" ht="13.5" x14ac:dyDescent="0.25">
      <c r="A75" s="8"/>
      <c r="B75" s="18"/>
      <c r="C75" s="31">
        <f>SUM(C51:C73)</f>
        <v>43264.399999999994</v>
      </c>
      <c r="D75" s="31">
        <f>SUM(D51:D73)</f>
        <v>43264.399999999994</v>
      </c>
      <c r="E75" s="20"/>
      <c r="F75" s="22"/>
      <c r="G75" s="21"/>
      <c r="H75" s="8"/>
    </row>
    <row r="76" spans="1:9" ht="13.5" x14ac:dyDescent="0.25">
      <c r="A76" s="8"/>
      <c r="B76" s="11"/>
      <c r="C76" s="46"/>
      <c r="D76" s="46">
        <f>C75-D75</f>
        <v>0</v>
      </c>
      <c r="E76" s="13"/>
      <c r="F76" s="14"/>
      <c r="G76" s="35"/>
      <c r="H76" s="8"/>
    </row>
    <row r="77" spans="1:9" ht="13.5" x14ac:dyDescent="0.25">
      <c r="A77" s="8"/>
      <c r="B77" s="11"/>
      <c r="C77" s="46"/>
      <c r="D77" s="46"/>
      <c r="E77" s="13"/>
      <c r="F77" s="14"/>
      <c r="G77" s="35"/>
      <c r="H77" s="8"/>
    </row>
    <row r="78" spans="1:9" ht="13.5" x14ac:dyDescent="0.25">
      <c r="A78" s="8"/>
      <c r="B78" s="11"/>
      <c r="C78" s="12"/>
      <c r="D78" s="12"/>
      <c r="E78" s="13"/>
      <c r="F78" s="35"/>
      <c r="G78" s="35"/>
      <c r="H78" s="8"/>
    </row>
    <row r="79" spans="1:9" ht="13.5" x14ac:dyDescent="0.25">
      <c r="A79" s="8"/>
      <c r="B79" s="11"/>
      <c r="C79" s="12"/>
      <c r="D79" s="12"/>
      <c r="E79" s="13"/>
      <c r="F79" s="35"/>
      <c r="G79" s="35"/>
      <c r="H79" s="8"/>
    </row>
    <row r="80" spans="1:9" ht="13.5" x14ac:dyDescent="0.25">
      <c r="A80" s="8"/>
      <c r="B80" s="16"/>
      <c r="C80" s="66" t="s">
        <v>51</v>
      </c>
      <c r="D80" s="66"/>
      <c r="E80" s="66"/>
      <c r="F80" s="66"/>
      <c r="G80" s="64" t="str">
        <f>G1</f>
        <v>Lote:  17127</v>
      </c>
      <c r="H80" s="8"/>
      <c r="I80" s="4"/>
    </row>
    <row r="81" spans="1:11" ht="13.5" x14ac:dyDescent="0.25">
      <c r="A81" s="8" t="s">
        <v>39</v>
      </c>
      <c r="B81" s="18" t="s">
        <v>15</v>
      </c>
      <c r="C81" s="19">
        <f>1933.92+20.76+4.45+297.28+71.35+39.38+1.22-0.94</f>
        <v>2367.4199999999996</v>
      </c>
      <c r="D81" s="19"/>
      <c r="E81" s="20">
        <v>8</v>
      </c>
      <c r="F81" s="21" t="s">
        <v>14</v>
      </c>
      <c r="G81" s="22" t="s">
        <v>70</v>
      </c>
      <c r="H81" s="8"/>
      <c r="I81" s="4"/>
    </row>
    <row r="82" spans="1:11" ht="13.5" x14ac:dyDescent="0.25">
      <c r="A82" s="8" t="s">
        <v>46</v>
      </c>
      <c r="B82" s="18" t="s">
        <v>30</v>
      </c>
      <c r="C82" s="19">
        <f>1696.34+27.56+520.48+759.53+34.46</f>
        <v>3038.37</v>
      </c>
      <c r="D82" s="19"/>
      <c r="E82" s="20">
        <v>19</v>
      </c>
      <c r="F82" s="21" t="s">
        <v>27</v>
      </c>
      <c r="G82" s="22" t="s">
        <v>71</v>
      </c>
      <c r="H82" s="8"/>
      <c r="I82" s="3"/>
    </row>
    <row r="83" spans="1:11" ht="13.5" x14ac:dyDescent="0.25">
      <c r="A83" s="8" t="s">
        <v>47</v>
      </c>
      <c r="B83" s="18" t="s">
        <v>32</v>
      </c>
      <c r="C83" s="37">
        <f>3635+65.13+1187.36+73.84+0.94-0.28</f>
        <v>4961.99</v>
      </c>
      <c r="D83" s="37"/>
      <c r="E83" s="23">
        <v>20</v>
      </c>
      <c r="F83" s="21" t="s">
        <v>28</v>
      </c>
      <c r="G83" s="22" t="s">
        <v>72</v>
      </c>
      <c r="H83" s="47"/>
      <c r="I83" s="3"/>
    </row>
    <row r="84" spans="1:11" ht="13.5" x14ac:dyDescent="0.25">
      <c r="A84" s="8" t="s">
        <v>59</v>
      </c>
      <c r="B84" s="18" t="s">
        <v>60</v>
      </c>
      <c r="C84" s="37"/>
      <c r="D84" s="37"/>
      <c r="E84" s="13">
        <v>23</v>
      </c>
      <c r="F84" s="35" t="s">
        <v>61</v>
      </c>
      <c r="G84" s="22" t="s">
        <v>70</v>
      </c>
      <c r="H84" s="8"/>
      <c r="I84" s="3"/>
    </row>
    <row r="85" spans="1:11" ht="15" customHeight="1" x14ac:dyDescent="0.25">
      <c r="A85" s="8" t="s">
        <v>55</v>
      </c>
      <c r="B85" s="18" t="s">
        <v>6</v>
      </c>
      <c r="C85" s="37"/>
      <c r="D85" s="37"/>
      <c r="E85" s="20">
        <v>47</v>
      </c>
      <c r="F85" s="21" t="s">
        <v>49</v>
      </c>
      <c r="G85" s="22" t="s">
        <v>70</v>
      </c>
      <c r="H85" s="8"/>
      <c r="I85" s="3"/>
      <c r="J85" s="3"/>
    </row>
    <row r="86" spans="1:11" ht="15" customHeight="1" x14ac:dyDescent="0.25">
      <c r="A86" s="8" t="s">
        <v>54</v>
      </c>
      <c r="B86" s="18" t="s">
        <v>53</v>
      </c>
      <c r="C86" s="37">
        <f>115.37+115.37</f>
        <v>230.74</v>
      </c>
      <c r="D86" s="37"/>
      <c r="E86" s="20">
        <v>48</v>
      </c>
      <c r="F86" s="21" t="s">
        <v>52</v>
      </c>
      <c r="G86" s="22" t="s">
        <v>70</v>
      </c>
      <c r="H86" s="8"/>
      <c r="J86" s="3"/>
    </row>
    <row r="87" spans="1:11" ht="15" customHeight="1" x14ac:dyDescent="0.25">
      <c r="A87" s="8" t="s">
        <v>62</v>
      </c>
      <c r="B87" s="18" t="s">
        <v>63</v>
      </c>
      <c r="C87" s="37"/>
      <c r="D87" s="37"/>
      <c r="E87" s="23">
        <v>46</v>
      </c>
      <c r="F87" s="21" t="s">
        <v>23</v>
      </c>
      <c r="G87" s="22" t="s">
        <v>73</v>
      </c>
      <c r="H87" s="8"/>
      <c r="J87" s="3"/>
    </row>
    <row r="88" spans="1:11" ht="15" customHeight="1" x14ac:dyDescent="0.25">
      <c r="A88" s="8" t="s">
        <v>40</v>
      </c>
      <c r="B88" s="18" t="s">
        <v>17</v>
      </c>
      <c r="C88" s="37"/>
      <c r="D88" s="37"/>
      <c r="E88" s="13">
        <v>45</v>
      </c>
      <c r="F88" s="21" t="s">
        <v>16</v>
      </c>
      <c r="G88" s="22" t="s">
        <v>70</v>
      </c>
      <c r="H88" s="47"/>
      <c r="J88" s="4"/>
    </row>
    <row r="89" spans="1:11" ht="15" customHeight="1" x14ac:dyDescent="0.25">
      <c r="A89" s="8" t="s">
        <v>41</v>
      </c>
      <c r="B89" s="18" t="s">
        <v>24</v>
      </c>
      <c r="C89" s="37"/>
      <c r="D89" s="37"/>
      <c r="E89" s="23">
        <v>46</v>
      </c>
      <c r="F89" s="21" t="s">
        <v>23</v>
      </c>
      <c r="G89" s="21" t="s">
        <v>74</v>
      </c>
      <c r="H89" s="28"/>
      <c r="J89" s="4"/>
    </row>
    <row r="90" spans="1:11" ht="15" customHeight="1" x14ac:dyDescent="0.25">
      <c r="A90" s="8" t="s">
        <v>35</v>
      </c>
      <c r="B90" s="18" t="s">
        <v>10</v>
      </c>
      <c r="C90" s="37"/>
      <c r="D90" s="37">
        <f>35.28+54.24</f>
        <v>89.52000000000001</v>
      </c>
      <c r="E90" s="20">
        <v>30</v>
      </c>
      <c r="F90" s="21" t="s">
        <v>21</v>
      </c>
      <c r="G90" s="22" t="s">
        <v>70</v>
      </c>
      <c r="H90" s="28"/>
      <c r="J90" s="4"/>
    </row>
    <row r="91" spans="1:11" ht="15" customHeight="1" x14ac:dyDescent="0.25">
      <c r="A91" s="24" t="s">
        <v>33</v>
      </c>
      <c r="B91" s="25" t="s">
        <v>6</v>
      </c>
      <c r="C91" s="26"/>
      <c r="D91" s="26">
        <f>311.85+241.4+509.81</f>
        <v>1063.06</v>
      </c>
      <c r="E91" s="20">
        <v>9</v>
      </c>
      <c r="F91" s="21" t="s">
        <v>18</v>
      </c>
      <c r="G91" s="22" t="s">
        <v>70</v>
      </c>
      <c r="H91" s="28"/>
      <c r="J91" s="4"/>
    </row>
    <row r="92" spans="1:11" ht="15" customHeight="1" x14ac:dyDescent="0.25">
      <c r="A92" s="56" t="s">
        <v>64</v>
      </c>
      <c r="B92" s="57" t="s">
        <v>6</v>
      </c>
      <c r="C92" s="58"/>
      <c r="D92" s="58"/>
      <c r="E92" s="59">
        <v>55</v>
      </c>
      <c r="F92" s="60" t="s">
        <v>69</v>
      </c>
      <c r="G92" s="22" t="s">
        <v>70</v>
      </c>
      <c r="H92" s="28"/>
      <c r="J92" s="4"/>
    </row>
    <row r="93" spans="1:11" ht="15" customHeight="1" x14ac:dyDescent="0.25">
      <c r="A93" s="8" t="s">
        <v>46</v>
      </c>
      <c r="B93" s="18" t="s">
        <v>30</v>
      </c>
      <c r="C93" s="37"/>
      <c r="D93" s="37">
        <v>2703</v>
      </c>
      <c r="E93" s="23">
        <v>46</v>
      </c>
      <c r="F93" s="21" t="s">
        <v>23</v>
      </c>
      <c r="G93" s="27" t="s">
        <v>71</v>
      </c>
      <c r="H93" s="8"/>
      <c r="J93" s="4"/>
    </row>
    <row r="94" spans="1:11" ht="15" customHeight="1" x14ac:dyDescent="0.25">
      <c r="A94" s="8" t="s">
        <v>47</v>
      </c>
      <c r="B94" s="18" t="s">
        <v>32</v>
      </c>
      <c r="C94" s="37"/>
      <c r="D94" s="37">
        <v>2432.94</v>
      </c>
      <c r="E94" s="23">
        <v>46</v>
      </c>
      <c r="F94" s="21" t="s">
        <v>56</v>
      </c>
      <c r="G94" s="22" t="s">
        <v>72</v>
      </c>
      <c r="H94" s="47"/>
      <c r="J94" s="5"/>
      <c r="K94" s="5"/>
    </row>
    <row r="95" spans="1:11" ht="15" customHeight="1" x14ac:dyDescent="0.25">
      <c r="A95" s="8" t="s">
        <v>58</v>
      </c>
      <c r="B95" s="18" t="s">
        <v>57</v>
      </c>
      <c r="C95" s="37"/>
      <c r="D95" s="37"/>
      <c r="E95" s="23">
        <v>46</v>
      </c>
      <c r="F95" s="21" t="s">
        <v>56</v>
      </c>
      <c r="G95" s="22" t="s">
        <v>70</v>
      </c>
      <c r="H95" s="28">
        <f>C81+C82+C83+C84+C85+C86+C92-D87-D88-D89-D90-D91-D93-D94-D95</f>
        <v>4309.9999999999982</v>
      </c>
      <c r="J95" s="4"/>
    </row>
    <row r="96" spans="1:11" ht="15" customHeight="1" x14ac:dyDescent="0.25">
      <c r="A96" s="29" t="s">
        <v>48</v>
      </c>
      <c r="B96" s="30" t="s">
        <v>25</v>
      </c>
      <c r="C96" s="37"/>
      <c r="D96" s="62">
        <f>2345+1965</f>
        <v>4310</v>
      </c>
      <c r="E96" s="65">
        <v>8</v>
      </c>
      <c r="F96" s="32" t="s">
        <v>14</v>
      </c>
      <c r="G96" s="33" t="s">
        <v>70</v>
      </c>
      <c r="H96" s="28">
        <f>H95-D96</f>
        <v>0</v>
      </c>
      <c r="I96" s="4"/>
    </row>
    <row r="97" spans="1:8" ht="15" customHeight="1" x14ac:dyDescent="0.25">
      <c r="A97" s="8" t="s">
        <v>37</v>
      </c>
      <c r="B97" s="18" t="s">
        <v>12</v>
      </c>
      <c r="C97" s="37">
        <f>1081.1+313.52+54.06+992.27+287.75+49.61-0.03</f>
        <v>2778.2799999999997</v>
      </c>
      <c r="D97" s="37"/>
      <c r="E97" s="23">
        <v>9</v>
      </c>
      <c r="F97" s="21" t="s">
        <v>18</v>
      </c>
      <c r="G97" s="22" t="s">
        <v>75</v>
      </c>
      <c r="H97" s="8"/>
    </row>
    <row r="98" spans="1:8" ht="15" customHeight="1" x14ac:dyDescent="0.25">
      <c r="A98" s="24" t="s">
        <v>33</v>
      </c>
      <c r="B98" s="25" t="s">
        <v>6</v>
      </c>
      <c r="C98" s="26"/>
      <c r="D98" s="26">
        <f>C97</f>
        <v>2778.2799999999997</v>
      </c>
      <c r="E98" s="23">
        <v>9</v>
      </c>
      <c r="F98" s="21" t="s">
        <v>18</v>
      </c>
      <c r="G98" s="22" t="s">
        <v>75</v>
      </c>
      <c r="H98" s="8"/>
    </row>
    <row r="99" spans="1:8" ht="15" customHeight="1" x14ac:dyDescent="0.25">
      <c r="A99" s="8" t="s">
        <v>42</v>
      </c>
      <c r="B99" s="18" t="s">
        <v>22</v>
      </c>
      <c r="C99" s="37">
        <f>432.43+202.26+0.02</f>
        <v>634.71</v>
      </c>
      <c r="D99" s="37"/>
      <c r="E99" s="23">
        <v>10</v>
      </c>
      <c r="F99" s="21" t="s">
        <v>19</v>
      </c>
      <c r="G99" s="22" t="s">
        <v>76</v>
      </c>
      <c r="H99" s="47"/>
    </row>
    <row r="100" spans="1:8" ht="15" customHeight="1" x14ac:dyDescent="0.25">
      <c r="A100" s="8" t="s">
        <v>45</v>
      </c>
      <c r="B100" s="18" t="s">
        <v>20</v>
      </c>
      <c r="C100" s="19"/>
      <c r="D100" s="19">
        <f>C99</f>
        <v>634.71</v>
      </c>
      <c r="E100" s="23">
        <v>10</v>
      </c>
      <c r="F100" s="21" t="s">
        <v>19</v>
      </c>
      <c r="G100" s="22" t="s">
        <v>70</v>
      </c>
      <c r="H100" s="8"/>
    </row>
    <row r="101" spans="1:8" ht="13.5" x14ac:dyDescent="0.25">
      <c r="A101" s="8" t="s">
        <v>43</v>
      </c>
      <c r="B101" s="18" t="s">
        <v>29</v>
      </c>
      <c r="C101" s="19">
        <f>428.5+142.8+153.11+45.7</f>
        <v>770.11</v>
      </c>
      <c r="D101" s="19"/>
      <c r="E101" s="20">
        <v>19</v>
      </c>
      <c r="F101" s="21" t="s">
        <v>27</v>
      </c>
      <c r="G101" s="22" t="s">
        <v>70</v>
      </c>
      <c r="H101" s="8"/>
    </row>
    <row r="102" spans="1:8" ht="13.5" x14ac:dyDescent="0.25">
      <c r="A102" s="8" t="s">
        <v>46</v>
      </c>
      <c r="B102" s="18" t="s">
        <v>30</v>
      </c>
      <c r="C102" s="19"/>
      <c r="D102" s="19">
        <f>C101</f>
        <v>770.11</v>
      </c>
      <c r="E102" s="20">
        <v>19</v>
      </c>
      <c r="F102" s="21" t="s">
        <v>27</v>
      </c>
      <c r="G102" s="22" t="s">
        <v>70</v>
      </c>
      <c r="H102" s="8"/>
    </row>
    <row r="103" spans="1:8" ht="13.5" x14ac:dyDescent="0.25">
      <c r="A103" s="8" t="s">
        <v>44</v>
      </c>
      <c r="B103" s="18" t="s">
        <v>31</v>
      </c>
      <c r="C103" s="19">
        <f>413.44+110.8+33.07</f>
        <v>557.31000000000006</v>
      </c>
      <c r="D103" s="19"/>
      <c r="E103" s="20">
        <v>20</v>
      </c>
      <c r="F103" s="21" t="s">
        <v>28</v>
      </c>
      <c r="G103" s="22" t="s">
        <v>70</v>
      </c>
      <c r="H103" s="35"/>
    </row>
    <row r="104" spans="1:8" ht="13.5" x14ac:dyDescent="0.25">
      <c r="A104" s="8" t="s">
        <v>47</v>
      </c>
      <c r="B104" s="18" t="s">
        <v>32</v>
      </c>
      <c r="C104" s="19"/>
      <c r="D104" s="19">
        <f>C103</f>
        <v>557.31000000000006</v>
      </c>
      <c r="E104" s="20">
        <v>20</v>
      </c>
      <c r="F104" s="21" t="s">
        <v>28</v>
      </c>
      <c r="G104" s="22" t="s">
        <v>70</v>
      </c>
      <c r="H104" s="35"/>
    </row>
    <row r="105" spans="1:8" ht="13.5" x14ac:dyDescent="0.25">
      <c r="A105" s="40"/>
      <c r="B105" s="41"/>
      <c r="C105" s="42"/>
      <c r="D105" s="43"/>
      <c r="E105" s="44"/>
      <c r="F105" s="45"/>
      <c r="G105" s="45"/>
      <c r="H105" s="61">
        <f>D29+D44+D74+D105</f>
        <v>0</v>
      </c>
    </row>
    <row r="106" spans="1:8" ht="13.5" x14ac:dyDescent="0.25">
      <c r="A106" s="8"/>
      <c r="B106" s="18"/>
      <c r="C106" s="31">
        <f>SUM(C81:C104)</f>
        <v>15338.929999999998</v>
      </c>
      <c r="D106" s="31">
        <f>SUM(D81:D104)</f>
        <v>15338.929999999998</v>
      </c>
      <c r="E106" s="20"/>
      <c r="F106" s="22"/>
      <c r="G106" s="21"/>
      <c r="H106" s="35"/>
    </row>
    <row r="107" spans="1:8" ht="13.5" x14ac:dyDescent="0.25">
      <c r="A107" s="8"/>
      <c r="B107" s="11"/>
      <c r="C107" s="46"/>
      <c r="D107" s="46">
        <f>C106-D106</f>
        <v>0</v>
      </c>
      <c r="E107" s="13"/>
      <c r="F107" s="14"/>
      <c r="G107" s="35"/>
      <c r="H107" s="35"/>
    </row>
    <row r="108" spans="1:8" ht="13.5" x14ac:dyDescent="0.25">
      <c r="A108" s="8"/>
      <c r="B108" s="11"/>
      <c r="C108" s="46"/>
      <c r="D108" s="46"/>
      <c r="E108" s="13"/>
      <c r="F108" s="14"/>
      <c r="G108" s="35"/>
      <c r="H108" s="35"/>
    </row>
    <row r="109" spans="1:8" ht="13.5" x14ac:dyDescent="0.25">
      <c r="A109" s="8"/>
      <c r="B109" s="11"/>
      <c r="C109" s="12"/>
      <c r="D109" s="12"/>
      <c r="E109" s="13"/>
      <c r="F109" s="35"/>
      <c r="G109" s="35"/>
      <c r="H109" s="35"/>
    </row>
    <row r="110" spans="1:8" ht="13.5" x14ac:dyDescent="0.25">
      <c r="A110" s="8"/>
      <c r="B110" s="11"/>
      <c r="C110" s="12"/>
      <c r="D110" s="12"/>
      <c r="E110" s="13"/>
      <c r="F110" s="35"/>
      <c r="G110" s="35"/>
      <c r="H110" s="28"/>
    </row>
    <row r="111" spans="1:8" ht="15" x14ac:dyDescent="0.25">
      <c r="C111" s="63">
        <f>C30+C45+C75+C106</f>
        <v>110250.88999999998</v>
      </c>
      <c r="D111" s="63">
        <f>D30+D45+D75+D106</f>
        <v>110250.88999999998</v>
      </c>
    </row>
  </sheetData>
  <mergeCells count="6">
    <mergeCell ref="C80:F80"/>
    <mergeCell ref="B1:E1"/>
    <mergeCell ref="C3:F3"/>
    <mergeCell ref="E36:F36"/>
    <mergeCell ref="C37:F37"/>
    <mergeCell ref="C50:F50"/>
  </mergeCells>
  <pageMargins left="0.11811023622047245" right="0.11811023622047245" top="0.78740157480314965" bottom="0.78740157480314965" header="0.31496062992125984" footer="0.31496062992125984"/>
  <pageSetup paperSize="9" scale="95" orientation="portrait" r:id="rId1"/>
  <headerFooter>
    <oddHeader>&amp;C&amp;A     &amp;D&amp;R&amp;P   &amp;N</oddHeader>
  </headerFooter>
  <rowBreaks count="1" manualBreakCount="1">
    <brk id="4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</dc:creator>
  <cp:lastModifiedBy>Luci</cp:lastModifiedBy>
  <cp:lastPrinted>2017-12-11T13:36:39Z</cp:lastPrinted>
  <dcterms:created xsi:type="dcterms:W3CDTF">2015-03-31T14:29:14Z</dcterms:created>
  <dcterms:modified xsi:type="dcterms:W3CDTF">2018-05-23T10:35:49Z</dcterms:modified>
</cp:coreProperties>
</file>