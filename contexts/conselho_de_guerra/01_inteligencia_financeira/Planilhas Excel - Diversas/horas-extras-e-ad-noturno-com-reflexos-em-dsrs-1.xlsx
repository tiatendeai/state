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Gilberto\Downloads\Blog Caltrab\Planilhas blog Caltrab\"/>
    </mc:Choice>
  </mc:AlternateContent>
  <bookViews>
    <workbookView xWindow="0" yWindow="0" windowWidth="25125" windowHeight="11445"/>
  </bookViews>
  <sheets>
    <sheet name="Instruções" sheetId="11" r:id="rId1"/>
    <sheet name="horas extras" sheetId="2" r:id="rId2"/>
    <sheet name="adicional noturno" sheetId="13" r:id="rId3"/>
    <sheet name="Feriados" sheetId="9" r:id="rId4"/>
    <sheet name="Calendário" sheetId="7" r:id="rId5"/>
  </sheets>
  <definedNames>
    <definedName name="Abril" localSheetId="2">IF(MONTH(DATE(aa,4,1))&lt;&gt;MONTH(DATE(aa,4,1)-(WEEKDAY(DATE(aa,4,1))-1)+{0;1;2;3;4;5}*7+{1,2,3,4,5,6,7}-1),"",DATE(aa,4,1)-(WEEKDAY(DATE(aa,4,1))-1)+{0;1;2;3;4;5}*7+{1,2,3,4,5,6,7}-1)</definedName>
    <definedName name="Abril">IF(MONTH(DATE(aa,4,1))&lt;&gt;MONTH(DATE(aa,4,1)-(WEEKDAY(DATE(aa,4,1))-1)+{0;1;2;3;4;5}*7+{1,2,3,4,5,6,7}-1),"",DATE(aa,4,1)-(WEEKDAY(DATE(aa,4,1))-1)+{0;1;2;3;4;5}*7+{1,2,3,4,5,6,7}-1)</definedName>
    <definedName name="adicional_he">Instruções!$E$14</definedName>
    <definedName name="adicionalnot">Instruções!$E$16</definedName>
    <definedName name="Agosto" localSheetId="2">IF(MONTH(DATE(aa,8,1))&lt;&gt;MONTH(DATE(aa,8,1)-(WEEKDAY(DATE(aa,8,1))-1)+{0;1;2;3;4;5}*7+{1,2,3,4,5,6,7}-1),"",DATE(aa,8,1)-(WEEKDAY(DATE(aa,8,1))-1)+{0;1;2;3;4;5}*7+{1,2,3,4,5,6,7}-1)</definedName>
    <definedName name="Agosto">IF(MONTH(DATE(aa,8,1))&lt;&gt;MONTH(DATE(aa,8,1)-(WEEKDAY(DATE(aa,8,1))-1)+{0;1;2;3;4;5}*7+{1,2,3,4,5,6,7}-1),"",DATE(aa,8,1)-(WEEKDAY(DATE(aa,8,1))-1)+{0;1;2;3;4;5}*7+{1,2,3,4,5,6,7}-1)</definedName>
    <definedName name="anno">Feriados!$K$3</definedName>
    <definedName name="ano">Feriados!$H$2</definedName>
    <definedName name="anodsr" localSheetId="2">#REF!</definedName>
    <definedName name="anodsr">#REF!</definedName>
    <definedName name="_xlnm.Print_Area" localSheetId="2">'adicional noturno'!$C$4:$O$80</definedName>
    <definedName name="_xlnm.Print_Area" localSheetId="1">'horas extras'!$C$4:$N$80</definedName>
    <definedName name="Dezembro" localSheetId="2">IF(MONTH(DATE(aa,12,1))&lt;&gt;MONTH(DATE(aa,12,1)-(WEEKDAY(DATE(aa,12,1))-1)+{0;1;2;3;4;5}*7+{1,2,3,4,5,6,7}-1),"",DATE(aa,12,1)-(WEEKDAY(DATE(aa,12,1))-1)+{0;1;2;3;4;5}*7+{1,2,3,4,5,6,7}-1)</definedName>
    <definedName name="Dezembro">IF(MONTH(DATE(aa,12,1))&lt;&gt;MONTH(DATE(aa,12,1)-(WEEKDAY(DATE(aa,12,1))-1)+{0;1;2;3;4;5}*7+{1,2,3,4,5,6,7}-1),"",DATE(aa,12,1)-(WEEKDAY(DATE(aa,12,1))-1)+{0;1;2;3;4;5}*7+{1,2,3,4,5,6,7}-1)</definedName>
    <definedName name="dh">TODAY()</definedName>
    <definedName name="dia_1">Feriados!$I$29</definedName>
    <definedName name="dia_2">Feriados!$I$30</definedName>
    <definedName name="Dias_Úteis">Calendário!$M$8:$M$79</definedName>
    <definedName name="divisor">Instruções!$E$20</definedName>
    <definedName name="epoca">Calendário!$A$8:$A$79</definedName>
    <definedName name="fcarnaval">Feriados!$D$102</definedName>
    <definedName name="fcorpus">Feriados!$D$101</definedName>
    <definedName name="Fer">Feriados!$C$3:$I$15</definedName>
    <definedName name="Fevereiro" localSheetId="2">IF(MONTH(DATE(aa,2,1))&lt;&gt;MONTH(DATE(aa,2,1)-(WEEKDAY(DATE(aa,2,1))-1)+{0;1;2;3;4;5}*7+{1,2,3,4,5,6,7}-1),"",DATE(aa,2,1)-(WEEKDAY(DATE(aa,2,1))-1)+{0;1;2;3;4;5}*7+{1,2,3,4,5,6,7}-1)</definedName>
    <definedName name="Fevereiro">IF(MONTH(DATE(aa,2,1))&lt;&gt;MONTH(DATE(aa,2,1)-(WEEKDAY(DATE(aa,2,1))-1)+{0;1;2;3;4;5}*7+{1,2,3,4,5,6,7}-1),"",DATE(aa,2,1)-(WEEKDAY(DATE(aa,2,1))-1)+{0;1;2;3;4;5}*7+{1,2,3,4,5,6,7}-1)</definedName>
    <definedName name="fim">Instruções!$E$28</definedName>
    <definedName name="fsexta">Feriados!$D$100</definedName>
    <definedName name="inicio">Instruções!$E$24</definedName>
    <definedName name="instruções">Instruções!$A$5:$O$42</definedName>
    <definedName name="Janeiro" localSheetId="2">IF(MONTH(DATE(aa,1,1))&lt;&gt;MONTH(DATE(aa,1,1)-(WEEKDAY(DATE(aa,1,1))-1)+{0;1;2;3;4;5}*7+{1,2,3,4,5,6,7}-1),"",DATE(aa,1,1)-(WEEKDAY(DATE(aa,1,1))-1)+{0;1;2;3;4;5}*7+{1,2,3,4,5,6,7}-1)</definedName>
    <definedName name="Janeiro">IF(MONTH(DATE(aa,1,1))&lt;&gt;MONTH(DATE(aa,1,1)-(WEEKDAY(DATE(aa,1,1))-1)+{0;1;2;3;4;5}*7+{1,2,3,4,5,6,7}-1),"",DATE(aa,1,1)-(WEEKDAY(DATE(aa,1,1))-1)+{0;1;2;3;4;5}*7+{1,2,3,4,5,6,7}-1)</definedName>
    <definedName name="Julho" localSheetId="2">IF(MONTH(DATE(aa,7,1))&lt;&gt;MONTH(DATE(aa,7,1)-(WEEKDAY(DATE(aa,7,1))-1)+{0;1;2;3;4;5}*7+{1,2,3,4,5,6,7}-1),"",DATE(aa,7,1)-(WEEKDAY(DATE(aa,7,1))-1)+{0;1;2;3;4;5}*7+{1,2,3,4,5,6,7}-1)</definedName>
    <definedName name="Julho">IF(MONTH(DATE(aa,7,1))&lt;&gt;MONTH(DATE(aa,7,1)-(WEEKDAY(DATE(aa,7,1))-1)+{0;1;2;3;4;5}*7+{1,2,3,4,5,6,7}-1),"",DATE(aa,7,1)-(WEEKDAY(DATE(aa,7,1))-1)+{0;1;2;3;4;5}*7+{1,2,3,4,5,6,7}-1)</definedName>
    <definedName name="Junho" localSheetId="2">IF(MONTH(DATE(aa,6,1))&lt;&gt;MONTH(DATE(aa,6,1)-(WEEKDAY(DATE(aa,6,1))-1)+{0;1;2;3;4;5}*7+{1,2,3,4,5,6,7}-1),"",DATE(aa,6,1)-(WEEKDAY(DATE(aa,6,1))-1)+{0;1;2;3;4;5}*7+{1,2,3,4,5,6,7}-1)</definedName>
    <definedName name="Junho">IF(MONTH(DATE(aa,6,1))&lt;&gt;MONTH(DATE(aa,6,1)-(WEEKDAY(DATE(aa,6,1))-1)+{0;1;2;3;4;5}*7+{1,2,3,4,5,6,7}-1),"",DATE(aa,6,1)-(WEEKDAY(DATE(aa,6,1))-1)+{0;1;2;3;4;5}*7+{1,2,3,4,5,6,7}-1)</definedName>
    <definedName name="Maio" localSheetId="2">IF(MONTH(DATE(aa,5,1))&lt;&gt;MONTH(DATE(aa,5,1)-(WEEKDAY(DATE(aa,5,1))-1)+{0;1;2;3;4;5}*7+{1,2,3,4,5,6,7}-1),"",DATE(aa,5,1)-(WEEKDAY(DATE(aa,5,1))-1)+{0;1;2;3;4;5}*7+{1,2,3,4,5,6,7}-1)</definedName>
    <definedName name="Maio">IF(MONTH(DATE(aa,5,1))&lt;&gt;MONTH(DATE(aa,5,1)-(WEEKDAY(DATE(aa,5,1))-1)+{0;1;2;3;4;5}*7+{1,2,3,4,5,6,7}-1),"",DATE(aa,5,1)-(WEEKDAY(DATE(aa,5,1))-1)+{0;1;2;3;4;5}*7+{1,2,3,4,5,6,7}-1)</definedName>
    <definedName name="Marco" localSheetId="2">IF(MONTH(DATE(aa,3,1))&lt;&gt;MONTH(DATE(aa,3,1)-(WEEKDAY(DATE(aa,3,1))-1)+{0;1;2;3;4;5}*7+{1,2,3,4,5,6,7}-1),"",DATE(aa,3,1)-(WEEKDAY(DATE(aa,3,1))-1)+{0;1;2;3;4;5}*7+{1,2,3,4,5,6,7}-1)</definedName>
    <definedName name="Marco">IF(MONTH(DATE(aa,3,1))&lt;&gt;MONTH(DATE(aa,3,1)-(WEEKDAY(DATE(aa,3,1))-1)+{0;1;2;3;4;5}*7+{1,2,3,4,5,6,7}-1),"",DATE(aa,3,1)-(WEEKDAY(DATE(aa,3,1))-1)+{0;1;2;3;4;5}*7+{1,2,3,4,5,6,7}-1)</definedName>
    <definedName name="mes_1">Feriados!$H$29</definedName>
    <definedName name="mes_2">Feriados!$H$30</definedName>
    <definedName name="Meses">Feriados!$AK$52:$AK$63</definedName>
    <definedName name="NMês">Feriados!$AL$52:$AL$63</definedName>
    <definedName name="Novembro" localSheetId="2">IF(MONTH(DATE(aa,11,1))&lt;&gt;MONTH(DATE(aa,11,1)-(WEEKDAY(DATE(aa,11,1))-1)+{0;1;2;3;4;5}*7+{1,2,3,4,5,6,7}-1),"",DATE(aa,11,1)-(WEEKDAY(DATE(aa,11,1))-1)+{0;1;2;3;4;5}*7+{1,2,3,4,5,6,7}-1)</definedName>
    <definedName name="Novembro">IF(MONTH(DATE(aa,11,1))&lt;&gt;MONTH(DATE(aa,11,1)-(WEEKDAY(DATE(aa,11,1))-1)+{0;1;2;3;4;5}*7+{1,2,3,4,5,6,7}-1),"",DATE(aa,11,1)-(WEEKDAY(DATE(aa,11,1))-1)+{0;1;2;3;4;5}*7+{1,2,3,4,5,6,7}-1)</definedName>
    <definedName name="Outubro" localSheetId="2">IF(MONTH(DATE(aa,10,1))&lt;&gt;MONTH(DATE(aa,10,1)-(WEEKDAY(DATE(aa,10,1))-1)+{0;1;2;3;4;5}*7+{1,2,3,4,5,6,7}-1),"",DATE(aa,10,1)-(WEEKDAY(DATE(aa,10,1))-1)+{0;1;2;3;4;5}*7+{1,2,3,4,5,6,7}-1)</definedName>
    <definedName name="Outubro">IF(MONTH(DATE(aa,10,1))&lt;&gt;MONTH(DATE(aa,10,1)-(WEEKDAY(DATE(aa,10,1))-1)+{0;1;2;3;4;5}*7+{1,2,3,4,5,6,7}-1),"",DATE(aa,10,1)-(WEEKDAY(DATE(aa,10,1))-1)+{0;1;2;3;4;5}*7+{1,2,3,4,5,6,7}-1)</definedName>
    <definedName name="PDia">Feriados!$AK$51</definedName>
    <definedName name="Repousos">Calendário!$K$8:$K$79</definedName>
    <definedName name="Setembro" localSheetId="2">IF(MONTH(DATE(aa,9,1))&lt;&gt;MONTH(DATE(aa,9,1)-(WEEKDAY(DATE(aa,9,1))-1)+{0;1;2;3;4;5}*7+{1,2,3,4,5,6,7}-1),"",DATE(aa,9,1)-(WEEKDAY(DATE(aa,9,1))-1)+{0;1;2;3;4;5}*7+{1,2,3,4,5,6,7}-1)</definedName>
    <definedName name="Setembro">IF(MONTH(DATE(aa,9,1))&lt;&gt;MONTH(DATE(aa,9,1)-(WEEKDAY(DATE(aa,9,1))-1)+{0;1;2;3;4;5}*7+{1,2,3,4,5,6,7}-1),"",DATE(aa,9,1)-(WEEKDAY(DATE(aa,9,1))-1)+{0;1;2;3;4;5}*7+{1,2,3,4,5,6,7}-1)</definedName>
    <definedName name="tab_adnotdemo">'adicional noturno'!$A$1:$O$20</definedName>
    <definedName name="tab_calendario">Calendário!$A$4:$N$19</definedName>
    <definedName name="tab_ferdemo">Feriados!$B$1:$Q$24</definedName>
    <definedName name="tab_hedemo">'horas extras'!$A$1:$N$20</definedName>
    <definedName name="UDia">Feriados!$AL$51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0" i="13" l="1"/>
  <c r="L80" i="2"/>
  <c r="M9" i="13" l="1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3" i="13"/>
  <c r="M74" i="13"/>
  <c r="M75" i="13"/>
  <c r="M76" i="13"/>
  <c r="M77" i="13"/>
  <c r="M78" i="13"/>
  <c r="M79" i="13"/>
  <c r="M8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K54" i="13"/>
  <c r="K55" i="13"/>
  <c r="K56" i="13"/>
  <c r="K57" i="13"/>
  <c r="K58" i="13"/>
  <c r="K59" i="13"/>
  <c r="K60" i="13"/>
  <c r="K61" i="13"/>
  <c r="K62" i="13"/>
  <c r="K63" i="13"/>
  <c r="K64" i="13"/>
  <c r="K65" i="13"/>
  <c r="K66" i="13"/>
  <c r="K67" i="13"/>
  <c r="K68" i="13"/>
  <c r="K69" i="13"/>
  <c r="K70" i="13"/>
  <c r="K71" i="13"/>
  <c r="K72" i="13"/>
  <c r="K73" i="13"/>
  <c r="K74" i="13"/>
  <c r="K75" i="13"/>
  <c r="K76" i="13"/>
  <c r="K77" i="13"/>
  <c r="K78" i="13"/>
  <c r="K79" i="13"/>
  <c r="K8" i="13"/>
  <c r="U63" i="13"/>
  <c r="S63" i="13"/>
  <c r="H2" i="9" l="1"/>
  <c r="D102" i="9" l="1"/>
  <c r="A15" i="9" s="1"/>
  <c r="H15" i="9" s="1"/>
  <c r="H21" i="9" s="1"/>
  <c r="D101" i="9"/>
  <c r="A14" i="9" s="1"/>
  <c r="D100" i="9"/>
  <c r="A13" i="9" s="1"/>
  <c r="AK51" i="9"/>
  <c r="K13" i="9"/>
  <c r="M3" i="9"/>
  <c r="AL51" i="9" s="1"/>
  <c r="E2" i="9"/>
  <c r="E5" i="9" s="1"/>
  <c r="C2" i="9"/>
  <c r="C5" i="9" s="1"/>
  <c r="C15" i="9" l="1"/>
  <c r="C21" i="9" s="1"/>
  <c r="E15" i="9"/>
  <c r="E21" i="9" s="1"/>
  <c r="G15" i="9"/>
  <c r="G21" i="9" s="1"/>
  <c r="K6" i="9"/>
  <c r="L6" i="9" s="1"/>
  <c r="M6" i="9" s="1"/>
  <c r="N6" i="9" s="1"/>
  <c r="K15" i="9"/>
  <c r="I15" i="9"/>
  <c r="I21" i="9" s="1"/>
  <c r="H18" i="9"/>
  <c r="H23" i="9" s="1"/>
  <c r="H12" i="9"/>
  <c r="H11" i="9"/>
  <c r="H10" i="9"/>
  <c r="H9" i="9"/>
  <c r="H8" i="9"/>
  <c r="H7" i="9"/>
  <c r="H6" i="9"/>
  <c r="H4" i="9"/>
  <c r="H3" i="9"/>
  <c r="I2" i="9"/>
  <c r="G2" i="9"/>
  <c r="E3" i="9"/>
  <c r="C4" i="9"/>
  <c r="H5" i="9"/>
  <c r="E6" i="9"/>
  <c r="E7" i="9"/>
  <c r="C8" i="9"/>
  <c r="E9" i="9"/>
  <c r="C10" i="9"/>
  <c r="E11" i="9"/>
  <c r="C12" i="9"/>
  <c r="E18" i="9"/>
  <c r="D2" i="9"/>
  <c r="F2" i="9"/>
  <c r="F3" i="9" s="1"/>
  <c r="C3" i="9"/>
  <c r="E4" i="9"/>
  <c r="C6" i="9"/>
  <c r="C7" i="9"/>
  <c r="E8" i="9"/>
  <c r="C9" i="9"/>
  <c r="E10" i="9"/>
  <c r="C11" i="9"/>
  <c r="E12" i="9"/>
  <c r="C18" i="9"/>
  <c r="D15" i="9"/>
  <c r="D21" i="9" s="1"/>
  <c r="F15" i="9"/>
  <c r="F21" i="9" s="1"/>
  <c r="N15" i="9" l="1"/>
  <c r="O6" i="9"/>
  <c r="P6" i="9" s="1"/>
  <c r="Q6" i="9" s="1"/>
  <c r="K7" i="9" s="1"/>
  <c r="L7" i="9" s="1"/>
  <c r="M7" i="9" s="1"/>
  <c r="N7" i="9" s="1"/>
  <c r="O7" i="9" s="1"/>
  <c r="P7" i="9" s="1"/>
  <c r="Q7" i="9" s="1"/>
  <c r="K8" i="9" s="1"/>
  <c r="L8" i="9" s="1"/>
  <c r="M8" i="9" s="1"/>
  <c r="N8" i="9" s="1"/>
  <c r="O8" i="9" s="1"/>
  <c r="P8" i="9" s="1"/>
  <c r="Q8" i="9" s="1"/>
  <c r="K9" i="9" s="1"/>
  <c r="L9" i="9" s="1"/>
  <c r="M9" i="9" s="1"/>
  <c r="N9" i="9" s="1"/>
  <c r="O9" i="9" s="1"/>
  <c r="P9" i="9" s="1"/>
  <c r="Q9" i="9" s="1"/>
  <c r="K10" i="9" s="1"/>
  <c r="L10" i="9" s="1"/>
  <c r="M10" i="9" s="1"/>
  <c r="N10" i="9" s="1"/>
  <c r="O10" i="9" s="1"/>
  <c r="P10" i="9" s="1"/>
  <c r="Q10" i="9" s="1"/>
  <c r="K11" i="9" s="1"/>
  <c r="L11" i="9" s="1"/>
  <c r="M11" i="9" s="1"/>
  <c r="N11" i="9" s="1"/>
  <c r="O11" i="9" s="1"/>
  <c r="P11" i="9" s="1"/>
  <c r="Q11" i="9" s="1"/>
  <c r="H14" i="9"/>
  <c r="H24" i="9" s="1"/>
  <c r="H13" i="9"/>
  <c r="H22" i="9" s="1"/>
  <c r="C23" i="9"/>
  <c r="C13" i="9"/>
  <c r="C22" i="9" s="1"/>
  <c r="C14" i="9"/>
  <c r="C24" i="9" s="1"/>
  <c r="D18" i="9"/>
  <c r="D12" i="9"/>
  <c r="D11" i="9"/>
  <c r="D10" i="9"/>
  <c r="D9" i="9"/>
  <c r="D8" i="9"/>
  <c r="D7" i="9"/>
  <c r="D6" i="9"/>
  <c r="D4" i="9"/>
  <c r="D3" i="9"/>
  <c r="D5" i="9"/>
  <c r="E23" i="9"/>
  <c r="E14" i="9"/>
  <c r="E24" i="9" s="1"/>
  <c r="E13" i="9"/>
  <c r="E22" i="9" s="1"/>
  <c r="G5" i="9"/>
  <c r="G18" i="9"/>
  <c r="G11" i="9"/>
  <c r="G9" i="9"/>
  <c r="G7" i="9"/>
  <c r="G6" i="9"/>
  <c r="G3" i="9"/>
  <c r="G12" i="9"/>
  <c r="G10" i="9"/>
  <c r="G8" i="9"/>
  <c r="G4" i="9"/>
  <c r="F18" i="9"/>
  <c r="F12" i="9"/>
  <c r="F11" i="9"/>
  <c r="F10" i="9"/>
  <c r="F9" i="9"/>
  <c r="F8" i="9"/>
  <c r="F7" i="9"/>
  <c r="F6" i="9"/>
  <c r="F4" i="9"/>
  <c r="F5" i="9"/>
  <c r="I5" i="9"/>
  <c r="I12" i="9"/>
  <c r="I10" i="9"/>
  <c r="I8" i="9"/>
  <c r="I4" i="9"/>
  <c r="I18" i="9"/>
  <c r="I11" i="9"/>
  <c r="I9" i="9"/>
  <c r="I7" i="9"/>
  <c r="I6" i="9"/>
  <c r="I3" i="9"/>
  <c r="P15" i="9"/>
  <c r="I23" i="9" l="1"/>
  <c r="I14" i="9"/>
  <c r="I13" i="9"/>
  <c r="I22" i="9" s="1"/>
  <c r="F23" i="9"/>
  <c r="F14" i="9"/>
  <c r="F24" i="9" s="1"/>
  <c r="F13" i="9"/>
  <c r="F22" i="9" s="1"/>
  <c r="G23" i="9"/>
  <c r="G13" i="9"/>
  <c r="G22" i="9" s="1"/>
  <c r="G14" i="9"/>
  <c r="G24" i="9" s="1"/>
  <c r="D23" i="9"/>
  <c r="D14" i="9"/>
  <c r="D24" i="9" s="1"/>
  <c r="D13" i="9"/>
  <c r="D22" i="9" s="1"/>
  <c r="I24" i="9" l="1"/>
  <c r="B8" i="7" l="1"/>
  <c r="C8" i="7" l="1"/>
  <c r="B9" i="7" s="1"/>
  <c r="N8" i="7"/>
  <c r="C9" i="7" l="1"/>
  <c r="B10" i="7" s="1"/>
  <c r="A8" i="7"/>
  <c r="C8" i="13" s="1"/>
  <c r="L8" i="7"/>
  <c r="M8" i="7"/>
  <c r="H8" i="13" l="1"/>
  <c r="F8" i="13"/>
  <c r="E8" i="13"/>
  <c r="C8" i="2"/>
  <c r="K8" i="7"/>
  <c r="I8" i="13" s="1"/>
  <c r="C10" i="7"/>
  <c r="N9" i="7"/>
  <c r="J8" i="7"/>
  <c r="H8" i="7"/>
  <c r="G8" i="7"/>
  <c r="I8" i="7"/>
  <c r="D8" i="7"/>
  <c r="F8" i="7"/>
  <c r="E8" i="7"/>
  <c r="J8" i="13" l="1"/>
  <c r="L8" i="13" s="1"/>
  <c r="A9" i="7"/>
  <c r="L9" i="7"/>
  <c r="H9" i="7"/>
  <c r="M9" i="7"/>
  <c r="G9" i="7"/>
  <c r="J9" i="7"/>
  <c r="E9" i="7"/>
  <c r="F9" i="7"/>
  <c r="I9" i="7"/>
  <c r="D9" i="7"/>
  <c r="N8" i="13" l="1"/>
  <c r="O8" i="13" s="1"/>
  <c r="C9" i="13"/>
  <c r="K9" i="7"/>
  <c r="E9" i="13" l="1"/>
  <c r="I9" i="13"/>
  <c r="H9" i="13"/>
  <c r="F9" i="13"/>
  <c r="N10" i="7"/>
  <c r="A10" i="7"/>
  <c r="H10" i="7"/>
  <c r="M10" i="7"/>
  <c r="I10" i="7"/>
  <c r="F10" i="7"/>
  <c r="E10" i="7"/>
  <c r="G10" i="7"/>
  <c r="J10" i="7"/>
  <c r="D10" i="7"/>
  <c r="J9" i="13" l="1"/>
  <c r="L9" i="13" s="1"/>
  <c r="C10" i="13"/>
  <c r="B11" i="7"/>
  <c r="N11" i="7" s="1"/>
  <c r="L10" i="7"/>
  <c r="N9" i="13" l="1"/>
  <c r="O9" i="13"/>
  <c r="H10" i="13"/>
  <c r="F10" i="13"/>
  <c r="E10" i="13"/>
  <c r="C11" i="7"/>
  <c r="L11" i="7" s="1"/>
  <c r="K10" i="7"/>
  <c r="E8" i="2"/>
  <c r="F8" i="2" s="1"/>
  <c r="L8" i="2" s="1"/>
  <c r="H8" i="2"/>
  <c r="I8" i="2"/>
  <c r="A11" i="7"/>
  <c r="F11" i="7"/>
  <c r="M11" i="7"/>
  <c r="H11" i="7"/>
  <c r="D11" i="7"/>
  <c r="I10" i="13" l="1"/>
  <c r="J10" i="13" s="1"/>
  <c r="L10" i="13" s="1"/>
  <c r="C11" i="13"/>
  <c r="K11" i="7"/>
  <c r="B12" i="7"/>
  <c r="J8" i="2"/>
  <c r="K8" i="2" s="1"/>
  <c r="C10" i="2"/>
  <c r="C9" i="2"/>
  <c r="I11" i="7"/>
  <c r="J11" i="7"/>
  <c r="E11" i="7"/>
  <c r="G11" i="7"/>
  <c r="N10" i="13" l="1"/>
  <c r="O10" i="13" s="1"/>
  <c r="E11" i="13"/>
  <c r="I11" i="13"/>
  <c r="H11" i="13"/>
  <c r="F11" i="13"/>
  <c r="C12" i="7"/>
  <c r="A12" i="7"/>
  <c r="N12" i="7"/>
  <c r="E10" i="2"/>
  <c r="F10" i="2" s="1"/>
  <c r="L10" i="2" s="1"/>
  <c r="E9" i="2"/>
  <c r="F9" i="2" s="1"/>
  <c r="L9" i="2" s="1"/>
  <c r="M8" i="2"/>
  <c r="I10" i="2"/>
  <c r="H10" i="2"/>
  <c r="I9" i="2"/>
  <c r="H9" i="2"/>
  <c r="C11" i="2"/>
  <c r="F12" i="7"/>
  <c r="J12" i="7"/>
  <c r="H12" i="7"/>
  <c r="E12" i="7"/>
  <c r="I12" i="7"/>
  <c r="D12" i="7"/>
  <c r="M12" i="7"/>
  <c r="N8" i="2" l="1"/>
  <c r="J11" i="13"/>
  <c r="L11" i="13" s="1"/>
  <c r="C12" i="13"/>
  <c r="L12" i="7"/>
  <c r="K12" i="7" s="1"/>
  <c r="B13" i="7"/>
  <c r="E11" i="2"/>
  <c r="F11" i="2" s="1"/>
  <c r="L11" i="2" s="1"/>
  <c r="J9" i="2"/>
  <c r="K9" i="2" s="1"/>
  <c r="J10" i="2"/>
  <c r="K10" i="2" s="1"/>
  <c r="I11" i="2"/>
  <c r="H11" i="2"/>
  <c r="C12" i="2"/>
  <c r="G12" i="7"/>
  <c r="N11" i="13" l="1"/>
  <c r="H12" i="13"/>
  <c r="F12" i="13"/>
  <c r="E12" i="13"/>
  <c r="I12" i="13"/>
  <c r="C13" i="7"/>
  <c r="L13" i="7" s="1"/>
  <c r="N13" i="7"/>
  <c r="A13" i="7"/>
  <c r="E12" i="2"/>
  <c r="F12" i="2" s="1"/>
  <c r="L12" i="2" s="1"/>
  <c r="J11" i="2"/>
  <c r="K11" i="2" s="1"/>
  <c r="M10" i="2"/>
  <c r="N10" i="2" s="1"/>
  <c r="M9" i="2"/>
  <c r="I12" i="2"/>
  <c r="H12" i="2"/>
  <c r="M13" i="7"/>
  <c r="F13" i="7"/>
  <c r="D13" i="7"/>
  <c r="H13" i="7"/>
  <c r="E13" i="7"/>
  <c r="J13" i="7"/>
  <c r="G13" i="7"/>
  <c r="I13" i="7"/>
  <c r="O11" i="13" l="1"/>
  <c r="N9" i="2"/>
  <c r="J12" i="13"/>
  <c r="L12" i="13" s="1"/>
  <c r="C13" i="13"/>
  <c r="C13" i="2"/>
  <c r="E13" i="2" s="1"/>
  <c r="F13" i="2" s="1"/>
  <c r="L13" i="2" s="1"/>
  <c r="K13" i="7"/>
  <c r="I13" i="2" s="1"/>
  <c r="B14" i="7"/>
  <c r="J12" i="2"/>
  <c r="K12" i="2" s="1"/>
  <c r="M11" i="2"/>
  <c r="N11" i="2" s="1"/>
  <c r="N12" i="13" l="1"/>
  <c r="E13" i="13"/>
  <c r="F13" i="13" s="1"/>
  <c r="I13" i="13"/>
  <c r="H13" i="13"/>
  <c r="H13" i="2"/>
  <c r="J13" i="2" s="1"/>
  <c r="K13" i="2" s="1"/>
  <c r="C14" i="7"/>
  <c r="L14" i="7" s="1"/>
  <c r="N14" i="7"/>
  <c r="A14" i="7"/>
  <c r="M12" i="2"/>
  <c r="N12" i="2" s="1"/>
  <c r="F14" i="7"/>
  <c r="G14" i="7"/>
  <c r="E14" i="7"/>
  <c r="I14" i="7"/>
  <c r="H14" i="7"/>
  <c r="J14" i="7"/>
  <c r="M14" i="7"/>
  <c r="D14" i="7"/>
  <c r="O12" i="13" l="1"/>
  <c r="J13" i="13"/>
  <c r="L13" i="13" s="1"/>
  <c r="C14" i="13"/>
  <c r="K14" i="7"/>
  <c r="B15" i="7"/>
  <c r="M13" i="2"/>
  <c r="N13" i="2" s="1"/>
  <c r="C14" i="2"/>
  <c r="N13" i="13" l="1"/>
  <c r="O13" i="13" s="1"/>
  <c r="H14" i="13"/>
  <c r="E14" i="13"/>
  <c r="F14" i="13" s="1"/>
  <c r="I14" i="13"/>
  <c r="A15" i="7"/>
  <c r="N15" i="7"/>
  <c r="C15" i="7"/>
  <c r="E14" i="2"/>
  <c r="F14" i="2" s="1"/>
  <c r="L14" i="2" s="1"/>
  <c r="I14" i="2"/>
  <c r="H14" i="2"/>
  <c r="F15" i="7"/>
  <c r="G15" i="7"/>
  <c r="J15" i="7"/>
  <c r="H15" i="7"/>
  <c r="M15" i="7"/>
  <c r="I15" i="7"/>
  <c r="E15" i="7"/>
  <c r="D15" i="7"/>
  <c r="J14" i="13" l="1"/>
  <c r="C15" i="13"/>
  <c r="L15" i="7"/>
  <c r="K15" i="7" s="1"/>
  <c r="B16" i="7"/>
  <c r="J14" i="2"/>
  <c r="K14" i="2" s="1"/>
  <c r="C15" i="2"/>
  <c r="L14" i="13" l="1"/>
  <c r="N14" i="13" s="1"/>
  <c r="O14" i="13" s="1"/>
  <c r="E15" i="13"/>
  <c r="H15" i="13"/>
  <c r="I15" i="13"/>
  <c r="F15" i="13"/>
  <c r="A16" i="7"/>
  <c r="C16" i="7"/>
  <c r="N16" i="7"/>
  <c r="E15" i="2"/>
  <c r="F15" i="2" s="1"/>
  <c r="L15" i="2" s="1"/>
  <c r="M14" i="2"/>
  <c r="N14" i="2" s="1"/>
  <c r="I15" i="2"/>
  <c r="H15" i="2"/>
  <c r="H16" i="7"/>
  <c r="G16" i="7"/>
  <c r="J16" i="7"/>
  <c r="D16" i="7"/>
  <c r="I16" i="7"/>
  <c r="M16" i="7"/>
  <c r="F16" i="7"/>
  <c r="E16" i="7"/>
  <c r="J15" i="13" l="1"/>
  <c r="L15" i="13" s="1"/>
  <c r="N15" i="13" s="1"/>
  <c r="O15" i="13" s="1"/>
  <c r="C16" i="13"/>
  <c r="L16" i="7"/>
  <c r="K16" i="7" s="1"/>
  <c r="B17" i="7"/>
  <c r="J15" i="2"/>
  <c r="K15" i="2" s="1"/>
  <c r="C16" i="2"/>
  <c r="H16" i="13" l="1"/>
  <c r="E16" i="13"/>
  <c r="F16" i="13" s="1"/>
  <c r="I16" i="13"/>
  <c r="N17" i="7"/>
  <c r="C17" i="7"/>
  <c r="A17" i="7"/>
  <c r="E16" i="2"/>
  <c r="F16" i="2" s="1"/>
  <c r="L16" i="2" s="1"/>
  <c r="M15" i="2"/>
  <c r="N15" i="2" s="1"/>
  <c r="I16" i="2"/>
  <c r="H16" i="2"/>
  <c r="J17" i="7"/>
  <c r="H17" i="7"/>
  <c r="F17" i="7"/>
  <c r="G17" i="7"/>
  <c r="J16" i="13" l="1"/>
  <c r="L16" i="13" s="1"/>
  <c r="N16" i="13" s="1"/>
  <c r="O16" i="13" s="1"/>
  <c r="C17" i="13"/>
  <c r="L17" i="7"/>
  <c r="B18" i="7"/>
  <c r="J16" i="2"/>
  <c r="K16" i="2" s="1"/>
  <c r="C17" i="2"/>
  <c r="I17" i="7"/>
  <c r="E17" i="7"/>
  <c r="M17" i="7"/>
  <c r="D17" i="7"/>
  <c r="E17" i="13" l="1"/>
  <c r="F17" i="13" s="1"/>
  <c r="H17" i="13"/>
  <c r="K17" i="7"/>
  <c r="C18" i="7"/>
  <c r="L18" i="7" s="1"/>
  <c r="A18" i="7"/>
  <c r="N18" i="7"/>
  <c r="E17" i="2"/>
  <c r="F17" i="2" s="1"/>
  <c r="L17" i="2" s="1"/>
  <c r="M16" i="2"/>
  <c r="N16" i="2" s="1"/>
  <c r="H17" i="2"/>
  <c r="J18" i="7"/>
  <c r="E18" i="7"/>
  <c r="M18" i="7"/>
  <c r="I18" i="7"/>
  <c r="C18" i="13" l="1"/>
  <c r="I17" i="13"/>
  <c r="J17" i="13" s="1"/>
  <c r="L17" i="13" s="1"/>
  <c r="I17" i="2"/>
  <c r="J17" i="2" s="1"/>
  <c r="K17" i="2" s="1"/>
  <c r="K18" i="7"/>
  <c r="B19" i="7"/>
  <c r="C18" i="2"/>
  <c r="G18" i="7"/>
  <c r="D18" i="7"/>
  <c r="F18" i="7"/>
  <c r="H18" i="7"/>
  <c r="N17" i="13" l="1"/>
  <c r="O17" i="13" s="1"/>
  <c r="H18" i="13"/>
  <c r="E18" i="13"/>
  <c r="F18" i="13" s="1"/>
  <c r="I18" i="13"/>
  <c r="C19" i="7"/>
  <c r="L19" i="7" s="1"/>
  <c r="A19" i="7"/>
  <c r="N19" i="7"/>
  <c r="E18" i="2"/>
  <c r="F18" i="2" s="1"/>
  <c r="L18" i="2" s="1"/>
  <c r="M17" i="2"/>
  <c r="N17" i="2" s="1"/>
  <c r="I18" i="2"/>
  <c r="H18" i="2"/>
  <c r="H19" i="7"/>
  <c r="E19" i="7"/>
  <c r="G19" i="7"/>
  <c r="I19" i="7"/>
  <c r="J19" i="7"/>
  <c r="D19" i="7"/>
  <c r="F19" i="7"/>
  <c r="J18" i="13" l="1"/>
  <c r="L18" i="13" s="1"/>
  <c r="C19" i="13"/>
  <c r="B20" i="7"/>
  <c r="J18" i="2"/>
  <c r="K18" i="2" s="1"/>
  <c r="C19" i="2"/>
  <c r="M19" i="7"/>
  <c r="N18" i="13" l="1"/>
  <c r="O18" i="13" s="1"/>
  <c r="E19" i="13"/>
  <c r="F19" i="13" s="1"/>
  <c r="H19" i="13"/>
  <c r="K19" i="7"/>
  <c r="I19" i="13" s="1"/>
  <c r="N20" i="7"/>
  <c r="C20" i="7"/>
  <c r="L20" i="7" s="1"/>
  <c r="A20" i="7"/>
  <c r="E19" i="2"/>
  <c r="F19" i="2" s="1"/>
  <c r="L19" i="2" s="1"/>
  <c r="M18" i="2"/>
  <c r="N18" i="2" s="1"/>
  <c r="H19" i="2"/>
  <c r="J19" i="13" l="1"/>
  <c r="L19" i="13" s="1"/>
  <c r="L80" i="13" s="1"/>
  <c r="C20" i="13"/>
  <c r="I19" i="2"/>
  <c r="B21" i="7"/>
  <c r="C20" i="2"/>
  <c r="H20" i="7"/>
  <c r="J20" i="7"/>
  <c r="E20" i="7"/>
  <c r="D20" i="7"/>
  <c r="G20" i="7"/>
  <c r="I20" i="7"/>
  <c r="M20" i="7"/>
  <c r="F20" i="7"/>
  <c r="J19" i="2" l="1"/>
  <c r="K19" i="2" s="1"/>
  <c r="K80" i="2" s="1"/>
  <c r="N19" i="13"/>
  <c r="H20" i="13"/>
  <c r="J20" i="13"/>
  <c r="E20" i="13"/>
  <c r="N20" i="13"/>
  <c r="F20" i="13"/>
  <c r="O20" i="13"/>
  <c r="I20" i="13"/>
  <c r="K20" i="7"/>
  <c r="C21" i="7"/>
  <c r="N21" i="7"/>
  <c r="A21" i="7"/>
  <c r="E20" i="2"/>
  <c r="F20" i="2" s="1"/>
  <c r="L20" i="2" s="1"/>
  <c r="I20" i="2"/>
  <c r="H20" i="2"/>
  <c r="F21" i="7"/>
  <c r="I21" i="7"/>
  <c r="H21" i="7"/>
  <c r="E21" i="7"/>
  <c r="D21" i="7"/>
  <c r="O19" i="13" l="1"/>
  <c r="N80" i="13"/>
  <c r="M19" i="2"/>
  <c r="M80" i="2" s="1"/>
  <c r="C21" i="13"/>
  <c r="B22" i="7"/>
  <c r="L21" i="7"/>
  <c r="J20" i="2"/>
  <c r="K20" i="2" s="1"/>
  <c r="C21" i="2"/>
  <c r="M21" i="7"/>
  <c r="G21" i="7"/>
  <c r="J21" i="7"/>
  <c r="N19" i="2" l="1"/>
  <c r="O21" i="13"/>
  <c r="J21" i="13"/>
  <c r="E21" i="13"/>
  <c r="H21" i="13"/>
  <c r="N21" i="13"/>
  <c r="I21" i="13"/>
  <c r="F21" i="13"/>
  <c r="C22" i="7"/>
  <c r="L22" i="7" s="1"/>
  <c r="N22" i="7"/>
  <c r="A22" i="7"/>
  <c r="K21" i="7"/>
  <c r="E21" i="2"/>
  <c r="F21" i="2" s="1"/>
  <c r="L21" i="2" s="1"/>
  <c r="M20" i="2"/>
  <c r="N20" i="2" s="1"/>
  <c r="H21" i="2"/>
  <c r="J22" i="7"/>
  <c r="D22" i="7"/>
  <c r="F22" i="7"/>
  <c r="I22" i="7"/>
  <c r="H22" i="7"/>
  <c r="E22" i="7"/>
  <c r="G22" i="7"/>
  <c r="C22" i="13" l="1"/>
  <c r="M22" i="7"/>
  <c r="K22" i="7"/>
  <c r="I21" i="2"/>
  <c r="J21" i="2" s="1"/>
  <c r="K21" i="2" s="1"/>
  <c r="B23" i="7"/>
  <c r="C22" i="2"/>
  <c r="H22" i="13" l="1"/>
  <c r="J22" i="13"/>
  <c r="N22" i="13"/>
  <c r="F22" i="13"/>
  <c r="O22" i="13"/>
  <c r="E22" i="13"/>
  <c r="I22" i="13"/>
  <c r="C23" i="7"/>
  <c r="L23" i="7" s="1"/>
  <c r="N23" i="7"/>
  <c r="A23" i="7"/>
  <c r="E22" i="2"/>
  <c r="F22" i="2" s="1"/>
  <c r="L22" i="2" s="1"/>
  <c r="M21" i="2"/>
  <c r="N21" i="2" s="1"/>
  <c r="I22" i="2"/>
  <c r="H22" i="2"/>
  <c r="M23" i="7"/>
  <c r="D23" i="7"/>
  <c r="E23" i="7"/>
  <c r="I23" i="7"/>
  <c r="H23" i="7"/>
  <c r="J23" i="7"/>
  <c r="G23" i="7"/>
  <c r="F23" i="7"/>
  <c r="C23" i="13" l="1"/>
  <c r="K23" i="7"/>
  <c r="B24" i="7"/>
  <c r="J22" i="2"/>
  <c r="K22" i="2" s="1"/>
  <c r="C23" i="2"/>
  <c r="O23" i="13" l="1"/>
  <c r="J23" i="13"/>
  <c r="E23" i="13"/>
  <c r="N23" i="13"/>
  <c r="I23" i="13"/>
  <c r="H23" i="13"/>
  <c r="F23" i="13"/>
  <c r="C24" i="7"/>
  <c r="N24" i="7"/>
  <c r="A24" i="7"/>
  <c r="E23" i="2"/>
  <c r="F23" i="2" s="1"/>
  <c r="L23" i="2" s="1"/>
  <c r="M22" i="2"/>
  <c r="N22" i="2" s="1"/>
  <c r="I23" i="2"/>
  <c r="H23" i="2"/>
  <c r="F24" i="7"/>
  <c r="C24" i="13" l="1"/>
  <c r="B25" i="7"/>
  <c r="L24" i="7"/>
  <c r="J23" i="2"/>
  <c r="K23" i="2" s="1"/>
  <c r="C24" i="2"/>
  <c r="E24" i="7"/>
  <c r="J24" i="7"/>
  <c r="H24" i="7"/>
  <c r="M24" i="7"/>
  <c r="D24" i="7"/>
  <c r="I24" i="7"/>
  <c r="G24" i="7"/>
  <c r="H24" i="13" l="1"/>
  <c r="E24" i="13"/>
  <c r="N24" i="13"/>
  <c r="J24" i="13"/>
  <c r="O24" i="13"/>
  <c r="I24" i="13"/>
  <c r="F24" i="13"/>
  <c r="K24" i="7"/>
  <c r="A25" i="7"/>
  <c r="C25" i="7"/>
  <c r="L25" i="7" s="1"/>
  <c r="N25" i="7"/>
  <c r="E24" i="2"/>
  <c r="F24" i="2" s="1"/>
  <c r="L24" i="2" s="1"/>
  <c r="M23" i="2"/>
  <c r="N23" i="2" s="1"/>
  <c r="H24" i="2"/>
  <c r="F25" i="7"/>
  <c r="M25" i="7"/>
  <c r="G25" i="7"/>
  <c r="D25" i="7"/>
  <c r="J25" i="7"/>
  <c r="H25" i="7"/>
  <c r="E25" i="7"/>
  <c r="I25" i="7"/>
  <c r="C25" i="13" l="1"/>
  <c r="I24" i="2"/>
  <c r="J24" i="2" s="1"/>
  <c r="K24" i="2" s="1"/>
  <c r="B26" i="7"/>
  <c r="K25" i="7"/>
  <c r="C25" i="2"/>
  <c r="O25" i="13" l="1"/>
  <c r="J25" i="13"/>
  <c r="E25" i="13"/>
  <c r="F25" i="13"/>
  <c r="N25" i="13"/>
  <c r="I25" i="13"/>
  <c r="H25" i="13"/>
  <c r="A26" i="7"/>
  <c r="C26" i="7"/>
  <c r="L26" i="7" s="1"/>
  <c r="N26" i="7"/>
  <c r="E25" i="2"/>
  <c r="F25" i="2" s="1"/>
  <c r="L25" i="2" s="1"/>
  <c r="M24" i="2"/>
  <c r="N24" i="2" s="1"/>
  <c r="I25" i="2"/>
  <c r="H25" i="2"/>
  <c r="F26" i="7"/>
  <c r="H26" i="7"/>
  <c r="D26" i="7"/>
  <c r="G26" i="7"/>
  <c r="I26" i="7"/>
  <c r="J26" i="7"/>
  <c r="M26" i="7"/>
  <c r="E26" i="7"/>
  <c r="C26" i="13" l="1"/>
  <c r="B27" i="7"/>
  <c r="K26" i="7"/>
  <c r="J25" i="2"/>
  <c r="K25" i="2" s="1"/>
  <c r="C26" i="2"/>
  <c r="H26" i="13" l="1"/>
  <c r="N26" i="13"/>
  <c r="F26" i="13"/>
  <c r="J26" i="13"/>
  <c r="I26" i="13"/>
  <c r="E26" i="13"/>
  <c r="O26" i="13"/>
  <c r="C27" i="7"/>
  <c r="N27" i="7"/>
  <c r="A27" i="7"/>
  <c r="E26" i="2"/>
  <c r="F26" i="2" s="1"/>
  <c r="L26" i="2" s="1"/>
  <c r="M25" i="2"/>
  <c r="N25" i="2" s="1"/>
  <c r="I26" i="2"/>
  <c r="H26" i="2"/>
  <c r="D27" i="7"/>
  <c r="C27" i="13" l="1"/>
  <c r="B28" i="7"/>
  <c r="L27" i="7"/>
  <c r="J26" i="2"/>
  <c r="K26" i="2" s="1"/>
  <c r="C27" i="2"/>
  <c r="I27" i="7"/>
  <c r="E27" i="7"/>
  <c r="J27" i="7"/>
  <c r="G27" i="7"/>
  <c r="F27" i="7"/>
  <c r="H27" i="7"/>
  <c r="M27" i="7"/>
  <c r="O27" i="13" l="1"/>
  <c r="J27" i="13"/>
  <c r="E27" i="13"/>
  <c r="N27" i="13"/>
  <c r="H27" i="13"/>
  <c r="I27" i="13"/>
  <c r="F27" i="13"/>
  <c r="K27" i="7"/>
  <c r="C28" i="7"/>
  <c r="N28" i="7"/>
  <c r="A28" i="7"/>
  <c r="E27" i="2"/>
  <c r="F27" i="2" s="1"/>
  <c r="L27" i="2" s="1"/>
  <c r="M26" i="2"/>
  <c r="N26" i="2" s="1"/>
  <c r="H27" i="2"/>
  <c r="H28" i="7"/>
  <c r="D28" i="7"/>
  <c r="J28" i="7"/>
  <c r="C28" i="13" l="1"/>
  <c r="B29" i="7"/>
  <c r="I27" i="2"/>
  <c r="J27" i="2" s="1"/>
  <c r="K27" i="2" s="1"/>
  <c r="L28" i="7"/>
  <c r="C28" i="2"/>
  <c r="E28" i="7"/>
  <c r="I28" i="7"/>
  <c r="F28" i="7"/>
  <c r="M28" i="7"/>
  <c r="G28" i="7"/>
  <c r="H28" i="13" l="1"/>
  <c r="O28" i="13"/>
  <c r="I28" i="13"/>
  <c r="N28" i="13"/>
  <c r="F28" i="13"/>
  <c r="E28" i="13"/>
  <c r="J28" i="13"/>
  <c r="C29" i="7"/>
  <c r="L29" i="7" s="1"/>
  <c r="N29" i="7"/>
  <c r="A29" i="7"/>
  <c r="K28" i="7"/>
  <c r="E28" i="2"/>
  <c r="F28" i="2" s="1"/>
  <c r="L28" i="2" s="1"/>
  <c r="M27" i="2"/>
  <c r="N27" i="2" s="1"/>
  <c r="H28" i="2"/>
  <c r="G29" i="7"/>
  <c r="F29" i="7"/>
  <c r="E29" i="7"/>
  <c r="J29" i="7"/>
  <c r="H29" i="7"/>
  <c r="D29" i="7"/>
  <c r="I29" i="7"/>
  <c r="C29" i="13" l="1"/>
  <c r="I28" i="2"/>
  <c r="J28" i="2" s="1"/>
  <c r="K28" i="2" s="1"/>
  <c r="B30" i="7"/>
  <c r="C29" i="2"/>
  <c r="M29" i="7"/>
  <c r="O29" i="13" l="1"/>
  <c r="J29" i="13"/>
  <c r="E29" i="13"/>
  <c r="I29" i="13"/>
  <c r="N29" i="13"/>
  <c r="H29" i="13"/>
  <c r="F29" i="13"/>
  <c r="K29" i="7"/>
  <c r="C30" i="7"/>
  <c r="L30" i="7" s="1"/>
  <c r="N30" i="7"/>
  <c r="A30" i="7"/>
  <c r="C30" i="13" s="1"/>
  <c r="E29" i="2"/>
  <c r="F29" i="2" s="1"/>
  <c r="L29" i="2" s="1"/>
  <c r="M28" i="2"/>
  <c r="N28" i="2" s="1"/>
  <c r="I29" i="2"/>
  <c r="H29" i="2"/>
  <c r="G30" i="7"/>
  <c r="D30" i="7"/>
  <c r="J30" i="7"/>
  <c r="E30" i="7"/>
  <c r="F30" i="7"/>
  <c r="I30" i="7"/>
  <c r="H30" i="13" l="1"/>
  <c r="J30" i="13"/>
  <c r="F30" i="13"/>
  <c r="E30" i="13"/>
  <c r="I30" i="13"/>
  <c r="O30" i="13"/>
  <c r="N30" i="13"/>
  <c r="M30" i="7"/>
  <c r="K30" i="7"/>
  <c r="B31" i="7"/>
  <c r="J29" i="2"/>
  <c r="K29" i="2" s="1"/>
  <c r="C30" i="2"/>
  <c r="H30" i="7"/>
  <c r="C31" i="7" l="1"/>
  <c r="N31" i="7"/>
  <c r="A31" i="7"/>
  <c r="E30" i="2"/>
  <c r="F30" i="2" s="1"/>
  <c r="L30" i="2" s="1"/>
  <c r="M29" i="2"/>
  <c r="N29" i="2" s="1"/>
  <c r="I30" i="2"/>
  <c r="H30" i="2"/>
  <c r="G31" i="7"/>
  <c r="J31" i="7"/>
  <c r="C31" i="13" l="1"/>
  <c r="B32" i="7"/>
  <c r="L31" i="7"/>
  <c r="J30" i="2"/>
  <c r="K30" i="2" s="1"/>
  <c r="C31" i="2"/>
  <c r="H31" i="7"/>
  <c r="I31" i="7"/>
  <c r="F31" i="7"/>
  <c r="M31" i="7"/>
  <c r="E31" i="7"/>
  <c r="D31" i="7"/>
  <c r="O31" i="13" l="1"/>
  <c r="J31" i="13"/>
  <c r="E31" i="13"/>
  <c r="N31" i="13"/>
  <c r="I31" i="13"/>
  <c r="H31" i="13"/>
  <c r="F31" i="13"/>
  <c r="A32" i="7"/>
  <c r="C32" i="7"/>
  <c r="L32" i="7" s="1"/>
  <c r="N32" i="7"/>
  <c r="K31" i="7"/>
  <c r="E31" i="2"/>
  <c r="F31" i="2" s="1"/>
  <c r="L31" i="2" s="1"/>
  <c r="M30" i="2"/>
  <c r="N30" i="2" s="1"/>
  <c r="H31" i="2"/>
  <c r="E32" i="7"/>
  <c r="F32" i="7"/>
  <c r="H32" i="7"/>
  <c r="M32" i="7"/>
  <c r="D32" i="7"/>
  <c r="G32" i="7"/>
  <c r="I32" i="7"/>
  <c r="J32" i="7"/>
  <c r="C32" i="13" l="1"/>
  <c r="B33" i="7"/>
  <c r="K32" i="7"/>
  <c r="I31" i="2"/>
  <c r="J31" i="2" s="1"/>
  <c r="K31" i="2" s="1"/>
  <c r="C32" i="2"/>
  <c r="H32" i="13" l="1"/>
  <c r="F32" i="13"/>
  <c r="O32" i="13"/>
  <c r="E32" i="13"/>
  <c r="J32" i="13"/>
  <c r="I32" i="13"/>
  <c r="N32" i="13"/>
  <c r="A33" i="7"/>
  <c r="C33" i="7"/>
  <c r="L33" i="7" s="1"/>
  <c r="N33" i="7"/>
  <c r="E32" i="2"/>
  <c r="F32" i="2" s="1"/>
  <c r="L32" i="2" s="1"/>
  <c r="M31" i="2"/>
  <c r="N31" i="2" s="1"/>
  <c r="I32" i="2"/>
  <c r="H32" i="2"/>
  <c r="M33" i="7"/>
  <c r="J33" i="7"/>
  <c r="G33" i="7"/>
  <c r="C33" i="13" l="1"/>
  <c r="B34" i="7"/>
  <c r="K33" i="7"/>
  <c r="J32" i="2"/>
  <c r="K32" i="2" s="1"/>
  <c r="C33" i="2"/>
  <c r="H33" i="7"/>
  <c r="F33" i="7"/>
  <c r="D33" i="7"/>
  <c r="I33" i="7"/>
  <c r="E33" i="7"/>
  <c r="O33" i="13" l="1"/>
  <c r="J33" i="13"/>
  <c r="E33" i="13"/>
  <c r="N33" i="13"/>
  <c r="I33" i="13"/>
  <c r="H33" i="13"/>
  <c r="F33" i="13"/>
  <c r="C34" i="7"/>
  <c r="L34" i="7" s="1"/>
  <c r="N34" i="7"/>
  <c r="A34" i="7"/>
  <c r="C34" i="13" s="1"/>
  <c r="E33" i="2"/>
  <c r="F33" i="2" s="1"/>
  <c r="L33" i="2" s="1"/>
  <c r="M32" i="2"/>
  <c r="N32" i="2" s="1"/>
  <c r="I33" i="2"/>
  <c r="H33" i="2"/>
  <c r="H34" i="7"/>
  <c r="I34" i="7"/>
  <c r="D34" i="7"/>
  <c r="F34" i="7"/>
  <c r="G34" i="7"/>
  <c r="E34" i="7"/>
  <c r="J34" i="7"/>
  <c r="H34" i="13" l="1"/>
  <c r="F34" i="13"/>
  <c r="J34" i="13"/>
  <c r="E34" i="13"/>
  <c r="I34" i="13"/>
  <c r="O34" i="13"/>
  <c r="N34" i="13"/>
  <c r="M34" i="7"/>
  <c r="K34" i="7"/>
  <c r="B35" i="7"/>
  <c r="J33" i="2"/>
  <c r="K33" i="2" s="1"/>
  <c r="C34" i="2"/>
  <c r="C35" i="7" l="1"/>
  <c r="L35" i="7" s="1"/>
  <c r="N35" i="7"/>
  <c r="A35" i="7"/>
  <c r="E34" i="2"/>
  <c r="F34" i="2" s="1"/>
  <c r="L34" i="2" s="1"/>
  <c r="M33" i="2"/>
  <c r="N33" i="2" s="1"/>
  <c r="I34" i="2"/>
  <c r="H34" i="2"/>
  <c r="C35" i="13" l="1"/>
  <c r="B36" i="7"/>
  <c r="J34" i="2"/>
  <c r="K34" i="2" s="1"/>
  <c r="C35" i="2"/>
  <c r="H35" i="7"/>
  <c r="F35" i="7"/>
  <c r="E35" i="7"/>
  <c r="D35" i="7"/>
  <c r="J35" i="7"/>
  <c r="G35" i="7"/>
  <c r="M35" i="7"/>
  <c r="I35" i="7"/>
  <c r="O35" i="13" l="1"/>
  <c r="J35" i="13"/>
  <c r="E35" i="13"/>
  <c r="N35" i="13"/>
  <c r="I35" i="13"/>
  <c r="H35" i="13"/>
  <c r="F35" i="13"/>
  <c r="K35" i="7"/>
  <c r="A36" i="7"/>
  <c r="C36" i="7"/>
  <c r="L36" i="7" s="1"/>
  <c r="N36" i="7"/>
  <c r="E35" i="2"/>
  <c r="F35" i="2" s="1"/>
  <c r="L35" i="2" s="1"/>
  <c r="M34" i="2"/>
  <c r="N34" i="2" s="1"/>
  <c r="I35" i="2"/>
  <c r="H35" i="2"/>
  <c r="J36" i="7"/>
  <c r="G36" i="7"/>
  <c r="I36" i="7"/>
  <c r="H36" i="7"/>
  <c r="F36" i="7"/>
  <c r="C36" i="13" l="1"/>
  <c r="M36" i="7"/>
  <c r="B37" i="7"/>
  <c r="K36" i="7"/>
  <c r="J35" i="2"/>
  <c r="K35" i="2" s="1"/>
  <c r="C36" i="2"/>
  <c r="D36" i="7"/>
  <c r="E36" i="7"/>
  <c r="H36" i="13" l="1"/>
  <c r="F36" i="13"/>
  <c r="O36" i="13"/>
  <c r="E36" i="13"/>
  <c r="I36" i="13"/>
  <c r="N36" i="13"/>
  <c r="J36" i="13"/>
  <c r="A37" i="7"/>
  <c r="C37" i="7"/>
  <c r="L37" i="7" s="1"/>
  <c r="N37" i="7"/>
  <c r="E36" i="2"/>
  <c r="F36" i="2" s="1"/>
  <c r="L36" i="2" s="1"/>
  <c r="M35" i="2"/>
  <c r="N35" i="2" s="1"/>
  <c r="I36" i="2"/>
  <c r="H36" i="2"/>
  <c r="F37" i="7"/>
  <c r="G37" i="7"/>
  <c r="H37" i="7"/>
  <c r="D37" i="7"/>
  <c r="E37" i="7"/>
  <c r="J37" i="7"/>
  <c r="C37" i="13" l="1"/>
  <c r="B38" i="7"/>
  <c r="J36" i="2"/>
  <c r="K36" i="2" s="1"/>
  <c r="C37" i="2"/>
  <c r="I37" i="7"/>
  <c r="M37" i="7"/>
  <c r="O37" i="13" l="1"/>
  <c r="J37" i="13"/>
  <c r="E37" i="13"/>
  <c r="N37" i="13"/>
  <c r="I37" i="13"/>
  <c r="H37" i="13"/>
  <c r="F37" i="13"/>
  <c r="K37" i="7"/>
  <c r="A38" i="7"/>
  <c r="C38" i="7"/>
  <c r="L38" i="7" s="1"/>
  <c r="N38" i="7"/>
  <c r="E37" i="2"/>
  <c r="F37" i="2" s="1"/>
  <c r="L37" i="2" s="1"/>
  <c r="M36" i="2"/>
  <c r="N36" i="2" s="1"/>
  <c r="I37" i="2"/>
  <c r="H37" i="2"/>
  <c r="C38" i="13" l="1"/>
  <c r="B39" i="7"/>
  <c r="J37" i="2"/>
  <c r="K37" i="2" s="1"/>
  <c r="C38" i="2"/>
  <c r="J38" i="7"/>
  <c r="D38" i="7"/>
  <c r="H38" i="7"/>
  <c r="F38" i="7"/>
  <c r="I38" i="7"/>
  <c r="G38" i="7"/>
  <c r="E38" i="7"/>
  <c r="M38" i="7"/>
  <c r="H38" i="13" l="1"/>
  <c r="F38" i="13"/>
  <c r="J38" i="13"/>
  <c r="I38" i="13"/>
  <c r="O38" i="13"/>
  <c r="E38" i="13"/>
  <c r="N38" i="13"/>
  <c r="K38" i="7"/>
  <c r="C39" i="7"/>
  <c r="L39" i="7" s="1"/>
  <c r="N39" i="7"/>
  <c r="A39" i="7"/>
  <c r="E38" i="2"/>
  <c r="F38" i="2" s="1"/>
  <c r="L38" i="2" s="1"/>
  <c r="M37" i="2"/>
  <c r="N37" i="2" s="1"/>
  <c r="I38" i="2"/>
  <c r="H38" i="2"/>
  <c r="G39" i="7"/>
  <c r="F39" i="7"/>
  <c r="E39" i="7"/>
  <c r="I39" i="7"/>
  <c r="J39" i="7"/>
  <c r="C39" i="13" l="1"/>
  <c r="M39" i="7"/>
  <c r="K39" i="7"/>
  <c r="B40" i="7"/>
  <c r="J38" i="2"/>
  <c r="K38" i="2" s="1"/>
  <c r="C39" i="2"/>
  <c r="D39" i="7"/>
  <c r="H39" i="7"/>
  <c r="O39" i="13" l="1"/>
  <c r="J39" i="13"/>
  <c r="E39" i="13"/>
  <c r="N39" i="13"/>
  <c r="I39" i="13"/>
  <c r="H39" i="13"/>
  <c r="F39" i="13"/>
  <c r="A40" i="7"/>
  <c r="C40" i="7"/>
  <c r="L40" i="7" s="1"/>
  <c r="N40" i="7"/>
  <c r="E39" i="2"/>
  <c r="F39" i="2" s="1"/>
  <c r="L39" i="2" s="1"/>
  <c r="M38" i="2"/>
  <c r="N38" i="2" s="1"/>
  <c r="I39" i="2"/>
  <c r="H39" i="2"/>
  <c r="G40" i="7"/>
  <c r="J40" i="7"/>
  <c r="I40" i="7"/>
  <c r="D40" i="7"/>
  <c r="E40" i="7"/>
  <c r="M40" i="7"/>
  <c r="C40" i="13" l="1"/>
  <c r="B41" i="7"/>
  <c r="K40" i="7"/>
  <c r="J39" i="2"/>
  <c r="K39" i="2" s="1"/>
  <c r="C40" i="2"/>
  <c r="H40" i="7"/>
  <c r="F40" i="7"/>
  <c r="H40" i="13" l="1"/>
  <c r="F40" i="13"/>
  <c r="O40" i="13"/>
  <c r="E40" i="13"/>
  <c r="J40" i="13"/>
  <c r="I40" i="13"/>
  <c r="N40" i="13"/>
  <c r="A41" i="7"/>
  <c r="C41" i="7"/>
  <c r="L41" i="7" s="1"/>
  <c r="N41" i="7"/>
  <c r="E40" i="2"/>
  <c r="F40" i="2" s="1"/>
  <c r="L40" i="2" s="1"/>
  <c r="M39" i="2"/>
  <c r="N39" i="2" s="1"/>
  <c r="I40" i="2"/>
  <c r="H40" i="2"/>
  <c r="D41" i="7"/>
  <c r="E41" i="7"/>
  <c r="J41" i="7"/>
  <c r="I41" i="7"/>
  <c r="C41" i="13" l="1"/>
  <c r="B42" i="7"/>
  <c r="J40" i="2"/>
  <c r="K40" i="2" s="1"/>
  <c r="C41" i="2"/>
  <c r="M41" i="7"/>
  <c r="H41" i="7"/>
  <c r="G41" i="7"/>
  <c r="F41" i="7"/>
  <c r="O41" i="13" l="1"/>
  <c r="J41" i="13"/>
  <c r="E41" i="13"/>
  <c r="N41" i="13"/>
  <c r="I41" i="13"/>
  <c r="F41" i="13"/>
  <c r="H41" i="13"/>
  <c r="K41" i="7"/>
  <c r="A42" i="7"/>
  <c r="C42" i="7"/>
  <c r="L42" i="7" s="1"/>
  <c r="N42" i="7"/>
  <c r="E41" i="2"/>
  <c r="F41" i="2" s="1"/>
  <c r="L41" i="2" s="1"/>
  <c r="M40" i="2"/>
  <c r="N40" i="2" s="1"/>
  <c r="I41" i="2"/>
  <c r="H41" i="2"/>
  <c r="J42" i="7"/>
  <c r="D42" i="7"/>
  <c r="G42" i="7"/>
  <c r="C42" i="13" l="1"/>
  <c r="M42" i="7"/>
  <c r="B43" i="7"/>
  <c r="K42" i="7"/>
  <c r="J41" i="2"/>
  <c r="K41" i="2" s="1"/>
  <c r="C42" i="2"/>
  <c r="H42" i="7"/>
  <c r="E42" i="7"/>
  <c r="F42" i="7"/>
  <c r="I42" i="7"/>
  <c r="H42" i="13" l="1"/>
  <c r="F42" i="13"/>
  <c r="J42" i="13"/>
  <c r="N42" i="13"/>
  <c r="I42" i="13"/>
  <c r="O42" i="13"/>
  <c r="E42" i="13"/>
  <c r="C43" i="7"/>
  <c r="N43" i="7"/>
  <c r="A43" i="7"/>
  <c r="E42" i="2"/>
  <c r="F42" i="2" s="1"/>
  <c r="L42" i="2" s="1"/>
  <c r="M41" i="2"/>
  <c r="N41" i="2" s="1"/>
  <c r="I42" i="2"/>
  <c r="H42" i="2"/>
  <c r="M43" i="7"/>
  <c r="I43" i="7"/>
  <c r="J43" i="7"/>
  <c r="H43" i="7"/>
  <c r="G43" i="7"/>
  <c r="C43" i="13" l="1"/>
  <c r="B44" i="7"/>
  <c r="L43" i="7"/>
  <c r="J42" i="2"/>
  <c r="K42" i="2" s="1"/>
  <c r="C43" i="2"/>
  <c r="F43" i="7"/>
  <c r="E43" i="7"/>
  <c r="D43" i="7"/>
  <c r="O43" i="13" l="1"/>
  <c r="J43" i="13"/>
  <c r="E43" i="13"/>
  <c r="N43" i="13"/>
  <c r="I43" i="13"/>
  <c r="H43" i="13"/>
  <c r="F43" i="13"/>
  <c r="K43" i="7"/>
  <c r="A44" i="7"/>
  <c r="C44" i="13" s="1"/>
  <c r="C44" i="7"/>
  <c r="L44" i="7" s="1"/>
  <c r="N44" i="7"/>
  <c r="E43" i="2"/>
  <c r="F43" i="2" s="1"/>
  <c r="L43" i="2" s="1"/>
  <c r="M42" i="2"/>
  <c r="N42" i="2" s="1"/>
  <c r="H43" i="2"/>
  <c r="I44" i="7"/>
  <c r="G44" i="7"/>
  <c r="F44" i="7"/>
  <c r="H44" i="7"/>
  <c r="H44" i="13" l="1"/>
  <c r="F44" i="13"/>
  <c r="O44" i="13"/>
  <c r="E44" i="13"/>
  <c r="N44" i="13"/>
  <c r="J44" i="13"/>
  <c r="I44" i="13"/>
  <c r="M44" i="7"/>
  <c r="I43" i="2"/>
  <c r="J43" i="2" s="1"/>
  <c r="K43" i="2" s="1"/>
  <c r="B45" i="7"/>
  <c r="K44" i="7"/>
  <c r="C44" i="2"/>
  <c r="E44" i="7"/>
  <c r="J44" i="7"/>
  <c r="D44" i="7"/>
  <c r="C45" i="7" l="1"/>
  <c r="L45" i="7" s="1"/>
  <c r="N45" i="7"/>
  <c r="A45" i="7"/>
  <c r="E44" i="2"/>
  <c r="F44" i="2" s="1"/>
  <c r="L44" i="2" s="1"/>
  <c r="M43" i="2"/>
  <c r="N43" i="2" s="1"/>
  <c r="I44" i="2"/>
  <c r="H44" i="2"/>
  <c r="D45" i="7"/>
  <c r="G45" i="7"/>
  <c r="J45" i="7"/>
  <c r="M45" i="7"/>
  <c r="F45" i="7"/>
  <c r="E45" i="7"/>
  <c r="C45" i="13" l="1"/>
  <c r="K45" i="7"/>
  <c r="B46" i="7"/>
  <c r="J44" i="2"/>
  <c r="K44" i="2" s="1"/>
  <c r="C45" i="2"/>
  <c r="I45" i="7"/>
  <c r="H45" i="7"/>
  <c r="O45" i="13" l="1"/>
  <c r="J45" i="13"/>
  <c r="E45" i="13"/>
  <c r="N45" i="13"/>
  <c r="I45" i="13"/>
  <c r="H45" i="13"/>
  <c r="F45" i="13"/>
  <c r="C46" i="7"/>
  <c r="L46" i="7" s="1"/>
  <c r="N46" i="7"/>
  <c r="A46" i="7"/>
  <c r="E45" i="2"/>
  <c r="F45" i="2" s="1"/>
  <c r="L45" i="2" s="1"/>
  <c r="M44" i="2"/>
  <c r="N44" i="2" s="1"/>
  <c r="I45" i="2"/>
  <c r="H45" i="2"/>
  <c r="D46" i="7"/>
  <c r="E46" i="7"/>
  <c r="J46" i="7"/>
  <c r="I46" i="7"/>
  <c r="G46" i="7"/>
  <c r="F46" i="7"/>
  <c r="H46" i="7"/>
  <c r="C46" i="13" l="1"/>
  <c r="B47" i="7"/>
  <c r="J45" i="2"/>
  <c r="K45" i="2" s="1"/>
  <c r="C46" i="2"/>
  <c r="M46" i="7"/>
  <c r="O46" i="13" l="1"/>
  <c r="J46" i="13"/>
  <c r="E46" i="13"/>
  <c r="I46" i="13"/>
  <c r="N46" i="13"/>
  <c r="H46" i="13"/>
  <c r="F46" i="13"/>
  <c r="K46" i="7"/>
  <c r="A47" i="7"/>
  <c r="C47" i="7"/>
  <c r="L47" i="7" s="1"/>
  <c r="N47" i="7"/>
  <c r="E46" i="2"/>
  <c r="F46" i="2" s="1"/>
  <c r="L46" i="2" s="1"/>
  <c r="M45" i="2"/>
  <c r="N45" i="2" s="1"/>
  <c r="I46" i="2"/>
  <c r="H46" i="2"/>
  <c r="H47" i="7"/>
  <c r="E47" i="7"/>
  <c r="J47" i="7"/>
  <c r="M47" i="7"/>
  <c r="D47" i="7"/>
  <c r="I47" i="7"/>
  <c r="C47" i="13" l="1"/>
  <c r="B48" i="7"/>
  <c r="K47" i="7"/>
  <c r="J46" i="2"/>
  <c r="K46" i="2" s="1"/>
  <c r="C47" i="2"/>
  <c r="G47" i="7"/>
  <c r="F47" i="7"/>
  <c r="H47" i="13" l="1"/>
  <c r="J47" i="13"/>
  <c r="O47" i="13"/>
  <c r="I47" i="13"/>
  <c r="N47" i="13"/>
  <c r="F47" i="13"/>
  <c r="E47" i="13"/>
  <c r="A48" i="7"/>
  <c r="C48" i="7"/>
  <c r="L48" i="7" s="1"/>
  <c r="N48" i="7"/>
  <c r="E47" i="2"/>
  <c r="F47" i="2" s="1"/>
  <c r="L47" i="2" s="1"/>
  <c r="M46" i="2"/>
  <c r="N46" i="2" s="1"/>
  <c r="I47" i="2"/>
  <c r="H47" i="2"/>
  <c r="J48" i="7"/>
  <c r="I48" i="7"/>
  <c r="H48" i="7"/>
  <c r="E48" i="7"/>
  <c r="F48" i="7"/>
  <c r="D48" i="7"/>
  <c r="G48" i="7"/>
  <c r="C48" i="13" l="1"/>
  <c r="M48" i="7"/>
  <c r="B49" i="7"/>
  <c r="K48" i="7"/>
  <c r="J47" i="2"/>
  <c r="K47" i="2" s="1"/>
  <c r="C48" i="2"/>
  <c r="O48" i="13" l="1"/>
  <c r="J48" i="13"/>
  <c r="E48" i="13"/>
  <c r="I48" i="13"/>
  <c r="F48" i="13"/>
  <c r="N48" i="13"/>
  <c r="H48" i="13"/>
  <c r="A49" i="7"/>
  <c r="C49" i="7"/>
  <c r="N49" i="7"/>
  <c r="E48" i="2"/>
  <c r="F48" i="2" s="1"/>
  <c r="L48" i="2" s="1"/>
  <c r="M47" i="2"/>
  <c r="N47" i="2" s="1"/>
  <c r="I48" i="2"/>
  <c r="H48" i="2"/>
  <c r="D49" i="7"/>
  <c r="J49" i="7"/>
  <c r="E49" i="7"/>
  <c r="H49" i="7"/>
  <c r="I49" i="7"/>
  <c r="G49" i="7"/>
  <c r="F49" i="7"/>
  <c r="C49" i="13" l="1"/>
  <c r="M49" i="7"/>
  <c r="L49" i="7"/>
  <c r="B50" i="7"/>
  <c r="K49" i="7"/>
  <c r="J48" i="2"/>
  <c r="K48" i="2" s="1"/>
  <c r="C49" i="2"/>
  <c r="N49" i="13" l="1"/>
  <c r="I49" i="13"/>
  <c r="H49" i="13"/>
  <c r="J49" i="13"/>
  <c r="F49" i="13"/>
  <c r="E49" i="13"/>
  <c r="O49" i="13"/>
  <c r="A50" i="7"/>
  <c r="C50" i="7"/>
  <c r="L50" i="7" s="1"/>
  <c r="N50" i="7"/>
  <c r="E49" i="2"/>
  <c r="F49" i="2" s="1"/>
  <c r="L49" i="2" s="1"/>
  <c r="M48" i="2"/>
  <c r="N48" i="2" s="1"/>
  <c r="I49" i="2"/>
  <c r="H49" i="2"/>
  <c r="I50" i="7"/>
  <c r="F50" i="7"/>
  <c r="H50" i="7"/>
  <c r="G50" i="7"/>
  <c r="E50" i="7"/>
  <c r="J50" i="7"/>
  <c r="M50" i="7"/>
  <c r="D50" i="7"/>
  <c r="C50" i="13" l="1"/>
  <c r="B51" i="7"/>
  <c r="K50" i="7"/>
  <c r="J49" i="2"/>
  <c r="K49" i="2" s="1"/>
  <c r="C50" i="2"/>
  <c r="F50" i="13" l="1"/>
  <c r="O50" i="13"/>
  <c r="J50" i="13"/>
  <c r="E50" i="13"/>
  <c r="H50" i="13"/>
  <c r="N50" i="13"/>
  <c r="I50" i="13"/>
  <c r="C51" i="7"/>
  <c r="N51" i="7"/>
  <c r="A51" i="7"/>
  <c r="E50" i="2"/>
  <c r="F50" i="2" s="1"/>
  <c r="L50" i="2" s="1"/>
  <c r="M49" i="2"/>
  <c r="N49" i="2" s="1"/>
  <c r="I50" i="2"/>
  <c r="H50" i="2"/>
  <c r="H51" i="7"/>
  <c r="M51" i="7"/>
  <c r="D51" i="7"/>
  <c r="F51" i="7"/>
  <c r="J51" i="7"/>
  <c r="I51" i="7"/>
  <c r="E51" i="7"/>
  <c r="G51" i="7"/>
  <c r="C51" i="13" l="1"/>
  <c r="B52" i="7"/>
  <c r="L51" i="7"/>
  <c r="J50" i="2"/>
  <c r="K50" i="2" s="1"/>
  <c r="C51" i="2"/>
  <c r="N51" i="13" l="1"/>
  <c r="I51" i="13"/>
  <c r="H51" i="13"/>
  <c r="O51" i="13"/>
  <c r="E51" i="13"/>
  <c r="J51" i="13"/>
  <c r="F51" i="13"/>
  <c r="K51" i="7"/>
  <c r="A52" i="7"/>
  <c r="C52" i="13" s="1"/>
  <c r="C52" i="7"/>
  <c r="N52" i="7"/>
  <c r="E51" i="2"/>
  <c r="F51" i="2" s="1"/>
  <c r="L51" i="2" s="1"/>
  <c r="M50" i="2"/>
  <c r="N50" i="2" s="1"/>
  <c r="H51" i="2"/>
  <c r="J52" i="7"/>
  <c r="I52" i="7"/>
  <c r="F52" i="7"/>
  <c r="G52" i="7"/>
  <c r="E52" i="7"/>
  <c r="D52" i="7"/>
  <c r="F52" i="13" l="1"/>
  <c r="O52" i="13"/>
  <c r="J52" i="13"/>
  <c r="E52" i="13"/>
  <c r="I52" i="13"/>
  <c r="H52" i="13"/>
  <c r="N52" i="13"/>
  <c r="M52" i="7"/>
  <c r="L52" i="7"/>
  <c r="I51" i="2"/>
  <c r="J51" i="2" s="1"/>
  <c r="K51" i="2" s="1"/>
  <c r="B53" i="7"/>
  <c r="K52" i="7"/>
  <c r="C52" i="2"/>
  <c r="H52" i="7"/>
  <c r="C53" i="7" l="1"/>
  <c r="L53" i="7" s="1"/>
  <c r="N53" i="7"/>
  <c r="A53" i="7"/>
  <c r="E52" i="2"/>
  <c r="F52" i="2" s="1"/>
  <c r="L52" i="2" s="1"/>
  <c r="M51" i="2"/>
  <c r="N51" i="2" s="1"/>
  <c r="I52" i="2"/>
  <c r="H52" i="2"/>
  <c r="H53" i="7"/>
  <c r="I53" i="7"/>
  <c r="M53" i="7"/>
  <c r="F53" i="7"/>
  <c r="E53" i="7"/>
  <c r="D53" i="7"/>
  <c r="J53" i="7"/>
  <c r="G53" i="7"/>
  <c r="C53" i="13" l="1"/>
  <c r="K53" i="7"/>
  <c r="B54" i="7"/>
  <c r="J52" i="2"/>
  <c r="K52" i="2" s="1"/>
  <c r="C53" i="2"/>
  <c r="N53" i="13" l="1"/>
  <c r="I53" i="13"/>
  <c r="H53" i="13"/>
  <c r="J53" i="13"/>
  <c r="F53" i="13"/>
  <c r="O53" i="13"/>
  <c r="E53" i="13"/>
  <c r="C54" i="7"/>
  <c r="L54" i="7" s="1"/>
  <c r="N54" i="7"/>
  <c r="A54" i="7"/>
  <c r="E53" i="2"/>
  <c r="F53" i="2" s="1"/>
  <c r="L53" i="2" s="1"/>
  <c r="M52" i="2"/>
  <c r="N52" i="2" s="1"/>
  <c r="I53" i="2"/>
  <c r="H53" i="2"/>
  <c r="F54" i="7"/>
  <c r="I54" i="7"/>
  <c r="E54" i="7"/>
  <c r="J54" i="7"/>
  <c r="G54" i="7"/>
  <c r="H54" i="7"/>
  <c r="D54" i="7"/>
  <c r="C54" i="13" l="1"/>
  <c r="M54" i="7"/>
  <c r="K54" i="7"/>
  <c r="B55" i="7"/>
  <c r="J53" i="2"/>
  <c r="K53" i="2" s="1"/>
  <c r="C54" i="2"/>
  <c r="F54" i="13" l="1"/>
  <c r="O54" i="13"/>
  <c r="J54" i="13"/>
  <c r="E54" i="13"/>
  <c r="H54" i="13"/>
  <c r="N54" i="13"/>
  <c r="I54" i="13"/>
  <c r="A55" i="7"/>
  <c r="C55" i="7"/>
  <c r="L55" i="7" s="1"/>
  <c r="N55" i="7"/>
  <c r="E54" i="2"/>
  <c r="F54" i="2" s="1"/>
  <c r="L54" i="2" s="1"/>
  <c r="M53" i="2"/>
  <c r="N53" i="2" s="1"/>
  <c r="I54" i="2"/>
  <c r="H54" i="2"/>
  <c r="I55" i="7"/>
  <c r="F55" i="7"/>
  <c r="E55" i="7"/>
  <c r="H55" i="7"/>
  <c r="D55" i="7"/>
  <c r="G55" i="7"/>
  <c r="M55" i="7"/>
  <c r="J55" i="7"/>
  <c r="C55" i="13" l="1"/>
  <c r="B56" i="7"/>
  <c r="K55" i="7"/>
  <c r="J54" i="2"/>
  <c r="K54" i="2" s="1"/>
  <c r="C55" i="2"/>
  <c r="N55" i="13" l="1"/>
  <c r="I55" i="13"/>
  <c r="H55" i="13"/>
  <c r="F55" i="13"/>
  <c r="E55" i="13"/>
  <c r="O55" i="13"/>
  <c r="J55" i="13"/>
  <c r="A56" i="7"/>
  <c r="C56" i="13" s="1"/>
  <c r="C56" i="7"/>
  <c r="L56" i="7" s="1"/>
  <c r="N56" i="7"/>
  <c r="E55" i="2"/>
  <c r="F55" i="2" s="1"/>
  <c r="L55" i="2" s="1"/>
  <c r="M54" i="2"/>
  <c r="N54" i="2" s="1"/>
  <c r="I55" i="2"/>
  <c r="H55" i="2"/>
  <c r="C56" i="2"/>
  <c r="J56" i="7"/>
  <c r="D56" i="7"/>
  <c r="F56" i="7"/>
  <c r="I56" i="7"/>
  <c r="H56" i="7"/>
  <c r="E56" i="7"/>
  <c r="F56" i="13" l="1"/>
  <c r="O56" i="13"/>
  <c r="J56" i="13"/>
  <c r="E56" i="13"/>
  <c r="N56" i="13"/>
  <c r="I56" i="13"/>
  <c r="H56" i="13"/>
  <c r="M56" i="7"/>
  <c r="B57" i="7"/>
  <c r="K56" i="7"/>
  <c r="I56" i="2" s="1"/>
  <c r="E56" i="2"/>
  <c r="F56" i="2" s="1"/>
  <c r="L56" i="2" s="1"/>
  <c r="J55" i="2"/>
  <c r="K55" i="2" s="1"/>
  <c r="H56" i="2"/>
  <c r="G56" i="7"/>
  <c r="A57" i="7" l="1"/>
  <c r="C57" i="13" s="1"/>
  <c r="C57" i="7"/>
  <c r="N57" i="7"/>
  <c r="J56" i="2"/>
  <c r="K56" i="2" s="1"/>
  <c r="M55" i="2"/>
  <c r="N55" i="2" s="1"/>
  <c r="F57" i="7"/>
  <c r="H57" i="7"/>
  <c r="D57" i="7"/>
  <c r="E57" i="7"/>
  <c r="G57" i="7"/>
  <c r="N57" i="13" l="1"/>
  <c r="I57" i="13"/>
  <c r="H57" i="13"/>
  <c r="F57" i="13"/>
  <c r="O57" i="13"/>
  <c r="E57" i="13"/>
  <c r="J57" i="13"/>
  <c r="M57" i="7"/>
  <c r="L57" i="7"/>
  <c r="C57" i="2"/>
  <c r="B58" i="7"/>
  <c r="K57" i="7"/>
  <c r="M56" i="2"/>
  <c r="N56" i="2" s="1"/>
  <c r="I57" i="7"/>
  <c r="J57" i="7"/>
  <c r="E57" i="2" l="1"/>
  <c r="F57" i="2" s="1"/>
  <c r="L57" i="2" s="1"/>
  <c r="H57" i="2"/>
  <c r="I57" i="2"/>
  <c r="C58" i="7"/>
  <c r="N58" i="7"/>
  <c r="A58" i="7"/>
  <c r="C58" i="13" s="1"/>
  <c r="D58" i="7"/>
  <c r="I58" i="7"/>
  <c r="H58" i="7"/>
  <c r="E58" i="7"/>
  <c r="F58" i="13" l="1"/>
  <c r="O58" i="13"/>
  <c r="J58" i="13"/>
  <c r="E58" i="13"/>
  <c r="N58" i="13"/>
  <c r="I58" i="13"/>
  <c r="H58" i="13"/>
  <c r="M58" i="7"/>
  <c r="J57" i="2"/>
  <c r="K57" i="2" s="1"/>
  <c r="M57" i="2" s="1"/>
  <c r="N57" i="2" s="1"/>
  <c r="C58" i="2"/>
  <c r="B59" i="7"/>
  <c r="L58" i="7"/>
  <c r="K58" i="7" s="1"/>
  <c r="G58" i="7"/>
  <c r="J58" i="7"/>
  <c r="F58" i="7"/>
  <c r="C59" i="7" l="1"/>
  <c r="L59" i="7" s="1"/>
  <c r="N59" i="7"/>
  <c r="A59" i="7"/>
  <c r="I58" i="2"/>
  <c r="E58" i="2"/>
  <c r="F58" i="2" s="1"/>
  <c r="L58" i="2" s="1"/>
  <c r="H58" i="2"/>
  <c r="G59" i="7"/>
  <c r="D59" i="7"/>
  <c r="I59" i="7"/>
  <c r="F59" i="7"/>
  <c r="H59" i="7"/>
  <c r="M59" i="7"/>
  <c r="J59" i="7"/>
  <c r="E59" i="7"/>
  <c r="C59" i="13" l="1"/>
  <c r="J58" i="2"/>
  <c r="K58" i="2" s="1"/>
  <c r="M58" i="2" s="1"/>
  <c r="N58" i="2" s="1"/>
  <c r="K59" i="7"/>
  <c r="C59" i="2"/>
  <c r="B60" i="7"/>
  <c r="N59" i="13" l="1"/>
  <c r="I59" i="13"/>
  <c r="H59" i="13"/>
  <c r="F59" i="13"/>
  <c r="O59" i="13"/>
  <c r="J59" i="13"/>
  <c r="E59" i="13"/>
  <c r="I59" i="2"/>
  <c r="E59" i="2"/>
  <c r="F59" i="2" s="1"/>
  <c r="L59" i="2" s="1"/>
  <c r="H59" i="2"/>
  <c r="C60" i="7"/>
  <c r="L60" i="7" s="1"/>
  <c r="N60" i="7"/>
  <c r="A60" i="7"/>
  <c r="H60" i="7"/>
  <c r="J60" i="7"/>
  <c r="F60" i="7"/>
  <c r="I60" i="7"/>
  <c r="G60" i="7"/>
  <c r="C60" i="13" l="1"/>
  <c r="J59" i="2"/>
  <c r="K59" i="2" s="1"/>
  <c r="M59" i="2" s="1"/>
  <c r="N59" i="2" s="1"/>
  <c r="C60" i="2"/>
  <c r="B61" i="7"/>
  <c r="M60" i="7"/>
  <c r="D60" i="7"/>
  <c r="E60" i="7"/>
  <c r="F60" i="13" l="1"/>
  <c r="O60" i="13"/>
  <c r="J60" i="13"/>
  <c r="E60" i="13"/>
  <c r="N60" i="13"/>
  <c r="I60" i="13"/>
  <c r="H60" i="13"/>
  <c r="K60" i="7"/>
  <c r="E60" i="2"/>
  <c r="F60" i="2" s="1"/>
  <c r="L60" i="2" s="1"/>
  <c r="H60" i="2"/>
  <c r="A61" i="7"/>
  <c r="C61" i="13" s="1"/>
  <c r="C61" i="7"/>
  <c r="L61" i="7" s="1"/>
  <c r="N61" i="7"/>
  <c r="E61" i="7"/>
  <c r="D61" i="7"/>
  <c r="J61" i="7"/>
  <c r="N61" i="13" l="1"/>
  <c r="I61" i="13"/>
  <c r="H61" i="13"/>
  <c r="F61" i="13"/>
  <c r="J61" i="13"/>
  <c r="E61" i="13"/>
  <c r="O61" i="13"/>
  <c r="M61" i="7"/>
  <c r="I60" i="2"/>
  <c r="J60" i="2"/>
  <c r="K60" i="2" s="1"/>
  <c r="M60" i="2" s="1"/>
  <c r="N60" i="2" s="1"/>
  <c r="K61" i="7"/>
  <c r="B62" i="7"/>
  <c r="C61" i="2"/>
  <c r="I61" i="7"/>
  <c r="F61" i="7"/>
  <c r="H61" i="7"/>
  <c r="G61" i="7"/>
  <c r="I61" i="2" l="1"/>
  <c r="E61" i="2"/>
  <c r="F61" i="2" s="1"/>
  <c r="L61" i="2" s="1"/>
  <c r="H61" i="2"/>
  <c r="J61" i="2" s="1"/>
  <c r="A62" i="7"/>
  <c r="C62" i="7"/>
  <c r="N62" i="7"/>
  <c r="D62" i="7"/>
  <c r="C62" i="13" l="1"/>
  <c r="K61" i="2"/>
  <c r="M61" i="2" s="1"/>
  <c r="N61" i="2" s="1"/>
  <c r="B63" i="7"/>
  <c r="L62" i="7"/>
  <c r="C62" i="2"/>
  <c r="M62" i="7"/>
  <c r="E62" i="7"/>
  <c r="F62" i="7"/>
  <c r="G62" i="7"/>
  <c r="J62" i="7"/>
  <c r="H62" i="7"/>
  <c r="I62" i="7"/>
  <c r="F62" i="13" l="1"/>
  <c r="O62" i="13"/>
  <c r="J62" i="13"/>
  <c r="E62" i="13"/>
  <c r="N62" i="13"/>
  <c r="I62" i="13"/>
  <c r="H62" i="13"/>
  <c r="E62" i="2"/>
  <c r="F62" i="2" s="1"/>
  <c r="L62" i="2" s="1"/>
  <c r="H62" i="2"/>
  <c r="K62" i="7"/>
  <c r="C63" i="7"/>
  <c r="L63" i="7" s="1"/>
  <c r="N63" i="7"/>
  <c r="A63" i="7"/>
  <c r="I63" i="7"/>
  <c r="C63" i="13" l="1"/>
  <c r="I62" i="2"/>
  <c r="J62" i="2" s="1"/>
  <c r="K62" i="2" s="1"/>
  <c r="M62" i="2" s="1"/>
  <c r="N62" i="2" s="1"/>
  <c r="C63" i="2"/>
  <c r="B64" i="7"/>
  <c r="G63" i="7"/>
  <c r="M63" i="7"/>
  <c r="D63" i="7"/>
  <c r="J63" i="7"/>
  <c r="E63" i="7"/>
  <c r="F63" i="7"/>
  <c r="H63" i="7"/>
  <c r="N63" i="13" l="1"/>
  <c r="I63" i="13"/>
  <c r="H63" i="13"/>
  <c r="F63" i="13"/>
  <c r="E63" i="13"/>
  <c r="J63" i="13"/>
  <c r="O63" i="13"/>
  <c r="K63" i="7"/>
  <c r="A64" i="7"/>
  <c r="C64" i="13" s="1"/>
  <c r="C64" i="7"/>
  <c r="L64" i="7" s="1"/>
  <c r="N64" i="7"/>
  <c r="E63" i="2"/>
  <c r="F63" i="2" s="1"/>
  <c r="L63" i="2" s="1"/>
  <c r="H63" i="2"/>
  <c r="E64" i="7"/>
  <c r="J64" i="7"/>
  <c r="I64" i="7"/>
  <c r="G64" i="7"/>
  <c r="H64" i="7"/>
  <c r="F64" i="7"/>
  <c r="D64" i="7"/>
  <c r="N64" i="13" l="1"/>
  <c r="I64" i="13"/>
  <c r="H64" i="13"/>
  <c r="F64" i="13"/>
  <c r="O64" i="13"/>
  <c r="E64" i="13"/>
  <c r="J64" i="13"/>
  <c r="M64" i="7"/>
  <c r="I63" i="2"/>
  <c r="J63" i="2"/>
  <c r="K63" i="2" s="1"/>
  <c r="M63" i="2" s="1"/>
  <c r="N63" i="2" s="1"/>
  <c r="C64" i="2"/>
  <c r="B65" i="7"/>
  <c r="K64" i="7"/>
  <c r="C65" i="7" l="1"/>
  <c r="L65" i="7" s="1"/>
  <c r="N65" i="7"/>
  <c r="A65" i="7"/>
  <c r="I64" i="2"/>
  <c r="E64" i="2"/>
  <c r="F64" i="2" s="1"/>
  <c r="L64" i="2" s="1"/>
  <c r="H64" i="2"/>
  <c r="I65" i="7"/>
  <c r="J65" i="7"/>
  <c r="M65" i="7"/>
  <c r="E65" i="7"/>
  <c r="G65" i="7"/>
  <c r="D65" i="7"/>
  <c r="H65" i="7"/>
  <c r="F65" i="7"/>
  <c r="C65" i="13" l="1"/>
  <c r="J64" i="2"/>
  <c r="K64" i="2" s="1"/>
  <c r="M64" i="2" s="1"/>
  <c r="N64" i="2" s="1"/>
  <c r="K65" i="7"/>
  <c r="C65" i="2"/>
  <c r="B66" i="7"/>
  <c r="F65" i="13" l="1"/>
  <c r="O65" i="13"/>
  <c r="J65" i="13"/>
  <c r="E65" i="13"/>
  <c r="N65" i="13"/>
  <c r="I65" i="13"/>
  <c r="H65" i="13"/>
  <c r="A66" i="7"/>
  <c r="C66" i="7"/>
  <c r="L66" i="7" s="1"/>
  <c r="N66" i="7"/>
  <c r="E65" i="2"/>
  <c r="F65" i="2" s="1"/>
  <c r="L65" i="2" s="1"/>
  <c r="H65" i="2"/>
  <c r="I65" i="2"/>
  <c r="E66" i="7"/>
  <c r="I66" i="7"/>
  <c r="D66" i="7"/>
  <c r="G66" i="7"/>
  <c r="H66" i="7"/>
  <c r="C66" i="13" l="1"/>
  <c r="J65" i="2"/>
  <c r="K65" i="2" s="1"/>
  <c r="M65" i="2" s="1"/>
  <c r="N65" i="2" s="1"/>
  <c r="C66" i="2"/>
  <c r="B67" i="7"/>
  <c r="J66" i="7"/>
  <c r="M66" i="7"/>
  <c r="F66" i="7"/>
  <c r="N66" i="13" l="1"/>
  <c r="I66" i="13"/>
  <c r="H66" i="13"/>
  <c r="F66" i="13"/>
  <c r="O66" i="13"/>
  <c r="J66" i="13"/>
  <c r="E66" i="13"/>
  <c r="K66" i="7"/>
  <c r="A67" i="7"/>
  <c r="C67" i="7"/>
  <c r="L67" i="7" s="1"/>
  <c r="N67" i="7"/>
  <c r="E66" i="2"/>
  <c r="F66" i="2" s="1"/>
  <c r="L66" i="2" s="1"/>
  <c r="H66" i="2"/>
  <c r="I66" i="2"/>
  <c r="G67" i="7"/>
  <c r="E67" i="7"/>
  <c r="F67" i="7"/>
  <c r="M67" i="7"/>
  <c r="H67" i="7"/>
  <c r="J67" i="7"/>
  <c r="C67" i="13" l="1"/>
  <c r="J66" i="2"/>
  <c r="K66" i="2" s="1"/>
  <c r="M66" i="2" s="1"/>
  <c r="N66" i="2" s="1"/>
  <c r="C67" i="2"/>
  <c r="B68" i="7"/>
  <c r="K67" i="7"/>
  <c r="D67" i="7"/>
  <c r="I67" i="7"/>
  <c r="F67" i="13" l="1"/>
  <c r="O67" i="13"/>
  <c r="J67" i="13"/>
  <c r="E67" i="13"/>
  <c r="N67" i="13"/>
  <c r="I67" i="13"/>
  <c r="H67" i="13"/>
  <c r="A68" i="7"/>
  <c r="C68" i="7"/>
  <c r="L68" i="7" s="1"/>
  <c r="N68" i="7"/>
  <c r="E67" i="2"/>
  <c r="F67" i="2" s="1"/>
  <c r="L67" i="2" s="1"/>
  <c r="H67" i="2"/>
  <c r="I67" i="2"/>
  <c r="M68" i="7"/>
  <c r="D68" i="7"/>
  <c r="I68" i="7"/>
  <c r="H68" i="7"/>
  <c r="G68" i="7"/>
  <c r="F68" i="7"/>
  <c r="C68" i="13" l="1"/>
  <c r="J67" i="2"/>
  <c r="K67" i="2" s="1"/>
  <c r="M67" i="2" s="1"/>
  <c r="N67" i="2" s="1"/>
  <c r="K68" i="7"/>
  <c r="C68" i="2"/>
  <c r="B69" i="7"/>
  <c r="J68" i="7"/>
  <c r="E68" i="7"/>
  <c r="N68" i="13" l="1"/>
  <c r="I68" i="13"/>
  <c r="H68" i="13"/>
  <c r="F68" i="13"/>
  <c r="J68" i="13"/>
  <c r="E68" i="13"/>
  <c r="O68" i="13"/>
  <c r="C69" i="7"/>
  <c r="N69" i="7"/>
  <c r="A69" i="7"/>
  <c r="E68" i="2"/>
  <c r="F68" i="2" s="1"/>
  <c r="L68" i="2" s="1"/>
  <c r="I68" i="2"/>
  <c r="H68" i="2"/>
  <c r="D69" i="7"/>
  <c r="I69" i="7"/>
  <c r="H69" i="7"/>
  <c r="F69" i="7"/>
  <c r="G69" i="7"/>
  <c r="M69" i="7"/>
  <c r="E69" i="7"/>
  <c r="J69" i="7"/>
  <c r="C69" i="13" l="1"/>
  <c r="J68" i="2"/>
  <c r="K68" i="2" s="1"/>
  <c r="M68" i="2" s="1"/>
  <c r="N68" i="2" s="1"/>
  <c r="C69" i="2"/>
  <c r="B70" i="7"/>
  <c r="L69" i="7"/>
  <c r="F69" i="13" l="1"/>
  <c r="O69" i="13"/>
  <c r="J69" i="13"/>
  <c r="E69" i="13"/>
  <c r="N69" i="13"/>
  <c r="I69" i="13"/>
  <c r="H69" i="13"/>
  <c r="K69" i="7"/>
  <c r="E69" i="2"/>
  <c r="F69" i="2" s="1"/>
  <c r="L69" i="2" s="1"/>
  <c r="H69" i="2"/>
  <c r="C70" i="7"/>
  <c r="B71" i="7" s="1"/>
  <c r="D70" i="7"/>
  <c r="J70" i="7"/>
  <c r="A70" i="7"/>
  <c r="N70" i="7"/>
  <c r="H70" i="7"/>
  <c r="G70" i="7"/>
  <c r="E70" i="7"/>
  <c r="L70" i="7"/>
  <c r="F70" i="7"/>
  <c r="I70" i="7"/>
  <c r="K70" i="7"/>
  <c r="C70" i="13" l="1"/>
  <c r="I69" i="2"/>
  <c r="J69" i="2" s="1"/>
  <c r="K69" i="2" s="1"/>
  <c r="M69" i="2" s="1"/>
  <c r="N69" i="2" s="1"/>
  <c r="C71" i="7"/>
  <c r="B72" i="7" s="1"/>
  <c r="E71" i="7"/>
  <c r="G71" i="7"/>
  <c r="A71" i="7"/>
  <c r="N71" i="7"/>
  <c r="I71" i="7"/>
  <c r="F71" i="7"/>
  <c r="D71" i="7"/>
  <c r="L71" i="7"/>
  <c r="J71" i="7"/>
  <c r="H71" i="7"/>
  <c r="K71" i="7"/>
  <c r="M70" i="7"/>
  <c r="C70" i="2"/>
  <c r="N70" i="13" l="1"/>
  <c r="I70" i="13"/>
  <c r="H70" i="13"/>
  <c r="F70" i="13"/>
  <c r="E70" i="13"/>
  <c r="J70" i="13"/>
  <c r="O70" i="13"/>
  <c r="C71" i="13"/>
  <c r="F70" i="2"/>
  <c r="N70" i="2"/>
  <c r="E70" i="2"/>
  <c r="H70" i="2"/>
  <c r="L70" i="2"/>
  <c r="K70" i="2"/>
  <c r="J70" i="2"/>
  <c r="M70" i="2"/>
  <c r="I70" i="2"/>
  <c r="M71" i="7"/>
  <c r="C71" i="2"/>
  <c r="C72" i="7"/>
  <c r="B73" i="7" s="1"/>
  <c r="N72" i="7"/>
  <c r="J72" i="7"/>
  <c r="G72" i="7"/>
  <c r="E72" i="7"/>
  <c r="L72" i="7"/>
  <c r="D72" i="7"/>
  <c r="I72" i="7"/>
  <c r="K72" i="7"/>
  <c r="F72" i="7"/>
  <c r="H72" i="7"/>
  <c r="A72" i="7"/>
  <c r="F71" i="13" l="1"/>
  <c r="O71" i="13"/>
  <c r="J71" i="13"/>
  <c r="E71" i="13"/>
  <c r="N71" i="13"/>
  <c r="I71" i="13"/>
  <c r="H71" i="13"/>
  <c r="C72" i="13"/>
  <c r="F73" i="7"/>
  <c r="D73" i="7"/>
  <c r="L73" i="7"/>
  <c r="J73" i="7"/>
  <c r="H73" i="7"/>
  <c r="K73" i="7"/>
  <c r="I73" i="7"/>
  <c r="E73" i="7"/>
  <c r="G73" i="7"/>
  <c r="C73" i="7"/>
  <c r="B74" i="7" s="1"/>
  <c r="A73" i="7"/>
  <c r="N73" i="7"/>
  <c r="J71" i="2"/>
  <c r="E71" i="2"/>
  <c r="K71" i="2"/>
  <c r="H71" i="2"/>
  <c r="L71" i="2"/>
  <c r="F71" i="2"/>
  <c r="N71" i="2"/>
  <c r="M71" i="2"/>
  <c r="I71" i="2"/>
  <c r="M72" i="7"/>
  <c r="C72" i="2"/>
  <c r="N72" i="13" l="1"/>
  <c r="I72" i="13"/>
  <c r="H72" i="13"/>
  <c r="F72" i="13"/>
  <c r="O72" i="13"/>
  <c r="J72" i="13"/>
  <c r="E72" i="13"/>
  <c r="C73" i="13"/>
  <c r="L72" i="2"/>
  <c r="K72" i="2"/>
  <c r="N72" i="2"/>
  <c r="M72" i="2"/>
  <c r="I72" i="2"/>
  <c r="F72" i="2"/>
  <c r="J72" i="2"/>
  <c r="E72" i="2"/>
  <c r="H72" i="2"/>
  <c r="C74" i="7"/>
  <c r="B75" i="7" s="1"/>
  <c r="D74" i="7"/>
  <c r="J74" i="7"/>
  <c r="A74" i="7"/>
  <c r="N74" i="7"/>
  <c r="H74" i="7"/>
  <c r="G74" i="7"/>
  <c r="E74" i="7"/>
  <c r="L74" i="7"/>
  <c r="F74" i="7"/>
  <c r="I74" i="7"/>
  <c r="K74" i="7"/>
  <c r="M73" i="7"/>
  <c r="C73" i="2"/>
  <c r="C74" i="13" l="1"/>
  <c r="F73" i="13"/>
  <c r="O73" i="13"/>
  <c r="J73" i="13"/>
  <c r="E73" i="13"/>
  <c r="N73" i="13"/>
  <c r="I73" i="13"/>
  <c r="H73" i="13"/>
  <c r="M74" i="7"/>
  <c r="C74" i="2"/>
  <c r="L73" i="2"/>
  <c r="K73" i="2"/>
  <c r="I73" i="2"/>
  <c r="J73" i="2"/>
  <c r="N73" i="2"/>
  <c r="F73" i="2"/>
  <c r="H73" i="2"/>
  <c r="E73" i="2"/>
  <c r="M73" i="2"/>
  <c r="F75" i="7"/>
  <c r="D75" i="7"/>
  <c r="L75" i="7"/>
  <c r="J75" i="7"/>
  <c r="H75" i="7"/>
  <c r="K75" i="7"/>
  <c r="E75" i="7"/>
  <c r="A75" i="7"/>
  <c r="I75" i="7"/>
  <c r="C75" i="7"/>
  <c r="B76" i="7" s="1"/>
  <c r="G75" i="7"/>
  <c r="N75" i="7"/>
  <c r="C75" i="13" l="1"/>
  <c r="N74" i="13"/>
  <c r="I74" i="13"/>
  <c r="H74" i="13"/>
  <c r="F74" i="13"/>
  <c r="O74" i="13"/>
  <c r="J74" i="13"/>
  <c r="E74" i="13"/>
  <c r="C76" i="7"/>
  <c r="B77" i="7" s="1"/>
  <c r="F76" i="7"/>
  <c r="H76" i="7"/>
  <c r="A76" i="7"/>
  <c r="J76" i="7"/>
  <c r="G76" i="7"/>
  <c r="E76" i="7"/>
  <c r="L76" i="7"/>
  <c r="D76" i="7"/>
  <c r="I76" i="7"/>
  <c r="K76" i="7"/>
  <c r="N76" i="7"/>
  <c r="M75" i="7"/>
  <c r="C75" i="2"/>
  <c r="F74" i="2"/>
  <c r="N74" i="2"/>
  <c r="E74" i="2"/>
  <c r="H74" i="2"/>
  <c r="L74" i="2"/>
  <c r="K74" i="2"/>
  <c r="J74" i="2"/>
  <c r="M74" i="2"/>
  <c r="I74" i="2"/>
  <c r="F75" i="13" l="1"/>
  <c r="O75" i="13"/>
  <c r="J75" i="13"/>
  <c r="E75" i="13"/>
  <c r="N75" i="13"/>
  <c r="I75" i="13"/>
  <c r="H75" i="13"/>
  <c r="C76" i="13"/>
  <c r="I77" i="7"/>
  <c r="A77" i="7"/>
  <c r="G77" i="7"/>
  <c r="F77" i="7"/>
  <c r="D77" i="7"/>
  <c r="L77" i="7"/>
  <c r="J77" i="7"/>
  <c r="H77" i="7"/>
  <c r="K77" i="7"/>
  <c r="C77" i="7"/>
  <c r="B78" i="7" s="1"/>
  <c r="E77" i="7"/>
  <c r="N77" i="7"/>
  <c r="L75" i="2"/>
  <c r="F75" i="2"/>
  <c r="N75" i="2"/>
  <c r="M75" i="2"/>
  <c r="H75" i="2"/>
  <c r="J75" i="2"/>
  <c r="E75" i="2"/>
  <c r="K75" i="2"/>
  <c r="I75" i="2"/>
  <c r="M76" i="7"/>
  <c r="C76" i="2"/>
  <c r="C77" i="13" l="1"/>
  <c r="N76" i="13"/>
  <c r="I76" i="13"/>
  <c r="H76" i="13"/>
  <c r="F76" i="13"/>
  <c r="J76" i="13"/>
  <c r="E76" i="13"/>
  <c r="O76" i="13"/>
  <c r="L76" i="2"/>
  <c r="K76" i="2"/>
  <c r="N76" i="2"/>
  <c r="M76" i="2"/>
  <c r="I76" i="2"/>
  <c r="F76" i="2"/>
  <c r="J76" i="2"/>
  <c r="E76" i="2"/>
  <c r="H76" i="2"/>
  <c r="C78" i="7"/>
  <c r="B79" i="7" s="1"/>
  <c r="D78" i="7"/>
  <c r="J78" i="7"/>
  <c r="A78" i="7"/>
  <c r="N78" i="7"/>
  <c r="H78" i="7"/>
  <c r="G78" i="7"/>
  <c r="E78" i="7"/>
  <c r="L78" i="7"/>
  <c r="F78" i="7"/>
  <c r="I78" i="7"/>
  <c r="K78" i="7"/>
  <c r="M77" i="7"/>
  <c r="C77" i="2"/>
  <c r="F77" i="13" l="1"/>
  <c r="O77" i="13"/>
  <c r="J77" i="13"/>
  <c r="E77" i="13"/>
  <c r="N77" i="13"/>
  <c r="I77" i="13"/>
  <c r="H77" i="13"/>
  <c r="C78" i="13"/>
  <c r="C79" i="7"/>
  <c r="E79" i="7"/>
  <c r="G79" i="7"/>
  <c r="A79" i="7"/>
  <c r="N79" i="7"/>
  <c r="I79" i="7"/>
  <c r="F79" i="7"/>
  <c r="D79" i="7"/>
  <c r="L79" i="7"/>
  <c r="J79" i="7"/>
  <c r="H79" i="7"/>
  <c r="K79" i="7"/>
  <c r="L77" i="2"/>
  <c r="E77" i="2"/>
  <c r="K77" i="2"/>
  <c r="M77" i="2"/>
  <c r="I77" i="2"/>
  <c r="J77" i="2"/>
  <c r="N77" i="2"/>
  <c r="F77" i="2"/>
  <c r="H77" i="2"/>
  <c r="M78" i="7"/>
  <c r="C78" i="2"/>
  <c r="N78" i="13" l="1"/>
  <c r="I78" i="13"/>
  <c r="H78" i="13"/>
  <c r="F78" i="13"/>
  <c r="E78" i="13"/>
  <c r="O78" i="13"/>
  <c r="J78" i="13"/>
  <c r="C79" i="13"/>
  <c r="M79" i="7"/>
  <c r="C79" i="2"/>
  <c r="F78" i="2"/>
  <c r="N78" i="2"/>
  <c r="E78" i="2"/>
  <c r="I78" i="2"/>
  <c r="L78" i="2"/>
  <c r="K78" i="2"/>
  <c r="J78" i="2"/>
  <c r="M78" i="2"/>
  <c r="H78" i="2"/>
  <c r="F79" i="13" l="1"/>
  <c r="O79" i="13"/>
  <c r="O80" i="13" s="1"/>
  <c r="J79" i="13"/>
  <c r="E79" i="13"/>
  <c r="N79" i="13"/>
  <c r="I79" i="13"/>
  <c r="H79" i="13"/>
  <c r="J79" i="2"/>
  <c r="E79" i="2"/>
  <c r="K79" i="2"/>
  <c r="I79" i="2"/>
  <c r="L79" i="2"/>
  <c r="F79" i="2"/>
  <c r="N79" i="2"/>
  <c r="N80" i="2" s="1"/>
  <c r="M79" i="2"/>
  <c r="H79" i="2"/>
  <c r="Q15" i="9" l="1"/>
</calcChain>
</file>

<file path=xl/sharedStrings.xml><?xml version="1.0" encoding="utf-8"?>
<sst xmlns="http://schemas.openxmlformats.org/spreadsheetml/2006/main" count="181" uniqueCount="149">
  <si>
    <t>época</t>
  </si>
  <si>
    <t>Repousos</t>
  </si>
  <si>
    <t>Horas devidas</t>
  </si>
  <si>
    <t>TABELA  AUXILIAR   PARA O  CÁLCULO DOS  DIAS  ÚTEIS  E  DESCANSOS (DOMINGOS E FERIADOS)</t>
  </si>
  <si>
    <t>Incluso nos cálculos, os feriados nacionais e os feriados municipais de Foz do Iguaçu - PR</t>
  </si>
  <si>
    <t>Época</t>
  </si>
  <si>
    <t>Início</t>
  </si>
  <si>
    <t>Fim</t>
  </si>
  <si>
    <t>Segunda</t>
  </si>
  <si>
    <t>Terça</t>
  </si>
  <si>
    <t>Quarta</t>
  </si>
  <si>
    <t>Quinta</t>
  </si>
  <si>
    <t>Sexta</t>
  </si>
  <si>
    <t>Sábado</t>
  </si>
  <si>
    <t>Domingo</t>
  </si>
  <si>
    <t>Dom/Fer</t>
  </si>
  <si>
    <t>Dias no Mês</t>
  </si>
  <si>
    <t>Dias Úteis</t>
  </si>
  <si>
    <t>Mês</t>
  </si>
  <si>
    <t>Empresa:</t>
  </si>
  <si>
    <t>Empregado:</t>
  </si>
  <si>
    <t>Base de Cálculo das Horas Extras</t>
  </si>
  <si>
    <t>Rem. Mensal</t>
  </si>
  <si>
    <t>Divisor</t>
  </si>
  <si>
    <t>Salário Hora</t>
  </si>
  <si>
    <t>Úteis</t>
  </si>
  <si>
    <t>Quant. de Dias / DSR'S</t>
  </si>
  <si>
    <t>Reflexos He's nos DSR'S</t>
  </si>
  <si>
    <t>DSR'S Devidos</t>
  </si>
  <si>
    <t>Horas Extras Devidas</t>
  </si>
  <si>
    <t>Total Devido</t>
  </si>
  <si>
    <t xml:space="preserve">CALENDÁRIO - DIAS ÚTEIS  / REPOUSOS </t>
  </si>
  <si>
    <t>TABELA AUTOMÁTICA DE TODOS OS FERIADOS NACIONAIS - RELIGIOSOS E LOCAIS</t>
  </si>
  <si>
    <t>CALENDÁRIO</t>
  </si>
  <si>
    <t>FERIADOS</t>
  </si>
  <si>
    <t>Confraternização Universal</t>
  </si>
  <si>
    <t>Tiradentes</t>
  </si>
  <si>
    <t>Dia do Trabalho</t>
  </si>
  <si>
    <t>Seg</t>
  </si>
  <si>
    <t>Ter</t>
  </si>
  <si>
    <t>Qua</t>
  </si>
  <si>
    <t>Qui</t>
  </si>
  <si>
    <t>Sex</t>
  </si>
  <si>
    <t>Sab</t>
  </si>
  <si>
    <t>Dom</t>
  </si>
  <si>
    <t>Independência do Brasil</t>
  </si>
  <si>
    <t>Dias úteis do mês escolhido:</t>
  </si>
  <si>
    <t>Seg a Sab</t>
  </si>
  <si>
    <t>Sem Fer.</t>
  </si>
  <si>
    <t>N. Sra. Aparecida (Lei 6.802/1980)</t>
  </si>
  <si>
    <t>a</t>
  </si>
  <si>
    <t>Dia de Finados</t>
  </si>
  <si>
    <t>Proclamação da República</t>
  </si>
  <si>
    <t>Natal</t>
  </si>
  <si>
    <t>Feriado Municipal 1</t>
  </si>
  <si>
    <t>Feriado Municipal 2</t>
  </si>
  <si>
    <t>Sexta-feira santa</t>
  </si>
  <si>
    <t>Corpus Christi</t>
  </si>
  <si>
    <t>Terça-Feira de Carnaval</t>
  </si>
  <si>
    <t>DOMINGO DE PÁSCOA</t>
  </si>
  <si>
    <t>Carnaval</t>
  </si>
  <si>
    <t xml:space="preserve">Sexta-feira </t>
  </si>
  <si>
    <t>Páscoa</t>
  </si>
  <si>
    <t>Instruções para o preenchimento dos feriados municipais e estaduais:</t>
  </si>
  <si>
    <t>FERIADOS MUNICIPAIS</t>
  </si>
  <si>
    <t>Insira na tabela ao lado, os feriados fixos do seu município.</t>
  </si>
  <si>
    <t>MÊS</t>
  </si>
  <si>
    <t>DIA</t>
  </si>
  <si>
    <t>Local 1</t>
  </si>
  <si>
    <t>do exemplo,  que referem-se aos dois feriados municipais de Foz do Iguaçu/PR.</t>
  </si>
  <si>
    <t>Local 2</t>
  </si>
  <si>
    <t xml:space="preserve">Para feriados móveis, use a tabela de feriados móveis (por exemplo, terça-feira de carnaval não é </t>
  </si>
  <si>
    <t>feriado na maior parte dos municípios &gt; basta desmarcar a cx de seleção).</t>
  </si>
  <si>
    <t>Contato:</t>
  </si>
  <si>
    <t>gilber.braga@bol.com.br</t>
  </si>
  <si>
    <t>Fixo / Móvel</t>
  </si>
  <si>
    <t>LEGISLAÇÃO CORRESPONDENTE</t>
  </si>
  <si>
    <t>Confraternização Universal - 01 de janeiro</t>
  </si>
  <si>
    <t>Data fixa</t>
  </si>
  <si>
    <t>Lei 666, de 06/04/1949, art. 1º</t>
  </si>
  <si>
    <t>Dia de Tiradentes - 21 de abril</t>
  </si>
  <si>
    <t>Lei 1.266, de 08/12/1950,art. 3º; Lei 662, de 06/04/1949, art. 1º</t>
  </si>
  <si>
    <t>Dia do Trabalho - 01 de maio</t>
  </si>
  <si>
    <t>Dia da Independência do Brasil - 07 de setembro</t>
  </si>
  <si>
    <t>Padroeira do Brasil - 12 de outubro</t>
  </si>
  <si>
    <t>Lei 6.802, de 30.06.1980</t>
  </si>
  <si>
    <t>Dia de eleições gerais</t>
  </si>
  <si>
    <t>Dia de Finados - 02 de novembro</t>
  </si>
  <si>
    <t>Lei 666, de 06/04/1949, art. 1º, com a redação dada pela Lei 10.607, de 19/12/2002</t>
  </si>
  <si>
    <t>Dia de Natal - 25 de dezembro</t>
  </si>
  <si>
    <t>Pdia</t>
  </si>
  <si>
    <t>Udia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</si>
  <si>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</si>
  <si>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</si>
  <si>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</si>
  <si>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</si>
  <si>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</si>
  <si>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</si>
  <si>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</si>
  <si>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</si>
  <si>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</si>
  <si>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</si>
  <si>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</si>
  <si>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</si>
  <si>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Nas colunas MÊS E DIA, digite o algarismo correspondente, deletando os dados</t>
  </si>
  <si>
    <t>Coluna M - Dias_Úteis</t>
  </si>
  <si>
    <t>Coluna K - Repousos</t>
  </si>
  <si>
    <t>=SOMARPRODUTO((DIA.DA.SEMANA(LIN(INDIRETO(B8&amp;":"&amp;C8));2)&lt;7)*(CONT.SE(Fer;LIN(INDIRETO(B8&amp;":"&amp;C8)))=0)))</t>
  </si>
  <si>
    <t>Fórmula para calcular dias úteis - qualquer versão do Excel, considerando data inicial em B8 e data final em C8</t>
  </si>
  <si>
    <t>INSTRUÇÕES PARA PREENCHIMENTO DA PLANILHA</t>
  </si>
  <si>
    <t>Esta planilha é útil para cálculo de horas extras e dos reflexos das horas extras no DSR</t>
  </si>
  <si>
    <t>1 - Definir os parâmetros do cálculo</t>
  </si>
  <si>
    <t>2 -Definir os feriados municipais</t>
  </si>
  <si>
    <t>Para o correto computo dos feriados, é necessário definir os feriados municipais</t>
  </si>
  <si>
    <t>na aba "Feriados".</t>
  </si>
  <si>
    <t>3 - Inserir na coluna "D" o valor da Remuneração Mensal (base de cálculo das horas extras)</t>
  </si>
  <si>
    <t>4 - Inserir na coluna "G" a quantidade de horas extras em horas centesimais</t>
  </si>
  <si>
    <t xml:space="preserve">a) adicional de horas extras - selecionar o percentual de horas extras </t>
  </si>
  <si>
    <t>Adicional de HE :</t>
  </si>
  <si>
    <t>Divisor :</t>
  </si>
  <si>
    <t>b) divisor - selecionar o divisor</t>
  </si>
  <si>
    <t>c) data de início do cálculo - inserir a data de início do cálculo:</t>
  </si>
  <si>
    <t>Data inicial :</t>
  </si>
  <si>
    <t>Data Final :</t>
  </si>
  <si>
    <t>d) data final do cálculo - inserir a data final do cálculo:</t>
  </si>
  <si>
    <t>escolha o divisor</t>
  </si>
  <si>
    <t>insira a data inicial (dd/mm/aaaa)</t>
  </si>
  <si>
    <t>insira a data final (dd/mm/aaaa)</t>
  </si>
  <si>
    <t>5- Na aba "horas extras (2)", temos a opção de trabalhar com horas sexagesimais</t>
  </si>
  <si>
    <t>Instruções</t>
  </si>
  <si>
    <t xml:space="preserve">6- Na aba "Calendário" é calculado a quantidade de dias úteis e repousos, mês a mês, conforme </t>
  </si>
  <si>
    <t>selecione o adicional de horas extras</t>
  </si>
  <si>
    <t>Exemplo: 30,00 horas</t>
  </si>
  <si>
    <t>Insira o dia e o mês dos feriados fixos municipais</t>
  </si>
  <si>
    <t>Selecione os feriados móveis</t>
  </si>
  <si>
    <t>Usando horas centesimais - coluna G - "Horas Devidas"</t>
  </si>
  <si>
    <t>o período delimitado para o cálculo. Não esquecer de definir os feriados municipais.</t>
  </si>
  <si>
    <t>Adicional Noturno:</t>
  </si>
  <si>
    <t>selecione o adicional noturno</t>
  </si>
  <si>
    <t>DEMONSTRATIVO DE APURAÇÃO DO ADICIONAL NOTURNO E DOS REFLEXOS EM DSR's</t>
  </si>
  <si>
    <t>DEMONSTRATIVO DA APURAÇÃO DOS VALORES DE HORAS EXTRAS E DOS REFLEXOS EM DSR's</t>
  </si>
  <si>
    <t>Nº H. Not.</t>
  </si>
  <si>
    <t>Valor da Hora Noturna</t>
  </si>
  <si>
    <t>Ad. Not. Devido</t>
  </si>
  <si>
    <t>Reflexos AN em DSR'S</t>
  </si>
  <si>
    <t>TOTAL:</t>
  </si>
  <si>
    <t>TOTAL:...</t>
  </si>
  <si>
    <t xml:space="preserve">FGTS Devido - 8% </t>
  </si>
  <si>
    <t>FGTS Devido - 8%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</si>
</sst>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64" formatCode="_(* #,##0.00_);_(* \(#,##0.00\);_(* &quot;-&quot;??_);_(@_)"/>
    <numFmt numFmtId="165" formatCode="d;dd;;"/>
    <numFmt numFmtId="166" formatCode="&quot;Hoje é&quot;\ dddd\,\ dd/mmmm/yyyy"/>
    <numFmt numFmtId="167" formatCode="_(&quot;R$ &quot;* #,##0.00_);_(&quot;R$ &quot;* \(#,##0.00\);_(&quot;R$ &quot;* &quot;-&quot;??_);_(@_)"/>
  </numFmts>
  <fonts count="54">
    <font>
      <sz val="10"/>
      <name val="Times New Roman"/>
      <family val="1"/>
    </font>
    <font>
      <b/>
      <i/>
      <sz val="11"/>
      <name val="Times New Roman"/>
      <family val="1"/>
    </font>
    <font>
      <sz val="7"/>
      <name val="Times New Roman"/>
      <family val="1"/>
    </font>
    <font>
      <sz val="9"/>
      <name val="Times New Roman"/>
      <family val="1"/>
    </font>
    <font>
      <sz val="10"/>
      <name val="ErieLight"/>
    </font>
    <font>
      <sz val="9"/>
      <name val="TimesNewRomanPS"/>
      <family val="1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u/>
      <sz val="10"/>
      <name val="Times New Roman"/>
      <family val="1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Bookman Old Style"/>
      <family val="1"/>
    </font>
    <font>
      <sz val="8"/>
      <color rgb="FF000000"/>
      <name val="Tahoma"/>
      <family val="2"/>
    </font>
    <font>
      <sz val="10"/>
      <name val="Arial"/>
      <family val="2"/>
    </font>
    <font>
      <b/>
      <sz val="12"/>
      <color indexed="9"/>
      <name val="Comic Sans MS"/>
      <family val="4"/>
    </font>
    <font>
      <b/>
      <sz val="12"/>
      <name val="Comic Sans MS"/>
      <family val="4"/>
    </font>
    <font>
      <sz val="14"/>
      <color indexed="9"/>
      <name val="Arial"/>
      <family val="2"/>
    </font>
    <font>
      <sz val="24"/>
      <color indexed="9"/>
      <name val="Comic Sans MS"/>
      <family val="4"/>
    </font>
    <font>
      <b/>
      <sz val="10"/>
      <color indexed="9"/>
      <name val="Comic Sans MS"/>
      <family val="4"/>
    </font>
    <font>
      <b/>
      <sz val="9"/>
      <color indexed="9"/>
      <name val="Bookman Old Style"/>
      <family val="1"/>
    </font>
    <font>
      <b/>
      <sz val="9"/>
      <color indexed="9"/>
      <name val="Comic Sans MS"/>
      <family val="4"/>
    </font>
    <font>
      <sz val="9"/>
      <name val="Bookman Old Style"/>
      <family val="1"/>
    </font>
    <font>
      <sz val="18"/>
      <name val="Comic Sans MS"/>
      <family val="4"/>
    </font>
    <font>
      <sz val="22"/>
      <name val="Comic Sans MS"/>
      <family val="4"/>
    </font>
    <font>
      <sz val="14"/>
      <color indexed="9"/>
      <name val="Comic Sans MS"/>
      <family val="4"/>
    </font>
    <font>
      <sz val="14"/>
      <color indexed="54"/>
      <name val="Comic Sans MS"/>
      <family val="4"/>
    </font>
    <font>
      <b/>
      <sz val="9"/>
      <name val="Bookman Old Style"/>
      <family val="1"/>
    </font>
    <font>
      <sz val="10"/>
      <color indexed="54"/>
      <name val="Comic Sans MS"/>
      <family val="4"/>
    </font>
    <font>
      <sz val="10"/>
      <color rgb="FF666699"/>
      <name val="Comic Sans MS"/>
      <family val="4"/>
    </font>
    <font>
      <sz val="10"/>
      <color indexed="9"/>
      <name val="Arial"/>
      <family val="2"/>
    </font>
    <font>
      <b/>
      <sz val="11"/>
      <color indexed="9"/>
      <name val="Bookman Old Style"/>
      <family val="1"/>
    </font>
    <font>
      <sz val="11"/>
      <color indexed="9"/>
      <name val="Arial"/>
      <family val="2"/>
    </font>
    <font>
      <sz val="9"/>
      <color indexed="9"/>
      <name val="Bookman Old Style"/>
      <family val="1"/>
    </font>
    <font>
      <b/>
      <sz val="10"/>
      <name val="Bookman Old Style"/>
      <family val="1"/>
    </font>
    <font>
      <b/>
      <sz val="12"/>
      <color indexed="9"/>
      <name val="Bookman Old Style"/>
      <family val="1"/>
    </font>
    <font>
      <b/>
      <sz val="10"/>
      <name val="Arial"/>
      <family val="2"/>
    </font>
    <font>
      <b/>
      <sz val="10"/>
      <color indexed="9"/>
      <name val="Bookman Old Style"/>
      <family val="1"/>
    </font>
    <font>
      <b/>
      <sz val="11"/>
      <name val="Arial"/>
      <family val="2"/>
    </font>
    <font>
      <u/>
      <sz val="10"/>
      <color indexed="12"/>
      <name val="Arial"/>
      <family val="2"/>
    </font>
    <font>
      <b/>
      <sz val="10"/>
      <color indexed="9"/>
      <name val="Arial"/>
      <family val="2"/>
    </font>
    <font>
      <sz val="8"/>
      <name val="Calibri"/>
      <family val="2"/>
    </font>
    <font>
      <sz val="10"/>
      <name val="Arial"/>
      <family val="2"/>
    </font>
    <font>
      <b/>
      <u/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mbria"/>
      <family val="1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Times New Roman"/>
      <family val="1"/>
    </font>
    <font>
      <b/>
      <u/>
      <sz val="12"/>
      <name val="Calibri"/>
      <family val="2"/>
      <scheme val="minor"/>
    </font>
    <font>
      <b/>
      <u/>
      <sz val="12"/>
      <color rgb="FF3F3F76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8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indexed="5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theme="0" tint="-0.14996795556505021"/>
      </left>
      <right/>
      <top style="thick">
        <color theme="0" tint="-0.14996795556505021"/>
      </top>
      <bottom/>
      <diagonal/>
    </border>
    <border>
      <left/>
      <right/>
      <top style="thick">
        <color theme="0" tint="-0.14996795556505021"/>
      </top>
      <bottom/>
      <diagonal/>
    </border>
    <border>
      <left/>
      <right style="thick">
        <color theme="0" tint="-0.14996795556505021"/>
      </right>
      <top style="thick">
        <color theme="0" tint="-0.14996795556505021"/>
      </top>
      <bottom/>
      <diagonal/>
    </border>
    <border>
      <left style="thick">
        <color theme="0" tint="-0.14996795556505021"/>
      </left>
      <right/>
      <top/>
      <bottom/>
      <diagonal/>
    </border>
    <border>
      <left/>
      <right style="thick">
        <color theme="0" tint="-0.14996795556505021"/>
      </right>
      <top/>
      <bottom/>
      <diagonal/>
    </border>
    <border>
      <left style="thick">
        <color theme="0" tint="-0.14996795556505021"/>
      </left>
      <right/>
      <top/>
      <bottom style="thick">
        <color theme="0" tint="-0.14996795556505021"/>
      </bottom>
      <diagonal/>
    </border>
    <border>
      <left/>
      <right/>
      <top/>
      <bottom style="thick">
        <color theme="0" tint="-0.14996795556505021"/>
      </bottom>
      <diagonal/>
    </border>
    <border>
      <left/>
      <right style="thick">
        <color theme="0" tint="-0.14996795556505021"/>
      </right>
      <top/>
      <bottom style="thick">
        <color theme="0" tint="-0.14996795556505021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 style="hair">
        <color theme="8" tint="-0.24994659260841701"/>
      </bottom>
      <diagonal/>
    </border>
    <border>
      <left/>
      <right/>
      <top style="medium">
        <color theme="0" tint="-0.499984740745262"/>
      </top>
      <bottom style="hair">
        <color indexed="64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hair">
        <color indexed="64"/>
      </bottom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9"/>
      </bottom>
      <diagonal/>
    </border>
    <border>
      <left/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9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/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2">
    <xf numFmtId="0" fontId="0" fillId="0" borderId="0"/>
    <xf numFmtId="164" fontId="4" fillId="0" borderId="0" applyFont="0" applyFill="0" applyBorder="0" applyAlignment="0" applyProtection="0"/>
    <xf numFmtId="0" fontId="6" fillId="2" borderId="13" applyNumberFormat="0" applyAlignment="0" applyProtection="0"/>
    <xf numFmtId="0" fontId="7" fillId="3" borderId="0" applyNumberFormat="0" applyBorder="0" applyAlignment="0" applyProtection="0"/>
    <xf numFmtId="0" fontId="10" fillId="5" borderId="50" applyNumberFormat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14" fillId="0" borderId="0"/>
    <xf numFmtId="0" fontId="39" fillId="0" borderId="0" applyNumberFormat="0" applyFill="0" applyBorder="0" applyAlignment="0" applyProtection="0">
      <alignment vertical="top"/>
      <protection locked="0"/>
    </xf>
    <xf numFmtId="167" fontId="14" fillId="0" borderId="0" applyFont="0" applyFill="0" applyBorder="0" applyAlignment="0" applyProtection="0"/>
    <xf numFmtId="0" fontId="42" fillId="0" borderId="0"/>
    <xf numFmtId="164" fontId="42" fillId="0" borderId="0" applyFont="0" applyFill="0" applyBorder="0" applyAlignment="0" applyProtection="0"/>
  </cellStyleXfs>
  <cellXfs count="294">
    <xf numFmtId="0" fontId="0" fillId="0" borderId="0" xfId="0"/>
    <xf numFmtId="2" fontId="3" fillId="0" borderId="5" xfId="0" applyNumberFormat="1" applyFont="1" applyFill="1" applyBorder="1" applyAlignment="1" applyProtection="1">
      <alignment horizontal="center"/>
      <protection hidden="1"/>
    </xf>
    <xf numFmtId="0" fontId="0" fillId="0" borderId="3" xfId="0" applyBorder="1"/>
    <xf numFmtId="1" fontId="3" fillId="0" borderId="5" xfId="0" applyNumberFormat="1" applyFont="1" applyFill="1" applyBorder="1" applyAlignment="1" applyProtection="1">
      <alignment horizontal="center"/>
      <protection hidden="1"/>
    </xf>
    <xf numFmtId="164" fontId="3" fillId="0" borderId="5" xfId="1" applyFont="1" applyFill="1" applyBorder="1" applyProtection="1">
      <protection hidden="1"/>
    </xf>
    <xf numFmtId="0" fontId="0" fillId="0" borderId="7" xfId="0" applyBorder="1"/>
    <xf numFmtId="0" fontId="0" fillId="0" borderId="9" xfId="0" applyBorder="1"/>
    <xf numFmtId="164" fontId="3" fillId="0" borderId="5" xfId="1" applyFont="1" applyFill="1" applyBorder="1" applyProtection="1">
      <protection locked="0"/>
    </xf>
    <xf numFmtId="17" fontId="0" fillId="0" borderId="2" xfId="0" applyNumberFormat="1" applyBorder="1"/>
    <xf numFmtId="14" fontId="0" fillId="0" borderId="3" xfId="0" applyNumberFormat="1" applyBorder="1"/>
    <xf numFmtId="14" fontId="0" fillId="0" borderId="3" xfId="0" quotePrefix="1" applyNumberFormat="1" applyBorder="1"/>
    <xf numFmtId="1" fontId="0" fillId="0" borderId="4" xfId="0" quotePrefix="1" applyNumberFormat="1" applyBorder="1"/>
    <xf numFmtId="17" fontId="0" fillId="0" borderId="6" xfId="0" applyNumberFormat="1" applyBorder="1"/>
    <xf numFmtId="14" fontId="0" fillId="0" borderId="7" xfId="0" quotePrefix="1" applyNumberFormat="1" applyBorder="1"/>
    <xf numFmtId="14" fontId="0" fillId="0" borderId="7" xfId="0" applyNumberFormat="1" applyBorder="1"/>
    <xf numFmtId="1" fontId="0" fillId="0" borderId="8" xfId="0" applyNumberFormat="1" applyBorder="1"/>
    <xf numFmtId="17" fontId="0" fillId="0" borderId="11" xfId="0" applyNumberFormat="1" applyBorder="1"/>
    <xf numFmtId="14" fontId="0" fillId="0" borderId="9" xfId="0" applyNumberFormat="1" applyBorder="1"/>
    <xf numFmtId="1" fontId="0" fillId="0" borderId="10" xfId="0" applyNumberFormat="1" applyBorder="1"/>
    <xf numFmtId="1" fontId="0" fillId="0" borderId="3" xfId="0" quotePrefix="1" applyNumberFormat="1" applyBorder="1"/>
    <xf numFmtId="1" fontId="0" fillId="0" borderId="3" xfId="0" applyNumberFormat="1" applyBorder="1"/>
    <xf numFmtId="1" fontId="0" fillId="0" borderId="7" xfId="0" quotePrefix="1" applyNumberFormat="1" applyBorder="1"/>
    <xf numFmtId="1" fontId="0" fillId="0" borderId="7" xfId="0" applyNumberFormat="1" applyBorder="1"/>
    <xf numFmtId="1" fontId="0" fillId="0" borderId="9" xfId="0" quotePrefix="1" applyNumberFormat="1" applyBorder="1"/>
    <xf numFmtId="1" fontId="0" fillId="0" borderId="9" xfId="0" applyNumberFormat="1" applyBorder="1"/>
    <xf numFmtId="14" fontId="0" fillId="0" borderId="9" xfId="0" quotePrefix="1" applyNumberFormat="1" applyBorder="1"/>
    <xf numFmtId="9" fontId="0" fillId="0" borderId="0" xfId="0" applyNumberFormat="1"/>
    <xf numFmtId="43" fontId="3" fillId="0" borderId="5" xfId="0" applyNumberFormat="1" applyFont="1" applyFill="1" applyBorder="1" applyAlignment="1" applyProtection="1">
      <alignment horizontal="center"/>
      <protection hidden="1"/>
    </xf>
    <xf numFmtId="17" fontId="2" fillId="4" borderId="0" xfId="0" applyNumberFormat="1" applyFont="1" applyFill="1" applyBorder="1" applyAlignment="1" applyProtection="1">
      <alignment horizontal="center"/>
      <protection hidden="1"/>
    </xf>
    <xf numFmtId="2" fontId="2" fillId="4" borderId="0" xfId="0" applyNumberFormat="1" applyFont="1" applyFill="1" applyBorder="1" applyAlignment="1" applyProtection="1">
      <alignment horizontal="center"/>
      <protection hidden="1"/>
    </xf>
    <xf numFmtId="164" fontId="2" fillId="4" borderId="0" xfId="1" applyFont="1" applyFill="1" applyBorder="1" applyProtection="1">
      <protection hidden="1"/>
    </xf>
    <xf numFmtId="17" fontId="3" fillId="0" borderId="23" xfId="0" applyNumberFormat="1" applyFont="1" applyFill="1" applyBorder="1" applyAlignment="1" applyProtection="1">
      <alignment horizontal="center"/>
      <protection hidden="1"/>
    </xf>
    <xf numFmtId="43" fontId="3" fillId="0" borderId="24" xfId="0" applyNumberFormat="1" applyFont="1" applyFill="1" applyBorder="1" applyAlignment="1" applyProtection="1">
      <alignment horizontal="center"/>
      <protection hidden="1"/>
    </xf>
    <xf numFmtId="2" fontId="3" fillId="0" borderId="24" xfId="0" applyNumberFormat="1" applyFont="1" applyFill="1" applyBorder="1" applyAlignment="1" applyProtection="1">
      <alignment horizontal="center"/>
      <protection hidden="1"/>
    </xf>
    <xf numFmtId="164" fontId="3" fillId="0" borderId="24" xfId="1" applyFont="1" applyFill="1" applyBorder="1" applyProtection="1">
      <protection hidden="1"/>
    </xf>
    <xf numFmtId="164" fontId="3" fillId="0" borderId="24" xfId="1" applyFont="1" applyFill="1" applyBorder="1" applyProtection="1">
      <protection locked="0"/>
    </xf>
    <xf numFmtId="164" fontId="5" fillId="0" borderId="25" xfId="1" applyFont="1" applyFill="1" applyBorder="1" applyProtection="1">
      <protection hidden="1"/>
    </xf>
    <xf numFmtId="17" fontId="3" fillId="0" borderId="26" xfId="0" applyNumberFormat="1" applyFont="1" applyFill="1" applyBorder="1" applyAlignment="1" applyProtection="1">
      <alignment horizontal="center"/>
      <protection hidden="1"/>
    </xf>
    <xf numFmtId="164" fontId="5" fillId="0" borderId="27" xfId="1" applyFont="1" applyFill="1" applyBorder="1" applyProtection="1">
      <protection hidden="1"/>
    </xf>
    <xf numFmtId="17" fontId="3" fillId="0" borderId="28" xfId="0" applyNumberFormat="1" applyFont="1" applyFill="1" applyBorder="1" applyAlignment="1" applyProtection="1">
      <alignment horizontal="center"/>
      <protection hidden="1"/>
    </xf>
    <xf numFmtId="43" fontId="3" fillId="0" borderId="29" xfId="0" applyNumberFormat="1" applyFont="1" applyFill="1" applyBorder="1" applyAlignment="1" applyProtection="1">
      <alignment horizontal="center"/>
      <protection hidden="1"/>
    </xf>
    <xf numFmtId="2" fontId="3" fillId="0" borderId="29" xfId="0" applyNumberFormat="1" applyFont="1" applyFill="1" applyBorder="1" applyAlignment="1" applyProtection="1">
      <alignment horizontal="center"/>
      <protection hidden="1"/>
    </xf>
    <xf numFmtId="164" fontId="3" fillId="0" borderId="29" xfId="1" applyFont="1" applyFill="1" applyBorder="1" applyProtection="1">
      <protection hidden="1"/>
    </xf>
    <xf numFmtId="164" fontId="3" fillId="0" borderId="29" xfId="1" applyFont="1" applyFill="1" applyBorder="1" applyProtection="1">
      <protection locked="0"/>
    </xf>
    <xf numFmtId="164" fontId="5" fillId="0" borderId="30" xfId="1" applyFont="1" applyFill="1" applyBorder="1" applyProtection="1">
      <protection hidden="1"/>
    </xf>
    <xf numFmtId="0" fontId="0" fillId="4" borderId="35" xfId="0" applyFill="1" applyBorder="1"/>
    <xf numFmtId="0" fontId="0" fillId="4" borderId="36" xfId="0" applyFill="1" applyBorder="1"/>
    <xf numFmtId="0" fontId="0" fillId="4" borderId="37" xfId="0" applyFill="1" applyBorder="1"/>
    <xf numFmtId="0" fontId="0" fillId="4" borderId="38" xfId="0" applyFill="1" applyBorder="1"/>
    <xf numFmtId="0" fontId="0" fillId="4" borderId="39" xfId="0" applyFill="1" applyBorder="1"/>
    <xf numFmtId="0" fontId="0" fillId="4" borderId="40" xfId="0" applyFill="1" applyBorder="1"/>
    <xf numFmtId="0" fontId="0" fillId="4" borderId="41" xfId="0" applyFill="1" applyBorder="1"/>
    <xf numFmtId="0" fontId="0" fillId="4" borderId="42" xfId="0" applyFill="1" applyBorder="1"/>
    <xf numFmtId="0" fontId="8" fillId="0" borderId="43" xfId="3" applyFont="1" applyFill="1" applyBorder="1" applyAlignment="1">
      <alignment horizontal="left" vertical="center" indent="1"/>
    </xf>
    <xf numFmtId="0" fontId="7" fillId="0" borderId="44" xfId="3" applyFill="1" applyBorder="1" applyAlignment="1">
      <alignment horizontal="left" vertical="center" indent="1"/>
    </xf>
    <xf numFmtId="0" fontId="7" fillId="0" borderId="45" xfId="3" applyFill="1" applyBorder="1" applyAlignment="1">
      <alignment horizontal="left" vertical="center" indent="1"/>
    </xf>
    <xf numFmtId="0" fontId="7" fillId="0" borderId="46" xfId="3" applyFill="1" applyBorder="1" applyAlignment="1">
      <alignment horizontal="left" vertical="center" indent="1"/>
    </xf>
    <xf numFmtId="0" fontId="8" fillId="0" borderId="47" xfId="3" applyFont="1" applyFill="1" applyBorder="1" applyAlignment="1">
      <alignment horizontal="left" vertical="center" indent="1"/>
    </xf>
    <xf numFmtId="0" fontId="7" fillId="0" borderId="48" xfId="3" applyFill="1" applyBorder="1" applyAlignment="1">
      <alignment horizontal="left" vertical="center" indent="1"/>
    </xf>
    <xf numFmtId="0" fontId="7" fillId="0" borderId="49" xfId="3" applyFill="1" applyBorder="1" applyAlignment="1">
      <alignment horizontal="left" vertical="center" indent="1"/>
    </xf>
    <xf numFmtId="0" fontId="8" fillId="0" borderId="21" xfId="3" applyFont="1" applyFill="1" applyBorder="1" applyAlignment="1" applyProtection="1">
      <alignment horizontal="center" wrapText="1"/>
      <protection hidden="1"/>
    </xf>
    <xf numFmtId="0" fontId="9" fillId="0" borderId="0" xfId="0" applyFont="1"/>
    <xf numFmtId="43" fontId="5" fillId="0" borderId="24" xfId="0" applyNumberFormat="1" applyFont="1" applyFill="1" applyBorder="1" applyProtection="1">
      <protection hidden="1"/>
    </xf>
    <xf numFmtId="43" fontId="5" fillId="0" borderId="5" xfId="0" applyNumberFormat="1" applyFont="1" applyFill="1" applyBorder="1" applyProtection="1">
      <protection hidden="1"/>
    </xf>
    <xf numFmtId="164" fontId="11" fillId="4" borderId="14" xfId="0" applyNumberFormat="1" applyFont="1" applyFill="1" applyBorder="1" applyProtection="1">
      <protection hidden="1"/>
    </xf>
    <xf numFmtId="2" fontId="0" fillId="0" borderId="0" xfId="0" applyNumberFormat="1"/>
    <xf numFmtId="0" fontId="10" fillId="5" borderId="50" xfId="4" applyAlignment="1">
      <alignment horizontal="center"/>
    </xf>
    <xf numFmtId="1" fontId="3" fillId="0" borderId="24" xfId="0" applyNumberFormat="1" applyFont="1" applyFill="1" applyBorder="1" applyAlignment="1" applyProtection="1">
      <alignment horizontal="center"/>
      <protection hidden="1"/>
    </xf>
    <xf numFmtId="1" fontId="3" fillId="0" borderId="29" xfId="0" applyNumberFormat="1" applyFont="1" applyFill="1" applyBorder="1" applyAlignment="1" applyProtection="1">
      <alignment horizontal="center"/>
      <protection hidden="1"/>
    </xf>
    <xf numFmtId="43" fontId="5" fillId="0" borderId="29" xfId="0" applyNumberFormat="1" applyFont="1" applyFill="1" applyBorder="1" applyProtection="1">
      <protection hidden="1"/>
    </xf>
    <xf numFmtId="0" fontId="7" fillId="7" borderId="0" xfId="6"/>
    <xf numFmtId="164" fontId="3" fillId="0" borderId="5" xfId="0" applyNumberFormat="1" applyFont="1" applyFill="1" applyBorder="1" applyAlignment="1" applyProtection="1">
      <alignment horizontal="center"/>
      <protection hidden="1"/>
    </xf>
    <xf numFmtId="164" fontId="3" fillId="0" borderId="29" xfId="0" applyNumberFormat="1" applyFont="1" applyFill="1" applyBorder="1" applyAlignment="1" applyProtection="1">
      <alignment horizontal="center"/>
      <protection hidden="1"/>
    </xf>
    <xf numFmtId="0" fontId="8" fillId="0" borderId="21" xfId="3" applyFont="1" applyFill="1" applyBorder="1" applyAlignment="1" applyProtection="1">
      <alignment horizontal="center" vertical="center" wrapText="1"/>
      <protection hidden="1"/>
    </xf>
    <xf numFmtId="0" fontId="14" fillId="0" borderId="0" xfId="7"/>
    <xf numFmtId="0" fontId="17" fillId="0" borderId="54" xfId="7" applyFont="1" applyFill="1" applyBorder="1" applyAlignment="1">
      <alignment horizontal="center" vertical="center"/>
    </xf>
    <xf numFmtId="0" fontId="19" fillId="8" borderId="65" xfId="7" applyFont="1" applyFill="1" applyBorder="1" applyAlignment="1">
      <alignment horizontal="center" vertical="center"/>
    </xf>
    <xf numFmtId="0" fontId="20" fillId="8" borderId="66" xfId="7" applyFont="1" applyFill="1" applyBorder="1" applyAlignment="1">
      <alignment horizontal="center" vertical="center"/>
    </xf>
    <xf numFmtId="0" fontId="20" fillId="8" borderId="67" xfId="7" applyFont="1" applyFill="1" applyBorder="1" applyAlignment="1">
      <alignment horizontal="center" vertical="center"/>
    </xf>
    <xf numFmtId="0" fontId="20" fillId="8" borderId="68" xfId="7" applyFont="1" applyFill="1" applyBorder="1" applyAlignment="1">
      <alignment horizontal="center" vertical="center"/>
    </xf>
    <xf numFmtId="0" fontId="20" fillId="0" borderId="54" xfId="7" applyFont="1" applyFill="1" applyBorder="1" applyAlignment="1">
      <alignment horizontal="center" vertical="center"/>
    </xf>
    <xf numFmtId="0" fontId="21" fillId="8" borderId="65" xfId="7" applyFont="1" applyFill="1" applyBorder="1" applyAlignment="1" applyProtection="1">
      <alignment vertical="center"/>
    </xf>
    <xf numFmtId="14" fontId="22" fillId="9" borderId="69" xfId="7" applyNumberFormat="1" applyFont="1" applyFill="1" applyBorder="1" applyAlignment="1">
      <alignment vertical="center"/>
    </xf>
    <xf numFmtId="14" fontId="22" fillId="9" borderId="70" xfId="7" applyNumberFormat="1" applyFont="1" applyFill="1" applyBorder="1" applyAlignment="1">
      <alignment vertical="center"/>
    </xf>
    <xf numFmtId="14" fontId="22" fillId="9" borderId="71" xfId="7" applyNumberFormat="1" applyFont="1" applyFill="1" applyBorder="1" applyAlignment="1">
      <alignment vertical="center"/>
    </xf>
    <xf numFmtId="14" fontId="22" fillId="0" borderId="54" xfId="7" applyNumberFormat="1" applyFont="1" applyFill="1" applyBorder="1"/>
    <xf numFmtId="14" fontId="22" fillId="9" borderId="76" xfId="7" applyNumberFormat="1" applyFont="1" applyFill="1" applyBorder="1" applyAlignment="1">
      <alignment vertical="center"/>
    </xf>
    <xf numFmtId="14" fontId="22" fillId="9" borderId="7" xfId="7" applyNumberFormat="1" applyFont="1" applyFill="1" applyBorder="1" applyAlignment="1">
      <alignment vertical="center"/>
    </xf>
    <xf numFmtId="14" fontId="22" fillId="9" borderId="8" xfId="7" applyNumberFormat="1" applyFont="1" applyFill="1" applyBorder="1" applyAlignment="1">
      <alignment vertical="center"/>
    </xf>
    <xf numFmtId="14" fontId="25" fillId="8" borderId="1" xfId="7" applyNumberFormat="1" applyFont="1" applyFill="1" applyBorder="1" applyAlignment="1">
      <alignment horizontal="center" vertical="center"/>
    </xf>
    <xf numFmtId="0" fontId="25" fillId="8" borderId="1" xfId="7" applyFont="1" applyFill="1" applyBorder="1" applyAlignment="1">
      <alignment horizontal="center" vertical="center"/>
    </xf>
    <xf numFmtId="165" fontId="26" fillId="0" borderId="1" xfId="7" applyNumberFormat="1" applyFont="1" applyFill="1" applyBorder="1" applyAlignment="1">
      <alignment horizontal="center" vertical="center"/>
    </xf>
    <xf numFmtId="0" fontId="14" fillId="0" borderId="1" xfId="7" applyFont="1" applyBorder="1" applyAlignment="1">
      <alignment horizontal="center" vertical="center"/>
    </xf>
    <xf numFmtId="0" fontId="29" fillId="0" borderId="14" xfId="7" applyFont="1" applyBorder="1" applyAlignment="1">
      <alignment horizontal="center"/>
    </xf>
    <xf numFmtId="165" fontId="26" fillId="0" borderId="1" xfId="7" applyNumberFormat="1" applyFont="1" applyBorder="1" applyAlignment="1">
      <alignment horizontal="center" vertical="center"/>
    </xf>
    <xf numFmtId="14" fontId="22" fillId="10" borderId="76" xfId="7" applyNumberFormat="1" applyFont="1" applyFill="1" applyBorder="1" applyAlignment="1">
      <alignment vertical="center"/>
    </xf>
    <xf numFmtId="14" fontId="22" fillId="10" borderId="7" xfId="7" applyNumberFormat="1" applyFont="1" applyFill="1" applyBorder="1" applyAlignment="1">
      <alignment vertical="center"/>
    </xf>
    <xf numFmtId="14" fontId="22" fillId="10" borderId="8" xfId="7" applyNumberFormat="1" applyFont="1" applyFill="1" applyBorder="1" applyAlignment="1">
      <alignment vertical="center"/>
    </xf>
    <xf numFmtId="0" fontId="30" fillId="0" borderId="0" xfId="7" applyFont="1"/>
    <xf numFmtId="14" fontId="22" fillId="11" borderId="78" xfId="7" applyNumberFormat="1" applyFont="1" applyFill="1" applyBorder="1" applyAlignment="1">
      <alignment vertical="center"/>
    </xf>
    <xf numFmtId="14" fontId="22" fillId="11" borderId="76" xfId="7" applyNumberFormat="1" applyFont="1" applyFill="1" applyBorder="1" applyAlignment="1">
      <alignment vertical="center"/>
    </xf>
    <xf numFmtId="14" fontId="22" fillId="11" borderId="79" xfId="7" applyNumberFormat="1" applyFont="1" applyFill="1" applyBorder="1" applyAlignment="1">
      <alignment vertical="center"/>
    </xf>
    <xf numFmtId="0" fontId="14" fillId="0" borderId="0" xfId="7" applyFont="1"/>
    <xf numFmtId="0" fontId="21" fillId="8" borderId="80" xfId="7" applyFont="1" applyFill="1" applyBorder="1" applyAlignment="1" applyProtection="1">
      <alignment vertical="center"/>
    </xf>
    <xf numFmtId="14" fontId="22" fillId="11" borderId="81" xfId="7" applyNumberFormat="1" applyFont="1" applyFill="1" applyBorder="1" applyAlignment="1">
      <alignment vertical="center"/>
    </xf>
    <xf numFmtId="14" fontId="22" fillId="11" borderId="9" xfId="7" applyNumberFormat="1" applyFont="1" applyFill="1" applyBorder="1" applyAlignment="1">
      <alignment vertical="center"/>
    </xf>
    <xf numFmtId="14" fontId="22" fillId="11" borderId="10" xfId="7" applyNumberFormat="1" applyFont="1" applyFill="1" applyBorder="1" applyAlignment="1">
      <alignment vertical="center"/>
    </xf>
    <xf numFmtId="0" fontId="21" fillId="8" borderId="1" xfId="7" applyFont="1" applyFill="1" applyBorder="1" applyAlignment="1" applyProtection="1">
      <alignment vertical="center"/>
    </xf>
    <xf numFmtId="14" fontId="27" fillId="0" borderId="54" xfId="7" quotePrefix="1" applyNumberFormat="1" applyFont="1" applyFill="1" applyBorder="1"/>
    <xf numFmtId="0" fontId="22" fillId="0" borderId="0" xfId="7" applyFont="1"/>
    <xf numFmtId="14" fontId="22" fillId="0" borderId="0" xfId="7" applyNumberFormat="1" applyFont="1"/>
    <xf numFmtId="0" fontId="22" fillId="0" borderId="0" xfId="7" quotePrefix="1" applyFont="1"/>
    <xf numFmtId="0" fontId="33" fillId="0" borderId="0" xfId="7" applyFont="1"/>
    <xf numFmtId="0" fontId="22" fillId="0" borderId="54" xfId="7" applyFont="1" applyFill="1" applyBorder="1" applyAlignment="1">
      <alignment horizontal="center"/>
    </xf>
    <xf numFmtId="0" fontId="22" fillId="0" borderId="0" xfId="7" applyFont="1" applyFill="1" applyBorder="1" applyAlignment="1">
      <alignment horizontal="center"/>
    </xf>
    <xf numFmtId="0" fontId="34" fillId="0" borderId="87" xfId="7" applyFont="1" applyBorder="1"/>
    <xf numFmtId="0" fontId="22" fillId="0" borderId="76" xfId="7" applyFont="1" applyBorder="1" applyAlignment="1">
      <alignment horizontal="center"/>
    </xf>
    <xf numFmtId="0" fontId="22" fillId="0" borderId="7" xfId="7" applyFont="1" applyBorder="1" applyAlignment="1">
      <alignment horizontal="center"/>
    </xf>
    <xf numFmtId="0" fontId="22" fillId="0" borderId="88" xfId="7" applyFont="1" applyBorder="1" applyAlignment="1">
      <alignment horizontal="center"/>
    </xf>
    <xf numFmtId="0" fontId="34" fillId="10" borderId="87" xfId="7" applyFont="1" applyFill="1" applyBorder="1"/>
    <xf numFmtId="0" fontId="22" fillId="10" borderId="76" xfId="7" applyFont="1" applyFill="1" applyBorder="1" applyAlignment="1">
      <alignment horizontal="center"/>
    </xf>
    <xf numFmtId="0" fontId="22" fillId="10" borderId="7" xfId="7" applyFont="1" applyFill="1" applyBorder="1" applyAlignment="1">
      <alignment horizontal="center"/>
    </xf>
    <xf numFmtId="0" fontId="22" fillId="10" borderId="88" xfId="7" applyFont="1" applyFill="1" applyBorder="1" applyAlignment="1">
      <alignment horizontal="center"/>
    </xf>
    <xf numFmtId="0" fontId="34" fillId="0" borderId="89" xfId="7" applyFont="1" applyBorder="1"/>
    <xf numFmtId="0" fontId="22" fillId="0" borderId="90" xfId="7" applyFont="1" applyBorder="1" applyAlignment="1">
      <alignment horizontal="center"/>
    </xf>
    <xf numFmtId="0" fontId="22" fillId="0" borderId="9" xfId="7" applyFont="1" applyBorder="1" applyAlignment="1">
      <alignment horizontal="center"/>
    </xf>
    <xf numFmtId="0" fontId="22" fillId="0" borderId="91" xfId="7" applyFont="1" applyBorder="1" applyAlignment="1">
      <alignment horizontal="center"/>
    </xf>
    <xf numFmtId="0" fontId="14" fillId="0" borderId="0" xfId="7" applyFill="1"/>
    <xf numFmtId="0" fontId="22" fillId="0" borderId="72" xfId="7" applyFont="1" applyBorder="1"/>
    <xf numFmtId="0" fontId="14" fillId="0" borderId="74" xfId="7" applyBorder="1"/>
    <xf numFmtId="0" fontId="14" fillId="0" borderId="73" xfId="7" applyBorder="1"/>
    <xf numFmtId="0" fontId="12" fillId="10" borderId="1" xfId="7" applyFont="1" applyFill="1" applyBorder="1" applyAlignment="1">
      <alignment horizontal="center"/>
    </xf>
    <xf numFmtId="0" fontId="22" fillId="0" borderId="54" xfId="7" applyFont="1" applyBorder="1"/>
    <xf numFmtId="0" fontId="14" fillId="0" borderId="0" xfId="7" applyBorder="1"/>
    <xf numFmtId="0" fontId="14" fillId="0" borderId="55" xfId="7" applyBorder="1"/>
    <xf numFmtId="0" fontId="22" fillId="0" borderId="56" xfId="7" applyFont="1" applyFill="1" applyBorder="1"/>
    <xf numFmtId="0" fontId="14" fillId="0" borderId="57" xfId="7" applyBorder="1"/>
    <xf numFmtId="0" fontId="14" fillId="0" borderId="58" xfId="7" applyBorder="1"/>
    <xf numFmtId="0" fontId="38" fillId="0" borderId="0" xfId="7" applyFont="1" applyFill="1" applyBorder="1"/>
    <xf numFmtId="0" fontId="39" fillId="0" borderId="0" xfId="8" applyFill="1" applyBorder="1" applyAlignment="1" applyProtection="1"/>
    <xf numFmtId="0" fontId="20" fillId="8" borderId="1" xfId="7" applyFont="1" applyFill="1" applyBorder="1" applyAlignment="1">
      <alignment horizontal="center" vertical="center"/>
    </xf>
    <xf numFmtId="0" fontId="27" fillId="0" borderId="1" xfId="7" applyFont="1" applyFill="1" applyBorder="1" applyAlignment="1">
      <alignment horizontal="left" vertical="center" wrapText="1" indent="1"/>
    </xf>
    <xf numFmtId="0" fontId="27" fillId="0" borderId="92" xfId="7" applyFont="1" applyFill="1" applyBorder="1" applyAlignment="1">
      <alignment horizontal="center" vertical="center"/>
    </xf>
    <xf numFmtId="0" fontId="27" fillId="0" borderId="1" xfId="7" applyFont="1" applyFill="1" applyBorder="1" applyAlignment="1">
      <alignment horizontal="left" vertical="center" indent="1"/>
    </xf>
    <xf numFmtId="0" fontId="14" fillId="0" borderId="0" xfId="7" applyBorder="1" applyAlignment="1">
      <alignment horizontal="center" vertical="center"/>
    </xf>
    <xf numFmtId="14" fontId="14" fillId="0" borderId="0" xfId="7" applyNumberFormat="1"/>
    <xf numFmtId="0" fontId="41" fillId="0" borderId="0" xfId="7" applyFont="1"/>
    <xf numFmtId="14" fontId="28" fillId="0" borderId="57" xfId="7" applyNumberFormat="1" applyFont="1" applyFill="1" applyBorder="1" applyAlignment="1">
      <alignment horizontal="center" vertical="center"/>
    </xf>
    <xf numFmtId="0" fontId="14" fillId="0" borderId="0" xfId="7" applyFont="1" applyBorder="1" applyAlignment="1">
      <alignment horizontal="center" vertical="center"/>
    </xf>
    <xf numFmtId="14" fontId="28" fillId="0" borderId="0" xfId="7" applyNumberFormat="1" applyFont="1" applyFill="1" applyBorder="1" applyAlignment="1">
      <alignment horizontal="center" vertical="center"/>
    </xf>
    <xf numFmtId="14" fontId="29" fillId="0" borderId="0" xfId="7" applyNumberFormat="1" applyFont="1" applyFill="1" applyBorder="1" applyAlignment="1">
      <alignment horizontal="center" vertical="center"/>
    </xf>
    <xf numFmtId="0" fontId="29" fillId="0" borderId="0" xfId="7" applyFont="1" applyBorder="1" applyAlignment="1">
      <alignment horizontal="center"/>
    </xf>
    <xf numFmtId="14" fontId="27" fillId="12" borderId="82" xfId="7" quotePrefix="1" applyNumberFormat="1" applyFont="1" applyFill="1" applyBorder="1" applyAlignment="1">
      <alignment vertical="center"/>
    </xf>
    <xf numFmtId="14" fontId="27" fillId="12" borderId="12" xfId="7" quotePrefix="1" applyNumberFormat="1" applyFont="1" applyFill="1" applyBorder="1" applyAlignment="1">
      <alignment vertical="center"/>
    </xf>
    <xf numFmtId="14" fontId="27" fillId="12" borderId="83" xfId="7" quotePrefix="1" applyNumberFormat="1" applyFont="1" applyFill="1" applyBorder="1" applyAlignment="1">
      <alignment vertical="center"/>
    </xf>
    <xf numFmtId="0" fontId="12" fillId="12" borderId="84" xfId="7" applyFont="1" applyFill="1" applyBorder="1" applyAlignment="1">
      <alignment horizontal="left" vertical="center"/>
    </xf>
    <xf numFmtId="0" fontId="12" fillId="12" borderId="84" xfId="7" applyFont="1" applyFill="1" applyBorder="1" applyAlignment="1">
      <alignment horizontal="center" vertical="center"/>
    </xf>
    <xf numFmtId="0" fontId="12" fillId="12" borderId="89" xfId="7" applyFont="1" applyFill="1" applyBorder="1" applyAlignment="1">
      <alignment horizontal="left" vertical="center"/>
    </xf>
    <xf numFmtId="0" fontId="12" fillId="12" borderId="89" xfId="7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 applyProtection="1">
      <alignment horizontal="center"/>
      <protection hidden="1"/>
    </xf>
    <xf numFmtId="0" fontId="0" fillId="0" borderId="0" xfId="0" applyBorder="1"/>
    <xf numFmtId="0" fontId="29" fillId="0" borderId="14" xfId="7" quotePrefix="1" applyFont="1" applyBorder="1" applyAlignment="1">
      <alignment horizontal="center"/>
    </xf>
    <xf numFmtId="0" fontId="0" fillId="0" borderId="7" xfId="0" applyFill="1" applyBorder="1"/>
    <xf numFmtId="0" fontId="0" fillId="0" borderId="9" xfId="0" applyFill="1" applyBorder="1"/>
    <xf numFmtId="0" fontId="0" fillId="0" borderId="0" xfId="0" quotePrefix="1" applyBorder="1"/>
    <xf numFmtId="3" fontId="3" fillId="13" borderId="24" xfId="1" applyNumberFormat="1" applyFont="1" applyFill="1" applyBorder="1" applyAlignment="1" applyProtection="1">
      <alignment horizontal="center"/>
      <protection hidden="1"/>
    </xf>
    <xf numFmtId="3" fontId="3" fillId="13" borderId="5" xfId="1" applyNumberFormat="1" applyFont="1" applyFill="1" applyBorder="1" applyAlignment="1" applyProtection="1">
      <alignment horizontal="center"/>
      <protection hidden="1"/>
    </xf>
    <xf numFmtId="3" fontId="3" fillId="13" borderId="29" xfId="1" applyNumberFormat="1" applyFont="1" applyFill="1" applyBorder="1" applyAlignment="1" applyProtection="1">
      <alignment horizontal="center"/>
      <protection hidden="1"/>
    </xf>
    <xf numFmtId="0" fontId="0" fillId="0" borderId="7" xfId="0" quotePrefix="1" applyFill="1" applyBorder="1"/>
    <xf numFmtId="0" fontId="43" fillId="0" borderId="0" xfId="0" applyFont="1" applyBorder="1"/>
    <xf numFmtId="0" fontId="11" fillId="0" borderId="0" xfId="0" quotePrefix="1" applyFont="1" applyBorder="1"/>
    <xf numFmtId="0" fontId="8" fillId="0" borderId="0" xfId="0" applyFont="1" applyBorder="1"/>
    <xf numFmtId="0" fontId="34" fillId="14" borderId="84" xfId="7" applyFont="1" applyFill="1" applyBorder="1"/>
    <xf numFmtId="0" fontId="22" fillId="14" borderId="85" xfId="7" applyFont="1" applyFill="1" applyBorder="1" applyAlignment="1">
      <alignment horizontal="center"/>
    </xf>
    <xf numFmtId="0" fontId="22" fillId="14" borderId="3" xfId="7" applyFont="1" applyFill="1" applyBorder="1" applyAlignment="1">
      <alignment horizontal="center"/>
    </xf>
    <xf numFmtId="0" fontId="22" fillId="14" borderId="86" xfId="7" applyFont="1" applyFill="1" applyBorder="1" applyAlignment="1">
      <alignment horizontal="center"/>
    </xf>
    <xf numFmtId="2" fontId="44" fillId="0" borderId="0" xfId="0" applyNumberFormat="1" applyFont="1" applyFill="1" applyBorder="1" applyAlignment="1" applyProtection="1">
      <alignment horizontal="left" indent="1"/>
      <protection hidden="1"/>
    </xf>
    <xf numFmtId="0" fontId="44" fillId="0" borderId="0" xfId="0" applyFont="1"/>
    <xf numFmtId="2" fontId="44" fillId="0" borderId="0" xfId="0" applyNumberFormat="1" applyFont="1"/>
    <xf numFmtId="2" fontId="44" fillId="0" borderId="0" xfId="0" applyNumberFormat="1" applyFont="1" applyFill="1" applyBorder="1" applyAlignment="1" applyProtection="1">
      <alignment horizontal="center"/>
      <protection hidden="1"/>
    </xf>
    <xf numFmtId="2" fontId="46" fillId="0" borderId="0" xfId="0" applyNumberFormat="1" applyFont="1" applyFill="1" applyBorder="1" applyAlignment="1" applyProtection="1">
      <alignment horizontal="left" indent="1"/>
      <protection hidden="1"/>
    </xf>
    <xf numFmtId="0" fontId="47" fillId="0" borderId="0" xfId="0" applyFont="1"/>
    <xf numFmtId="14" fontId="48" fillId="2" borderId="13" xfId="2" applyNumberFormat="1" applyFont="1"/>
    <xf numFmtId="0" fontId="48" fillId="2" borderId="13" xfId="2" applyFont="1" applyAlignment="1">
      <alignment horizontal="center"/>
    </xf>
    <xf numFmtId="9" fontId="48" fillId="2" borderId="13" xfId="2" applyNumberFormat="1" applyFont="1" applyAlignment="1">
      <alignment horizontal="center"/>
    </xf>
    <xf numFmtId="0" fontId="0" fillId="0" borderId="0" xfId="0" applyBorder="1" applyAlignment="1">
      <alignment horizontal="center" vertical="center"/>
    </xf>
    <xf numFmtId="0" fontId="6" fillId="0" borderId="0" xfId="2" applyFill="1" applyBorder="1" applyAlignment="1">
      <alignment horizontal="center" vertical="center"/>
    </xf>
    <xf numFmtId="0" fontId="50" fillId="0" borderId="0" xfId="0" applyFont="1"/>
    <xf numFmtId="0" fontId="46" fillId="0" borderId="0" xfId="0" applyFont="1"/>
    <xf numFmtId="0" fontId="50" fillId="0" borderId="0" xfId="7" applyFont="1" applyAlignment="1">
      <alignment vertical="center"/>
    </xf>
    <xf numFmtId="0" fontId="51" fillId="0" borderId="0" xfId="4" applyFont="1" applyFill="1" applyBorder="1" applyAlignment="1">
      <alignment vertical="center"/>
    </xf>
    <xf numFmtId="2" fontId="46" fillId="0" borderId="0" xfId="0" applyNumberFormat="1" applyFont="1" applyFill="1" applyBorder="1" applyAlignment="1" applyProtection="1">
      <alignment horizontal="left"/>
      <protection hidden="1"/>
    </xf>
    <xf numFmtId="0" fontId="0" fillId="0" borderId="0" xfId="0"/>
    <xf numFmtId="0" fontId="48" fillId="0" borderId="100" xfId="2" applyFont="1" applyFill="1" applyBorder="1" applyAlignment="1">
      <alignment horizontal="right" indent="1"/>
    </xf>
    <xf numFmtId="0" fontId="49" fillId="0" borderId="100" xfId="0" applyFont="1" applyFill="1" applyBorder="1" applyAlignment="1">
      <alignment horizontal="right" indent="1"/>
    </xf>
    <xf numFmtId="9" fontId="48" fillId="0" borderId="101" xfId="2" applyNumberFormat="1" applyFont="1" applyFill="1" applyBorder="1" applyAlignment="1">
      <alignment horizontal="center"/>
    </xf>
    <xf numFmtId="43" fontId="0" fillId="0" borderId="0" xfId="0" applyNumberFormat="1"/>
    <xf numFmtId="164" fontId="0" fillId="0" borderId="0" xfId="0" applyNumberFormat="1"/>
    <xf numFmtId="164" fontId="53" fillId="4" borderId="0" xfId="1" applyFont="1" applyFill="1" applyBorder="1" applyProtection="1">
      <protection hidden="1"/>
    </xf>
    <xf numFmtId="164" fontId="11" fillId="4" borderId="102" xfId="0" applyNumberFormat="1" applyFont="1" applyFill="1" applyBorder="1" applyProtection="1">
      <protection hidden="1"/>
    </xf>
    <xf numFmtId="164" fontId="11" fillId="4" borderId="103" xfId="0" applyNumberFormat="1" applyFont="1" applyFill="1" applyBorder="1" applyProtection="1">
      <protection hidden="1"/>
    </xf>
    <xf numFmtId="164" fontId="11" fillId="4" borderId="104" xfId="0" applyNumberFormat="1" applyFont="1" applyFill="1" applyBorder="1" applyProtection="1">
      <protection hidden="1"/>
    </xf>
    <xf numFmtId="3" fontId="0" fillId="0" borderId="0" xfId="0" applyNumberFormat="1" applyBorder="1"/>
    <xf numFmtId="43" fontId="0" fillId="0" borderId="0" xfId="0" applyNumberFormat="1" applyBorder="1"/>
    <xf numFmtId="164" fontId="11" fillId="4" borderId="0" xfId="1" applyFont="1" applyFill="1" applyBorder="1" applyProtection="1">
      <protection hidden="1"/>
    </xf>
    <xf numFmtId="2" fontId="45" fillId="0" borderId="0" xfId="0" applyNumberFormat="1" applyFont="1" applyFill="1" applyBorder="1" applyAlignment="1" applyProtection="1">
      <alignment horizontal="center" vertical="center"/>
      <protection hidden="1"/>
    </xf>
    <xf numFmtId="0" fontId="45" fillId="0" borderId="0" xfId="0" applyFont="1" applyAlignment="1">
      <alignment horizontal="center" vertical="center"/>
    </xf>
    <xf numFmtId="0" fontId="48" fillId="2" borderId="13" xfId="2" applyFont="1" applyAlignment="1">
      <alignment horizontal="right" indent="1"/>
    </xf>
    <xf numFmtId="0" fontId="48" fillId="2" borderId="98" xfId="2" applyFont="1" applyBorder="1" applyAlignment="1">
      <alignment horizontal="right" indent="1"/>
    </xf>
    <xf numFmtId="0" fontId="49" fillId="0" borderId="99" xfId="0" applyFont="1" applyBorder="1" applyAlignment="1">
      <alignment horizontal="right" indent="1"/>
    </xf>
    <xf numFmtId="0" fontId="0" fillId="0" borderId="0" xfId="0"/>
    <xf numFmtId="0" fontId="0" fillId="0" borderId="0" xfId="0" applyBorder="1" applyAlignment="1">
      <alignment horizontal="center" vertical="center"/>
    </xf>
    <xf numFmtId="0" fontId="1" fillId="4" borderId="0" xfId="0" applyFont="1" applyFill="1" applyBorder="1" applyAlignment="1" applyProtection="1">
      <alignment horizontal="center" vertical="center" wrapText="1"/>
      <protection hidden="1"/>
    </xf>
    <xf numFmtId="0" fontId="0" fillId="4" borderId="0" xfId="0" applyFill="1" applyBorder="1" applyAlignment="1">
      <alignment horizontal="center" vertical="center" wrapText="1"/>
    </xf>
    <xf numFmtId="0" fontId="8" fillId="0" borderId="16" xfId="3" applyFont="1" applyFill="1" applyBorder="1" applyAlignment="1">
      <alignment horizontal="center"/>
    </xf>
    <xf numFmtId="0" fontId="8" fillId="0" borderId="17" xfId="3" applyFont="1" applyFill="1" applyBorder="1" applyAlignment="1">
      <alignment horizontal="center"/>
    </xf>
    <xf numFmtId="0" fontId="8" fillId="0" borderId="18" xfId="3" applyFont="1" applyFill="1" applyBorder="1" applyAlignment="1">
      <alignment horizontal="center"/>
    </xf>
    <xf numFmtId="0" fontId="8" fillId="0" borderId="15" xfId="3" applyFont="1" applyFill="1" applyBorder="1" applyAlignment="1" applyProtection="1">
      <alignment horizontal="center" vertical="center" wrapText="1"/>
      <protection hidden="1"/>
    </xf>
    <xf numFmtId="0" fontId="8" fillId="0" borderId="20" xfId="3" applyFont="1" applyFill="1" applyBorder="1" applyAlignment="1">
      <alignment horizontal="center" vertical="center"/>
    </xf>
    <xf numFmtId="0" fontId="8" fillId="0" borderId="19" xfId="3" applyFont="1" applyFill="1" applyBorder="1" applyAlignment="1" applyProtection="1">
      <alignment horizontal="center" vertical="center" wrapText="1"/>
      <protection hidden="1"/>
    </xf>
    <xf numFmtId="0" fontId="8" fillId="0" borderId="22" xfId="3" applyFont="1" applyFill="1" applyBorder="1" applyAlignment="1">
      <alignment horizontal="center" vertical="center"/>
    </xf>
    <xf numFmtId="0" fontId="8" fillId="0" borderId="16" xfId="3" applyFont="1" applyFill="1" applyBorder="1" applyAlignment="1" applyProtection="1">
      <alignment horizontal="center" vertical="center"/>
      <protection hidden="1"/>
    </xf>
    <xf numFmtId="0" fontId="8" fillId="0" borderId="18" xfId="3" applyFont="1" applyFill="1" applyBorder="1" applyAlignment="1">
      <alignment horizontal="center" vertical="center"/>
    </xf>
    <xf numFmtId="0" fontId="8" fillId="0" borderId="31" xfId="3" applyFont="1" applyFill="1" applyBorder="1" applyAlignment="1" applyProtection="1">
      <alignment horizontal="center" vertical="center" wrapText="1"/>
      <protection hidden="1"/>
    </xf>
    <xf numFmtId="0" fontId="0" fillId="0" borderId="32" xfId="0" applyFill="1" applyBorder="1" applyAlignment="1">
      <alignment horizontal="center" vertical="center"/>
    </xf>
    <xf numFmtId="0" fontId="8" fillId="0" borderId="33" xfId="3" applyFont="1" applyFill="1" applyBorder="1" applyAlignment="1" applyProtection="1">
      <alignment horizontal="center" vertical="center" wrapText="1"/>
      <protection hidden="1"/>
    </xf>
    <xf numFmtId="0" fontId="0" fillId="0" borderId="34" xfId="0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4" fontId="27" fillId="0" borderId="0" xfId="7" quotePrefix="1" applyNumberFormat="1" applyFont="1" applyFill="1" applyBorder="1" applyAlignment="1">
      <alignment horizontal="center" vertical="center"/>
    </xf>
    <xf numFmtId="0" fontId="14" fillId="0" borderId="0" xfId="7" applyBorder="1" applyAlignment="1">
      <alignment horizontal="center" vertical="center"/>
    </xf>
    <xf numFmtId="14" fontId="27" fillId="0" borderId="95" xfId="7" quotePrefix="1" applyNumberFormat="1" applyFont="1" applyFill="1" applyBorder="1" applyAlignment="1">
      <alignment horizontal="right" vertical="center" indent="2"/>
    </xf>
    <xf numFmtId="0" fontId="14" fillId="0" borderId="96" xfId="7" applyBorder="1" applyAlignment="1">
      <alignment horizontal="right" vertical="center" indent="2"/>
    </xf>
    <xf numFmtId="0" fontId="0" fillId="0" borderId="96" xfId="0" applyBorder="1" applyAlignment="1">
      <alignment horizontal="right" vertical="center" indent="2"/>
    </xf>
    <xf numFmtId="0" fontId="0" fillId="0" borderId="97" xfId="0" applyBorder="1" applyAlignment="1">
      <alignment horizontal="right" vertical="center" indent="2"/>
    </xf>
    <xf numFmtId="14" fontId="29" fillId="0" borderId="96" xfId="7" applyNumberFormat="1" applyFont="1" applyFill="1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14" fontId="28" fillId="0" borderId="95" xfId="7" applyNumberFormat="1" applyFont="1" applyFill="1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27" fillId="0" borderId="92" xfId="7" applyFont="1" applyFill="1" applyBorder="1" applyAlignment="1">
      <alignment horizontal="left" vertical="center" wrapText="1" indent="1"/>
    </xf>
    <xf numFmtId="0" fontId="27" fillId="0" borderId="93" xfId="7" applyFont="1" applyFill="1" applyBorder="1" applyAlignment="1">
      <alignment horizontal="left" vertical="center" wrapText="1" indent="1"/>
    </xf>
    <xf numFmtId="0" fontId="27" fillId="0" borderId="94" xfId="7" applyFont="1" applyFill="1" applyBorder="1" applyAlignment="1">
      <alignment horizontal="left" vertical="center" wrapText="1" indent="1"/>
    </xf>
    <xf numFmtId="0" fontId="37" fillId="8" borderId="92" xfId="7" applyFont="1" applyFill="1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166" fontId="31" fillId="8" borderId="92" xfId="7" applyNumberFormat="1" applyFont="1" applyFill="1" applyBorder="1" applyAlignment="1">
      <alignment horizontal="left" vertical="center" indent="2"/>
    </xf>
    <xf numFmtId="0" fontId="32" fillId="0" borderId="77" xfId="7" applyFont="1" applyBorder="1" applyAlignment="1">
      <alignment horizontal="left" vertical="center" indent="2"/>
    </xf>
    <xf numFmtId="0" fontId="32" fillId="0" borderId="94" xfId="7" applyFont="1" applyBorder="1" applyAlignment="1">
      <alignment horizontal="left" vertical="center" indent="2"/>
    </xf>
    <xf numFmtId="0" fontId="35" fillId="8" borderId="72" xfId="7" applyFont="1" applyFill="1" applyBorder="1" applyAlignment="1"/>
    <xf numFmtId="0" fontId="36" fillId="8" borderId="74" xfId="7" applyFont="1" applyFill="1" applyBorder="1" applyAlignment="1"/>
    <xf numFmtId="0" fontId="36" fillId="8" borderId="73" xfId="7" applyFont="1" applyFill="1" applyBorder="1" applyAlignment="1"/>
    <xf numFmtId="0" fontId="20" fillId="8" borderId="92" xfId="7" applyFont="1" applyFill="1" applyBorder="1" applyAlignment="1">
      <alignment horizontal="center" vertical="center"/>
    </xf>
    <xf numFmtId="0" fontId="40" fillId="8" borderId="93" xfId="7" applyFont="1" applyFill="1" applyBorder="1" applyAlignment="1">
      <alignment horizontal="center" vertical="center"/>
    </xf>
    <xf numFmtId="0" fontId="40" fillId="8" borderId="94" xfId="7" applyFont="1" applyFill="1" applyBorder="1" applyAlignment="1">
      <alignment horizontal="center" vertical="center"/>
    </xf>
    <xf numFmtId="0" fontId="27" fillId="0" borderId="92" xfId="7" applyFont="1" applyFill="1" applyBorder="1" applyAlignment="1">
      <alignment horizontal="left" vertical="center" indent="1"/>
    </xf>
    <xf numFmtId="0" fontId="27" fillId="0" borderId="93" xfId="7" applyFont="1" applyFill="1" applyBorder="1" applyAlignment="1">
      <alignment horizontal="left" vertical="center" indent="1"/>
    </xf>
    <xf numFmtId="0" fontId="27" fillId="0" borderId="94" xfId="7" applyFont="1" applyFill="1" applyBorder="1" applyAlignment="1">
      <alignment horizontal="left" vertical="center" indent="1"/>
    </xf>
    <xf numFmtId="0" fontId="52" fillId="0" borderId="0" xfId="7" applyFont="1" applyFill="1" applyAlignment="1">
      <alignment horizontal="left" vertical="center" wrapText="1" indent="1"/>
    </xf>
    <xf numFmtId="0" fontId="52" fillId="0" borderId="0" xfId="0" applyFont="1" applyAlignment="1">
      <alignment horizontal="left" vertical="center" wrapText="1" indent="1"/>
    </xf>
    <xf numFmtId="0" fontId="46" fillId="0" borderId="0" xfId="7" applyFont="1" applyAlignment="1">
      <alignment horizontal="left" vertical="top" wrapText="1" indent="1"/>
    </xf>
    <xf numFmtId="0" fontId="46" fillId="0" borderId="0" xfId="0" applyFont="1" applyAlignment="1">
      <alignment horizontal="left" vertical="top" wrapText="1" indent="1"/>
    </xf>
    <xf numFmtId="0" fontId="15" fillId="8" borderId="62" xfId="7" applyFont="1" applyFill="1" applyBorder="1" applyAlignment="1">
      <alignment horizontal="center" vertical="center"/>
    </xf>
    <xf numFmtId="0" fontId="16" fillId="0" borderId="63" xfId="7" applyFont="1" applyBorder="1" applyAlignment="1">
      <alignment horizontal="center" vertical="center"/>
    </xf>
    <xf numFmtId="0" fontId="16" fillId="0" borderId="64" xfId="7" applyFont="1" applyBorder="1" applyAlignment="1">
      <alignment horizontal="center" vertical="center"/>
    </xf>
    <xf numFmtId="0" fontId="18" fillId="8" borderId="51" xfId="7" applyFont="1" applyFill="1" applyBorder="1" applyAlignment="1">
      <alignment horizontal="center" vertical="center"/>
    </xf>
    <xf numFmtId="0" fontId="18" fillId="8" borderId="52" xfId="7" applyFont="1" applyFill="1" applyBorder="1" applyAlignment="1">
      <alignment horizontal="center" vertical="center"/>
    </xf>
    <xf numFmtId="0" fontId="18" fillId="8" borderId="53" xfId="7" applyFont="1" applyFill="1" applyBorder="1" applyAlignment="1">
      <alignment horizontal="center" vertical="center"/>
    </xf>
    <xf numFmtId="0" fontId="18" fillId="8" borderId="56" xfId="7" applyFont="1" applyFill="1" applyBorder="1" applyAlignment="1">
      <alignment horizontal="center" vertical="center"/>
    </xf>
    <xf numFmtId="0" fontId="18" fillId="8" borderId="57" xfId="7" applyFont="1" applyFill="1" applyBorder="1" applyAlignment="1">
      <alignment horizontal="center" vertical="center"/>
    </xf>
    <xf numFmtId="0" fontId="18" fillId="8" borderId="58" xfId="7" applyFont="1" applyFill="1" applyBorder="1" applyAlignment="1">
      <alignment horizontal="center" vertical="center"/>
    </xf>
    <xf numFmtId="0" fontId="23" fillId="10" borderId="72" xfId="7" applyNumberFormat="1" applyFont="1" applyFill="1" applyBorder="1" applyAlignment="1">
      <alignment horizontal="right" vertical="center"/>
    </xf>
    <xf numFmtId="0" fontId="23" fillId="10" borderId="73" xfId="7" applyNumberFormat="1" applyFont="1" applyFill="1" applyBorder="1" applyAlignment="1">
      <alignment horizontal="right" vertical="center"/>
    </xf>
    <xf numFmtId="0" fontId="23" fillId="10" borderId="56" xfId="7" applyNumberFormat="1" applyFont="1" applyFill="1" applyBorder="1" applyAlignment="1">
      <alignment horizontal="right" vertical="center"/>
    </xf>
    <xf numFmtId="0" fontId="23" fillId="10" borderId="58" xfId="7" applyNumberFormat="1" applyFont="1" applyFill="1" applyBorder="1" applyAlignment="1">
      <alignment horizontal="right" vertical="center"/>
    </xf>
    <xf numFmtId="14" fontId="24" fillId="14" borderId="72" xfId="7" applyNumberFormat="1" applyFont="1" applyFill="1" applyBorder="1" applyAlignment="1">
      <alignment horizontal="center" vertical="center"/>
    </xf>
    <xf numFmtId="0" fontId="24" fillId="14" borderId="74" xfId="7" applyFont="1" applyFill="1" applyBorder="1" applyAlignment="1">
      <alignment horizontal="center" vertical="center"/>
    </xf>
    <xf numFmtId="0" fontId="24" fillId="14" borderId="73" xfId="7" applyFont="1" applyFill="1" applyBorder="1" applyAlignment="1">
      <alignment horizontal="center" vertical="center"/>
    </xf>
    <xf numFmtId="0" fontId="24" fillId="14" borderId="56" xfId="7" applyFont="1" applyFill="1" applyBorder="1" applyAlignment="1">
      <alignment horizontal="center" vertical="center"/>
    </xf>
    <xf numFmtId="0" fontId="24" fillId="14" borderId="57" xfId="7" applyFont="1" applyFill="1" applyBorder="1" applyAlignment="1">
      <alignment horizontal="center" vertical="center"/>
    </xf>
    <xf numFmtId="0" fontId="24" fillId="14" borderId="58" xfId="7" applyFont="1" applyFill="1" applyBorder="1" applyAlignment="1">
      <alignment horizontal="center" vertical="center"/>
    </xf>
    <xf numFmtId="0" fontId="14" fillId="0" borderId="75" xfId="7" applyBorder="1" applyAlignment="1"/>
    <xf numFmtId="0" fontId="14" fillId="0" borderId="14" xfId="7" applyBorder="1" applyAlignment="1"/>
    <xf numFmtId="0" fontId="10" fillId="5" borderId="50" xfId="4" applyAlignment="1">
      <alignment horizontal="center" vertical="center"/>
    </xf>
    <xf numFmtId="0" fontId="7" fillId="6" borderId="51" xfId="5" applyBorder="1" applyAlignment="1">
      <alignment horizontal="center" vertical="center"/>
    </xf>
    <xf numFmtId="0" fontId="7" fillId="6" borderId="52" xfId="5" applyBorder="1" applyAlignment="1">
      <alignment horizontal="center" vertical="center"/>
    </xf>
    <xf numFmtId="0" fontId="7" fillId="6" borderId="53" xfId="5" applyBorder="1" applyAlignment="1">
      <alignment horizontal="center" vertical="center"/>
    </xf>
    <xf numFmtId="0" fontId="7" fillId="6" borderId="54" xfId="5" applyBorder="1" applyAlignment="1">
      <alignment horizontal="center" vertical="center"/>
    </xf>
    <xf numFmtId="0" fontId="7" fillId="6" borderId="0" xfId="5" applyBorder="1" applyAlignment="1">
      <alignment horizontal="center" vertical="center"/>
    </xf>
    <xf numFmtId="0" fontId="7" fillId="6" borderId="55" xfId="5" applyBorder="1" applyAlignment="1">
      <alignment horizontal="center" vertical="center"/>
    </xf>
    <xf numFmtId="0" fontId="7" fillId="6" borderId="56" xfId="5" applyBorder="1" applyAlignment="1">
      <alignment horizontal="center" vertical="center"/>
    </xf>
    <xf numFmtId="0" fontId="7" fillId="6" borderId="57" xfId="5" applyBorder="1" applyAlignment="1">
      <alignment horizontal="center" vertical="center"/>
    </xf>
    <xf numFmtId="0" fontId="7" fillId="6" borderId="58" xfId="5" applyBorder="1" applyAlignment="1">
      <alignment horizontal="center" vertical="center"/>
    </xf>
    <xf numFmtId="0" fontId="10" fillId="5" borderId="59" xfId="4" applyBorder="1" applyAlignment="1">
      <alignment horizontal="center" vertical="center"/>
    </xf>
    <xf numFmtId="0" fontId="10" fillId="5" borderId="60" xfId="4" applyBorder="1" applyAlignment="1">
      <alignment horizontal="center" vertical="center"/>
    </xf>
    <xf numFmtId="0" fontId="0" fillId="0" borderId="61" xfId="0" applyBorder="1" applyAlignment="1"/>
  </cellXfs>
  <cellStyles count="12">
    <cellStyle name="60% - Ênfase1" xfId="6" builtinId="32"/>
    <cellStyle name="Célula de Verificação" xfId="2" builtinId="23"/>
    <cellStyle name="Ênfase1" xfId="5" builtinId="29"/>
    <cellStyle name="Ênfase5" xfId="3" builtinId="45"/>
    <cellStyle name="Entrada" xfId="4" builtinId="20"/>
    <cellStyle name="Hiperlink" xfId="8" builtinId="8"/>
    <cellStyle name="Moeda 2" xfId="9"/>
    <cellStyle name="Normal" xfId="0" builtinId="0"/>
    <cellStyle name="Normal 2" xfId="7"/>
    <cellStyle name="Normal 3" xfId="10"/>
    <cellStyle name="Vírgula" xfId="1" builtinId="3"/>
    <cellStyle name="Vírgula 2" xfId="11"/>
  </cellStyles>
  <dxfs count="15">
    <dxf>
      <font>
        <condense val="0"/>
        <extend val="0"/>
        <color indexed="44"/>
      </font>
    </dxf>
    <dxf>
      <fill>
        <gradientFill degree="90">
          <stop position="0">
            <color rgb="FFFFC000"/>
          </stop>
          <stop position="1">
            <color theme="8" tint="0.59999389629810485"/>
          </stop>
        </gradient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  <border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font>
        <condense val="0"/>
        <extend val="0"/>
        <color indexed="44"/>
      </font>
      <fill>
        <patternFill>
          <bgColor indexed="44"/>
        </patternFill>
      </fill>
    </dxf>
    <dxf>
      <fill>
        <gradientFill degree="90">
          <stop position="0">
            <color rgb="FFFFC000"/>
          </stop>
          <stop position="1">
            <color theme="8" tint="0.59999389629810485"/>
          </stop>
        </gradient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  <border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font>
        <condense val="0"/>
        <extend val="0"/>
        <color indexed="44"/>
      </font>
      <fill>
        <patternFill>
          <bgColor indexed="44"/>
        </patternFill>
      </fill>
    </dxf>
    <dxf>
      <font>
        <condense val="0"/>
        <extend val="0"/>
        <color indexed="44"/>
      </font>
    </dxf>
    <dxf>
      <font>
        <condense val="0"/>
        <extend val="0"/>
        <color indexed="44"/>
      </font>
    </dxf>
    <dxf>
      <font>
        <condense val="0"/>
        <extend val="0"/>
        <color indexed="44"/>
      </font>
    </dxf>
    <dxf>
      <font>
        <condense val="0"/>
        <extend val="0"/>
        <color indexed="44"/>
      </font>
    </dxf>
    <dxf>
      <font>
        <condense val="0"/>
        <extend val="0"/>
        <color indexed="44"/>
      </font>
    </dxf>
    <dxf>
      <font>
        <condense val="0"/>
        <extend val="0"/>
        <color indexed="44"/>
      </font>
    </dxf>
    <dxf>
      <font>
        <condense val="0"/>
        <extend val="0"/>
        <color indexed="44"/>
      </font>
    </dxf>
    <dxf>
      <font>
        <condense val="0"/>
        <extend val="0"/>
        <color indexed="44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CheckBox" checked="Checked" fmlaLink="$C$100" lockText="1"/>
</file>

<file path=xl/ctrlProps/ctrlProp3.xml><?xml version="1.0" encoding="utf-8"?>
<formControlPr xmlns="http://schemas.microsoft.com/office/spreadsheetml/2009/9/main" objectType="CheckBox" checked="Checked" fmlaLink="$C$101" lockText="1"/>
</file>

<file path=xl/ctrlProps/ctrlProp4.xml><?xml version="1.0" encoding="utf-8"?>
<formControlPr xmlns="http://schemas.microsoft.com/office/spreadsheetml/2009/9/main" objectType="CheckBox" fmlaLink="$C$102" lockText="1"/>
</file>

<file path=xl/ctrlProps/ctrlProp5.xml><?xml version="1.0" encoding="utf-8"?>
<formControlPr xmlns="http://schemas.microsoft.com/office/spreadsheetml/2009/9/main" objectType="Spin" dx="16" fmlaLink="$K$3" max="2050" min="1950" page="10" val="2016"/>
</file>

<file path=xl/ctrlProps/ctrlProp6.xml><?xml version="1.0" encoding="utf-8"?>
<formControlPr xmlns="http://schemas.microsoft.com/office/spreadsheetml/2009/9/main" objectType="Spin" dx="16" fmlaLink="$Q$3" max="12" min="1" page="10" val="5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caltrab.com" TargetMode="External"/><Relationship Id="rId2" Type="http://schemas.openxmlformats.org/officeDocument/2006/relationships/image" Target="../media/image1.gif"/><Relationship Id="rId1" Type="http://schemas.openxmlformats.org/officeDocument/2006/relationships/hyperlink" Target="#Feriados!A1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gif"/><Relationship Id="rId1" Type="http://schemas.openxmlformats.org/officeDocument/2006/relationships/hyperlink" Target="#Instru&#231;&#245;es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gif"/><Relationship Id="rId1" Type="http://schemas.openxmlformats.org/officeDocument/2006/relationships/hyperlink" Target="#Instru&#231;&#245;es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gif"/><Relationship Id="rId1" Type="http://schemas.openxmlformats.org/officeDocument/2006/relationships/hyperlink" Target="#Instru&#231;&#245;es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gif"/><Relationship Id="rId1" Type="http://schemas.openxmlformats.org/officeDocument/2006/relationships/hyperlink" Target="#Instru&#231;&#245;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0</xdr:row>
      <xdr:rowOff>9526</xdr:rowOff>
    </xdr:from>
    <xdr:to>
      <xdr:col>2</xdr:col>
      <xdr:colOff>609599</xdr:colOff>
      <xdr:row>4</xdr:row>
      <xdr:rowOff>19051</xdr:rowOff>
    </xdr:to>
    <xdr:sp macro="" textlink="">
      <xdr:nvSpPr>
        <xdr:cNvPr id="8" name="Pentágono 22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>
          <a:spLocks noChangeArrowheads="1"/>
        </xdr:cNvSpPr>
      </xdr:nvSpPr>
      <xdr:spPr bwMode="auto">
        <a:xfrm rot="5400000">
          <a:off x="419100" y="-390523"/>
          <a:ext cx="657225" cy="1457323"/>
        </a:xfrm>
        <a:prstGeom prst="homePlate">
          <a:avLst>
            <a:gd name="adj" fmla="val 21583"/>
          </a:avLst>
        </a:prstGeom>
        <a:solidFill>
          <a:srgbClr val="D0D9D9"/>
        </a:solidFill>
        <a:ln>
          <a:noFill/>
        </a:ln>
        <a:extLs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152400</xdr:colOff>
      <xdr:row>12</xdr:row>
      <xdr:rowOff>200026</xdr:rowOff>
    </xdr:from>
    <xdr:to>
      <xdr:col>6</xdr:col>
      <xdr:colOff>504825</xdr:colOff>
      <xdr:row>14</xdr:row>
      <xdr:rowOff>47625</xdr:rowOff>
    </xdr:to>
    <xdr:sp macro="" textlink="">
      <xdr:nvSpPr>
        <xdr:cNvPr id="2" name="Seta para a esquerda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3409950" y="2257426"/>
          <a:ext cx="885825" cy="27622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152400</xdr:colOff>
      <xdr:row>19</xdr:row>
      <xdr:rowOff>0</xdr:rowOff>
    </xdr:from>
    <xdr:to>
      <xdr:col>6</xdr:col>
      <xdr:colOff>504825</xdr:colOff>
      <xdr:row>20</xdr:row>
      <xdr:rowOff>19049</xdr:rowOff>
    </xdr:to>
    <xdr:sp macro="" textlink="">
      <xdr:nvSpPr>
        <xdr:cNvPr id="3" name="Seta para a esquerda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/>
      </xdr:nvSpPr>
      <xdr:spPr>
        <a:xfrm>
          <a:off x="3686175" y="3581400"/>
          <a:ext cx="885825" cy="23812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142875</xdr:colOff>
      <xdr:row>23</xdr:row>
      <xdr:rowOff>0</xdr:rowOff>
    </xdr:from>
    <xdr:to>
      <xdr:col>6</xdr:col>
      <xdr:colOff>495300</xdr:colOff>
      <xdr:row>24</xdr:row>
      <xdr:rowOff>19049</xdr:rowOff>
    </xdr:to>
    <xdr:sp macro="" textlink="">
      <xdr:nvSpPr>
        <xdr:cNvPr id="4" name="Seta para a esquerda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/>
      </xdr:nvSpPr>
      <xdr:spPr>
        <a:xfrm>
          <a:off x="3676650" y="4248150"/>
          <a:ext cx="885825" cy="23812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142875</xdr:colOff>
      <xdr:row>26</xdr:row>
      <xdr:rowOff>200025</xdr:rowOff>
    </xdr:from>
    <xdr:to>
      <xdr:col>6</xdr:col>
      <xdr:colOff>495300</xdr:colOff>
      <xdr:row>28</xdr:row>
      <xdr:rowOff>9524</xdr:rowOff>
    </xdr:to>
    <xdr:sp macro="" textlink="">
      <xdr:nvSpPr>
        <xdr:cNvPr id="5" name="Seta para a esquerda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/>
      </xdr:nvSpPr>
      <xdr:spPr>
        <a:xfrm>
          <a:off x="3676650" y="4991100"/>
          <a:ext cx="885825" cy="23812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323850</xdr:colOff>
      <xdr:row>32</xdr:row>
      <xdr:rowOff>114300</xdr:rowOff>
    </xdr:to>
    <xdr:pic>
      <xdr:nvPicPr>
        <xdr:cNvPr id="6" name="Imagem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3700" y="5657850"/>
          <a:ext cx="323850" cy="314325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0</xdr:row>
      <xdr:rowOff>47625</xdr:rowOff>
    </xdr:from>
    <xdr:to>
      <xdr:col>2</xdr:col>
      <xdr:colOff>533400</xdr:colOff>
      <xdr:row>2</xdr:row>
      <xdr:rowOff>152400</xdr:rowOff>
    </xdr:to>
    <xdr:pic>
      <xdr:nvPicPr>
        <xdr:cNvPr id="7" name="Imagem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47625"/>
          <a:ext cx="135255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123825</xdr:colOff>
      <xdr:row>14</xdr:row>
      <xdr:rowOff>200025</xdr:rowOff>
    </xdr:from>
    <xdr:to>
      <xdr:col>6</xdr:col>
      <xdr:colOff>476250</xdr:colOff>
      <xdr:row>16</xdr:row>
      <xdr:rowOff>38099</xdr:rowOff>
    </xdr:to>
    <xdr:sp macro="" textlink="">
      <xdr:nvSpPr>
        <xdr:cNvPr id="9" name="Seta para a esquerda 1">
          <a:extLst>
            <a:ext uri="{FF2B5EF4-FFF2-40B4-BE49-F238E27FC236}">
              <a16:creationId xmlns:a16="http://schemas.microsoft.com/office/drawing/2014/main" xmlns="" id="{22B62CD0-04EC-4D63-9194-F24E59D9A040}"/>
            </a:ext>
          </a:extLst>
        </xdr:cNvPr>
        <xdr:cNvSpPr/>
      </xdr:nvSpPr>
      <xdr:spPr>
        <a:xfrm>
          <a:off x="3381375" y="2686050"/>
          <a:ext cx="885825" cy="27622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57150</xdr:colOff>
      <xdr:row>0</xdr:row>
      <xdr:rowOff>114300</xdr:rowOff>
    </xdr:from>
    <xdr:to>
      <xdr:col>16</xdr:col>
      <xdr:colOff>390525</xdr:colOff>
      <xdr:row>2</xdr:row>
      <xdr:rowOff>47625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2075" y="114300"/>
          <a:ext cx="333375" cy="342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57150</xdr:colOff>
      <xdr:row>0</xdr:row>
      <xdr:rowOff>114300</xdr:rowOff>
    </xdr:from>
    <xdr:to>
      <xdr:col>17</xdr:col>
      <xdr:colOff>390525</xdr:colOff>
      <xdr:row>2</xdr:row>
      <xdr:rowOff>47625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A0507C7-46C7-4BD4-BF56-9E8B8C0D4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2075" y="114300"/>
          <a:ext cx="333375" cy="3429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866774</xdr:colOff>
      <xdr:row>38</xdr:row>
      <xdr:rowOff>0</xdr:rowOff>
    </xdr:from>
    <xdr:to>
      <xdr:col>12</xdr:col>
      <xdr:colOff>390524</xdr:colOff>
      <xdr:row>48</xdr:row>
      <xdr:rowOff>9525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SpPr txBox="1"/>
      </xdr:nvSpPr>
      <xdr:spPr>
        <a:xfrm>
          <a:off x="6010274" y="7696200"/>
          <a:ext cx="4524375" cy="411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  <a:p>
          <a:r>
            <a:rPr lang="pt-BR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LEI N</a:t>
          </a:r>
          <a:r>
            <a:rPr lang="pt-BR" sz="1100" b="1" u="sng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o</a:t>
          </a:r>
          <a:r>
            <a:rPr lang="pt-BR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 10.607, DE 19 DE DEZEMBRO DE 2002.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Dá nova redação ao art. 1</a:t>
          </a:r>
          <a:r>
            <a:rPr lang="pt-BR" sz="1100" u="sng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 Lei n</a:t>
          </a:r>
          <a:r>
            <a:rPr lang="pt-BR" sz="1100" u="sng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662, de 6 de abril de 1949, que "declara feriados nacionais os dias 1</a:t>
          </a:r>
          <a:r>
            <a:rPr lang="pt-BR" sz="1100" u="sng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janeiro, 1</a:t>
          </a:r>
          <a:r>
            <a:rPr lang="pt-BR" sz="1100" u="sng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maio, 7 de setembro, 15 de novembro e 25 de dezembro", e dá outras providências.</a:t>
          </a: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 PRESIDENTE DA REPÚBLICA 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Faço saber que o Congresso Nacional decreta e eu sanciono a seguinte Lei: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Art. 1</a:t>
          </a:r>
          <a:r>
            <a:rPr lang="pt-BR" sz="1100" u="sng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 </a:t>
          </a:r>
          <a:r>
            <a:rPr lang="pt-BR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art. 1</a:t>
          </a:r>
          <a:r>
            <a:rPr lang="pt-BR" sz="1100" u="sng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o</a:t>
          </a:r>
          <a:r>
            <a:rPr lang="pt-BR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 da Lei n</a:t>
          </a:r>
          <a:r>
            <a:rPr lang="pt-BR" sz="1100" u="sng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o</a:t>
          </a:r>
          <a:r>
            <a:rPr lang="pt-BR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 662, de 6 de abril de 1949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passa a vigorar com a seguinte redação: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"Art. 1</a:t>
          </a:r>
          <a:r>
            <a:rPr lang="pt-BR" sz="1100" u="sng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São feriados nacionais os dias 1</a:t>
          </a:r>
          <a:r>
            <a:rPr lang="pt-BR" sz="1100" u="sng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janeiro, 21 de abril, 1</a:t>
          </a:r>
          <a:r>
            <a:rPr lang="pt-BR" sz="1100" u="sng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maio, 7 de setembro, 2 de novembro, 15 de novembro e 25 de dezembro." (NR) 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Art. 2</a:t>
          </a:r>
          <a:r>
            <a:rPr lang="pt-BR" sz="1100" u="sng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Esta Lei entra em vigor na data de sua publicação.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Art. 3</a:t>
          </a:r>
          <a:r>
            <a:rPr lang="pt-BR" sz="1100" u="sng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Revoga-se a </a:t>
          </a:r>
          <a:r>
            <a:rPr lang="pt-BR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Lei n</a:t>
          </a:r>
          <a:r>
            <a:rPr lang="pt-BR" sz="1100" u="sng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o</a:t>
          </a:r>
          <a:r>
            <a:rPr lang="pt-BR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 1.266, de 8 de dezembro de 1950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que declara feriados nacionais os dias que menciona.</a:t>
          </a:r>
        </a:p>
        <a:p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Brasília, 19 de dezembro de 2002; 181</a:t>
          </a:r>
          <a:r>
            <a:rPr lang="pt-BR" sz="1100" u="sng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 Independência e 114</a:t>
          </a:r>
          <a:r>
            <a:rPr lang="pt-BR" sz="1100" u="sng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 República.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FERNANDO HENRIQUE CARDOSO</a:t>
          </a:r>
          <a:b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Francisco Weffort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381000</xdr:colOff>
      <xdr:row>38</xdr:row>
      <xdr:rowOff>0</xdr:rowOff>
    </xdr:from>
    <xdr:to>
      <xdr:col>20</xdr:col>
      <xdr:colOff>104775</xdr:colOff>
      <xdr:row>48</xdr:row>
      <xdr:rowOff>9525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SpPr txBox="1"/>
      </xdr:nvSpPr>
      <xdr:spPr>
        <a:xfrm>
          <a:off x="10525125" y="7696200"/>
          <a:ext cx="4600575" cy="411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LEI Nº 9.093, DE 12 DE SETEMBRO DE 1995.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Dispõe sobre feriados.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   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 PRESIDENTE DA REPÚBLICA 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Faço saber que o Congresso Nacional decreta e eu sanciono a seguinte Lei: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   Art. 1º São feriados civis: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   I - os declarados em lei federal;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   II - a data magna do Estado fixada em lei estadual.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   III - os dias do início e do término do ano do centenário de fundação do Município, fixados em lei municipal. </a:t>
          </a:r>
          <a:r>
            <a:rPr lang="pt-BR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(Inciso incluído pela Lei nº 9.335, de 10.12.1996)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   Art. 2º São feriados religiosos os dias de guarda, declarados em lei municipal, de acordo com a tradição local e em número não superior a quatro, neste incluída a Sexta-Feira da Paixão.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   Art. 3º Esta Lei entra em vigor na data de sua publicação.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   Art. 4º Revogam-se as disposições em contrário, especialmente o </a:t>
          </a:r>
          <a:r>
            <a:rPr lang="pt-BR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art. 11 da Lei nº 605, de 5 de janeiro de 1949.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Brasília, 12 de setembro de 1995; 174º da Independência e 107º da República.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FERNANDO HENRIQUE CARDOSO</a:t>
          </a:r>
          <a:b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Nelson A. Jobim 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17</xdr:row>
          <xdr:rowOff>0</xdr:rowOff>
        </xdr:from>
        <xdr:to>
          <xdr:col>12</xdr:col>
          <xdr:colOff>323850</xdr:colOff>
          <xdr:row>22</xdr:row>
          <xdr:rowOff>85725</xdr:rowOff>
        </xdr:to>
        <xdr:sp macro="" textlink="">
          <xdr:nvSpPr>
            <xdr:cNvPr id="8193" name="Group Box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xmlns="" id="{00000000-0008-0000-03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Feriados Móveis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161925</xdr:colOff>
          <xdr:row>17</xdr:row>
          <xdr:rowOff>142875</xdr:rowOff>
        </xdr:from>
        <xdr:to>
          <xdr:col>12</xdr:col>
          <xdr:colOff>133350</xdr:colOff>
          <xdr:row>19</xdr:row>
          <xdr:rowOff>28575</xdr:rowOff>
        </xdr:to>
        <xdr:sp macro="" textlink="">
          <xdr:nvSpPr>
            <xdr:cNvPr id="8194" name="Check Box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xmlns="" id="{00000000-0008-0000-03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Sexta-feira Santa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161925</xdr:colOff>
          <xdr:row>19</xdr:row>
          <xdr:rowOff>0</xdr:rowOff>
        </xdr:from>
        <xdr:to>
          <xdr:col>12</xdr:col>
          <xdr:colOff>95250</xdr:colOff>
          <xdr:row>20</xdr:row>
          <xdr:rowOff>152400</xdr:rowOff>
        </xdr:to>
        <xdr:sp macro="" textlink="">
          <xdr:nvSpPr>
            <xdr:cNvPr id="8195" name="Check Box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xmlns="" id="{00000000-0008-0000-03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Corpus Christi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171450</xdr:colOff>
          <xdr:row>20</xdr:row>
          <xdr:rowOff>171450</xdr:rowOff>
        </xdr:from>
        <xdr:to>
          <xdr:col>12</xdr:col>
          <xdr:colOff>200025</xdr:colOff>
          <xdr:row>21</xdr:row>
          <xdr:rowOff>161925</xdr:rowOff>
        </xdr:to>
        <xdr:sp macro="" textlink="">
          <xdr:nvSpPr>
            <xdr:cNvPr id="8196" name="Check Box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xmlns="" id="{00000000-0008-0000-03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Terça-feira de Carnaval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9525</xdr:colOff>
          <xdr:row>2</xdr:row>
          <xdr:rowOff>19050</xdr:rowOff>
        </xdr:from>
        <xdr:to>
          <xdr:col>11</xdr:col>
          <xdr:colOff>0</xdr:colOff>
          <xdr:row>4</xdr:row>
          <xdr:rowOff>0</xdr:rowOff>
        </xdr:to>
        <xdr:sp macro="" textlink="">
          <xdr:nvSpPr>
            <xdr:cNvPr id="8197" name="Spinner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xmlns="" id="{00000000-0008-0000-03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9525</xdr:colOff>
          <xdr:row>2</xdr:row>
          <xdr:rowOff>19050</xdr:rowOff>
        </xdr:from>
        <xdr:to>
          <xdr:col>17</xdr:col>
          <xdr:colOff>9525</xdr:colOff>
          <xdr:row>4</xdr:row>
          <xdr:rowOff>0</xdr:rowOff>
        </xdr:to>
        <xdr:sp macro="" textlink="">
          <xdr:nvSpPr>
            <xdr:cNvPr id="8198" name="Spinner 6" hidden="1">
              <a:extLst>
                <a:ext uri="{63B3BB69-23CF-44E3-9099-C40C66FF867C}">
                  <a14:compatExt spid="_x0000_s8198"/>
                </a:ext>
                <a:ext uri="{FF2B5EF4-FFF2-40B4-BE49-F238E27FC236}">
                  <a16:creationId xmlns:a16="http://schemas.microsoft.com/office/drawing/2014/main" xmlns="" id="{00000000-0008-0000-0300-00000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18</xdr:col>
      <xdr:colOff>47625</xdr:colOff>
      <xdr:row>0</xdr:row>
      <xdr:rowOff>104775</xdr:rowOff>
    </xdr:from>
    <xdr:to>
      <xdr:col>18</xdr:col>
      <xdr:colOff>381000</xdr:colOff>
      <xdr:row>1</xdr:row>
      <xdr:rowOff>66675</xdr:rowOff>
    </xdr:to>
    <xdr:pic>
      <xdr:nvPicPr>
        <xdr:cNvPr id="4" name="Imagem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11225" y="104775"/>
          <a:ext cx="333375" cy="342900"/>
        </a:xfrm>
        <a:prstGeom prst="rect">
          <a:avLst/>
        </a:prstGeom>
      </xdr:spPr>
    </xdr:pic>
    <xdr:clientData/>
  </xdr:twoCellAnchor>
  <xdr:twoCellAnchor>
    <xdr:from>
      <xdr:col>9</xdr:col>
      <xdr:colOff>104774</xdr:colOff>
      <xdr:row>28</xdr:row>
      <xdr:rowOff>66675</xdr:rowOff>
    </xdr:from>
    <xdr:to>
      <xdr:col>11</xdr:col>
      <xdr:colOff>57150</xdr:colOff>
      <xdr:row>29</xdr:row>
      <xdr:rowOff>123825</xdr:rowOff>
    </xdr:to>
    <xdr:sp macro="" textlink="">
      <xdr:nvSpPr>
        <xdr:cNvPr id="5" name="Seta para a esquerda 4">
          <a:extLst>
            <a:ext uri="{FF2B5EF4-FFF2-40B4-BE49-F238E27FC236}">
              <a16:creationId xmlns:a16="http://schemas.microsoft.com/office/drawing/2014/main" xmlns="" id="{00000000-0008-0000-0300-000005000000}"/>
            </a:ext>
          </a:extLst>
        </xdr:cNvPr>
        <xdr:cNvSpPr/>
      </xdr:nvSpPr>
      <xdr:spPr>
        <a:xfrm>
          <a:off x="8677274" y="5972175"/>
          <a:ext cx="876301" cy="3048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428625</xdr:colOff>
      <xdr:row>18</xdr:row>
      <xdr:rowOff>19050</xdr:rowOff>
    </xdr:from>
    <xdr:to>
      <xdr:col>14</xdr:col>
      <xdr:colOff>9526</xdr:colOff>
      <xdr:row>20</xdr:row>
      <xdr:rowOff>152400</xdr:rowOff>
    </xdr:to>
    <xdr:sp macro="" textlink="">
      <xdr:nvSpPr>
        <xdr:cNvPr id="12" name="Seta para a esquerda 11">
          <a:extLst>
            <a:ext uri="{FF2B5EF4-FFF2-40B4-BE49-F238E27FC236}">
              <a16:creationId xmlns:a16="http://schemas.microsoft.com/office/drawing/2014/main" xmlns="" id="{00000000-0008-0000-0300-00000C000000}"/>
            </a:ext>
          </a:extLst>
        </xdr:cNvPr>
        <xdr:cNvSpPr/>
      </xdr:nvSpPr>
      <xdr:spPr>
        <a:xfrm>
          <a:off x="10572750" y="4286250"/>
          <a:ext cx="876301" cy="3048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4</xdr:row>
      <xdr:rowOff>0</xdr:rowOff>
    </xdr:from>
    <xdr:to>
      <xdr:col>16</xdr:col>
      <xdr:colOff>333375</xdr:colOff>
      <xdr:row>5</xdr:row>
      <xdr:rowOff>152400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62950" y="676275"/>
          <a:ext cx="333375" cy="342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3" Type="http://schemas.openxmlformats.org/officeDocument/2006/relationships/drawing" Target="../drawings/drawing4.xml"/><Relationship Id="rId7" Type="http://schemas.openxmlformats.org/officeDocument/2006/relationships/ctrlProp" Target="../ctrlProps/ctrlProp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gilber.braga@bol.com.br" TargetMode="External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10" Type="http://schemas.openxmlformats.org/officeDocument/2006/relationships/ctrlProp" Target="../ctrlProps/ctrlProp6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>
    <tabColor theme="5" tint="-0.249977111117893"/>
  </sheetPr>
  <dimension ref="B6:J114"/>
  <sheetViews>
    <sheetView showGridLines="0" tabSelected="1" workbookViewId="0">
      <selection activeCell="N32" sqref="N32"/>
    </sheetView>
  </sheetViews>
  <sheetFormatPr defaultRowHeight="12.75"/>
  <cols>
    <col min="1" max="1" width="5.83203125" customWidth="1"/>
    <col min="3" max="3" width="10.6640625" customWidth="1"/>
    <col min="4" max="4" width="14.83203125" customWidth="1"/>
    <col min="5" max="5" width="16.33203125" customWidth="1"/>
  </cols>
  <sheetData>
    <row r="6" spans="2:10" ht="15.75">
      <c r="B6" s="205" t="s">
        <v>109</v>
      </c>
      <c r="C6" s="206"/>
      <c r="D6" s="206"/>
      <c r="E6" s="206"/>
      <c r="F6" s="206"/>
      <c r="G6" s="206"/>
      <c r="H6" s="206"/>
    </row>
    <row r="7" spans="2:10">
      <c r="B7" s="159"/>
    </row>
    <row r="8" spans="2:10" ht="15.75">
      <c r="B8" s="176" t="s">
        <v>110</v>
      </c>
    </row>
    <row r="9" spans="2:10">
      <c r="B9" s="159"/>
    </row>
    <row r="10" spans="2:10" ht="15.75">
      <c r="B10" s="180" t="s">
        <v>111</v>
      </c>
      <c r="C10" s="177"/>
      <c r="D10" s="177"/>
      <c r="E10" s="177"/>
      <c r="F10" s="177"/>
      <c r="G10" s="177"/>
      <c r="H10" s="177"/>
      <c r="I10" s="177"/>
      <c r="J10" s="177"/>
    </row>
    <row r="11" spans="2:10" ht="9.9499999999999993" customHeight="1">
      <c r="B11" s="180"/>
      <c r="C11" s="177"/>
      <c r="D11" s="177"/>
      <c r="E11" s="177"/>
      <c r="F11" s="177"/>
      <c r="G11" s="177"/>
      <c r="H11" s="177"/>
      <c r="I11" s="177"/>
      <c r="J11" s="177"/>
    </row>
    <row r="12" spans="2:10" ht="15.75">
      <c r="B12" s="176"/>
      <c r="C12" s="177" t="s">
        <v>117</v>
      </c>
      <c r="D12" s="177"/>
      <c r="E12" s="177"/>
      <c r="F12" s="177"/>
      <c r="G12" s="177"/>
      <c r="H12" s="177"/>
      <c r="I12" s="177"/>
      <c r="J12" s="177"/>
    </row>
    <row r="13" spans="2:10" ht="16.5" thickBot="1">
      <c r="B13" s="176"/>
      <c r="C13" s="177"/>
      <c r="D13" s="177"/>
      <c r="E13" s="177"/>
      <c r="F13" s="177"/>
      <c r="G13" s="177"/>
      <c r="H13" s="177"/>
      <c r="I13" s="177"/>
      <c r="J13" s="177"/>
    </row>
    <row r="14" spans="2:10" ht="17.25" thickTop="1" thickBot="1">
      <c r="B14" s="176"/>
      <c r="C14" s="208" t="s">
        <v>118</v>
      </c>
      <c r="D14" s="209"/>
      <c r="E14" s="184">
        <v>0.5</v>
      </c>
      <c r="F14" s="177"/>
      <c r="G14" s="177"/>
      <c r="H14" s="181" t="s">
        <v>131</v>
      </c>
      <c r="I14" s="177"/>
      <c r="J14" s="177"/>
    </row>
    <row r="15" spans="2:10" s="192" customFormat="1" ht="17.25" thickTop="1" thickBot="1">
      <c r="B15" s="176"/>
      <c r="C15" s="193"/>
      <c r="D15" s="194"/>
      <c r="E15" s="195"/>
      <c r="F15" s="177"/>
      <c r="G15" s="177"/>
      <c r="H15" s="181"/>
      <c r="I15" s="177"/>
      <c r="J15" s="177"/>
    </row>
    <row r="16" spans="2:10" s="192" customFormat="1" ht="17.25" thickTop="1" thickBot="1">
      <c r="B16" s="176"/>
      <c r="C16" s="208" t="s">
        <v>137</v>
      </c>
      <c r="D16" s="209"/>
      <c r="E16" s="184">
        <v>0.2</v>
      </c>
      <c r="F16" s="177"/>
      <c r="G16" s="177"/>
      <c r="H16" s="181" t="s">
        <v>138</v>
      </c>
      <c r="I16" s="177"/>
      <c r="J16" s="177"/>
    </row>
    <row r="17" spans="2:10" ht="9.9499999999999993" customHeight="1" thickTop="1">
      <c r="B17" s="176"/>
      <c r="C17" s="177"/>
      <c r="D17" s="177"/>
      <c r="E17" s="177"/>
      <c r="F17" s="177"/>
      <c r="G17" s="177"/>
      <c r="H17" s="177"/>
      <c r="I17" s="177"/>
      <c r="J17" s="177"/>
    </row>
    <row r="18" spans="2:10" ht="15.75">
      <c r="B18" s="176"/>
      <c r="C18" s="177" t="s">
        <v>120</v>
      </c>
      <c r="D18" s="177"/>
      <c r="E18" s="177"/>
      <c r="F18" s="177"/>
      <c r="G18" s="177"/>
      <c r="H18" s="177"/>
      <c r="I18" s="177"/>
      <c r="J18" s="177"/>
    </row>
    <row r="19" spans="2:10" ht="9.9499999999999993" customHeight="1" thickBot="1">
      <c r="B19" s="176"/>
      <c r="C19" s="177"/>
      <c r="D19" s="177"/>
      <c r="E19" s="177"/>
      <c r="F19" s="177"/>
      <c r="G19" s="177"/>
      <c r="H19" s="177"/>
      <c r="I19" s="177"/>
      <c r="J19" s="177"/>
    </row>
    <row r="20" spans="2:10" ht="17.25" thickTop="1" thickBot="1">
      <c r="B20" s="176"/>
      <c r="C20" s="207" t="s">
        <v>119</v>
      </c>
      <c r="D20" s="207"/>
      <c r="E20" s="183">
        <v>220</v>
      </c>
      <c r="F20" s="177"/>
      <c r="G20" s="177"/>
      <c r="H20" s="181" t="s">
        <v>125</v>
      </c>
      <c r="I20" s="177"/>
      <c r="J20" s="177"/>
    </row>
    <row r="21" spans="2:10" ht="9.9499999999999993" customHeight="1" thickTop="1">
      <c r="B21" s="176"/>
      <c r="C21" s="177"/>
      <c r="D21" s="177"/>
      <c r="E21" s="177"/>
      <c r="F21" s="177"/>
      <c r="G21" s="177"/>
      <c r="H21" s="177"/>
      <c r="I21" s="177"/>
      <c r="J21" s="177"/>
    </row>
    <row r="22" spans="2:10" ht="15.75">
      <c r="B22" s="176"/>
      <c r="C22" s="177" t="s">
        <v>121</v>
      </c>
      <c r="D22" s="177"/>
      <c r="E22" s="177"/>
      <c r="F22" s="177"/>
      <c r="G22" s="177"/>
      <c r="H22" s="177"/>
      <c r="I22" s="177"/>
      <c r="J22" s="177"/>
    </row>
    <row r="23" spans="2:10" ht="9.9499999999999993" customHeight="1" thickBot="1">
      <c r="B23" s="176"/>
      <c r="C23" s="177"/>
      <c r="D23" s="177"/>
      <c r="E23" s="177"/>
      <c r="F23" s="177"/>
      <c r="G23" s="177"/>
      <c r="H23" s="177"/>
      <c r="I23" s="177"/>
      <c r="J23" s="177"/>
    </row>
    <row r="24" spans="2:10" ht="17.25" thickTop="1" thickBot="1">
      <c r="B24" s="176"/>
      <c r="C24" s="207" t="s">
        <v>122</v>
      </c>
      <c r="D24" s="207"/>
      <c r="E24" s="182">
        <v>42795</v>
      </c>
      <c r="F24" s="177"/>
      <c r="G24" s="177"/>
      <c r="H24" s="181" t="s">
        <v>126</v>
      </c>
      <c r="I24" s="177"/>
      <c r="J24" s="177"/>
    </row>
    <row r="25" spans="2:10" ht="9.9499999999999993" customHeight="1" thickTop="1">
      <c r="B25" s="176"/>
      <c r="C25" s="177"/>
      <c r="D25" s="177"/>
      <c r="E25" s="177"/>
      <c r="F25" s="177"/>
      <c r="G25" s="177"/>
      <c r="H25" s="177"/>
      <c r="I25" s="177"/>
      <c r="J25" s="177"/>
    </row>
    <row r="26" spans="2:10" ht="15.75">
      <c r="B26" s="176"/>
      <c r="C26" s="177" t="s">
        <v>124</v>
      </c>
      <c r="D26" s="177"/>
      <c r="E26" s="177"/>
      <c r="F26" s="177"/>
      <c r="G26" s="177"/>
      <c r="H26" s="177"/>
      <c r="I26" s="177"/>
      <c r="J26" s="177"/>
    </row>
    <row r="27" spans="2:10" ht="9.9499999999999993" customHeight="1" thickBot="1">
      <c r="B27" s="176"/>
      <c r="C27" s="177"/>
      <c r="D27" s="177"/>
      <c r="E27" s="177"/>
      <c r="F27" s="177"/>
      <c r="G27" s="177"/>
      <c r="H27" s="177"/>
      <c r="I27" s="177"/>
      <c r="J27" s="177"/>
    </row>
    <row r="28" spans="2:10" ht="17.25" thickTop="1" thickBot="1">
      <c r="B28" s="176"/>
      <c r="C28" s="207" t="s">
        <v>123</v>
      </c>
      <c r="D28" s="207"/>
      <c r="E28" s="182">
        <v>43159</v>
      </c>
      <c r="F28" s="177"/>
      <c r="G28" s="177"/>
      <c r="H28" s="181" t="s">
        <v>127</v>
      </c>
      <c r="I28" s="177"/>
      <c r="J28" s="177"/>
    </row>
    <row r="29" spans="2:10" ht="9.9499999999999993" customHeight="1" thickTop="1">
      <c r="B29" s="176"/>
      <c r="C29" s="177"/>
      <c r="D29" s="177"/>
      <c r="E29" s="177"/>
      <c r="F29" s="178"/>
      <c r="G29" s="178"/>
      <c r="H29" s="177"/>
      <c r="I29" s="177"/>
      <c r="J29" s="177"/>
    </row>
    <row r="30" spans="2:10" ht="15.75">
      <c r="B30" s="180" t="s">
        <v>112</v>
      </c>
      <c r="C30" s="177"/>
      <c r="D30" s="177"/>
      <c r="E30" s="177"/>
      <c r="F30" s="178"/>
      <c r="G30" s="178"/>
      <c r="H30" s="177"/>
      <c r="I30" s="177"/>
      <c r="J30" s="177"/>
    </row>
    <row r="31" spans="2:10" ht="15.75">
      <c r="B31" s="176"/>
      <c r="C31" s="177" t="s">
        <v>113</v>
      </c>
      <c r="D31" s="177"/>
      <c r="E31" s="177"/>
      <c r="F31" s="178"/>
      <c r="G31" s="177"/>
      <c r="H31" s="177"/>
      <c r="I31" s="177"/>
      <c r="J31" s="177"/>
    </row>
    <row r="32" spans="2:10" ht="15.75">
      <c r="B32" s="176"/>
      <c r="C32" s="177" t="s">
        <v>114</v>
      </c>
      <c r="D32" s="177"/>
      <c r="E32" s="177"/>
      <c r="F32" s="177"/>
      <c r="G32" s="178"/>
      <c r="H32" s="177"/>
      <c r="I32" s="177"/>
      <c r="J32" s="177"/>
    </row>
    <row r="33" spans="2:10" ht="15.75">
      <c r="B33" s="176"/>
      <c r="C33" s="177"/>
      <c r="D33" s="177"/>
      <c r="E33" s="177"/>
      <c r="F33" s="177"/>
      <c r="G33" s="177"/>
      <c r="H33" s="177"/>
      <c r="I33" s="177"/>
      <c r="J33" s="177"/>
    </row>
    <row r="34" spans="2:10" ht="15.75">
      <c r="B34" s="180" t="s">
        <v>115</v>
      </c>
      <c r="C34" s="177"/>
      <c r="D34" s="177"/>
      <c r="E34" s="177"/>
      <c r="F34" s="177"/>
      <c r="G34" s="177"/>
      <c r="H34" s="177"/>
      <c r="I34" s="177"/>
      <c r="J34" s="177"/>
    </row>
    <row r="35" spans="2:10" ht="15.75">
      <c r="B35" s="179"/>
      <c r="C35" s="177"/>
      <c r="D35" s="177"/>
      <c r="E35" s="177"/>
      <c r="F35" s="177"/>
      <c r="G35" s="177"/>
      <c r="H35" s="177"/>
      <c r="I35" s="177"/>
      <c r="J35" s="177"/>
    </row>
    <row r="36" spans="2:10" ht="15.75">
      <c r="B36" s="180" t="s">
        <v>116</v>
      </c>
      <c r="C36" s="177"/>
      <c r="D36" s="177"/>
      <c r="E36" s="177"/>
      <c r="F36" s="177"/>
      <c r="G36" s="177"/>
      <c r="H36" s="177"/>
      <c r="I36" s="177"/>
      <c r="J36" s="177"/>
    </row>
    <row r="37" spans="2:10" ht="15.75">
      <c r="B37" s="179"/>
      <c r="C37" s="177"/>
      <c r="D37" s="177"/>
      <c r="E37" s="177"/>
      <c r="F37" s="177"/>
      <c r="G37" s="177"/>
      <c r="H37" s="177"/>
      <c r="I37" s="177"/>
      <c r="J37" s="177"/>
    </row>
    <row r="38" spans="2:10" ht="15.75">
      <c r="B38" s="180" t="s">
        <v>128</v>
      </c>
      <c r="C38" s="177"/>
      <c r="D38" s="177"/>
      <c r="E38" s="177"/>
      <c r="F38" s="177"/>
      <c r="G38" s="177"/>
      <c r="H38" s="177"/>
      <c r="I38" s="177"/>
      <c r="J38" s="177"/>
    </row>
    <row r="39" spans="2:10" ht="15.75">
      <c r="B39" s="179"/>
      <c r="C39" s="177"/>
      <c r="D39" s="177"/>
      <c r="E39" s="177"/>
      <c r="F39" s="177"/>
      <c r="G39" s="177"/>
      <c r="H39" s="177"/>
      <c r="I39" s="177"/>
      <c r="J39" s="177"/>
    </row>
    <row r="40" spans="2:10" ht="15.75">
      <c r="B40" s="180" t="s">
        <v>130</v>
      </c>
    </row>
    <row r="41" spans="2:10" ht="15.75">
      <c r="C41" s="188" t="s">
        <v>136</v>
      </c>
    </row>
    <row r="107" spans="2:4">
      <c r="B107" s="26">
        <v>0.2</v>
      </c>
      <c r="C107" s="26">
        <v>0.5</v>
      </c>
      <c r="D107">
        <v>90</v>
      </c>
    </row>
    <row r="108" spans="2:4">
      <c r="B108" s="26">
        <v>0.25</v>
      </c>
      <c r="C108" s="26">
        <v>0.6</v>
      </c>
      <c r="D108">
        <v>100</v>
      </c>
    </row>
    <row r="109" spans="2:4">
      <c r="B109" s="26">
        <v>0.3</v>
      </c>
      <c r="C109" s="26">
        <v>0.7</v>
      </c>
      <c r="D109">
        <v>120</v>
      </c>
    </row>
    <row r="110" spans="2:4">
      <c r="B110" s="26">
        <v>0.35</v>
      </c>
      <c r="C110" s="26">
        <v>0.8</v>
      </c>
      <c r="D110">
        <v>150</v>
      </c>
    </row>
    <row r="111" spans="2:4">
      <c r="C111" s="26">
        <v>0.9</v>
      </c>
      <c r="D111">
        <v>180</v>
      </c>
    </row>
    <row r="112" spans="2:4">
      <c r="C112" s="26">
        <v>1</v>
      </c>
      <c r="D112">
        <v>200</v>
      </c>
    </row>
    <row r="113" spans="3:4">
      <c r="C113" s="26">
        <v>1.5</v>
      </c>
      <c r="D113">
        <v>210</v>
      </c>
    </row>
    <row r="114" spans="3:4">
      <c r="C114" s="26">
        <v>2</v>
      </c>
      <c r="D114">
        <v>220</v>
      </c>
    </row>
  </sheetData>
  <mergeCells count="6">
    <mergeCell ref="B6:H6"/>
    <mergeCell ref="C20:D20"/>
    <mergeCell ref="C14:D14"/>
    <mergeCell ref="C24:D24"/>
    <mergeCell ref="C28:D28"/>
    <mergeCell ref="C16:D16"/>
  </mergeCells>
  <dataValidations count="3">
    <dataValidation type="list" allowBlank="1" showInputMessage="1" showErrorMessage="1" sqref="E14:E15">
      <formula1>$C$107:$C$114</formula1>
    </dataValidation>
    <dataValidation type="list" allowBlank="1" showInputMessage="1" showErrorMessage="1" sqref="E20">
      <formula1>$D$107:$D$114</formula1>
    </dataValidation>
    <dataValidation type="list" allowBlank="1" showInputMessage="1" showErrorMessage="1" sqref="E16">
      <formula1>$B$107:$B$110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2">
    <tabColor theme="9" tint="0.59999389629810485"/>
  </sheetPr>
  <dimension ref="B1:Z306"/>
  <sheetViews>
    <sheetView showGridLines="0" showRowColHeaders="0" workbookViewId="0">
      <pane xSplit="3" ySplit="5" topLeftCell="D6" activePane="bottomRight" state="frozen"/>
      <selection sqref="A1:I32"/>
      <selection pane="topRight" sqref="A1:I32"/>
      <selection pane="bottomLeft" sqref="A1:I32"/>
      <selection pane="bottomRight" sqref="A1:N20"/>
    </sheetView>
  </sheetViews>
  <sheetFormatPr defaultColWidth="12" defaultRowHeight="12.75"/>
  <cols>
    <col min="1" max="1" width="2.83203125" customWidth="1"/>
    <col min="2" max="2" width="1.83203125" customWidth="1"/>
    <col min="3" max="3" width="14.83203125" customWidth="1"/>
    <col min="4" max="6" width="12.83203125" customWidth="1"/>
    <col min="7" max="7" width="10.83203125" customWidth="1"/>
    <col min="8" max="9" width="12.83203125" customWidth="1"/>
    <col min="10" max="10" width="10.6640625" customWidth="1"/>
    <col min="11" max="14" width="12.83203125" customWidth="1"/>
    <col min="15" max="15" width="1.83203125" customWidth="1"/>
    <col min="16" max="16" width="6.83203125" customWidth="1"/>
    <col min="17" max="17" width="14.83203125" customWidth="1"/>
    <col min="18" max="18" width="12.5" bestFit="1" customWidth="1"/>
  </cols>
  <sheetData>
    <row r="1" spans="2:26" ht="14.25" thickTop="1" thickBot="1">
      <c r="B1" s="45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7"/>
    </row>
    <row r="2" spans="2:26" ht="18" customHeight="1">
      <c r="B2" s="48"/>
      <c r="C2" s="53" t="s">
        <v>19</v>
      </c>
      <c r="D2" s="54"/>
      <c r="E2" s="54"/>
      <c r="F2" s="54"/>
      <c r="G2" s="55"/>
      <c r="H2" s="55"/>
      <c r="I2" s="55"/>
      <c r="J2" s="55"/>
      <c r="K2" s="55"/>
      <c r="L2" s="55"/>
      <c r="M2" s="55"/>
      <c r="N2" s="56"/>
      <c r="O2" s="49"/>
    </row>
    <row r="3" spans="2:26" ht="18" customHeight="1" thickBot="1">
      <c r="B3" s="48"/>
      <c r="C3" s="57" t="s">
        <v>20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9"/>
      <c r="O3" s="49"/>
      <c r="Q3" s="187" t="s">
        <v>129</v>
      </c>
      <c r="R3" s="211"/>
      <c r="S3" s="211"/>
      <c r="T3" s="211"/>
    </row>
    <row r="4" spans="2:26" ht="20.100000000000001" customHeight="1">
      <c r="B4" s="48"/>
      <c r="C4" s="212" t="s">
        <v>140</v>
      </c>
      <c r="D4" s="212"/>
      <c r="E4" s="212"/>
      <c r="F4" s="212"/>
      <c r="G4" s="213"/>
      <c r="H4" s="213"/>
      <c r="I4" s="213"/>
      <c r="J4" s="213"/>
      <c r="K4" s="213"/>
      <c r="L4" s="213"/>
      <c r="M4" s="213"/>
      <c r="N4" s="213"/>
      <c r="O4" s="49"/>
    </row>
    <row r="5" spans="2:26" ht="20.100000000000001" customHeight="1" thickBot="1">
      <c r="B5" s="48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49"/>
      <c r="Q5" s="210"/>
      <c r="R5" s="210"/>
      <c r="S5" s="210"/>
      <c r="U5" s="61"/>
    </row>
    <row r="6" spans="2:26" ht="21.95" customHeight="1">
      <c r="B6" s="48"/>
      <c r="C6" s="217" t="s">
        <v>0</v>
      </c>
      <c r="D6" s="214" t="s">
        <v>21</v>
      </c>
      <c r="E6" s="215"/>
      <c r="F6" s="216"/>
      <c r="G6" s="219" t="s">
        <v>2</v>
      </c>
      <c r="H6" s="221" t="s">
        <v>26</v>
      </c>
      <c r="I6" s="222"/>
      <c r="J6" s="223" t="s">
        <v>27</v>
      </c>
      <c r="K6" s="223" t="s">
        <v>28</v>
      </c>
      <c r="L6" s="223" t="s">
        <v>29</v>
      </c>
      <c r="M6" s="223" t="s">
        <v>30</v>
      </c>
      <c r="N6" s="225" t="s">
        <v>148</v>
      </c>
      <c r="O6" s="49"/>
      <c r="Q6" s="210"/>
      <c r="R6" s="210"/>
      <c r="S6" s="210"/>
    </row>
    <row r="7" spans="2:26" ht="30" customHeight="1" thickBot="1">
      <c r="B7" s="48"/>
      <c r="C7" s="218"/>
      <c r="D7" s="60" t="s">
        <v>22</v>
      </c>
      <c r="E7" s="73" t="s">
        <v>23</v>
      </c>
      <c r="F7" s="60" t="s">
        <v>24</v>
      </c>
      <c r="G7" s="220"/>
      <c r="H7" s="73" t="s">
        <v>25</v>
      </c>
      <c r="I7" s="73" t="s">
        <v>1</v>
      </c>
      <c r="J7" s="224"/>
      <c r="K7" s="224"/>
      <c r="L7" s="224"/>
      <c r="M7" s="224"/>
      <c r="N7" s="226"/>
      <c r="O7" s="49"/>
    </row>
    <row r="8" spans="2:26" ht="15" customHeight="1">
      <c r="B8" s="48"/>
      <c r="C8" s="31">
        <f t="shared" ref="C8:C39" si="0">epoca</f>
        <v>42795</v>
      </c>
      <c r="D8" s="32">
        <v>1320</v>
      </c>
      <c r="E8" s="67">
        <f t="shared" ref="E8:E39" si="1">IF(OR(C8="",D8="",D8=0),"",divisor)</f>
        <v>220</v>
      </c>
      <c r="F8" s="32">
        <f>IF(OR(C8="",D8="",D8=0),0,D8/E8)</f>
        <v>6</v>
      </c>
      <c r="G8" s="33">
        <v>30</v>
      </c>
      <c r="H8" s="165">
        <f t="shared" ref="H8:H21" ca="1" si="2">IF(C8="","",Dias_Úteis)</f>
        <v>27</v>
      </c>
      <c r="I8" s="165">
        <f t="shared" ref="I8:I21" ca="1" si="3">IF(C8="","",Repousos)</f>
        <v>4</v>
      </c>
      <c r="J8" s="34">
        <f t="shared" ref="J8:J21" ca="1" si="4">IF(OR(C8="",D8="",D8=0),0,G8/H8*I8)</f>
        <v>4.4444444444444446</v>
      </c>
      <c r="K8" s="35">
        <f t="shared" ref="K8:K21" ca="1" si="5">IF(C8="","",J8*F8*(adicional_he/1+1))</f>
        <v>40</v>
      </c>
      <c r="L8" s="34">
        <f t="shared" ref="L8:L39" si="6">IF(C8="","",G8*F8*(adicional_he/1+1))</f>
        <v>270</v>
      </c>
      <c r="M8" s="62">
        <f t="shared" ref="M8:M21" ca="1" si="7">IF(C8="","",K8+L8)</f>
        <v>310</v>
      </c>
      <c r="N8" s="36">
        <f t="shared" ref="N8:N21" ca="1" si="8">IF(C8="","",M8*8%)</f>
        <v>24.8</v>
      </c>
      <c r="O8" s="49"/>
      <c r="Q8" s="187" t="s">
        <v>135</v>
      </c>
    </row>
    <row r="9" spans="2:26" ht="15" customHeight="1">
      <c r="B9" s="48"/>
      <c r="C9" s="37">
        <f t="shared" si="0"/>
        <v>42826</v>
      </c>
      <c r="D9" s="27">
        <v>1320</v>
      </c>
      <c r="E9" s="3">
        <f t="shared" si="1"/>
        <v>220</v>
      </c>
      <c r="F9" s="27">
        <f>IF(OR(C9="",D9="",D9=0),0,D9/E9)</f>
        <v>6</v>
      </c>
      <c r="G9" s="1">
        <v>32</v>
      </c>
      <c r="H9" s="166">
        <f t="shared" ca="1" si="2"/>
        <v>23</v>
      </c>
      <c r="I9" s="166">
        <f t="shared" ca="1" si="3"/>
        <v>7</v>
      </c>
      <c r="J9" s="4">
        <f t="shared" ca="1" si="4"/>
        <v>9.7391304347826093</v>
      </c>
      <c r="K9" s="7">
        <f t="shared" ca="1" si="5"/>
        <v>87.652173913043484</v>
      </c>
      <c r="L9" s="4">
        <f t="shared" si="6"/>
        <v>288</v>
      </c>
      <c r="M9" s="63">
        <f t="shared" ca="1" si="7"/>
        <v>375.6521739130435</v>
      </c>
      <c r="N9" s="38">
        <f t="shared" ca="1" si="8"/>
        <v>30.052173913043479</v>
      </c>
      <c r="O9" s="49"/>
      <c r="Q9" s="191" t="s">
        <v>132</v>
      </c>
    </row>
    <row r="10" spans="2:26" ht="15" customHeight="1">
      <c r="B10" s="48"/>
      <c r="C10" s="37">
        <f t="shared" si="0"/>
        <v>42856</v>
      </c>
      <c r="D10" s="27">
        <v>1320</v>
      </c>
      <c r="E10" s="3">
        <f t="shared" si="1"/>
        <v>220</v>
      </c>
      <c r="F10" s="27">
        <f t="shared" ref="F10:F73" si="9">IF(OR(C10="",D10="",D10=0),0,D10/E10)</f>
        <v>6</v>
      </c>
      <c r="G10" s="1">
        <v>35</v>
      </c>
      <c r="H10" s="166">
        <f t="shared" ca="1" si="2"/>
        <v>26</v>
      </c>
      <c r="I10" s="166">
        <f t="shared" ca="1" si="3"/>
        <v>5</v>
      </c>
      <c r="J10" s="4">
        <f t="shared" ca="1" si="4"/>
        <v>6.7307692307692317</v>
      </c>
      <c r="K10" s="7">
        <f t="shared" ca="1" si="5"/>
        <v>60.57692307692308</v>
      </c>
      <c r="L10" s="4">
        <f t="shared" si="6"/>
        <v>315</v>
      </c>
      <c r="M10" s="63">
        <f t="shared" ca="1" si="7"/>
        <v>375.57692307692309</v>
      </c>
      <c r="N10" s="38">
        <f t="shared" ca="1" si="8"/>
        <v>30.04615384615385</v>
      </c>
      <c r="O10" s="49"/>
      <c r="Q10" s="210"/>
      <c r="R10" s="210"/>
      <c r="S10" s="186"/>
    </row>
    <row r="11" spans="2:26" ht="15" customHeight="1">
      <c r="B11" s="48"/>
      <c r="C11" s="37">
        <f t="shared" si="0"/>
        <v>42887</v>
      </c>
      <c r="D11" s="27">
        <v>1320</v>
      </c>
      <c r="E11" s="3">
        <f t="shared" si="1"/>
        <v>220</v>
      </c>
      <c r="F11" s="27">
        <f t="shared" si="9"/>
        <v>6</v>
      </c>
      <c r="G11" s="1">
        <v>28</v>
      </c>
      <c r="H11" s="166">
        <f t="shared" ca="1" si="2"/>
        <v>23</v>
      </c>
      <c r="I11" s="166">
        <f t="shared" ca="1" si="3"/>
        <v>7</v>
      </c>
      <c r="J11" s="4">
        <f t="shared" ca="1" si="4"/>
        <v>8.5217391304347831</v>
      </c>
      <c r="K11" s="7">
        <f t="shared" ca="1" si="5"/>
        <v>76.695652173913061</v>
      </c>
      <c r="L11" s="4">
        <f t="shared" si="6"/>
        <v>252</v>
      </c>
      <c r="M11" s="63">
        <f t="shared" ca="1" si="7"/>
        <v>328.69565217391306</v>
      </c>
      <c r="N11" s="38">
        <f t="shared" ca="1" si="8"/>
        <v>26.295652173913044</v>
      </c>
      <c r="O11" s="49"/>
    </row>
    <row r="12" spans="2:26" ht="15" customHeight="1">
      <c r="B12" s="48"/>
      <c r="C12" s="37">
        <f t="shared" si="0"/>
        <v>42917</v>
      </c>
      <c r="D12" s="27">
        <v>1320</v>
      </c>
      <c r="E12" s="3">
        <f t="shared" si="1"/>
        <v>220</v>
      </c>
      <c r="F12" s="27">
        <f t="shared" si="9"/>
        <v>6</v>
      </c>
      <c r="G12" s="1">
        <v>32</v>
      </c>
      <c r="H12" s="166">
        <f t="shared" ca="1" si="2"/>
        <v>26</v>
      </c>
      <c r="I12" s="166">
        <f t="shared" ca="1" si="3"/>
        <v>5</v>
      </c>
      <c r="J12" s="4">
        <f t="shared" ca="1" si="4"/>
        <v>6.1538461538461542</v>
      </c>
      <c r="K12" s="7">
        <f t="shared" ca="1" si="5"/>
        <v>55.384615384615387</v>
      </c>
      <c r="L12" s="4">
        <f t="shared" si="6"/>
        <v>288</v>
      </c>
      <c r="M12" s="63">
        <f t="shared" ca="1" si="7"/>
        <v>343.38461538461536</v>
      </c>
      <c r="N12" s="38">
        <f t="shared" ca="1" si="8"/>
        <v>27.470769230769228</v>
      </c>
      <c r="O12" s="49"/>
    </row>
    <row r="13" spans="2:26" ht="15" customHeight="1">
      <c r="B13" s="48"/>
      <c r="C13" s="37">
        <f t="shared" si="0"/>
        <v>42948</v>
      </c>
      <c r="D13" s="27">
        <v>1408</v>
      </c>
      <c r="E13" s="3">
        <f t="shared" si="1"/>
        <v>220</v>
      </c>
      <c r="F13" s="27">
        <f t="shared" si="9"/>
        <v>6.4</v>
      </c>
      <c r="G13" s="1">
        <v>32</v>
      </c>
      <c r="H13" s="166">
        <f t="shared" ca="1" si="2"/>
        <v>27</v>
      </c>
      <c r="I13" s="166">
        <f t="shared" ca="1" si="3"/>
        <v>4</v>
      </c>
      <c r="J13" s="4">
        <f t="shared" ca="1" si="4"/>
        <v>4.7407407407407405</v>
      </c>
      <c r="K13" s="7">
        <f t="shared" ca="1" si="5"/>
        <v>45.511111111111113</v>
      </c>
      <c r="L13" s="4">
        <f t="shared" si="6"/>
        <v>307.20000000000005</v>
      </c>
      <c r="M13" s="63">
        <f t="shared" ca="1" si="7"/>
        <v>352.71111111111117</v>
      </c>
      <c r="N13" s="38">
        <f t="shared" ca="1" si="8"/>
        <v>28.216888888888892</v>
      </c>
      <c r="O13" s="49"/>
      <c r="Q13" s="159"/>
      <c r="R13" s="160"/>
    </row>
    <row r="14" spans="2:26" ht="15" customHeight="1">
      <c r="B14" s="48"/>
      <c r="C14" s="37">
        <f t="shared" si="0"/>
        <v>42979</v>
      </c>
      <c r="D14" s="27">
        <v>1408</v>
      </c>
      <c r="E14" s="3">
        <f t="shared" si="1"/>
        <v>220</v>
      </c>
      <c r="F14" s="27">
        <f t="shared" si="9"/>
        <v>6.4</v>
      </c>
      <c r="G14" s="1">
        <v>30</v>
      </c>
      <c r="H14" s="166">
        <f t="shared" ca="1" si="2"/>
        <v>25</v>
      </c>
      <c r="I14" s="166">
        <f t="shared" ca="1" si="3"/>
        <v>5</v>
      </c>
      <c r="J14" s="4">
        <f t="shared" ca="1" si="4"/>
        <v>6</v>
      </c>
      <c r="K14" s="7">
        <f t="shared" ca="1" si="5"/>
        <v>57.600000000000009</v>
      </c>
      <c r="L14" s="4">
        <f t="shared" si="6"/>
        <v>288</v>
      </c>
      <c r="M14" s="63">
        <f t="shared" ca="1" si="7"/>
        <v>345.6</v>
      </c>
      <c r="N14" s="38">
        <f t="shared" ca="1" si="8"/>
        <v>27.648000000000003</v>
      </c>
      <c r="O14" s="49"/>
      <c r="Q14" s="159"/>
    </row>
    <row r="15" spans="2:26" ht="15" customHeight="1">
      <c r="B15" s="48"/>
      <c r="C15" s="37">
        <f t="shared" si="0"/>
        <v>43009</v>
      </c>
      <c r="D15" s="27">
        <v>1408</v>
      </c>
      <c r="E15" s="3">
        <f t="shared" si="1"/>
        <v>220</v>
      </c>
      <c r="F15" s="27">
        <f t="shared" si="9"/>
        <v>6.4</v>
      </c>
      <c r="G15" s="1">
        <v>36</v>
      </c>
      <c r="H15" s="166">
        <f t="shared" ca="1" si="2"/>
        <v>25</v>
      </c>
      <c r="I15" s="166">
        <f t="shared" ca="1" si="3"/>
        <v>6</v>
      </c>
      <c r="J15" s="4">
        <f t="shared" ca="1" si="4"/>
        <v>8.64</v>
      </c>
      <c r="K15" s="7">
        <f t="shared" ca="1" si="5"/>
        <v>82.944000000000017</v>
      </c>
      <c r="L15" s="4">
        <f t="shared" si="6"/>
        <v>345.6</v>
      </c>
      <c r="M15" s="63">
        <f t="shared" ca="1" si="7"/>
        <v>428.54400000000004</v>
      </c>
      <c r="N15" s="38">
        <f t="shared" ca="1" si="8"/>
        <v>34.283520000000003</v>
      </c>
      <c r="O15" s="49"/>
      <c r="X15" s="65"/>
    </row>
    <row r="16" spans="2:26" ht="15" customHeight="1">
      <c r="B16" s="48"/>
      <c r="C16" s="37">
        <f t="shared" si="0"/>
        <v>43040</v>
      </c>
      <c r="D16" s="27">
        <v>1408</v>
      </c>
      <c r="E16" s="3">
        <f t="shared" si="1"/>
        <v>220</v>
      </c>
      <c r="F16" s="27">
        <f t="shared" si="9"/>
        <v>6.4</v>
      </c>
      <c r="G16" s="1">
        <v>30</v>
      </c>
      <c r="H16" s="166">
        <f t="shared" ca="1" si="2"/>
        <v>24</v>
      </c>
      <c r="I16" s="166">
        <f t="shared" ca="1" si="3"/>
        <v>6</v>
      </c>
      <c r="J16" s="4">
        <f t="shared" ca="1" si="4"/>
        <v>7.5</v>
      </c>
      <c r="K16" s="7">
        <f t="shared" ca="1" si="5"/>
        <v>72</v>
      </c>
      <c r="L16" s="4">
        <f t="shared" si="6"/>
        <v>288</v>
      </c>
      <c r="M16" s="63">
        <f t="shared" ca="1" si="7"/>
        <v>360</v>
      </c>
      <c r="N16" s="38">
        <f t="shared" ca="1" si="8"/>
        <v>28.8</v>
      </c>
      <c r="O16" s="49"/>
      <c r="X16" s="65"/>
      <c r="Z16" s="65"/>
    </row>
    <row r="17" spans="2:24" ht="15" customHeight="1">
      <c r="B17" s="48"/>
      <c r="C17" s="37">
        <f t="shared" si="0"/>
        <v>43070</v>
      </c>
      <c r="D17" s="27">
        <v>1408</v>
      </c>
      <c r="E17" s="3">
        <f t="shared" si="1"/>
        <v>220</v>
      </c>
      <c r="F17" s="27">
        <f t="shared" si="9"/>
        <v>6.4</v>
      </c>
      <c r="G17" s="1">
        <v>36</v>
      </c>
      <c r="H17" s="166">
        <f t="shared" ca="1" si="2"/>
        <v>25</v>
      </c>
      <c r="I17" s="166">
        <f t="shared" ca="1" si="3"/>
        <v>6</v>
      </c>
      <c r="J17" s="4">
        <f t="shared" ca="1" si="4"/>
        <v>8.64</v>
      </c>
      <c r="K17" s="7">
        <f t="shared" ca="1" si="5"/>
        <v>82.944000000000017</v>
      </c>
      <c r="L17" s="4">
        <f t="shared" si="6"/>
        <v>345.6</v>
      </c>
      <c r="M17" s="63">
        <f t="shared" ca="1" si="7"/>
        <v>428.54400000000004</v>
      </c>
      <c r="N17" s="38">
        <f t="shared" ca="1" si="8"/>
        <v>34.283520000000003</v>
      </c>
      <c r="O17" s="49"/>
      <c r="X17" s="65"/>
    </row>
    <row r="18" spans="2:24" ht="15" customHeight="1">
      <c r="B18" s="48"/>
      <c r="C18" s="37">
        <f t="shared" si="0"/>
        <v>43101</v>
      </c>
      <c r="D18" s="27">
        <v>1408</v>
      </c>
      <c r="E18" s="3">
        <f t="shared" si="1"/>
        <v>220</v>
      </c>
      <c r="F18" s="27">
        <f t="shared" si="9"/>
        <v>6.4</v>
      </c>
      <c r="G18" s="1">
        <v>32</v>
      </c>
      <c r="H18" s="166">
        <f t="shared" ca="1" si="2"/>
        <v>26</v>
      </c>
      <c r="I18" s="166">
        <f t="shared" ca="1" si="3"/>
        <v>5</v>
      </c>
      <c r="J18" s="4">
        <f t="shared" ca="1" si="4"/>
        <v>6.1538461538461542</v>
      </c>
      <c r="K18" s="7">
        <f t="shared" ca="1" si="5"/>
        <v>59.07692307692308</v>
      </c>
      <c r="L18" s="4">
        <f t="shared" si="6"/>
        <v>307.20000000000005</v>
      </c>
      <c r="M18" s="63">
        <f t="shared" ca="1" si="7"/>
        <v>366.27692307692314</v>
      </c>
      <c r="N18" s="38">
        <f t="shared" ca="1" si="8"/>
        <v>29.302153846153853</v>
      </c>
      <c r="O18" s="49"/>
    </row>
    <row r="19" spans="2:24" ht="15" customHeight="1">
      <c r="B19" s="48"/>
      <c r="C19" s="37">
        <f t="shared" si="0"/>
        <v>43132</v>
      </c>
      <c r="D19" s="27">
        <v>1408</v>
      </c>
      <c r="E19" s="3">
        <f t="shared" si="1"/>
        <v>220</v>
      </c>
      <c r="F19" s="27">
        <f t="shared" si="9"/>
        <v>6.4</v>
      </c>
      <c r="G19" s="1">
        <v>26</v>
      </c>
      <c r="H19" s="166">
        <f t="shared" ca="1" si="2"/>
        <v>24</v>
      </c>
      <c r="I19" s="166">
        <f t="shared" ca="1" si="3"/>
        <v>4</v>
      </c>
      <c r="J19" s="4">
        <f t="shared" ca="1" si="4"/>
        <v>4.333333333333333</v>
      </c>
      <c r="K19" s="7">
        <f t="shared" ca="1" si="5"/>
        <v>41.6</v>
      </c>
      <c r="L19" s="4">
        <f t="shared" si="6"/>
        <v>249.60000000000002</v>
      </c>
      <c r="M19" s="63">
        <f t="shared" ca="1" si="7"/>
        <v>291.20000000000005</v>
      </c>
      <c r="N19" s="38">
        <f t="shared" ca="1" si="8"/>
        <v>23.296000000000003</v>
      </c>
      <c r="O19" s="49"/>
    </row>
    <row r="20" spans="2:24" ht="15" customHeight="1">
      <c r="B20" s="48"/>
      <c r="C20" s="37" t="str">
        <f t="shared" si="0"/>
        <v/>
      </c>
      <c r="D20" s="27"/>
      <c r="E20" s="3" t="str">
        <f t="shared" si="1"/>
        <v/>
      </c>
      <c r="F20" s="27">
        <f t="shared" si="9"/>
        <v>0</v>
      </c>
      <c r="G20" s="1"/>
      <c r="H20" s="166" t="str">
        <f t="shared" si="2"/>
        <v/>
      </c>
      <c r="I20" s="166" t="str">
        <f t="shared" si="3"/>
        <v/>
      </c>
      <c r="J20" s="4">
        <f t="shared" si="4"/>
        <v>0</v>
      </c>
      <c r="K20" s="7" t="str">
        <f t="shared" si="5"/>
        <v/>
      </c>
      <c r="L20" s="4" t="str">
        <f t="shared" si="6"/>
        <v/>
      </c>
      <c r="M20" s="63" t="str">
        <f t="shared" si="7"/>
        <v/>
      </c>
      <c r="N20" s="38" t="str">
        <f t="shared" si="8"/>
        <v/>
      </c>
      <c r="O20" s="49"/>
    </row>
    <row r="21" spans="2:24" ht="15" customHeight="1">
      <c r="B21" s="48"/>
      <c r="C21" s="37" t="str">
        <f t="shared" si="0"/>
        <v/>
      </c>
      <c r="D21" s="27"/>
      <c r="E21" s="3" t="str">
        <f t="shared" si="1"/>
        <v/>
      </c>
      <c r="F21" s="27">
        <f t="shared" si="9"/>
        <v>0</v>
      </c>
      <c r="G21" s="1"/>
      <c r="H21" s="166" t="str">
        <f t="shared" si="2"/>
        <v/>
      </c>
      <c r="I21" s="166" t="str">
        <f t="shared" si="3"/>
        <v/>
      </c>
      <c r="J21" s="4">
        <f t="shared" si="4"/>
        <v>0</v>
      </c>
      <c r="K21" s="7" t="str">
        <f t="shared" si="5"/>
        <v/>
      </c>
      <c r="L21" s="4" t="str">
        <f t="shared" si="6"/>
        <v/>
      </c>
      <c r="M21" s="63" t="str">
        <f t="shared" si="7"/>
        <v/>
      </c>
      <c r="N21" s="38" t="str">
        <f t="shared" si="8"/>
        <v/>
      </c>
      <c r="O21" s="49"/>
    </row>
    <row r="22" spans="2:24" ht="15" customHeight="1">
      <c r="B22" s="48"/>
      <c r="C22" s="37" t="str">
        <f t="shared" si="0"/>
        <v/>
      </c>
      <c r="D22" s="27"/>
      <c r="E22" s="3" t="str">
        <f t="shared" si="1"/>
        <v/>
      </c>
      <c r="F22" s="27">
        <f t="shared" si="9"/>
        <v>0</v>
      </c>
      <c r="G22" s="1"/>
      <c r="H22" s="166" t="str">
        <f t="shared" ref="H22:H39" si="10">IF(C22="","",Dias_Úteis)</f>
        <v/>
      </c>
      <c r="I22" s="166" t="str">
        <f t="shared" ref="I22:I39" si="11">IF(C22="","",Repousos)</f>
        <v/>
      </c>
      <c r="J22" s="4">
        <f t="shared" ref="J22:J72" si="12">IF(OR(C22="",D22="",D22=0),0,G22/H22*I22)</f>
        <v>0</v>
      </c>
      <c r="K22" s="7" t="str">
        <f t="shared" ref="K22:K39" si="13">IF(C22="","",J22*F22*(adicional_he/1+1))</f>
        <v/>
      </c>
      <c r="L22" s="4" t="str">
        <f t="shared" si="6"/>
        <v/>
      </c>
      <c r="M22" s="63" t="str">
        <f t="shared" ref="M22:M73" si="14">IF(C22="","",K22+L22)</f>
        <v/>
      </c>
      <c r="N22" s="38" t="str">
        <f t="shared" ref="N22:N73" si="15">IF(C22="","",M22*8%)</f>
        <v/>
      </c>
      <c r="O22" s="49"/>
    </row>
    <row r="23" spans="2:24" ht="15" customHeight="1">
      <c r="B23" s="48"/>
      <c r="C23" s="37" t="str">
        <f t="shared" si="0"/>
        <v/>
      </c>
      <c r="D23" s="27"/>
      <c r="E23" s="3" t="str">
        <f t="shared" si="1"/>
        <v/>
      </c>
      <c r="F23" s="27">
        <f t="shared" si="9"/>
        <v>0</v>
      </c>
      <c r="G23" s="1"/>
      <c r="H23" s="166" t="str">
        <f t="shared" si="10"/>
        <v/>
      </c>
      <c r="I23" s="166" t="str">
        <f t="shared" si="11"/>
        <v/>
      </c>
      <c r="J23" s="4">
        <f t="shared" si="12"/>
        <v>0</v>
      </c>
      <c r="K23" s="7" t="str">
        <f t="shared" si="13"/>
        <v/>
      </c>
      <c r="L23" s="4" t="str">
        <f t="shared" si="6"/>
        <v/>
      </c>
      <c r="M23" s="63" t="str">
        <f t="shared" si="14"/>
        <v/>
      </c>
      <c r="N23" s="38" t="str">
        <f t="shared" si="15"/>
        <v/>
      </c>
      <c r="O23" s="49"/>
    </row>
    <row r="24" spans="2:24" ht="15" customHeight="1">
      <c r="B24" s="48"/>
      <c r="C24" s="37" t="str">
        <f t="shared" si="0"/>
        <v/>
      </c>
      <c r="D24" s="27"/>
      <c r="E24" s="3" t="str">
        <f t="shared" si="1"/>
        <v/>
      </c>
      <c r="F24" s="27">
        <f t="shared" si="9"/>
        <v>0</v>
      </c>
      <c r="G24" s="1"/>
      <c r="H24" s="166" t="str">
        <f t="shared" si="10"/>
        <v/>
      </c>
      <c r="I24" s="166" t="str">
        <f t="shared" si="11"/>
        <v/>
      </c>
      <c r="J24" s="4">
        <f t="shared" si="12"/>
        <v>0</v>
      </c>
      <c r="K24" s="7" t="str">
        <f t="shared" si="13"/>
        <v/>
      </c>
      <c r="L24" s="4" t="str">
        <f t="shared" si="6"/>
        <v/>
      </c>
      <c r="M24" s="63" t="str">
        <f t="shared" si="14"/>
        <v/>
      </c>
      <c r="N24" s="38" t="str">
        <f t="shared" si="15"/>
        <v/>
      </c>
      <c r="O24" s="49"/>
    </row>
    <row r="25" spans="2:24" ht="15" customHeight="1">
      <c r="B25" s="48"/>
      <c r="C25" s="37" t="str">
        <f t="shared" si="0"/>
        <v/>
      </c>
      <c r="D25" s="27"/>
      <c r="E25" s="3" t="str">
        <f t="shared" si="1"/>
        <v/>
      </c>
      <c r="F25" s="27">
        <f t="shared" si="9"/>
        <v>0</v>
      </c>
      <c r="G25" s="1"/>
      <c r="H25" s="166" t="str">
        <f t="shared" si="10"/>
        <v/>
      </c>
      <c r="I25" s="166" t="str">
        <f t="shared" si="11"/>
        <v/>
      </c>
      <c r="J25" s="4">
        <f t="shared" si="12"/>
        <v>0</v>
      </c>
      <c r="K25" s="7" t="str">
        <f t="shared" si="13"/>
        <v/>
      </c>
      <c r="L25" s="4" t="str">
        <f t="shared" si="6"/>
        <v/>
      </c>
      <c r="M25" s="63" t="str">
        <f t="shared" si="14"/>
        <v/>
      </c>
      <c r="N25" s="38" t="str">
        <f t="shared" si="15"/>
        <v/>
      </c>
      <c r="O25" s="49"/>
    </row>
    <row r="26" spans="2:24" ht="15" customHeight="1">
      <c r="B26" s="48"/>
      <c r="C26" s="37" t="str">
        <f t="shared" si="0"/>
        <v/>
      </c>
      <c r="D26" s="27"/>
      <c r="E26" s="3" t="str">
        <f t="shared" si="1"/>
        <v/>
      </c>
      <c r="F26" s="27">
        <f t="shared" si="9"/>
        <v>0</v>
      </c>
      <c r="G26" s="1"/>
      <c r="H26" s="166" t="str">
        <f t="shared" si="10"/>
        <v/>
      </c>
      <c r="I26" s="166" t="str">
        <f t="shared" si="11"/>
        <v/>
      </c>
      <c r="J26" s="4">
        <f t="shared" si="12"/>
        <v>0</v>
      </c>
      <c r="K26" s="7" t="str">
        <f t="shared" si="13"/>
        <v/>
      </c>
      <c r="L26" s="4" t="str">
        <f t="shared" si="6"/>
        <v/>
      </c>
      <c r="M26" s="63" t="str">
        <f t="shared" si="14"/>
        <v/>
      </c>
      <c r="N26" s="38" t="str">
        <f t="shared" si="15"/>
        <v/>
      </c>
      <c r="O26" s="49"/>
    </row>
    <row r="27" spans="2:24" ht="15" customHeight="1">
      <c r="B27" s="48"/>
      <c r="C27" s="37" t="str">
        <f t="shared" si="0"/>
        <v/>
      </c>
      <c r="D27" s="27"/>
      <c r="E27" s="3" t="str">
        <f t="shared" si="1"/>
        <v/>
      </c>
      <c r="F27" s="27">
        <f t="shared" si="9"/>
        <v>0</v>
      </c>
      <c r="G27" s="1"/>
      <c r="H27" s="166" t="str">
        <f t="shared" si="10"/>
        <v/>
      </c>
      <c r="I27" s="166" t="str">
        <f t="shared" si="11"/>
        <v/>
      </c>
      <c r="J27" s="4">
        <f t="shared" si="12"/>
        <v>0</v>
      </c>
      <c r="K27" s="7" t="str">
        <f t="shared" si="13"/>
        <v/>
      </c>
      <c r="L27" s="4" t="str">
        <f t="shared" si="6"/>
        <v/>
      </c>
      <c r="M27" s="63" t="str">
        <f t="shared" si="14"/>
        <v/>
      </c>
      <c r="N27" s="38" t="str">
        <f t="shared" si="15"/>
        <v/>
      </c>
      <c r="O27" s="49"/>
    </row>
    <row r="28" spans="2:24" ht="15" customHeight="1">
      <c r="B28" s="48"/>
      <c r="C28" s="37" t="str">
        <f t="shared" si="0"/>
        <v/>
      </c>
      <c r="D28" s="27"/>
      <c r="E28" s="3" t="str">
        <f t="shared" si="1"/>
        <v/>
      </c>
      <c r="F28" s="27">
        <f t="shared" si="9"/>
        <v>0</v>
      </c>
      <c r="G28" s="1"/>
      <c r="H28" s="166" t="str">
        <f t="shared" si="10"/>
        <v/>
      </c>
      <c r="I28" s="166" t="str">
        <f t="shared" si="11"/>
        <v/>
      </c>
      <c r="J28" s="4">
        <f t="shared" si="12"/>
        <v>0</v>
      </c>
      <c r="K28" s="7" t="str">
        <f t="shared" si="13"/>
        <v/>
      </c>
      <c r="L28" s="4" t="str">
        <f t="shared" si="6"/>
        <v/>
      </c>
      <c r="M28" s="63" t="str">
        <f t="shared" si="14"/>
        <v/>
      </c>
      <c r="N28" s="38" t="str">
        <f t="shared" si="15"/>
        <v/>
      </c>
      <c r="O28" s="49"/>
    </row>
    <row r="29" spans="2:24" ht="15" customHeight="1">
      <c r="B29" s="48"/>
      <c r="C29" s="37" t="str">
        <f t="shared" si="0"/>
        <v/>
      </c>
      <c r="D29" s="27"/>
      <c r="E29" s="3" t="str">
        <f t="shared" si="1"/>
        <v/>
      </c>
      <c r="F29" s="27">
        <f t="shared" si="9"/>
        <v>0</v>
      </c>
      <c r="G29" s="1"/>
      <c r="H29" s="166" t="str">
        <f t="shared" si="10"/>
        <v/>
      </c>
      <c r="I29" s="166" t="str">
        <f t="shared" si="11"/>
        <v/>
      </c>
      <c r="J29" s="4">
        <f t="shared" si="12"/>
        <v>0</v>
      </c>
      <c r="K29" s="7" t="str">
        <f t="shared" si="13"/>
        <v/>
      </c>
      <c r="L29" s="4" t="str">
        <f t="shared" si="6"/>
        <v/>
      </c>
      <c r="M29" s="63" t="str">
        <f t="shared" si="14"/>
        <v/>
      </c>
      <c r="N29" s="38" t="str">
        <f t="shared" si="15"/>
        <v/>
      </c>
      <c r="O29" s="49"/>
    </row>
    <row r="30" spans="2:24" ht="15" customHeight="1">
      <c r="B30" s="48"/>
      <c r="C30" s="37" t="str">
        <f t="shared" si="0"/>
        <v/>
      </c>
      <c r="D30" s="27"/>
      <c r="E30" s="3" t="str">
        <f t="shared" si="1"/>
        <v/>
      </c>
      <c r="F30" s="27">
        <f t="shared" si="9"/>
        <v>0</v>
      </c>
      <c r="G30" s="1"/>
      <c r="H30" s="166" t="str">
        <f t="shared" si="10"/>
        <v/>
      </c>
      <c r="I30" s="166" t="str">
        <f t="shared" si="11"/>
        <v/>
      </c>
      <c r="J30" s="4">
        <f t="shared" si="12"/>
        <v>0</v>
      </c>
      <c r="K30" s="7" t="str">
        <f t="shared" si="13"/>
        <v/>
      </c>
      <c r="L30" s="4" t="str">
        <f t="shared" si="6"/>
        <v/>
      </c>
      <c r="M30" s="63" t="str">
        <f t="shared" si="14"/>
        <v/>
      </c>
      <c r="N30" s="38" t="str">
        <f t="shared" si="15"/>
        <v/>
      </c>
      <c r="O30" s="49"/>
    </row>
    <row r="31" spans="2:24" ht="15" customHeight="1">
      <c r="B31" s="48"/>
      <c r="C31" s="37" t="str">
        <f t="shared" si="0"/>
        <v/>
      </c>
      <c r="D31" s="27"/>
      <c r="E31" s="3" t="str">
        <f t="shared" si="1"/>
        <v/>
      </c>
      <c r="F31" s="27">
        <f t="shared" si="9"/>
        <v>0</v>
      </c>
      <c r="G31" s="1"/>
      <c r="H31" s="166" t="str">
        <f t="shared" si="10"/>
        <v/>
      </c>
      <c r="I31" s="166" t="str">
        <f t="shared" si="11"/>
        <v/>
      </c>
      <c r="J31" s="4">
        <f t="shared" si="12"/>
        <v>0</v>
      </c>
      <c r="K31" s="7" t="str">
        <f t="shared" si="13"/>
        <v/>
      </c>
      <c r="L31" s="4" t="str">
        <f t="shared" si="6"/>
        <v/>
      </c>
      <c r="M31" s="63" t="str">
        <f t="shared" si="14"/>
        <v/>
      </c>
      <c r="N31" s="38" t="str">
        <f t="shared" si="15"/>
        <v/>
      </c>
      <c r="O31" s="49"/>
    </row>
    <row r="32" spans="2:24" ht="15" customHeight="1">
      <c r="B32" s="48"/>
      <c r="C32" s="37" t="str">
        <f t="shared" si="0"/>
        <v/>
      </c>
      <c r="D32" s="27"/>
      <c r="E32" s="3" t="str">
        <f t="shared" si="1"/>
        <v/>
      </c>
      <c r="F32" s="27">
        <f t="shared" si="9"/>
        <v>0</v>
      </c>
      <c r="G32" s="1"/>
      <c r="H32" s="166" t="str">
        <f t="shared" si="10"/>
        <v/>
      </c>
      <c r="I32" s="166" t="str">
        <f t="shared" si="11"/>
        <v/>
      </c>
      <c r="J32" s="4">
        <f t="shared" si="12"/>
        <v>0</v>
      </c>
      <c r="K32" s="7" t="str">
        <f t="shared" si="13"/>
        <v/>
      </c>
      <c r="L32" s="4" t="str">
        <f t="shared" si="6"/>
        <v/>
      </c>
      <c r="M32" s="63" t="str">
        <f t="shared" si="14"/>
        <v/>
      </c>
      <c r="N32" s="38" t="str">
        <f t="shared" si="15"/>
        <v/>
      </c>
      <c r="O32" s="49"/>
    </row>
    <row r="33" spans="2:25" ht="15" customHeight="1">
      <c r="B33" s="48"/>
      <c r="C33" s="37" t="str">
        <f t="shared" si="0"/>
        <v/>
      </c>
      <c r="D33" s="27"/>
      <c r="E33" s="3" t="str">
        <f t="shared" si="1"/>
        <v/>
      </c>
      <c r="F33" s="27">
        <f t="shared" si="9"/>
        <v>0</v>
      </c>
      <c r="G33" s="1"/>
      <c r="H33" s="166" t="str">
        <f t="shared" si="10"/>
        <v/>
      </c>
      <c r="I33" s="166" t="str">
        <f t="shared" si="11"/>
        <v/>
      </c>
      <c r="J33" s="4">
        <f t="shared" si="12"/>
        <v>0</v>
      </c>
      <c r="K33" s="7" t="str">
        <f t="shared" si="13"/>
        <v/>
      </c>
      <c r="L33" s="4" t="str">
        <f t="shared" si="6"/>
        <v/>
      </c>
      <c r="M33" s="63" t="str">
        <f t="shared" si="14"/>
        <v/>
      </c>
      <c r="N33" s="38" t="str">
        <f t="shared" si="15"/>
        <v/>
      </c>
      <c r="O33" s="49"/>
    </row>
    <row r="34" spans="2:25" ht="15" customHeight="1">
      <c r="B34" s="48"/>
      <c r="C34" s="37" t="str">
        <f t="shared" si="0"/>
        <v/>
      </c>
      <c r="D34" s="27"/>
      <c r="E34" s="3" t="str">
        <f t="shared" si="1"/>
        <v/>
      </c>
      <c r="F34" s="27">
        <f t="shared" si="9"/>
        <v>0</v>
      </c>
      <c r="G34" s="1"/>
      <c r="H34" s="166" t="str">
        <f t="shared" si="10"/>
        <v/>
      </c>
      <c r="I34" s="166" t="str">
        <f t="shared" si="11"/>
        <v/>
      </c>
      <c r="J34" s="4">
        <f t="shared" si="12"/>
        <v>0</v>
      </c>
      <c r="K34" s="7" t="str">
        <f t="shared" si="13"/>
        <v/>
      </c>
      <c r="L34" s="4" t="str">
        <f t="shared" si="6"/>
        <v/>
      </c>
      <c r="M34" s="63" t="str">
        <f t="shared" si="14"/>
        <v/>
      </c>
      <c r="N34" s="38" t="str">
        <f t="shared" si="15"/>
        <v/>
      </c>
      <c r="O34" s="49"/>
    </row>
    <row r="35" spans="2:25" ht="15" customHeight="1">
      <c r="B35" s="48"/>
      <c r="C35" s="37" t="str">
        <f t="shared" si="0"/>
        <v/>
      </c>
      <c r="D35" s="27"/>
      <c r="E35" s="3" t="str">
        <f t="shared" si="1"/>
        <v/>
      </c>
      <c r="F35" s="27">
        <f t="shared" si="9"/>
        <v>0</v>
      </c>
      <c r="G35" s="1"/>
      <c r="H35" s="166" t="str">
        <f t="shared" si="10"/>
        <v/>
      </c>
      <c r="I35" s="166" t="str">
        <f t="shared" si="11"/>
        <v/>
      </c>
      <c r="J35" s="4">
        <f t="shared" si="12"/>
        <v>0</v>
      </c>
      <c r="K35" s="7" t="str">
        <f t="shared" si="13"/>
        <v/>
      </c>
      <c r="L35" s="4" t="str">
        <f t="shared" si="6"/>
        <v/>
      </c>
      <c r="M35" s="63" t="str">
        <f t="shared" si="14"/>
        <v/>
      </c>
      <c r="N35" s="38" t="str">
        <f t="shared" si="15"/>
        <v/>
      </c>
      <c r="O35" s="49"/>
      <c r="Q35" s="179"/>
      <c r="R35" s="177"/>
      <c r="S35" s="177"/>
      <c r="T35" s="177"/>
      <c r="U35" s="177"/>
      <c r="V35" s="177"/>
      <c r="W35" s="177"/>
      <c r="X35" s="177"/>
      <c r="Y35" s="177"/>
    </row>
    <row r="36" spans="2:25" ht="15" customHeight="1">
      <c r="B36" s="48"/>
      <c r="C36" s="37" t="str">
        <f t="shared" si="0"/>
        <v/>
      </c>
      <c r="D36" s="27"/>
      <c r="E36" s="3" t="str">
        <f t="shared" si="1"/>
        <v/>
      </c>
      <c r="F36" s="27">
        <f t="shared" si="9"/>
        <v>0</v>
      </c>
      <c r="G36" s="1"/>
      <c r="H36" s="166" t="str">
        <f t="shared" si="10"/>
        <v/>
      </c>
      <c r="I36" s="166" t="str">
        <f t="shared" si="11"/>
        <v/>
      </c>
      <c r="J36" s="4">
        <f t="shared" si="12"/>
        <v>0</v>
      </c>
      <c r="K36" s="7" t="str">
        <f t="shared" si="13"/>
        <v/>
      </c>
      <c r="L36" s="4" t="str">
        <f t="shared" si="6"/>
        <v/>
      </c>
      <c r="M36" s="63" t="str">
        <f t="shared" si="14"/>
        <v/>
      </c>
      <c r="N36" s="38" t="str">
        <f t="shared" si="15"/>
        <v/>
      </c>
      <c r="O36" s="49"/>
      <c r="Q36" s="179"/>
      <c r="R36" s="177"/>
      <c r="S36" s="177"/>
      <c r="T36" s="177"/>
      <c r="U36" s="177"/>
      <c r="V36" s="177"/>
      <c r="W36" s="177"/>
      <c r="X36" s="177"/>
      <c r="Y36" s="177"/>
    </row>
    <row r="37" spans="2:25" ht="15" customHeight="1">
      <c r="B37" s="48"/>
      <c r="C37" s="37" t="str">
        <f t="shared" si="0"/>
        <v/>
      </c>
      <c r="D37" s="27"/>
      <c r="E37" s="3" t="str">
        <f t="shared" si="1"/>
        <v/>
      </c>
      <c r="F37" s="27">
        <f t="shared" si="9"/>
        <v>0</v>
      </c>
      <c r="G37" s="1"/>
      <c r="H37" s="166" t="str">
        <f t="shared" si="10"/>
        <v/>
      </c>
      <c r="I37" s="166" t="str">
        <f t="shared" si="11"/>
        <v/>
      </c>
      <c r="J37" s="4">
        <f t="shared" si="12"/>
        <v>0</v>
      </c>
      <c r="K37" s="7" t="str">
        <f t="shared" si="13"/>
        <v/>
      </c>
      <c r="L37" s="4" t="str">
        <f t="shared" si="6"/>
        <v/>
      </c>
      <c r="M37" s="63" t="str">
        <f t="shared" si="14"/>
        <v/>
      </c>
      <c r="N37" s="38" t="str">
        <f t="shared" si="15"/>
        <v/>
      </c>
      <c r="O37" s="49"/>
      <c r="Q37" s="179"/>
      <c r="R37" s="177"/>
      <c r="S37" s="177"/>
      <c r="T37" s="177"/>
      <c r="U37" s="177"/>
      <c r="V37" s="177"/>
      <c r="W37" s="177"/>
      <c r="X37" s="177"/>
      <c r="Y37" s="177"/>
    </row>
    <row r="38" spans="2:25" ht="15" customHeight="1">
      <c r="B38" s="48"/>
      <c r="C38" s="37" t="str">
        <f t="shared" si="0"/>
        <v/>
      </c>
      <c r="D38" s="27"/>
      <c r="E38" s="3" t="str">
        <f t="shared" si="1"/>
        <v/>
      </c>
      <c r="F38" s="27">
        <f t="shared" si="9"/>
        <v>0</v>
      </c>
      <c r="G38" s="1"/>
      <c r="H38" s="166" t="str">
        <f t="shared" si="10"/>
        <v/>
      </c>
      <c r="I38" s="166" t="str">
        <f t="shared" si="11"/>
        <v/>
      </c>
      <c r="J38" s="4">
        <f t="shared" si="12"/>
        <v>0</v>
      </c>
      <c r="K38" s="7" t="str">
        <f t="shared" si="13"/>
        <v/>
      </c>
      <c r="L38" s="4" t="str">
        <f t="shared" si="6"/>
        <v/>
      </c>
      <c r="M38" s="63" t="str">
        <f t="shared" si="14"/>
        <v/>
      </c>
      <c r="N38" s="38" t="str">
        <f t="shared" si="15"/>
        <v/>
      </c>
      <c r="O38" s="49"/>
      <c r="Q38" s="159"/>
    </row>
    <row r="39" spans="2:25" ht="15" customHeight="1">
      <c r="B39" s="48"/>
      <c r="C39" s="37" t="str">
        <f t="shared" si="0"/>
        <v/>
      </c>
      <c r="D39" s="27"/>
      <c r="E39" s="3" t="str">
        <f t="shared" si="1"/>
        <v/>
      </c>
      <c r="F39" s="27">
        <f t="shared" si="9"/>
        <v>0</v>
      </c>
      <c r="G39" s="1"/>
      <c r="H39" s="166" t="str">
        <f t="shared" si="10"/>
        <v/>
      </c>
      <c r="I39" s="166" t="str">
        <f t="shared" si="11"/>
        <v/>
      </c>
      <c r="J39" s="4">
        <f t="shared" si="12"/>
        <v>0</v>
      </c>
      <c r="K39" s="7" t="str">
        <f t="shared" si="13"/>
        <v/>
      </c>
      <c r="L39" s="4" t="str">
        <f t="shared" si="6"/>
        <v/>
      </c>
      <c r="M39" s="63" t="str">
        <f t="shared" si="14"/>
        <v/>
      </c>
      <c r="N39" s="38" t="str">
        <f t="shared" si="15"/>
        <v/>
      </c>
      <c r="O39" s="49"/>
      <c r="Q39" s="159"/>
    </row>
    <row r="40" spans="2:25" ht="15" customHeight="1">
      <c r="B40" s="48"/>
      <c r="C40" s="37" t="str">
        <f t="shared" ref="C40:C71" si="16">epoca</f>
        <v/>
      </c>
      <c r="D40" s="27"/>
      <c r="E40" s="3" t="str">
        <f t="shared" ref="E40:E71" si="17">IF(OR(C40="",D40="",D40=0),"",divisor)</f>
        <v/>
      </c>
      <c r="F40" s="27">
        <f t="shared" si="9"/>
        <v>0</v>
      </c>
      <c r="G40" s="1"/>
      <c r="H40" s="166" t="str">
        <f t="shared" ref="H40:H71" si="18">IF(C40="","",Dias_Úteis)</f>
        <v/>
      </c>
      <c r="I40" s="166" t="str">
        <f t="shared" ref="I40:I71" si="19">IF(C40="","",Repousos)</f>
        <v/>
      </c>
      <c r="J40" s="4">
        <f t="shared" si="12"/>
        <v>0</v>
      </c>
      <c r="K40" s="7" t="str">
        <f t="shared" ref="K40:K71" si="20">IF(C40="","",J40*F40*(adicional_he/1+1))</f>
        <v/>
      </c>
      <c r="L40" s="4" t="str">
        <f t="shared" ref="L40:L71" si="21">IF(C40="","",G40*F40*(adicional_he/1+1))</f>
        <v/>
      </c>
      <c r="M40" s="63" t="str">
        <f t="shared" si="14"/>
        <v/>
      </c>
      <c r="N40" s="38" t="str">
        <f t="shared" si="15"/>
        <v/>
      </c>
      <c r="O40" s="49"/>
      <c r="Q40" s="159"/>
    </row>
    <row r="41" spans="2:25" ht="15" customHeight="1">
      <c r="B41" s="48"/>
      <c r="C41" s="37" t="str">
        <f t="shared" si="16"/>
        <v/>
      </c>
      <c r="D41" s="27"/>
      <c r="E41" s="3" t="str">
        <f t="shared" si="17"/>
        <v/>
      </c>
      <c r="F41" s="27">
        <f t="shared" si="9"/>
        <v>0</v>
      </c>
      <c r="G41" s="1"/>
      <c r="H41" s="166" t="str">
        <f t="shared" si="18"/>
        <v/>
      </c>
      <c r="I41" s="166" t="str">
        <f t="shared" si="19"/>
        <v/>
      </c>
      <c r="J41" s="4">
        <f t="shared" si="12"/>
        <v>0</v>
      </c>
      <c r="K41" s="7" t="str">
        <f t="shared" si="20"/>
        <v/>
      </c>
      <c r="L41" s="4" t="str">
        <f t="shared" si="21"/>
        <v/>
      </c>
      <c r="M41" s="63" t="str">
        <f t="shared" si="14"/>
        <v/>
      </c>
      <c r="N41" s="38" t="str">
        <f t="shared" si="15"/>
        <v/>
      </c>
      <c r="O41" s="49"/>
      <c r="Q41" s="159"/>
    </row>
    <row r="42" spans="2:25" ht="15" customHeight="1">
      <c r="B42" s="48"/>
      <c r="C42" s="37" t="str">
        <f t="shared" si="16"/>
        <v/>
      </c>
      <c r="D42" s="27"/>
      <c r="E42" s="3" t="str">
        <f t="shared" si="17"/>
        <v/>
      </c>
      <c r="F42" s="27">
        <f t="shared" si="9"/>
        <v>0</v>
      </c>
      <c r="G42" s="1"/>
      <c r="H42" s="166" t="str">
        <f t="shared" si="18"/>
        <v/>
      </c>
      <c r="I42" s="166" t="str">
        <f t="shared" si="19"/>
        <v/>
      </c>
      <c r="J42" s="4">
        <f t="shared" si="12"/>
        <v>0</v>
      </c>
      <c r="K42" s="7" t="str">
        <f t="shared" si="20"/>
        <v/>
      </c>
      <c r="L42" s="4" t="str">
        <f t="shared" si="21"/>
        <v/>
      </c>
      <c r="M42" s="63" t="str">
        <f t="shared" si="14"/>
        <v/>
      </c>
      <c r="N42" s="38" t="str">
        <f t="shared" si="15"/>
        <v/>
      </c>
      <c r="O42" s="49"/>
      <c r="Q42" s="159"/>
    </row>
    <row r="43" spans="2:25" ht="15" customHeight="1">
      <c r="B43" s="48"/>
      <c r="C43" s="37" t="str">
        <f t="shared" si="16"/>
        <v/>
      </c>
      <c r="D43" s="27"/>
      <c r="E43" s="3" t="str">
        <f t="shared" si="17"/>
        <v/>
      </c>
      <c r="F43" s="27">
        <f t="shared" si="9"/>
        <v>0</v>
      </c>
      <c r="G43" s="1"/>
      <c r="H43" s="166" t="str">
        <f t="shared" si="18"/>
        <v/>
      </c>
      <c r="I43" s="166" t="str">
        <f t="shared" si="19"/>
        <v/>
      </c>
      <c r="J43" s="4">
        <f t="shared" si="12"/>
        <v>0</v>
      </c>
      <c r="K43" s="7" t="str">
        <f t="shared" si="20"/>
        <v/>
      </c>
      <c r="L43" s="4" t="str">
        <f t="shared" si="21"/>
        <v/>
      </c>
      <c r="M43" s="63" t="str">
        <f t="shared" si="14"/>
        <v/>
      </c>
      <c r="N43" s="38" t="str">
        <f t="shared" si="15"/>
        <v/>
      </c>
      <c r="O43" s="49"/>
      <c r="Q43" s="159"/>
    </row>
    <row r="44" spans="2:25" ht="15" customHeight="1">
      <c r="B44" s="48"/>
      <c r="C44" s="37" t="str">
        <f t="shared" si="16"/>
        <v/>
      </c>
      <c r="D44" s="27"/>
      <c r="E44" s="3" t="str">
        <f t="shared" si="17"/>
        <v/>
      </c>
      <c r="F44" s="27">
        <f t="shared" si="9"/>
        <v>0</v>
      </c>
      <c r="G44" s="1"/>
      <c r="H44" s="166" t="str">
        <f t="shared" si="18"/>
        <v/>
      </c>
      <c r="I44" s="166" t="str">
        <f t="shared" si="19"/>
        <v/>
      </c>
      <c r="J44" s="4">
        <f t="shared" si="12"/>
        <v>0</v>
      </c>
      <c r="K44" s="7" t="str">
        <f t="shared" si="20"/>
        <v/>
      </c>
      <c r="L44" s="4" t="str">
        <f t="shared" si="21"/>
        <v/>
      </c>
      <c r="M44" s="63" t="str">
        <f t="shared" si="14"/>
        <v/>
      </c>
      <c r="N44" s="38" t="str">
        <f t="shared" si="15"/>
        <v/>
      </c>
      <c r="O44" s="49"/>
      <c r="Q44" s="159"/>
    </row>
    <row r="45" spans="2:25" ht="15" customHeight="1">
      <c r="B45" s="48"/>
      <c r="C45" s="37" t="str">
        <f t="shared" si="16"/>
        <v/>
      </c>
      <c r="D45" s="27"/>
      <c r="E45" s="3" t="str">
        <f t="shared" si="17"/>
        <v/>
      </c>
      <c r="F45" s="27">
        <f t="shared" si="9"/>
        <v>0</v>
      </c>
      <c r="G45" s="1"/>
      <c r="H45" s="166" t="str">
        <f t="shared" si="18"/>
        <v/>
      </c>
      <c r="I45" s="166" t="str">
        <f t="shared" si="19"/>
        <v/>
      </c>
      <c r="J45" s="4">
        <f t="shared" si="12"/>
        <v>0</v>
      </c>
      <c r="K45" s="7" t="str">
        <f t="shared" si="20"/>
        <v/>
      </c>
      <c r="L45" s="4" t="str">
        <f t="shared" si="21"/>
        <v/>
      </c>
      <c r="M45" s="63" t="str">
        <f t="shared" si="14"/>
        <v/>
      </c>
      <c r="N45" s="38" t="str">
        <f t="shared" si="15"/>
        <v/>
      </c>
      <c r="O45" s="49"/>
      <c r="Q45" s="159"/>
    </row>
    <row r="46" spans="2:25" ht="15" customHeight="1">
      <c r="B46" s="48"/>
      <c r="C46" s="37" t="str">
        <f t="shared" si="16"/>
        <v/>
      </c>
      <c r="D46" s="27"/>
      <c r="E46" s="3" t="str">
        <f t="shared" si="17"/>
        <v/>
      </c>
      <c r="F46" s="27">
        <f t="shared" si="9"/>
        <v>0</v>
      </c>
      <c r="G46" s="1"/>
      <c r="H46" s="166" t="str">
        <f t="shared" si="18"/>
        <v/>
      </c>
      <c r="I46" s="166" t="str">
        <f t="shared" si="19"/>
        <v/>
      </c>
      <c r="J46" s="4">
        <f t="shared" si="12"/>
        <v>0</v>
      </c>
      <c r="K46" s="7" t="str">
        <f t="shared" si="20"/>
        <v/>
      </c>
      <c r="L46" s="4" t="str">
        <f t="shared" si="21"/>
        <v/>
      </c>
      <c r="M46" s="63" t="str">
        <f t="shared" si="14"/>
        <v/>
      </c>
      <c r="N46" s="38" t="str">
        <f t="shared" si="15"/>
        <v/>
      </c>
      <c r="O46" s="49"/>
      <c r="Q46" s="159"/>
    </row>
    <row r="47" spans="2:25" ht="15" customHeight="1">
      <c r="B47" s="48"/>
      <c r="C47" s="37" t="str">
        <f t="shared" si="16"/>
        <v/>
      </c>
      <c r="D47" s="27"/>
      <c r="E47" s="3" t="str">
        <f t="shared" si="17"/>
        <v/>
      </c>
      <c r="F47" s="27">
        <f t="shared" si="9"/>
        <v>0</v>
      </c>
      <c r="G47" s="1"/>
      <c r="H47" s="166" t="str">
        <f t="shared" si="18"/>
        <v/>
      </c>
      <c r="I47" s="166" t="str">
        <f t="shared" si="19"/>
        <v/>
      </c>
      <c r="J47" s="4">
        <f t="shared" si="12"/>
        <v>0</v>
      </c>
      <c r="K47" s="7" t="str">
        <f t="shared" si="20"/>
        <v/>
      </c>
      <c r="L47" s="4" t="str">
        <f t="shared" si="21"/>
        <v/>
      </c>
      <c r="M47" s="63" t="str">
        <f t="shared" si="14"/>
        <v/>
      </c>
      <c r="N47" s="38" t="str">
        <f t="shared" si="15"/>
        <v/>
      </c>
      <c r="O47" s="49"/>
      <c r="Q47" s="159"/>
    </row>
    <row r="48" spans="2:25" ht="15" customHeight="1">
      <c r="B48" s="48"/>
      <c r="C48" s="37" t="str">
        <f t="shared" si="16"/>
        <v/>
      </c>
      <c r="D48" s="27"/>
      <c r="E48" s="3" t="str">
        <f t="shared" si="17"/>
        <v/>
      </c>
      <c r="F48" s="27">
        <f t="shared" si="9"/>
        <v>0</v>
      </c>
      <c r="G48" s="1"/>
      <c r="H48" s="166" t="str">
        <f t="shared" si="18"/>
        <v/>
      </c>
      <c r="I48" s="166" t="str">
        <f t="shared" si="19"/>
        <v/>
      </c>
      <c r="J48" s="4">
        <f t="shared" si="12"/>
        <v>0</v>
      </c>
      <c r="K48" s="7" t="str">
        <f t="shared" si="20"/>
        <v/>
      </c>
      <c r="L48" s="4" t="str">
        <f t="shared" si="21"/>
        <v/>
      </c>
      <c r="M48" s="63" t="str">
        <f t="shared" si="14"/>
        <v/>
      </c>
      <c r="N48" s="38" t="str">
        <f t="shared" si="15"/>
        <v/>
      </c>
      <c r="O48" s="49"/>
      <c r="Q48" s="159"/>
    </row>
    <row r="49" spans="2:17" ht="15" customHeight="1">
      <c r="B49" s="48"/>
      <c r="C49" s="37" t="str">
        <f t="shared" si="16"/>
        <v/>
      </c>
      <c r="D49" s="27"/>
      <c r="E49" s="3" t="str">
        <f t="shared" si="17"/>
        <v/>
      </c>
      <c r="F49" s="27">
        <f t="shared" si="9"/>
        <v>0</v>
      </c>
      <c r="G49" s="1"/>
      <c r="H49" s="166" t="str">
        <f t="shared" si="18"/>
        <v/>
      </c>
      <c r="I49" s="166" t="str">
        <f t="shared" si="19"/>
        <v/>
      </c>
      <c r="J49" s="4">
        <f t="shared" si="12"/>
        <v>0</v>
      </c>
      <c r="K49" s="7" t="str">
        <f t="shared" si="20"/>
        <v/>
      </c>
      <c r="L49" s="4" t="str">
        <f t="shared" si="21"/>
        <v/>
      </c>
      <c r="M49" s="63" t="str">
        <f t="shared" si="14"/>
        <v/>
      </c>
      <c r="N49" s="38" t="str">
        <f t="shared" si="15"/>
        <v/>
      </c>
      <c r="O49" s="49"/>
      <c r="Q49" s="159"/>
    </row>
    <row r="50" spans="2:17" ht="15" customHeight="1">
      <c r="B50" s="48"/>
      <c r="C50" s="37" t="str">
        <f t="shared" si="16"/>
        <v/>
      </c>
      <c r="D50" s="27"/>
      <c r="E50" s="3" t="str">
        <f t="shared" si="17"/>
        <v/>
      </c>
      <c r="F50" s="27">
        <f t="shared" si="9"/>
        <v>0</v>
      </c>
      <c r="G50" s="1"/>
      <c r="H50" s="166" t="str">
        <f t="shared" si="18"/>
        <v/>
      </c>
      <c r="I50" s="166" t="str">
        <f t="shared" si="19"/>
        <v/>
      </c>
      <c r="J50" s="4">
        <f t="shared" si="12"/>
        <v>0</v>
      </c>
      <c r="K50" s="7" t="str">
        <f t="shared" si="20"/>
        <v/>
      </c>
      <c r="L50" s="4" t="str">
        <f t="shared" si="21"/>
        <v/>
      </c>
      <c r="M50" s="63" t="str">
        <f t="shared" si="14"/>
        <v/>
      </c>
      <c r="N50" s="38" t="str">
        <f t="shared" si="15"/>
        <v/>
      </c>
      <c r="O50" s="49"/>
      <c r="Q50" s="159"/>
    </row>
    <row r="51" spans="2:17" ht="15" customHeight="1">
      <c r="B51" s="48"/>
      <c r="C51" s="37" t="str">
        <f t="shared" si="16"/>
        <v/>
      </c>
      <c r="D51" s="27"/>
      <c r="E51" s="3" t="str">
        <f t="shared" si="17"/>
        <v/>
      </c>
      <c r="F51" s="27">
        <f t="shared" si="9"/>
        <v>0</v>
      </c>
      <c r="G51" s="1"/>
      <c r="H51" s="166" t="str">
        <f t="shared" si="18"/>
        <v/>
      </c>
      <c r="I51" s="166" t="str">
        <f t="shared" si="19"/>
        <v/>
      </c>
      <c r="J51" s="4">
        <f t="shared" si="12"/>
        <v>0</v>
      </c>
      <c r="K51" s="7" t="str">
        <f t="shared" si="20"/>
        <v/>
      </c>
      <c r="L51" s="4" t="str">
        <f t="shared" si="21"/>
        <v/>
      </c>
      <c r="M51" s="63" t="str">
        <f t="shared" si="14"/>
        <v/>
      </c>
      <c r="N51" s="38" t="str">
        <f t="shared" si="15"/>
        <v/>
      </c>
      <c r="O51" s="49"/>
      <c r="Q51" s="159"/>
    </row>
    <row r="52" spans="2:17" ht="15" customHeight="1">
      <c r="B52" s="48"/>
      <c r="C52" s="37" t="str">
        <f t="shared" si="16"/>
        <v/>
      </c>
      <c r="D52" s="27"/>
      <c r="E52" s="3" t="str">
        <f t="shared" si="17"/>
        <v/>
      </c>
      <c r="F52" s="27">
        <f t="shared" si="9"/>
        <v>0</v>
      </c>
      <c r="G52" s="1"/>
      <c r="H52" s="166" t="str">
        <f t="shared" si="18"/>
        <v/>
      </c>
      <c r="I52" s="166" t="str">
        <f t="shared" si="19"/>
        <v/>
      </c>
      <c r="J52" s="4">
        <f t="shared" si="12"/>
        <v>0</v>
      </c>
      <c r="K52" s="7" t="str">
        <f t="shared" si="20"/>
        <v/>
      </c>
      <c r="L52" s="4" t="str">
        <f t="shared" si="21"/>
        <v/>
      </c>
      <c r="M52" s="63" t="str">
        <f t="shared" si="14"/>
        <v/>
      </c>
      <c r="N52" s="38" t="str">
        <f t="shared" si="15"/>
        <v/>
      </c>
      <c r="O52" s="49"/>
      <c r="Q52" s="159"/>
    </row>
    <row r="53" spans="2:17" ht="15" customHeight="1">
      <c r="B53" s="48"/>
      <c r="C53" s="37" t="str">
        <f t="shared" si="16"/>
        <v/>
      </c>
      <c r="D53" s="27"/>
      <c r="E53" s="3" t="str">
        <f t="shared" si="17"/>
        <v/>
      </c>
      <c r="F53" s="27">
        <f t="shared" si="9"/>
        <v>0</v>
      </c>
      <c r="G53" s="1"/>
      <c r="H53" s="166" t="str">
        <f t="shared" si="18"/>
        <v/>
      </c>
      <c r="I53" s="166" t="str">
        <f t="shared" si="19"/>
        <v/>
      </c>
      <c r="J53" s="4">
        <f t="shared" si="12"/>
        <v>0</v>
      </c>
      <c r="K53" s="7" t="str">
        <f t="shared" si="20"/>
        <v/>
      </c>
      <c r="L53" s="4" t="str">
        <f t="shared" si="21"/>
        <v/>
      </c>
      <c r="M53" s="63" t="str">
        <f t="shared" si="14"/>
        <v/>
      </c>
      <c r="N53" s="38" t="str">
        <f t="shared" si="15"/>
        <v/>
      </c>
      <c r="O53" s="49"/>
      <c r="Q53" s="159"/>
    </row>
    <row r="54" spans="2:17" ht="15" customHeight="1">
      <c r="B54" s="48"/>
      <c r="C54" s="37" t="str">
        <f t="shared" si="16"/>
        <v/>
      </c>
      <c r="D54" s="27"/>
      <c r="E54" s="3" t="str">
        <f t="shared" si="17"/>
        <v/>
      </c>
      <c r="F54" s="27">
        <f t="shared" si="9"/>
        <v>0</v>
      </c>
      <c r="G54" s="1"/>
      <c r="H54" s="166" t="str">
        <f t="shared" si="18"/>
        <v/>
      </c>
      <c r="I54" s="166" t="str">
        <f t="shared" si="19"/>
        <v/>
      </c>
      <c r="J54" s="4">
        <f t="shared" si="12"/>
        <v>0</v>
      </c>
      <c r="K54" s="7" t="str">
        <f t="shared" si="20"/>
        <v/>
      </c>
      <c r="L54" s="4" t="str">
        <f t="shared" si="21"/>
        <v/>
      </c>
      <c r="M54" s="63" t="str">
        <f t="shared" si="14"/>
        <v/>
      </c>
      <c r="N54" s="38" t="str">
        <f t="shared" si="15"/>
        <v/>
      </c>
      <c r="O54" s="49"/>
      <c r="Q54" s="159"/>
    </row>
    <row r="55" spans="2:17" ht="15" customHeight="1">
      <c r="B55" s="48"/>
      <c r="C55" s="37" t="str">
        <f t="shared" si="16"/>
        <v/>
      </c>
      <c r="D55" s="27"/>
      <c r="E55" s="3" t="str">
        <f t="shared" si="17"/>
        <v/>
      </c>
      <c r="F55" s="27">
        <f t="shared" si="9"/>
        <v>0</v>
      </c>
      <c r="G55" s="1"/>
      <c r="H55" s="166" t="str">
        <f t="shared" si="18"/>
        <v/>
      </c>
      <c r="I55" s="166" t="str">
        <f t="shared" si="19"/>
        <v/>
      </c>
      <c r="J55" s="4">
        <f t="shared" si="12"/>
        <v>0</v>
      </c>
      <c r="K55" s="7" t="str">
        <f t="shared" si="20"/>
        <v/>
      </c>
      <c r="L55" s="4" t="str">
        <f t="shared" si="21"/>
        <v/>
      </c>
      <c r="M55" s="63" t="str">
        <f t="shared" si="14"/>
        <v/>
      </c>
      <c r="N55" s="38" t="str">
        <f t="shared" si="15"/>
        <v/>
      </c>
      <c r="O55" s="49"/>
      <c r="Q55" s="159"/>
    </row>
    <row r="56" spans="2:17" ht="15" customHeight="1">
      <c r="B56" s="48"/>
      <c r="C56" s="37" t="str">
        <f t="shared" si="16"/>
        <v/>
      </c>
      <c r="D56" s="27"/>
      <c r="E56" s="3" t="str">
        <f t="shared" si="17"/>
        <v/>
      </c>
      <c r="F56" s="27">
        <f t="shared" si="9"/>
        <v>0</v>
      </c>
      <c r="G56" s="1"/>
      <c r="H56" s="166" t="str">
        <f t="shared" si="18"/>
        <v/>
      </c>
      <c r="I56" s="166" t="str">
        <f t="shared" si="19"/>
        <v/>
      </c>
      <c r="J56" s="4">
        <f t="shared" si="12"/>
        <v>0</v>
      </c>
      <c r="K56" s="7" t="str">
        <f t="shared" si="20"/>
        <v/>
      </c>
      <c r="L56" s="4" t="str">
        <f t="shared" si="21"/>
        <v/>
      </c>
      <c r="M56" s="63" t="str">
        <f t="shared" si="14"/>
        <v/>
      </c>
      <c r="N56" s="38" t="str">
        <f t="shared" si="15"/>
        <v/>
      </c>
      <c r="O56" s="49"/>
      <c r="Q56" s="159"/>
    </row>
    <row r="57" spans="2:17" ht="15" customHeight="1">
      <c r="B57" s="48"/>
      <c r="C57" s="37" t="str">
        <f t="shared" si="16"/>
        <v/>
      </c>
      <c r="D57" s="27"/>
      <c r="E57" s="3" t="str">
        <f t="shared" si="17"/>
        <v/>
      </c>
      <c r="F57" s="27">
        <f t="shared" si="9"/>
        <v>0</v>
      </c>
      <c r="G57" s="1"/>
      <c r="H57" s="166" t="str">
        <f t="shared" si="18"/>
        <v/>
      </c>
      <c r="I57" s="166" t="str">
        <f t="shared" si="19"/>
        <v/>
      </c>
      <c r="J57" s="4">
        <f t="shared" si="12"/>
        <v>0</v>
      </c>
      <c r="K57" s="7" t="str">
        <f t="shared" si="20"/>
        <v/>
      </c>
      <c r="L57" s="4" t="str">
        <f t="shared" si="21"/>
        <v/>
      </c>
      <c r="M57" s="63" t="str">
        <f t="shared" si="14"/>
        <v/>
      </c>
      <c r="N57" s="38" t="str">
        <f t="shared" si="15"/>
        <v/>
      </c>
      <c r="O57" s="49"/>
      <c r="Q57" s="159"/>
    </row>
    <row r="58" spans="2:17" ht="15" customHeight="1">
      <c r="B58" s="48"/>
      <c r="C58" s="37" t="str">
        <f t="shared" si="16"/>
        <v/>
      </c>
      <c r="D58" s="27"/>
      <c r="E58" s="3" t="str">
        <f t="shared" si="17"/>
        <v/>
      </c>
      <c r="F58" s="27">
        <f t="shared" si="9"/>
        <v>0</v>
      </c>
      <c r="G58" s="1"/>
      <c r="H58" s="166" t="str">
        <f t="shared" si="18"/>
        <v/>
      </c>
      <c r="I58" s="166" t="str">
        <f t="shared" si="19"/>
        <v/>
      </c>
      <c r="J58" s="4">
        <f t="shared" si="12"/>
        <v>0</v>
      </c>
      <c r="K58" s="7" t="str">
        <f t="shared" si="20"/>
        <v/>
      </c>
      <c r="L58" s="4" t="str">
        <f t="shared" si="21"/>
        <v/>
      </c>
      <c r="M58" s="63" t="str">
        <f t="shared" si="14"/>
        <v/>
      </c>
      <c r="N58" s="38" t="str">
        <f t="shared" si="15"/>
        <v/>
      </c>
      <c r="O58" s="49"/>
      <c r="Q58" s="159"/>
    </row>
    <row r="59" spans="2:17" ht="15" customHeight="1">
      <c r="B59" s="48"/>
      <c r="C59" s="37" t="str">
        <f t="shared" si="16"/>
        <v/>
      </c>
      <c r="D59" s="27"/>
      <c r="E59" s="3" t="str">
        <f t="shared" si="17"/>
        <v/>
      </c>
      <c r="F59" s="27">
        <f t="shared" si="9"/>
        <v>0</v>
      </c>
      <c r="G59" s="1"/>
      <c r="H59" s="166" t="str">
        <f t="shared" si="18"/>
        <v/>
      </c>
      <c r="I59" s="166" t="str">
        <f t="shared" si="19"/>
        <v/>
      </c>
      <c r="J59" s="4">
        <f t="shared" si="12"/>
        <v>0</v>
      </c>
      <c r="K59" s="7" t="str">
        <f t="shared" si="20"/>
        <v/>
      </c>
      <c r="L59" s="4" t="str">
        <f t="shared" si="21"/>
        <v/>
      </c>
      <c r="M59" s="63" t="str">
        <f t="shared" si="14"/>
        <v/>
      </c>
      <c r="N59" s="38" t="str">
        <f t="shared" si="15"/>
        <v/>
      </c>
      <c r="O59" s="49"/>
      <c r="Q59" s="159"/>
    </row>
    <row r="60" spans="2:17" ht="15" customHeight="1">
      <c r="B60" s="48"/>
      <c r="C60" s="37" t="str">
        <f t="shared" si="16"/>
        <v/>
      </c>
      <c r="D60" s="27"/>
      <c r="E60" s="3" t="str">
        <f t="shared" si="17"/>
        <v/>
      </c>
      <c r="F60" s="27">
        <f t="shared" si="9"/>
        <v>0</v>
      </c>
      <c r="G60" s="1"/>
      <c r="H60" s="166" t="str">
        <f t="shared" si="18"/>
        <v/>
      </c>
      <c r="I60" s="166" t="str">
        <f t="shared" si="19"/>
        <v/>
      </c>
      <c r="J60" s="4">
        <f t="shared" si="12"/>
        <v>0</v>
      </c>
      <c r="K60" s="7" t="str">
        <f t="shared" si="20"/>
        <v/>
      </c>
      <c r="L60" s="4" t="str">
        <f t="shared" si="21"/>
        <v/>
      </c>
      <c r="M60" s="63" t="str">
        <f t="shared" si="14"/>
        <v/>
      </c>
      <c r="N60" s="38" t="str">
        <f t="shared" si="15"/>
        <v/>
      </c>
      <c r="O60" s="49"/>
      <c r="Q60" s="159"/>
    </row>
    <row r="61" spans="2:17" ht="15" customHeight="1">
      <c r="B61" s="48"/>
      <c r="C61" s="37" t="str">
        <f t="shared" si="16"/>
        <v/>
      </c>
      <c r="D61" s="27"/>
      <c r="E61" s="3" t="str">
        <f t="shared" si="17"/>
        <v/>
      </c>
      <c r="F61" s="27">
        <f t="shared" si="9"/>
        <v>0</v>
      </c>
      <c r="G61" s="1"/>
      <c r="H61" s="166" t="str">
        <f t="shared" si="18"/>
        <v/>
      </c>
      <c r="I61" s="166" t="str">
        <f t="shared" si="19"/>
        <v/>
      </c>
      <c r="J61" s="4">
        <f t="shared" si="12"/>
        <v>0</v>
      </c>
      <c r="K61" s="7" t="str">
        <f t="shared" si="20"/>
        <v/>
      </c>
      <c r="L61" s="4" t="str">
        <f t="shared" si="21"/>
        <v/>
      </c>
      <c r="M61" s="63" t="str">
        <f t="shared" si="14"/>
        <v/>
      </c>
      <c r="N61" s="38" t="str">
        <f t="shared" si="15"/>
        <v/>
      </c>
      <c r="O61" s="49"/>
      <c r="Q61" s="159"/>
    </row>
    <row r="62" spans="2:17" ht="15" customHeight="1">
      <c r="B62" s="48"/>
      <c r="C62" s="37" t="str">
        <f t="shared" si="16"/>
        <v/>
      </c>
      <c r="D62" s="27"/>
      <c r="E62" s="3" t="str">
        <f t="shared" si="17"/>
        <v/>
      </c>
      <c r="F62" s="27">
        <f t="shared" si="9"/>
        <v>0</v>
      </c>
      <c r="G62" s="1"/>
      <c r="H62" s="166" t="str">
        <f t="shared" si="18"/>
        <v/>
      </c>
      <c r="I62" s="166" t="str">
        <f t="shared" si="19"/>
        <v/>
      </c>
      <c r="J62" s="4">
        <f t="shared" si="12"/>
        <v>0</v>
      </c>
      <c r="K62" s="7" t="str">
        <f t="shared" si="20"/>
        <v/>
      </c>
      <c r="L62" s="4" t="str">
        <f t="shared" si="21"/>
        <v/>
      </c>
      <c r="M62" s="63" t="str">
        <f t="shared" si="14"/>
        <v/>
      </c>
      <c r="N62" s="38" t="str">
        <f t="shared" si="15"/>
        <v/>
      </c>
      <c r="O62" s="49"/>
      <c r="Q62" s="159"/>
    </row>
    <row r="63" spans="2:17" ht="15" customHeight="1">
      <c r="B63" s="48"/>
      <c r="C63" s="37" t="str">
        <f t="shared" si="16"/>
        <v/>
      </c>
      <c r="D63" s="27"/>
      <c r="E63" s="3" t="str">
        <f t="shared" si="17"/>
        <v/>
      </c>
      <c r="F63" s="27">
        <f t="shared" si="9"/>
        <v>0</v>
      </c>
      <c r="G63" s="1"/>
      <c r="H63" s="166" t="str">
        <f t="shared" si="18"/>
        <v/>
      </c>
      <c r="I63" s="166" t="str">
        <f t="shared" si="19"/>
        <v/>
      </c>
      <c r="J63" s="4">
        <f t="shared" si="12"/>
        <v>0</v>
      </c>
      <c r="K63" s="7" t="str">
        <f t="shared" si="20"/>
        <v/>
      </c>
      <c r="L63" s="4" t="str">
        <f t="shared" si="21"/>
        <v/>
      </c>
      <c r="M63" s="63" t="str">
        <f t="shared" si="14"/>
        <v/>
      </c>
      <c r="N63" s="38" t="str">
        <f t="shared" si="15"/>
        <v/>
      </c>
      <c r="O63" s="49"/>
      <c r="Q63" s="159"/>
    </row>
    <row r="64" spans="2:17" ht="15" customHeight="1">
      <c r="B64" s="48"/>
      <c r="C64" s="37" t="str">
        <f t="shared" si="16"/>
        <v/>
      </c>
      <c r="D64" s="27"/>
      <c r="E64" s="3" t="str">
        <f t="shared" si="17"/>
        <v/>
      </c>
      <c r="F64" s="27">
        <f t="shared" si="9"/>
        <v>0</v>
      </c>
      <c r="G64" s="1"/>
      <c r="H64" s="166" t="str">
        <f t="shared" si="18"/>
        <v/>
      </c>
      <c r="I64" s="166" t="str">
        <f t="shared" si="19"/>
        <v/>
      </c>
      <c r="J64" s="4">
        <f t="shared" si="12"/>
        <v>0</v>
      </c>
      <c r="K64" s="7" t="str">
        <f t="shared" si="20"/>
        <v/>
      </c>
      <c r="L64" s="4" t="str">
        <f t="shared" si="21"/>
        <v/>
      </c>
      <c r="M64" s="63" t="str">
        <f t="shared" si="14"/>
        <v/>
      </c>
      <c r="N64" s="38" t="str">
        <f t="shared" si="15"/>
        <v/>
      </c>
      <c r="O64" s="49"/>
      <c r="Q64" s="159"/>
    </row>
    <row r="65" spans="2:17" ht="15" customHeight="1">
      <c r="B65" s="48"/>
      <c r="C65" s="37" t="str">
        <f t="shared" si="16"/>
        <v/>
      </c>
      <c r="D65" s="27"/>
      <c r="E65" s="3" t="str">
        <f t="shared" si="17"/>
        <v/>
      </c>
      <c r="F65" s="27">
        <f t="shared" si="9"/>
        <v>0</v>
      </c>
      <c r="G65" s="1"/>
      <c r="H65" s="166" t="str">
        <f t="shared" si="18"/>
        <v/>
      </c>
      <c r="I65" s="166" t="str">
        <f t="shared" si="19"/>
        <v/>
      </c>
      <c r="J65" s="4">
        <f t="shared" si="12"/>
        <v>0</v>
      </c>
      <c r="K65" s="7" t="str">
        <f t="shared" si="20"/>
        <v/>
      </c>
      <c r="L65" s="4" t="str">
        <f t="shared" si="21"/>
        <v/>
      </c>
      <c r="M65" s="63" t="str">
        <f t="shared" si="14"/>
        <v/>
      </c>
      <c r="N65" s="38" t="str">
        <f t="shared" si="15"/>
        <v/>
      </c>
      <c r="O65" s="49"/>
      <c r="Q65" s="159"/>
    </row>
    <row r="66" spans="2:17" ht="15" customHeight="1">
      <c r="B66" s="48"/>
      <c r="C66" s="37" t="str">
        <f t="shared" si="16"/>
        <v/>
      </c>
      <c r="D66" s="27"/>
      <c r="E66" s="3" t="str">
        <f t="shared" si="17"/>
        <v/>
      </c>
      <c r="F66" s="27">
        <f t="shared" si="9"/>
        <v>0</v>
      </c>
      <c r="G66" s="1"/>
      <c r="H66" s="166" t="str">
        <f t="shared" si="18"/>
        <v/>
      </c>
      <c r="I66" s="166" t="str">
        <f t="shared" si="19"/>
        <v/>
      </c>
      <c r="J66" s="4">
        <f t="shared" si="12"/>
        <v>0</v>
      </c>
      <c r="K66" s="7" t="str">
        <f t="shared" si="20"/>
        <v/>
      </c>
      <c r="L66" s="4" t="str">
        <f t="shared" si="21"/>
        <v/>
      </c>
      <c r="M66" s="63" t="str">
        <f t="shared" si="14"/>
        <v/>
      </c>
      <c r="N66" s="38" t="str">
        <f t="shared" si="15"/>
        <v/>
      </c>
      <c r="O66" s="49"/>
      <c r="Q66" s="159"/>
    </row>
    <row r="67" spans="2:17" ht="15" customHeight="1">
      <c r="B67" s="48"/>
      <c r="C67" s="37" t="str">
        <f t="shared" si="16"/>
        <v/>
      </c>
      <c r="D67" s="27"/>
      <c r="E67" s="3" t="str">
        <f t="shared" si="17"/>
        <v/>
      </c>
      <c r="F67" s="27">
        <f t="shared" si="9"/>
        <v>0</v>
      </c>
      <c r="G67" s="1"/>
      <c r="H67" s="166" t="str">
        <f t="shared" si="18"/>
        <v/>
      </c>
      <c r="I67" s="166" t="str">
        <f t="shared" si="19"/>
        <v/>
      </c>
      <c r="J67" s="4">
        <f t="shared" si="12"/>
        <v>0</v>
      </c>
      <c r="K67" s="7" t="str">
        <f t="shared" si="20"/>
        <v/>
      </c>
      <c r="L67" s="4" t="str">
        <f t="shared" si="21"/>
        <v/>
      </c>
      <c r="M67" s="63" t="str">
        <f t="shared" si="14"/>
        <v/>
      </c>
      <c r="N67" s="38" t="str">
        <f t="shared" si="15"/>
        <v/>
      </c>
      <c r="O67" s="49"/>
      <c r="Q67" s="159"/>
    </row>
    <row r="68" spans="2:17" ht="15" customHeight="1">
      <c r="B68" s="48"/>
      <c r="C68" s="37" t="str">
        <f t="shared" si="16"/>
        <v/>
      </c>
      <c r="D68" s="27"/>
      <c r="E68" s="3" t="str">
        <f t="shared" si="17"/>
        <v/>
      </c>
      <c r="F68" s="27">
        <f t="shared" si="9"/>
        <v>0</v>
      </c>
      <c r="G68" s="1"/>
      <c r="H68" s="166" t="str">
        <f t="shared" si="18"/>
        <v/>
      </c>
      <c r="I68" s="166" t="str">
        <f t="shared" si="19"/>
        <v/>
      </c>
      <c r="J68" s="4">
        <f t="shared" si="12"/>
        <v>0</v>
      </c>
      <c r="K68" s="7" t="str">
        <f t="shared" si="20"/>
        <v/>
      </c>
      <c r="L68" s="4" t="str">
        <f t="shared" si="21"/>
        <v/>
      </c>
      <c r="M68" s="63" t="str">
        <f t="shared" si="14"/>
        <v/>
      </c>
      <c r="N68" s="38" t="str">
        <f t="shared" si="15"/>
        <v/>
      </c>
      <c r="O68" s="49"/>
      <c r="Q68" s="159"/>
    </row>
    <row r="69" spans="2:17" ht="15" customHeight="1">
      <c r="B69" s="48"/>
      <c r="C69" s="37" t="str">
        <f t="shared" si="16"/>
        <v/>
      </c>
      <c r="D69" s="71"/>
      <c r="E69" s="3" t="str">
        <f t="shared" si="17"/>
        <v/>
      </c>
      <c r="F69" s="27">
        <f t="shared" si="9"/>
        <v>0</v>
      </c>
      <c r="G69" s="1"/>
      <c r="H69" s="166" t="str">
        <f t="shared" si="18"/>
        <v/>
      </c>
      <c r="I69" s="166" t="str">
        <f t="shared" si="19"/>
        <v/>
      </c>
      <c r="J69" s="4">
        <f t="shared" si="12"/>
        <v>0</v>
      </c>
      <c r="K69" s="7" t="str">
        <f t="shared" si="20"/>
        <v/>
      </c>
      <c r="L69" s="4" t="str">
        <f t="shared" si="21"/>
        <v/>
      </c>
      <c r="M69" s="63" t="str">
        <f t="shared" si="14"/>
        <v/>
      </c>
      <c r="N69" s="38" t="str">
        <f t="shared" si="15"/>
        <v/>
      </c>
      <c r="O69" s="49"/>
      <c r="Q69" s="159"/>
    </row>
    <row r="70" spans="2:17" ht="15" customHeight="1">
      <c r="B70" s="48"/>
      <c r="C70" s="37" t="str">
        <f t="shared" si="16"/>
        <v/>
      </c>
      <c r="D70" s="71"/>
      <c r="E70" s="3" t="str">
        <f t="shared" si="17"/>
        <v/>
      </c>
      <c r="F70" s="27">
        <f t="shared" si="9"/>
        <v>0</v>
      </c>
      <c r="G70" s="1"/>
      <c r="H70" s="166" t="str">
        <f t="shared" si="18"/>
        <v/>
      </c>
      <c r="I70" s="166" t="str">
        <f t="shared" si="19"/>
        <v/>
      </c>
      <c r="J70" s="4">
        <f t="shared" si="12"/>
        <v>0</v>
      </c>
      <c r="K70" s="7" t="str">
        <f t="shared" si="20"/>
        <v/>
      </c>
      <c r="L70" s="4" t="str">
        <f t="shared" si="21"/>
        <v/>
      </c>
      <c r="M70" s="63" t="str">
        <f t="shared" si="14"/>
        <v/>
      </c>
      <c r="N70" s="38" t="str">
        <f t="shared" si="15"/>
        <v/>
      </c>
      <c r="O70" s="49"/>
      <c r="Q70" s="159"/>
    </row>
    <row r="71" spans="2:17" ht="15" customHeight="1">
      <c r="B71" s="48"/>
      <c r="C71" s="37" t="str">
        <f t="shared" si="16"/>
        <v/>
      </c>
      <c r="D71" s="71"/>
      <c r="E71" s="3" t="str">
        <f t="shared" si="17"/>
        <v/>
      </c>
      <c r="F71" s="27">
        <f t="shared" si="9"/>
        <v>0</v>
      </c>
      <c r="G71" s="1"/>
      <c r="H71" s="166" t="str">
        <f t="shared" si="18"/>
        <v/>
      </c>
      <c r="I71" s="166" t="str">
        <f t="shared" si="19"/>
        <v/>
      </c>
      <c r="J71" s="4">
        <f t="shared" si="12"/>
        <v>0</v>
      </c>
      <c r="K71" s="7" t="str">
        <f t="shared" si="20"/>
        <v/>
      </c>
      <c r="L71" s="4" t="str">
        <f t="shared" si="21"/>
        <v/>
      </c>
      <c r="M71" s="63" t="str">
        <f t="shared" si="14"/>
        <v/>
      </c>
      <c r="N71" s="38" t="str">
        <f t="shared" si="15"/>
        <v/>
      </c>
      <c r="O71" s="49"/>
      <c r="Q71" s="159"/>
    </row>
    <row r="72" spans="2:17" ht="15" customHeight="1">
      <c r="B72" s="48"/>
      <c r="C72" s="37" t="str">
        <f t="shared" ref="C72:C79" si="22">epoca</f>
        <v/>
      </c>
      <c r="D72" s="71"/>
      <c r="E72" s="3" t="str">
        <f t="shared" ref="E72:E79" si="23">IF(OR(C72="",D72="",D72=0),"",divisor)</f>
        <v/>
      </c>
      <c r="F72" s="27">
        <f t="shared" si="9"/>
        <v>0</v>
      </c>
      <c r="G72" s="1"/>
      <c r="H72" s="166" t="str">
        <f t="shared" ref="H72:H79" si="24">IF(C72="","",Dias_Úteis)</f>
        <v/>
      </c>
      <c r="I72" s="166" t="str">
        <f t="shared" ref="I72:I79" si="25">IF(C72="","",Repousos)</f>
        <v/>
      </c>
      <c r="J72" s="4">
        <f t="shared" si="12"/>
        <v>0</v>
      </c>
      <c r="K72" s="7" t="str">
        <f t="shared" ref="K72:K79" si="26">IF(C72="","",J72*F72*(adicional_he/1+1))</f>
        <v/>
      </c>
      <c r="L72" s="4" t="str">
        <f t="shared" ref="L72:L79" si="27">IF(C72="","",G72*F72*(adicional_he/1+1))</f>
        <v/>
      </c>
      <c r="M72" s="63" t="str">
        <f t="shared" si="14"/>
        <v/>
      </c>
      <c r="N72" s="38" t="str">
        <f t="shared" si="15"/>
        <v/>
      </c>
      <c r="O72" s="49"/>
      <c r="Q72" s="159"/>
    </row>
    <row r="73" spans="2:17" ht="15" customHeight="1">
      <c r="B73" s="48"/>
      <c r="C73" s="37" t="str">
        <f t="shared" si="22"/>
        <v/>
      </c>
      <c r="D73" s="71"/>
      <c r="E73" s="3" t="str">
        <f t="shared" si="23"/>
        <v/>
      </c>
      <c r="F73" s="27">
        <f t="shared" si="9"/>
        <v>0</v>
      </c>
      <c r="G73" s="1"/>
      <c r="H73" s="166" t="str">
        <f t="shared" si="24"/>
        <v/>
      </c>
      <c r="I73" s="166" t="str">
        <f t="shared" si="25"/>
        <v/>
      </c>
      <c r="J73" s="4">
        <f t="shared" ref="J73:J79" si="28">IF(OR(C73="",D73="",D73=0),0,G73/H73*I73)</f>
        <v>0</v>
      </c>
      <c r="K73" s="7" t="str">
        <f t="shared" si="26"/>
        <v/>
      </c>
      <c r="L73" s="4" t="str">
        <f t="shared" si="27"/>
        <v/>
      </c>
      <c r="M73" s="63" t="str">
        <f t="shared" si="14"/>
        <v/>
      </c>
      <c r="N73" s="38" t="str">
        <f t="shared" si="15"/>
        <v/>
      </c>
      <c r="O73" s="49"/>
      <c r="Q73" s="159"/>
    </row>
    <row r="74" spans="2:17" ht="15" customHeight="1">
      <c r="B74" s="48"/>
      <c r="C74" s="37" t="str">
        <f t="shared" si="22"/>
        <v/>
      </c>
      <c r="D74" s="71"/>
      <c r="E74" s="3" t="str">
        <f t="shared" si="23"/>
        <v/>
      </c>
      <c r="F74" s="27">
        <f t="shared" ref="F74:F79" si="29">IF(OR(C74="",D74="",D74=0),0,D74/E74)</f>
        <v>0</v>
      </c>
      <c r="G74" s="1"/>
      <c r="H74" s="166" t="str">
        <f t="shared" si="24"/>
        <v/>
      </c>
      <c r="I74" s="166" t="str">
        <f t="shared" si="25"/>
        <v/>
      </c>
      <c r="J74" s="4">
        <f t="shared" si="28"/>
        <v>0</v>
      </c>
      <c r="K74" s="7" t="str">
        <f t="shared" si="26"/>
        <v/>
      </c>
      <c r="L74" s="4" t="str">
        <f t="shared" si="27"/>
        <v/>
      </c>
      <c r="M74" s="63" t="str">
        <f t="shared" ref="M74:M79" si="30">IF(C74="","",K74+L74)</f>
        <v/>
      </c>
      <c r="N74" s="38" t="str">
        <f t="shared" ref="N74:N79" si="31">IF(C74="","",M74*8%)</f>
        <v/>
      </c>
      <c r="O74" s="49"/>
      <c r="Q74" s="159"/>
    </row>
    <row r="75" spans="2:17" ht="15" customHeight="1">
      <c r="B75" s="48"/>
      <c r="C75" s="37" t="str">
        <f t="shared" si="22"/>
        <v/>
      </c>
      <c r="D75" s="71"/>
      <c r="E75" s="3" t="str">
        <f t="shared" si="23"/>
        <v/>
      </c>
      <c r="F75" s="27">
        <f t="shared" si="29"/>
        <v>0</v>
      </c>
      <c r="G75" s="1"/>
      <c r="H75" s="166" t="str">
        <f t="shared" si="24"/>
        <v/>
      </c>
      <c r="I75" s="166" t="str">
        <f t="shared" si="25"/>
        <v/>
      </c>
      <c r="J75" s="4">
        <f t="shared" si="28"/>
        <v>0</v>
      </c>
      <c r="K75" s="7" t="str">
        <f t="shared" si="26"/>
        <v/>
      </c>
      <c r="L75" s="4" t="str">
        <f t="shared" si="27"/>
        <v/>
      </c>
      <c r="M75" s="63" t="str">
        <f t="shared" si="30"/>
        <v/>
      </c>
      <c r="N75" s="38" t="str">
        <f t="shared" si="31"/>
        <v/>
      </c>
      <c r="O75" s="49"/>
      <c r="Q75" s="159"/>
    </row>
    <row r="76" spans="2:17" ht="15" customHeight="1">
      <c r="B76" s="48"/>
      <c r="C76" s="37" t="str">
        <f t="shared" si="22"/>
        <v/>
      </c>
      <c r="D76" s="71"/>
      <c r="E76" s="3" t="str">
        <f t="shared" si="23"/>
        <v/>
      </c>
      <c r="F76" s="27">
        <f t="shared" si="29"/>
        <v>0</v>
      </c>
      <c r="G76" s="1"/>
      <c r="H76" s="166" t="str">
        <f t="shared" si="24"/>
        <v/>
      </c>
      <c r="I76" s="166" t="str">
        <f t="shared" si="25"/>
        <v/>
      </c>
      <c r="J76" s="4">
        <f t="shared" si="28"/>
        <v>0</v>
      </c>
      <c r="K76" s="7" t="str">
        <f t="shared" si="26"/>
        <v/>
      </c>
      <c r="L76" s="4" t="str">
        <f t="shared" si="27"/>
        <v/>
      </c>
      <c r="M76" s="63" t="str">
        <f t="shared" si="30"/>
        <v/>
      </c>
      <c r="N76" s="38" t="str">
        <f t="shared" si="31"/>
        <v/>
      </c>
      <c r="O76" s="49"/>
      <c r="Q76" s="159"/>
    </row>
    <row r="77" spans="2:17" ht="15" customHeight="1">
      <c r="B77" s="48"/>
      <c r="C77" s="37" t="str">
        <f t="shared" si="22"/>
        <v/>
      </c>
      <c r="D77" s="71"/>
      <c r="E77" s="3" t="str">
        <f t="shared" si="23"/>
        <v/>
      </c>
      <c r="F77" s="27">
        <f t="shared" si="29"/>
        <v>0</v>
      </c>
      <c r="G77" s="1"/>
      <c r="H77" s="166" t="str">
        <f t="shared" si="24"/>
        <v/>
      </c>
      <c r="I77" s="166" t="str">
        <f t="shared" si="25"/>
        <v/>
      </c>
      <c r="J77" s="4">
        <f t="shared" si="28"/>
        <v>0</v>
      </c>
      <c r="K77" s="7" t="str">
        <f t="shared" si="26"/>
        <v/>
      </c>
      <c r="L77" s="4" t="str">
        <f t="shared" si="27"/>
        <v/>
      </c>
      <c r="M77" s="63" t="str">
        <f t="shared" si="30"/>
        <v/>
      </c>
      <c r="N77" s="38" t="str">
        <f t="shared" si="31"/>
        <v/>
      </c>
      <c r="O77" s="49"/>
      <c r="Q77" s="159"/>
    </row>
    <row r="78" spans="2:17" ht="15" customHeight="1">
      <c r="B78" s="48"/>
      <c r="C78" s="37" t="str">
        <f t="shared" si="22"/>
        <v/>
      </c>
      <c r="D78" s="71"/>
      <c r="E78" s="3" t="str">
        <f t="shared" si="23"/>
        <v/>
      </c>
      <c r="F78" s="27">
        <f t="shared" si="29"/>
        <v>0</v>
      </c>
      <c r="G78" s="1"/>
      <c r="H78" s="166" t="str">
        <f t="shared" si="24"/>
        <v/>
      </c>
      <c r="I78" s="166" t="str">
        <f t="shared" si="25"/>
        <v/>
      </c>
      <c r="J78" s="4">
        <f t="shared" si="28"/>
        <v>0</v>
      </c>
      <c r="K78" s="7" t="str">
        <f t="shared" si="26"/>
        <v/>
      </c>
      <c r="L78" s="4" t="str">
        <f t="shared" si="27"/>
        <v/>
      </c>
      <c r="M78" s="63" t="str">
        <f t="shared" si="30"/>
        <v/>
      </c>
      <c r="N78" s="38" t="str">
        <f t="shared" si="31"/>
        <v/>
      </c>
      <c r="O78" s="49"/>
      <c r="Q78" s="159"/>
    </row>
    <row r="79" spans="2:17" ht="15" customHeight="1" thickBot="1">
      <c r="B79" s="48"/>
      <c r="C79" s="39" t="str">
        <f t="shared" si="22"/>
        <v/>
      </c>
      <c r="D79" s="72"/>
      <c r="E79" s="68" t="str">
        <f t="shared" si="23"/>
        <v/>
      </c>
      <c r="F79" s="40">
        <f t="shared" si="29"/>
        <v>0</v>
      </c>
      <c r="G79" s="41"/>
      <c r="H79" s="167" t="str">
        <f t="shared" si="24"/>
        <v/>
      </c>
      <c r="I79" s="167" t="str">
        <f t="shared" si="25"/>
        <v/>
      </c>
      <c r="J79" s="42">
        <f t="shared" si="28"/>
        <v>0</v>
      </c>
      <c r="K79" s="43" t="str">
        <f t="shared" si="26"/>
        <v/>
      </c>
      <c r="L79" s="42" t="str">
        <f t="shared" si="27"/>
        <v/>
      </c>
      <c r="M79" s="69" t="str">
        <f t="shared" si="30"/>
        <v/>
      </c>
      <c r="N79" s="44" t="str">
        <f t="shared" si="31"/>
        <v/>
      </c>
      <c r="O79" s="49"/>
      <c r="Q79" s="159"/>
    </row>
    <row r="80" spans="2:17" ht="18" customHeight="1" thickBot="1">
      <c r="B80" s="48"/>
      <c r="C80" s="28"/>
      <c r="D80" s="28"/>
      <c r="E80" s="28"/>
      <c r="F80" s="28"/>
      <c r="G80" s="29"/>
      <c r="H80" s="30"/>
      <c r="I80" s="30"/>
      <c r="J80" s="198" t="s">
        <v>145</v>
      </c>
      <c r="K80" s="199">
        <f ca="1">SUM(K8:K79)</f>
        <v>761.98539873652919</v>
      </c>
      <c r="L80" s="200">
        <f>SUM(L8:L79)</f>
        <v>3544.2000000000003</v>
      </c>
      <c r="M80" s="200">
        <f ca="1">SUM(M8:M79)</f>
        <v>4306.1853987365294</v>
      </c>
      <c r="N80" s="201">
        <f ca="1">SUM(N8:N79)</f>
        <v>344.49483189892231</v>
      </c>
      <c r="O80" s="49"/>
      <c r="Q80" s="160"/>
    </row>
    <row r="81" spans="2:18" ht="13.5" thickBot="1">
      <c r="B81" s="50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2"/>
      <c r="Q81" s="197"/>
      <c r="R81" s="196"/>
    </row>
    <row r="82" spans="2:18" ht="13.5" thickTop="1">
      <c r="Q82" s="202"/>
    </row>
    <row r="83" spans="2:18">
      <c r="Q83" s="202"/>
    </row>
    <row r="84" spans="2:18">
      <c r="Q84" s="203"/>
    </row>
    <row r="85" spans="2:18">
      <c r="Q85" s="160"/>
    </row>
    <row r="86" spans="2:18">
      <c r="Q86" s="160"/>
    </row>
    <row r="87" spans="2:18">
      <c r="Q87" s="160"/>
    </row>
    <row r="88" spans="2:18">
      <c r="Q88" s="160"/>
    </row>
    <row r="89" spans="2:18">
      <c r="Q89" s="160"/>
    </row>
    <row r="300" spans="4:5">
      <c r="D300" s="26">
        <v>0.5</v>
      </c>
      <c r="E300">
        <v>100</v>
      </c>
    </row>
    <row r="301" spans="4:5">
      <c r="D301" s="26">
        <v>0.6</v>
      </c>
      <c r="E301">
        <v>120</v>
      </c>
    </row>
    <row r="302" spans="4:5">
      <c r="D302" s="26">
        <v>0.7</v>
      </c>
      <c r="E302">
        <v>150</v>
      </c>
    </row>
    <row r="303" spans="4:5">
      <c r="D303" s="26">
        <v>0.8</v>
      </c>
      <c r="E303">
        <v>180</v>
      </c>
    </row>
    <row r="304" spans="4:5">
      <c r="D304" s="26">
        <v>0.9</v>
      </c>
      <c r="E304">
        <v>200</v>
      </c>
    </row>
    <row r="305" spans="4:5">
      <c r="D305" s="26">
        <v>1</v>
      </c>
      <c r="E305">
        <v>210</v>
      </c>
    </row>
    <row r="306" spans="4:5">
      <c r="E306">
        <v>220</v>
      </c>
    </row>
  </sheetData>
  <mergeCells count="14">
    <mergeCell ref="Q10:R10"/>
    <mergeCell ref="R3:T3"/>
    <mergeCell ref="Q6:S6"/>
    <mergeCell ref="Q5:S5"/>
    <mergeCell ref="C4:N5"/>
    <mergeCell ref="D6:F6"/>
    <mergeCell ref="C6:C7"/>
    <mergeCell ref="G6:G7"/>
    <mergeCell ref="H6:I6"/>
    <mergeCell ref="J6:J7"/>
    <mergeCell ref="K6:K7"/>
    <mergeCell ref="L6:L7"/>
    <mergeCell ref="M6:M7"/>
    <mergeCell ref="N6:N7"/>
  </mergeCells>
  <dataValidations count="2">
    <dataValidation allowBlank="1" showInputMessage="1" showErrorMessage="1" sqref="T5:T6"/>
    <dataValidation type="textLength" operator="equal" allowBlank="1" showInputMessage="1" showErrorMessage="1" sqref="E8:F79 H8:N79 C8:C79">
      <formula1>9999</formula1>
    </dataValidation>
  </dataValidations>
  <printOptions horizontalCentered="1"/>
  <pageMargins left="0.94488188976377963" right="0.27559055118110237" top="2.1259842519685042" bottom="0.70866141732283472" header="0.74803149606299213" footer="0.43307086614173229"/>
  <pageSetup paperSize="9" orientation="portrait" horizontalDpi="300" verticalDpi="300" r:id="rId1"/>
  <headerFooter alignWithMargins="0">
    <oddHeader>&amp;C&amp;F&amp;R&amp;D</oddHeader>
    <oddFooter>&amp;L&amp;F&amp;C&amp;A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B1:AA306"/>
  <sheetViews>
    <sheetView showGridLines="0" showRowColHeaders="0" workbookViewId="0">
      <pane xSplit="3" ySplit="5" topLeftCell="D6" activePane="bottomRight" state="frozen"/>
      <selection sqref="A1:I32"/>
      <selection pane="topRight" sqref="A1:I32"/>
      <selection pane="bottomLeft" sqref="A1:I32"/>
      <selection pane="bottomRight" sqref="A1:O20"/>
    </sheetView>
  </sheetViews>
  <sheetFormatPr defaultColWidth="12" defaultRowHeight="12.75"/>
  <cols>
    <col min="1" max="1" width="2.83203125" style="192" customWidth="1"/>
    <col min="2" max="2" width="1.83203125" style="192" customWidth="1"/>
    <col min="3" max="3" width="14.83203125" style="192" customWidth="1"/>
    <col min="4" max="6" width="12.83203125" style="192" customWidth="1"/>
    <col min="7" max="7" width="10.83203125" style="192" customWidth="1"/>
    <col min="8" max="9" width="12.83203125" style="192" customWidth="1"/>
    <col min="10" max="11" width="10.6640625" style="192" customWidth="1"/>
    <col min="12" max="15" width="12.83203125" style="192" customWidth="1"/>
    <col min="16" max="16" width="1.83203125" style="192" customWidth="1"/>
    <col min="17" max="17" width="6.83203125" style="192" customWidth="1"/>
    <col min="18" max="18" width="14.83203125" style="192" customWidth="1"/>
    <col min="19" max="19" width="12.5" style="192" bestFit="1" customWidth="1"/>
    <col min="20" max="16384" width="12" style="192"/>
  </cols>
  <sheetData>
    <row r="1" spans="2:27" ht="14.25" thickTop="1" thickBot="1">
      <c r="B1" s="45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7"/>
    </row>
    <row r="2" spans="2:27" ht="18" customHeight="1">
      <c r="B2" s="48"/>
      <c r="C2" s="53" t="s">
        <v>19</v>
      </c>
      <c r="D2" s="54"/>
      <c r="E2" s="54"/>
      <c r="F2" s="54"/>
      <c r="G2" s="55"/>
      <c r="H2" s="55"/>
      <c r="I2" s="55"/>
      <c r="J2" s="55"/>
      <c r="K2" s="55"/>
      <c r="L2" s="55"/>
      <c r="M2" s="55"/>
      <c r="N2" s="55"/>
      <c r="O2" s="56"/>
      <c r="P2" s="49"/>
    </row>
    <row r="3" spans="2:27" ht="18" customHeight="1" thickBot="1">
      <c r="B3" s="48"/>
      <c r="C3" s="57" t="s">
        <v>20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9"/>
      <c r="P3" s="49"/>
      <c r="R3" s="187" t="s">
        <v>129</v>
      </c>
      <c r="S3" s="211"/>
      <c r="T3" s="211"/>
      <c r="U3" s="211"/>
    </row>
    <row r="4" spans="2:27" ht="20.100000000000001" customHeight="1">
      <c r="B4" s="48"/>
      <c r="C4" s="212" t="s">
        <v>139</v>
      </c>
      <c r="D4" s="212"/>
      <c r="E4" s="212"/>
      <c r="F4" s="212"/>
      <c r="G4" s="213"/>
      <c r="H4" s="213"/>
      <c r="I4" s="213"/>
      <c r="J4" s="213"/>
      <c r="K4" s="213"/>
      <c r="L4" s="213"/>
      <c r="M4" s="213"/>
      <c r="N4" s="213"/>
      <c r="O4" s="213"/>
      <c r="P4" s="49"/>
    </row>
    <row r="5" spans="2:27" ht="20.100000000000001" customHeight="1" thickBot="1">
      <c r="B5" s="48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49"/>
      <c r="R5" s="210"/>
      <c r="S5" s="210"/>
      <c r="T5" s="210"/>
      <c r="V5" s="61"/>
    </row>
    <row r="6" spans="2:27" ht="21.95" customHeight="1">
      <c r="B6" s="48"/>
      <c r="C6" s="217" t="s">
        <v>0</v>
      </c>
      <c r="D6" s="214" t="s">
        <v>21</v>
      </c>
      <c r="E6" s="215"/>
      <c r="F6" s="216"/>
      <c r="G6" s="219" t="s">
        <v>141</v>
      </c>
      <c r="H6" s="221" t="s">
        <v>26</v>
      </c>
      <c r="I6" s="222"/>
      <c r="J6" s="223" t="s">
        <v>144</v>
      </c>
      <c r="K6" s="223" t="s">
        <v>142</v>
      </c>
      <c r="L6" s="223" t="s">
        <v>28</v>
      </c>
      <c r="M6" s="223" t="s">
        <v>143</v>
      </c>
      <c r="N6" s="223" t="s">
        <v>30</v>
      </c>
      <c r="O6" s="225" t="s">
        <v>147</v>
      </c>
      <c r="P6" s="49"/>
      <c r="R6" s="210"/>
      <c r="S6" s="210"/>
      <c r="T6" s="210"/>
    </row>
    <row r="7" spans="2:27" ht="30" customHeight="1" thickBot="1">
      <c r="B7" s="48"/>
      <c r="C7" s="218"/>
      <c r="D7" s="60" t="s">
        <v>22</v>
      </c>
      <c r="E7" s="73" t="s">
        <v>23</v>
      </c>
      <c r="F7" s="60" t="s">
        <v>24</v>
      </c>
      <c r="G7" s="220"/>
      <c r="H7" s="73" t="s">
        <v>25</v>
      </c>
      <c r="I7" s="73" t="s">
        <v>1</v>
      </c>
      <c r="J7" s="224"/>
      <c r="K7" s="227"/>
      <c r="L7" s="224"/>
      <c r="M7" s="224"/>
      <c r="N7" s="224"/>
      <c r="O7" s="226"/>
      <c r="P7" s="49"/>
    </row>
    <row r="8" spans="2:27" ht="15" customHeight="1">
      <c r="B8" s="48"/>
      <c r="C8" s="31">
        <f t="shared" ref="C8:C71" si="0">epoca</f>
        <v>42795</v>
      </c>
      <c r="D8" s="32">
        <v>1320</v>
      </c>
      <c r="E8" s="67">
        <f t="shared" ref="E8:E71" si="1">IF(OR(C8="",D8="",D8=0),"",divisor)</f>
        <v>220</v>
      </c>
      <c r="F8" s="32">
        <f>IF(OR(C8="",D8="",D8=0),0,D8/E8)</f>
        <v>6</v>
      </c>
      <c r="G8" s="33">
        <v>216</v>
      </c>
      <c r="H8" s="165">
        <f t="shared" ref="H8:H71" ca="1" si="2">IF(C8="","",Dias_Úteis)</f>
        <v>27</v>
      </c>
      <c r="I8" s="165">
        <f t="shared" ref="I8:I71" ca="1" si="3">IF(C8="","",Repousos)</f>
        <v>4</v>
      </c>
      <c r="J8" s="34">
        <f t="shared" ref="J8:J71" ca="1" si="4">IF(OR(C8="",D8="",D8=0),0,G8/H8*I8)</f>
        <v>32</v>
      </c>
      <c r="K8" s="34">
        <f t="shared" ref="K8:K39" si="5">IF(OR(C8="",D8="",C8=0),"",F8*adicionalnot)</f>
        <v>1.2000000000000002</v>
      </c>
      <c r="L8" s="35">
        <f ca="1">IF(C8="","",K8*J8)</f>
        <v>38.400000000000006</v>
      </c>
      <c r="M8" s="34">
        <f>IF(C8="","",K8*G8)</f>
        <v>259.20000000000005</v>
      </c>
      <c r="N8" s="62">
        <f t="shared" ref="N8:N71" ca="1" si="6">IF(C8="","",L8+M8)</f>
        <v>297.60000000000002</v>
      </c>
      <c r="O8" s="36">
        <f t="shared" ref="O8:O71" ca="1" si="7">IF(C8="","",N8*8%)</f>
        <v>23.808000000000003</v>
      </c>
      <c r="P8" s="49"/>
      <c r="R8" s="187"/>
    </row>
    <row r="9" spans="2:27" ht="15" customHeight="1">
      <c r="B9" s="48"/>
      <c r="C9" s="37">
        <f t="shared" si="0"/>
        <v>42826</v>
      </c>
      <c r="D9" s="27">
        <v>1320</v>
      </c>
      <c r="E9" s="3">
        <f t="shared" si="1"/>
        <v>220</v>
      </c>
      <c r="F9" s="27">
        <f>IF(OR(C9="",D9="",D9=0),0,D9/E9)</f>
        <v>6</v>
      </c>
      <c r="G9" s="1">
        <v>184</v>
      </c>
      <c r="H9" s="166">
        <f t="shared" ca="1" si="2"/>
        <v>23</v>
      </c>
      <c r="I9" s="166">
        <f t="shared" ca="1" si="3"/>
        <v>7</v>
      </c>
      <c r="J9" s="4">
        <f t="shared" ca="1" si="4"/>
        <v>56</v>
      </c>
      <c r="K9" s="4">
        <f t="shared" si="5"/>
        <v>1.2000000000000002</v>
      </c>
      <c r="L9" s="7">
        <f t="shared" ref="L9:L72" ca="1" si="8">IF(C9="","",K9*J9)</f>
        <v>67.200000000000017</v>
      </c>
      <c r="M9" s="4">
        <f t="shared" ref="M9:M72" si="9">IF(C9="","",K9*G9)</f>
        <v>220.80000000000004</v>
      </c>
      <c r="N9" s="63">
        <f t="shared" ca="1" si="6"/>
        <v>288.00000000000006</v>
      </c>
      <c r="O9" s="38">
        <f t="shared" ca="1" si="7"/>
        <v>23.040000000000006</v>
      </c>
      <c r="P9" s="49"/>
      <c r="R9" s="191"/>
    </row>
    <row r="10" spans="2:27" ht="15" customHeight="1">
      <c r="B10" s="48"/>
      <c r="C10" s="37">
        <f t="shared" si="0"/>
        <v>42856</v>
      </c>
      <c r="D10" s="27">
        <v>1320</v>
      </c>
      <c r="E10" s="3">
        <f t="shared" si="1"/>
        <v>220</v>
      </c>
      <c r="F10" s="27">
        <f t="shared" ref="F10:F73" si="10">IF(OR(C10="",D10="",D10=0),0,D10/E10)</f>
        <v>6</v>
      </c>
      <c r="G10" s="1">
        <v>208</v>
      </c>
      <c r="H10" s="166">
        <f t="shared" ca="1" si="2"/>
        <v>26</v>
      </c>
      <c r="I10" s="166">
        <f t="shared" ca="1" si="3"/>
        <v>5</v>
      </c>
      <c r="J10" s="4">
        <f t="shared" ca="1" si="4"/>
        <v>40</v>
      </c>
      <c r="K10" s="4">
        <f t="shared" si="5"/>
        <v>1.2000000000000002</v>
      </c>
      <c r="L10" s="7">
        <f t="shared" ca="1" si="8"/>
        <v>48.000000000000007</v>
      </c>
      <c r="M10" s="4">
        <f t="shared" si="9"/>
        <v>249.60000000000002</v>
      </c>
      <c r="N10" s="63">
        <f t="shared" ca="1" si="6"/>
        <v>297.60000000000002</v>
      </c>
      <c r="O10" s="38">
        <f t="shared" ca="1" si="7"/>
        <v>23.808000000000003</v>
      </c>
      <c r="P10" s="49"/>
      <c r="R10" s="210"/>
      <c r="S10" s="210"/>
      <c r="T10" s="186"/>
    </row>
    <row r="11" spans="2:27" ht="15" customHeight="1">
      <c r="B11" s="48"/>
      <c r="C11" s="37">
        <f t="shared" si="0"/>
        <v>42887</v>
      </c>
      <c r="D11" s="27">
        <v>1320</v>
      </c>
      <c r="E11" s="3">
        <f t="shared" si="1"/>
        <v>220</v>
      </c>
      <c r="F11" s="27">
        <f t="shared" si="10"/>
        <v>6</v>
      </c>
      <c r="G11" s="1">
        <v>184</v>
      </c>
      <c r="H11" s="166">
        <f t="shared" ca="1" si="2"/>
        <v>23</v>
      </c>
      <c r="I11" s="166">
        <f t="shared" ca="1" si="3"/>
        <v>7</v>
      </c>
      <c r="J11" s="4">
        <f t="shared" ca="1" si="4"/>
        <v>56</v>
      </c>
      <c r="K11" s="4">
        <f t="shared" si="5"/>
        <v>1.2000000000000002</v>
      </c>
      <c r="L11" s="7">
        <f t="shared" ca="1" si="8"/>
        <v>67.200000000000017</v>
      </c>
      <c r="M11" s="4">
        <f t="shared" si="9"/>
        <v>220.80000000000004</v>
      </c>
      <c r="N11" s="63">
        <f t="shared" ca="1" si="6"/>
        <v>288.00000000000006</v>
      </c>
      <c r="O11" s="38">
        <f t="shared" ca="1" si="7"/>
        <v>23.040000000000006</v>
      </c>
      <c r="P11" s="49"/>
    </row>
    <row r="12" spans="2:27" ht="15" customHeight="1">
      <c r="B12" s="48"/>
      <c r="C12" s="37">
        <f t="shared" si="0"/>
        <v>42917</v>
      </c>
      <c r="D12" s="27">
        <v>1320</v>
      </c>
      <c r="E12" s="3">
        <f t="shared" si="1"/>
        <v>220</v>
      </c>
      <c r="F12" s="27">
        <f t="shared" si="10"/>
        <v>6</v>
      </c>
      <c r="G12" s="1">
        <v>208</v>
      </c>
      <c r="H12" s="166">
        <f t="shared" ca="1" si="2"/>
        <v>26</v>
      </c>
      <c r="I12" s="166">
        <f t="shared" ca="1" si="3"/>
        <v>5</v>
      </c>
      <c r="J12" s="4">
        <f t="shared" ca="1" si="4"/>
        <v>40</v>
      </c>
      <c r="K12" s="4">
        <f t="shared" si="5"/>
        <v>1.2000000000000002</v>
      </c>
      <c r="L12" s="7">
        <f t="shared" ca="1" si="8"/>
        <v>48.000000000000007</v>
      </c>
      <c r="M12" s="4">
        <f t="shared" si="9"/>
        <v>249.60000000000002</v>
      </c>
      <c r="N12" s="63">
        <f t="shared" ca="1" si="6"/>
        <v>297.60000000000002</v>
      </c>
      <c r="O12" s="38">
        <f t="shared" ca="1" si="7"/>
        <v>23.808000000000003</v>
      </c>
      <c r="P12" s="49"/>
    </row>
    <row r="13" spans="2:27" ht="15" customHeight="1">
      <c r="B13" s="48"/>
      <c r="C13" s="37">
        <f t="shared" si="0"/>
        <v>42948</v>
      </c>
      <c r="D13" s="27">
        <v>1408</v>
      </c>
      <c r="E13" s="3">
        <f t="shared" si="1"/>
        <v>220</v>
      </c>
      <c r="F13" s="27">
        <f t="shared" si="10"/>
        <v>6.4</v>
      </c>
      <c r="G13" s="1">
        <v>216</v>
      </c>
      <c r="H13" s="166">
        <f t="shared" ca="1" si="2"/>
        <v>27</v>
      </c>
      <c r="I13" s="166">
        <f t="shared" ca="1" si="3"/>
        <v>4</v>
      </c>
      <c r="J13" s="4">
        <f t="shared" ca="1" si="4"/>
        <v>32</v>
      </c>
      <c r="K13" s="4">
        <f t="shared" si="5"/>
        <v>1.2800000000000002</v>
      </c>
      <c r="L13" s="7">
        <f t="shared" ca="1" si="8"/>
        <v>40.960000000000008</v>
      </c>
      <c r="M13" s="4">
        <f t="shared" si="9"/>
        <v>276.48000000000008</v>
      </c>
      <c r="N13" s="63">
        <f t="shared" ca="1" si="6"/>
        <v>317.44000000000005</v>
      </c>
      <c r="O13" s="38">
        <f t="shared" ca="1" si="7"/>
        <v>25.395200000000006</v>
      </c>
      <c r="P13" s="49"/>
      <c r="R13" s="159"/>
      <c r="S13" s="160"/>
    </row>
    <row r="14" spans="2:27" ht="15" customHeight="1">
      <c r="B14" s="48"/>
      <c r="C14" s="37">
        <f t="shared" si="0"/>
        <v>42979</v>
      </c>
      <c r="D14" s="27">
        <v>1408</v>
      </c>
      <c r="E14" s="3">
        <f t="shared" si="1"/>
        <v>220</v>
      </c>
      <c r="F14" s="27">
        <f t="shared" si="10"/>
        <v>6.4</v>
      </c>
      <c r="G14" s="1">
        <v>200</v>
      </c>
      <c r="H14" s="166">
        <f t="shared" ca="1" si="2"/>
        <v>25</v>
      </c>
      <c r="I14" s="166">
        <f t="shared" ca="1" si="3"/>
        <v>5</v>
      </c>
      <c r="J14" s="4">
        <f t="shared" ca="1" si="4"/>
        <v>40</v>
      </c>
      <c r="K14" s="4">
        <f t="shared" si="5"/>
        <v>1.2800000000000002</v>
      </c>
      <c r="L14" s="7">
        <f t="shared" ca="1" si="8"/>
        <v>51.20000000000001</v>
      </c>
      <c r="M14" s="4">
        <f t="shared" si="9"/>
        <v>256.00000000000006</v>
      </c>
      <c r="N14" s="63">
        <f t="shared" ca="1" si="6"/>
        <v>307.20000000000005</v>
      </c>
      <c r="O14" s="38">
        <f t="shared" ca="1" si="7"/>
        <v>24.576000000000004</v>
      </c>
      <c r="P14" s="49"/>
      <c r="R14" s="159"/>
    </row>
    <row r="15" spans="2:27" ht="15" customHeight="1">
      <c r="B15" s="48"/>
      <c r="C15" s="37">
        <f t="shared" si="0"/>
        <v>43009</v>
      </c>
      <c r="D15" s="27">
        <v>1408</v>
      </c>
      <c r="E15" s="3">
        <f t="shared" si="1"/>
        <v>220</v>
      </c>
      <c r="F15" s="27">
        <f t="shared" si="10"/>
        <v>6.4</v>
      </c>
      <c r="G15" s="1">
        <v>200</v>
      </c>
      <c r="H15" s="166">
        <f t="shared" ca="1" si="2"/>
        <v>25</v>
      </c>
      <c r="I15" s="166">
        <f t="shared" ca="1" si="3"/>
        <v>6</v>
      </c>
      <c r="J15" s="4">
        <f t="shared" ca="1" si="4"/>
        <v>48</v>
      </c>
      <c r="K15" s="4">
        <f t="shared" si="5"/>
        <v>1.2800000000000002</v>
      </c>
      <c r="L15" s="7">
        <f t="shared" ca="1" si="8"/>
        <v>61.440000000000012</v>
      </c>
      <c r="M15" s="4">
        <f t="shared" si="9"/>
        <v>256.00000000000006</v>
      </c>
      <c r="N15" s="63">
        <f t="shared" ca="1" si="6"/>
        <v>317.44000000000005</v>
      </c>
      <c r="O15" s="38">
        <f t="shared" ca="1" si="7"/>
        <v>25.395200000000006</v>
      </c>
      <c r="P15" s="49"/>
      <c r="Y15" s="65"/>
    </row>
    <row r="16" spans="2:27" ht="15" customHeight="1">
      <c r="B16" s="48"/>
      <c r="C16" s="37">
        <f t="shared" si="0"/>
        <v>43040</v>
      </c>
      <c r="D16" s="27">
        <v>1408</v>
      </c>
      <c r="E16" s="3">
        <f t="shared" si="1"/>
        <v>220</v>
      </c>
      <c r="F16" s="27">
        <f t="shared" si="10"/>
        <v>6.4</v>
      </c>
      <c r="G16" s="1">
        <v>192</v>
      </c>
      <c r="H16" s="166">
        <f t="shared" ca="1" si="2"/>
        <v>24</v>
      </c>
      <c r="I16" s="166">
        <f t="shared" ca="1" si="3"/>
        <v>6</v>
      </c>
      <c r="J16" s="4">
        <f t="shared" ca="1" si="4"/>
        <v>48</v>
      </c>
      <c r="K16" s="4">
        <f t="shared" si="5"/>
        <v>1.2800000000000002</v>
      </c>
      <c r="L16" s="7">
        <f t="shared" ca="1" si="8"/>
        <v>61.440000000000012</v>
      </c>
      <c r="M16" s="4">
        <f t="shared" si="9"/>
        <v>245.76000000000005</v>
      </c>
      <c r="N16" s="63">
        <f t="shared" ca="1" si="6"/>
        <v>307.20000000000005</v>
      </c>
      <c r="O16" s="38">
        <f t="shared" ca="1" si="7"/>
        <v>24.576000000000004</v>
      </c>
      <c r="P16" s="49"/>
      <c r="Y16" s="65"/>
      <c r="AA16" s="65"/>
    </row>
    <row r="17" spans="2:25" ht="15" customHeight="1">
      <c r="B17" s="48"/>
      <c r="C17" s="37">
        <f t="shared" si="0"/>
        <v>43070</v>
      </c>
      <c r="D17" s="27">
        <v>1408</v>
      </c>
      <c r="E17" s="3">
        <f t="shared" si="1"/>
        <v>220</v>
      </c>
      <c r="F17" s="27">
        <f t="shared" si="10"/>
        <v>6.4</v>
      </c>
      <c r="G17" s="1">
        <v>200</v>
      </c>
      <c r="H17" s="166">
        <f t="shared" ca="1" si="2"/>
        <v>25</v>
      </c>
      <c r="I17" s="166">
        <f t="shared" ca="1" si="3"/>
        <v>6</v>
      </c>
      <c r="J17" s="4">
        <f t="shared" ca="1" si="4"/>
        <v>48</v>
      </c>
      <c r="K17" s="4">
        <f t="shared" si="5"/>
        <v>1.2800000000000002</v>
      </c>
      <c r="L17" s="7">
        <f t="shared" ca="1" si="8"/>
        <v>61.440000000000012</v>
      </c>
      <c r="M17" s="4">
        <f t="shared" si="9"/>
        <v>256.00000000000006</v>
      </c>
      <c r="N17" s="63">
        <f t="shared" ca="1" si="6"/>
        <v>317.44000000000005</v>
      </c>
      <c r="O17" s="38">
        <f t="shared" ca="1" si="7"/>
        <v>25.395200000000006</v>
      </c>
      <c r="P17" s="49"/>
      <c r="Y17" s="65"/>
    </row>
    <row r="18" spans="2:25" ht="15" customHeight="1">
      <c r="B18" s="48"/>
      <c r="C18" s="37">
        <f t="shared" si="0"/>
        <v>43101</v>
      </c>
      <c r="D18" s="27">
        <v>1408</v>
      </c>
      <c r="E18" s="3">
        <f t="shared" si="1"/>
        <v>220</v>
      </c>
      <c r="F18" s="27">
        <f t="shared" si="10"/>
        <v>6.4</v>
      </c>
      <c r="G18" s="1">
        <v>208</v>
      </c>
      <c r="H18" s="166">
        <f t="shared" ca="1" si="2"/>
        <v>26</v>
      </c>
      <c r="I18" s="166">
        <f t="shared" ca="1" si="3"/>
        <v>5</v>
      </c>
      <c r="J18" s="4">
        <f t="shared" ca="1" si="4"/>
        <v>40</v>
      </c>
      <c r="K18" s="4">
        <f t="shared" si="5"/>
        <v>1.2800000000000002</v>
      </c>
      <c r="L18" s="7">
        <f t="shared" ca="1" si="8"/>
        <v>51.20000000000001</v>
      </c>
      <c r="M18" s="4">
        <f t="shared" si="9"/>
        <v>266.24000000000007</v>
      </c>
      <c r="N18" s="63">
        <f t="shared" ca="1" si="6"/>
        <v>317.44000000000005</v>
      </c>
      <c r="O18" s="38">
        <f t="shared" ca="1" si="7"/>
        <v>25.395200000000006</v>
      </c>
      <c r="P18" s="49"/>
    </row>
    <row r="19" spans="2:25" ht="15" customHeight="1">
      <c r="B19" s="48"/>
      <c r="C19" s="37">
        <f t="shared" si="0"/>
        <v>43132</v>
      </c>
      <c r="D19" s="27">
        <v>1408</v>
      </c>
      <c r="E19" s="3">
        <f t="shared" si="1"/>
        <v>220</v>
      </c>
      <c r="F19" s="27">
        <f t="shared" si="10"/>
        <v>6.4</v>
      </c>
      <c r="G19" s="1">
        <v>192</v>
      </c>
      <c r="H19" s="166">
        <f t="shared" ca="1" si="2"/>
        <v>24</v>
      </c>
      <c r="I19" s="166">
        <f t="shared" ca="1" si="3"/>
        <v>4</v>
      </c>
      <c r="J19" s="4">
        <f t="shared" ca="1" si="4"/>
        <v>32</v>
      </c>
      <c r="K19" s="4">
        <f t="shared" si="5"/>
        <v>1.2800000000000002</v>
      </c>
      <c r="L19" s="7">
        <f t="shared" ca="1" si="8"/>
        <v>40.960000000000008</v>
      </c>
      <c r="M19" s="4">
        <f t="shared" si="9"/>
        <v>245.76000000000005</v>
      </c>
      <c r="N19" s="63">
        <f t="shared" ca="1" si="6"/>
        <v>286.72000000000003</v>
      </c>
      <c r="O19" s="38">
        <f t="shared" ca="1" si="7"/>
        <v>22.937600000000003</v>
      </c>
      <c r="P19" s="49"/>
    </row>
    <row r="20" spans="2:25" ht="15" customHeight="1">
      <c r="B20" s="48"/>
      <c r="C20" s="37" t="str">
        <f t="shared" si="0"/>
        <v/>
      </c>
      <c r="D20" s="27"/>
      <c r="E20" s="3" t="str">
        <f t="shared" si="1"/>
        <v/>
      </c>
      <c r="F20" s="27">
        <f t="shared" si="10"/>
        <v>0</v>
      </c>
      <c r="G20" s="1"/>
      <c r="H20" s="166" t="str">
        <f t="shared" si="2"/>
        <v/>
      </c>
      <c r="I20" s="166" t="str">
        <f t="shared" si="3"/>
        <v/>
      </c>
      <c r="J20" s="4">
        <f t="shared" si="4"/>
        <v>0</v>
      </c>
      <c r="K20" s="4" t="str">
        <f t="shared" si="5"/>
        <v/>
      </c>
      <c r="L20" s="7" t="str">
        <f t="shared" si="8"/>
        <v/>
      </c>
      <c r="M20" s="4" t="str">
        <f t="shared" si="9"/>
        <v/>
      </c>
      <c r="N20" s="63" t="str">
        <f t="shared" si="6"/>
        <v/>
      </c>
      <c r="O20" s="38" t="str">
        <f t="shared" si="7"/>
        <v/>
      </c>
      <c r="P20" s="49"/>
    </row>
    <row r="21" spans="2:25" ht="15" customHeight="1">
      <c r="B21" s="48"/>
      <c r="C21" s="37" t="str">
        <f t="shared" si="0"/>
        <v/>
      </c>
      <c r="D21" s="27"/>
      <c r="E21" s="3" t="str">
        <f t="shared" si="1"/>
        <v/>
      </c>
      <c r="F21" s="27">
        <f t="shared" si="10"/>
        <v>0</v>
      </c>
      <c r="G21" s="1"/>
      <c r="H21" s="166" t="str">
        <f t="shared" si="2"/>
        <v/>
      </c>
      <c r="I21" s="166" t="str">
        <f t="shared" si="3"/>
        <v/>
      </c>
      <c r="J21" s="4">
        <f t="shared" si="4"/>
        <v>0</v>
      </c>
      <c r="K21" s="4" t="str">
        <f t="shared" si="5"/>
        <v/>
      </c>
      <c r="L21" s="7" t="str">
        <f t="shared" si="8"/>
        <v/>
      </c>
      <c r="M21" s="4" t="str">
        <f t="shared" si="9"/>
        <v/>
      </c>
      <c r="N21" s="63" t="str">
        <f t="shared" si="6"/>
        <v/>
      </c>
      <c r="O21" s="38" t="str">
        <f t="shared" si="7"/>
        <v/>
      </c>
      <c r="P21" s="49"/>
    </row>
    <row r="22" spans="2:25" ht="15" customHeight="1">
      <c r="B22" s="48"/>
      <c r="C22" s="37" t="str">
        <f t="shared" si="0"/>
        <v/>
      </c>
      <c r="D22" s="27"/>
      <c r="E22" s="3" t="str">
        <f t="shared" si="1"/>
        <v/>
      </c>
      <c r="F22" s="27">
        <f t="shared" si="10"/>
        <v>0</v>
      </c>
      <c r="G22" s="1"/>
      <c r="H22" s="166" t="str">
        <f t="shared" si="2"/>
        <v/>
      </c>
      <c r="I22" s="166" t="str">
        <f t="shared" si="3"/>
        <v/>
      </c>
      <c r="J22" s="4">
        <f t="shared" si="4"/>
        <v>0</v>
      </c>
      <c r="K22" s="4" t="str">
        <f t="shared" si="5"/>
        <v/>
      </c>
      <c r="L22" s="7" t="str">
        <f t="shared" si="8"/>
        <v/>
      </c>
      <c r="M22" s="4" t="str">
        <f t="shared" si="9"/>
        <v/>
      </c>
      <c r="N22" s="63" t="str">
        <f t="shared" si="6"/>
        <v/>
      </c>
      <c r="O22" s="38" t="str">
        <f t="shared" si="7"/>
        <v/>
      </c>
      <c r="P22" s="49"/>
    </row>
    <row r="23" spans="2:25" ht="15" customHeight="1">
      <c r="B23" s="48"/>
      <c r="C23" s="37" t="str">
        <f t="shared" si="0"/>
        <v/>
      </c>
      <c r="D23" s="27"/>
      <c r="E23" s="3" t="str">
        <f t="shared" si="1"/>
        <v/>
      </c>
      <c r="F23" s="27">
        <f t="shared" si="10"/>
        <v>0</v>
      </c>
      <c r="G23" s="1"/>
      <c r="H23" s="166" t="str">
        <f t="shared" si="2"/>
        <v/>
      </c>
      <c r="I23" s="166" t="str">
        <f t="shared" si="3"/>
        <v/>
      </c>
      <c r="J23" s="4">
        <f t="shared" si="4"/>
        <v>0</v>
      </c>
      <c r="K23" s="4" t="str">
        <f t="shared" si="5"/>
        <v/>
      </c>
      <c r="L23" s="7" t="str">
        <f t="shared" si="8"/>
        <v/>
      </c>
      <c r="M23" s="4" t="str">
        <f t="shared" si="9"/>
        <v/>
      </c>
      <c r="N23" s="63" t="str">
        <f t="shared" si="6"/>
        <v/>
      </c>
      <c r="O23" s="38" t="str">
        <f t="shared" si="7"/>
        <v/>
      </c>
      <c r="P23" s="49"/>
    </row>
    <row r="24" spans="2:25" ht="15" customHeight="1">
      <c r="B24" s="48"/>
      <c r="C24" s="37" t="str">
        <f t="shared" si="0"/>
        <v/>
      </c>
      <c r="D24" s="27"/>
      <c r="E24" s="3" t="str">
        <f t="shared" si="1"/>
        <v/>
      </c>
      <c r="F24" s="27">
        <f t="shared" si="10"/>
        <v>0</v>
      </c>
      <c r="G24" s="1"/>
      <c r="H24" s="166" t="str">
        <f t="shared" si="2"/>
        <v/>
      </c>
      <c r="I24" s="166" t="str">
        <f t="shared" si="3"/>
        <v/>
      </c>
      <c r="J24" s="4">
        <f t="shared" si="4"/>
        <v>0</v>
      </c>
      <c r="K24" s="4" t="str">
        <f t="shared" si="5"/>
        <v/>
      </c>
      <c r="L24" s="7" t="str">
        <f t="shared" si="8"/>
        <v/>
      </c>
      <c r="M24" s="4" t="str">
        <f t="shared" si="9"/>
        <v/>
      </c>
      <c r="N24" s="63" t="str">
        <f t="shared" si="6"/>
        <v/>
      </c>
      <c r="O24" s="38" t="str">
        <f t="shared" si="7"/>
        <v/>
      </c>
      <c r="P24" s="49"/>
    </row>
    <row r="25" spans="2:25" ht="15" customHeight="1">
      <c r="B25" s="48"/>
      <c r="C25" s="37" t="str">
        <f t="shared" si="0"/>
        <v/>
      </c>
      <c r="D25" s="27"/>
      <c r="E25" s="3" t="str">
        <f t="shared" si="1"/>
        <v/>
      </c>
      <c r="F25" s="27">
        <f t="shared" si="10"/>
        <v>0</v>
      </c>
      <c r="G25" s="1"/>
      <c r="H25" s="166" t="str">
        <f t="shared" si="2"/>
        <v/>
      </c>
      <c r="I25" s="166" t="str">
        <f t="shared" si="3"/>
        <v/>
      </c>
      <c r="J25" s="4">
        <f t="shared" si="4"/>
        <v>0</v>
      </c>
      <c r="K25" s="4" t="str">
        <f t="shared" si="5"/>
        <v/>
      </c>
      <c r="L25" s="7" t="str">
        <f t="shared" si="8"/>
        <v/>
      </c>
      <c r="M25" s="4" t="str">
        <f t="shared" si="9"/>
        <v/>
      </c>
      <c r="N25" s="63" t="str">
        <f t="shared" si="6"/>
        <v/>
      </c>
      <c r="O25" s="38" t="str">
        <f t="shared" si="7"/>
        <v/>
      </c>
      <c r="P25" s="49"/>
    </row>
    <row r="26" spans="2:25" ht="15" customHeight="1">
      <c r="B26" s="48"/>
      <c r="C26" s="37" t="str">
        <f t="shared" si="0"/>
        <v/>
      </c>
      <c r="D26" s="27"/>
      <c r="E26" s="3" t="str">
        <f t="shared" si="1"/>
        <v/>
      </c>
      <c r="F26" s="27">
        <f t="shared" si="10"/>
        <v>0</v>
      </c>
      <c r="G26" s="1"/>
      <c r="H26" s="166" t="str">
        <f t="shared" si="2"/>
        <v/>
      </c>
      <c r="I26" s="166" t="str">
        <f t="shared" si="3"/>
        <v/>
      </c>
      <c r="J26" s="4">
        <f t="shared" si="4"/>
        <v>0</v>
      </c>
      <c r="K26" s="4" t="str">
        <f t="shared" si="5"/>
        <v/>
      </c>
      <c r="L26" s="7" t="str">
        <f t="shared" si="8"/>
        <v/>
      </c>
      <c r="M26" s="4" t="str">
        <f t="shared" si="9"/>
        <v/>
      </c>
      <c r="N26" s="63" t="str">
        <f t="shared" si="6"/>
        <v/>
      </c>
      <c r="O26" s="38" t="str">
        <f t="shared" si="7"/>
        <v/>
      </c>
      <c r="P26" s="49"/>
    </row>
    <row r="27" spans="2:25" ht="15" customHeight="1">
      <c r="B27" s="48"/>
      <c r="C27" s="37" t="str">
        <f t="shared" si="0"/>
        <v/>
      </c>
      <c r="D27" s="27"/>
      <c r="E27" s="3" t="str">
        <f t="shared" si="1"/>
        <v/>
      </c>
      <c r="F27" s="27">
        <f t="shared" si="10"/>
        <v>0</v>
      </c>
      <c r="G27" s="1"/>
      <c r="H27" s="166" t="str">
        <f t="shared" si="2"/>
        <v/>
      </c>
      <c r="I27" s="166" t="str">
        <f t="shared" si="3"/>
        <v/>
      </c>
      <c r="J27" s="4">
        <f t="shared" si="4"/>
        <v>0</v>
      </c>
      <c r="K27" s="4" t="str">
        <f t="shared" si="5"/>
        <v/>
      </c>
      <c r="L27" s="7" t="str">
        <f t="shared" si="8"/>
        <v/>
      </c>
      <c r="M27" s="4" t="str">
        <f t="shared" si="9"/>
        <v/>
      </c>
      <c r="N27" s="63" t="str">
        <f t="shared" si="6"/>
        <v/>
      </c>
      <c r="O27" s="38" t="str">
        <f t="shared" si="7"/>
        <v/>
      </c>
      <c r="P27" s="49"/>
    </row>
    <row r="28" spans="2:25" ht="15" customHeight="1">
      <c r="B28" s="48"/>
      <c r="C28" s="37" t="str">
        <f t="shared" si="0"/>
        <v/>
      </c>
      <c r="D28" s="27"/>
      <c r="E28" s="3" t="str">
        <f t="shared" si="1"/>
        <v/>
      </c>
      <c r="F28" s="27">
        <f t="shared" si="10"/>
        <v>0</v>
      </c>
      <c r="G28" s="1"/>
      <c r="H28" s="166" t="str">
        <f t="shared" si="2"/>
        <v/>
      </c>
      <c r="I28" s="166" t="str">
        <f t="shared" si="3"/>
        <v/>
      </c>
      <c r="J28" s="4">
        <f t="shared" si="4"/>
        <v>0</v>
      </c>
      <c r="K28" s="4" t="str">
        <f t="shared" si="5"/>
        <v/>
      </c>
      <c r="L28" s="7" t="str">
        <f t="shared" si="8"/>
        <v/>
      </c>
      <c r="M28" s="4" t="str">
        <f t="shared" si="9"/>
        <v/>
      </c>
      <c r="N28" s="63" t="str">
        <f t="shared" si="6"/>
        <v/>
      </c>
      <c r="O28" s="38" t="str">
        <f t="shared" si="7"/>
        <v/>
      </c>
      <c r="P28" s="49"/>
    </row>
    <row r="29" spans="2:25" ht="15" customHeight="1">
      <c r="B29" s="48"/>
      <c r="C29" s="37" t="str">
        <f t="shared" si="0"/>
        <v/>
      </c>
      <c r="D29" s="27"/>
      <c r="E29" s="3" t="str">
        <f t="shared" si="1"/>
        <v/>
      </c>
      <c r="F29" s="27">
        <f t="shared" si="10"/>
        <v>0</v>
      </c>
      <c r="G29" s="1"/>
      <c r="H29" s="166" t="str">
        <f t="shared" si="2"/>
        <v/>
      </c>
      <c r="I29" s="166" t="str">
        <f t="shared" si="3"/>
        <v/>
      </c>
      <c r="J29" s="4">
        <f t="shared" si="4"/>
        <v>0</v>
      </c>
      <c r="K29" s="4" t="str">
        <f t="shared" si="5"/>
        <v/>
      </c>
      <c r="L29" s="7" t="str">
        <f t="shared" si="8"/>
        <v/>
      </c>
      <c r="M29" s="4" t="str">
        <f t="shared" si="9"/>
        <v/>
      </c>
      <c r="N29" s="63" t="str">
        <f t="shared" si="6"/>
        <v/>
      </c>
      <c r="O29" s="38" t="str">
        <f t="shared" si="7"/>
        <v/>
      </c>
      <c r="P29" s="49"/>
    </row>
    <row r="30" spans="2:25" ht="15" customHeight="1">
      <c r="B30" s="48"/>
      <c r="C30" s="37" t="str">
        <f t="shared" si="0"/>
        <v/>
      </c>
      <c r="D30" s="27"/>
      <c r="E30" s="3" t="str">
        <f t="shared" si="1"/>
        <v/>
      </c>
      <c r="F30" s="27">
        <f t="shared" si="10"/>
        <v>0</v>
      </c>
      <c r="G30" s="1"/>
      <c r="H30" s="166" t="str">
        <f t="shared" si="2"/>
        <v/>
      </c>
      <c r="I30" s="166" t="str">
        <f t="shared" si="3"/>
        <v/>
      </c>
      <c r="J30" s="4">
        <f t="shared" si="4"/>
        <v>0</v>
      </c>
      <c r="K30" s="4" t="str">
        <f t="shared" si="5"/>
        <v/>
      </c>
      <c r="L30" s="7" t="str">
        <f t="shared" si="8"/>
        <v/>
      </c>
      <c r="M30" s="4" t="str">
        <f t="shared" si="9"/>
        <v/>
      </c>
      <c r="N30" s="63" t="str">
        <f t="shared" si="6"/>
        <v/>
      </c>
      <c r="O30" s="38" t="str">
        <f t="shared" si="7"/>
        <v/>
      </c>
      <c r="P30" s="49"/>
    </row>
    <row r="31" spans="2:25" ht="15" customHeight="1">
      <c r="B31" s="48"/>
      <c r="C31" s="37" t="str">
        <f t="shared" si="0"/>
        <v/>
      </c>
      <c r="D31" s="27"/>
      <c r="E31" s="3" t="str">
        <f t="shared" si="1"/>
        <v/>
      </c>
      <c r="F31" s="27">
        <f t="shared" si="10"/>
        <v>0</v>
      </c>
      <c r="G31" s="1"/>
      <c r="H31" s="166" t="str">
        <f t="shared" si="2"/>
        <v/>
      </c>
      <c r="I31" s="166" t="str">
        <f t="shared" si="3"/>
        <v/>
      </c>
      <c r="J31" s="4">
        <f t="shared" si="4"/>
        <v>0</v>
      </c>
      <c r="K31" s="4" t="str">
        <f t="shared" si="5"/>
        <v/>
      </c>
      <c r="L31" s="7" t="str">
        <f t="shared" si="8"/>
        <v/>
      </c>
      <c r="M31" s="4" t="str">
        <f t="shared" si="9"/>
        <v/>
      </c>
      <c r="N31" s="63" t="str">
        <f t="shared" si="6"/>
        <v/>
      </c>
      <c r="O31" s="38" t="str">
        <f t="shared" si="7"/>
        <v/>
      </c>
      <c r="P31" s="49"/>
      <c r="Y31" s="196"/>
    </row>
    <row r="32" spans="2:25" ht="15" customHeight="1">
      <c r="B32" s="48"/>
      <c r="C32" s="37" t="str">
        <f t="shared" si="0"/>
        <v/>
      </c>
      <c r="D32" s="27"/>
      <c r="E32" s="3" t="str">
        <f t="shared" si="1"/>
        <v/>
      </c>
      <c r="F32" s="27">
        <f t="shared" si="10"/>
        <v>0</v>
      </c>
      <c r="G32" s="1"/>
      <c r="H32" s="166" t="str">
        <f t="shared" si="2"/>
        <v/>
      </c>
      <c r="I32" s="166" t="str">
        <f t="shared" si="3"/>
        <v/>
      </c>
      <c r="J32" s="4">
        <f t="shared" si="4"/>
        <v>0</v>
      </c>
      <c r="K32" s="4" t="str">
        <f t="shared" si="5"/>
        <v/>
      </c>
      <c r="L32" s="7" t="str">
        <f t="shared" si="8"/>
        <v/>
      </c>
      <c r="M32" s="4" t="str">
        <f t="shared" si="9"/>
        <v/>
      </c>
      <c r="N32" s="63" t="str">
        <f t="shared" si="6"/>
        <v/>
      </c>
      <c r="O32" s="38" t="str">
        <f t="shared" si="7"/>
        <v/>
      </c>
      <c r="P32" s="49"/>
      <c r="Y32" s="196"/>
    </row>
    <row r="33" spans="2:26" ht="15" customHeight="1">
      <c r="B33" s="48"/>
      <c r="C33" s="37" t="str">
        <f t="shared" si="0"/>
        <v/>
      </c>
      <c r="D33" s="27"/>
      <c r="E33" s="3" t="str">
        <f t="shared" si="1"/>
        <v/>
      </c>
      <c r="F33" s="27">
        <f t="shared" si="10"/>
        <v>0</v>
      </c>
      <c r="G33" s="1"/>
      <c r="H33" s="166" t="str">
        <f t="shared" si="2"/>
        <v/>
      </c>
      <c r="I33" s="166" t="str">
        <f t="shared" si="3"/>
        <v/>
      </c>
      <c r="J33" s="4">
        <f t="shared" si="4"/>
        <v>0</v>
      </c>
      <c r="K33" s="4" t="str">
        <f t="shared" si="5"/>
        <v/>
      </c>
      <c r="L33" s="7" t="str">
        <f t="shared" si="8"/>
        <v/>
      </c>
      <c r="M33" s="4" t="str">
        <f t="shared" si="9"/>
        <v/>
      </c>
      <c r="N33" s="63" t="str">
        <f t="shared" si="6"/>
        <v/>
      </c>
      <c r="O33" s="38" t="str">
        <f t="shared" si="7"/>
        <v/>
      </c>
      <c r="P33" s="49"/>
    </row>
    <row r="34" spans="2:26" ht="15" customHeight="1">
      <c r="B34" s="48"/>
      <c r="C34" s="37" t="str">
        <f t="shared" si="0"/>
        <v/>
      </c>
      <c r="D34" s="27"/>
      <c r="E34" s="3" t="str">
        <f t="shared" si="1"/>
        <v/>
      </c>
      <c r="F34" s="27">
        <f t="shared" si="10"/>
        <v>0</v>
      </c>
      <c r="G34" s="1"/>
      <c r="H34" s="166" t="str">
        <f t="shared" si="2"/>
        <v/>
      </c>
      <c r="I34" s="166" t="str">
        <f t="shared" si="3"/>
        <v/>
      </c>
      <c r="J34" s="4">
        <f t="shared" si="4"/>
        <v>0</v>
      </c>
      <c r="K34" s="4" t="str">
        <f t="shared" si="5"/>
        <v/>
      </c>
      <c r="L34" s="7" t="str">
        <f t="shared" si="8"/>
        <v/>
      </c>
      <c r="M34" s="4" t="str">
        <f t="shared" si="9"/>
        <v/>
      </c>
      <c r="N34" s="63" t="str">
        <f t="shared" si="6"/>
        <v/>
      </c>
      <c r="O34" s="38" t="str">
        <f t="shared" si="7"/>
        <v/>
      </c>
      <c r="P34" s="49"/>
    </row>
    <row r="35" spans="2:26" ht="15" customHeight="1">
      <c r="B35" s="48"/>
      <c r="C35" s="37" t="str">
        <f t="shared" si="0"/>
        <v/>
      </c>
      <c r="D35" s="27"/>
      <c r="E35" s="3" t="str">
        <f t="shared" si="1"/>
        <v/>
      </c>
      <c r="F35" s="27">
        <f t="shared" si="10"/>
        <v>0</v>
      </c>
      <c r="G35" s="1"/>
      <c r="H35" s="166" t="str">
        <f t="shared" si="2"/>
        <v/>
      </c>
      <c r="I35" s="166" t="str">
        <f t="shared" si="3"/>
        <v/>
      </c>
      <c r="J35" s="4">
        <f t="shared" si="4"/>
        <v>0</v>
      </c>
      <c r="K35" s="4" t="str">
        <f t="shared" si="5"/>
        <v/>
      </c>
      <c r="L35" s="7" t="str">
        <f t="shared" si="8"/>
        <v/>
      </c>
      <c r="M35" s="4" t="str">
        <f t="shared" si="9"/>
        <v/>
      </c>
      <c r="N35" s="63" t="str">
        <f t="shared" si="6"/>
        <v/>
      </c>
      <c r="O35" s="38" t="str">
        <f t="shared" si="7"/>
        <v/>
      </c>
      <c r="P35" s="49"/>
      <c r="R35" s="179"/>
      <c r="S35" s="177"/>
      <c r="T35" s="177"/>
      <c r="U35" s="177"/>
      <c r="V35" s="177"/>
      <c r="W35" s="177"/>
      <c r="X35" s="177"/>
      <c r="Y35" s="177"/>
      <c r="Z35" s="177"/>
    </row>
    <row r="36" spans="2:26" ht="15" customHeight="1">
      <c r="B36" s="48"/>
      <c r="C36" s="37" t="str">
        <f t="shared" si="0"/>
        <v/>
      </c>
      <c r="D36" s="27"/>
      <c r="E36" s="3" t="str">
        <f t="shared" si="1"/>
        <v/>
      </c>
      <c r="F36" s="27">
        <f t="shared" si="10"/>
        <v>0</v>
      </c>
      <c r="G36" s="1"/>
      <c r="H36" s="166" t="str">
        <f t="shared" si="2"/>
        <v/>
      </c>
      <c r="I36" s="166" t="str">
        <f t="shared" si="3"/>
        <v/>
      </c>
      <c r="J36" s="4">
        <f t="shared" si="4"/>
        <v>0</v>
      </c>
      <c r="K36" s="4" t="str">
        <f t="shared" si="5"/>
        <v/>
      </c>
      <c r="L36" s="7" t="str">
        <f t="shared" si="8"/>
        <v/>
      </c>
      <c r="M36" s="4" t="str">
        <f t="shared" si="9"/>
        <v/>
      </c>
      <c r="N36" s="63" t="str">
        <f t="shared" si="6"/>
        <v/>
      </c>
      <c r="O36" s="38" t="str">
        <f t="shared" si="7"/>
        <v/>
      </c>
      <c r="P36" s="49"/>
      <c r="R36" s="179"/>
      <c r="S36" s="177"/>
      <c r="T36" s="177"/>
      <c r="U36" s="177"/>
      <c r="V36" s="177"/>
      <c r="W36" s="177"/>
      <c r="X36" s="177"/>
      <c r="Y36" s="177"/>
      <c r="Z36" s="177"/>
    </row>
    <row r="37" spans="2:26" ht="15" customHeight="1">
      <c r="B37" s="48"/>
      <c r="C37" s="37" t="str">
        <f t="shared" si="0"/>
        <v/>
      </c>
      <c r="D37" s="27"/>
      <c r="E37" s="3" t="str">
        <f t="shared" si="1"/>
        <v/>
      </c>
      <c r="F37" s="27">
        <f t="shared" si="10"/>
        <v>0</v>
      </c>
      <c r="G37" s="1"/>
      <c r="H37" s="166" t="str">
        <f t="shared" si="2"/>
        <v/>
      </c>
      <c r="I37" s="166" t="str">
        <f t="shared" si="3"/>
        <v/>
      </c>
      <c r="J37" s="4">
        <f t="shared" si="4"/>
        <v>0</v>
      </c>
      <c r="K37" s="4" t="str">
        <f t="shared" si="5"/>
        <v/>
      </c>
      <c r="L37" s="7" t="str">
        <f t="shared" si="8"/>
        <v/>
      </c>
      <c r="M37" s="4" t="str">
        <f t="shared" si="9"/>
        <v/>
      </c>
      <c r="N37" s="63" t="str">
        <f t="shared" si="6"/>
        <v/>
      </c>
      <c r="O37" s="38" t="str">
        <f t="shared" si="7"/>
        <v/>
      </c>
      <c r="P37" s="49"/>
      <c r="R37" s="179"/>
      <c r="S37" s="177"/>
      <c r="T37" s="177"/>
      <c r="U37" s="177"/>
      <c r="V37" s="177"/>
      <c r="W37" s="177"/>
      <c r="X37" s="177"/>
      <c r="Y37" s="177"/>
      <c r="Z37" s="177"/>
    </row>
    <row r="38" spans="2:26" ht="15" customHeight="1">
      <c r="B38" s="48"/>
      <c r="C38" s="37" t="str">
        <f t="shared" si="0"/>
        <v/>
      </c>
      <c r="D38" s="27"/>
      <c r="E38" s="3" t="str">
        <f t="shared" si="1"/>
        <v/>
      </c>
      <c r="F38" s="27">
        <f t="shared" si="10"/>
        <v>0</v>
      </c>
      <c r="G38" s="1"/>
      <c r="H38" s="166" t="str">
        <f t="shared" si="2"/>
        <v/>
      </c>
      <c r="I38" s="166" t="str">
        <f t="shared" si="3"/>
        <v/>
      </c>
      <c r="J38" s="4">
        <f t="shared" si="4"/>
        <v>0</v>
      </c>
      <c r="K38" s="4" t="str">
        <f t="shared" si="5"/>
        <v/>
      </c>
      <c r="L38" s="7" t="str">
        <f t="shared" si="8"/>
        <v/>
      </c>
      <c r="M38" s="4" t="str">
        <f t="shared" si="9"/>
        <v/>
      </c>
      <c r="N38" s="63" t="str">
        <f t="shared" si="6"/>
        <v/>
      </c>
      <c r="O38" s="38" t="str">
        <f t="shared" si="7"/>
        <v/>
      </c>
      <c r="P38" s="49"/>
      <c r="R38" s="159"/>
    </row>
    <row r="39" spans="2:26" ht="15" customHeight="1">
      <c r="B39" s="48"/>
      <c r="C39" s="37" t="str">
        <f t="shared" si="0"/>
        <v/>
      </c>
      <c r="D39" s="27"/>
      <c r="E39" s="3" t="str">
        <f t="shared" si="1"/>
        <v/>
      </c>
      <c r="F39" s="27">
        <f t="shared" si="10"/>
        <v>0</v>
      </c>
      <c r="G39" s="1"/>
      <c r="H39" s="166" t="str">
        <f t="shared" si="2"/>
        <v/>
      </c>
      <c r="I39" s="166" t="str">
        <f t="shared" si="3"/>
        <v/>
      </c>
      <c r="J39" s="4">
        <f t="shared" si="4"/>
        <v>0</v>
      </c>
      <c r="K39" s="4" t="str">
        <f t="shared" si="5"/>
        <v/>
      </c>
      <c r="L39" s="7" t="str">
        <f t="shared" si="8"/>
        <v/>
      </c>
      <c r="M39" s="4" t="str">
        <f t="shared" si="9"/>
        <v/>
      </c>
      <c r="N39" s="63" t="str">
        <f t="shared" si="6"/>
        <v/>
      </c>
      <c r="O39" s="38" t="str">
        <f t="shared" si="7"/>
        <v/>
      </c>
      <c r="P39" s="49"/>
      <c r="R39" s="159"/>
    </row>
    <row r="40" spans="2:26" ht="15" customHeight="1">
      <c r="B40" s="48"/>
      <c r="C40" s="37" t="str">
        <f t="shared" si="0"/>
        <v/>
      </c>
      <c r="D40" s="27"/>
      <c r="E40" s="3" t="str">
        <f t="shared" si="1"/>
        <v/>
      </c>
      <c r="F40" s="27">
        <f t="shared" si="10"/>
        <v>0</v>
      </c>
      <c r="G40" s="1"/>
      <c r="H40" s="166" t="str">
        <f t="shared" si="2"/>
        <v/>
      </c>
      <c r="I40" s="166" t="str">
        <f t="shared" si="3"/>
        <v/>
      </c>
      <c r="J40" s="4">
        <f t="shared" si="4"/>
        <v>0</v>
      </c>
      <c r="K40" s="4" t="str">
        <f t="shared" ref="K40:K71" si="11">IF(OR(C40="",D40="",C40=0),"",F40*adicionalnot)</f>
        <v/>
      </c>
      <c r="L40" s="7" t="str">
        <f t="shared" si="8"/>
        <v/>
      </c>
      <c r="M40" s="4" t="str">
        <f t="shared" si="9"/>
        <v/>
      </c>
      <c r="N40" s="63" t="str">
        <f t="shared" si="6"/>
        <v/>
      </c>
      <c r="O40" s="38" t="str">
        <f t="shared" si="7"/>
        <v/>
      </c>
      <c r="P40" s="49"/>
      <c r="R40" s="159"/>
    </row>
    <row r="41" spans="2:26" ht="15" customHeight="1">
      <c r="B41" s="48"/>
      <c r="C41" s="37" t="str">
        <f t="shared" si="0"/>
        <v/>
      </c>
      <c r="D41" s="27"/>
      <c r="E41" s="3" t="str">
        <f t="shared" si="1"/>
        <v/>
      </c>
      <c r="F41" s="27">
        <f t="shared" si="10"/>
        <v>0</v>
      </c>
      <c r="G41" s="1"/>
      <c r="H41" s="166" t="str">
        <f t="shared" si="2"/>
        <v/>
      </c>
      <c r="I41" s="166" t="str">
        <f t="shared" si="3"/>
        <v/>
      </c>
      <c r="J41" s="4">
        <f t="shared" si="4"/>
        <v>0</v>
      </c>
      <c r="K41" s="4" t="str">
        <f t="shared" si="11"/>
        <v/>
      </c>
      <c r="L41" s="7" t="str">
        <f t="shared" si="8"/>
        <v/>
      </c>
      <c r="M41" s="4" t="str">
        <f t="shared" si="9"/>
        <v/>
      </c>
      <c r="N41" s="63" t="str">
        <f t="shared" si="6"/>
        <v/>
      </c>
      <c r="O41" s="38" t="str">
        <f t="shared" si="7"/>
        <v/>
      </c>
      <c r="P41" s="49"/>
      <c r="R41" s="159"/>
    </row>
    <row r="42" spans="2:26" ht="15" customHeight="1">
      <c r="B42" s="48"/>
      <c r="C42" s="37" t="str">
        <f t="shared" si="0"/>
        <v/>
      </c>
      <c r="D42" s="27"/>
      <c r="E42" s="3" t="str">
        <f t="shared" si="1"/>
        <v/>
      </c>
      <c r="F42" s="27">
        <f t="shared" si="10"/>
        <v>0</v>
      </c>
      <c r="G42" s="1"/>
      <c r="H42" s="166" t="str">
        <f t="shared" si="2"/>
        <v/>
      </c>
      <c r="I42" s="166" t="str">
        <f t="shared" si="3"/>
        <v/>
      </c>
      <c r="J42" s="4">
        <f t="shared" si="4"/>
        <v>0</v>
      </c>
      <c r="K42" s="4" t="str">
        <f t="shared" si="11"/>
        <v/>
      </c>
      <c r="L42" s="7" t="str">
        <f t="shared" si="8"/>
        <v/>
      </c>
      <c r="M42" s="4" t="str">
        <f t="shared" si="9"/>
        <v/>
      </c>
      <c r="N42" s="63" t="str">
        <f t="shared" si="6"/>
        <v/>
      </c>
      <c r="O42" s="38" t="str">
        <f t="shared" si="7"/>
        <v/>
      </c>
      <c r="P42" s="49"/>
      <c r="R42" s="159"/>
    </row>
    <row r="43" spans="2:26" ht="15" customHeight="1">
      <c r="B43" s="48"/>
      <c r="C43" s="37" t="str">
        <f t="shared" si="0"/>
        <v/>
      </c>
      <c r="D43" s="27"/>
      <c r="E43" s="3" t="str">
        <f t="shared" si="1"/>
        <v/>
      </c>
      <c r="F43" s="27">
        <f t="shared" si="10"/>
        <v>0</v>
      </c>
      <c r="G43" s="1"/>
      <c r="H43" s="166" t="str">
        <f t="shared" si="2"/>
        <v/>
      </c>
      <c r="I43" s="166" t="str">
        <f t="shared" si="3"/>
        <v/>
      </c>
      <c r="J43" s="4">
        <f t="shared" si="4"/>
        <v>0</v>
      </c>
      <c r="K43" s="4" t="str">
        <f t="shared" si="11"/>
        <v/>
      </c>
      <c r="L43" s="7" t="str">
        <f t="shared" si="8"/>
        <v/>
      </c>
      <c r="M43" s="4" t="str">
        <f t="shared" si="9"/>
        <v/>
      </c>
      <c r="N43" s="63" t="str">
        <f t="shared" si="6"/>
        <v/>
      </c>
      <c r="O43" s="38" t="str">
        <f t="shared" si="7"/>
        <v/>
      </c>
      <c r="P43" s="49"/>
      <c r="R43" s="159"/>
    </row>
    <row r="44" spans="2:26" ht="15" customHeight="1">
      <c r="B44" s="48"/>
      <c r="C44" s="37" t="str">
        <f t="shared" si="0"/>
        <v/>
      </c>
      <c r="D44" s="27"/>
      <c r="E44" s="3" t="str">
        <f t="shared" si="1"/>
        <v/>
      </c>
      <c r="F44" s="27">
        <f t="shared" si="10"/>
        <v>0</v>
      </c>
      <c r="G44" s="1"/>
      <c r="H44" s="166" t="str">
        <f t="shared" si="2"/>
        <v/>
      </c>
      <c r="I44" s="166" t="str">
        <f t="shared" si="3"/>
        <v/>
      </c>
      <c r="J44" s="4">
        <f t="shared" si="4"/>
        <v>0</v>
      </c>
      <c r="K44" s="4" t="str">
        <f t="shared" si="11"/>
        <v/>
      </c>
      <c r="L44" s="7" t="str">
        <f t="shared" si="8"/>
        <v/>
      </c>
      <c r="M44" s="4" t="str">
        <f t="shared" si="9"/>
        <v/>
      </c>
      <c r="N44" s="63" t="str">
        <f t="shared" si="6"/>
        <v/>
      </c>
      <c r="O44" s="38" t="str">
        <f t="shared" si="7"/>
        <v/>
      </c>
      <c r="P44" s="49"/>
      <c r="R44" s="159"/>
    </row>
    <row r="45" spans="2:26" ht="15" customHeight="1">
      <c r="B45" s="48"/>
      <c r="C45" s="37" t="str">
        <f t="shared" si="0"/>
        <v/>
      </c>
      <c r="D45" s="27"/>
      <c r="E45" s="3" t="str">
        <f t="shared" si="1"/>
        <v/>
      </c>
      <c r="F45" s="27">
        <f t="shared" si="10"/>
        <v>0</v>
      </c>
      <c r="G45" s="1"/>
      <c r="H45" s="166" t="str">
        <f t="shared" si="2"/>
        <v/>
      </c>
      <c r="I45" s="166" t="str">
        <f t="shared" si="3"/>
        <v/>
      </c>
      <c r="J45" s="4">
        <f t="shared" si="4"/>
        <v>0</v>
      </c>
      <c r="K45" s="4" t="str">
        <f t="shared" si="11"/>
        <v/>
      </c>
      <c r="L45" s="7" t="str">
        <f t="shared" si="8"/>
        <v/>
      </c>
      <c r="M45" s="4" t="str">
        <f t="shared" si="9"/>
        <v/>
      </c>
      <c r="N45" s="63" t="str">
        <f t="shared" si="6"/>
        <v/>
      </c>
      <c r="O45" s="38" t="str">
        <f t="shared" si="7"/>
        <v/>
      </c>
      <c r="P45" s="49"/>
      <c r="R45" s="159"/>
    </row>
    <row r="46" spans="2:26" ht="15" customHeight="1">
      <c r="B46" s="48"/>
      <c r="C46" s="37" t="str">
        <f t="shared" si="0"/>
        <v/>
      </c>
      <c r="D46" s="27"/>
      <c r="E46" s="3" t="str">
        <f t="shared" si="1"/>
        <v/>
      </c>
      <c r="F46" s="27">
        <f t="shared" si="10"/>
        <v>0</v>
      </c>
      <c r="G46" s="1"/>
      <c r="H46" s="166" t="str">
        <f t="shared" si="2"/>
        <v/>
      </c>
      <c r="I46" s="166" t="str">
        <f t="shared" si="3"/>
        <v/>
      </c>
      <c r="J46" s="4">
        <f t="shared" si="4"/>
        <v>0</v>
      </c>
      <c r="K46" s="4" t="str">
        <f t="shared" si="11"/>
        <v/>
      </c>
      <c r="L46" s="7" t="str">
        <f t="shared" si="8"/>
        <v/>
      </c>
      <c r="M46" s="4" t="str">
        <f t="shared" si="9"/>
        <v/>
      </c>
      <c r="N46" s="63" t="str">
        <f t="shared" si="6"/>
        <v/>
      </c>
      <c r="O46" s="38" t="str">
        <f t="shared" si="7"/>
        <v/>
      </c>
      <c r="P46" s="49"/>
      <c r="R46" s="159"/>
    </row>
    <row r="47" spans="2:26" ht="15" customHeight="1">
      <c r="B47" s="48"/>
      <c r="C47" s="37" t="str">
        <f t="shared" si="0"/>
        <v/>
      </c>
      <c r="D47" s="27"/>
      <c r="E47" s="3" t="str">
        <f t="shared" si="1"/>
        <v/>
      </c>
      <c r="F47" s="27">
        <f t="shared" si="10"/>
        <v>0</v>
      </c>
      <c r="G47" s="1"/>
      <c r="H47" s="166" t="str">
        <f t="shared" si="2"/>
        <v/>
      </c>
      <c r="I47" s="166" t="str">
        <f t="shared" si="3"/>
        <v/>
      </c>
      <c r="J47" s="4">
        <f t="shared" si="4"/>
        <v>0</v>
      </c>
      <c r="K47" s="4" t="str">
        <f t="shared" si="11"/>
        <v/>
      </c>
      <c r="L47" s="7" t="str">
        <f t="shared" si="8"/>
        <v/>
      </c>
      <c r="M47" s="4" t="str">
        <f t="shared" si="9"/>
        <v/>
      </c>
      <c r="N47" s="63" t="str">
        <f t="shared" si="6"/>
        <v/>
      </c>
      <c r="O47" s="38" t="str">
        <f t="shared" si="7"/>
        <v/>
      </c>
      <c r="P47" s="49"/>
      <c r="R47" s="159"/>
    </row>
    <row r="48" spans="2:26" ht="15" customHeight="1">
      <c r="B48" s="48"/>
      <c r="C48" s="37" t="str">
        <f t="shared" si="0"/>
        <v/>
      </c>
      <c r="D48" s="27"/>
      <c r="E48" s="3" t="str">
        <f t="shared" si="1"/>
        <v/>
      </c>
      <c r="F48" s="27">
        <f t="shared" si="10"/>
        <v>0</v>
      </c>
      <c r="G48" s="1"/>
      <c r="H48" s="166" t="str">
        <f t="shared" si="2"/>
        <v/>
      </c>
      <c r="I48" s="166" t="str">
        <f t="shared" si="3"/>
        <v/>
      </c>
      <c r="J48" s="4">
        <f t="shared" si="4"/>
        <v>0</v>
      </c>
      <c r="K48" s="4" t="str">
        <f t="shared" si="11"/>
        <v/>
      </c>
      <c r="L48" s="7" t="str">
        <f t="shared" si="8"/>
        <v/>
      </c>
      <c r="M48" s="4" t="str">
        <f t="shared" si="9"/>
        <v/>
      </c>
      <c r="N48" s="63" t="str">
        <f t="shared" si="6"/>
        <v/>
      </c>
      <c r="O48" s="38" t="str">
        <f t="shared" si="7"/>
        <v/>
      </c>
      <c r="P48" s="49"/>
      <c r="R48" s="159"/>
    </row>
    <row r="49" spans="2:21" ht="15" customHeight="1">
      <c r="B49" s="48"/>
      <c r="C49" s="37" t="str">
        <f t="shared" si="0"/>
        <v/>
      </c>
      <c r="D49" s="27"/>
      <c r="E49" s="3" t="str">
        <f t="shared" si="1"/>
        <v/>
      </c>
      <c r="F49" s="27">
        <f t="shared" si="10"/>
        <v>0</v>
      </c>
      <c r="G49" s="1"/>
      <c r="H49" s="166" t="str">
        <f t="shared" si="2"/>
        <v/>
      </c>
      <c r="I49" s="166" t="str">
        <f t="shared" si="3"/>
        <v/>
      </c>
      <c r="J49" s="4">
        <f t="shared" si="4"/>
        <v>0</v>
      </c>
      <c r="K49" s="4" t="str">
        <f t="shared" si="11"/>
        <v/>
      </c>
      <c r="L49" s="7" t="str">
        <f t="shared" si="8"/>
        <v/>
      </c>
      <c r="M49" s="4" t="str">
        <f t="shared" si="9"/>
        <v/>
      </c>
      <c r="N49" s="63" t="str">
        <f t="shared" si="6"/>
        <v/>
      </c>
      <c r="O49" s="38" t="str">
        <f t="shared" si="7"/>
        <v/>
      </c>
      <c r="P49" s="49"/>
      <c r="R49" s="159"/>
    </row>
    <row r="50" spans="2:21" ht="15" customHeight="1">
      <c r="B50" s="48"/>
      <c r="C50" s="37" t="str">
        <f t="shared" si="0"/>
        <v/>
      </c>
      <c r="D50" s="27"/>
      <c r="E50" s="3" t="str">
        <f t="shared" si="1"/>
        <v/>
      </c>
      <c r="F50" s="27">
        <f t="shared" si="10"/>
        <v>0</v>
      </c>
      <c r="G50" s="1"/>
      <c r="H50" s="166" t="str">
        <f t="shared" si="2"/>
        <v/>
      </c>
      <c r="I50" s="166" t="str">
        <f t="shared" si="3"/>
        <v/>
      </c>
      <c r="J50" s="4">
        <f t="shared" si="4"/>
        <v>0</v>
      </c>
      <c r="K50" s="4" t="str">
        <f t="shared" si="11"/>
        <v/>
      </c>
      <c r="L50" s="7" t="str">
        <f t="shared" si="8"/>
        <v/>
      </c>
      <c r="M50" s="4" t="str">
        <f t="shared" si="9"/>
        <v/>
      </c>
      <c r="N50" s="63" t="str">
        <f t="shared" si="6"/>
        <v/>
      </c>
      <c r="O50" s="38" t="str">
        <f t="shared" si="7"/>
        <v/>
      </c>
      <c r="P50" s="49"/>
      <c r="R50" s="159"/>
    </row>
    <row r="51" spans="2:21" ht="15" customHeight="1">
      <c r="B51" s="48"/>
      <c r="C51" s="37" t="str">
        <f t="shared" si="0"/>
        <v/>
      </c>
      <c r="D51" s="27"/>
      <c r="E51" s="3" t="str">
        <f t="shared" si="1"/>
        <v/>
      </c>
      <c r="F51" s="27">
        <f t="shared" si="10"/>
        <v>0</v>
      </c>
      <c r="G51" s="1"/>
      <c r="H51" s="166" t="str">
        <f t="shared" si="2"/>
        <v/>
      </c>
      <c r="I51" s="166" t="str">
        <f t="shared" si="3"/>
        <v/>
      </c>
      <c r="J51" s="4">
        <f t="shared" si="4"/>
        <v>0</v>
      </c>
      <c r="K51" s="4" t="str">
        <f t="shared" si="11"/>
        <v/>
      </c>
      <c r="L51" s="7" t="str">
        <f t="shared" si="8"/>
        <v/>
      </c>
      <c r="M51" s="4" t="str">
        <f t="shared" si="9"/>
        <v/>
      </c>
      <c r="N51" s="63" t="str">
        <f t="shared" si="6"/>
        <v/>
      </c>
      <c r="O51" s="38" t="str">
        <f t="shared" si="7"/>
        <v/>
      </c>
      <c r="P51" s="49"/>
      <c r="R51" s="159"/>
    </row>
    <row r="52" spans="2:21" ht="15" customHeight="1">
      <c r="B52" s="48"/>
      <c r="C52" s="37" t="str">
        <f t="shared" si="0"/>
        <v/>
      </c>
      <c r="D52" s="27"/>
      <c r="E52" s="3" t="str">
        <f t="shared" si="1"/>
        <v/>
      </c>
      <c r="F52" s="27">
        <f t="shared" si="10"/>
        <v>0</v>
      </c>
      <c r="G52" s="1"/>
      <c r="H52" s="166" t="str">
        <f t="shared" si="2"/>
        <v/>
      </c>
      <c r="I52" s="166" t="str">
        <f t="shared" si="3"/>
        <v/>
      </c>
      <c r="J52" s="4">
        <f t="shared" si="4"/>
        <v>0</v>
      </c>
      <c r="K52" s="4" t="str">
        <f t="shared" si="11"/>
        <v/>
      </c>
      <c r="L52" s="7" t="str">
        <f t="shared" si="8"/>
        <v/>
      </c>
      <c r="M52" s="4" t="str">
        <f t="shared" si="9"/>
        <v/>
      </c>
      <c r="N52" s="63" t="str">
        <f t="shared" si="6"/>
        <v/>
      </c>
      <c r="O52" s="38" t="str">
        <f t="shared" si="7"/>
        <v/>
      </c>
      <c r="P52" s="49"/>
      <c r="R52" s="159"/>
    </row>
    <row r="53" spans="2:21" ht="15" customHeight="1">
      <c r="B53" s="48"/>
      <c r="C53" s="37" t="str">
        <f t="shared" si="0"/>
        <v/>
      </c>
      <c r="D53" s="27"/>
      <c r="E53" s="3" t="str">
        <f t="shared" si="1"/>
        <v/>
      </c>
      <c r="F53" s="27">
        <f t="shared" si="10"/>
        <v>0</v>
      </c>
      <c r="G53" s="1"/>
      <c r="H53" s="166" t="str">
        <f t="shared" si="2"/>
        <v/>
      </c>
      <c r="I53" s="166" t="str">
        <f t="shared" si="3"/>
        <v/>
      </c>
      <c r="J53" s="4">
        <f t="shared" si="4"/>
        <v>0</v>
      </c>
      <c r="K53" s="4" t="str">
        <f t="shared" si="11"/>
        <v/>
      </c>
      <c r="L53" s="7" t="str">
        <f t="shared" si="8"/>
        <v/>
      </c>
      <c r="M53" s="4" t="str">
        <f t="shared" si="9"/>
        <v/>
      </c>
      <c r="N53" s="63" t="str">
        <f t="shared" si="6"/>
        <v/>
      </c>
      <c r="O53" s="38" t="str">
        <f t="shared" si="7"/>
        <v/>
      </c>
      <c r="P53" s="49"/>
      <c r="R53" s="159"/>
    </row>
    <row r="54" spans="2:21" ht="15" customHeight="1">
      <c r="B54" s="48"/>
      <c r="C54" s="37" t="str">
        <f t="shared" si="0"/>
        <v/>
      </c>
      <c r="D54" s="27"/>
      <c r="E54" s="3" t="str">
        <f t="shared" si="1"/>
        <v/>
      </c>
      <c r="F54" s="27">
        <f t="shared" si="10"/>
        <v>0</v>
      </c>
      <c r="G54" s="1"/>
      <c r="H54" s="166" t="str">
        <f t="shared" si="2"/>
        <v/>
      </c>
      <c r="I54" s="166" t="str">
        <f t="shared" si="3"/>
        <v/>
      </c>
      <c r="J54" s="4">
        <f t="shared" si="4"/>
        <v>0</v>
      </c>
      <c r="K54" s="4" t="str">
        <f t="shared" si="11"/>
        <v/>
      </c>
      <c r="L54" s="7" t="str">
        <f t="shared" si="8"/>
        <v/>
      </c>
      <c r="M54" s="4" t="str">
        <f t="shared" si="9"/>
        <v/>
      </c>
      <c r="N54" s="63" t="str">
        <f t="shared" si="6"/>
        <v/>
      </c>
      <c r="O54" s="38" t="str">
        <f t="shared" si="7"/>
        <v/>
      </c>
      <c r="P54" s="49"/>
      <c r="R54" s="159"/>
    </row>
    <row r="55" spans="2:21" ht="15" customHeight="1">
      <c r="B55" s="48"/>
      <c r="C55" s="37" t="str">
        <f t="shared" si="0"/>
        <v/>
      </c>
      <c r="D55" s="27"/>
      <c r="E55" s="3" t="str">
        <f t="shared" si="1"/>
        <v/>
      </c>
      <c r="F55" s="27">
        <f t="shared" si="10"/>
        <v>0</v>
      </c>
      <c r="G55" s="1"/>
      <c r="H55" s="166" t="str">
        <f t="shared" si="2"/>
        <v/>
      </c>
      <c r="I55" s="166" t="str">
        <f t="shared" si="3"/>
        <v/>
      </c>
      <c r="J55" s="4">
        <f t="shared" si="4"/>
        <v>0</v>
      </c>
      <c r="K55" s="4" t="str">
        <f t="shared" si="11"/>
        <v/>
      </c>
      <c r="L55" s="7" t="str">
        <f t="shared" si="8"/>
        <v/>
      </c>
      <c r="M55" s="4" t="str">
        <f t="shared" si="9"/>
        <v/>
      </c>
      <c r="N55" s="63" t="str">
        <f t="shared" si="6"/>
        <v/>
      </c>
      <c r="O55" s="38" t="str">
        <f t="shared" si="7"/>
        <v/>
      </c>
      <c r="P55" s="49"/>
      <c r="R55" s="159"/>
    </row>
    <row r="56" spans="2:21" ht="15" customHeight="1">
      <c r="B56" s="48"/>
      <c r="C56" s="37" t="str">
        <f t="shared" si="0"/>
        <v/>
      </c>
      <c r="D56" s="27"/>
      <c r="E56" s="3" t="str">
        <f t="shared" si="1"/>
        <v/>
      </c>
      <c r="F56" s="27">
        <f t="shared" si="10"/>
        <v>0</v>
      </c>
      <c r="G56" s="1"/>
      <c r="H56" s="166" t="str">
        <f t="shared" si="2"/>
        <v/>
      </c>
      <c r="I56" s="166" t="str">
        <f t="shared" si="3"/>
        <v/>
      </c>
      <c r="J56" s="4">
        <f t="shared" si="4"/>
        <v>0</v>
      </c>
      <c r="K56" s="4" t="str">
        <f t="shared" si="11"/>
        <v/>
      </c>
      <c r="L56" s="7" t="str">
        <f t="shared" si="8"/>
        <v/>
      </c>
      <c r="M56" s="4" t="str">
        <f t="shared" si="9"/>
        <v/>
      </c>
      <c r="N56" s="63" t="str">
        <f t="shared" si="6"/>
        <v/>
      </c>
      <c r="O56" s="38" t="str">
        <f t="shared" si="7"/>
        <v/>
      </c>
      <c r="P56" s="49"/>
      <c r="R56" s="159"/>
    </row>
    <row r="57" spans="2:21" ht="15" customHeight="1">
      <c r="B57" s="48"/>
      <c r="C57" s="37" t="str">
        <f t="shared" si="0"/>
        <v/>
      </c>
      <c r="D57" s="27"/>
      <c r="E57" s="3" t="str">
        <f t="shared" si="1"/>
        <v/>
      </c>
      <c r="F57" s="27">
        <f t="shared" si="10"/>
        <v>0</v>
      </c>
      <c r="G57" s="1"/>
      <c r="H57" s="166" t="str">
        <f t="shared" si="2"/>
        <v/>
      </c>
      <c r="I57" s="166" t="str">
        <f t="shared" si="3"/>
        <v/>
      </c>
      <c r="J57" s="4">
        <f t="shared" si="4"/>
        <v>0</v>
      </c>
      <c r="K57" s="4" t="str">
        <f t="shared" si="11"/>
        <v/>
      </c>
      <c r="L57" s="7" t="str">
        <f t="shared" si="8"/>
        <v/>
      </c>
      <c r="M57" s="4" t="str">
        <f t="shared" si="9"/>
        <v/>
      </c>
      <c r="N57" s="63" t="str">
        <f t="shared" si="6"/>
        <v/>
      </c>
      <c r="O57" s="38" t="str">
        <f t="shared" si="7"/>
        <v/>
      </c>
      <c r="P57" s="49"/>
      <c r="R57" s="159"/>
    </row>
    <row r="58" spans="2:21" ht="15" customHeight="1">
      <c r="B58" s="48"/>
      <c r="C58" s="37" t="str">
        <f t="shared" si="0"/>
        <v/>
      </c>
      <c r="D58" s="27"/>
      <c r="E58" s="3" t="str">
        <f t="shared" si="1"/>
        <v/>
      </c>
      <c r="F58" s="27">
        <f t="shared" si="10"/>
        <v>0</v>
      </c>
      <c r="G58" s="1"/>
      <c r="H58" s="166" t="str">
        <f t="shared" si="2"/>
        <v/>
      </c>
      <c r="I58" s="166" t="str">
        <f t="shared" si="3"/>
        <v/>
      </c>
      <c r="J58" s="4">
        <f t="shared" si="4"/>
        <v>0</v>
      </c>
      <c r="K58" s="4" t="str">
        <f t="shared" si="11"/>
        <v/>
      </c>
      <c r="L58" s="7" t="str">
        <f t="shared" si="8"/>
        <v/>
      </c>
      <c r="M58" s="4" t="str">
        <f t="shared" si="9"/>
        <v/>
      </c>
      <c r="N58" s="63" t="str">
        <f t="shared" si="6"/>
        <v/>
      </c>
      <c r="O58" s="38" t="str">
        <f t="shared" si="7"/>
        <v/>
      </c>
      <c r="P58" s="49"/>
      <c r="R58" s="159"/>
    </row>
    <row r="59" spans="2:21" ht="15" customHeight="1">
      <c r="B59" s="48"/>
      <c r="C59" s="37" t="str">
        <f t="shared" si="0"/>
        <v/>
      </c>
      <c r="D59" s="27"/>
      <c r="E59" s="3" t="str">
        <f t="shared" si="1"/>
        <v/>
      </c>
      <c r="F59" s="27">
        <f t="shared" si="10"/>
        <v>0</v>
      </c>
      <c r="G59" s="1"/>
      <c r="H59" s="166" t="str">
        <f t="shared" si="2"/>
        <v/>
      </c>
      <c r="I59" s="166" t="str">
        <f t="shared" si="3"/>
        <v/>
      </c>
      <c r="J59" s="4">
        <f t="shared" si="4"/>
        <v>0</v>
      </c>
      <c r="K59" s="4" t="str">
        <f t="shared" si="11"/>
        <v/>
      </c>
      <c r="L59" s="7" t="str">
        <f t="shared" si="8"/>
        <v/>
      </c>
      <c r="M59" s="4" t="str">
        <f t="shared" si="9"/>
        <v/>
      </c>
      <c r="N59" s="63" t="str">
        <f t="shared" si="6"/>
        <v/>
      </c>
      <c r="O59" s="38" t="str">
        <f t="shared" si="7"/>
        <v/>
      </c>
      <c r="P59" s="49"/>
      <c r="R59" s="159"/>
    </row>
    <row r="60" spans="2:21" ht="15" customHeight="1">
      <c r="B60" s="48"/>
      <c r="C60" s="37" t="str">
        <f t="shared" si="0"/>
        <v/>
      </c>
      <c r="D60" s="27"/>
      <c r="E60" s="3" t="str">
        <f t="shared" si="1"/>
        <v/>
      </c>
      <c r="F60" s="27">
        <f t="shared" si="10"/>
        <v>0</v>
      </c>
      <c r="G60" s="1"/>
      <c r="H60" s="166" t="str">
        <f t="shared" si="2"/>
        <v/>
      </c>
      <c r="I60" s="166" t="str">
        <f t="shared" si="3"/>
        <v/>
      </c>
      <c r="J60" s="4">
        <f t="shared" si="4"/>
        <v>0</v>
      </c>
      <c r="K60" s="4" t="str">
        <f t="shared" si="11"/>
        <v/>
      </c>
      <c r="L60" s="7" t="str">
        <f t="shared" si="8"/>
        <v/>
      </c>
      <c r="M60" s="4" t="str">
        <f t="shared" si="9"/>
        <v/>
      </c>
      <c r="N60" s="63" t="str">
        <f t="shared" si="6"/>
        <v/>
      </c>
      <c r="O60" s="38" t="str">
        <f t="shared" si="7"/>
        <v/>
      </c>
      <c r="P60" s="49"/>
      <c r="R60" s="159"/>
    </row>
    <row r="61" spans="2:21" ht="15" customHeight="1">
      <c r="B61" s="48"/>
      <c r="C61" s="37" t="str">
        <f t="shared" si="0"/>
        <v/>
      </c>
      <c r="D61" s="27"/>
      <c r="E61" s="3" t="str">
        <f t="shared" si="1"/>
        <v/>
      </c>
      <c r="F61" s="27">
        <f t="shared" si="10"/>
        <v>0</v>
      </c>
      <c r="G61" s="1"/>
      <c r="H61" s="166" t="str">
        <f t="shared" si="2"/>
        <v/>
      </c>
      <c r="I61" s="166" t="str">
        <f t="shared" si="3"/>
        <v/>
      </c>
      <c r="J61" s="4">
        <f t="shared" si="4"/>
        <v>0</v>
      </c>
      <c r="K61" s="4" t="str">
        <f t="shared" si="11"/>
        <v/>
      </c>
      <c r="L61" s="7" t="str">
        <f t="shared" si="8"/>
        <v/>
      </c>
      <c r="M61" s="4" t="str">
        <f t="shared" si="9"/>
        <v/>
      </c>
      <c r="N61" s="63" t="str">
        <f t="shared" si="6"/>
        <v/>
      </c>
      <c r="O61" s="38" t="str">
        <f t="shared" si="7"/>
        <v/>
      </c>
      <c r="P61" s="49"/>
      <c r="R61" s="159"/>
    </row>
    <row r="62" spans="2:21" ht="15" customHeight="1">
      <c r="B62" s="48"/>
      <c r="C62" s="37" t="str">
        <f t="shared" si="0"/>
        <v/>
      </c>
      <c r="D62" s="27"/>
      <c r="E62" s="3" t="str">
        <f t="shared" si="1"/>
        <v/>
      </c>
      <c r="F62" s="27">
        <f t="shared" si="10"/>
        <v>0</v>
      </c>
      <c r="G62" s="1"/>
      <c r="H62" s="166" t="str">
        <f t="shared" si="2"/>
        <v/>
      </c>
      <c r="I62" s="166" t="str">
        <f t="shared" si="3"/>
        <v/>
      </c>
      <c r="J62" s="4">
        <f t="shared" si="4"/>
        <v>0</v>
      </c>
      <c r="K62" s="4" t="str">
        <f t="shared" si="11"/>
        <v/>
      </c>
      <c r="L62" s="7" t="str">
        <f t="shared" si="8"/>
        <v/>
      </c>
      <c r="M62" s="4" t="str">
        <f t="shared" si="9"/>
        <v/>
      </c>
      <c r="N62" s="63" t="str">
        <f t="shared" si="6"/>
        <v/>
      </c>
      <c r="O62" s="38" t="str">
        <f t="shared" si="7"/>
        <v/>
      </c>
      <c r="P62" s="49"/>
      <c r="R62" s="159"/>
    </row>
    <row r="63" spans="2:21" ht="15" customHeight="1">
      <c r="B63" s="48"/>
      <c r="C63" s="37" t="str">
        <f t="shared" si="0"/>
        <v/>
      </c>
      <c r="D63" s="27"/>
      <c r="E63" s="3" t="str">
        <f t="shared" si="1"/>
        <v/>
      </c>
      <c r="F63" s="27">
        <f t="shared" si="10"/>
        <v>0</v>
      </c>
      <c r="G63" s="1"/>
      <c r="H63" s="166" t="str">
        <f t="shared" si="2"/>
        <v/>
      </c>
      <c r="I63" s="166" t="str">
        <f t="shared" si="3"/>
        <v/>
      </c>
      <c r="J63" s="4">
        <f t="shared" si="4"/>
        <v>0</v>
      </c>
      <c r="K63" s="4" t="str">
        <f t="shared" si="11"/>
        <v/>
      </c>
      <c r="L63" s="7" t="str">
        <f t="shared" si="8"/>
        <v/>
      </c>
      <c r="M63" s="4" t="str">
        <f t="shared" si="9"/>
        <v/>
      </c>
      <c r="N63" s="63" t="str">
        <f t="shared" si="6"/>
        <v/>
      </c>
      <c r="O63" s="38" t="str">
        <f t="shared" si="7"/>
        <v/>
      </c>
      <c r="P63" s="49"/>
      <c r="R63" s="159"/>
      <c r="S63" s="192">
        <f>adicional_he/1+1</f>
        <v>1.5</v>
      </c>
      <c r="U63" s="192">
        <f>50/100+1</f>
        <v>1.5</v>
      </c>
    </row>
    <row r="64" spans="2:21" ht="15" customHeight="1">
      <c r="B64" s="48"/>
      <c r="C64" s="37" t="str">
        <f t="shared" si="0"/>
        <v/>
      </c>
      <c r="D64" s="27"/>
      <c r="E64" s="3" t="str">
        <f t="shared" si="1"/>
        <v/>
      </c>
      <c r="F64" s="27">
        <f t="shared" si="10"/>
        <v>0</v>
      </c>
      <c r="G64" s="1"/>
      <c r="H64" s="166" t="str">
        <f t="shared" si="2"/>
        <v/>
      </c>
      <c r="I64" s="166" t="str">
        <f t="shared" si="3"/>
        <v/>
      </c>
      <c r="J64" s="4">
        <f t="shared" si="4"/>
        <v>0</v>
      </c>
      <c r="K64" s="4" t="str">
        <f t="shared" si="11"/>
        <v/>
      </c>
      <c r="L64" s="7" t="str">
        <f t="shared" si="8"/>
        <v/>
      </c>
      <c r="M64" s="4" t="str">
        <f t="shared" si="9"/>
        <v/>
      </c>
      <c r="N64" s="63" t="str">
        <f t="shared" si="6"/>
        <v/>
      </c>
      <c r="O64" s="38" t="str">
        <f t="shared" si="7"/>
        <v/>
      </c>
      <c r="P64" s="49"/>
      <c r="R64" s="159"/>
    </row>
    <row r="65" spans="2:18" ht="15" customHeight="1">
      <c r="B65" s="48"/>
      <c r="C65" s="37" t="str">
        <f t="shared" si="0"/>
        <v/>
      </c>
      <c r="D65" s="27"/>
      <c r="E65" s="3" t="str">
        <f t="shared" si="1"/>
        <v/>
      </c>
      <c r="F65" s="27">
        <f t="shared" si="10"/>
        <v>0</v>
      </c>
      <c r="G65" s="1"/>
      <c r="H65" s="166" t="str">
        <f t="shared" si="2"/>
        <v/>
      </c>
      <c r="I65" s="166" t="str">
        <f t="shared" si="3"/>
        <v/>
      </c>
      <c r="J65" s="4">
        <f t="shared" si="4"/>
        <v>0</v>
      </c>
      <c r="K65" s="4" t="str">
        <f t="shared" si="11"/>
        <v/>
      </c>
      <c r="L65" s="7" t="str">
        <f t="shared" si="8"/>
        <v/>
      </c>
      <c r="M65" s="4" t="str">
        <f t="shared" si="9"/>
        <v/>
      </c>
      <c r="N65" s="63" t="str">
        <f t="shared" si="6"/>
        <v/>
      </c>
      <c r="O65" s="38" t="str">
        <f t="shared" si="7"/>
        <v/>
      </c>
      <c r="P65" s="49"/>
      <c r="R65" s="159"/>
    </row>
    <row r="66" spans="2:18" ht="15" customHeight="1">
      <c r="B66" s="48"/>
      <c r="C66" s="37" t="str">
        <f t="shared" si="0"/>
        <v/>
      </c>
      <c r="D66" s="27"/>
      <c r="E66" s="3" t="str">
        <f t="shared" si="1"/>
        <v/>
      </c>
      <c r="F66" s="27">
        <f t="shared" si="10"/>
        <v>0</v>
      </c>
      <c r="G66" s="1"/>
      <c r="H66" s="166" t="str">
        <f t="shared" si="2"/>
        <v/>
      </c>
      <c r="I66" s="166" t="str">
        <f t="shared" si="3"/>
        <v/>
      </c>
      <c r="J66" s="4">
        <f t="shared" si="4"/>
        <v>0</v>
      </c>
      <c r="K66" s="4" t="str">
        <f t="shared" si="11"/>
        <v/>
      </c>
      <c r="L66" s="7" t="str">
        <f t="shared" si="8"/>
        <v/>
      </c>
      <c r="M66" s="4" t="str">
        <f t="shared" si="9"/>
        <v/>
      </c>
      <c r="N66" s="63" t="str">
        <f t="shared" si="6"/>
        <v/>
      </c>
      <c r="O66" s="38" t="str">
        <f t="shared" si="7"/>
        <v/>
      </c>
      <c r="P66" s="49"/>
      <c r="R66" s="159"/>
    </row>
    <row r="67" spans="2:18" ht="15" customHeight="1">
      <c r="B67" s="48"/>
      <c r="C67" s="37" t="str">
        <f t="shared" si="0"/>
        <v/>
      </c>
      <c r="D67" s="27"/>
      <c r="E67" s="3" t="str">
        <f t="shared" si="1"/>
        <v/>
      </c>
      <c r="F67" s="27">
        <f t="shared" si="10"/>
        <v>0</v>
      </c>
      <c r="G67" s="1"/>
      <c r="H67" s="166" t="str">
        <f t="shared" si="2"/>
        <v/>
      </c>
      <c r="I67" s="166" t="str">
        <f t="shared" si="3"/>
        <v/>
      </c>
      <c r="J67" s="4">
        <f t="shared" si="4"/>
        <v>0</v>
      </c>
      <c r="K67" s="4" t="str">
        <f t="shared" si="11"/>
        <v/>
      </c>
      <c r="L67" s="7" t="str">
        <f t="shared" si="8"/>
        <v/>
      </c>
      <c r="M67" s="4" t="str">
        <f t="shared" si="9"/>
        <v/>
      </c>
      <c r="N67" s="63" t="str">
        <f t="shared" si="6"/>
        <v/>
      </c>
      <c r="O67" s="38" t="str">
        <f t="shared" si="7"/>
        <v/>
      </c>
      <c r="P67" s="49"/>
      <c r="R67" s="159"/>
    </row>
    <row r="68" spans="2:18" ht="15" customHeight="1">
      <c r="B68" s="48"/>
      <c r="C68" s="37" t="str">
        <f t="shared" si="0"/>
        <v/>
      </c>
      <c r="D68" s="27"/>
      <c r="E68" s="3" t="str">
        <f t="shared" si="1"/>
        <v/>
      </c>
      <c r="F68" s="27">
        <f t="shared" si="10"/>
        <v>0</v>
      </c>
      <c r="G68" s="1"/>
      <c r="H68" s="166" t="str">
        <f t="shared" si="2"/>
        <v/>
      </c>
      <c r="I68" s="166" t="str">
        <f t="shared" si="3"/>
        <v/>
      </c>
      <c r="J68" s="4">
        <f t="shared" si="4"/>
        <v>0</v>
      </c>
      <c r="K68" s="4" t="str">
        <f t="shared" si="11"/>
        <v/>
      </c>
      <c r="L68" s="7" t="str">
        <f t="shared" si="8"/>
        <v/>
      </c>
      <c r="M68" s="4" t="str">
        <f t="shared" si="9"/>
        <v/>
      </c>
      <c r="N68" s="63" t="str">
        <f t="shared" si="6"/>
        <v/>
      </c>
      <c r="O68" s="38" t="str">
        <f t="shared" si="7"/>
        <v/>
      </c>
      <c r="P68" s="49"/>
      <c r="R68" s="159"/>
    </row>
    <row r="69" spans="2:18" ht="15" customHeight="1">
      <c r="B69" s="48"/>
      <c r="C69" s="37" t="str">
        <f t="shared" si="0"/>
        <v/>
      </c>
      <c r="D69" s="71"/>
      <c r="E69" s="3" t="str">
        <f t="shared" si="1"/>
        <v/>
      </c>
      <c r="F69" s="27">
        <f t="shared" si="10"/>
        <v>0</v>
      </c>
      <c r="G69" s="1"/>
      <c r="H69" s="166" t="str">
        <f t="shared" si="2"/>
        <v/>
      </c>
      <c r="I69" s="166" t="str">
        <f t="shared" si="3"/>
        <v/>
      </c>
      <c r="J69" s="4">
        <f t="shared" si="4"/>
        <v>0</v>
      </c>
      <c r="K69" s="4" t="str">
        <f t="shared" si="11"/>
        <v/>
      </c>
      <c r="L69" s="7" t="str">
        <f t="shared" si="8"/>
        <v/>
      </c>
      <c r="M69" s="4" t="str">
        <f t="shared" si="9"/>
        <v/>
      </c>
      <c r="N69" s="63" t="str">
        <f t="shared" si="6"/>
        <v/>
      </c>
      <c r="O69" s="38" t="str">
        <f t="shared" si="7"/>
        <v/>
      </c>
      <c r="P69" s="49"/>
      <c r="R69" s="159"/>
    </row>
    <row r="70" spans="2:18" ht="15" customHeight="1">
      <c r="B70" s="48"/>
      <c r="C70" s="37" t="str">
        <f t="shared" si="0"/>
        <v/>
      </c>
      <c r="D70" s="71"/>
      <c r="E70" s="3" t="str">
        <f t="shared" si="1"/>
        <v/>
      </c>
      <c r="F70" s="27">
        <f t="shared" si="10"/>
        <v>0</v>
      </c>
      <c r="G70" s="1"/>
      <c r="H70" s="166" t="str">
        <f t="shared" si="2"/>
        <v/>
      </c>
      <c r="I70" s="166" t="str">
        <f t="shared" si="3"/>
        <v/>
      </c>
      <c r="J70" s="4">
        <f t="shared" si="4"/>
        <v>0</v>
      </c>
      <c r="K70" s="4" t="str">
        <f t="shared" si="11"/>
        <v/>
      </c>
      <c r="L70" s="7" t="str">
        <f t="shared" si="8"/>
        <v/>
      </c>
      <c r="M70" s="4" t="str">
        <f t="shared" si="9"/>
        <v/>
      </c>
      <c r="N70" s="63" t="str">
        <f t="shared" si="6"/>
        <v/>
      </c>
      <c r="O70" s="38" t="str">
        <f t="shared" si="7"/>
        <v/>
      </c>
      <c r="P70" s="49"/>
      <c r="R70" s="159"/>
    </row>
    <row r="71" spans="2:18" ht="15" customHeight="1">
      <c r="B71" s="48"/>
      <c r="C71" s="37" t="str">
        <f t="shared" si="0"/>
        <v/>
      </c>
      <c r="D71" s="71"/>
      <c r="E71" s="3" t="str">
        <f t="shared" si="1"/>
        <v/>
      </c>
      <c r="F71" s="27">
        <f t="shared" si="10"/>
        <v>0</v>
      </c>
      <c r="G71" s="1"/>
      <c r="H71" s="166" t="str">
        <f t="shared" si="2"/>
        <v/>
      </c>
      <c r="I71" s="166" t="str">
        <f t="shared" si="3"/>
        <v/>
      </c>
      <c r="J71" s="4">
        <f t="shared" si="4"/>
        <v>0</v>
      </c>
      <c r="K71" s="4" t="str">
        <f t="shared" si="11"/>
        <v/>
      </c>
      <c r="L71" s="7" t="str">
        <f t="shared" si="8"/>
        <v/>
      </c>
      <c r="M71" s="4" t="str">
        <f t="shared" si="9"/>
        <v/>
      </c>
      <c r="N71" s="63" t="str">
        <f t="shared" si="6"/>
        <v/>
      </c>
      <c r="O71" s="38" t="str">
        <f t="shared" si="7"/>
        <v/>
      </c>
      <c r="P71" s="49"/>
      <c r="R71" s="159"/>
    </row>
    <row r="72" spans="2:18" ht="15" customHeight="1">
      <c r="B72" s="48"/>
      <c r="C72" s="37" t="str">
        <f t="shared" ref="C72:C79" si="12">epoca</f>
        <v/>
      </c>
      <c r="D72" s="71"/>
      <c r="E72" s="3" t="str">
        <f t="shared" ref="E72:E79" si="13">IF(OR(C72="",D72="",D72=0),"",divisor)</f>
        <v/>
      </c>
      <c r="F72" s="27">
        <f t="shared" si="10"/>
        <v>0</v>
      </c>
      <c r="G72" s="1"/>
      <c r="H72" s="166" t="str">
        <f t="shared" ref="H72:H79" si="14">IF(C72="","",Dias_Úteis)</f>
        <v/>
      </c>
      <c r="I72" s="166" t="str">
        <f t="shared" ref="I72:I79" si="15">IF(C72="","",Repousos)</f>
        <v/>
      </c>
      <c r="J72" s="4">
        <f t="shared" ref="J72:J79" si="16">IF(OR(C72="",D72="",D72=0),0,G72/H72*I72)</f>
        <v>0</v>
      </c>
      <c r="K72" s="4" t="str">
        <f t="shared" ref="K72:K79" si="17">IF(OR(C72="",D72="",C72=0),"",F72*adicionalnot)</f>
        <v/>
      </c>
      <c r="L72" s="7" t="str">
        <f t="shared" si="8"/>
        <v/>
      </c>
      <c r="M72" s="4" t="str">
        <f t="shared" si="9"/>
        <v/>
      </c>
      <c r="N72" s="63" t="str">
        <f t="shared" ref="N72:N79" si="18">IF(C72="","",L72+M72)</f>
        <v/>
      </c>
      <c r="O72" s="38" t="str">
        <f t="shared" ref="O72:O79" si="19">IF(C72="","",N72*8%)</f>
        <v/>
      </c>
      <c r="P72" s="49"/>
      <c r="R72" s="159"/>
    </row>
    <row r="73" spans="2:18" ht="15" customHeight="1">
      <c r="B73" s="48"/>
      <c r="C73" s="37" t="str">
        <f t="shared" si="12"/>
        <v/>
      </c>
      <c r="D73" s="71"/>
      <c r="E73" s="3" t="str">
        <f t="shared" si="13"/>
        <v/>
      </c>
      <c r="F73" s="27">
        <f t="shared" si="10"/>
        <v>0</v>
      </c>
      <c r="G73" s="1"/>
      <c r="H73" s="166" t="str">
        <f t="shared" si="14"/>
        <v/>
      </c>
      <c r="I73" s="166" t="str">
        <f t="shared" si="15"/>
        <v/>
      </c>
      <c r="J73" s="4">
        <f t="shared" si="16"/>
        <v>0</v>
      </c>
      <c r="K73" s="4" t="str">
        <f t="shared" si="17"/>
        <v/>
      </c>
      <c r="L73" s="7" t="str">
        <f t="shared" ref="L73:L79" si="20">IF(C73="","",K73*J73)</f>
        <v/>
      </c>
      <c r="M73" s="4" t="str">
        <f t="shared" ref="M73:M79" si="21">IF(C73="","",K73*G73)</f>
        <v/>
      </c>
      <c r="N73" s="63" t="str">
        <f t="shared" si="18"/>
        <v/>
      </c>
      <c r="O73" s="38" t="str">
        <f t="shared" si="19"/>
        <v/>
      </c>
      <c r="P73" s="49"/>
      <c r="R73" s="159"/>
    </row>
    <row r="74" spans="2:18" ht="15" customHeight="1">
      <c r="B74" s="48"/>
      <c r="C74" s="37" t="str">
        <f t="shared" si="12"/>
        <v/>
      </c>
      <c r="D74" s="71"/>
      <c r="E74" s="3" t="str">
        <f t="shared" si="13"/>
        <v/>
      </c>
      <c r="F74" s="27">
        <f t="shared" ref="F74:F79" si="22">IF(OR(C74="",D74="",D74=0),0,D74/E74)</f>
        <v>0</v>
      </c>
      <c r="G74" s="1"/>
      <c r="H74" s="166" t="str">
        <f t="shared" si="14"/>
        <v/>
      </c>
      <c r="I74" s="166" t="str">
        <f t="shared" si="15"/>
        <v/>
      </c>
      <c r="J74" s="4">
        <f t="shared" si="16"/>
        <v>0</v>
      </c>
      <c r="K74" s="4" t="str">
        <f t="shared" si="17"/>
        <v/>
      </c>
      <c r="L74" s="7" t="str">
        <f t="shared" si="20"/>
        <v/>
      </c>
      <c r="M74" s="4" t="str">
        <f t="shared" si="21"/>
        <v/>
      </c>
      <c r="N74" s="63" t="str">
        <f t="shared" si="18"/>
        <v/>
      </c>
      <c r="O74" s="38" t="str">
        <f t="shared" si="19"/>
        <v/>
      </c>
      <c r="P74" s="49"/>
      <c r="R74" s="159"/>
    </row>
    <row r="75" spans="2:18" ht="15" customHeight="1">
      <c r="B75" s="48"/>
      <c r="C75" s="37" t="str">
        <f t="shared" si="12"/>
        <v/>
      </c>
      <c r="D75" s="71"/>
      <c r="E75" s="3" t="str">
        <f t="shared" si="13"/>
        <v/>
      </c>
      <c r="F75" s="27">
        <f t="shared" si="22"/>
        <v>0</v>
      </c>
      <c r="G75" s="1"/>
      <c r="H75" s="166" t="str">
        <f t="shared" si="14"/>
        <v/>
      </c>
      <c r="I75" s="166" t="str">
        <f t="shared" si="15"/>
        <v/>
      </c>
      <c r="J75" s="4">
        <f t="shared" si="16"/>
        <v>0</v>
      </c>
      <c r="K75" s="4" t="str">
        <f t="shared" si="17"/>
        <v/>
      </c>
      <c r="L75" s="7" t="str">
        <f t="shared" si="20"/>
        <v/>
      </c>
      <c r="M75" s="4" t="str">
        <f t="shared" si="21"/>
        <v/>
      </c>
      <c r="N75" s="63" t="str">
        <f t="shared" si="18"/>
        <v/>
      </c>
      <c r="O75" s="38" t="str">
        <f t="shared" si="19"/>
        <v/>
      </c>
      <c r="P75" s="49"/>
      <c r="R75" s="159"/>
    </row>
    <row r="76" spans="2:18" ht="15" customHeight="1">
      <c r="B76" s="48"/>
      <c r="C76" s="37" t="str">
        <f t="shared" si="12"/>
        <v/>
      </c>
      <c r="D76" s="71"/>
      <c r="E76" s="3" t="str">
        <f t="shared" si="13"/>
        <v/>
      </c>
      <c r="F76" s="27">
        <f t="shared" si="22"/>
        <v>0</v>
      </c>
      <c r="G76" s="1"/>
      <c r="H76" s="166" t="str">
        <f t="shared" si="14"/>
        <v/>
      </c>
      <c r="I76" s="166" t="str">
        <f t="shared" si="15"/>
        <v/>
      </c>
      <c r="J76" s="4">
        <f t="shared" si="16"/>
        <v>0</v>
      </c>
      <c r="K76" s="4" t="str">
        <f t="shared" si="17"/>
        <v/>
      </c>
      <c r="L76" s="7" t="str">
        <f t="shared" si="20"/>
        <v/>
      </c>
      <c r="M76" s="4" t="str">
        <f t="shared" si="21"/>
        <v/>
      </c>
      <c r="N76" s="63" t="str">
        <f t="shared" si="18"/>
        <v/>
      </c>
      <c r="O76" s="38" t="str">
        <f t="shared" si="19"/>
        <v/>
      </c>
      <c r="P76" s="49"/>
      <c r="R76" s="159"/>
    </row>
    <row r="77" spans="2:18" ht="15" customHeight="1">
      <c r="B77" s="48"/>
      <c r="C77" s="37" t="str">
        <f t="shared" si="12"/>
        <v/>
      </c>
      <c r="D77" s="71"/>
      <c r="E77" s="3" t="str">
        <f t="shared" si="13"/>
        <v/>
      </c>
      <c r="F77" s="27">
        <f t="shared" si="22"/>
        <v>0</v>
      </c>
      <c r="G77" s="1"/>
      <c r="H77" s="166" t="str">
        <f t="shared" si="14"/>
        <v/>
      </c>
      <c r="I77" s="166" t="str">
        <f t="shared" si="15"/>
        <v/>
      </c>
      <c r="J77" s="4">
        <f t="shared" si="16"/>
        <v>0</v>
      </c>
      <c r="K77" s="4" t="str">
        <f t="shared" si="17"/>
        <v/>
      </c>
      <c r="L77" s="7" t="str">
        <f t="shared" si="20"/>
        <v/>
      </c>
      <c r="M77" s="4" t="str">
        <f t="shared" si="21"/>
        <v/>
      </c>
      <c r="N77" s="63" t="str">
        <f t="shared" si="18"/>
        <v/>
      </c>
      <c r="O77" s="38" t="str">
        <f t="shared" si="19"/>
        <v/>
      </c>
      <c r="P77" s="49"/>
      <c r="R77" s="159"/>
    </row>
    <row r="78" spans="2:18" ht="15" customHeight="1">
      <c r="B78" s="48"/>
      <c r="C78" s="37" t="str">
        <f t="shared" si="12"/>
        <v/>
      </c>
      <c r="D78" s="71"/>
      <c r="E78" s="3" t="str">
        <f t="shared" si="13"/>
        <v/>
      </c>
      <c r="F78" s="27">
        <f t="shared" si="22"/>
        <v>0</v>
      </c>
      <c r="G78" s="1"/>
      <c r="H78" s="166" t="str">
        <f t="shared" si="14"/>
        <v/>
      </c>
      <c r="I78" s="166" t="str">
        <f t="shared" si="15"/>
        <v/>
      </c>
      <c r="J78" s="4">
        <f t="shared" si="16"/>
        <v>0</v>
      </c>
      <c r="K78" s="4" t="str">
        <f t="shared" si="17"/>
        <v/>
      </c>
      <c r="L78" s="7" t="str">
        <f t="shared" si="20"/>
        <v/>
      </c>
      <c r="M78" s="4" t="str">
        <f t="shared" si="21"/>
        <v/>
      </c>
      <c r="N78" s="63" t="str">
        <f t="shared" si="18"/>
        <v/>
      </c>
      <c r="O78" s="38" t="str">
        <f t="shared" si="19"/>
        <v/>
      </c>
      <c r="P78" s="49"/>
      <c r="R78" s="159"/>
    </row>
    <row r="79" spans="2:18" ht="15" customHeight="1" thickBot="1">
      <c r="B79" s="48"/>
      <c r="C79" s="39" t="str">
        <f t="shared" si="12"/>
        <v/>
      </c>
      <c r="D79" s="72"/>
      <c r="E79" s="68" t="str">
        <f t="shared" si="13"/>
        <v/>
      </c>
      <c r="F79" s="40">
        <f t="shared" si="22"/>
        <v>0</v>
      </c>
      <c r="G79" s="41"/>
      <c r="H79" s="167" t="str">
        <f t="shared" si="14"/>
        <v/>
      </c>
      <c r="I79" s="167" t="str">
        <f t="shared" si="15"/>
        <v/>
      </c>
      <c r="J79" s="42">
        <f t="shared" si="16"/>
        <v>0</v>
      </c>
      <c r="K79" s="42" t="str">
        <f t="shared" si="17"/>
        <v/>
      </c>
      <c r="L79" s="43" t="str">
        <f t="shared" si="20"/>
        <v/>
      </c>
      <c r="M79" s="42" t="str">
        <f t="shared" si="21"/>
        <v/>
      </c>
      <c r="N79" s="69" t="str">
        <f t="shared" si="18"/>
        <v/>
      </c>
      <c r="O79" s="44" t="str">
        <f t="shared" si="19"/>
        <v/>
      </c>
      <c r="P79" s="49"/>
      <c r="R79" s="159"/>
    </row>
    <row r="80" spans="2:18" ht="18" customHeight="1">
      <c r="B80" s="48"/>
      <c r="C80" s="28"/>
      <c r="D80" s="28"/>
      <c r="E80" s="28"/>
      <c r="F80" s="28"/>
      <c r="G80" s="29"/>
      <c r="H80" s="30"/>
      <c r="I80" s="30"/>
      <c r="J80" s="30"/>
      <c r="K80" s="204" t="s">
        <v>146</v>
      </c>
      <c r="L80" s="64">
        <f t="shared" ref="L80:N80" ca="1" si="23">SUM(L8:L79)</f>
        <v>637.44000000000017</v>
      </c>
      <c r="M80" s="64">
        <f t="shared" si="23"/>
        <v>3002.2400000000007</v>
      </c>
      <c r="N80" s="64">
        <f t="shared" ca="1" si="23"/>
        <v>3639.6800000000012</v>
      </c>
      <c r="O80" s="64">
        <f ca="1">SUM(O8:O79)</f>
        <v>291.17440000000011</v>
      </c>
      <c r="P80" s="49"/>
      <c r="R80" s="160"/>
    </row>
    <row r="81" spans="2:18" ht="13.5" thickBot="1">
      <c r="B81" s="50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2"/>
      <c r="R81" s="160"/>
    </row>
    <row r="82" spans="2:18" ht="13.5" thickTop="1">
      <c r="R82" s="160"/>
    </row>
    <row r="83" spans="2:18">
      <c r="R83" s="160"/>
    </row>
    <row r="84" spans="2:18">
      <c r="R84" s="160"/>
    </row>
    <row r="85" spans="2:18">
      <c r="R85" s="160"/>
    </row>
    <row r="86" spans="2:18">
      <c r="R86" s="160"/>
    </row>
    <row r="87" spans="2:18">
      <c r="R87" s="160"/>
    </row>
    <row r="88" spans="2:18">
      <c r="R88" s="160"/>
    </row>
    <row r="89" spans="2:18">
      <c r="R89" s="160"/>
    </row>
    <row r="300" spans="4:5">
      <c r="D300" s="26">
        <v>0.5</v>
      </c>
      <c r="E300" s="192">
        <v>100</v>
      </c>
    </row>
    <row r="301" spans="4:5">
      <c r="D301" s="26">
        <v>0.6</v>
      </c>
      <c r="E301" s="192">
        <v>120</v>
      </c>
    </row>
    <row r="302" spans="4:5">
      <c r="D302" s="26">
        <v>0.7</v>
      </c>
      <c r="E302" s="192">
        <v>150</v>
      </c>
    </row>
    <row r="303" spans="4:5">
      <c r="D303" s="26">
        <v>0.8</v>
      </c>
      <c r="E303" s="192">
        <v>180</v>
      </c>
    </row>
    <row r="304" spans="4:5">
      <c r="D304" s="26">
        <v>0.9</v>
      </c>
      <c r="E304" s="192">
        <v>200</v>
      </c>
    </row>
    <row r="305" spans="4:5">
      <c r="D305" s="26">
        <v>1</v>
      </c>
      <c r="E305" s="192">
        <v>210</v>
      </c>
    </row>
    <row r="306" spans="4:5">
      <c r="E306" s="192">
        <v>220</v>
      </c>
    </row>
  </sheetData>
  <mergeCells count="15">
    <mergeCell ref="S3:U3"/>
    <mergeCell ref="C4:O5"/>
    <mergeCell ref="R5:T5"/>
    <mergeCell ref="C6:C7"/>
    <mergeCell ref="D6:F6"/>
    <mergeCell ref="G6:G7"/>
    <mergeCell ref="H6:I6"/>
    <mergeCell ref="J6:J7"/>
    <mergeCell ref="L6:L7"/>
    <mergeCell ref="M6:M7"/>
    <mergeCell ref="N6:N7"/>
    <mergeCell ref="O6:O7"/>
    <mergeCell ref="R6:T6"/>
    <mergeCell ref="R10:S10"/>
    <mergeCell ref="K6:K7"/>
  </mergeCells>
  <dataValidations count="2">
    <dataValidation type="textLength" operator="equal" allowBlank="1" showInputMessage="1" showErrorMessage="1" sqref="E8:F79 C8:C79 N8:O79 H8:J79">
      <formula1>9999</formula1>
    </dataValidation>
    <dataValidation allowBlank="1" showInputMessage="1" showErrorMessage="1" sqref="U5:U6"/>
  </dataValidations>
  <printOptions horizontalCentered="1"/>
  <pageMargins left="0.94488188976377963" right="0.27559055118110237" top="2.1259842519685042" bottom="0.70866141732283472" header="0.74803149606299213" footer="0.43307086614173229"/>
  <pageSetup paperSize="9" orientation="portrait" horizontalDpi="300" verticalDpi="300" r:id="rId1"/>
  <headerFooter alignWithMargins="0">
    <oddHeader>&amp;C&amp;F&amp;R&amp;D</oddHeader>
    <oddFooter>&amp;L&amp;F&amp;C&amp;A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0">
    <tabColor indexed="18"/>
  </sheetPr>
  <dimension ref="A1:BC115"/>
  <sheetViews>
    <sheetView showGridLines="0" showRowColHeaders="0" workbookViewId="0"/>
  </sheetViews>
  <sheetFormatPr defaultRowHeight="12.75"/>
  <cols>
    <col min="1" max="1" width="2.6640625" style="74" customWidth="1"/>
    <col min="2" max="2" width="42.83203125" style="74" customWidth="1"/>
    <col min="3" max="5" width="14.83203125" style="74" customWidth="1"/>
    <col min="6" max="6" width="15.5" style="74" customWidth="1"/>
    <col min="7" max="9" width="14.83203125" style="74" customWidth="1"/>
    <col min="10" max="10" width="4.83203125" style="74" customWidth="1"/>
    <col min="11" max="17" width="11.33203125" style="74" customWidth="1"/>
    <col min="18" max="18" width="3.1640625" style="74" customWidth="1"/>
    <col min="19" max="19" width="20" style="74" bestFit="1" customWidth="1"/>
    <col min="20" max="20" width="5.5" style="74" customWidth="1"/>
    <col min="21" max="21" width="13.83203125" style="74" bestFit="1" customWidth="1"/>
    <col min="22" max="22" width="11.83203125" style="74" customWidth="1"/>
    <col min="23" max="23" width="11.5" style="74" customWidth="1"/>
    <col min="24" max="54" width="9.33203125" style="74"/>
    <col min="55" max="55" width="11.83203125" style="74" bestFit="1" customWidth="1"/>
    <col min="56" max="16384" width="9.33203125" style="74"/>
  </cols>
  <sheetData>
    <row r="1" spans="1:24" ht="30" customHeight="1">
      <c r="B1" s="260" t="s">
        <v>32</v>
      </c>
      <c r="C1" s="261"/>
      <c r="D1" s="261"/>
      <c r="E1" s="261"/>
      <c r="F1" s="261"/>
      <c r="G1" s="261"/>
      <c r="H1" s="261"/>
      <c r="I1" s="262"/>
      <c r="J1" s="75"/>
      <c r="K1" s="263" t="s">
        <v>33</v>
      </c>
      <c r="L1" s="264"/>
      <c r="M1" s="264"/>
      <c r="N1" s="264"/>
      <c r="O1" s="264"/>
      <c r="P1" s="264"/>
      <c r="Q1" s="265"/>
    </row>
    <row r="2" spans="1:24" ht="20.100000000000001" customHeight="1">
      <c r="B2" s="76" t="s">
        <v>34</v>
      </c>
      <c r="C2" s="77">
        <f>ano-5</f>
        <v>2013</v>
      </c>
      <c r="D2" s="78">
        <f>ano-4</f>
        <v>2014</v>
      </c>
      <c r="E2" s="78">
        <f>ano-3</f>
        <v>2015</v>
      </c>
      <c r="F2" s="78">
        <f>ano-2</f>
        <v>2016</v>
      </c>
      <c r="G2" s="78">
        <f>ano-1</f>
        <v>2017</v>
      </c>
      <c r="H2" s="78">
        <f>YEAR(fim)</f>
        <v>2018</v>
      </c>
      <c r="I2" s="79">
        <f>ano+1</f>
        <v>2019</v>
      </c>
      <c r="J2" s="80"/>
      <c r="K2" s="266"/>
      <c r="L2" s="267"/>
      <c r="M2" s="267"/>
      <c r="N2" s="267"/>
      <c r="O2" s="267"/>
      <c r="P2" s="267"/>
      <c r="Q2" s="268"/>
      <c r="S2" s="189" t="s">
        <v>129</v>
      </c>
    </row>
    <row r="3" spans="1:24" ht="20.100000000000001" customHeight="1">
      <c r="B3" s="81" t="s">
        <v>35</v>
      </c>
      <c r="C3" s="82">
        <f>DATE(C2,1,1)</f>
        <v>41275</v>
      </c>
      <c r="D3" s="83">
        <f t="shared" ref="D3:I3" si="0">DATE(D2,1,1)</f>
        <v>41640</v>
      </c>
      <c r="E3" s="83">
        <f t="shared" si="0"/>
        <v>42005</v>
      </c>
      <c r="F3" s="83">
        <f t="shared" si="0"/>
        <v>42370</v>
      </c>
      <c r="G3" s="83">
        <f t="shared" si="0"/>
        <v>42736</v>
      </c>
      <c r="H3" s="83">
        <f t="shared" si="0"/>
        <v>43101</v>
      </c>
      <c r="I3" s="84">
        <f t="shared" si="0"/>
        <v>43466</v>
      </c>
      <c r="J3" s="85"/>
      <c r="K3" s="269">
        <v>2016</v>
      </c>
      <c r="L3" s="270"/>
      <c r="M3" s="273" t="str">
        <f>INDEX(Meses,MATCH(Q3,NMês,0))</f>
        <v>Maio</v>
      </c>
      <c r="N3" s="274"/>
      <c r="O3" s="274"/>
      <c r="P3" s="275"/>
      <c r="Q3" s="279">
        <v>5</v>
      </c>
    </row>
    <row r="4" spans="1:24" ht="20.100000000000001" customHeight="1">
      <c r="B4" s="81" t="s">
        <v>36</v>
      </c>
      <c r="C4" s="86">
        <f t="shared" ref="C4:I4" si="1">DATE(C2,4,21)</f>
        <v>41385</v>
      </c>
      <c r="D4" s="87">
        <f t="shared" si="1"/>
        <v>41750</v>
      </c>
      <c r="E4" s="87">
        <f t="shared" si="1"/>
        <v>42115</v>
      </c>
      <c r="F4" s="87">
        <f t="shared" si="1"/>
        <v>42481</v>
      </c>
      <c r="G4" s="87">
        <f t="shared" si="1"/>
        <v>42846</v>
      </c>
      <c r="H4" s="87">
        <f t="shared" si="1"/>
        <v>43211</v>
      </c>
      <c r="I4" s="88">
        <f t="shared" si="1"/>
        <v>43576</v>
      </c>
      <c r="J4" s="85"/>
      <c r="K4" s="271"/>
      <c r="L4" s="272"/>
      <c r="M4" s="276"/>
      <c r="N4" s="277"/>
      <c r="O4" s="277"/>
      <c r="P4" s="278"/>
      <c r="Q4" s="280"/>
    </row>
    <row r="5" spans="1:24" ht="20.100000000000001" customHeight="1">
      <c r="B5" s="81" t="s">
        <v>37</v>
      </c>
      <c r="C5" s="86">
        <f t="shared" ref="C5:I5" si="2">DATE(C2,5,1)</f>
        <v>41395</v>
      </c>
      <c r="D5" s="87">
        <f t="shared" si="2"/>
        <v>41760</v>
      </c>
      <c r="E5" s="87">
        <f t="shared" si="2"/>
        <v>42125</v>
      </c>
      <c r="F5" s="87">
        <f t="shared" si="2"/>
        <v>42491</v>
      </c>
      <c r="G5" s="87">
        <f t="shared" si="2"/>
        <v>42856</v>
      </c>
      <c r="H5" s="87">
        <f t="shared" si="2"/>
        <v>43221</v>
      </c>
      <c r="I5" s="88">
        <f t="shared" si="2"/>
        <v>43586</v>
      </c>
      <c r="J5" s="85"/>
      <c r="K5" s="89" t="s">
        <v>38</v>
      </c>
      <c r="L5" s="89" t="s">
        <v>39</v>
      </c>
      <c r="M5" s="89" t="s">
        <v>40</v>
      </c>
      <c r="N5" s="89" t="s">
        <v>41</v>
      </c>
      <c r="O5" s="90" t="s">
        <v>42</v>
      </c>
      <c r="P5" s="90" t="s">
        <v>43</v>
      </c>
      <c r="Q5" s="89" t="s">
        <v>44</v>
      </c>
    </row>
    <row r="6" spans="1:24" ht="20.100000000000001" customHeight="1">
      <c r="B6" s="81" t="s">
        <v>45</v>
      </c>
      <c r="C6" s="86">
        <f t="shared" ref="C6:I6" si="3">DATE(C2,9,7)</f>
        <v>41524</v>
      </c>
      <c r="D6" s="87">
        <f t="shared" si="3"/>
        <v>41889</v>
      </c>
      <c r="E6" s="87">
        <f t="shared" si="3"/>
        <v>42254</v>
      </c>
      <c r="F6" s="87">
        <f t="shared" si="3"/>
        <v>42620</v>
      </c>
      <c r="G6" s="87">
        <f t="shared" si="3"/>
        <v>42985</v>
      </c>
      <c r="H6" s="87">
        <f t="shared" si="3"/>
        <v>43350</v>
      </c>
      <c r="I6" s="88">
        <f t="shared" si="3"/>
        <v>43715</v>
      </c>
      <c r="J6" s="85"/>
      <c r="K6" s="91">
        <f>PDia-WEEKDAY(PDia,3)</f>
        <v>42485</v>
      </c>
      <c r="L6" s="91">
        <f t="shared" ref="L6:Q11" si="4">K6+1</f>
        <v>42486</v>
      </c>
      <c r="M6" s="91">
        <f t="shared" si="4"/>
        <v>42487</v>
      </c>
      <c r="N6" s="91">
        <f t="shared" si="4"/>
        <v>42488</v>
      </c>
      <c r="O6" s="91">
        <f t="shared" si="4"/>
        <v>42489</v>
      </c>
      <c r="P6" s="91">
        <f t="shared" si="4"/>
        <v>42490</v>
      </c>
      <c r="Q6" s="91">
        <f t="shared" si="4"/>
        <v>42491</v>
      </c>
      <c r="S6" s="228"/>
      <c r="T6" s="229"/>
      <c r="U6" s="229"/>
      <c r="V6" s="148"/>
      <c r="W6" s="148"/>
    </row>
    <row r="7" spans="1:24" ht="20.100000000000001" customHeight="1">
      <c r="B7" s="81" t="s">
        <v>49</v>
      </c>
      <c r="C7" s="86">
        <f t="shared" ref="C7:I7" si="5">DATE(C2,10,12)</f>
        <v>41559</v>
      </c>
      <c r="D7" s="87">
        <f t="shared" si="5"/>
        <v>41924</v>
      </c>
      <c r="E7" s="87">
        <f t="shared" si="5"/>
        <v>42289</v>
      </c>
      <c r="F7" s="87">
        <f t="shared" si="5"/>
        <v>42655</v>
      </c>
      <c r="G7" s="87">
        <f t="shared" si="5"/>
        <v>43020</v>
      </c>
      <c r="H7" s="87">
        <f t="shared" si="5"/>
        <v>43385</v>
      </c>
      <c r="I7" s="88">
        <f t="shared" si="5"/>
        <v>43750</v>
      </c>
      <c r="J7" s="85"/>
      <c r="K7" s="91">
        <f>Q6+1</f>
        <v>42492</v>
      </c>
      <c r="L7" s="91">
        <f t="shared" si="4"/>
        <v>42493</v>
      </c>
      <c r="M7" s="91">
        <f t="shared" si="4"/>
        <v>42494</v>
      </c>
      <c r="N7" s="91">
        <f t="shared" si="4"/>
        <v>42495</v>
      </c>
      <c r="O7" s="91">
        <f t="shared" si="4"/>
        <v>42496</v>
      </c>
      <c r="P7" s="91">
        <f t="shared" si="4"/>
        <v>42497</v>
      </c>
      <c r="Q7" s="91">
        <f t="shared" si="4"/>
        <v>42498</v>
      </c>
      <c r="S7" s="149"/>
      <c r="T7" s="149"/>
      <c r="U7" s="150"/>
      <c r="V7" s="151"/>
      <c r="W7" s="151"/>
    </row>
    <row r="8" spans="1:24" ht="20.100000000000001" customHeight="1">
      <c r="B8" s="81" t="s">
        <v>51</v>
      </c>
      <c r="C8" s="86">
        <f t="shared" ref="C8:I8" si="6">DATE(C2,11,2)</f>
        <v>41580</v>
      </c>
      <c r="D8" s="87">
        <f t="shared" si="6"/>
        <v>41945</v>
      </c>
      <c r="E8" s="87">
        <f t="shared" si="6"/>
        <v>42310</v>
      </c>
      <c r="F8" s="87">
        <f t="shared" si="6"/>
        <v>42676</v>
      </c>
      <c r="G8" s="87">
        <f t="shared" si="6"/>
        <v>43041</v>
      </c>
      <c r="H8" s="87">
        <f t="shared" si="6"/>
        <v>43406</v>
      </c>
      <c r="I8" s="88">
        <f t="shared" si="6"/>
        <v>43771</v>
      </c>
      <c r="J8" s="85"/>
      <c r="K8" s="91">
        <f>Q7+1</f>
        <v>42499</v>
      </c>
      <c r="L8" s="91">
        <f t="shared" si="4"/>
        <v>42500</v>
      </c>
      <c r="M8" s="91">
        <f t="shared" si="4"/>
        <v>42501</v>
      </c>
      <c r="N8" s="91">
        <f t="shared" si="4"/>
        <v>42502</v>
      </c>
      <c r="O8" s="91">
        <f t="shared" si="4"/>
        <v>42503</v>
      </c>
      <c r="P8" s="91">
        <f t="shared" si="4"/>
        <v>42504</v>
      </c>
      <c r="Q8" s="91">
        <f t="shared" si="4"/>
        <v>42505</v>
      </c>
    </row>
    <row r="9" spans="1:24" ht="20.100000000000001" customHeight="1">
      <c r="B9" s="81" t="s">
        <v>52</v>
      </c>
      <c r="C9" s="86">
        <f t="shared" ref="C9:I9" si="7">DATE(C2,11,15)</f>
        <v>41593</v>
      </c>
      <c r="D9" s="87">
        <f t="shared" si="7"/>
        <v>41958</v>
      </c>
      <c r="E9" s="87">
        <f t="shared" si="7"/>
        <v>42323</v>
      </c>
      <c r="F9" s="87">
        <f t="shared" si="7"/>
        <v>42689</v>
      </c>
      <c r="G9" s="87">
        <f t="shared" si="7"/>
        <v>43054</v>
      </c>
      <c r="H9" s="87">
        <f t="shared" si="7"/>
        <v>43419</v>
      </c>
      <c r="I9" s="88">
        <f t="shared" si="7"/>
        <v>43784</v>
      </c>
      <c r="J9" s="85"/>
      <c r="K9" s="91">
        <f>Q8+1</f>
        <v>42506</v>
      </c>
      <c r="L9" s="91">
        <f>K9+1</f>
        <v>42507</v>
      </c>
      <c r="M9" s="91">
        <f t="shared" si="4"/>
        <v>42508</v>
      </c>
      <c r="N9" s="91">
        <f t="shared" si="4"/>
        <v>42509</v>
      </c>
      <c r="O9" s="91">
        <f t="shared" si="4"/>
        <v>42510</v>
      </c>
      <c r="P9" s="91">
        <f t="shared" si="4"/>
        <v>42511</v>
      </c>
      <c r="Q9" s="91">
        <f t="shared" si="4"/>
        <v>42512</v>
      </c>
    </row>
    <row r="10" spans="1:24" ht="20.100000000000001" customHeight="1">
      <c r="B10" s="81" t="s">
        <v>53</v>
      </c>
      <c r="C10" s="86">
        <f t="shared" ref="C10:I10" si="8">DATE(C2,12,25)</f>
        <v>41633</v>
      </c>
      <c r="D10" s="87">
        <f t="shared" si="8"/>
        <v>41998</v>
      </c>
      <c r="E10" s="87">
        <f t="shared" si="8"/>
        <v>42363</v>
      </c>
      <c r="F10" s="87">
        <f t="shared" si="8"/>
        <v>42729</v>
      </c>
      <c r="G10" s="87">
        <f t="shared" si="8"/>
        <v>43094</v>
      </c>
      <c r="H10" s="87">
        <f t="shared" si="8"/>
        <v>43459</v>
      </c>
      <c r="I10" s="88">
        <f t="shared" si="8"/>
        <v>43824</v>
      </c>
      <c r="J10" s="85"/>
      <c r="K10" s="91">
        <f>Q9+1</f>
        <v>42513</v>
      </c>
      <c r="L10" s="91">
        <f>K10+1</f>
        <v>42514</v>
      </c>
      <c r="M10" s="91">
        <f t="shared" si="4"/>
        <v>42515</v>
      </c>
      <c r="N10" s="91">
        <f t="shared" si="4"/>
        <v>42516</v>
      </c>
      <c r="O10" s="94">
        <f t="shared" si="4"/>
        <v>42517</v>
      </c>
      <c r="P10" s="94">
        <f t="shared" si="4"/>
        <v>42518</v>
      </c>
      <c r="Q10" s="94">
        <f>P10+1</f>
        <v>42519</v>
      </c>
    </row>
    <row r="11" spans="1:24" ht="20.100000000000001" customHeight="1">
      <c r="B11" s="81" t="s">
        <v>54</v>
      </c>
      <c r="C11" s="95">
        <f t="shared" ref="C11:I11" si="9">DATE(C2,mes_1,dia_1)</f>
        <v>41435</v>
      </c>
      <c r="D11" s="96">
        <f t="shared" si="9"/>
        <v>41800</v>
      </c>
      <c r="E11" s="96">
        <f t="shared" si="9"/>
        <v>42165</v>
      </c>
      <c r="F11" s="96">
        <f t="shared" si="9"/>
        <v>42531</v>
      </c>
      <c r="G11" s="96">
        <f t="shared" si="9"/>
        <v>42896</v>
      </c>
      <c r="H11" s="96">
        <f t="shared" si="9"/>
        <v>43261</v>
      </c>
      <c r="I11" s="97">
        <f t="shared" si="9"/>
        <v>43626</v>
      </c>
      <c r="J11" s="85"/>
      <c r="K11" s="91">
        <f>Q10+1</f>
        <v>42520</v>
      </c>
      <c r="L11" s="91">
        <f>K11+1</f>
        <v>42521</v>
      </c>
      <c r="M11" s="91">
        <f t="shared" si="4"/>
        <v>42522</v>
      </c>
      <c r="N11" s="91">
        <f t="shared" si="4"/>
        <v>42523</v>
      </c>
      <c r="O11" s="94">
        <f t="shared" si="4"/>
        <v>42524</v>
      </c>
      <c r="P11" s="94">
        <f t="shared" si="4"/>
        <v>42525</v>
      </c>
      <c r="Q11" s="94">
        <f t="shared" si="4"/>
        <v>42526</v>
      </c>
    </row>
    <row r="12" spans="1:24" ht="20.100000000000001" customHeight="1">
      <c r="B12" s="81" t="s">
        <v>55</v>
      </c>
      <c r="C12" s="95">
        <f t="shared" ref="C12:I12" si="10">DATE(C2,mes_2,dia_2)</f>
        <v>41449</v>
      </c>
      <c r="D12" s="96">
        <f t="shared" si="10"/>
        <v>41814</v>
      </c>
      <c r="E12" s="96">
        <f t="shared" si="10"/>
        <v>42179</v>
      </c>
      <c r="F12" s="96">
        <f t="shared" si="10"/>
        <v>42545</v>
      </c>
      <c r="G12" s="96">
        <f t="shared" si="10"/>
        <v>42910</v>
      </c>
      <c r="H12" s="96">
        <f t="shared" si="10"/>
        <v>43275</v>
      </c>
      <c r="I12" s="97">
        <f t="shared" si="10"/>
        <v>43640</v>
      </c>
      <c r="J12" s="85"/>
      <c r="K12" s="91"/>
      <c r="L12" s="91"/>
      <c r="M12" s="91"/>
      <c r="N12" s="91"/>
      <c r="O12" s="94"/>
      <c r="P12" s="94"/>
      <c r="Q12" s="94"/>
    </row>
    <row r="13" spans="1:24" ht="20.100000000000001" customHeight="1">
      <c r="A13" s="98">
        <f>fsexta</f>
        <v>1</v>
      </c>
      <c r="B13" s="81" t="s">
        <v>56</v>
      </c>
      <c r="C13" s="99">
        <f t="shared" ref="C13:I13" si="11">IF($A$13=1,C18-2,$BC$115)</f>
        <v>41362</v>
      </c>
      <c r="D13" s="100">
        <f t="shared" si="11"/>
        <v>41747</v>
      </c>
      <c r="E13" s="100">
        <f t="shared" si="11"/>
        <v>42097</v>
      </c>
      <c r="F13" s="100">
        <f t="shared" si="11"/>
        <v>42454</v>
      </c>
      <c r="G13" s="100">
        <f t="shared" si="11"/>
        <v>42839</v>
      </c>
      <c r="H13" s="100">
        <f t="shared" si="11"/>
        <v>43189</v>
      </c>
      <c r="I13" s="101">
        <f t="shared" si="11"/>
        <v>43574</v>
      </c>
      <c r="J13" s="85"/>
      <c r="K13" s="244">
        <f ca="1">TODAY()</f>
        <v>43143</v>
      </c>
      <c r="L13" s="245"/>
      <c r="M13" s="245"/>
      <c r="N13" s="245"/>
      <c r="O13" s="245"/>
      <c r="P13" s="245"/>
      <c r="Q13" s="246"/>
      <c r="X13" s="102"/>
    </row>
    <row r="14" spans="1:24" ht="20.100000000000001" customHeight="1">
      <c r="A14" s="98">
        <f>fcorpus</f>
        <v>1</v>
      </c>
      <c r="B14" s="81" t="s">
        <v>57</v>
      </c>
      <c r="C14" s="99">
        <f t="shared" ref="C14:I14" si="12">IF($A$14=1,C18+60,$BC$115)</f>
        <v>41424</v>
      </c>
      <c r="D14" s="100">
        <f t="shared" si="12"/>
        <v>41809</v>
      </c>
      <c r="E14" s="100">
        <f t="shared" si="12"/>
        <v>42159</v>
      </c>
      <c r="F14" s="100">
        <f t="shared" si="12"/>
        <v>42516</v>
      </c>
      <c r="G14" s="100">
        <f t="shared" si="12"/>
        <v>42901</v>
      </c>
      <c r="H14" s="100">
        <f t="shared" si="12"/>
        <v>43251</v>
      </c>
      <c r="I14" s="101">
        <f t="shared" si="12"/>
        <v>43636</v>
      </c>
      <c r="J14" s="85"/>
      <c r="K14" s="230" t="s">
        <v>46</v>
      </c>
      <c r="L14" s="231"/>
      <c r="M14" s="231"/>
      <c r="N14" s="232"/>
      <c r="O14" s="233"/>
      <c r="P14" s="92" t="s">
        <v>47</v>
      </c>
      <c r="Q14" s="92" t="s">
        <v>48</v>
      </c>
    </row>
    <row r="15" spans="1:24" ht="20.100000000000001" customHeight="1">
      <c r="A15" s="98">
        <f>fcarnaval</f>
        <v>0</v>
      </c>
      <c r="B15" s="103" t="s">
        <v>58</v>
      </c>
      <c r="C15" s="104">
        <f t="shared" ref="C15:I15" si="13">IF($A$15=1,C18-47,$BC$115)</f>
        <v>1830</v>
      </c>
      <c r="D15" s="105">
        <f t="shared" si="13"/>
        <v>1830</v>
      </c>
      <c r="E15" s="105">
        <f t="shared" si="13"/>
        <v>1830</v>
      </c>
      <c r="F15" s="105">
        <f t="shared" si="13"/>
        <v>1830</v>
      </c>
      <c r="G15" s="105">
        <f t="shared" si="13"/>
        <v>1830</v>
      </c>
      <c r="H15" s="105">
        <f t="shared" si="13"/>
        <v>1830</v>
      </c>
      <c r="I15" s="106">
        <f t="shared" si="13"/>
        <v>1830</v>
      </c>
      <c r="J15" s="85"/>
      <c r="K15" s="236">
        <f>PDia</f>
        <v>42491</v>
      </c>
      <c r="L15" s="237"/>
      <c r="M15" s="147" t="s">
        <v>50</v>
      </c>
      <c r="N15" s="234">
        <f>DATE(YEAR(K15),MONTH(K15)+1,0)</f>
        <v>42521</v>
      </c>
      <c r="O15" s="235"/>
      <c r="P15" s="93">
        <f ca="1">SUMPRODUCT((WEEKDAY(ROW(INDIRECT(K15&amp;":"&amp;N15)),2)&lt;7)*1)</f>
        <v>26</v>
      </c>
      <c r="Q15" s="161">
        <f ca="1">SUMPRODUCT((WEEKDAY(ROW(INDIRECT(K15&amp;":"&amp;N15)),2)&lt;7)*(COUNTIF(Fer,ROW(INDIRECT(K15&amp;":"&amp;N15)))=0))</f>
        <v>25</v>
      </c>
    </row>
    <row r="16" spans="1:24" ht="6.95" customHeight="1"/>
    <row r="17" spans="2:17" ht="6.95" customHeight="1"/>
    <row r="18" spans="2:17" ht="20.100000000000001" customHeight="1">
      <c r="B18" s="107" t="s">
        <v>59</v>
      </c>
      <c r="C18" s="152">
        <f t="shared" ref="C18:I18" si="14">DATE(C2,IF((25-MOD((11*MOD(C2-1900,19)+4-INT((7*MOD(C2-1900,19)+1)/19)),29)-MOD(C2-1900+INT((C2-1900)/4)+31-MOD((11*MOD(C2-1900,19)+4-INT((7*MOD(C2-1900,19)+1)/19)),29),7))&gt;0,4,3),IF((25-MOD((11*MOD(C2-1900,19)+4-INT((7*MOD(C2-1900,19)+1)/19)),29)-MOD(C2-1900+INT((C2-1900)/4)+31-MOD((11*MOD(C2-1900,19)+4-INT((7*MOD(C2-1900,19)+1)/19)),29),7))&gt;0,(25-MOD((11*MOD(C2-1900,19)+4-INT((7*MOD(C2-1900,19)+1)/19)),29)-MOD(C2-1900+INT((C2-1900)/4)+31-MOD((11*MOD(C2-1900,19)+4-INT((7*MOD(C2-1900,19)+1)/19)),29),7)),31+(25-MOD((11*MOD(C2-1900,19)+4-INT((7*MOD(C2-1900,19)+1)/19)),29)-MOD(C2-1900+INT((C2-1900)/4)+31-MOD((11*MOD(C2-1900,19)+4-INT((7*MOD(C2-1900,19)+1)/19)),29),7))))</f>
        <v>41364</v>
      </c>
      <c r="D18" s="153">
        <f t="shared" si="14"/>
        <v>41749</v>
      </c>
      <c r="E18" s="153">
        <f t="shared" si="14"/>
        <v>42099</v>
      </c>
      <c r="F18" s="153">
        <f t="shared" si="14"/>
        <v>42456</v>
      </c>
      <c r="G18" s="153">
        <f t="shared" si="14"/>
        <v>42841</v>
      </c>
      <c r="H18" s="153">
        <f t="shared" si="14"/>
        <v>43191</v>
      </c>
      <c r="I18" s="154">
        <f t="shared" si="14"/>
        <v>43576</v>
      </c>
      <c r="J18" s="108"/>
    </row>
    <row r="19" spans="2:17" ht="6.95" customHeight="1">
      <c r="C19" s="109"/>
      <c r="D19" s="109"/>
      <c r="E19" s="109"/>
      <c r="F19" s="109"/>
      <c r="G19" s="109"/>
      <c r="H19" s="109"/>
      <c r="I19" s="109"/>
      <c r="J19" s="109"/>
      <c r="K19" s="110"/>
      <c r="L19" s="109"/>
      <c r="N19" s="109"/>
    </row>
    <row r="20" spans="2:17" ht="6.95" customHeight="1"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11"/>
      <c r="N20" s="112"/>
      <c r="O20" s="258" t="s">
        <v>134</v>
      </c>
      <c r="P20" s="259"/>
      <c r="Q20" s="259"/>
    </row>
    <row r="21" spans="2:17" ht="15.95" customHeight="1">
      <c r="B21" s="172" t="s">
        <v>60</v>
      </c>
      <c r="C21" s="173" t="str">
        <f t="shared" ref="C21:I21" si="15">TEXT(C15,"ddd")</f>
        <v>ter</v>
      </c>
      <c r="D21" s="174" t="str">
        <f t="shared" si="15"/>
        <v>ter</v>
      </c>
      <c r="E21" s="174" t="str">
        <f t="shared" si="15"/>
        <v>ter</v>
      </c>
      <c r="F21" s="174" t="str">
        <f t="shared" si="15"/>
        <v>ter</v>
      </c>
      <c r="G21" s="174" t="str">
        <f t="shared" si="15"/>
        <v>ter</v>
      </c>
      <c r="H21" s="174" t="str">
        <f t="shared" si="15"/>
        <v>ter</v>
      </c>
      <c r="I21" s="175" t="str">
        <f t="shared" si="15"/>
        <v>ter</v>
      </c>
      <c r="J21" s="113"/>
      <c r="K21" s="114"/>
      <c r="L21" s="114"/>
      <c r="M21" s="114"/>
      <c r="N21" s="114"/>
      <c r="O21" s="259"/>
      <c r="P21" s="259"/>
      <c r="Q21" s="259"/>
    </row>
    <row r="22" spans="2:17" ht="15.95" customHeight="1">
      <c r="B22" s="115" t="s">
        <v>61</v>
      </c>
      <c r="C22" s="116" t="str">
        <f t="shared" ref="C22:I22" si="16">TEXT(C13,"ddd")</f>
        <v>sex</v>
      </c>
      <c r="D22" s="117" t="str">
        <f t="shared" si="16"/>
        <v>sex</v>
      </c>
      <c r="E22" s="117" t="str">
        <f t="shared" si="16"/>
        <v>sex</v>
      </c>
      <c r="F22" s="117" t="str">
        <f t="shared" si="16"/>
        <v>sex</v>
      </c>
      <c r="G22" s="117" t="str">
        <f t="shared" si="16"/>
        <v>sex</v>
      </c>
      <c r="H22" s="117" t="str">
        <f t="shared" si="16"/>
        <v>sex</v>
      </c>
      <c r="I22" s="118" t="str">
        <f t="shared" si="16"/>
        <v>sex</v>
      </c>
      <c r="J22" s="113"/>
      <c r="K22" s="114"/>
      <c r="L22" s="114"/>
      <c r="M22" s="114"/>
      <c r="N22" s="114"/>
      <c r="O22" s="259"/>
      <c r="P22" s="259"/>
      <c r="Q22" s="259"/>
    </row>
    <row r="23" spans="2:17" ht="15.95" customHeight="1">
      <c r="B23" s="119" t="s">
        <v>62</v>
      </c>
      <c r="C23" s="120" t="str">
        <f t="shared" ref="C23:I23" si="17">TEXT(C18,"ddd")</f>
        <v>dom</v>
      </c>
      <c r="D23" s="121" t="str">
        <f t="shared" si="17"/>
        <v>dom</v>
      </c>
      <c r="E23" s="121" t="str">
        <f t="shared" si="17"/>
        <v>dom</v>
      </c>
      <c r="F23" s="121" t="str">
        <f t="shared" si="17"/>
        <v>dom</v>
      </c>
      <c r="G23" s="121" t="str">
        <f t="shared" si="17"/>
        <v>dom</v>
      </c>
      <c r="H23" s="121" t="str">
        <f t="shared" si="17"/>
        <v>dom</v>
      </c>
      <c r="I23" s="122" t="str">
        <f t="shared" si="17"/>
        <v>dom</v>
      </c>
      <c r="J23" s="113"/>
      <c r="K23" s="114"/>
      <c r="L23" s="114"/>
      <c r="M23" s="114"/>
      <c r="N23" s="114"/>
    </row>
    <row r="24" spans="2:17" ht="15.95" customHeight="1">
      <c r="B24" s="123" t="s">
        <v>57</v>
      </c>
      <c r="C24" s="124" t="str">
        <f t="shared" ref="C24:I24" si="18">TEXT(C14,"ddd")</f>
        <v>qui</v>
      </c>
      <c r="D24" s="125" t="str">
        <f t="shared" si="18"/>
        <v>qui</v>
      </c>
      <c r="E24" s="125" t="str">
        <f t="shared" si="18"/>
        <v>qui</v>
      </c>
      <c r="F24" s="125" t="str">
        <f t="shared" si="18"/>
        <v>qui</v>
      </c>
      <c r="G24" s="125" t="str">
        <f t="shared" si="18"/>
        <v>qui</v>
      </c>
      <c r="H24" s="125" t="str">
        <f t="shared" si="18"/>
        <v>qui</v>
      </c>
      <c r="I24" s="126" t="str">
        <f t="shared" si="18"/>
        <v>qui</v>
      </c>
      <c r="J24" s="113"/>
      <c r="K24" s="114"/>
      <c r="L24" s="114"/>
      <c r="M24" s="114"/>
      <c r="N24" s="114"/>
    </row>
    <row r="25" spans="2:17" ht="6.95" customHeight="1"/>
    <row r="26" spans="2:17" ht="6.95" customHeight="1">
      <c r="K26" s="127"/>
      <c r="L26" s="127"/>
      <c r="M26" s="127"/>
    </row>
    <row r="27" spans="2:17" ht="20.100000000000001" customHeight="1">
      <c r="B27" s="247" t="s">
        <v>63</v>
      </c>
      <c r="C27" s="248"/>
      <c r="D27" s="248"/>
      <c r="E27" s="248"/>
      <c r="F27" s="249"/>
      <c r="G27" s="241" t="s">
        <v>64</v>
      </c>
      <c r="H27" s="242"/>
      <c r="I27" s="243"/>
      <c r="K27" s="127"/>
      <c r="L27" s="127"/>
      <c r="M27" s="127"/>
    </row>
    <row r="28" spans="2:17" ht="20.100000000000001" customHeight="1">
      <c r="B28" s="128" t="s">
        <v>65</v>
      </c>
      <c r="C28" s="129"/>
      <c r="D28" s="129"/>
      <c r="E28" s="129"/>
      <c r="F28" s="130"/>
      <c r="G28" s="131" t="s">
        <v>34</v>
      </c>
      <c r="H28" s="131" t="s">
        <v>66</v>
      </c>
      <c r="I28" s="131" t="s">
        <v>67</v>
      </c>
      <c r="K28" s="127"/>
      <c r="L28" s="127"/>
      <c r="M28" s="127"/>
    </row>
    <row r="29" spans="2:17" ht="20.100000000000001" customHeight="1">
      <c r="B29" s="132" t="s">
        <v>104</v>
      </c>
      <c r="C29" s="133"/>
      <c r="D29" s="133"/>
      <c r="E29" s="133"/>
      <c r="F29" s="134"/>
      <c r="G29" s="155" t="s">
        <v>68</v>
      </c>
      <c r="H29" s="156">
        <v>6</v>
      </c>
      <c r="I29" s="156">
        <v>10</v>
      </c>
      <c r="K29" s="127"/>
      <c r="L29" s="256" t="s">
        <v>133</v>
      </c>
      <c r="M29" s="257"/>
      <c r="N29" s="257"/>
    </row>
    <row r="30" spans="2:17" ht="20.100000000000001" customHeight="1">
      <c r="B30" s="132" t="s">
        <v>69</v>
      </c>
      <c r="C30" s="133"/>
      <c r="D30" s="133"/>
      <c r="E30" s="133"/>
      <c r="F30" s="134"/>
      <c r="G30" s="157" t="s">
        <v>70</v>
      </c>
      <c r="H30" s="158">
        <v>6</v>
      </c>
      <c r="I30" s="158">
        <v>24</v>
      </c>
      <c r="L30" s="257"/>
      <c r="M30" s="257"/>
      <c r="N30" s="257"/>
    </row>
    <row r="31" spans="2:17" ht="20.100000000000001" customHeight="1">
      <c r="B31" s="132" t="s">
        <v>71</v>
      </c>
      <c r="C31" s="133"/>
      <c r="D31" s="133"/>
      <c r="E31" s="133"/>
      <c r="F31" s="134"/>
    </row>
    <row r="32" spans="2:17" ht="20.100000000000001" customHeight="1">
      <c r="B32" s="135" t="s">
        <v>72</v>
      </c>
      <c r="C32" s="136"/>
      <c r="D32" s="136"/>
      <c r="E32" s="136"/>
      <c r="F32" s="137"/>
    </row>
    <row r="33" spans="2:6" ht="6.95" customHeight="1"/>
    <row r="34" spans="2:6" ht="6.95" customHeight="1"/>
    <row r="35" spans="2:6" ht="18" customHeight="1">
      <c r="B35" s="138" t="s">
        <v>73</v>
      </c>
    </row>
    <row r="36" spans="2:6" ht="18" customHeight="1">
      <c r="B36" s="139" t="s">
        <v>74</v>
      </c>
    </row>
    <row r="37" spans="2:6" ht="6.95" customHeight="1"/>
    <row r="38" spans="2:6" ht="6.95" customHeight="1"/>
    <row r="39" spans="2:6" ht="32.1" customHeight="1">
      <c r="B39" s="140" t="s">
        <v>34</v>
      </c>
      <c r="C39" s="140" t="s">
        <v>75</v>
      </c>
      <c r="D39" s="250" t="s">
        <v>76</v>
      </c>
      <c r="E39" s="251"/>
      <c r="F39" s="252"/>
    </row>
    <row r="40" spans="2:6" ht="32.1" customHeight="1">
      <c r="B40" s="141" t="s">
        <v>77</v>
      </c>
      <c r="C40" s="142" t="s">
        <v>78</v>
      </c>
      <c r="D40" s="253" t="s">
        <v>79</v>
      </c>
      <c r="E40" s="254"/>
      <c r="F40" s="255"/>
    </row>
    <row r="41" spans="2:6" ht="32.1" customHeight="1">
      <c r="B41" s="143" t="s">
        <v>80</v>
      </c>
      <c r="C41" s="142" t="s">
        <v>78</v>
      </c>
      <c r="D41" s="238" t="s">
        <v>81</v>
      </c>
      <c r="E41" s="239"/>
      <c r="F41" s="240"/>
    </row>
    <row r="42" spans="2:6" ht="32.1" customHeight="1">
      <c r="B42" s="143" t="s">
        <v>82</v>
      </c>
      <c r="C42" s="142" t="s">
        <v>78</v>
      </c>
      <c r="D42" s="253" t="s">
        <v>79</v>
      </c>
      <c r="E42" s="254"/>
      <c r="F42" s="255"/>
    </row>
    <row r="43" spans="2:6" ht="32.1" customHeight="1">
      <c r="B43" s="141" t="s">
        <v>83</v>
      </c>
      <c r="C43" s="142" t="s">
        <v>78</v>
      </c>
      <c r="D43" s="253" t="s">
        <v>79</v>
      </c>
      <c r="E43" s="254"/>
      <c r="F43" s="255"/>
    </row>
    <row r="44" spans="2:6" ht="32.1" customHeight="1">
      <c r="B44" s="143" t="s">
        <v>84</v>
      </c>
      <c r="C44" s="142" t="s">
        <v>78</v>
      </c>
      <c r="D44" s="253" t="s">
        <v>85</v>
      </c>
      <c r="E44" s="254"/>
      <c r="F44" s="255"/>
    </row>
    <row r="45" spans="2:6" ht="32.1" customHeight="1">
      <c r="B45" s="143" t="s">
        <v>86</v>
      </c>
      <c r="C45" s="142" t="s">
        <v>78</v>
      </c>
      <c r="D45" s="238" t="s">
        <v>81</v>
      </c>
      <c r="E45" s="239"/>
      <c r="F45" s="240"/>
    </row>
    <row r="46" spans="2:6" ht="39.950000000000003" customHeight="1">
      <c r="B46" s="143" t="s">
        <v>87</v>
      </c>
      <c r="C46" s="142" t="s">
        <v>78</v>
      </c>
      <c r="D46" s="238" t="s">
        <v>88</v>
      </c>
      <c r="E46" s="239"/>
      <c r="F46" s="240"/>
    </row>
    <row r="47" spans="2:6" ht="32.1" customHeight="1">
      <c r="B47" s="143" t="s">
        <v>52</v>
      </c>
      <c r="C47" s="142" t="s">
        <v>78</v>
      </c>
      <c r="D47" s="253" t="s">
        <v>79</v>
      </c>
      <c r="E47" s="254"/>
      <c r="F47" s="255"/>
    </row>
    <row r="48" spans="2:6" ht="32.1" customHeight="1">
      <c r="B48" s="143" t="s">
        <v>89</v>
      </c>
      <c r="C48" s="142" t="s">
        <v>78</v>
      </c>
      <c r="D48" s="253" t="s">
        <v>79</v>
      </c>
      <c r="E48" s="254"/>
      <c r="F48" s="255"/>
    </row>
    <row r="49" spans="4:38" ht="24" customHeight="1"/>
    <row r="50" spans="4:38" ht="24" customHeight="1">
      <c r="D50" s="144"/>
      <c r="AK50" s="74" t="s">
        <v>90</v>
      </c>
      <c r="AL50" s="74" t="s">
        <v>91</v>
      </c>
    </row>
    <row r="51" spans="4:38" ht="24" customHeight="1">
      <c r="AK51" s="145">
        <f>DATE(anno,MATCH($Q$3,NMês,0),1)</f>
        <v>42491</v>
      </c>
      <c r="AL51" s="145">
        <f>DATE(anno,MATCH($M$3,Meses,0)+1,1)-1</f>
        <v>42521</v>
      </c>
    </row>
    <row r="52" spans="4:38" ht="24" customHeight="1">
      <c r="AK52" s="74" t="s">
        <v>92</v>
      </c>
      <c r="AL52" s="74">
        <v>1</v>
      </c>
    </row>
    <row r="53" spans="4:38">
      <c r="AK53" s="74" t="s">
        <v>93</v>
      </c>
      <c r="AL53" s="74">
        <v>2</v>
      </c>
    </row>
    <row r="54" spans="4:38">
      <c r="AK54" s="74" t="s">
        <v>94</v>
      </c>
      <c r="AL54" s="74">
        <v>3</v>
      </c>
    </row>
    <row r="55" spans="4:38">
      <c r="AK55" s="74" t="s">
        <v>95</v>
      </c>
      <c r="AL55" s="74">
        <v>4</v>
      </c>
    </row>
    <row r="56" spans="4:38">
      <c r="AK56" s="74" t="s">
        <v>96</v>
      </c>
      <c r="AL56" s="74">
        <v>5</v>
      </c>
    </row>
    <row r="57" spans="4:38">
      <c r="AK57" s="74" t="s">
        <v>97</v>
      </c>
      <c r="AL57" s="74">
        <v>6</v>
      </c>
    </row>
    <row r="58" spans="4:38">
      <c r="AK58" s="74" t="s">
        <v>98</v>
      </c>
      <c r="AL58" s="74">
        <v>7</v>
      </c>
    </row>
    <row r="59" spans="4:38">
      <c r="AK59" s="74" t="s">
        <v>99</v>
      </c>
      <c r="AL59" s="74">
        <v>8</v>
      </c>
    </row>
    <row r="60" spans="4:38">
      <c r="AK60" s="74" t="s">
        <v>100</v>
      </c>
      <c r="AL60" s="74">
        <v>9</v>
      </c>
    </row>
    <row r="61" spans="4:38">
      <c r="AK61" s="74" t="s">
        <v>101</v>
      </c>
      <c r="AL61" s="74">
        <v>10</v>
      </c>
    </row>
    <row r="62" spans="4:38">
      <c r="AK62" s="74" t="s">
        <v>102</v>
      </c>
      <c r="AL62" s="74">
        <v>11</v>
      </c>
    </row>
    <row r="63" spans="4:38">
      <c r="AK63" s="74" t="s">
        <v>103</v>
      </c>
      <c r="AL63" s="74">
        <v>12</v>
      </c>
    </row>
    <row r="98" spans="3:4">
      <c r="C98" s="146"/>
    </row>
    <row r="100" spans="3:4">
      <c r="C100" s="146" t="b">
        <v>1</v>
      </c>
      <c r="D100" s="74">
        <f>IF(C100=TRUE,1,0)</f>
        <v>1</v>
      </c>
    </row>
    <row r="101" spans="3:4">
      <c r="C101" s="146" t="b">
        <v>1</v>
      </c>
      <c r="D101" s="74">
        <f>IF(C101=TRUE,1,0)</f>
        <v>1</v>
      </c>
    </row>
    <row r="102" spans="3:4">
      <c r="C102" s="146" t="b">
        <v>0</v>
      </c>
      <c r="D102" s="74">
        <f>IF(C102=TRUE,1,0)</f>
        <v>0</v>
      </c>
    </row>
    <row r="112" spans="3:4">
      <c r="C112" s="74" t="b">
        <v>1</v>
      </c>
    </row>
    <row r="115" spans="55:55">
      <c r="BC115" s="145">
        <v>1830</v>
      </c>
    </row>
  </sheetData>
  <mergeCells count="24">
    <mergeCell ref="D48:F48"/>
    <mergeCell ref="D42:F42"/>
    <mergeCell ref="D43:F43"/>
    <mergeCell ref="D44:F44"/>
    <mergeCell ref="D45:F45"/>
    <mergeCell ref="D46:F46"/>
    <mergeCell ref="D47:F47"/>
    <mergeCell ref="B1:I1"/>
    <mergeCell ref="K1:Q2"/>
    <mergeCell ref="K3:L4"/>
    <mergeCell ref="M3:P4"/>
    <mergeCell ref="Q3:Q4"/>
    <mergeCell ref="S6:U6"/>
    <mergeCell ref="K14:O14"/>
    <mergeCell ref="N15:O15"/>
    <mergeCell ref="K15:L15"/>
    <mergeCell ref="D41:F41"/>
    <mergeCell ref="G27:I27"/>
    <mergeCell ref="K13:Q13"/>
    <mergeCell ref="B27:F27"/>
    <mergeCell ref="D39:F39"/>
    <mergeCell ref="D40:F40"/>
    <mergeCell ref="L29:N30"/>
    <mergeCell ref="O20:Q22"/>
  </mergeCells>
  <conditionalFormatting sqref="C13:C14 C15:J15">
    <cfRule type="expression" dxfId="14" priority="12" stopIfTrue="1">
      <formula>$C13=$BC$115</formula>
    </cfRule>
  </conditionalFormatting>
  <conditionalFormatting sqref="D13:D14">
    <cfRule type="expression" dxfId="13" priority="13" stopIfTrue="1">
      <formula>$D13=$BC$115</formula>
    </cfRule>
  </conditionalFormatting>
  <conditionalFormatting sqref="E13:E14">
    <cfRule type="expression" dxfId="12" priority="14" stopIfTrue="1">
      <formula>$E13=$BC$115</formula>
    </cfRule>
  </conditionalFormatting>
  <conditionalFormatting sqref="F13:F14">
    <cfRule type="expression" dxfId="11" priority="15" stopIfTrue="1">
      <formula>$F13=$BC$115</formula>
    </cfRule>
  </conditionalFormatting>
  <conditionalFormatting sqref="G13:G14">
    <cfRule type="expression" dxfId="10" priority="16" stopIfTrue="1">
      <formula>$G13=$BC$115</formula>
    </cfRule>
  </conditionalFormatting>
  <conditionalFormatting sqref="H13:H14">
    <cfRule type="expression" dxfId="9" priority="17" stopIfTrue="1">
      <formula>$H13=$BC$115</formula>
    </cfRule>
  </conditionalFormatting>
  <conditionalFormatting sqref="I13:I14">
    <cfRule type="expression" dxfId="8" priority="18" stopIfTrue="1">
      <formula>$I13=$BC$115</formula>
    </cfRule>
  </conditionalFormatting>
  <conditionalFormatting sqref="J13:J14">
    <cfRule type="expression" dxfId="7" priority="19" stopIfTrue="1">
      <formula>$J13=$BC$115</formula>
    </cfRule>
  </conditionalFormatting>
  <conditionalFormatting sqref="K6:Q12">
    <cfRule type="cellIs" dxfId="6" priority="7" stopIfTrue="1" operator="notBetween">
      <formula>$AK$51</formula>
      <formula>$AL$51</formula>
    </cfRule>
    <cfRule type="cellIs" dxfId="5" priority="20" stopIfTrue="1" operator="equal">
      <formula>TODAY()</formula>
    </cfRule>
    <cfRule type="expression" dxfId="4" priority="21">
      <formula>COUNTIF(Fer,K6)</formula>
    </cfRule>
  </conditionalFormatting>
  <conditionalFormatting sqref="N15">
    <cfRule type="cellIs" dxfId="3" priority="1" stopIfTrue="1" operator="notBetween">
      <formula>$AK$51</formula>
      <formula>$AL$51</formula>
    </cfRule>
    <cfRule type="cellIs" dxfId="2" priority="2" stopIfTrue="1" operator="equal">
      <formula>TODAY()</formula>
    </cfRule>
    <cfRule type="expression" dxfId="1" priority="3">
      <formula>COUNTIF(Fer,N15)</formula>
    </cfRule>
  </conditionalFormatting>
  <conditionalFormatting sqref="K13">
    <cfRule type="expression" dxfId="0" priority="28" stopIfTrue="1">
      <formula>$C15=$BC$115</formula>
    </cfRule>
  </conditionalFormatting>
  <dataValidations count="1">
    <dataValidation type="textLength" operator="equal" allowBlank="1" showInputMessage="1" showErrorMessage="1" sqref="C3:I15 K13:Q13 C21:I24 C18:I18 S7:W7 K15 M15:N15 P15 O6 Q6:Q11 P6 K7:P11 K6:N6">
      <formula1>9999</formula1>
    </dataValidation>
  </dataValidations>
  <hyperlinks>
    <hyperlink ref="B36" r:id="rId1"/>
  </hyperlinks>
  <pageMargins left="0.78740157499999996" right="0.78740157499999996" top="0.984251969" bottom="0.984251969" header="0.49212598499999999" footer="0.49212598499999999"/>
  <pageSetup paperSize="9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5" name="Group Box 1">
              <controlPr defaultSize="0" autoFill="0" autoPict="0">
                <anchor moveWithCells="1">
                  <from>
                    <xdr:col>10</xdr:col>
                    <xdr:colOff>9525</xdr:colOff>
                    <xdr:row>17</xdr:row>
                    <xdr:rowOff>0</xdr:rowOff>
                  </from>
                  <to>
                    <xdr:col>12</xdr:col>
                    <xdr:colOff>323850</xdr:colOff>
                    <xdr:row>22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6" name="Check Box 2">
              <controlPr defaultSize="0" autoFill="0" autoLine="0" autoPict="0">
                <anchor moveWithCells="1">
                  <from>
                    <xdr:col>10</xdr:col>
                    <xdr:colOff>161925</xdr:colOff>
                    <xdr:row>17</xdr:row>
                    <xdr:rowOff>142875</xdr:rowOff>
                  </from>
                  <to>
                    <xdr:col>12</xdr:col>
                    <xdr:colOff>133350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7" name="Check Box 3">
              <controlPr defaultSize="0" autoFill="0" autoLine="0" autoPict="0">
                <anchor moveWithCells="1">
                  <from>
                    <xdr:col>10</xdr:col>
                    <xdr:colOff>161925</xdr:colOff>
                    <xdr:row>19</xdr:row>
                    <xdr:rowOff>0</xdr:rowOff>
                  </from>
                  <to>
                    <xdr:col>12</xdr:col>
                    <xdr:colOff>95250</xdr:colOff>
                    <xdr:row>20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8" name="Check Box 4">
              <controlPr defaultSize="0" autoFill="0" autoLine="0" autoPict="0">
                <anchor moveWithCells="1">
                  <from>
                    <xdr:col>10</xdr:col>
                    <xdr:colOff>171450</xdr:colOff>
                    <xdr:row>20</xdr:row>
                    <xdr:rowOff>171450</xdr:rowOff>
                  </from>
                  <to>
                    <xdr:col>12</xdr:col>
                    <xdr:colOff>200025</xdr:colOff>
                    <xdr:row>21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9" name="Spinner 5">
              <controlPr defaultSize="0" autoPict="0">
                <anchor moveWithCells="1" sizeWithCells="1">
                  <from>
                    <xdr:col>10</xdr:col>
                    <xdr:colOff>9525</xdr:colOff>
                    <xdr:row>2</xdr:row>
                    <xdr:rowOff>19050</xdr:rowOff>
                  </from>
                  <to>
                    <xdr:col>11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8" r:id="rId10" name="Spinner 6">
              <controlPr defaultSize="0" autoPict="0">
                <anchor moveWithCells="1" sizeWithCells="1">
                  <from>
                    <xdr:col>16</xdr:col>
                    <xdr:colOff>9525</xdr:colOff>
                    <xdr:row>2</xdr:row>
                    <xdr:rowOff>19050</xdr:rowOff>
                  </from>
                  <to>
                    <xdr:col>17</xdr:col>
                    <xdr:colOff>9525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>
    <tabColor theme="8" tint="0.59999389629810485"/>
  </sheetPr>
  <dimension ref="A1:S79"/>
  <sheetViews>
    <sheetView showGridLines="0" topLeftCell="A4" workbookViewId="0">
      <pane ySplit="4" topLeftCell="A8" activePane="bottomLeft" state="frozen"/>
      <selection activeCell="A4" sqref="A4"/>
      <selection pane="bottomLeft" activeCell="V20" sqref="V20"/>
    </sheetView>
  </sheetViews>
  <sheetFormatPr defaultRowHeight="12.75"/>
  <cols>
    <col min="2" max="3" width="10.5" bestFit="1" customWidth="1"/>
    <col min="11" max="11" width="10.5" customWidth="1"/>
    <col min="12" max="12" width="13.33203125" customWidth="1"/>
    <col min="13" max="13" width="10.83203125" customWidth="1"/>
    <col min="15" max="16" width="3.33203125" customWidth="1"/>
    <col min="18" max="18" width="16.1640625" customWidth="1"/>
  </cols>
  <sheetData>
    <row r="1" spans="1:19">
      <c r="A1" s="282" t="s">
        <v>31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4"/>
    </row>
    <row r="2" spans="1:19">
      <c r="A2" s="285"/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7"/>
    </row>
    <row r="3" spans="1:19">
      <c r="A3" s="288"/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90"/>
    </row>
    <row r="4" spans="1:19" ht="15">
      <c r="A4" s="70"/>
      <c r="B4" s="281" t="s">
        <v>3</v>
      </c>
      <c r="C4" s="281"/>
      <c r="D4" s="281"/>
      <c r="E4" s="281"/>
      <c r="F4" s="281"/>
      <c r="G4" s="281"/>
      <c r="H4" s="281"/>
      <c r="I4" s="281"/>
      <c r="J4" s="281"/>
      <c r="K4" s="281"/>
      <c r="L4" s="281"/>
      <c r="M4" s="281"/>
      <c r="N4" s="70"/>
    </row>
    <row r="5" spans="1:19" ht="15">
      <c r="A5" s="70"/>
      <c r="B5" s="291" t="s">
        <v>4</v>
      </c>
      <c r="C5" s="292"/>
      <c r="D5" s="292"/>
      <c r="E5" s="292"/>
      <c r="F5" s="292"/>
      <c r="G5" s="292"/>
      <c r="H5" s="292"/>
      <c r="I5" s="292"/>
      <c r="J5" s="292"/>
      <c r="K5" s="292"/>
      <c r="L5" s="292"/>
      <c r="M5" s="293"/>
      <c r="N5" s="70"/>
      <c r="Q5" s="185"/>
      <c r="R5" s="185"/>
    </row>
    <row r="6" spans="1:19" ht="15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9" ht="15.75">
      <c r="A7" s="66" t="s">
        <v>5</v>
      </c>
      <c r="B7" s="66" t="s">
        <v>6</v>
      </c>
      <c r="C7" s="66" t="s">
        <v>7</v>
      </c>
      <c r="D7" s="66" t="s">
        <v>8</v>
      </c>
      <c r="E7" s="66" t="s">
        <v>9</v>
      </c>
      <c r="F7" s="66" t="s">
        <v>10</v>
      </c>
      <c r="G7" s="66" t="s">
        <v>11</v>
      </c>
      <c r="H7" s="66" t="s">
        <v>12</v>
      </c>
      <c r="I7" s="66" t="s">
        <v>13</v>
      </c>
      <c r="J7" s="66" t="s">
        <v>14</v>
      </c>
      <c r="K7" s="66" t="s">
        <v>15</v>
      </c>
      <c r="L7" s="66" t="s">
        <v>16</v>
      </c>
      <c r="M7" s="66" t="s">
        <v>17</v>
      </c>
      <c r="N7" s="66" t="s">
        <v>18</v>
      </c>
      <c r="Q7" s="190" t="s">
        <v>129</v>
      </c>
    </row>
    <row r="8" spans="1:19" ht="15" customHeight="1">
      <c r="A8" s="8">
        <f t="shared" ref="A8:A71" si="0">IF(B8="","",B8)</f>
        <v>42795</v>
      </c>
      <c r="B8" s="9">
        <f>inicio</f>
        <v>42795</v>
      </c>
      <c r="C8" s="10">
        <f>IF(B8="","",IF(fim&lt;EOMONTH(B8,0),fim,EOMONTH(B8,0)))</f>
        <v>42825</v>
      </c>
      <c r="D8" s="19">
        <f ca="1">IF(B8="","",SUMPRODUCT((WEEKDAY(ROW(INDIRECT($B8&amp;":"&amp;$C8)))=2)*1))</f>
        <v>4</v>
      </c>
      <c r="E8" s="20">
        <f ca="1">IF(B8="","",SUMPRODUCT((WEEKDAY(ROW(INDIRECT($B8&amp;":"&amp;$C8)))=3)*1))</f>
        <v>4</v>
      </c>
      <c r="F8" s="20">
        <f ca="1">IF(B8="","",SUMPRODUCT((WEEKDAY(ROW(INDIRECT($B8&amp;":"&amp;$C8)))=4)*1))</f>
        <v>5</v>
      </c>
      <c r="G8" s="20">
        <f ca="1">IF(B8="","",SUMPRODUCT((WEEKDAY(ROW(INDIRECT($B8&amp;":"&amp;$C8)))=5)*1))</f>
        <v>5</v>
      </c>
      <c r="H8" s="20">
        <f ca="1">IF(B8="","",SUMPRODUCT((WEEKDAY(ROW(INDIRECT($B8&amp;":"&amp;$C8)))=6)*1))</f>
        <v>5</v>
      </c>
      <c r="I8" s="20">
        <f ca="1">IF(B8="","",SUMPRODUCT((WEEKDAY(ROW(INDIRECT($B8&amp;":"&amp;$C8)))=7)*1))</f>
        <v>4</v>
      </c>
      <c r="J8" s="20">
        <f ca="1">IF(B8="","",SUMPRODUCT((WEEKDAY(ROW(INDIRECT($B8&amp;":"&amp;$C8)))=1)*1))</f>
        <v>4</v>
      </c>
      <c r="K8" s="2">
        <f ca="1">IF(B8="","",L8-M8)</f>
        <v>4</v>
      </c>
      <c r="L8" s="2">
        <f>IF(B8="","",C8-B8+1)</f>
        <v>31</v>
      </c>
      <c r="M8" s="168">
        <f ca="1">IF(A8="","",SUMPRODUCT((WEEKDAY(ROW(INDIRECT(B8&amp;":"&amp;C8)),2)&lt;7)*(COUNTIF(Fer,ROW(INDIRECT(B8&amp;":"&amp;C8)))=0)))</f>
        <v>27</v>
      </c>
      <c r="N8" s="11">
        <f t="shared" ref="N8:N71" si="1">IF(B8="","",EOMONTH(B8,0)-DATE(YEAR(B8),MONTH(B8),1)+1)</f>
        <v>31</v>
      </c>
      <c r="P8" s="164"/>
      <c r="Q8" s="160"/>
      <c r="R8" s="160"/>
      <c r="S8" s="160"/>
    </row>
    <row r="9" spans="1:19" ht="15" customHeight="1">
      <c r="A9" s="12">
        <f t="shared" si="0"/>
        <v>42826</v>
      </c>
      <c r="B9" s="13">
        <f>IF(OR(C8=fim,C8=""),"",EOMONTH(B8,0)+1)</f>
        <v>42826</v>
      </c>
      <c r="C9" s="14">
        <f t="shared" ref="C9:C39" si="2">IF(B9="","",IF(fim&lt;EOMONTH(B9,0),fim,EOMONTH(B9,0)))</f>
        <v>42855</v>
      </c>
      <c r="D9" s="21">
        <f t="shared" ref="D9:D72" ca="1" si="3">IF(B9="","",SUMPRODUCT((WEEKDAY(ROW(INDIRECT($B9&amp;":"&amp;$C9)))=2)*1))</f>
        <v>4</v>
      </c>
      <c r="E9" s="22">
        <f t="shared" ref="E9:E72" ca="1" si="4">IF(B9="","",SUMPRODUCT((WEEKDAY(ROW(INDIRECT($B9&amp;":"&amp;$C9)))=3)*1))</f>
        <v>4</v>
      </c>
      <c r="F9" s="22">
        <f t="shared" ref="F9:F72" ca="1" si="5">IF(B9="","",SUMPRODUCT((WEEKDAY(ROW(INDIRECT($B9&amp;":"&amp;$C9)))=4)*1))</f>
        <v>4</v>
      </c>
      <c r="G9" s="22">
        <f t="shared" ref="G9:G72" ca="1" si="6">IF(B9="","",SUMPRODUCT((WEEKDAY(ROW(INDIRECT($B9&amp;":"&amp;$C9)))=5)*1))</f>
        <v>4</v>
      </c>
      <c r="H9" s="22">
        <f t="shared" ref="H9:H72" ca="1" si="7">IF(B9="","",SUMPRODUCT((WEEKDAY(ROW(INDIRECT($B9&amp;":"&amp;$C9)))=6)*1))</f>
        <v>4</v>
      </c>
      <c r="I9" s="22">
        <f t="shared" ref="I9:I72" ca="1" si="8">IF(B9="","",SUMPRODUCT((WEEKDAY(ROW(INDIRECT($B9&amp;":"&amp;$C9)))=7)*1))</f>
        <v>5</v>
      </c>
      <c r="J9" s="22">
        <f t="shared" ref="J9:J72" ca="1" si="9">IF(B9="","",SUMPRODUCT((WEEKDAY(ROW(INDIRECT($B9&amp;":"&amp;$C9)))=1)*1))</f>
        <v>5</v>
      </c>
      <c r="K9" s="5">
        <f t="shared" ref="K9:K41" ca="1" si="10">IF(B9="","",L9-M9)</f>
        <v>7</v>
      </c>
      <c r="L9" s="5">
        <f t="shared" ref="L9:L72" si="11">IF(B9="","",C9-B9+1)</f>
        <v>30</v>
      </c>
      <c r="M9" s="162">
        <f t="shared" ref="M9:M40" ca="1" si="12">IF(A9="","",SUMPRODUCT((WEEKDAY(ROW(INDIRECT(B9&amp;":"&amp;C9)),2)&lt;7)*(COUNTIF(Fer,ROW(INDIRECT(B9&amp;":"&amp;C9)))=0)))</f>
        <v>23</v>
      </c>
      <c r="N9" s="15">
        <f t="shared" si="1"/>
        <v>30</v>
      </c>
      <c r="P9" s="160"/>
      <c r="Q9" s="160"/>
      <c r="R9" s="160"/>
      <c r="S9" s="160"/>
    </row>
    <row r="10" spans="1:19" ht="15" customHeight="1">
      <c r="A10" s="12">
        <f t="shared" si="0"/>
        <v>42856</v>
      </c>
      <c r="B10" s="13">
        <f t="shared" ref="B10:B40" si="13">IF(OR(C9=fim,C9=""),"",EOMONTH(B9,0)+1)</f>
        <v>42856</v>
      </c>
      <c r="C10" s="14">
        <f t="shared" si="2"/>
        <v>42886</v>
      </c>
      <c r="D10" s="21">
        <f t="shared" ca="1" si="3"/>
        <v>5</v>
      </c>
      <c r="E10" s="22">
        <f t="shared" ca="1" si="4"/>
        <v>5</v>
      </c>
      <c r="F10" s="22">
        <f t="shared" ca="1" si="5"/>
        <v>5</v>
      </c>
      <c r="G10" s="22">
        <f t="shared" ca="1" si="6"/>
        <v>4</v>
      </c>
      <c r="H10" s="22">
        <f t="shared" ca="1" si="7"/>
        <v>4</v>
      </c>
      <c r="I10" s="22">
        <f t="shared" ca="1" si="8"/>
        <v>4</v>
      </c>
      <c r="J10" s="22">
        <f t="shared" ca="1" si="9"/>
        <v>4</v>
      </c>
      <c r="K10" s="5">
        <f t="shared" ca="1" si="10"/>
        <v>5</v>
      </c>
      <c r="L10" s="5">
        <f t="shared" si="11"/>
        <v>31</v>
      </c>
      <c r="M10" s="162">
        <f t="shared" ca="1" si="12"/>
        <v>26</v>
      </c>
      <c r="N10" s="15">
        <f t="shared" si="1"/>
        <v>31</v>
      </c>
      <c r="P10" s="160"/>
      <c r="Q10" s="160"/>
      <c r="R10" s="160"/>
      <c r="S10" s="160"/>
    </row>
    <row r="11" spans="1:19" ht="15" customHeight="1">
      <c r="A11" s="12">
        <f t="shared" si="0"/>
        <v>42887</v>
      </c>
      <c r="B11" s="13">
        <f t="shared" si="13"/>
        <v>42887</v>
      </c>
      <c r="C11" s="14">
        <f t="shared" si="2"/>
        <v>42916</v>
      </c>
      <c r="D11" s="21">
        <f t="shared" ca="1" si="3"/>
        <v>4</v>
      </c>
      <c r="E11" s="22">
        <f t="shared" ca="1" si="4"/>
        <v>4</v>
      </c>
      <c r="F11" s="22">
        <f t="shared" ca="1" si="5"/>
        <v>4</v>
      </c>
      <c r="G11" s="22">
        <f t="shared" ca="1" si="6"/>
        <v>5</v>
      </c>
      <c r="H11" s="22">
        <f t="shared" ca="1" si="7"/>
        <v>5</v>
      </c>
      <c r="I11" s="22">
        <f t="shared" ca="1" si="8"/>
        <v>4</v>
      </c>
      <c r="J11" s="22">
        <f t="shared" ca="1" si="9"/>
        <v>4</v>
      </c>
      <c r="K11" s="5">
        <f ca="1">IF(B11="","",L11-M11)</f>
        <v>7</v>
      </c>
      <c r="L11" s="5">
        <f t="shared" si="11"/>
        <v>30</v>
      </c>
      <c r="M11" s="162">
        <f t="shared" ca="1" si="12"/>
        <v>23</v>
      </c>
      <c r="N11" s="15">
        <f t="shared" si="1"/>
        <v>30</v>
      </c>
      <c r="P11" s="160"/>
      <c r="Q11" s="171" t="s">
        <v>105</v>
      </c>
      <c r="R11" s="160"/>
      <c r="S11" s="160"/>
    </row>
    <row r="12" spans="1:19" ht="15">
      <c r="A12" s="12">
        <f t="shared" si="0"/>
        <v>42917</v>
      </c>
      <c r="B12" s="13">
        <f t="shared" si="13"/>
        <v>42917</v>
      </c>
      <c r="C12" s="14">
        <f t="shared" si="2"/>
        <v>42947</v>
      </c>
      <c r="D12" s="21">
        <f t="shared" ca="1" si="3"/>
        <v>5</v>
      </c>
      <c r="E12" s="22">
        <f t="shared" ca="1" si="4"/>
        <v>4</v>
      </c>
      <c r="F12" s="22">
        <f t="shared" ca="1" si="5"/>
        <v>4</v>
      </c>
      <c r="G12" s="22">
        <f t="shared" ca="1" si="6"/>
        <v>4</v>
      </c>
      <c r="H12" s="22">
        <f t="shared" ca="1" si="7"/>
        <v>4</v>
      </c>
      <c r="I12" s="22">
        <f t="shared" ca="1" si="8"/>
        <v>5</v>
      </c>
      <c r="J12" s="22">
        <f t="shared" ca="1" si="9"/>
        <v>5</v>
      </c>
      <c r="K12" s="5">
        <f t="shared" ca="1" si="10"/>
        <v>5</v>
      </c>
      <c r="L12" s="5">
        <f t="shared" si="11"/>
        <v>31</v>
      </c>
      <c r="M12" s="162">
        <f t="shared" ca="1" si="12"/>
        <v>26</v>
      </c>
      <c r="N12" s="15">
        <f t="shared" si="1"/>
        <v>31</v>
      </c>
      <c r="P12" s="160"/>
      <c r="Q12" s="171"/>
      <c r="R12" s="160"/>
      <c r="S12" s="160"/>
    </row>
    <row r="13" spans="1:19" ht="15">
      <c r="A13" s="12">
        <f t="shared" si="0"/>
        <v>42948</v>
      </c>
      <c r="B13" s="13">
        <f t="shared" si="13"/>
        <v>42948</v>
      </c>
      <c r="C13" s="14">
        <f t="shared" si="2"/>
        <v>42978</v>
      </c>
      <c r="D13" s="21">
        <f t="shared" ca="1" si="3"/>
        <v>4</v>
      </c>
      <c r="E13" s="22">
        <f t="shared" ca="1" si="4"/>
        <v>5</v>
      </c>
      <c r="F13" s="22">
        <f t="shared" ca="1" si="5"/>
        <v>5</v>
      </c>
      <c r="G13" s="22">
        <f t="shared" ca="1" si="6"/>
        <v>5</v>
      </c>
      <c r="H13" s="22">
        <f t="shared" ca="1" si="7"/>
        <v>4</v>
      </c>
      <c r="I13" s="22">
        <f t="shared" ca="1" si="8"/>
        <v>4</v>
      </c>
      <c r="J13" s="22">
        <f t="shared" ca="1" si="9"/>
        <v>4</v>
      </c>
      <c r="K13" s="5">
        <f t="shared" ca="1" si="10"/>
        <v>4</v>
      </c>
      <c r="L13" s="5">
        <f t="shared" si="11"/>
        <v>31</v>
      </c>
      <c r="M13" s="162">
        <f t="shared" ca="1" si="12"/>
        <v>27</v>
      </c>
      <c r="N13" s="15">
        <f t="shared" si="1"/>
        <v>31</v>
      </c>
      <c r="P13" s="160"/>
      <c r="Q13" s="171" t="s">
        <v>106</v>
      </c>
      <c r="R13" s="160"/>
      <c r="S13" s="160"/>
    </row>
    <row r="14" spans="1:19" ht="15" customHeight="1">
      <c r="A14" s="12">
        <f t="shared" si="0"/>
        <v>42979</v>
      </c>
      <c r="B14" s="13">
        <f t="shared" si="13"/>
        <v>42979</v>
      </c>
      <c r="C14" s="14">
        <f t="shared" si="2"/>
        <v>43008</v>
      </c>
      <c r="D14" s="21">
        <f t="shared" ca="1" si="3"/>
        <v>4</v>
      </c>
      <c r="E14" s="22">
        <f t="shared" ca="1" si="4"/>
        <v>4</v>
      </c>
      <c r="F14" s="22">
        <f t="shared" ca="1" si="5"/>
        <v>4</v>
      </c>
      <c r="G14" s="22">
        <f t="shared" ca="1" si="6"/>
        <v>4</v>
      </c>
      <c r="H14" s="22">
        <f t="shared" ca="1" si="7"/>
        <v>5</v>
      </c>
      <c r="I14" s="22">
        <f t="shared" ca="1" si="8"/>
        <v>5</v>
      </c>
      <c r="J14" s="22">
        <f t="shared" ca="1" si="9"/>
        <v>4</v>
      </c>
      <c r="K14" s="5">
        <f ca="1">IF(B14="","",L14-M14)</f>
        <v>5</v>
      </c>
      <c r="L14" s="5">
        <f t="shared" si="11"/>
        <v>30</v>
      </c>
      <c r="M14" s="162">
        <f t="shared" ca="1" si="12"/>
        <v>25</v>
      </c>
      <c r="N14" s="15">
        <f t="shared" si="1"/>
        <v>30</v>
      </c>
      <c r="P14" s="160"/>
      <c r="Q14" s="160"/>
      <c r="R14" s="160"/>
      <c r="S14" s="160"/>
    </row>
    <row r="15" spans="1:19" ht="15" customHeight="1">
      <c r="A15" s="12">
        <f t="shared" si="0"/>
        <v>43009</v>
      </c>
      <c r="B15" s="13">
        <f t="shared" si="13"/>
        <v>43009</v>
      </c>
      <c r="C15" s="14">
        <f t="shared" si="2"/>
        <v>43039</v>
      </c>
      <c r="D15" s="21">
        <f t="shared" ca="1" si="3"/>
        <v>5</v>
      </c>
      <c r="E15" s="22">
        <f t="shared" ca="1" si="4"/>
        <v>5</v>
      </c>
      <c r="F15" s="22">
        <f t="shared" ca="1" si="5"/>
        <v>4</v>
      </c>
      <c r="G15" s="22">
        <f t="shared" ca="1" si="6"/>
        <v>4</v>
      </c>
      <c r="H15" s="22">
        <f t="shared" ca="1" si="7"/>
        <v>4</v>
      </c>
      <c r="I15" s="22">
        <f t="shared" ca="1" si="8"/>
        <v>4</v>
      </c>
      <c r="J15" s="22">
        <f t="shared" ca="1" si="9"/>
        <v>5</v>
      </c>
      <c r="K15" s="5">
        <f t="shared" ca="1" si="10"/>
        <v>6</v>
      </c>
      <c r="L15" s="5">
        <f t="shared" si="11"/>
        <v>31</v>
      </c>
      <c r="M15" s="162">
        <f t="shared" ca="1" si="12"/>
        <v>25</v>
      </c>
      <c r="N15" s="15">
        <f t="shared" si="1"/>
        <v>31</v>
      </c>
      <c r="P15" s="160"/>
      <c r="Q15" s="160"/>
      <c r="R15" s="160"/>
      <c r="S15" s="160"/>
    </row>
    <row r="16" spans="1:19" ht="15" customHeight="1">
      <c r="A16" s="12">
        <f t="shared" si="0"/>
        <v>43040</v>
      </c>
      <c r="B16" s="13">
        <f t="shared" si="13"/>
        <v>43040</v>
      </c>
      <c r="C16" s="14">
        <f t="shared" si="2"/>
        <v>43069</v>
      </c>
      <c r="D16" s="21">
        <f t="shared" ca="1" si="3"/>
        <v>4</v>
      </c>
      <c r="E16" s="22">
        <f t="shared" ca="1" si="4"/>
        <v>4</v>
      </c>
      <c r="F16" s="22">
        <f t="shared" ca="1" si="5"/>
        <v>5</v>
      </c>
      <c r="G16" s="22">
        <f t="shared" ca="1" si="6"/>
        <v>5</v>
      </c>
      <c r="H16" s="22">
        <f t="shared" ca="1" si="7"/>
        <v>4</v>
      </c>
      <c r="I16" s="22">
        <f t="shared" ca="1" si="8"/>
        <v>4</v>
      </c>
      <c r="J16" s="22">
        <f t="shared" ca="1" si="9"/>
        <v>4</v>
      </c>
      <c r="K16" s="5">
        <f t="shared" ca="1" si="10"/>
        <v>6</v>
      </c>
      <c r="L16" s="5">
        <f t="shared" si="11"/>
        <v>30</v>
      </c>
      <c r="M16" s="162">
        <f t="shared" ca="1" si="12"/>
        <v>24</v>
      </c>
      <c r="N16" s="15">
        <f t="shared" si="1"/>
        <v>30</v>
      </c>
      <c r="P16" s="160"/>
      <c r="Q16" s="169" t="s">
        <v>108</v>
      </c>
      <c r="R16" s="160"/>
      <c r="S16" s="160"/>
    </row>
    <row r="17" spans="1:19" ht="15" customHeight="1">
      <c r="A17" s="12">
        <f t="shared" si="0"/>
        <v>43070</v>
      </c>
      <c r="B17" s="13">
        <f t="shared" si="13"/>
        <v>43070</v>
      </c>
      <c r="C17" s="14">
        <f t="shared" si="2"/>
        <v>43100</v>
      </c>
      <c r="D17" s="21">
        <f t="shared" ca="1" si="3"/>
        <v>4</v>
      </c>
      <c r="E17" s="22">
        <f t="shared" ca="1" si="4"/>
        <v>4</v>
      </c>
      <c r="F17" s="22">
        <f t="shared" ca="1" si="5"/>
        <v>4</v>
      </c>
      <c r="G17" s="22">
        <f t="shared" ca="1" si="6"/>
        <v>4</v>
      </c>
      <c r="H17" s="22">
        <f t="shared" ca="1" si="7"/>
        <v>5</v>
      </c>
      <c r="I17" s="22">
        <f t="shared" ca="1" si="8"/>
        <v>5</v>
      </c>
      <c r="J17" s="22">
        <f t="shared" ca="1" si="9"/>
        <v>5</v>
      </c>
      <c r="K17" s="5">
        <f ca="1">IF(B17="","",L17-M17)</f>
        <v>6</v>
      </c>
      <c r="L17" s="5">
        <f t="shared" si="11"/>
        <v>31</v>
      </c>
      <c r="M17" s="162">
        <f t="shared" ca="1" si="12"/>
        <v>25</v>
      </c>
      <c r="N17" s="15">
        <f t="shared" si="1"/>
        <v>31</v>
      </c>
      <c r="P17" s="160"/>
      <c r="Q17" s="160"/>
      <c r="R17" s="160"/>
      <c r="S17" s="160"/>
    </row>
    <row r="18" spans="1:19" ht="15" customHeight="1">
      <c r="A18" s="12">
        <f t="shared" si="0"/>
        <v>43101</v>
      </c>
      <c r="B18" s="13">
        <f t="shared" si="13"/>
        <v>43101</v>
      </c>
      <c r="C18" s="14">
        <f t="shared" si="2"/>
        <v>43131</v>
      </c>
      <c r="D18" s="21">
        <f t="shared" ca="1" si="3"/>
        <v>5</v>
      </c>
      <c r="E18" s="22">
        <f t="shared" ca="1" si="4"/>
        <v>5</v>
      </c>
      <c r="F18" s="22">
        <f t="shared" ca="1" si="5"/>
        <v>5</v>
      </c>
      <c r="G18" s="22">
        <f t="shared" ca="1" si="6"/>
        <v>4</v>
      </c>
      <c r="H18" s="22">
        <f t="shared" ca="1" si="7"/>
        <v>4</v>
      </c>
      <c r="I18" s="22">
        <f t="shared" ca="1" si="8"/>
        <v>4</v>
      </c>
      <c r="J18" s="22">
        <f t="shared" ca="1" si="9"/>
        <v>4</v>
      </c>
      <c r="K18" s="5">
        <f t="shared" ca="1" si="10"/>
        <v>5</v>
      </c>
      <c r="L18" s="5">
        <f t="shared" si="11"/>
        <v>31</v>
      </c>
      <c r="M18" s="162">
        <f t="shared" ca="1" si="12"/>
        <v>26</v>
      </c>
      <c r="N18" s="15">
        <f t="shared" si="1"/>
        <v>31</v>
      </c>
      <c r="P18" s="160"/>
      <c r="Q18" s="170" t="s">
        <v>107</v>
      </c>
      <c r="R18" s="160"/>
      <c r="S18" s="160"/>
    </row>
    <row r="19" spans="1:19" ht="15" customHeight="1">
      <c r="A19" s="12">
        <f t="shared" si="0"/>
        <v>43132</v>
      </c>
      <c r="B19" s="13">
        <f t="shared" si="13"/>
        <v>43132</v>
      </c>
      <c r="C19" s="14">
        <f t="shared" si="2"/>
        <v>43159</v>
      </c>
      <c r="D19" s="21">
        <f t="shared" ca="1" si="3"/>
        <v>4</v>
      </c>
      <c r="E19" s="22">
        <f t="shared" ca="1" si="4"/>
        <v>4</v>
      </c>
      <c r="F19" s="22">
        <f t="shared" ca="1" si="5"/>
        <v>4</v>
      </c>
      <c r="G19" s="22">
        <f t="shared" ca="1" si="6"/>
        <v>4</v>
      </c>
      <c r="H19" s="22">
        <f t="shared" ca="1" si="7"/>
        <v>4</v>
      </c>
      <c r="I19" s="22">
        <f t="shared" ca="1" si="8"/>
        <v>4</v>
      </c>
      <c r="J19" s="22">
        <f t="shared" ca="1" si="9"/>
        <v>4</v>
      </c>
      <c r="K19" s="5">
        <f t="shared" ca="1" si="10"/>
        <v>4</v>
      </c>
      <c r="L19" s="5">
        <f t="shared" si="11"/>
        <v>28</v>
      </c>
      <c r="M19" s="162">
        <f t="shared" ca="1" si="12"/>
        <v>24</v>
      </c>
      <c r="N19" s="15">
        <f t="shared" si="1"/>
        <v>28</v>
      </c>
      <c r="P19" s="160"/>
      <c r="Q19" s="160"/>
      <c r="R19" s="160"/>
      <c r="S19" s="160"/>
    </row>
    <row r="20" spans="1:19" ht="15" customHeight="1">
      <c r="A20" s="12" t="str">
        <f t="shared" si="0"/>
        <v/>
      </c>
      <c r="B20" s="13" t="str">
        <f t="shared" si="13"/>
        <v/>
      </c>
      <c r="C20" s="14" t="str">
        <f t="shared" si="2"/>
        <v/>
      </c>
      <c r="D20" s="21" t="str">
        <f t="shared" ca="1" si="3"/>
        <v/>
      </c>
      <c r="E20" s="22" t="str">
        <f t="shared" ca="1" si="4"/>
        <v/>
      </c>
      <c r="F20" s="22" t="str">
        <f t="shared" ca="1" si="5"/>
        <v/>
      </c>
      <c r="G20" s="22" t="str">
        <f t="shared" ca="1" si="6"/>
        <v/>
      </c>
      <c r="H20" s="22" t="str">
        <f t="shared" ca="1" si="7"/>
        <v/>
      </c>
      <c r="I20" s="22" t="str">
        <f t="shared" ca="1" si="8"/>
        <v/>
      </c>
      <c r="J20" s="22" t="str">
        <f t="shared" ca="1" si="9"/>
        <v/>
      </c>
      <c r="K20" s="5" t="str">
        <f>IF(B20="","",L20-M20)</f>
        <v/>
      </c>
      <c r="L20" s="5" t="str">
        <f t="shared" si="11"/>
        <v/>
      </c>
      <c r="M20" s="162" t="str">
        <f t="shared" ca="1" si="12"/>
        <v/>
      </c>
      <c r="N20" s="15" t="str">
        <f t="shared" si="1"/>
        <v/>
      </c>
      <c r="P20" s="160"/>
      <c r="Q20" s="160"/>
      <c r="R20" s="160"/>
      <c r="S20" s="160"/>
    </row>
    <row r="21" spans="1:19" ht="15" customHeight="1">
      <c r="A21" s="12" t="str">
        <f t="shared" si="0"/>
        <v/>
      </c>
      <c r="B21" s="13" t="str">
        <f t="shared" si="13"/>
        <v/>
      </c>
      <c r="C21" s="14" t="str">
        <f t="shared" si="2"/>
        <v/>
      </c>
      <c r="D21" s="21" t="str">
        <f t="shared" ca="1" si="3"/>
        <v/>
      </c>
      <c r="E21" s="22" t="str">
        <f t="shared" ca="1" si="4"/>
        <v/>
      </c>
      <c r="F21" s="22" t="str">
        <f t="shared" ca="1" si="5"/>
        <v/>
      </c>
      <c r="G21" s="22" t="str">
        <f t="shared" ca="1" si="6"/>
        <v/>
      </c>
      <c r="H21" s="22" t="str">
        <f t="shared" ca="1" si="7"/>
        <v/>
      </c>
      <c r="I21" s="22" t="str">
        <f t="shared" ca="1" si="8"/>
        <v/>
      </c>
      <c r="J21" s="22" t="str">
        <f t="shared" ca="1" si="9"/>
        <v/>
      </c>
      <c r="K21" s="5" t="str">
        <f t="shared" si="10"/>
        <v/>
      </c>
      <c r="L21" s="5" t="str">
        <f t="shared" si="11"/>
        <v/>
      </c>
      <c r="M21" s="162" t="str">
        <f t="shared" ca="1" si="12"/>
        <v/>
      </c>
      <c r="N21" s="15" t="str">
        <f t="shared" si="1"/>
        <v/>
      </c>
      <c r="P21" s="160"/>
      <c r="Q21" s="160"/>
      <c r="R21" s="160"/>
      <c r="S21" s="160"/>
    </row>
    <row r="22" spans="1:19" ht="15" customHeight="1">
      <c r="A22" s="12" t="str">
        <f t="shared" si="0"/>
        <v/>
      </c>
      <c r="B22" s="13" t="str">
        <f t="shared" si="13"/>
        <v/>
      </c>
      <c r="C22" s="14" t="str">
        <f t="shared" si="2"/>
        <v/>
      </c>
      <c r="D22" s="21" t="str">
        <f t="shared" ca="1" si="3"/>
        <v/>
      </c>
      <c r="E22" s="22" t="str">
        <f t="shared" ca="1" si="4"/>
        <v/>
      </c>
      <c r="F22" s="22" t="str">
        <f t="shared" ca="1" si="5"/>
        <v/>
      </c>
      <c r="G22" s="22" t="str">
        <f t="shared" ca="1" si="6"/>
        <v/>
      </c>
      <c r="H22" s="22" t="str">
        <f t="shared" ca="1" si="7"/>
        <v/>
      </c>
      <c r="I22" s="22" t="str">
        <f t="shared" ca="1" si="8"/>
        <v/>
      </c>
      <c r="J22" s="22" t="str">
        <f t="shared" ca="1" si="9"/>
        <v/>
      </c>
      <c r="K22" s="5" t="str">
        <f t="shared" si="10"/>
        <v/>
      </c>
      <c r="L22" s="5" t="str">
        <f t="shared" si="11"/>
        <v/>
      </c>
      <c r="M22" s="162" t="str">
        <f t="shared" ca="1" si="12"/>
        <v/>
      </c>
      <c r="N22" s="15" t="str">
        <f t="shared" si="1"/>
        <v/>
      </c>
      <c r="P22" s="160"/>
      <c r="Q22" s="160"/>
      <c r="R22" s="160"/>
      <c r="S22" s="160"/>
    </row>
    <row r="23" spans="1:19" ht="15" customHeight="1">
      <c r="A23" s="12" t="str">
        <f t="shared" si="0"/>
        <v/>
      </c>
      <c r="B23" s="13" t="str">
        <f t="shared" si="13"/>
        <v/>
      </c>
      <c r="C23" s="14" t="str">
        <f t="shared" si="2"/>
        <v/>
      </c>
      <c r="D23" s="21" t="str">
        <f t="shared" ca="1" si="3"/>
        <v/>
      </c>
      <c r="E23" s="22" t="str">
        <f t="shared" ca="1" si="4"/>
        <v/>
      </c>
      <c r="F23" s="22" t="str">
        <f t="shared" ca="1" si="5"/>
        <v/>
      </c>
      <c r="G23" s="22" t="str">
        <f t="shared" ca="1" si="6"/>
        <v/>
      </c>
      <c r="H23" s="22" t="str">
        <f t="shared" ca="1" si="7"/>
        <v/>
      </c>
      <c r="I23" s="22" t="str">
        <f t="shared" ca="1" si="8"/>
        <v/>
      </c>
      <c r="J23" s="22" t="str">
        <f t="shared" ca="1" si="9"/>
        <v/>
      </c>
      <c r="K23" s="5" t="str">
        <f>IF(B23="","",L23-M23)</f>
        <v/>
      </c>
      <c r="L23" s="5" t="str">
        <f t="shared" si="11"/>
        <v/>
      </c>
      <c r="M23" s="162" t="str">
        <f t="shared" ca="1" si="12"/>
        <v/>
      </c>
      <c r="N23" s="15" t="str">
        <f t="shared" si="1"/>
        <v/>
      </c>
      <c r="P23" s="160"/>
      <c r="Q23" s="160"/>
      <c r="R23" s="160"/>
      <c r="S23" s="160"/>
    </row>
    <row r="24" spans="1:19" ht="15" customHeight="1">
      <c r="A24" s="12" t="str">
        <f t="shared" si="0"/>
        <v/>
      </c>
      <c r="B24" s="13" t="str">
        <f t="shared" si="13"/>
        <v/>
      </c>
      <c r="C24" s="14" t="str">
        <f t="shared" si="2"/>
        <v/>
      </c>
      <c r="D24" s="21" t="str">
        <f t="shared" ca="1" si="3"/>
        <v/>
      </c>
      <c r="E24" s="22" t="str">
        <f t="shared" ca="1" si="4"/>
        <v/>
      </c>
      <c r="F24" s="22" t="str">
        <f t="shared" ca="1" si="5"/>
        <v/>
      </c>
      <c r="G24" s="22" t="str">
        <f t="shared" ca="1" si="6"/>
        <v/>
      </c>
      <c r="H24" s="22" t="str">
        <f t="shared" ca="1" si="7"/>
        <v/>
      </c>
      <c r="I24" s="22" t="str">
        <f t="shared" ca="1" si="8"/>
        <v/>
      </c>
      <c r="J24" s="22" t="str">
        <f t="shared" ca="1" si="9"/>
        <v/>
      </c>
      <c r="K24" s="5" t="str">
        <f t="shared" si="10"/>
        <v/>
      </c>
      <c r="L24" s="5" t="str">
        <f t="shared" si="11"/>
        <v/>
      </c>
      <c r="M24" s="162" t="str">
        <f t="shared" ca="1" si="12"/>
        <v/>
      </c>
      <c r="N24" s="15" t="str">
        <f t="shared" si="1"/>
        <v/>
      </c>
      <c r="P24" s="160"/>
      <c r="Q24" s="160"/>
      <c r="R24" s="160"/>
      <c r="S24" s="160"/>
    </row>
    <row r="25" spans="1:19" ht="15" customHeight="1">
      <c r="A25" s="12" t="str">
        <f t="shared" si="0"/>
        <v/>
      </c>
      <c r="B25" s="13" t="str">
        <f t="shared" si="13"/>
        <v/>
      </c>
      <c r="C25" s="14" t="str">
        <f t="shared" si="2"/>
        <v/>
      </c>
      <c r="D25" s="21" t="str">
        <f t="shared" ca="1" si="3"/>
        <v/>
      </c>
      <c r="E25" s="22" t="str">
        <f t="shared" ca="1" si="4"/>
        <v/>
      </c>
      <c r="F25" s="22" t="str">
        <f t="shared" ca="1" si="5"/>
        <v/>
      </c>
      <c r="G25" s="22" t="str">
        <f t="shared" ca="1" si="6"/>
        <v/>
      </c>
      <c r="H25" s="22" t="str">
        <f t="shared" ca="1" si="7"/>
        <v/>
      </c>
      <c r="I25" s="22" t="str">
        <f t="shared" ca="1" si="8"/>
        <v/>
      </c>
      <c r="J25" s="22" t="str">
        <f t="shared" ca="1" si="9"/>
        <v/>
      </c>
      <c r="K25" s="5" t="str">
        <f t="shared" si="10"/>
        <v/>
      </c>
      <c r="L25" s="5" t="str">
        <f t="shared" si="11"/>
        <v/>
      </c>
      <c r="M25" s="162" t="str">
        <f t="shared" ca="1" si="12"/>
        <v/>
      </c>
      <c r="N25" s="15" t="str">
        <f t="shared" si="1"/>
        <v/>
      </c>
      <c r="P25" s="160"/>
      <c r="Q25" s="160"/>
      <c r="R25" s="160"/>
      <c r="S25" s="160"/>
    </row>
    <row r="26" spans="1:19" ht="15" customHeight="1">
      <c r="A26" s="12" t="str">
        <f t="shared" si="0"/>
        <v/>
      </c>
      <c r="B26" s="13" t="str">
        <f t="shared" si="13"/>
        <v/>
      </c>
      <c r="C26" s="14" t="str">
        <f t="shared" si="2"/>
        <v/>
      </c>
      <c r="D26" s="21" t="str">
        <f t="shared" ca="1" si="3"/>
        <v/>
      </c>
      <c r="E26" s="22" t="str">
        <f t="shared" ca="1" si="4"/>
        <v/>
      </c>
      <c r="F26" s="22" t="str">
        <f t="shared" ca="1" si="5"/>
        <v/>
      </c>
      <c r="G26" s="22" t="str">
        <f t="shared" ca="1" si="6"/>
        <v/>
      </c>
      <c r="H26" s="22" t="str">
        <f t="shared" ca="1" si="7"/>
        <v/>
      </c>
      <c r="I26" s="22" t="str">
        <f t="shared" ca="1" si="8"/>
        <v/>
      </c>
      <c r="J26" s="22" t="str">
        <f t="shared" ca="1" si="9"/>
        <v/>
      </c>
      <c r="K26" s="5" t="str">
        <f>IF(B26="","",L26-M26)</f>
        <v/>
      </c>
      <c r="L26" s="5" t="str">
        <f t="shared" si="11"/>
        <v/>
      </c>
      <c r="M26" s="162" t="str">
        <f t="shared" ca="1" si="12"/>
        <v/>
      </c>
      <c r="N26" s="15" t="str">
        <f t="shared" si="1"/>
        <v/>
      </c>
      <c r="P26" s="160"/>
      <c r="Q26" s="160"/>
      <c r="R26" s="160"/>
      <c r="S26" s="160"/>
    </row>
    <row r="27" spans="1:19" ht="15" customHeight="1">
      <c r="A27" s="12" t="str">
        <f t="shared" si="0"/>
        <v/>
      </c>
      <c r="B27" s="13" t="str">
        <f t="shared" si="13"/>
        <v/>
      </c>
      <c r="C27" s="14" t="str">
        <f t="shared" si="2"/>
        <v/>
      </c>
      <c r="D27" s="21" t="str">
        <f t="shared" ca="1" si="3"/>
        <v/>
      </c>
      <c r="E27" s="22" t="str">
        <f t="shared" ca="1" si="4"/>
        <v/>
      </c>
      <c r="F27" s="22" t="str">
        <f t="shared" ca="1" si="5"/>
        <v/>
      </c>
      <c r="G27" s="22" t="str">
        <f t="shared" ca="1" si="6"/>
        <v/>
      </c>
      <c r="H27" s="22" t="str">
        <f t="shared" ca="1" si="7"/>
        <v/>
      </c>
      <c r="I27" s="22" t="str">
        <f t="shared" ca="1" si="8"/>
        <v/>
      </c>
      <c r="J27" s="22" t="str">
        <f t="shared" ca="1" si="9"/>
        <v/>
      </c>
      <c r="K27" s="5" t="str">
        <f t="shared" si="10"/>
        <v/>
      </c>
      <c r="L27" s="5" t="str">
        <f t="shared" si="11"/>
        <v/>
      </c>
      <c r="M27" s="162" t="str">
        <f t="shared" ca="1" si="12"/>
        <v/>
      </c>
      <c r="N27" s="15" t="str">
        <f t="shared" si="1"/>
        <v/>
      </c>
      <c r="P27" s="160"/>
      <c r="Q27" s="160"/>
      <c r="R27" s="160"/>
      <c r="S27" s="160"/>
    </row>
    <row r="28" spans="1:19" ht="15" customHeight="1">
      <c r="A28" s="12" t="str">
        <f t="shared" si="0"/>
        <v/>
      </c>
      <c r="B28" s="13" t="str">
        <f t="shared" si="13"/>
        <v/>
      </c>
      <c r="C28" s="14" t="str">
        <f t="shared" si="2"/>
        <v/>
      </c>
      <c r="D28" s="21" t="str">
        <f t="shared" ca="1" si="3"/>
        <v/>
      </c>
      <c r="E28" s="22" t="str">
        <f t="shared" ca="1" si="4"/>
        <v/>
      </c>
      <c r="F28" s="22" t="str">
        <f t="shared" ca="1" si="5"/>
        <v/>
      </c>
      <c r="G28" s="22" t="str">
        <f t="shared" ca="1" si="6"/>
        <v/>
      </c>
      <c r="H28" s="22" t="str">
        <f t="shared" ca="1" si="7"/>
        <v/>
      </c>
      <c r="I28" s="22" t="str">
        <f t="shared" ca="1" si="8"/>
        <v/>
      </c>
      <c r="J28" s="22" t="str">
        <f t="shared" ca="1" si="9"/>
        <v/>
      </c>
      <c r="K28" s="5" t="str">
        <f>IF(B28="","",L28-M28)</f>
        <v/>
      </c>
      <c r="L28" s="5" t="str">
        <f t="shared" si="11"/>
        <v/>
      </c>
      <c r="M28" s="162" t="str">
        <f t="shared" ca="1" si="12"/>
        <v/>
      </c>
      <c r="N28" s="15" t="str">
        <f t="shared" si="1"/>
        <v/>
      </c>
      <c r="P28" s="160"/>
      <c r="Q28" s="160"/>
      <c r="R28" s="160"/>
      <c r="S28" s="160"/>
    </row>
    <row r="29" spans="1:19" ht="15" customHeight="1">
      <c r="A29" s="12" t="str">
        <f t="shared" si="0"/>
        <v/>
      </c>
      <c r="B29" s="13" t="str">
        <f t="shared" si="13"/>
        <v/>
      </c>
      <c r="C29" s="14" t="str">
        <f t="shared" si="2"/>
        <v/>
      </c>
      <c r="D29" s="21" t="str">
        <f t="shared" ca="1" si="3"/>
        <v/>
      </c>
      <c r="E29" s="22" t="str">
        <f t="shared" ca="1" si="4"/>
        <v/>
      </c>
      <c r="F29" s="22" t="str">
        <f t="shared" ca="1" si="5"/>
        <v/>
      </c>
      <c r="G29" s="22" t="str">
        <f t="shared" ca="1" si="6"/>
        <v/>
      </c>
      <c r="H29" s="22" t="str">
        <f t="shared" ca="1" si="7"/>
        <v/>
      </c>
      <c r="I29" s="22" t="str">
        <f t="shared" ca="1" si="8"/>
        <v/>
      </c>
      <c r="J29" s="22" t="str">
        <f t="shared" ca="1" si="9"/>
        <v/>
      </c>
      <c r="K29" s="5" t="str">
        <f t="shared" si="10"/>
        <v/>
      </c>
      <c r="L29" s="5" t="str">
        <f t="shared" si="11"/>
        <v/>
      </c>
      <c r="M29" s="162" t="str">
        <f t="shared" ca="1" si="12"/>
        <v/>
      </c>
      <c r="N29" s="15" t="str">
        <f t="shared" si="1"/>
        <v/>
      </c>
      <c r="P29" s="160"/>
      <c r="Q29" s="160"/>
      <c r="R29" s="160"/>
      <c r="S29" s="160"/>
    </row>
    <row r="30" spans="1:19" ht="15" customHeight="1">
      <c r="A30" s="12" t="str">
        <f t="shared" si="0"/>
        <v/>
      </c>
      <c r="B30" s="13" t="str">
        <f t="shared" si="13"/>
        <v/>
      </c>
      <c r="C30" s="14" t="str">
        <f t="shared" si="2"/>
        <v/>
      </c>
      <c r="D30" s="21" t="str">
        <f t="shared" ca="1" si="3"/>
        <v/>
      </c>
      <c r="E30" s="22" t="str">
        <f t="shared" ca="1" si="4"/>
        <v/>
      </c>
      <c r="F30" s="22" t="str">
        <f t="shared" ca="1" si="5"/>
        <v/>
      </c>
      <c r="G30" s="22" t="str">
        <f t="shared" ca="1" si="6"/>
        <v/>
      </c>
      <c r="H30" s="22" t="str">
        <f t="shared" ca="1" si="7"/>
        <v/>
      </c>
      <c r="I30" s="22" t="str">
        <f t="shared" ca="1" si="8"/>
        <v/>
      </c>
      <c r="J30" s="22" t="str">
        <f t="shared" ca="1" si="9"/>
        <v/>
      </c>
      <c r="K30" s="5" t="str">
        <f t="shared" si="10"/>
        <v/>
      </c>
      <c r="L30" s="5" t="str">
        <f t="shared" si="11"/>
        <v/>
      </c>
      <c r="M30" s="162" t="str">
        <f t="shared" ca="1" si="12"/>
        <v/>
      </c>
      <c r="N30" s="15" t="str">
        <f t="shared" si="1"/>
        <v/>
      </c>
      <c r="P30" s="160"/>
      <c r="Q30" s="160"/>
      <c r="R30" s="160"/>
      <c r="S30" s="160"/>
    </row>
    <row r="31" spans="1:19" ht="15" customHeight="1">
      <c r="A31" s="12" t="str">
        <f t="shared" si="0"/>
        <v/>
      </c>
      <c r="B31" s="13" t="str">
        <f t="shared" si="13"/>
        <v/>
      </c>
      <c r="C31" s="14" t="str">
        <f t="shared" si="2"/>
        <v/>
      </c>
      <c r="D31" s="21" t="str">
        <f t="shared" ca="1" si="3"/>
        <v/>
      </c>
      <c r="E31" s="22" t="str">
        <f t="shared" ca="1" si="4"/>
        <v/>
      </c>
      <c r="F31" s="22" t="str">
        <f t="shared" ca="1" si="5"/>
        <v/>
      </c>
      <c r="G31" s="22" t="str">
        <f t="shared" ca="1" si="6"/>
        <v/>
      </c>
      <c r="H31" s="22" t="str">
        <f t="shared" ca="1" si="7"/>
        <v/>
      </c>
      <c r="I31" s="22" t="str">
        <f t="shared" ca="1" si="8"/>
        <v/>
      </c>
      <c r="J31" s="22" t="str">
        <f t="shared" ca="1" si="9"/>
        <v/>
      </c>
      <c r="K31" s="5" t="str">
        <f>IF(B31="","",L31-M31)</f>
        <v/>
      </c>
      <c r="L31" s="5" t="str">
        <f t="shared" si="11"/>
        <v/>
      </c>
      <c r="M31" s="162" t="str">
        <f t="shared" ca="1" si="12"/>
        <v/>
      </c>
      <c r="N31" s="15" t="str">
        <f t="shared" si="1"/>
        <v/>
      </c>
      <c r="P31" s="160"/>
      <c r="Q31" s="160"/>
      <c r="R31" s="160"/>
      <c r="S31" s="160"/>
    </row>
    <row r="32" spans="1:19" ht="15" customHeight="1">
      <c r="A32" s="12" t="str">
        <f t="shared" si="0"/>
        <v/>
      </c>
      <c r="B32" s="13" t="str">
        <f t="shared" si="13"/>
        <v/>
      </c>
      <c r="C32" s="14" t="str">
        <f t="shared" si="2"/>
        <v/>
      </c>
      <c r="D32" s="21" t="str">
        <f t="shared" ca="1" si="3"/>
        <v/>
      </c>
      <c r="E32" s="22" t="str">
        <f t="shared" ca="1" si="4"/>
        <v/>
      </c>
      <c r="F32" s="22" t="str">
        <f t="shared" ca="1" si="5"/>
        <v/>
      </c>
      <c r="G32" s="22" t="str">
        <f t="shared" ca="1" si="6"/>
        <v/>
      </c>
      <c r="H32" s="22" t="str">
        <f t="shared" ca="1" si="7"/>
        <v/>
      </c>
      <c r="I32" s="22" t="str">
        <f t="shared" ca="1" si="8"/>
        <v/>
      </c>
      <c r="J32" s="22" t="str">
        <f t="shared" ca="1" si="9"/>
        <v/>
      </c>
      <c r="K32" s="5" t="str">
        <f t="shared" si="10"/>
        <v/>
      </c>
      <c r="L32" s="5" t="str">
        <f t="shared" si="11"/>
        <v/>
      </c>
      <c r="M32" s="162" t="str">
        <f t="shared" ca="1" si="12"/>
        <v/>
      </c>
      <c r="N32" s="15" t="str">
        <f t="shared" si="1"/>
        <v/>
      </c>
      <c r="P32" s="160"/>
      <c r="Q32" s="160"/>
      <c r="R32" s="160"/>
      <c r="S32" s="160"/>
    </row>
    <row r="33" spans="1:19" ht="15" customHeight="1">
      <c r="A33" s="12" t="str">
        <f t="shared" si="0"/>
        <v/>
      </c>
      <c r="B33" s="13" t="str">
        <f t="shared" si="13"/>
        <v/>
      </c>
      <c r="C33" s="14" t="str">
        <f t="shared" si="2"/>
        <v/>
      </c>
      <c r="D33" s="21" t="str">
        <f t="shared" ca="1" si="3"/>
        <v/>
      </c>
      <c r="E33" s="22" t="str">
        <f t="shared" ca="1" si="4"/>
        <v/>
      </c>
      <c r="F33" s="22" t="str">
        <f t="shared" ca="1" si="5"/>
        <v/>
      </c>
      <c r="G33" s="22" t="str">
        <f t="shared" ca="1" si="6"/>
        <v/>
      </c>
      <c r="H33" s="22" t="str">
        <f t="shared" ca="1" si="7"/>
        <v/>
      </c>
      <c r="I33" s="22" t="str">
        <f t="shared" ca="1" si="8"/>
        <v/>
      </c>
      <c r="J33" s="22" t="str">
        <f t="shared" ca="1" si="9"/>
        <v/>
      </c>
      <c r="K33" s="5" t="str">
        <f>IF(B33="","",L33-M33)</f>
        <v/>
      </c>
      <c r="L33" s="5" t="str">
        <f t="shared" si="11"/>
        <v/>
      </c>
      <c r="M33" s="162" t="str">
        <f t="shared" ca="1" si="12"/>
        <v/>
      </c>
      <c r="N33" s="15" t="str">
        <f t="shared" si="1"/>
        <v/>
      </c>
      <c r="P33" s="160"/>
      <c r="Q33" s="160"/>
      <c r="R33" s="160"/>
      <c r="S33" s="160"/>
    </row>
    <row r="34" spans="1:19" ht="15" customHeight="1">
      <c r="A34" s="12" t="str">
        <f t="shared" si="0"/>
        <v/>
      </c>
      <c r="B34" s="13" t="str">
        <f t="shared" si="13"/>
        <v/>
      </c>
      <c r="C34" s="14" t="str">
        <f t="shared" si="2"/>
        <v/>
      </c>
      <c r="D34" s="21" t="str">
        <f t="shared" ca="1" si="3"/>
        <v/>
      </c>
      <c r="E34" s="22" t="str">
        <f t="shared" ca="1" si="4"/>
        <v/>
      </c>
      <c r="F34" s="22" t="str">
        <f t="shared" ca="1" si="5"/>
        <v/>
      </c>
      <c r="G34" s="22" t="str">
        <f t="shared" ca="1" si="6"/>
        <v/>
      </c>
      <c r="H34" s="22" t="str">
        <f t="shared" ca="1" si="7"/>
        <v/>
      </c>
      <c r="I34" s="22" t="str">
        <f t="shared" ca="1" si="8"/>
        <v/>
      </c>
      <c r="J34" s="22" t="str">
        <f t="shared" ca="1" si="9"/>
        <v/>
      </c>
      <c r="K34" s="5" t="str">
        <f t="shared" si="10"/>
        <v/>
      </c>
      <c r="L34" s="5" t="str">
        <f t="shared" si="11"/>
        <v/>
      </c>
      <c r="M34" s="162" t="str">
        <f t="shared" ca="1" si="12"/>
        <v/>
      </c>
      <c r="N34" s="15" t="str">
        <f t="shared" si="1"/>
        <v/>
      </c>
      <c r="P34" s="160"/>
      <c r="Q34" s="160"/>
      <c r="R34" s="160"/>
      <c r="S34" s="160"/>
    </row>
    <row r="35" spans="1:19" ht="15" customHeight="1">
      <c r="A35" s="12" t="str">
        <f t="shared" si="0"/>
        <v/>
      </c>
      <c r="B35" s="13" t="str">
        <f t="shared" si="13"/>
        <v/>
      </c>
      <c r="C35" s="14" t="str">
        <f t="shared" si="2"/>
        <v/>
      </c>
      <c r="D35" s="21" t="str">
        <f t="shared" ca="1" si="3"/>
        <v/>
      </c>
      <c r="E35" s="22" t="str">
        <f t="shared" ca="1" si="4"/>
        <v/>
      </c>
      <c r="F35" s="22" t="str">
        <f t="shared" ca="1" si="5"/>
        <v/>
      </c>
      <c r="G35" s="22" t="str">
        <f t="shared" ca="1" si="6"/>
        <v/>
      </c>
      <c r="H35" s="22" t="str">
        <f t="shared" ca="1" si="7"/>
        <v/>
      </c>
      <c r="I35" s="22" t="str">
        <f t="shared" ca="1" si="8"/>
        <v/>
      </c>
      <c r="J35" s="22" t="str">
        <f t="shared" ca="1" si="9"/>
        <v/>
      </c>
      <c r="K35" s="5" t="str">
        <f t="shared" si="10"/>
        <v/>
      </c>
      <c r="L35" s="5" t="str">
        <f t="shared" si="11"/>
        <v/>
      </c>
      <c r="M35" s="162" t="str">
        <f t="shared" ca="1" si="12"/>
        <v/>
      </c>
      <c r="N35" s="15" t="str">
        <f t="shared" si="1"/>
        <v/>
      </c>
      <c r="P35" s="160"/>
      <c r="Q35" s="160"/>
      <c r="R35" s="160"/>
      <c r="S35" s="160"/>
    </row>
    <row r="36" spans="1:19" ht="15" customHeight="1">
      <c r="A36" s="12" t="str">
        <f t="shared" si="0"/>
        <v/>
      </c>
      <c r="B36" s="13" t="str">
        <f t="shared" si="13"/>
        <v/>
      </c>
      <c r="C36" s="14" t="str">
        <f t="shared" si="2"/>
        <v/>
      </c>
      <c r="D36" s="21" t="str">
        <f t="shared" ca="1" si="3"/>
        <v/>
      </c>
      <c r="E36" s="22" t="str">
        <f t="shared" ca="1" si="4"/>
        <v/>
      </c>
      <c r="F36" s="22" t="str">
        <f t="shared" ca="1" si="5"/>
        <v/>
      </c>
      <c r="G36" s="22" t="str">
        <f t="shared" ca="1" si="6"/>
        <v/>
      </c>
      <c r="H36" s="22" t="str">
        <f t="shared" ca="1" si="7"/>
        <v/>
      </c>
      <c r="I36" s="22" t="str">
        <f t="shared" ca="1" si="8"/>
        <v/>
      </c>
      <c r="J36" s="22" t="str">
        <f t="shared" ca="1" si="9"/>
        <v/>
      </c>
      <c r="K36" s="5" t="str">
        <f>IF(B36="","",L36-M36)</f>
        <v/>
      </c>
      <c r="L36" s="5" t="str">
        <f t="shared" si="11"/>
        <v/>
      </c>
      <c r="M36" s="162" t="str">
        <f t="shared" ca="1" si="12"/>
        <v/>
      </c>
      <c r="N36" s="15" t="str">
        <f t="shared" si="1"/>
        <v/>
      </c>
      <c r="P36" s="160"/>
      <c r="Q36" s="160"/>
      <c r="R36" s="160"/>
      <c r="S36" s="160"/>
    </row>
    <row r="37" spans="1:19" ht="15" customHeight="1">
      <c r="A37" s="12" t="str">
        <f t="shared" si="0"/>
        <v/>
      </c>
      <c r="B37" s="13" t="str">
        <f t="shared" si="13"/>
        <v/>
      </c>
      <c r="C37" s="14" t="str">
        <f t="shared" si="2"/>
        <v/>
      </c>
      <c r="D37" s="21" t="str">
        <f t="shared" ca="1" si="3"/>
        <v/>
      </c>
      <c r="E37" s="22" t="str">
        <f t="shared" ca="1" si="4"/>
        <v/>
      </c>
      <c r="F37" s="22" t="str">
        <f t="shared" ca="1" si="5"/>
        <v/>
      </c>
      <c r="G37" s="22" t="str">
        <f t="shared" ca="1" si="6"/>
        <v/>
      </c>
      <c r="H37" s="22" t="str">
        <f t="shared" ca="1" si="7"/>
        <v/>
      </c>
      <c r="I37" s="22" t="str">
        <f t="shared" ca="1" si="8"/>
        <v/>
      </c>
      <c r="J37" s="22" t="str">
        <f t="shared" ca="1" si="9"/>
        <v/>
      </c>
      <c r="K37" s="5" t="str">
        <f t="shared" si="10"/>
        <v/>
      </c>
      <c r="L37" s="5" t="str">
        <f t="shared" si="11"/>
        <v/>
      </c>
      <c r="M37" s="162" t="str">
        <f t="shared" ca="1" si="12"/>
        <v/>
      </c>
      <c r="N37" s="15" t="str">
        <f t="shared" si="1"/>
        <v/>
      </c>
      <c r="P37" s="160"/>
      <c r="Q37" s="160"/>
      <c r="R37" s="160"/>
      <c r="S37" s="160"/>
    </row>
    <row r="38" spans="1:19" ht="15" customHeight="1">
      <c r="A38" s="12" t="str">
        <f t="shared" si="0"/>
        <v/>
      </c>
      <c r="B38" s="13" t="str">
        <f t="shared" si="13"/>
        <v/>
      </c>
      <c r="C38" s="14" t="str">
        <f t="shared" si="2"/>
        <v/>
      </c>
      <c r="D38" s="21" t="str">
        <f t="shared" ca="1" si="3"/>
        <v/>
      </c>
      <c r="E38" s="22" t="str">
        <f t="shared" ca="1" si="4"/>
        <v/>
      </c>
      <c r="F38" s="22" t="str">
        <f t="shared" ca="1" si="5"/>
        <v/>
      </c>
      <c r="G38" s="22" t="str">
        <f t="shared" ca="1" si="6"/>
        <v/>
      </c>
      <c r="H38" s="22" t="str">
        <f t="shared" ca="1" si="7"/>
        <v/>
      </c>
      <c r="I38" s="22" t="str">
        <f t="shared" ca="1" si="8"/>
        <v/>
      </c>
      <c r="J38" s="22" t="str">
        <f t="shared" ca="1" si="9"/>
        <v/>
      </c>
      <c r="K38" s="5" t="str">
        <f t="shared" si="10"/>
        <v/>
      </c>
      <c r="L38" s="5" t="str">
        <f t="shared" si="11"/>
        <v/>
      </c>
      <c r="M38" s="162" t="str">
        <f t="shared" ca="1" si="12"/>
        <v/>
      </c>
      <c r="N38" s="15" t="str">
        <f t="shared" si="1"/>
        <v/>
      </c>
      <c r="P38" s="160"/>
      <c r="Q38" s="160"/>
      <c r="R38" s="160"/>
      <c r="S38" s="160"/>
    </row>
    <row r="39" spans="1:19" ht="15" customHeight="1">
      <c r="A39" s="12" t="str">
        <f t="shared" si="0"/>
        <v/>
      </c>
      <c r="B39" s="13" t="str">
        <f t="shared" si="13"/>
        <v/>
      </c>
      <c r="C39" s="14" t="str">
        <f t="shared" si="2"/>
        <v/>
      </c>
      <c r="D39" s="21" t="str">
        <f t="shared" ca="1" si="3"/>
        <v/>
      </c>
      <c r="E39" s="22" t="str">
        <f t="shared" ca="1" si="4"/>
        <v/>
      </c>
      <c r="F39" s="22" t="str">
        <f t="shared" ca="1" si="5"/>
        <v/>
      </c>
      <c r="G39" s="22" t="str">
        <f t="shared" ca="1" si="6"/>
        <v/>
      </c>
      <c r="H39" s="22" t="str">
        <f t="shared" ca="1" si="7"/>
        <v/>
      </c>
      <c r="I39" s="22" t="str">
        <f t="shared" ca="1" si="8"/>
        <v/>
      </c>
      <c r="J39" s="22" t="str">
        <f t="shared" ca="1" si="9"/>
        <v/>
      </c>
      <c r="K39" s="5" t="str">
        <f>IF(B39="","",L39-M39)</f>
        <v/>
      </c>
      <c r="L39" s="5" t="str">
        <f t="shared" si="11"/>
        <v/>
      </c>
      <c r="M39" s="162" t="str">
        <f t="shared" ca="1" si="12"/>
        <v/>
      </c>
      <c r="N39" s="15" t="str">
        <f t="shared" si="1"/>
        <v/>
      </c>
      <c r="P39" s="160"/>
      <c r="Q39" s="160"/>
      <c r="R39" s="160"/>
      <c r="S39" s="160"/>
    </row>
    <row r="40" spans="1:19" ht="15" customHeight="1">
      <c r="A40" s="12" t="str">
        <f t="shared" si="0"/>
        <v/>
      </c>
      <c r="B40" s="13" t="str">
        <f t="shared" si="13"/>
        <v/>
      </c>
      <c r="C40" s="14" t="str">
        <f t="shared" ref="C40:C71" si="14">IF(B40="","",IF(fim&lt;EOMONTH(B40,0),fim,EOMONTH(B40,0)))</f>
        <v/>
      </c>
      <c r="D40" s="21" t="str">
        <f t="shared" ca="1" si="3"/>
        <v/>
      </c>
      <c r="E40" s="22" t="str">
        <f t="shared" ca="1" si="4"/>
        <v/>
      </c>
      <c r="F40" s="22" t="str">
        <f t="shared" ca="1" si="5"/>
        <v/>
      </c>
      <c r="G40" s="22" t="str">
        <f t="shared" ca="1" si="6"/>
        <v/>
      </c>
      <c r="H40" s="22" t="str">
        <f t="shared" ca="1" si="7"/>
        <v/>
      </c>
      <c r="I40" s="22" t="str">
        <f t="shared" ca="1" si="8"/>
        <v/>
      </c>
      <c r="J40" s="22" t="str">
        <f t="shared" ca="1" si="9"/>
        <v/>
      </c>
      <c r="K40" s="5" t="str">
        <f t="shared" si="10"/>
        <v/>
      </c>
      <c r="L40" s="5" t="str">
        <f t="shared" si="11"/>
        <v/>
      </c>
      <c r="M40" s="162" t="str">
        <f t="shared" ca="1" si="12"/>
        <v/>
      </c>
      <c r="N40" s="15" t="str">
        <f t="shared" si="1"/>
        <v/>
      </c>
      <c r="P40" s="160"/>
      <c r="Q40" s="160"/>
      <c r="R40" s="160"/>
      <c r="S40" s="160"/>
    </row>
    <row r="41" spans="1:19" ht="15" customHeight="1">
      <c r="A41" s="12" t="str">
        <f t="shared" si="0"/>
        <v/>
      </c>
      <c r="B41" s="13" t="str">
        <f t="shared" ref="B41:B72" si="15">IF(OR(C40=fim,C40=""),"",EOMONTH(B40,0)+1)</f>
        <v/>
      </c>
      <c r="C41" s="14" t="str">
        <f t="shared" si="14"/>
        <v/>
      </c>
      <c r="D41" s="21" t="str">
        <f t="shared" ca="1" si="3"/>
        <v/>
      </c>
      <c r="E41" s="22" t="str">
        <f t="shared" ca="1" si="4"/>
        <v/>
      </c>
      <c r="F41" s="22" t="str">
        <f t="shared" ca="1" si="5"/>
        <v/>
      </c>
      <c r="G41" s="22" t="str">
        <f t="shared" ca="1" si="6"/>
        <v/>
      </c>
      <c r="H41" s="22" t="str">
        <f t="shared" ca="1" si="7"/>
        <v/>
      </c>
      <c r="I41" s="22" t="str">
        <f t="shared" ca="1" si="8"/>
        <v/>
      </c>
      <c r="J41" s="22" t="str">
        <f t="shared" ca="1" si="9"/>
        <v/>
      </c>
      <c r="K41" s="5" t="str">
        <f t="shared" si="10"/>
        <v/>
      </c>
      <c r="L41" s="5" t="str">
        <f t="shared" si="11"/>
        <v/>
      </c>
      <c r="M41" s="162" t="str">
        <f t="shared" ref="M41:M72" ca="1" si="16">IF(A41="","",SUMPRODUCT((WEEKDAY(ROW(INDIRECT(B41&amp;":"&amp;C41)),2)&lt;7)*(COUNTIF(Fer,ROW(INDIRECT(B41&amp;":"&amp;C41)))=0)))</f>
        <v/>
      </c>
      <c r="N41" s="15" t="str">
        <f t="shared" si="1"/>
        <v/>
      </c>
      <c r="P41" s="160"/>
      <c r="Q41" s="160"/>
      <c r="R41" s="160"/>
      <c r="S41" s="160"/>
    </row>
    <row r="42" spans="1:19" ht="15" customHeight="1">
      <c r="A42" s="12" t="str">
        <f t="shared" si="0"/>
        <v/>
      </c>
      <c r="B42" s="13" t="str">
        <f t="shared" si="15"/>
        <v/>
      </c>
      <c r="C42" s="14" t="str">
        <f t="shared" si="14"/>
        <v/>
      </c>
      <c r="D42" s="21" t="str">
        <f t="shared" ca="1" si="3"/>
        <v/>
      </c>
      <c r="E42" s="22" t="str">
        <f t="shared" ca="1" si="4"/>
        <v/>
      </c>
      <c r="F42" s="22" t="str">
        <f t="shared" ca="1" si="5"/>
        <v/>
      </c>
      <c r="G42" s="22" t="str">
        <f t="shared" ca="1" si="6"/>
        <v/>
      </c>
      <c r="H42" s="22" t="str">
        <f t="shared" ca="1" si="7"/>
        <v/>
      </c>
      <c r="I42" s="22" t="str">
        <f t="shared" ca="1" si="8"/>
        <v/>
      </c>
      <c r="J42" s="22" t="str">
        <f t="shared" ca="1" si="9"/>
        <v/>
      </c>
      <c r="K42" s="5" t="str">
        <f>IF(B42="","",L42-M42)</f>
        <v/>
      </c>
      <c r="L42" s="5" t="str">
        <f t="shared" si="11"/>
        <v/>
      </c>
      <c r="M42" s="162" t="str">
        <f t="shared" ca="1" si="16"/>
        <v/>
      </c>
      <c r="N42" s="15" t="str">
        <f t="shared" si="1"/>
        <v/>
      </c>
      <c r="P42" s="160"/>
      <c r="Q42" s="160"/>
      <c r="R42" s="160"/>
      <c r="S42" s="160"/>
    </row>
    <row r="43" spans="1:19" ht="15" customHeight="1">
      <c r="A43" s="12" t="str">
        <f t="shared" si="0"/>
        <v/>
      </c>
      <c r="B43" s="13" t="str">
        <f t="shared" si="15"/>
        <v/>
      </c>
      <c r="C43" s="14" t="str">
        <f t="shared" si="14"/>
        <v/>
      </c>
      <c r="D43" s="21" t="str">
        <f t="shared" ca="1" si="3"/>
        <v/>
      </c>
      <c r="E43" s="22" t="str">
        <f t="shared" ca="1" si="4"/>
        <v/>
      </c>
      <c r="F43" s="22" t="str">
        <f t="shared" ca="1" si="5"/>
        <v/>
      </c>
      <c r="G43" s="22" t="str">
        <f t="shared" ca="1" si="6"/>
        <v/>
      </c>
      <c r="H43" s="22" t="str">
        <f t="shared" ca="1" si="7"/>
        <v/>
      </c>
      <c r="I43" s="22" t="str">
        <f t="shared" ca="1" si="8"/>
        <v/>
      </c>
      <c r="J43" s="22" t="str">
        <f t="shared" ca="1" si="9"/>
        <v/>
      </c>
      <c r="K43" s="5" t="str">
        <f>IF(B43="","",L43-M43)</f>
        <v/>
      </c>
      <c r="L43" s="5" t="str">
        <f t="shared" si="11"/>
        <v/>
      </c>
      <c r="M43" s="162" t="str">
        <f t="shared" ca="1" si="16"/>
        <v/>
      </c>
      <c r="N43" s="15" t="str">
        <f t="shared" si="1"/>
        <v/>
      </c>
      <c r="P43" s="160"/>
      <c r="Q43" s="160"/>
      <c r="R43" s="160"/>
      <c r="S43" s="160"/>
    </row>
    <row r="44" spans="1:19" ht="15" customHeight="1">
      <c r="A44" s="12" t="str">
        <f t="shared" si="0"/>
        <v/>
      </c>
      <c r="B44" s="13" t="str">
        <f t="shared" si="15"/>
        <v/>
      </c>
      <c r="C44" s="14" t="str">
        <f t="shared" si="14"/>
        <v/>
      </c>
      <c r="D44" s="21" t="str">
        <f t="shared" ca="1" si="3"/>
        <v/>
      </c>
      <c r="E44" s="22" t="str">
        <f t="shared" ca="1" si="4"/>
        <v/>
      </c>
      <c r="F44" s="22" t="str">
        <f t="shared" ca="1" si="5"/>
        <v/>
      </c>
      <c r="G44" s="22" t="str">
        <f t="shared" ca="1" si="6"/>
        <v/>
      </c>
      <c r="H44" s="22" t="str">
        <f t="shared" ca="1" si="7"/>
        <v/>
      </c>
      <c r="I44" s="22" t="str">
        <f t="shared" ca="1" si="8"/>
        <v/>
      </c>
      <c r="J44" s="22" t="str">
        <f t="shared" ca="1" si="9"/>
        <v/>
      </c>
      <c r="K44" s="5" t="str">
        <f t="shared" ref="K44:K56" si="17">IF(B44="","",L44-M44)</f>
        <v/>
      </c>
      <c r="L44" s="5" t="str">
        <f t="shared" si="11"/>
        <v/>
      </c>
      <c r="M44" s="162" t="str">
        <f t="shared" ca="1" si="16"/>
        <v/>
      </c>
      <c r="N44" s="15" t="str">
        <f t="shared" si="1"/>
        <v/>
      </c>
      <c r="P44" s="160"/>
      <c r="Q44" s="160"/>
      <c r="R44" s="160"/>
      <c r="S44" s="160"/>
    </row>
    <row r="45" spans="1:19" ht="15" customHeight="1">
      <c r="A45" s="12" t="str">
        <f t="shared" si="0"/>
        <v/>
      </c>
      <c r="B45" s="13" t="str">
        <f t="shared" si="15"/>
        <v/>
      </c>
      <c r="C45" s="14" t="str">
        <f t="shared" si="14"/>
        <v/>
      </c>
      <c r="D45" s="21" t="str">
        <f t="shared" ca="1" si="3"/>
        <v/>
      </c>
      <c r="E45" s="22" t="str">
        <f t="shared" ca="1" si="4"/>
        <v/>
      </c>
      <c r="F45" s="22" t="str">
        <f t="shared" ca="1" si="5"/>
        <v/>
      </c>
      <c r="G45" s="22" t="str">
        <f t="shared" ca="1" si="6"/>
        <v/>
      </c>
      <c r="H45" s="22" t="str">
        <f t="shared" ca="1" si="7"/>
        <v/>
      </c>
      <c r="I45" s="22" t="str">
        <f t="shared" ca="1" si="8"/>
        <v/>
      </c>
      <c r="J45" s="22" t="str">
        <f t="shared" ca="1" si="9"/>
        <v/>
      </c>
      <c r="K45" s="5" t="str">
        <f t="shared" si="17"/>
        <v/>
      </c>
      <c r="L45" s="5" t="str">
        <f t="shared" si="11"/>
        <v/>
      </c>
      <c r="M45" s="162" t="str">
        <f t="shared" ca="1" si="16"/>
        <v/>
      </c>
      <c r="N45" s="15" t="str">
        <f t="shared" si="1"/>
        <v/>
      </c>
      <c r="P45" s="160"/>
      <c r="Q45" s="160"/>
      <c r="R45" s="160"/>
      <c r="S45" s="160"/>
    </row>
    <row r="46" spans="1:19" ht="15" customHeight="1">
      <c r="A46" s="12" t="str">
        <f t="shared" si="0"/>
        <v/>
      </c>
      <c r="B46" s="13" t="str">
        <f t="shared" si="15"/>
        <v/>
      </c>
      <c r="C46" s="14" t="str">
        <f t="shared" si="14"/>
        <v/>
      </c>
      <c r="D46" s="21" t="str">
        <f t="shared" ca="1" si="3"/>
        <v/>
      </c>
      <c r="E46" s="22" t="str">
        <f t="shared" ca="1" si="4"/>
        <v/>
      </c>
      <c r="F46" s="22" t="str">
        <f t="shared" ca="1" si="5"/>
        <v/>
      </c>
      <c r="G46" s="22" t="str">
        <f t="shared" ca="1" si="6"/>
        <v/>
      </c>
      <c r="H46" s="22" t="str">
        <f t="shared" ca="1" si="7"/>
        <v/>
      </c>
      <c r="I46" s="22" t="str">
        <f t="shared" ca="1" si="8"/>
        <v/>
      </c>
      <c r="J46" s="22" t="str">
        <f t="shared" ca="1" si="9"/>
        <v/>
      </c>
      <c r="K46" s="5" t="str">
        <f>IF(B46="","",L46-M46)</f>
        <v/>
      </c>
      <c r="L46" s="5" t="str">
        <f t="shared" si="11"/>
        <v/>
      </c>
      <c r="M46" s="162" t="str">
        <f t="shared" ca="1" si="16"/>
        <v/>
      </c>
      <c r="N46" s="15" t="str">
        <f t="shared" si="1"/>
        <v/>
      </c>
      <c r="P46" s="160"/>
      <c r="Q46" s="160"/>
      <c r="R46" s="160"/>
      <c r="S46" s="160"/>
    </row>
    <row r="47" spans="1:19" ht="15" customHeight="1">
      <c r="A47" s="12" t="str">
        <f t="shared" si="0"/>
        <v/>
      </c>
      <c r="B47" s="13" t="str">
        <f t="shared" si="15"/>
        <v/>
      </c>
      <c r="C47" s="14" t="str">
        <f t="shared" si="14"/>
        <v/>
      </c>
      <c r="D47" s="21" t="str">
        <f t="shared" ca="1" si="3"/>
        <v/>
      </c>
      <c r="E47" s="22" t="str">
        <f t="shared" ca="1" si="4"/>
        <v/>
      </c>
      <c r="F47" s="22" t="str">
        <f t="shared" ca="1" si="5"/>
        <v/>
      </c>
      <c r="G47" s="22" t="str">
        <f t="shared" ca="1" si="6"/>
        <v/>
      </c>
      <c r="H47" s="22" t="str">
        <f t="shared" ca="1" si="7"/>
        <v/>
      </c>
      <c r="I47" s="22" t="str">
        <f t="shared" ca="1" si="8"/>
        <v/>
      </c>
      <c r="J47" s="22" t="str">
        <f t="shared" ca="1" si="9"/>
        <v/>
      </c>
      <c r="K47" s="5" t="str">
        <f t="shared" si="17"/>
        <v/>
      </c>
      <c r="L47" s="5" t="str">
        <f t="shared" si="11"/>
        <v/>
      </c>
      <c r="M47" s="162" t="str">
        <f t="shared" ca="1" si="16"/>
        <v/>
      </c>
      <c r="N47" s="15" t="str">
        <f t="shared" si="1"/>
        <v/>
      </c>
      <c r="P47" s="160"/>
      <c r="Q47" s="160"/>
      <c r="R47" s="160"/>
      <c r="S47" s="160"/>
    </row>
    <row r="48" spans="1:19" ht="15" customHeight="1">
      <c r="A48" s="12" t="str">
        <f t="shared" si="0"/>
        <v/>
      </c>
      <c r="B48" s="13" t="str">
        <f t="shared" si="15"/>
        <v/>
      </c>
      <c r="C48" s="14" t="str">
        <f t="shared" si="14"/>
        <v/>
      </c>
      <c r="D48" s="21" t="str">
        <f t="shared" ca="1" si="3"/>
        <v/>
      </c>
      <c r="E48" s="22" t="str">
        <f t="shared" ca="1" si="4"/>
        <v/>
      </c>
      <c r="F48" s="22" t="str">
        <f t="shared" ca="1" si="5"/>
        <v/>
      </c>
      <c r="G48" s="22" t="str">
        <f t="shared" ca="1" si="6"/>
        <v/>
      </c>
      <c r="H48" s="22" t="str">
        <f t="shared" ca="1" si="7"/>
        <v/>
      </c>
      <c r="I48" s="22" t="str">
        <f t="shared" ca="1" si="8"/>
        <v/>
      </c>
      <c r="J48" s="22" t="str">
        <f t="shared" ca="1" si="9"/>
        <v/>
      </c>
      <c r="K48" s="5" t="str">
        <f t="shared" si="17"/>
        <v/>
      </c>
      <c r="L48" s="5" t="str">
        <f t="shared" si="11"/>
        <v/>
      </c>
      <c r="M48" s="162" t="str">
        <f t="shared" ca="1" si="16"/>
        <v/>
      </c>
      <c r="N48" s="15" t="str">
        <f t="shared" si="1"/>
        <v/>
      </c>
      <c r="P48" s="160"/>
      <c r="Q48" s="160"/>
      <c r="R48" s="160"/>
      <c r="S48" s="160"/>
    </row>
    <row r="49" spans="1:19" ht="15" customHeight="1">
      <c r="A49" s="12" t="str">
        <f t="shared" si="0"/>
        <v/>
      </c>
      <c r="B49" s="13" t="str">
        <f t="shared" si="15"/>
        <v/>
      </c>
      <c r="C49" s="14" t="str">
        <f t="shared" si="14"/>
        <v/>
      </c>
      <c r="D49" s="21" t="str">
        <f t="shared" ca="1" si="3"/>
        <v/>
      </c>
      <c r="E49" s="22" t="str">
        <f t="shared" ca="1" si="4"/>
        <v/>
      </c>
      <c r="F49" s="22" t="str">
        <f t="shared" ca="1" si="5"/>
        <v/>
      </c>
      <c r="G49" s="22" t="str">
        <f t="shared" ca="1" si="6"/>
        <v/>
      </c>
      <c r="H49" s="22" t="str">
        <f t="shared" ca="1" si="7"/>
        <v/>
      </c>
      <c r="I49" s="22" t="str">
        <f t="shared" ca="1" si="8"/>
        <v/>
      </c>
      <c r="J49" s="22" t="str">
        <f t="shared" ca="1" si="9"/>
        <v/>
      </c>
      <c r="K49" s="5" t="str">
        <f>IF(B49="","",L49-M49)</f>
        <v/>
      </c>
      <c r="L49" s="5" t="str">
        <f t="shared" si="11"/>
        <v/>
      </c>
      <c r="M49" s="162" t="str">
        <f t="shared" ca="1" si="16"/>
        <v/>
      </c>
      <c r="N49" s="15" t="str">
        <f t="shared" si="1"/>
        <v/>
      </c>
      <c r="P49" s="160"/>
      <c r="Q49" s="160"/>
      <c r="R49" s="160"/>
      <c r="S49" s="160"/>
    </row>
    <row r="50" spans="1:19" ht="15" customHeight="1">
      <c r="A50" s="12" t="str">
        <f t="shared" si="0"/>
        <v/>
      </c>
      <c r="B50" s="13" t="str">
        <f t="shared" si="15"/>
        <v/>
      </c>
      <c r="C50" s="14" t="str">
        <f t="shared" si="14"/>
        <v/>
      </c>
      <c r="D50" s="21" t="str">
        <f t="shared" ca="1" si="3"/>
        <v/>
      </c>
      <c r="E50" s="22" t="str">
        <f t="shared" ca="1" si="4"/>
        <v/>
      </c>
      <c r="F50" s="22" t="str">
        <f t="shared" ca="1" si="5"/>
        <v/>
      </c>
      <c r="G50" s="22" t="str">
        <f t="shared" ca="1" si="6"/>
        <v/>
      </c>
      <c r="H50" s="22" t="str">
        <f t="shared" ca="1" si="7"/>
        <v/>
      </c>
      <c r="I50" s="22" t="str">
        <f t="shared" ca="1" si="8"/>
        <v/>
      </c>
      <c r="J50" s="22" t="str">
        <f t="shared" ca="1" si="9"/>
        <v/>
      </c>
      <c r="K50" s="5" t="str">
        <f t="shared" si="17"/>
        <v/>
      </c>
      <c r="L50" s="5" t="str">
        <f t="shared" si="11"/>
        <v/>
      </c>
      <c r="M50" s="162" t="str">
        <f t="shared" ca="1" si="16"/>
        <v/>
      </c>
      <c r="N50" s="15" t="str">
        <f t="shared" si="1"/>
        <v/>
      </c>
      <c r="P50" s="160"/>
      <c r="Q50" s="160"/>
      <c r="R50" s="160"/>
      <c r="S50" s="160"/>
    </row>
    <row r="51" spans="1:19" ht="15" customHeight="1">
      <c r="A51" s="12" t="str">
        <f t="shared" si="0"/>
        <v/>
      </c>
      <c r="B51" s="13" t="str">
        <f t="shared" si="15"/>
        <v/>
      </c>
      <c r="C51" s="14" t="str">
        <f t="shared" si="14"/>
        <v/>
      </c>
      <c r="D51" s="21" t="str">
        <f t="shared" ca="1" si="3"/>
        <v/>
      </c>
      <c r="E51" s="22" t="str">
        <f t="shared" ca="1" si="4"/>
        <v/>
      </c>
      <c r="F51" s="22" t="str">
        <f t="shared" ca="1" si="5"/>
        <v/>
      </c>
      <c r="G51" s="22" t="str">
        <f t="shared" ca="1" si="6"/>
        <v/>
      </c>
      <c r="H51" s="22" t="str">
        <f t="shared" ca="1" si="7"/>
        <v/>
      </c>
      <c r="I51" s="22" t="str">
        <f t="shared" ca="1" si="8"/>
        <v/>
      </c>
      <c r="J51" s="22" t="str">
        <f t="shared" ca="1" si="9"/>
        <v/>
      </c>
      <c r="K51" s="5" t="str">
        <f t="shared" si="17"/>
        <v/>
      </c>
      <c r="L51" s="5" t="str">
        <f t="shared" si="11"/>
        <v/>
      </c>
      <c r="M51" s="162" t="str">
        <f t="shared" ca="1" si="16"/>
        <v/>
      </c>
      <c r="N51" s="15" t="str">
        <f t="shared" si="1"/>
        <v/>
      </c>
      <c r="P51" s="160"/>
      <c r="Q51" s="160"/>
      <c r="R51" s="160"/>
      <c r="S51" s="160"/>
    </row>
    <row r="52" spans="1:19" ht="15" customHeight="1">
      <c r="A52" s="12" t="str">
        <f t="shared" si="0"/>
        <v/>
      </c>
      <c r="B52" s="13" t="str">
        <f t="shared" si="15"/>
        <v/>
      </c>
      <c r="C52" s="14" t="str">
        <f t="shared" si="14"/>
        <v/>
      </c>
      <c r="D52" s="21" t="str">
        <f t="shared" ca="1" si="3"/>
        <v/>
      </c>
      <c r="E52" s="22" t="str">
        <f t="shared" ca="1" si="4"/>
        <v/>
      </c>
      <c r="F52" s="22" t="str">
        <f t="shared" ca="1" si="5"/>
        <v/>
      </c>
      <c r="G52" s="22" t="str">
        <f t="shared" ca="1" si="6"/>
        <v/>
      </c>
      <c r="H52" s="22" t="str">
        <f t="shared" ca="1" si="7"/>
        <v/>
      </c>
      <c r="I52" s="22" t="str">
        <f t="shared" ca="1" si="8"/>
        <v/>
      </c>
      <c r="J52" s="22" t="str">
        <f t="shared" ca="1" si="9"/>
        <v/>
      </c>
      <c r="K52" s="5" t="str">
        <f>IF(B52="","",L52-M52)</f>
        <v/>
      </c>
      <c r="L52" s="5" t="str">
        <f t="shared" si="11"/>
        <v/>
      </c>
      <c r="M52" s="162" t="str">
        <f t="shared" ca="1" si="16"/>
        <v/>
      </c>
      <c r="N52" s="15" t="str">
        <f t="shared" si="1"/>
        <v/>
      </c>
      <c r="P52" s="160"/>
      <c r="Q52" s="160"/>
      <c r="R52" s="160"/>
      <c r="S52" s="160"/>
    </row>
    <row r="53" spans="1:19" ht="15" customHeight="1">
      <c r="A53" s="12" t="str">
        <f t="shared" si="0"/>
        <v/>
      </c>
      <c r="B53" s="13" t="str">
        <f t="shared" si="15"/>
        <v/>
      </c>
      <c r="C53" s="14" t="str">
        <f t="shared" si="14"/>
        <v/>
      </c>
      <c r="D53" s="21" t="str">
        <f t="shared" ca="1" si="3"/>
        <v/>
      </c>
      <c r="E53" s="22" t="str">
        <f t="shared" ca="1" si="4"/>
        <v/>
      </c>
      <c r="F53" s="22" t="str">
        <f t="shared" ca="1" si="5"/>
        <v/>
      </c>
      <c r="G53" s="22" t="str">
        <f t="shared" ca="1" si="6"/>
        <v/>
      </c>
      <c r="H53" s="22" t="str">
        <f t="shared" ca="1" si="7"/>
        <v/>
      </c>
      <c r="I53" s="22" t="str">
        <f t="shared" ca="1" si="8"/>
        <v/>
      </c>
      <c r="J53" s="22" t="str">
        <f t="shared" ca="1" si="9"/>
        <v/>
      </c>
      <c r="K53" s="5" t="str">
        <f t="shared" si="17"/>
        <v/>
      </c>
      <c r="L53" s="5" t="str">
        <f t="shared" si="11"/>
        <v/>
      </c>
      <c r="M53" s="162" t="str">
        <f t="shared" ca="1" si="16"/>
        <v/>
      </c>
      <c r="N53" s="15" t="str">
        <f t="shared" si="1"/>
        <v/>
      </c>
      <c r="P53" s="160"/>
      <c r="Q53" s="160"/>
      <c r="R53" s="160"/>
      <c r="S53" s="160"/>
    </row>
    <row r="54" spans="1:19" ht="15" customHeight="1">
      <c r="A54" s="12" t="str">
        <f t="shared" si="0"/>
        <v/>
      </c>
      <c r="B54" s="13" t="str">
        <f t="shared" si="15"/>
        <v/>
      </c>
      <c r="C54" s="14" t="str">
        <f t="shared" si="14"/>
        <v/>
      </c>
      <c r="D54" s="21" t="str">
        <f t="shared" ca="1" si="3"/>
        <v/>
      </c>
      <c r="E54" s="22" t="str">
        <f t="shared" ca="1" si="4"/>
        <v/>
      </c>
      <c r="F54" s="22" t="str">
        <f t="shared" ca="1" si="5"/>
        <v/>
      </c>
      <c r="G54" s="22" t="str">
        <f t="shared" ca="1" si="6"/>
        <v/>
      </c>
      <c r="H54" s="22" t="str">
        <f t="shared" ca="1" si="7"/>
        <v/>
      </c>
      <c r="I54" s="22" t="str">
        <f t="shared" ca="1" si="8"/>
        <v/>
      </c>
      <c r="J54" s="22" t="str">
        <f t="shared" ca="1" si="9"/>
        <v/>
      </c>
      <c r="K54" s="5" t="str">
        <f t="shared" si="17"/>
        <v/>
      </c>
      <c r="L54" s="5" t="str">
        <f t="shared" si="11"/>
        <v/>
      </c>
      <c r="M54" s="162" t="str">
        <f t="shared" ca="1" si="16"/>
        <v/>
      </c>
      <c r="N54" s="15" t="str">
        <f t="shared" si="1"/>
        <v/>
      </c>
      <c r="P54" s="160"/>
      <c r="Q54" s="160"/>
      <c r="R54" s="160"/>
      <c r="S54" s="160"/>
    </row>
    <row r="55" spans="1:19" ht="15" customHeight="1">
      <c r="A55" s="12" t="str">
        <f t="shared" si="0"/>
        <v/>
      </c>
      <c r="B55" s="13" t="str">
        <f t="shared" si="15"/>
        <v/>
      </c>
      <c r="C55" s="14" t="str">
        <f t="shared" si="14"/>
        <v/>
      </c>
      <c r="D55" s="21" t="str">
        <f t="shared" ca="1" si="3"/>
        <v/>
      </c>
      <c r="E55" s="22" t="str">
        <f t="shared" ca="1" si="4"/>
        <v/>
      </c>
      <c r="F55" s="22" t="str">
        <f t="shared" ca="1" si="5"/>
        <v/>
      </c>
      <c r="G55" s="22" t="str">
        <f t="shared" ca="1" si="6"/>
        <v/>
      </c>
      <c r="H55" s="22" t="str">
        <f t="shared" ca="1" si="7"/>
        <v/>
      </c>
      <c r="I55" s="22" t="str">
        <f t="shared" ca="1" si="8"/>
        <v/>
      </c>
      <c r="J55" s="22" t="str">
        <f t="shared" ca="1" si="9"/>
        <v/>
      </c>
      <c r="K55" s="5" t="str">
        <f>IF(B55="","",L55-M55)</f>
        <v/>
      </c>
      <c r="L55" s="5" t="str">
        <f t="shared" si="11"/>
        <v/>
      </c>
      <c r="M55" s="162" t="str">
        <f t="shared" ca="1" si="16"/>
        <v/>
      </c>
      <c r="N55" s="15" t="str">
        <f t="shared" si="1"/>
        <v/>
      </c>
      <c r="P55" s="160"/>
      <c r="Q55" s="160"/>
      <c r="R55" s="160"/>
      <c r="S55" s="160"/>
    </row>
    <row r="56" spans="1:19" ht="15" customHeight="1">
      <c r="A56" s="12" t="str">
        <f t="shared" si="0"/>
        <v/>
      </c>
      <c r="B56" s="13" t="str">
        <f t="shared" si="15"/>
        <v/>
      </c>
      <c r="C56" s="14" t="str">
        <f t="shared" si="14"/>
        <v/>
      </c>
      <c r="D56" s="21" t="str">
        <f t="shared" ca="1" si="3"/>
        <v/>
      </c>
      <c r="E56" s="22" t="str">
        <f t="shared" ca="1" si="4"/>
        <v/>
      </c>
      <c r="F56" s="22" t="str">
        <f t="shared" ca="1" si="5"/>
        <v/>
      </c>
      <c r="G56" s="22" t="str">
        <f t="shared" ca="1" si="6"/>
        <v/>
      </c>
      <c r="H56" s="22" t="str">
        <f t="shared" ca="1" si="7"/>
        <v/>
      </c>
      <c r="I56" s="22" t="str">
        <f t="shared" ca="1" si="8"/>
        <v/>
      </c>
      <c r="J56" s="22" t="str">
        <f t="shared" ca="1" si="9"/>
        <v/>
      </c>
      <c r="K56" s="5" t="str">
        <f t="shared" si="17"/>
        <v/>
      </c>
      <c r="L56" s="5" t="str">
        <f t="shared" si="11"/>
        <v/>
      </c>
      <c r="M56" s="162" t="str">
        <f t="shared" ca="1" si="16"/>
        <v/>
      </c>
      <c r="N56" s="15" t="str">
        <f t="shared" si="1"/>
        <v/>
      </c>
      <c r="P56" s="160"/>
      <c r="Q56" s="160"/>
      <c r="R56" s="160"/>
      <c r="S56" s="160"/>
    </row>
    <row r="57" spans="1:19" ht="15" customHeight="1">
      <c r="A57" s="12" t="str">
        <f t="shared" si="0"/>
        <v/>
      </c>
      <c r="B57" s="13" t="str">
        <f t="shared" si="15"/>
        <v/>
      </c>
      <c r="C57" s="14" t="str">
        <f t="shared" si="14"/>
        <v/>
      </c>
      <c r="D57" s="21" t="str">
        <f t="shared" ca="1" si="3"/>
        <v/>
      </c>
      <c r="E57" s="22" t="str">
        <f t="shared" ca="1" si="4"/>
        <v/>
      </c>
      <c r="F57" s="22" t="str">
        <f t="shared" ca="1" si="5"/>
        <v/>
      </c>
      <c r="G57" s="22" t="str">
        <f t="shared" ca="1" si="6"/>
        <v/>
      </c>
      <c r="H57" s="22" t="str">
        <f t="shared" ca="1" si="7"/>
        <v/>
      </c>
      <c r="I57" s="22" t="str">
        <f t="shared" ca="1" si="8"/>
        <v/>
      </c>
      <c r="J57" s="22" t="str">
        <f t="shared" ca="1" si="9"/>
        <v/>
      </c>
      <c r="K57" s="5" t="str">
        <f>IF(B57="","",L57-M57)</f>
        <v/>
      </c>
      <c r="L57" s="5" t="str">
        <f t="shared" si="11"/>
        <v/>
      </c>
      <c r="M57" s="162" t="str">
        <f t="shared" ca="1" si="16"/>
        <v/>
      </c>
      <c r="N57" s="15" t="str">
        <f t="shared" si="1"/>
        <v/>
      </c>
      <c r="P57" s="160"/>
      <c r="Q57" s="160"/>
      <c r="R57" s="160"/>
      <c r="S57" s="160"/>
    </row>
    <row r="58" spans="1:19" ht="15" customHeight="1">
      <c r="A58" s="12" t="str">
        <f t="shared" si="0"/>
        <v/>
      </c>
      <c r="B58" s="13" t="str">
        <f t="shared" si="15"/>
        <v/>
      </c>
      <c r="C58" s="14" t="str">
        <f t="shared" si="14"/>
        <v/>
      </c>
      <c r="D58" s="21" t="str">
        <f t="shared" ca="1" si="3"/>
        <v/>
      </c>
      <c r="E58" s="22" t="str">
        <f t="shared" ca="1" si="4"/>
        <v/>
      </c>
      <c r="F58" s="22" t="str">
        <f t="shared" ca="1" si="5"/>
        <v/>
      </c>
      <c r="G58" s="22" t="str">
        <f t="shared" ca="1" si="6"/>
        <v/>
      </c>
      <c r="H58" s="22" t="str">
        <f t="shared" ca="1" si="7"/>
        <v/>
      </c>
      <c r="I58" s="22" t="str">
        <f t="shared" ca="1" si="8"/>
        <v/>
      </c>
      <c r="J58" s="22" t="str">
        <f t="shared" ca="1" si="9"/>
        <v/>
      </c>
      <c r="K58" s="5" t="str">
        <f t="shared" ref="K58:K68" si="18">IF(B58="","",L58-M58)</f>
        <v/>
      </c>
      <c r="L58" s="5" t="str">
        <f t="shared" si="11"/>
        <v/>
      </c>
      <c r="M58" s="162" t="str">
        <f t="shared" ca="1" si="16"/>
        <v/>
      </c>
      <c r="N58" s="15" t="str">
        <f t="shared" si="1"/>
        <v/>
      </c>
      <c r="P58" s="160"/>
      <c r="Q58" s="160"/>
      <c r="R58" s="160"/>
      <c r="S58" s="160"/>
    </row>
    <row r="59" spans="1:19" ht="15" customHeight="1">
      <c r="A59" s="12" t="str">
        <f t="shared" si="0"/>
        <v/>
      </c>
      <c r="B59" s="13" t="str">
        <f t="shared" si="15"/>
        <v/>
      </c>
      <c r="C59" s="14" t="str">
        <f t="shared" si="14"/>
        <v/>
      </c>
      <c r="D59" s="21" t="str">
        <f t="shared" ca="1" si="3"/>
        <v/>
      </c>
      <c r="E59" s="22" t="str">
        <f t="shared" ca="1" si="4"/>
        <v/>
      </c>
      <c r="F59" s="22" t="str">
        <f t="shared" ca="1" si="5"/>
        <v/>
      </c>
      <c r="G59" s="22" t="str">
        <f t="shared" ca="1" si="6"/>
        <v/>
      </c>
      <c r="H59" s="22" t="str">
        <f t="shared" ca="1" si="7"/>
        <v/>
      </c>
      <c r="I59" s="22" t="str">
        <f t="shared" ca="1" si="8"/>
        <v/>
      </c>
      <c r="J59" s="22" t="str">
        <f t="shared" ca="1" si="9"/>
        <v/>
      </c>
      <c r="K59" s="5" t="str">
        <f t="shared" si="18"/>
        <v/>
      </c>
      <c r="L59" s="5" t="str">
        <f t="shared" si="11"/>
        <v/>
      </c>
      <c r="M59" s="162" t="str">
        <f t="shared" ca="1" si="16"/>
        <v/>
      </c>
      <c r="N59" s="15" t="str">
        <f t="shared" si="1"/>
        <v/>
      </c>
      <c r="P59" s="160"/>
      <c r="Q59" s="160"/>
      <c r="R59" s="160"/>
      <c r="S59" s="160"/>
    </row>
    <row r="60" spans="1:19" ht="15" customHeight="1">
      <c r="A60" s="12" t="str">
        <f t="shared" si="0"/>
        <v/>
      </c>
      <c r="B60" s="13" t="str">
        <f t="shared" si="15"/>
        <v/>
      </c>
      <c r="C60" s="14" t="str">
        <f t="shared" si="14"/>
        <v/>
      </c>
      <c r="D60" s="21" t="str">
        <f t="shared" ca="1" si="3"/>
        <v/>
      </c>
      <c r="E60" s="22" t="str">
        <f t="shared" ca="1" si="4"/>
        <v/>
      </c>
      <c r="F60" s="22" t="str">
        <f t="shared" ca="1" si="5"/>
        <v/>
      </c>
      <c r="G60" s="22" t="str">
        <f t="shared" ca="1" si="6"/>
        <v/>
      </c>
      <c r="H60" s="22" t="str">
        <f t="shared" ca="1" si="7"/>
        <v/>
      </c>
      <c r="I60" s="22" t="str">
        <f t="shared" ca="1" si="8"/>
        <v/>
      </c>
      <c r="J60" s="22" t="str">
        <f t="shared" ca="1" si="9"/>
        <v/>
      </c>
      <c r="K60" s="5" t="str">
        <f>IF(B60="","",L60-M60)</f>
        <v/>
      </c>
      <c r="L60" s="5" t="str">
        <f t="shared" si="11"/>
        <v/>
      </c>
      <c r="M60" s="162" t="str">
        <f t="shared" ca="1" si="16"/>
        <v/>
      </c>
      <c r="N60" s="15" t="str">
        <f t="shared" si="1"/>
        <v/>
      </c>
      <c r="P60" s="160"/>
      <c r="Q60" s="160"/>
      <c r="R60" s="160"/>
      <c r="S60" s="160"/>
    </row>
    <row r="61" spans="1:19" ht="15" customHeight="1">
      <c r="A61" s="12" t="str">
        <f t="shared" si="0"/>
        <v/>
      </c>
      <c r="B61" s="13" t="str">
        <f t="shared" si="15"/>
        <v/>
      </c>
      <c r="C61" s="14" t="str">
        <f t="shared" si="14"/>
        <v/>
      </c>
      <c r="D61" s="21" t="str">
        <f t="shared" ca="1" si="3"/>
        <v/>
      </c>
      <c r="E61" s="22" t="str">
        <f t="shared" ca="1" si="4"/>
        <v/>
      </c>
      <c r="F61" s="22" t="str">
        <f t="shared" ca="1" si="5"/>
        <v/>
      </c>
      <c r="G61" s="22" t="str">
        <f t="shared" ca="1" si="6"/>
        <v/>
      </c>
      <c r="H61" s="22" t="str">
        <f t="shared" ca="1" si="7"/>
        <v/>
      </c>
      <c r="I61" s="22" t="str">
        <f t="shared" ca="1" si="8"/>
        <v/>
      </c>
      <c r="J61" s="22" t="str">
        <f t="shared" ca="1" si="9"/>
        <v/>
      </c>
      <c r="K61" s="5" t="str">
        <f t="shared" si="18"/>
        <v/>
      </c>
      <c r="L61" s="5" t="str">
        <f t="shared" si="11"/>
        <v/>
      </c>
      <c r="M61" s="162" t="str">
        <f t="shared" ca="1" si="16"/>
        <v/>
      </c>
      <c r="N61" s="15" t="str">
        <f t="shared" si="1"/>
        <v/>
      </c>
      <c r="P61" s="160"/>
      <c r="Q61" s="160"/>
      <c r="R61" s="160"/>
      <c r="S61" s="160"/>
    </row>
    <row r="62" spans="1:19" ht="15" customHeight="1">
      <c r="A62" s="12" t="str">
        <f t="shared" si="0"/>
        <v/>
      </c>
      <c r="B62" s="13" t="str">
        <f t="shared" si="15"/>
        <v/>
      </c>
      <c r="C62" s="14" t="str">
        <f t="shared" si="14"/>
        <v/>
      </c>
      <c r="D62" s="21" t="str">
        <f t="shared" ca="1" si="3"/>
        <v/>
      </c>
      <c r="E62" s="22" t="str">
        <f t="shared" ca="1" si="4"/>
        <v/>
      </c>
      <c r="F62" s="22" t="str">
        <f t="shared" ca="1" si="5"/>
        <v/>
      </c>
      <c r="G62" s="22" t="str">
        <f t="shared" ca="1" si="6"/>
        <v/>
      </c>
      <c r="H62" s="22" t="str">
        <f t="shared" ca="1" si="7"/>
        <v/>
      </c>
      <c r="I62" s="22" t="str">
        <f t="shared" ca="1" si="8"/>
        <v/>
      </c>
      <c r="J62" s="22" t="str">
        <f t="shared" ca="1" si="9"/>
        <v/>
      </c>
      <c r="K62" s="5" t="str">
        <f t="shared" si="18"/>
        <v/>
      </c>
      <c r="L62" s="5" t="str">
        <f t="shared" si="11"/>
        <v/>
      </c>
      <c r="M62" s="162" t="str">
        <f t="shared" ca="1" si="16"/>
        <v/>
      </c>
      <c r="N62" s="15" t="str">
        <f t="shared" si="1"/>
        <v/>
      </c>
      <c r="P62" s="160"/>
      <c r="Q62" s="160"/>
      <c r="R62" s="160"/>
      <c r="S62" s="160"/>
    </row>
    <row r="63" spans="1:19" ht="15" customHeight="1">
      <c r="A63" s="12" t="str">
        <f t="shared" si="0"/>
        <v/>
      </c>
      <c r="B63" s="13" t="str">
        <f t="shared" si="15"/>
        <v/>
      </c>
      <c r="C63" s="14" t="str">
        <f t="shared" si="14"/>
        <v/>
      </c>
      <c r="D63" s="21" t="str">
        <f t="shared" ca="1" si="3"/>
        <v/>
      </c>
      <c r="E63" s="22" t="str">
        <f t="shared" ca="1" si="4"/>
        <v/>
      </c>
      <c r="F63" s="22" t="str">
        <f t="shared" ca="1" si="5"/>
        <v/>
      </c>
      <c r="G63" s="22" t="str">
        <f t="shared" ca="1" si="6"/>
        <v/>
      </c>
      <c r="H63" s="22" t="str">
        <f t="shared" ca="1" si="7"/>
        <v/>
      </c>
      <c r="I63" s="22" t="str">
        <f t="shared" ca="1" si="8"/>
        <v/>
      </c>
      <c r="J63" s="22" t="str">
        <f t="shared" ca="1" si="9"/>
        <v/>
      </c>
      <c r="K63" s="5" t="str">
        <f>IF(B63="","",L63-M63)</f>
        <v/>
      </c>
      <c r="L63" s="5" t="str">
        <f t="shared" si="11"/>
        <v/>
      </c>
      <c r="M63" s="162" t="str">
        <f t="shared" ca="1" si="16"/>
        <v/>
      </c>
      <c r="N63" s="15" t="str">
        <f t="shared" si="1"/>
        <v/>
      </c>
      <c r="P63" s="160"/>
      <c r="Q63" s="160"/>
      <c r="R63" s="160"/>
      <c r="S63" s="160"/>
    </row>
    <row r="64" spans="1:19" ht="15" customHeight="1">
      <c r="A64" s="12" t="str">
        <f t="shared" si="0"/>
        <v/>
      </c>
      <c r="B64" s="13" t="str">
        <f t="shared" si="15"/>
        <v/>
      </c>
      <c r="C64" s="14" t="str">
        <f t="shared" si="14"/>
        <v/>
      </c>
      <c r="D64" s="21" t="str">
        <f t="shared" ca="1" si="3"/>
        <v/>
      </c>
      <c r="E64" s="22" t="str">
        <f t="shared" ca="1" si="4"/>
        <v/>
      </c>
      <c r="F64" s="22" t="str">
        <f t="shared" ca="1" si="5"/>
        <v/>
      </c>
      <c r="G64" s="22" t="str">
        <f t="shared" ca="1" si="6"/>
        <v/>
      </c>
      <c r="H64" s="22" t="str">
        <f t="shared" ca="1" si="7"/>
        <v/>
      </c>
      <c r="I64" s="22" t="str">
        <f t="shared" ca="1" si="8"/>
        <v/>
      </c>
      <c r="J64" s="22" t="str">
        <f t="shared" ca="1" si="9"/>
        <v/>
      </c>
      <c r="K64" s="5" t="str">
        <f t="shared" si="18"/>
        <v/>
      </c>
      <c r="L64" s="5" t="str">
        <f t="shared" si="11"/>
        <v/>
      </c>
      <c r="M64" s="162" t="str">
        <f t="shared" ca="1" si="16"/>
        <v/>
      </c>
      <c r="N64" s="15" t="str">
        <f t="shared" si="1"/>
        <v/>
      </c>
      <c r="P64" s="160"/>
      <c r="Q64" s="160"/>
      <c r="R64" s="160"/>
      <c r="S64" s="160"/>
    </row>
    <row r="65" spans="1:19" ht="15" customHeight="1">
      <c r="A65" s="12" t="str">
        <f t="shared" si="0"/>
        <v/>
      </c>
      <c r="B65" s="13" t="str">
        <f t="shared" si="15"/>
        <v/>
      </c>
      <c r="C65" s="14" t="str">
        <f t="shared" si="14"/>
        <v/>
      </c>
      <c r="D65" s="21" t="str">
        <f t="shared" ca="1" si="3"/>
        <v/>
      </c>
      <c r="E65" s="22" t="str">
        <f t="shared" ca="1" si="4"/>
        <v/>
      </c>
      <c r="F65" s="22" t="str">
        <f t="shared" ca="1" si="5"/>
        <v/>
      </c>
      <c r="G65" s="22" t="str">
        <f t="shared" ca="1" si="6"/>
        <v/>
      </c>
      <c r="H65" s="22" t="str">
        <f t="shared" ca="1" si="7"/>
        <v/>
      </c>
      <c r="I65" s="22" t="str">
        <f t="shared" ca="1" si="8"/>
        <v/>
      </c>
      <c r="J65" s="22" t="str">
        <f t="shared" ca="1" si="9"/>
        <v/>
      </c>
      <c r="K65" s="5" t="str">
        <f t="shared" si="18"/>
        <v/>
      </c>
      <c r="L65" s="5" t="str">
        <f t="shared" si="11"/>
        <v/>
      </c>
      <c r="M65" s="162" t="str">
        <f t="shared" ca="1" si="16"/>
        <v/>
      </c>
      <c r="N65" s="15" t="str">
        <f t="shared" si="1"/>
        <v/>
      </c>
      <c r="P65" s="160"/>
      <c r="Q65" s="160"/>
      <c r="R65" s="160"/>
      <c r="S65" s="160"/>
    </row>
    <row r="66" spans="1:19" ht="15" customHeight="1">
      <c r="A66" s="12" t="str">
        <f t="shared" si="0"/>
        <v/>
      </c>
      <c r="B66" s="13" t="str">
        <f t="shared" si="15"/>
        <v/>
      </c>
      <c r="C66" s="14" t="str">
        <f t="shared" si="14"/>
        <v/>
      </c>
      <c r="D66" s="21" t="str">
        <f t="shared" ca="1" si="3"/>
        <v/>
      </c>
      <c r="E66" s="22" t="str">
        <f t="shared" ca="1" si="4"/>
        <v/>
      </c>
      <c r="F66" s="22" t="str">
        <f t="shared" ca="1" si="5"/>
        <v/>
      </c>
      <c r="G66" s="22" t="str">
        <f t="shared" ca="1" si="6"/>
        <v/>
      </c>
      <c r="H66" s="22" t="str">
        <f t="shared" ca="1" si="7"/>
        <v/>
      </c>
      <c r="I66" s="22" t="str">
        <f t="shared" ca="1" si="8"/>
        <v/>
      </c>
      <c r="J66" s="22" t="str">
        <f t="shared" ca="1" si="9"/>
        <v/>
      </c>
      <c r="K66" s="5" t="str">
        <f>IF(B66="","",L66-M66)</f>
        <v/>
      </c>
      <c r="L66" s="5" t="str">
        <f t="shared" si="11"/>
        <v/>
      </c>
      <c r="M66" s="162" t="str">
        <f t="shared" ca="1" si="16"/>
        <v/>
      </c>
      <c r="N66" s="15" t="str">
        <f t="shared" si="1"/>
        <v/>
      </c>
      <c r="P66" s="160"/>
      <c r="Q66" s="160"/>
      <c r="R66" s="160"/>
      <c r="S66" s="160"/>
    </row>
    <row r="67" spans="1:19" ht="15" customHeight="1">
      <c r="A67" s="12" t="str">
        <f t="shared" si="0"/>
        <v/>
      </c>
      <c r="B67" s="13" t="str">
        <f t="shared" si="15"/>
        <v/>
      </c>
      <c r="C67" s="14" t="str">
        <f t="shared" si="14"/>
        <v/>
      </c>
      <c r="D67" s="21" t="str">
        <f t="shared" ca="1" si="3"/>
        <v/>
      </c>
      <c r="E67" s="22" t="str">
        <f t="shared" ca="1" si="4"/>
        <v/>
      </c>
      <c r="F67" s="22" t="str">
        <f t="shared" ca="1" si="5"/>
        <v/>
      </c>
      <c r="G67" s="22" t="str">
        <f t="shared" ca="1" si="6"/>
        <v/>
      </c>
      <c r="H67" s="22" t="str">
        <f t="shared" ca="1" si="7"/>
        <v/>
      </c>
      <c r="I67" s="22" t="str">
        <f t="shared" ca="1" si="8"/>
        <v/>
      </c>
      <c r="J67" s="22" t="str">
        <f t="shared" ca="1" si="9"/>
        <v/>
      </c>
      <c r="K67" s="5" t="str">
        <f t="shared" si="18"/>
        <v/>
      </c>
      <c r="L67" s="5" t="str">
        <f t="shared" si="11"/>
        <v/>
      </c>
      <c r="M67" s="162" t="str">
        <f t="shared" ca="1" si="16"/>
        <v/>
      </c>
      <c r="N67" s="15" t="str">
        <f t="shared" si="1"/>
        <v/>
      </c>
      <c r="P67" s="160"/>
      <c r="Q67" s="160"/>
      <c r="R67" s="160"/>
      <c r="S67" s="160"/>
    </row>
    <row r="68" spans="1:19" ht="15" customHeight="1">
      <c r="A68" s="12" t="str">
        <f t="shared" si="0"/>
        <v/>
      </c>
      <c r="B68" s="13" t="str">
        <f t="shared" si="15"/>
        <v/>
      </c>
      <c r="C68" s="14" t="str">
        <f t="shared" si="14"/>
        <v/>
      </c>
      <c r="D68" s="21" t="str">
        <f t="shared" ca="1" si="3"/>
        <v/>
      </c>
      <c r="E68" s="22" t="str">
        <f t="shared" ca="1" si="4"/>
        <v/>
      </c>
      <c r="F68" s="22" t="str">
        <f t="shared" ca="1" si="5"/>
        <v/>
      </c>
      <c r="G68" s="22" t="str">
        <f t="shared" ca="1" si="6"/>
        <v/>
      </c>
      <c r="H68" s="22" t="str">
        <f t="shared" ca="1" si="7"/>
        <v/>
      </c>
      <c r="I68" s="22" t="str">
        <f t="shared" ca="1" si="8"/>
        <v/>
      </c>
      <c r="J68" s="22" t="str">
        <f t="shared" ca="1" si="9"/>
        <v/>
      </c>
      <c r="K68" s="5" t="str">
        <f t="shared" si="18"/>
        <v/>
      </c>
      <c r="L68" s="5" t="str">
        <f t="shared" si="11"/>
        <v/>
      </c>
      <c r="M68" s="162" t="str">
        <f t="shared" ca="1" si="16"/>
        <v/>
      </c>
      <c r="N68" s="15" t="str">
        <f t="shared" si="1"/>
        <v/>
      </c>
      <c r="P68" s="160"/>
      <c r="Q68" s="160"/>
      <c r="R68" s="160"/>
      <c r="S68" s="160"/>
    </row>
    <row r="69" spans="1:19" ht="15" customHeight="1">
      <c r="A69" s="12" t="str">
        <f t="shared" si="0"/>
        <v/>
      </c>
      <c r="B69" s="13" t="str">
        <f t="shared" si="15"/>
        <v/>
      </c>
      <c r="C69" s="14" t="str">
        <f t="shared" si="14"/>
        <v/>
      </c>
      <c r="D69" s="21" t="str">
        <f t="shared" ca="1" si="3"/>
        <v/>
      </c>
      <c r="E69" s="22" t="str">
        <f t="shared" ca="1" si="4"/>
        <v/>
      </c>
      <c r="F69" s="22" t="str">
        <f t="shared" ca="1" si="5"/>
        <v/>
      </c>
      <c r="G69" s="22" t="str">
        <f t="shared" ca="1" si="6"/>
        <v/>
      </c>
      <c r="H69" s="22" t="str">
        <f t="shared" ca="1" si="7"/>
        <v/>
      </c>
      <c r="I69" s="22" t="str">
        <f t="shared" ca="1" si="8"/>
        <v/>
      </c>
      <c r="J69" s="22" t="str">
        <f t="shared" ca="1" si="9"/>
        <v/>
      </c>
      <c r="K69" s="5" t="str">
        <f>IF(B69="","",L69-M69)</f>
        <v/>
      </c>
      <c r="L69" s="5" t="str">
        <f t="shared" si="11"/>
        <v/>
      </c>
      <c r="M69" s="162" t="str">
        <f t="shared" ca="1" si="16"/>
        <v/>
      </c>
      <c r="N69" s="15" t="str">
        <f t="shared" si="1"/>
        <v/>
      </c>
      <c r="P69" s="160"/>
      <c r="Q69" s="160"/>
      <c r="R69" s="160"/>
      <c r="S69" s="160"/>
    </row>
    <row r="70" spans="1:19" ht="15" customHeight="1">
      <c r="A70" s="12" t="str">
        <f t="shared" si="0"/>
        <v/>
      </c>
      <c r="B70" s="13" t="str">
        <f t="shared" si="15"/>
        <v/>
      </c>
      <c r="C70" s="14" t="str">
        <f t="shared" si="14"/>
        <v/>
      </c>
      <c r="D70" s="21" t="str">
        <f t="shared" ca="1" si="3"/>
        <v/>
      </c>
      <c r="E70" s="22" t="str">
        <f t="shared" ca="1" si="4"/>
        <v/>
      </c>
      <c r="F70" s="22" t="str">
        <f t="shared" ca="1" si="5"/>
        <v/>
      </c>
      <c r="G70" s="22" t="str">
        <f t="shared" ca="1" si="6"/>
        <v/>
      </c>
      <c r="H70" s="22" t="str">
        <f t="shared" ca="1" si="7"/>
        <v/>
      </c>
      <c r="I70" s="22" t="str">
        <f t="shared" ca="1" si="8"/>
        <v/>
      </c>
      <c r="J70" s="22" t="str">
        <f t="shared" ca="1" si="9"/>
        <v/>
      </c>
      <c r="K70" s="5" t="str">
        <f t="shared" ref="K70:K79" si="19">IF(B70="","",NumRepousosLocal(B70,C70))</f>
        <v/>
      </c>
      <c r="L70" s="5" t="str">
        <f t="shared" si="11"/>
        <v/>
      </c>
      <c r="M70" s="162" t="str">
        <f t="shared" ca="1" si="16"/>
        <v/>
      </c>
      <c r="N70" s="15" t="str">
        <f t="shared" si="1"/>
        <v/>
      </c>
      <c r="P70" s="160"/>
      <c r="Q70" s="160"/>
      <c r="R70" s="160"/>
      <c r="S70" s="160"/>
    </row>
    <row r="71" spans="1:19" ht="15" customHeight="1">
      <c r="A71" s="12" t="str">
        <f t="shared" si="0"/>
        <v/>
      </c>
      <c r="B71" s="13" t="str">
        <f t="shared" si="15"/>
        <v/>
      </c>
      <c r="C71" s="14" t="str">
        <f t="shared" si="14"/>
        <v/>
      </c>
      <c r="D71" s="21" t="str">
        <f t="shared" ca="1" si="3"/>
        <v/>
      </c>
      <c r="E71" s="22" t="str">
        <f t="shared" ca="1" si="4"/>
        <v/>
      </c>
      <c r="F71" s="22" t="str">
        <f t="shared" ca="1" si="5"/>
        <v/>
      </c>
      <c r="G71" s="22" t="str">
        <f t="shared" ca="1" si="6"/>
        <v/>
      </c>
      <c r="H71" s="22" t="str">
        <f t="shared" ca="1" si="7"/>
        <v/>
      </c>
      <c r="I71" s="22" t="str">
        <f t="shared" ca="1" si="8"/>
        <v/>
      </c>
      <c r="J71" s="22" t="str">
        <f t="shared" ca="1" si="9"/>
        <v/>
      </c>
      <c r="K71" s="5" t="str">
        <f t="shared" si="19"/>
        <v/>
      </c>
      <c r="L71" s="5" t="str">
        <f t="shared" si="11"/>
        <v/>
      </c>
      <c r="M71" s="162" t="str">
        <f t="shared" ca="1" si="16"/>
        <v/>
      </c>
      <c r="N71" s="15" t="str">
        <f t="shared" si="1"/>
        <v/>
      </c>
      <c r="P71" s="160"/>
      <c r="Q71" s="160"/>
      <c r="R71" s="160"/>
      <c r="S71" s="160"/>
    </row>
    <row r="72" spans="1:19" ht="15" customHeight="1">
      <c r="A72" s="12" t="str">
        <f t="shared" ref="A72:A79" si="20">IF(B72="","",B72)</f>
        <v/>
      </c>
      <c r="B72" s="13" t="str">
        <f t="shared" si="15"/>
        <v/>
      </c>
      <c r="C72" s="14" t="str">
        <f t="shared" ref="C72:C79" si="21">IF(B72="","",IF(fim&lt;EOMONTH(B72,0),fim,EOMONTH(B72,0)))</f>
        <v/>
      </c>
      <c r="D72" s="21" t="str">
        <f t="shared" ca="1" si="3"/>
        <v/>
      </c>
      <c r="E72" s="22" t="str">
        <f t="shared" ca="1" si="4"/>
        <v/>
      </c>
      <c r="F72" s="22" t="str">
        <f t="shared" ca="1" si="5"/>
        <v/>
      </c>
      <c r="G72" s="22" t="str">
        <f t="shared" ca="1" si="6"/>
        <v/>
      </c>
      <c r="H72" s="22" t="str">
        <f t="shared" ca="1" si="7"/>
        <v/>
      </c>
      <c r="I72" s="22" t="str">
        <f t="shared" ca="1" si="8"/>
        <v/>
      </c>
      <c r="J72" s="22" t="str">
        <f t="shared" ca="1" si="9"/>
        <v/>
      </c>
      <c r="K72" s="5" t="str">
        <f t="shared" si="19"/>
        <v/>
      </c>
      <c r="L72" s="5" t="str">
        <f t="shared" si="11"/>
        <v/>
      </c>
      <c r="M72" s="162" t="str">
        <f t="shared" ca="1" si="16"/>
        <v/>
      </c>
      <c r="N72" s="15" t="str">
        <f t="shared" ref="N72:N79" si="22">IF(B72="","",EOMONTH(B72,0)-DATE(YEAR(B72),MONTH(B72),1)+1)</f>
        <v/>
      </c>
      <c r="P72" s="160"/>
      <c r="Q72" s="160"/>
      <c r="R72" s="160"/>
      <c r="S72" s="160"/>
    </row>
    <row r="73" spans="1:19" ht="15" customHeight="1">
      <c r="A73" s="12" t="str">
        <f t="shared" si="20"/>
        <v/>
      </c>
      <c r="B73" s="13" t="str">
        <f t="shared" ref="B73:B79" si="23">IF(OR(C72=fim,C72=""),"",EOMONTH(B72,0)+1)</f>
        <v/>
      </c>
      <c r="C73" s="14" t="str">
        <f t="shared" si="21"/>
        <v/>
      </c>
      <c r="D73" s="21" t="str">
        <f t="shared" ref="D73:D79" ca="1" si="24">IF(B73="","",SUMPRODUCT((WEEKDAY(ROW(INDIRECT($B73&amp;":"&amp;$C73)))=2)*1))</f>
        <v/>
      </c>
      <c r="E73" s="22" t="str">
        <f t="shared" ref="E73:E79" ca="1" si="25">IF(B73="","",SUMPRODUCT((WEEKDAY(ROW(INDIRECT($B73&amp;":"&amp;$C73)))=3)*1))</f>
        <v/>
      </c>
      <c r="F73" s="22" t="str">
        <f t="shared" ref="F73:F79" ca="1" si="26">IF(B73="","",SUMPRODUCT((WEEKDAY(ROW(INDIRECT($B73&amp;":"&amp;$C73)))=4)*1))</f>
        <v/>
      </c>
      <c r="G73" s="22" t="str">
        <f t="shared" ref="G73:G79" ca="1" si="27">IF(B73="","",SUMPRODUCT((WEEKDAY(ROW(INDIRECT($B73&amp;":"&amp;$C73)))=5)*1))</f>
        <v/>
      </c>
      <c r="H73" s="22" t="str">
        <f t="shared" ref="H73:H79" ca="1" si="28">IF(B73="","",SUMPRODUCT((WEEKDAY(ROW(INDIRECT($B73&amp;":"&amp;$C73)))=6)*1))</f>
        <v/>
      </c>
      <c r="I73" s="22" t="str">
        <f t="shared" ref="I73:I79" ca="1" si="29">IF(B73="","",SUMPRODUCT((WEEKDAY(ROW(INDIRECT($B73&amp;":"&amp;$C73)))=7)*1))</f>
        <v/>
      </c>
      <c r="J73" s="22" t="str">
        <f t="shared" ref="J73:J79" ca="1" si="30">IF(B73="","",SUMPRODUCT((WEEKDAY(ROW(INDIRECT($B73&amp;":"&amp;$C73)))=1)*1))</f>
        <v/>
      </c>
      <c r="K73" s="5" t="str">
        <f t="shared" si="19"/>
        <v/>
      </c>
      <c r="L73" s="5" t="str">
        <f t="shared" ref="L73:L79" si="31">IF(B73="","",C73-B73+1)</f>
        <v/>
      </c>
      <c r="M73" s="162" t="str">
        <f t="shared" ref="M73:M79" ca="1" si="32">IF(A73="","",SUMPRODUCT((WEEKDAY(ROW(INDIRECT(B73&amp;":"&amp;C73)),2)&lt;7)*(COUNTIF(Fer,ROW(INDIRECT(B73&amp;":"&amp;C73)))=0)))</f>
        <v/>
      </c>
      <c r="N73" s="15" t="str">
        <f t="shared" si="22"/>
        <v/>
      </c>
      <c r="P73" s="160"/>
      <c r="Q73" s="160"/>
      <c r="R73" s="160"/>
      <c r="S73" s="160"/>
    </row>
    <row r="74" spans="1:19" ht="15" customHeight="1">
      <c r="A74" s="12" t="str">
        <f t="shared" si="20"/>
        <v/>
      </c>
      <c r="B74" s="13" t="str">
        <f t="shared" si="23"/>
        <v/>
      </c>
      <c r="C74" s="14" t="str">
        <f t="shared" si="21"/>
        <v/>
      </c>
      <c r="D74" s="21" t="str">
        <f t="shared" ca="1" si="24"/>
        <v/>
      </c>
      <c r="E74" s="22" t="str">
        <f t="shared" ca="1" si="25"/>
        <v/>
      </c>
      <c r="F74" s="22" t="str">
        <f t="shared" ca="1" si="26"/>
        <v/>
      </c>
      <c r="G74" s="22" t="str">
        <f t="shared" ca="1" si="27"/>
        <v/>
      </c>
      <c r="H74" s="22" t="str">
        <f t="shared" ca="1" si="28"/>
        <v/>
      </c>
      <c r="I74" s="22" t="str">
        <f t="shared" ca="1" si="29"/>
        <v/>
      </c>
      <c r="J74" s="22" t="str">
        <f t="shared" ca="1" si="30"/>
        <v/>
      </c>
      <c r="K74" s="5" t="str">
        <f t="shared" si="19"/>
        <v/>
      </c>
      <c r="L74" s="5" t="str">
        <f t="shared" si="31"/>
        <v/>
      </c>
      <c r="M74" s="162" t="str">
        <f t="shared" ca="1" si="32"/>
        <v/>
      </c>
      <c r="N74" s="15" t="str">
        <f t="shared" si="22"/>
        <v/>
      </c>
      <c r="P74" s="160"/>
      <c r="Q74" s="160"/>
      <c r="R74" s="160"/>
      <c r="S74" s="160"/>
    </row>
    <row r="75" spans="1:19" ht="15" customHeight="1">
      <c r="A75" s="12" t="str">
        <f t="shared" si="20"/>
        <v/>
      </c>
      <c r="B75" s="13" t="str">
        <f t="shared" si="23"/>
        <v/>
      </c>
      <c r="C75" s="14" t="str">
        <f t="shared" si="21"/>
        <v/>
      </c>
      <c r="D75" s="21" t="str">
        <f t="shared" ca="1" si="24"/>
        <v/>
      </c>
      <c r="E75" s="22" t="str">
        <f t="shared" ca="1" si="25"/>
        <v/>
      </c>
      <c r="F75" s="22" t="str">
        <f t="shared" ca="1" si="26"/>
        <v/>
      </c>
      <c r="G75" s="22" t="str">
        <f t="shared" ca="1" si="27"/>
        <v/>
      </c>
      <c r="H75" s="22" t="str">
        <f t="shared" ca="1" si="28"/>
        <v/>
      </c>
      <c r="I75" s="22" t="str">
        <f t="shared" ca="1" si="29"/>
        <v/>
      </c>
      <c r="J75" s="22" t="str">
        <f t="shared" ca="1" si="30"/>
        <v/>
      </c>
      <c r="K75" s="5" t="str">
        <f t="shared" si="19"/>
        <v/>
      </c>
      <c r="L75" s="5" t="str">
        <f t="shared" si="31"/>
        <v/>
      </c>
      <c r="M75" s="162" t="str">
        <f t="shared" ca="1" si="32"/>
        <v/>
      </c>
      <c r="N75" s="15" t="str">
        <f t="shared" si="22"/>
        <v/>
      </c>
      <c r="P75" s="160"/>
      <c r="Q75" s="160"/>
      <c r="R75" s="160"/>
      <c r="S75" s="160"/>
    </row>
    <row r="76" spans="1:19" ht="15" customHeight="1">
      <c r="A76" s="12" t="str">
        <f t="shared" si="20"/>
        <v/>
      </c>
      <c r="B76" s="13" t="str">
        <f t="shared" si="23"/>
        <v/>
      </c>
      <c r="C76" s="14" t="str">
        <f t="shared" si="21"/>
        <v/>
      </c>
      <c r="D76" s="21" t="str">
        <f t="shared" ca="1" si="24"/>
        <v/>
      </c>
      <c r="E76" s="22" t="str">
        <f t="shared" ca="1" si="25"/>
        <v/>
      </c>
      <c r="F76" s="22" t="str">
        <f t="shared" ca="1" si="26"/>
        <v/>
      </c>
      <c r="G76" s="22" t="str">
        <f t="shared" ca="1" si="27"/>
        <v/>
      </c>
      <c r="H76" s="22" t="str">
        <f t="shared" ca="1" si="28"/>
        <v/>
      </c>
      <c r="I76" s="22" t="str">
        <f t="shared" ca="1" si="29"/>
        <v/>
      </c>
      <c r="J76" s="22" t="str">
        <f t="shared" ca="1" si="30"/>
        <v/>
      </c>
      <c r="K76" s="5" t="str">
        <f t="shared" si="19"/>
        <v/>
      </c>
      <c r="L76" s="5" t="str">
        <f t="shared" si="31"/>
        <v/>
      </c>
      <c r="M76" s="162" t="str">
        <f t="shared" ca="1" si="32"/>
        <v/>
      </c>
      <c r="N76" s="15" t="str">
        <f t="shared" si="22"/>
        <v/>
      </c>
      <c r="P76" s="160"/>
      <c r="Q76" s="160"/>
      <c r="R76" s="160"/>
      <c r="S76" s="160"/>
    </row>
    <row r="77" spans="1:19" ht="15" customHeight="1">
      <c r="A77" s="12" t="str">
        <f t="shared" si="20"/>
        <v/>
      </c>
      <c r="B77" s="13" t="str">
        <f t="shared" si="23"/>
        <v/>
      </c>
      <c r="C77" s="14" t="str">
        <f t="shared" si="21"/>
        <v/>
      </c>
      <c r="D77" s="21" t="str">
        <f t="shared" ca="1" si="24"/>
        <v/>
      </c>
      <c r="E77" s="22" t="str">
        <f t="shared" ca="1" si="25"/>
        <v/>
      </c>
      <c r="F77" s="22" t="str">
        <f t="shared" ca="1" si="26"/>
        <v/>
      </c>
      <c r="G77" s="22" t="str">
        <f t="shared" ca="1" si="27"/>
        <v/>
      </c>
      <c r="H77" s="22" t="str">
        <f t="shared" ca="1" si="28"/>
        <v/>
      </c>
      <c r="I77" s="22" t="str">
        <f t="shared" ca="1" si="29"/>
        <v/>
      </c>
      <c r="J77" s="22" t="str">
        <f t="shared" ca="1" si="30"/>
        <v/>
      </c>
      <c r="K77" s="5" t="str">
        <f t="shared" si="19"/>
        <v/>
      </c>
      <c r="L77" s="5" t="str">
        <f t="shared" si="31"/>
        <v/>
      </c>
      <c r="M77" s="162" t="str">
        <f t="shared" ca="1" si="32"/>
        <v/>
      </c>
      <c r="N77" s="15" t="str">
        <f t="shared" si="22"/>
        <v/>
      </c>
      <c r="P77" s="160"/>
      <c r="Q77" s="160"/>
      <c r="R77" s="160"/>
      <c r="S77" s="160"/>
    </row>
    <row r="78" spans="1:19" ht="15" customHeight="1">
      <c r="A78" s="12" t="str">
        <f t="shared" si="20"/>
        <v/>
      </c>
      <c r="B78" s="13" t="str">
        <f t="shared" si="23"/>
        <v/>
      </c>
      <c r="C78" s="14" t="str">
        <f t="shared" si="21"/>
        <v/>
      </c>
      <c r="D78" s="21" t="str">
        <f t="shared" ca="1" si="24"/>
        <v/>
      </c>
      <c r="E78" s="22" t="str">
        <f t="shared" ca="1" si="25"/>
        <v/>
      </c>
      <c r="F78" s="22" t="str">
        <f t="shared" ca="1" si="26"/>
        <v/>
      </c>
      <c r="G78" s="22" t="str">
        <f t="shared" ca="1" si="27"/>
        <v/>
      </c>
      <c r="H78" s="22" t="str">
        <f t="shared" ca="1" si="28"/>
        <v/>
      </c>
      <c r="I78" s="22" t="str">
        <f t="shared" ca="1" si="29"/>
        <v/>
      </c>
      <c r="J78" s="22" t="str">
        <f t="shared" ca="1" si="30"/>
        <v/>
      </c>
      <c r="K78" s="5" t="str">
        <f t="shared" si="19"/>
        <v/>
      </c>
      <c r="L78" s="5" t="str">
        <f t="shared" si="31"/>
        <v/>
      </c>
      <c r="M78" s="162" t="str">
        <f t="shared" ca="1" si="32"/>
        <v/>
      </c>
      <c r="N78" s="15" t="str">
        <f t="shared" si="22"/>
        <v/>
      </c>
      <c r="P78" s="160"/>
      <c r="Q78" s="160"/>
      <c r="R78" s="160"/>
      <c r="S78" s="160"/>
    </row>
    <row r="79" spans="1:19" ht="15" customHeight="1">
      <c r="A79" s="16" t="str">
        <f t="shared" si="20"/>
        <v/>
      </c>
      <c r="B79" s="25" t="str">
        <f t="shared" si="23"/>
        <v/>
      </c>
      <c r="C79" s="17" t="str">
        <f t="shared" si="21"/>
        <v/>
      </c>
      <c r="D79" s="23" t="str">
        <f t="shared" ca="1" si="24"/>
        <v/>
      </c>
      <c r="E79" s="24" t="str">
        <f t="shared" ca="1" si="25"/>
        <v/>
      </c>
      <c r="F79" s="24" t="str">
        <f t="shared" ca="1" si="26"/>
        <v/>
      </c>
      <c r="G79" s="24" t="str">
        <f t="shared" ca="1" si="27"/>
        <v/>
      </c>
      <c r="H79" s="24" t="str">
        <f t="shared" ca="1" si="28"/>
        <v/>
      </c>
      <c r="I79" s="24" t="str">
        <f t="shared" ca="1" si="29"/>
        <v/>
      </c>
      <c r="J79" s="24" t="str">
        <f t="shared" ca="1" si="30"/>
        <v/>
      </c>
      <c r="K79" s="6" t="str">
        <f t="shared" si="19"/>
        <v/>
      </c>
      <c r="L79" s="6" t="str">
        <f t="shared" si="31"/>
        <v/>
      </c>
      <c r="M79" s="163" t="str">
        <f t="shared" ca="1" si="32"/>
        <v/>
      </c>
      <c r="N79" s="18" t="str">
        <f t="shared" si="22"/>
        <v/>
      </c>
      <c r="P79" s="160"/>
      <c r="Q79" s="160"/>
      <c r="R79" s="160"/>
      <c r="S79" s="160"/>
    </row>
  </sheetData>
  <mergeCells count="3">
    <mergeCell ref="B4:M4"/>
    <mergeCell ref="A1:N3"/>
    <mergeCell ref="B5:M5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29</vt:i4>
      </vt:variant>
    </vt:vector>
  </HeadingPairs>
  <TitlesOfParts>
    <vt:vector size="34" baseType="lpstr">
      <vt:lpstr>Instruções</vt:lpstr>
      <vt:lpstr>horas extras</vt:lpstr>
      <vt:lpstr>adicional noturno</vt:lpstr>
      <vt:lpstr>Feriados</vt:lpstr>
      <vt:lpstr>Calendário</vt:lpstr>
      <vt:lpstr>adicional_he</vt:lpstr>
      <vt:lpstr>adicionalnot</vt:lpstr>
      <vt:lpstr>anno</vt:lpstr>
      <vt:lpstr>ano</vt:lpstr>
      <vt:lpstr>'adicional noturno'!Area_de_impressao</vt:lpstr>
      <vt:lpstr>'horas extras'!Area_de_impressao</vt:lpstr>
      <vt:lpstr>dia_1</vt:lpstr>
      <vt:lpstr>dia_2</vt:lpstr>
      <vt:lpstr>Dias_Úteis</vt:lpstr>
      <vt:lpstr>divisor</vt:lpstr>
      <vt:lpstr>epoca</vt:lpstr>
      <vt:lpstr>fcarnaval</vt:lpstr>
      <vt:lpstr>fcorpus</vt:lpstr>
      <vt:lpstr>Fer</vt:lpstr>
      <vt:lpstr>fim</vt:lpstr>
      <vt:lpstr>fsexta</vt:lpstr>
      <vt:lpstr>inicio</vt:lpstr>
      <vt:lpstr>instruções</vt:lpstr>
      <vt:lpstr>mes_1</vt:lpstr>
      <vt:lpstr>mes_2</vt:lpstr>
      <vt:lpstr>Meses</vt:lpstr>
      <vt:lpstr>NMês</vt:lpstr>
      <vt:lpstr>PDia</vt:lpstr>
      <vt:lpstr>Repousos</vt:lpstr>
      <vt:lpstr>tab_adnotdemo</vt:lpstr>
      <vt:lpstr>tab_calendario</vt:lpstr>
      <vt:lpstr>tab_ferdemo</vt:lpstr>
      <vt:lpstr>tab_hedemo</vt:lpstr>
      <vt:lpstr>UDia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Gilberto</dc:creator>
  <cp:lastModifiedBy>Gilberto</cp:lastModifiedBy>
  <dcterms:created xsi:type="dcterms:W3CDTF">2014-07-01T08:49:40Z</dcterms:created>
  <dcterms:modified xsi:type="dcterms:W3CDTF">2018-02-12T11:17:32Z</dcterms:modified>
</cp:coreProperties>
</file>