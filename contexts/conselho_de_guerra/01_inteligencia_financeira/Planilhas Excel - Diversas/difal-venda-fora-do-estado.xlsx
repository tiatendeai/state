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hur\Desktop\"/>
    </mc:Choice>
  </mc:AlternateContent>
  <bookViews>
    <workbookView xWindow="240" yWindow="420" windowWidth="23715" windowHeight="9495"/>
  </bookViews>
  <sheets>
    <sheet name="RIO DE JANEIRO" sheetId="1" r:id="rId1"/>
    <sheet name="Plan2" sheetId="2" r:id="rId2"/>
    <sheet name="Plan3" sheetId="3" r:id="rId3"/>
  </sheets>
  <calcPr calcId="162913"/>
</workbook>
</file>

<file path=xl/calcChain.xml><?xml version="1.0" encoding="utf-8"?>
<calcChain xmlns="http://schemas.openxmlformats.org/spreadsheetml/2006/main">
  <c r="A4" i="1" l="1"/>
  <c r="C4" i="1" s="1"/>
  <c r="A6" i="1" s="1"/>
  <c r="A9" i="1" l="1"/>
  <c r="C9" i="1" s="1"/>
  <c r="A13" i="1"/>
  <c r="C13" i="1" s="1"/>
  <c r="D20" i="1" s="1"/>
  <c r="C6" i="1"/>
  <c r="C11" i="1" l="1"/>
  <c r="C14" i="1"/>
  <c r="B18" i="1" l="1"/>
  <c r="D18" i="1" s="1"/>
  <c r="D22" i="1" s="1"/>
  <c r="B16" i="1"/>
  <c r="D16" i="1" s="1"/>
</calcChain>
</file>

<file path=xl/sharedStrings.xml><?xml version="1.0" encoding="utf-8"?>
<sst xmlns="http://schemas.openxmlformats.org/spreadsheetml/2006/main" count="12" uniqueCount="11">
  <si>
    <t>DIFAL</t>
  </si>
  <si>
    <t>RJ</t>
  </si>
  <si>
    <t>Base de calculo RJ</t>
  </si>
  <si>
    <t>BASE DE CALCULO ICMS RIO DE JANEIRO</t>
  </si>
  <si>
    <t>ESTADO DE ORIGEM MINAS GERAIS</t>
  </si>
  <si>
    <t>ESTADO DE DESTINO RIO DE JANEIRO</t>
  </si>
  <si>
    <t>BASE DE CALCULO</t>
  </si>
  <si>
    <t>FUNDO DE POBREZA</t>
  </si>
  <si>
    <t>TOTAL GNRE</t>
  </si>
  <si>
    <t>DIVIDIR</t>
  </si>
  <si>
    <t>MULTIPLICAR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</si>
</sst>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0" applyNumberFormat="1"/>
    <xf numFmtId="9" fontId="0" fillId="0" borderId="0" xfId="0" applyNumberFormat="1"/>
    <xf numFmtId="44" fontId="0" fillId="0" borderId="2" xfId="0" applyNumberFormat="1" applyBorder="1"/>
    <xf numFmtId="0" fontId="0" fillId="0" borderId="3" xfId="0" applyBorder="1"/>
    <xf numFmtId="44" fontId="0" fillId="0" borderId="4" xfId="0" applyNumberFormat="1" applyBorder="1"/>
    <xf numFmtId="0" fontId="0" fillId="0" borderId="5" xfId="0" applyBorder="1"/>
    <xf numFmtId="44" fontId="0" fillId="0" borderId="0" xfId="0" applyNumberForma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44" fontId="0" fillId="0" borderId="8" xfId="0" applyNumberFormat="1" applyBorder="1"/>
    <xf numFmtId="44" fontId="0" fillId="0" borderId="6" xfId="0" applyNumberFormat="1" applyBorder="1"/>
    <xf numFmtId="0" fontId="0" fillId="0" borderId="8" xfId="0" applyBorder="1"/>
    <xf numFmtId="0" fontId="2" fillId="2" borderId="0" xfId="0" applyFont="1" applyFill="1" applyAlignment="1">
      <alignment horizontal="center"/>
    </xf>
    <xf numFmtId="44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0" fillId="0" borderId="9" xfId="0" applyBorder="1"/>
    <xf numFmtId="44" fontId="0" fillId="0" borderId="9" xfId="0" applyNumberFormat="1" applyBorder="1"/>
    <xf numFmtId="44" fontId="0" fillId="0" borderId="1" xfId="0" applyNumberFormat="1" applyBorder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12" workbookViewId="0">
      <selection activeCell="C19" sqref="C19"/>
    </sheetView>
  </sheetViews>
  <sheetFormatPr defaultRowHeight="15" x14ac:dyDescent="0.25"/>
  <cols>
    <col min="1" max="1" width="36.5703125" bestFit="1" customWidth="1"/>
    <col min="2" max="3" width="13.28515625" bestFit="1" customWidth="1"/>
    <col min="4" max="4" width="19" bestFit="1" customWidth="1"/>
  </cols>
  <sheetData>
    <row r="1" spans="1:4" x14ac:dyDescent="0.25">
      <c r="A1" s="17" t="s">
        <v>0</v>
      </c>
      <c r="B1" s="21">
        <v>10962</v>
      </c>
    </row>
    <row r="2" spans="1:4" x14ac:dyDescent="0.25">
      <c r="B2" t="s">
        <v>1</v>
      </c>
    </row>
    <row r="3" spans="1:4" x14ac:dyDescent="0.25">
      <c r="B3" s="14" t="s">
        <v>9</v>
      </c>
    </row>
    <row r="4" spans="1:4" x14ac:dyDescent="0.25">
      <c r="A4" s="15">
        <f>B1</f>
        <v>10962</v>
      </c>
      <c r="B4" s="16">
        <v>0.8</v>
      </c>
      <c r="C4" s="15">
        <f>A4/B4</f>
        <v>13702.5</v>
      </c>
    </row>
    <row r="5" spans="1:4" ht="15.75" thickBot="1" x14ac:dyDescent="0.3">
      <c r="A5" s="15"/>
      <c r="B5" s="17" t="s">
        <v>10</v>
      </c>
      <c r="C5" s="15"/>
    </row>
    <row r="6" spans="1:4" x14ac:dyDescent="0.25">
      <c r="A6" s="5">
        <f>C4</f>
        <v>13702.5</v>
      </c>
      <c r="B6" s="2">
        <v>0.2</v>
      </c>
      <c r="C6" s="1">
        <f>A6*B6</f>
        <v>2740.5</v>
      </c>
    </row>
    <row r="7" spans="1:4" ht="15.75" thickBot="1" x14ac:dyDescent="0.3">
      <c r="A7" s="6" t="s">
        <v>2</v>
      </c>
    </row>
    <row r="9" spans="1:4" x14ac:dyDescent="0.25">
      <c r="A9" s="7">
        <f>A6</f>
        <v>13702.5</v>
      </c>
      <c r="B9" s="2">
        <v>0.12</v>
      </c>
      <c r="C9" s="1">
        <f>A9*B9</f>
        <v>1644.3</v>
      </c>
    </row>
    <row r="10" spans="1:4" x14ac:dyDescent="0.25">
      <c r="A10" s="8"/>
    </row>
    <row r="11" spans="1:4" x14ac:dyDescent="0.25">
      <c r="A11" s="9" t="s">
        <v>3</v>
      </c>
      <c r="B11" s="10"/>
      <c r="C11" s="11">
        <f>C6-C9</f>
        <v>1096.2</v>
      </c>
    </row>
    <row r="13" spans="1:4" x14ac:dyDescent="0.25">
      <c r="A13" s="3">
        <f>A6</f>
        <v>13702.5</v>
      </c>
      <c r="B13">
        <v>0.02</v>
      </c>
      <c r="C13" s="12">
        <f>A13*B13</f>
        <v>274.05</v>
      </c>
      <c r="D13" s="13" t="s">
        <v>7</v>
      </c>
    </row>
    <row r="14" spans="1:4" x14ac:dyDescent="0.25">
      <c r="A14" s="4" t="s">
        <v>6</v>
      </c>
      <c r="C14" s="1">
        <f>C11-C13</f>
        <v>822.15000000000009</v>
      </c>
    </row>
    <row r="16" spans="1:4" x14ac:dyDescent="0.25">
      <c r="A16" t="s">
        <v>5</v>
      </c>
      <c r="B16" s="1">
        <f>C14</f>
        <v>822.15000000000009</v>
      </c>
      <c r="C16">
        <v>0.8</v>
      </c>
      <c r="D16" s="1">
        <f>B16*C16</f>
        <v>657.72000000000014</v>
      </c>
    </row>
    <row r="18" spans="1:4" x14ac:dyDescent="0.25">
      <c r="A18" t="s">
        <v>4</v>
      </c>
      <c r="B18" s="1">
        <f>C14</f>
        <v>822.15000000000009</v>
      </c>
      <c r="C18">
        <v>0.2</v>
      </c>
      <c r="D18" s="3">
        <f>B18*C18</f>
        <v>164.43000000000004</v>
      </c>
    </row>
    <row r="19" spans="1:4" x14ac:dyDescent="0.25">
      <c r="D19" s="18"/>
    </row>
    <row r="20" spans="1:4" x14ac:dyDescent="0.25">
      <c r="A20" t="s">
        <v>7</v>
      </c>
      <c r="D20" s="19">
        <f>C13</f>
        <v>274.05</v>
      </c>
    </row>
    <row r="21" spans="1:4" x14ac:dyDescent="0.25">
      <c r="D21" s="18"/>
    </row>
    <row r="22" spans="1:4" x14ac:dyDescent="0.25">
      <c r="A22" s="9" t="s">
        <v>8</v>
      </c>
      <c r="B22" s="10"/>
      <c r="C22" s="10"/>
      <c r="D22" s="20">
        <f>D18+D20</f>
        <v>438.48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RIO DE JANEIRO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LUCIENE</dc:creator>
  <cp:lastModifiedBy>Arthur</cp:lastModifiedBy>
  <cp:lastPrinted>2016-06-21T14:57:48Z</cp:lastPrinted>
  <dcterms:created xsi:type="dcterms:W3CDTF">2016-06-21T14:23:08Z</dcterms:created>
  <dcterms:modified xsi:type="dcterms:W3CDTF">2018-03-16T01:21:11Z</dcterms:modified>
</cp:coreProperties>
</file>