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4000" windowHeight="9510" firstSheet="1" activeTab="1" xr2:uid="{00000000-000D-0000-FFFF-FFFF00000000}"/>
  </bookViews>
  <sheets>
    <sheet name="Início" sheetId="4" state="hidden" r:id="rId1"/>
    <sheet name="Preços" sheetId="1" r:id="rId2"/>
    <sheet name="Matérias-Prima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L9" i="1"/>
  <c r="N10" i="1" l="1"/>
  <c r="J12" i="1"/>
  <c r="J11" i="1"/>
  <c r="I8" i="1"/>
  <c r="N11" i="1"/>
  <c r="N12" i="1"/>
  <c r="N13" i="1"/>
  <c r="E7" i="1"/>
  <c r="E8" i="1"/>
  <c r="N9" i="1" l="1"/>
  <c r="N14" i="1"/>
  <c r="I6" i="1"/>
  <c r="E13" i="1" l="1"/>
  <c r="E20" i="1"/>
  <c r="E21" i="1"/>
  <c r="E22" i="1"/>
  <c r="E9" i="1"/>
  <c r="E10" i="1"/>
  <c r="E11" i="1"/>
  <c r="E12" i="1"/>
  <c r="E14" i="1"/>
  <c r="E15" i="1"/>
  <c r="E16" i="1"/>
  <c r="E17" i="1"/>
  <c r="E18" i="1"/>
  <c r="E19" i="1"/>
  <c r="E6" i="1"/>
  <c r="E23" i="1" l="1"/>
  <c r="N8" i="1" l="1"/>
  <c r="L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Maximiliano Meyer</author>
    <author>Max</author>
  </authors>
  <commentList>
    <comment ref="G5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Maximiliano Meyer:</t>
        </r>
        <r>
          <rPr>
            <sz val="9"/>
            <color indexed="81"/>
            <rFont val="Segoe UI"/>
            <family val="2"/>
          </rPr>
          <t xml:space="preserve">
Aqui você irá inserir o quanto gostaria de ter de salário por mês. </t>
        </r>
      </text>
    </comment>
    <comment ref="H5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Maximiliano Meyer:</t>
        </r>
        <r>
          <rPr>
            <sz val="9"/>
            <color indexed="81"/>
            <rFont val="Segoe UI"/>
            <family val="2"/>
          </rPr>
          <t xml:space="preserve">
Aqui são quantas horas você trabalhou - ou irá trabalhar - de fato, no mês</t>
        </r>
      </text>
    </comment>
    <comment ref="G7" authorId="0" shapeId="0" xr:uid="{DAD13D49-A964-4414-B9FE-B62AF9CA6F21}">
      <text>
        <r>
          <rPr>
            <b/>
            <sz val="9"/>
            <color indexed="81"/>
            <rFont val="Segoe UI"/>
            <family val="2"/>
          </rPr>
          <t>Maximiliano Meyer:</t>
        </r>
        <r>
          <rPr>
            <sz val="9"/>
            <color indexed="81"/>
            <rFont val="Segoe UI"/>
            <family val="2"/>
          </rPr>
          <t xml:space="preserve">
Aqui você irá inserir o quanto gostaria de ter de salário por mês. </t>
        </r>
      </text>
    </comment>
    <comment ref="H7" authorId="0" shapeId="0" xr:uid="{D1D290AF-120A-4B76-8937-F09878469F3A}">
      <text>
        <r>
          <rPr>
            <b/>
            <sz val="9"/>
            <color indexed="81"/>
            <rFont val="Segoe UI"/>
            <family val="2"/>
          </rPr>
          <t>Maximiliano Meyer:</t>
        </r>
        <r>
          <rPr>
            <sz val="9"/>
            <color indexed="81"/>
            <rFont val="Segoe UI"/>
            <family val="2"/>
          </rPr>
          <t xml:space="preserve">
Aqui são unidades você irá produzir por mês</t>
        </r>
      </text>
    </comment>
    <comment ref="N8" authorId="1" shapeId="0" xr:uid="{98DE340A-DFEA-405D-98AF-42AEB62F2E1A}">
      <text>
        <r>
          <rPr>
            <b/>
            <sz val="9"/>
            <color indexed="81"/>
            <rFont val="Segoe UI"/>
            <family val="2"/>
          </rPr>
          <t xml:space="preserve">Maximiliano Meyer:
</t>
        </r>
        <r>
          <rPr>
            <sz val="9"/>
            <color indexed="81"/>
            <rFont val="Segoe UI"/>
            <family val="2"/>
          </rPr>
          <t>Insira a quantidade aproximada de peças produzidas na célula H8 mesmo que você trabalhe com produção por hora</t>
        </r>
      </text>
    </comment>
    <comment ref="G10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Maximiliano Meyer:</t>
        </r>
        <r>
          <rPr>
            <sz val="9"/>
            <color indexed="81"/>
            <rFont val="Segoe UI"/>
            <family val="2"/>
          </rPr>
          <t xml:space="preserve">
Aqui você irá colocar o custo da energia elétrica, internet, aluguel, etc. 
Muito cuidado para não misturar gastis domésticos com seu trabalho!!
</t>
        </r>
      </text>
    </comment>
  </commentList>
</comments>
</file>

<file path=xl/sharedStrings.xml><?xml version="1.0" encoding="utf-8"?>
<sst xmlns="http://schemas.openxmlformats.org/spreadsheetml/2006/main" count="52" uniqueCount="48">
  <si>
    <t>Material</t>
  </si>
  <si>
    <t>Valor</t>
  </si>
  <si>
    <t>Valor Final</t>
  </si>
  <si>
    <t>Quantidade</t>
  </si>
  <si>
    <t>Cálculo Final</t>
  </si>
  <si>
    <t>Salário base</t>
  </si>
  <si>
    <t>Valor da Hora</t>
  </si>
  <si>
    <t>Número de horas</t>
  </si>
  <si>
    <t>Imposto Pago</t>
  </si>
  <si>
    <t>Comissões total (vendedor, local, etc.)</t>
  </si>
  <si>
    <t>Margem de lucro</t>
  </si>
  <si>
    <t>Custo Embalagem</t>
  </si>
  <si>
    <t>Custo Frete</t>
  </si>
  <si>
    <t>Outros Custos</t>
  </si>
  <si>
    <t>Sua Margem de Lucro</t>
  </si>
  <si>
    <t xml:space="preserve">Custos dos Impostos </t>
  </si>
  <si>
    <t>Comissão</t>
  </si>
  <si>
    <t>Valor a ser cobrado</t>
  </si>
  <si>
    <t>Armação</t>
  </si>
  <si>
    <t>Solda</t>
  </si>
  <si>
    <t>Planilha de precificação dos produtos</t>
  </si>
  <si>
    <t>Ferro Kg</t>
  </si>
  <si>
    <t>Plástico</t>
  </si>
  <si>
    <t>Embalagem</t>
  </si>
  <si>
    <t>ventoinha</t>
  </si>
  <si>
    <t>Roldanas</t>
  </si>
  <si>
    <t>Corda</t>
  </si>
  <si>
    <t>Óleo</t>
  </si>
  <si>
    <t>Matéria-Prima</t>
  </si>
  <si>
    <t>Custo matéria-prima/peça</t>
  </si>
  <si>
    <t>Relação das matérias-primas</t>
  </si>
  <si>
    <t>&lt;</t>
  </si>
  <si>
    <t>Atenção:</t>
  </si>
  <si>
    <t>A planilha encontra-se bloqueada antes do primeiro acesso.</t>
  </si>
  <si>
    <t>?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</si>
  <si>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</si>
  <si>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</si>
  <si>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</si>
  <si>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</si>
  <si>
    <t>Salário por Horas Trabalhadas ou peças produzidas</t>
  </si>
  <si>
    <t>Número de peças</t>
  </si>
  <si>
    <t>Valor por peça</t>
  </si>
  <si>
    <t>Método usado:</t>
  </si>
  <si>
    <t>Custos fixos:</t>
  </si>
  <si>
    <t>Custo fixos baseado em produção:</t>
  </si>
  <si>
    <t>Custo fixos baseado em horas:</t>
  </si>
  <si>
    <t>Total dos Custos de matéria-prima</t>
  </si>
  <si>
    <t>Escolha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</si>
</sst>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;;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6"/>
      <color theme="1"/>
      <name val="Calibri"/>
      <family val="2"/>
      <scheme val="minor"/>
    </font>
    <font>
      <b/>
      <sz val="1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  <family val="2"/>
    </font>
    <font>
      <sz val="36"/>
      <color theme="0"/>
      <name val="Wingdings 3"/>
      <family val="1"/>
      <charset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4744D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70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2" borderId="0" xfId="0" applyFill="1" applyProtection="1"/>
    <xf numFmtId="0" fontId="12" fillId="9" borderId="0" xfId="3" applyFill="1" applyProtection="1"/>
    <xf numFmtId="0" fontId="8" fillId="9" borderId="0" xfId="3" applyFont="1" applyFill="1" applyAlignment="1" applyProtection="1">
      <alignment horizontal="center"/>
    </xf>
    <xf numFmtId="0" fontId="1" fillId="9" borderId="0" xfId="4" applyFill="1" applyProtection="1"/>
    <xf numFmtId="0" fontId="12" fillId="9" borderId="0" xfId="3" applyFill="1" applyAlignment="1" applyProtection="1">
      <alignment horizontal="center"/>
    </xf>
    <xf numFmtId="0" fontId="9" fillId="9" borderId="0" xfId="3" applyFont="1" applyFill="1" applyAlignment="1" applyProtection="1">
      <alignment horizontal="center"/>
    </xf>
    <xf numFmtId="0" fontId="10" fillId="9" borderId="0" xfId="3" applyFont="1" applyFill="1" applyAlignment="1" applyProtection="1"/>
    <xf numFmtId="0" fontId="10" fillId="9" borderId="0" xfId="3" applyFont="1" applyFill="1" applyAlignment="1" applyProtection="1">
      <alignment horizontal="center"/>
    </xf>
    <xf numFmtId="0" fontId="11" fillId="9" borderId="0" xfId="3" applyFont="1" applyFill="1" applyAlignment="1" applyProtection="1">
      <alignment vertical="center"/>
    </xf>
    <xf numFmtId="0" fontId="7" fillId="9" borderId="0" xfId="3" applyFont="1" applyFill="1" applyProtection="1"/>
    <xf numFmtId="0" fontId="13" fillId="9" borderId="0" xfId="3" applyFont="1" applyFill="1" applyProtection="1"/>
    <xf numFmtId="0" fontId="0" fillId="10" borderId="0" xfId="0" applyFill="1" applyProtection="1">
      <protection locked="0"/>
    </xf>
    <xf numFmtId="0" fontId="0" fillId="10" borderId="0" xfId="0" applyFill="1" applyProtection="1"/>
    <xf numFmtId="0" fontId="0" fillId="10" borderId="10" xfId="0" applyFill="1" applyBorder="1" applyProtection="1"/>
    <xf numFmtId="2" fontId="0" fillId="10" borderId="0" xfId="0" applyNumberFormat="1" applyFill="1" applyProtection="1"/>
    <xf numFmtId="0" fontId="14" fillId="6" borderId="1" xfId="0" applyFont="1" applyFill="1" applyBorder="1" applyProtection="1">
      <protection locked="0"/>
    </xf>
    <xf numFmtId="164" fontId="15" fillId="4" borderId="1" xfId="1" applyFont="1" applyFill="1" applyBorder="1" applyProtection="1">
      <protection locked="0"/>
    </xf>
    <xf numFmtId="164" fontId="15" fillId="4" borderId="1" xfId="1" applyFont="1" applyFill="1" applyBorder="1" applyProtection="1"/>
    <xf numFmtId="164" fontId="14" fillId="6" borderId="1" xfId="1" applyFont="1" applyFill="1" applyBorder="1" applyProtection="1">
      <protection locked="0"/>
    </xf>
    <xf numFmtId="0" fontId="15" fillId="7" borderId="1" xfId="0" applyFont="1" applyFill="1" applyBorder="1" applyAlignment="1" applyProtection="1">
      <alignment horizontal="center"/>
    </xf>
    <xf numFmtId="0" fontId="16" fillId="10" borderId="0" xfId="0" applyFont="1" applyFill="1" applyProtection="1"/>
    <xf numFmtId="0" fontId="16" fillId="10" borderId="9" xfId="0" applyFont="1" applyFill="1" applyBorder="1" applyProtection="1"/>
    <xf numFmtId="164" fontId="14" fillId="6" borderId="1" xfId="1" applyFont="1" applyFill="1" applyBorder="1" applyProtection="1"/>
    <xf numFmtId="164" fontId="15" fillId="7" borderId="1" xfId="0" applyNumberFormat="1" applyFont="1" applyFill="1" applyBorder="1" applyAlignment="1" applyProtection="1">
      <alignment horizontal="center"/>
    </xf>
    <xf numFmtId="0" fontId="16" fillId="10" borderId="0" xfId="0" applyFont="1" applyFill="1" applyProtection="1">
      <protection locked="0"/>
    </xf>
    <xf numFmtId="9" fontId="15" fillId="4" borderId="1" xfId="1" applyNumberFormat="1" applyFont="1" applyFill="1" applyBorder="1" applyProtection="1"/>
    <xf numFmtId="165" fontId="16" fillId="10" borderId="0" xfId="0" applyNumberFormat="1" applyFont="1" applyFill="1" applyProtection="1"/>
    <xf numFmtId="0" fontId="0" fillId="10" borderId="0" xfId="0" applyFill="1" applyAlignment="1" applyProtection="1">
      <alignment horizontal="center"/>
      <protection locked="0"/>
    </xf>
    <xf numFmtId="0" fontId="16" fillId="10" borderId="0" xfId="0" applyFont="1" applyFill="1" applyAlignment="1" applyProtection="1">
      <alignment horizontal="center"/>
    </xf>
    <xf numFmtId="0" fontId="14" fillId="5" borderId="1" xfId="0" applyFont="1" applyFill="1" applyBorder="1" applyAlignment="1" applyProtection="1"/>
    <xf numFmtId="164" fontId="15" fillId="4" borderId="1" xfId="1" applyFont="1" applyFill="1" applyBorder="1" applyAlignment="1" applyProtection="1">
      <alignment horizontal="center"/>
    </xf>
    <xf numFmtId="0" fontId="15" fillId="4" borderId="1" xfId="1" applyNumberFormat="1" applyFont="1" applyFill="1" applyBorder="1" applyAlignment="1" applyProtection="1">
      <alignment horizontal="center"/>
      <protection locked="0"/>
    </xf>
    <xf numFmtId="0" fontId="9" fillId="9" borderId="0" xfId="3" applyFont="1" applyFill="1" applyAlignment="1" applyProtection="1">
      <alignment horizontal="center"/>
    </xf>
    <xf numFmtId="0" fontId="10" fillId="9" borderId="0" xfId="3" applyFont="1" applyFill="1" applyAlignment="1" applyProtection="1">
      <alignment horizontal="center"/>
    </xf>
    <xf numFmtId="0" fontId="10" fillId="9" borderId="0" xfId="3" applyFont="1" applyFill="1" applyAlignment="1" applyProtection="1">
      <alignment horizontal="left"/>
    </xf>
    <xf numFmtId="0" fontId="15" fillId="7" borderId="2" xfId="0" applyFont="1" applyFill="1" applyBorder="1" applyAlignment="1" applyProtection="1">
      <alignment horizontal="center"/>
    </xf>
    <xf numFmtId="0" fontId="15" fillId="7" borderId="4" xfId="0" applyFont="1" applyFill="1" applyBorder="1" applyAlignment="1" applyProtection="1">
      <alignment horizontal="center"/>
    </xf>
    <xf numFmtId="0" fontId="15" fillId="7" borderId="3" xfId="0" applyFont="1" applyFill="1" applyBorder="1" applyAlignment="1" applyProtection="1">
      <alignment horizontal="center"/>
    </xf>
    <xf numFmtId="0" fontId="14" fillId="5" borderId="1" xfId="0" applyFont="1" applyFill="1" applyBorder="1" applyAlignment="1" applyProtection="1">
      <alignment horizontal="center"/>
    </xf>
    <xf numFmtId="9" fontId="14" fillId="6" borderId="2" xfId="2" applyFont="1" applyFill="1" applyBorder="1" applyAlignment="1" applyProtection="1">
      <alignment horizontal="center"/>
      <protection locked="0"/>
    </xf>
    <xf numFmtId="9" fontId="14" fillId="6" borderId="4" xfId="2" applyFont="1" applyFill="1" applyBorder="1" applyAlignment="1" applyProtection="1">
      <alignment horizontal="center"/>
      <protection locked="0"/>
    </xf>
    <xf numFmtId="9" fontId="14" fillId="6" borderId="3" xfId="2" applyFont="1" applyFill="1" applyBorder="1" applyAlignment="1" applyProtection="1">
      <alignment horizontal="center"/>
      <protection locked="0"/>
    </xf>
    <xf numFmtId="164" fontId="14" fillId="6" borderId="2" xfId="1" applyFont="1" applyFill="1" applyBorder="1" applyAlignment="1" applyProtection="1">
      <alignment horizontal="center"/>
    </xf>
    <xf numFmtId="164" fontId="14" fillId="6" borderId="3" xfId="1" applyFont="1" applyFill="1" applyBorder="1" applyAlignment="1" applyProtection="1">
      <alignment horizontal="center"/>
    </xf>
    <xf numFmtId="0" fontId="15" fillId="7" borderId="2" xfId="0" applyFont="1" applyFill="1" applyBorder="1" applyAlignment="1" applyProtection="1"/>
    <xf numFmtId="0" fontId="15" fillId="7" borderId="3" xfId="0" applyFont="1" applyFill="1" applyBorder="1" applyAlignment="1" applyProtection="1"/>
    <xf numFmtId="164" fontId="5" fillId="8" borderId="1" xfId="1" applyNumberFormat="1" applyFont="1" applyFill="1" applyBorder="1" applyAlignment="1" applyProtection="1">
      <alignment horizontal="left"/>
    </xf>
    <xf numFmtId="164" fontId="5" fillId="8" borderId="1" xfId="1" applyFont="1" applyFill="1" applyBorder="1" applyAlignment="1" applyProtection="1">
      <alignment horizontal="left"/>
    </xf>
    <xf numFmtId="0" fontId="2" fillId="5" borderId="2" xfId="0" applyFont="1" applyFill="1" applyBorder="1" applyAlignment="1" applyProtection="1">
      <alignment horizontal="center"/>
    </xf>
    <xf numFmtId="0" fontId="2" fillId="5" borderId="4" xfId="0" applyFont="1" applyFill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6" fillId="5" borderId="3" xfId="0" applyFont="1" applyFill="1" applyBorder="1" applyAlignment="1" applyProtection="1">
      <alignment horizontal="center"/>
    </xf>
    <xf numFmtId="164" fontId="15" fillId="4" borderId="2" xfId="1" applyFont="1" applyFill="1" applyBorder="1" applyAlignment="1" applyProtection="1">
      <alignment horizontal="center"/>
      <protection locked="0"/>
    </xf>
    <xf numFmtId="164" fontId="15" fillId="4" borderId="4" xfId="1" applyFont="1" applyFill="1" applyBorder="1" applyAlignment="1" applyProtection="1">
      <alignment horizontal="center"/>
      <protection locked="0"/>
    </xf>
    <xf numFmtId="164" fontId="15" fillId="4" borderId="3" xfId="1" applyFont="1" applyFill="1" applyBorder="1" applyAlignment="1" applyProtection="1">
      <alignment horizontal="center"/>
      <protection locked="0"/>
    </xf>
    <xf numFmtId="0" fontId="14" fillId="5" borderId="2" xfId="0" applyFont="1" applyFill="1" applyBorder="1" applyAlignment="1" applyProtection="1">
      <alignment horizontal="center"/>
    </xf>
    <xf numFmtId="0" fontId="14" fillId="5" borderId="4" xfId="0" applyFont="1" applyFill="1" applyBorder="1" applyAlignment="1" applyProtection="1">
      <alignment horizontal="center"/>
    </xf>
    <xf numFmtId="0" fontId="14" fillId="5" borderId="3" xfId="0" applyFont="1" applyFill="1" applyBorder="1" applyAlignment="1" applyProtection="1">
      <alignment horizontal="center"/>
    </xf>
    <xf numFmtId="0" fontId="14" fillId="6" borderId="2" xfId="0" applyFont="1" applyFill="1" applyBorder="1" applyAlignment="1" applyProtection="1">
      <alignment horizontal="left"/>
      <protection locked="0"/>
    </xf>
    <xf numFmtId="0" fontId="14" fillId="6" borderId="4" xfId="0" applyFont="1" applyFill="1" applyBorder="1" applyAlignment="1" applyProtection="1">
      <alignment horizontal="left"/>
      <protection locked="0"/>
    </xf>
    <xf numFmtId="0" fontId="14" fillId="6" borderId="3" xfId="0" applyFont="1" applyFill="1" applyBorder="1" applyAlignment="1" applyProtection="1">
      <alignment horizontal="left"/>
      <protection locked="0"/>
    </xf>
    <xf numFmtId="0" fontId="6" fillId="5" borderId="5" xfId="0" applyFont="1" applyFill="1" applyBorder="1" applyAlignment="1" applyProtection="1">
      <alignment horizontal="center" vertical="center"/>
    </xf>
    <xf numFmtId="0" fontId="6" fillId="5" borderId="6" xfId="0" applyFont="1" applyFill="1" applyBorder="1" applyAlignment="1" applyProtection="1">
      <alignment horizontal="center" vertical="center"/>
    </xf>
    <xf numFmtId="0" fontId="6" fillId="5" borderId="7" xfId="0" applyFont="1" applyFill="1" applyBorder="1" applyAlignment="1" applyProtection="1">
      <alignment horizontal="center" vertical="center"/>
    </xf>
    <xf numFmtId="0" fontId="6" fillId="5" borderId="8" xfId="0" applyFont="1" applyFill="1" applyBorder="1" applyAlignment="1" applyProtection="1">
      <alignment horizontal="center" vertical="center"/>
    </xf>
  </cellXfs>
  <cellStyles count="5">
    <cellStyle name="Moeda" xfId="1" builtinId="4"/>
    <cellStyle name="Normal" xfId="0" builtinId="0"/>
    <cellStyle name="Normal 2" xfId="3" xr:uid="{00000000-0005-0000-0000-000002000000}"/>
    <cellStyle name="Normal 2 2" xfId="4" xr:uid="{00000000-0005-0000-0000-000003000000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aprenderexcel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832586-2F90-4BC4-BFAE-1AAC090DE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242AD-740F-45A6-8A26-A8F64B10B5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17</xdr:row>
      <xdr:rowOff>114300</xdr:rowOff>
    </xdr:from>
    <xdr:to>
      <xdr:col>14</xdr:col>
      <xdr:colOff>57150</xdr:colOff>
      <xdr:row>23</xdr:row>
      <xdr:rowOff>19050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3771900"/>
          <a:ext cx="260985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D17" sqref="D17"/>
    </sheetView>
  </sheetViews>
  <sheetFormatPr defaultColWidth="9" defaultRowHeight="15" x14ac:dyDescent="0.25"/>
  <cols>
    <col min="1" max="1" width="10.28515625" style="6" customWidth="1"/>
    <col min="2" max="14" width="9" style="6"/>
    <col min="15" max="15" width="13" style="6" customWidth="1"/>
    <col min="16" max="16384" width="9" style="6"/>
  </cols>
  <sheetData>
    <row r="1" spans="1:19" ht="59.25" x14ac:dyDescent="0.75">
      <c r="A1" s="4"/>
      <c r="B1" s="4"/>
      <c r="C1" s="4"/>
      <c r="D1" s="4"/>
      <c r="E1" s="4"/>
      <c r="F1" s="5" t="s">
        <v>31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4"/>
      <c r="R5" s="4"/>
      <c r="S5" s="4"/>
    </row>
    <row r="6" spans="1:19" ht="61.5" x14ac:dyDescent="0.9">
      <c r="A6" s="4"/>
      <c r="B6" s="4"/>
      <c r="C6" s="4"/>
      <c r="D6" s="7"/>
      <c r="E6" s="35" t="s">
        <v>32</v>
      </c>
      <c r="F6" s="35"/>
      <c r="G6" s="35"/>
      <c r="H6" s="35"/>
      <c r="I6" s="35"/>
      <c r="J6" s="35"/>
      <c r="K6" s="35"/>
      <c r="L6" s="35"/>
      <c r="M6" s="35"/>
      <c r="N6" s="35"/>
      <c r="O6" s="7"/>
      <c r="P6" s="7"/>
      <c r="Q6" s="4"/>
      <c r="R6" s="4"/>
      <c r="S6" s="4"/>
    </row>
    <row r="7" spans="1:19" ht="9.75" customHeight="1" x14ac:dyDescent="0.9">
      <c r="A7" s="4"/>
      <c r="B7" s="4"/>
      <c r="C7" s="4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4"/>
      <c r="R7" s="4"/>
      <c r="S7" s="4"/>
    </row>
    <row r="8" spans="1:19" ht="18.75" x14ac:dyDescent="0.3">
      <c r="A8" s="4"/>
      <c r="B8" s="4"/>
      <c r="C8" s="4"/>
      <c r="D8" s="7"/>
      <c r="E8" s="36" t="s">
        <v>33</v>
      </c>
      <c r="F8" s="36"/>
      <c r="G8" s="36"/>
      <c r="H8" s="36"/>
      <c r="I8" s="36"/>
      <c r="J8" s="36"/>
      <c r="K8" s="36"/>
      <c r="L8" s="36"/>
      <c r="M8" s="36"/>
      <c r="N8" s="36"/>
      <c r="O8" s="7"/>
      <c r="P8" s="7"/>
      <c r="Q8" s="4"/>
      <c r="R8" s="4"/>
      <c r="S8" s="4"/>
    </row>
    <row r="9" spans="1:19" ht="18.75" x14ac:dyDescent="0.3">
      <c r="A9" s="4"/>
      <c r="B9" s="4"/>
      <c r="C9" s="4"/>
      <c r="D9" s="9" t="s">
        <v>35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/>
      <c r="Q9" s="4"/>
      <c r="R9" s="4"/>
      <c r="S9" s="4"/>
    </row>
    <row r="10" spans="1:19" ht="18.75" x14ac:dyDescent="0.3">
      <c r="A10" s="4"/>
      <c r="B10" s="4"/>
      <c r="C10" s="4"/>
      <c r="D10" s="36" t="s">
        <v>36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4"/>
      <c r="S10" s="4"/>
    </row>
    <row r="11" spans="1:19" ht="18.75" x14ac:dyDescent="0.3">
      <c r="A11" s="4"/>
      <c r="B11" s="4"/>
      <c r="C11" s="4"/>
      <c r="D11" s="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7"/>
      <c r="P11" s="7"/>
      <c r="Q11" s="4"/>
      <c r="R11" s="4"/>
      <c r="S11" s="4"/>
    </row>
    <row r="12" spans="1:19" ht="18.75" x14ac:dyDescent="0.3">
      <c r="A12" s="4"/>
      <c r="B12" s="4"/>
      <c r="C12" s="4"/>
      <c r="D12" s="7"/>
      <c r="E12" s="10"/>
      <c r="F12" s="37" t="s">
        <v>37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4"/>
      <c r="S12" s="4"/>
    </row>
    <row r="13" spans="1:19" x14ac:dyDescent="0.25">
      <c r="A13" s="4"/>
      <c r="B13" s="4"/>
      <c r="C13" s="4"/>
      <c r="D13" s="7"/>
      <c r="E13" s="7"/>
      <c r="F13" s="7"/>
      <c r="G13" s="7"/>
      <c r="H13" s="7"/>
      <c r="I13" s="7"/>
      <c r="J13" s="7"/>
      <c r="K13" s="7"/>
      <c r="L13" s="7"/>
      <c r="M13" s="4"/>
      <c r="N13" s="4"/>
      <c r="O13" s="4"/>
      <c r="P13" s="4"/>
      <c r="Q13" s="4"/>
      <c r="R13" s="4"/>
      <c r="S13" s="4"/>
    </row>
    <row r="14" spans="1:19" ht="23.25" x14ac:dyDescent="0.25">
      <c r="A14" s="4"/>
      <c r="B14" s="11" t="s">
        <v>38</v>
      </c>
      <c r="C14" s="11"/>
      <c r="D14" s="11"/>
      <c r="E14" s="11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44.25" x14ac:dyDescent="0.55000000000000004">
      <c r="A15" s="4"/>
      <c r="B15" s="12"/>
      <c r="C15" s="13" t="s">
        <v>34</v>
      </c>
      <c r="D15" s="12"/>
      <c r="E15" s="12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M32"/>
  <sheetViews>
    <sheetView showGridLines="0" tabSelected="1" workbookViewId="0">
      <selection activeCell="D11" sqref="D11"/>
    </sheetView>
  </sheetViews>
  <sheetFormatPr defaultColWidth="0" defaultRowHeight="15" zeroHeight="1" x14ac:dyDescent="0.25"/>
  <cols>
    <col min="1" max="1" width="1" style="14" customWidth="1"/>
    <col min="2" max="2" width="32.28515625" style="2" customWidth="1"/>
    <col min="3" max="3" width="10.42578125" style="2" customWidth="1"/>
    <col min="4" max="4" width="12.42578125" style="2" customWidth="1"/>
    <col min="5" max="5" width="13.5703125" style="2" bestFit="1" customWidth="1"/>
    <col min="6" max="6" width="1.42578125" style="2" customWidth="1"/>
    <col min="7" max="7" width="16.5703125" style="2" customWidth="1"/>
    <col min="8" max="8" width="25.42578125" style="2" customWidth="1"/>
    <col min="9" max="9" width="5.85546875" style="2" customWidth="1"/>
    <col min="10" max="10" width="16.42578125" style="2" customWidth="1"/>
    <col min="11" max="11" width="1.5703125" style="1" customWidth="1"/>
    <col min="12" max="12" width="9.42578125" style="2" bestFit="1" customWidth="1"/>
    <col min="13" max="13" width="18.28515625" style="2" customWidth="1"/>
    <col min="14" max="14" width="10.42578125" style="2" customWidth="1"/>
    <col min="15" max="15" width="9.5703125" style="14" bestFit="1" customWidth="1"/>
    <col min="16" max="19" width="9" style="14" customWidth="1"/>
    <col min="20" max="39" width="0" style="14" hidden="1" customWidth="1"/>
    <col min="40" max="16384" width="9" style="2" hidden="1"/>
  </cols>
  <sheetData>
    <row r="1" spans="1:15" s="14" customFormat="1" ht="5.25" customHeight="1" thickBo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4" customHeight="1" thickTop="1" thickBot="1" x14ac:dyDescent="0.45">
      <c r="A2" s="15"/>
      <c r="B2" s="54" t="s">
        <v>20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  <c r="O2" s="15"/>
    </row>
    <row r="3" spans="1:15" s="14" customFormat="1" ht="17.25" thickTop="1" thickBot="1" x14ac:dyDescent="0.3">
      <c r="A3" s="15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15"/>
    </row>
    <row r="4" spans="1:15" ht="17.25" thickTop="1" thickBot="1" x14ac:dyDescent="0.3">
      <c r="A4" s="15"/>
      <c r="B4" s="41" t="s">
        <v>28</v>
      </c>
      <c r="C4" s="41"/>
      <c r="D4" s="41"/>
      <c r="E4" s="41"/>
      <c r="F4" s="23"/>
      <c r="G4" s="41" t="s">
        <v>39</v>
      </c>
      <c r="H4" s="41"/>
      <c r="I4" s="41"/>
      <c r="J4" s="41"/>
      <c r="K4" s="23"/>
      <c r="L4" s="41" t="s">
        <v>4</v>
      </c>
      <c r="M4" s="41"/>
      <c r="N4" s="41"/>
      <c r="O4" s="15"/>
    </row>
    <row r="5" spans="1:15" ht="17.25" thickTop="1" thickBot="1" x14ac:dyDescent="0.3">
      <c r="A5" s="15"/>
      <c r="B5" s="22" t="s">
        <v>0</v>
      </c>
      <c r="C5" s="22" t="s">
        <v>1</v>
      </c>
      <c r="D5" s="22" t="s">
        <v>3</v>
      </c>
      <c r="E5" s="22" t="s">
        <v>2</v>
      </c>
      <c r="F5" s="23"/>
      <c r="G5" s="22" t="s">
        <v>5</v>
      </c>
      <c r="H5" s="22" t="s">
        <v>7</v>
      </c>
      <c r="I5" s="38" t="s">
        <v>6</v>
      </c>
      <c r="J5" s="40"/>
      <c r="K5" s="24"/>
      <c r="L5" s="47" t="s">
        <v>11</v>
      </c>
      <c r="M5" s="48"/>
      <c r="N5" s="19">
        <v>3</v>
      </c>
      <c r="O5" s="17"/>
    </row>
    <row r="6" spans="1:15" ht="17.25" thickTop="1" thickBot="1" x14ac:dyDescent="0.3">
      <c r="A6" s="15"/>
      <c r="B6" s="18" t="s">
        <v>21</v>
      </c>
      <c r="C6" s="19">
        <v>9</v>
      </c>
      <c r="D6" s="18">
        <v>12</v>
      </c>
      <c r="E6" s="20">
        <f>C6*D6</f>
        <v>108</v>
      </c>
      <c r="F6" s="23"/>
      <c r="G6" s="21">
        <v>3000</v>
      </c>
      <c r="H6" s="34">
        <v>220</v>
      </c>
      <c r="I6" s="45">
        <f>G6/H6</f>
        <v>13.636363636363637</v>
      </c>
      <c r="J6" s="46"/>
      <c r="K6" s="23"/>
      <c r="L6" s="47" t="s">
        <v>12</v>
      </c>
      <c r="M6" s="48"/>
      <c r="N6" s="19">
        <v>3</v>
      </c>
      <c r="O6" s="15"/>
    </row>
    <row r="7" spans="1:15" ht="17.25" thickTop="1" thickBot="1" x14ac:dyDescent="0.3">
      <c r="A7" s="15"/>
      <c r="B7" s="18" t="s">
        <v>19</v>
      </c>
      <c r="C7" s="19">
        <v>0.35</v>
      </c>
      <c r="D7" s="18">
        <v>150</v>
      </c>
      <c r="E7" s="20">
        <f t="shared" ref="E7:E8" si="0">C7*D7</f>
        <v>52.5</v>
      </c>
      <c r="F7" s="23"/>
      <c r="G7" s="22" t="s">
        <v>5</v>
      </c>
      <c r="H7" s="22" t="s">
        <v>40</v>
      </c>
      <c r="I7" s="38" t="s">
        <v>41</v>
      </c>
      <c r="J7" s="40"/>
      <c r="K7" s="23"/>
      <c r="L7" s="47" t="s">
        <v>13</v>
      </c>
      <c r="M7" s="48"/>
      <c r="N7" s="19">
        <v>2</v>
      </c>
      <c r="O7" s="15"/>
    </row>
    <row r="8" spans="1:15" ht="17.25" thickTop="1" thickBot="1" x14ac:dyDescent="0.3">
      <c r="A8" s="15"/>
      <c r="B8" s="18" t="s">
        <v>18</v>
      </c>
      <c r="C8" s="19">
        <v>3.1</v>
      </c>
      <c r="D8" s="18">
        <v>10</v>
      </c>
      <c r="E8" s="20">
        <f t="shared" si="0"/>
        <v>31</v>
      </c>
      <c r="F8" s="23"/>
      <c r="G8" s="21">
        <v>1000</v>
      </c>
      <c r="H8" s="34">
        <v>60</v>
      </c>
      <c r="I8" s="45">
        <f>G8/H8</f>
        <v>16.666666666666668</v>
      </c>
      <c r="J8" s="46"/>
      <c r="K8" s="23"/>
      <c r="L8" s="47" t="s">
        <v>29</v>
      </c>
      <c r="M8" s="48"/>
      <c r="N8" s="20">
        <f>E23/H8</f>
        <v>3.1916666666666669</v>
      </c>
      <c r="O8" s="15"/>
    </row>
    <row r="9" spans="1:15" ht="17.25" thickTop="1" thickBot="1" x14ac:dyDescent="0.3">
      <c r="A9" s="15"/>
      <c r="B9" s="18"/>
      <c r="C9" s="19"/>
      <c r="D9" s="18"/>
      <c r="E9" s="20">
        <f t="shared" ref="E9:E19" si="1">C9*D9</f>
        <v>0</v>
      </c>
      <c r="F9" s="23"/>
      <c r="G9" s="23"/>
      <c r="H9" s="23"/>
      <c r="I9" s="23"/>
      <c r="J9" s="23"/>
      <c r="K9" s="23"/>
      <c r="L9" s="47" t="str">
        <f>IF(H14="Escolha","Escolha o método ao lado",IF(H14="Produção por peça","Estimativa salário por peça","Estimativa salário por hora"))</f>
        <v>Escolha o método ao lado</v>
      </c>
      <c r="M9" s="48"/>
      <c r="N9" s="33" t="str">
        <f>IF(L9="Estimativa salário por peça", I8,IF(L9="Estimativa salário por hora",I6,"-"))</f>
        <v>-</v>
      </c>
      <c r="O9" s="15"/>
    </row>
    <row r="10" spans="1:15" ht="17.25" thickTop="1" thickBot="1" x14ac:dyDescent="0.3">
      <c r="A10" s="15"/>
      <c r="B10" s="18"/>
      <c r="C10" s="19"/>
      <c r="D10" s="18"/>
      <c r="E10" s="20">
        <f t="shared" si="1"/>
        <v>0</v>
      </c>
      <c r="F10" s="23"/>
      <c r="G10" s="60" t="s">
        <v>43</v>
      </c>
      <c r="H10" s="61"/>
      <c r="I10" s="62"/>
      <c r="J10" s="21">
        <v>400</v>
      </c>
      <c r="K10" s="23"/>
      <c r="L10" s="47" t="str">
        <f>IF(H14="Escolha","Escolha o método ao lado",IF(H14="Produção por peça","Custos fixos por peça","Custos fixos por hora"))</f>
        <v>Escolha o método ao lado</v>
      </c>
      <c r="M10" s="48"/>
      <c r="N10" s="33" t="str">
        <f>IF(H14="Produção por peça", J12,IF(H14="Produção por hora",J11,"-"))</f>
        <v>-</v>
      </c>
    </row>
    <row r="11" spans="1:15" ht="17.25" thickTop="1" thickBot="1" x14ac:dyDescent="0.3">
      <c r="A11" s="15"/>
      <c r="B11" s="18"/>
      <c r="C11" s="19"/>
      <c r="D11" s="18"/>
      <c r="E11" s="20">
        <f t="shared" si="1"/>
        <v>0</v>
      </c>
      <c r="F11" s="23"/>
      <c r="G11" s="38" t="s">
        <v>45</v>
      </c>
      <c r="H11" s="39"/>
      <c r="I11" s="40"/>
      <c r="J11" s="21">
        <f>J10/H6</f>
        <v>1.8181818181818181</v>
      </c>
      <c r="K11" s="23"/>
      <c r="L11" s="47" t="s">
        <v>14</v>
      </c>
      <c r="M11" s="48"/>
      <c r="N11" s="28">
        <f>G23</f>
        <v>0.15</v>
      </c>
    </row>
    <row r="12" spans="1:15" ht="17.25" thickTop="1" thickBot="1" x14ac:dyDescent="0.3">
      <c r="A12" s="15"/>
      <c r="B12" s="18"/>
      <c r="C12" s="19"/>
      <c r="D12" s="18"/>
      <c r="E12" s="20">
        <f t="shared" si="1"/>
        <v>0</v>
      </c>
      <c r="F12" s="23"/>
      <c r="G12" s="38" t="s">
        <v>44</v>
      </c>
      <c r="H12" s="39"/>
      <c r="I12" s="40"/>
      <c r="J12" s="25">
        <f>J10/H8</f>
        <v>6.666666666666667</v>
      </c>
      <c r="K12" s="23"/>
      <c r="L12" s="47" t="s">
        <v>15</v>
      </c>
      <c r="M12" s="48"/>
      <c r="N12" s="28">
        <f>G17</f>
        <v>0.08</v>
      </c>
    </row>
    <row r="13" spans="1:15" ht="17.25" thickTop="1" thickBot="1" x14ac:dyDescent="0.3">
      <c r="A13" s="15"/>
      <c r="B13" s="18"/>
      <c r="C13" s="19"/>
      <c r="D13" s="18"/>
      <c r="E13" s="20">
        <f t="shared" si="1"/>
        <v>0</v>
      </c>
      <c r="F13" s="23"/>
      <c r="G13" s="14"/>
      <c r="H13" s="14"/>
      <c r="I13" s="14"/>
      <c r="J13" s="14"/>
      <c r="K13" s="23"/>
      <c r="L13" s="47" t="s">
        <v>16</v>
      </c>
      <c r="M13" s="48"/>
      <c r="N13" s="28">
        <f>G20</f>
        <v>0</v>
      </c>
      <c r="O13" s="15"/>
    </row>
    <row r="14" spans="1:15" ht="17.25" thickTop="1" thickBot="1" x14ac:dyDescent="0.3">
      <c r="A14" s="15"/>
      <c r="B14" s="18"/>
      <c r="C14" s="19"/>
      <c r="D14" s="18"/>
      <c r="E14" s="20">
        <f t="shared" si="1"/>
        <v>0</v>
      </c>
      <c r="F14" s="23"/>
      <c r="G14" s="32" t="s">
        <v>42</v>
      </c>
      <c r="H14" s="57" t="s">
        <v>47</v>
      </c>
      <c r="I14" s="58"/>
      <c r="J14" s="59"/>
      <c r="K14" s="23"/>
      <c r="L14" s="23"/>
      <c r="M14" s="23"/>
      <c r="N14" s="29">
        <f>SUM(N11:N13)</f>
        <v>0.22999999999999998</v>
      </c>
      <c r="O14" s="15"/>
    </row>
    <row r="15" spans="1:15" ht="17.25" thickTop="1" thickBot="1" x14ac:dyDescent="0.3">
      <c r="A15" s="15"/>
      <c r="B15" s="18"/>
      <c r="C15" s="19"/>
      <c r="D15" s="18"/>
      <c r="E15" s="20">
        <f t="shared" si="1"/>
        <v>0</v>
      </c>
      <c r="F15" s="23"/>
      <c r="G15" s="30"/>
      <c r="H15" s="30"/>
      <c r="I15" s="30"/>
      <c r="J15" s="30"/>
      <c r="K15" s="15"/>
      <c r="L15" s="51" t="s">
        <v>17</v>
      </c>
      <c r="M15" s="52"/>
      <c r="N15" s="53"/>
      <c r="O15" s="15"/>
    </row>
    <row r="16" spans="1:15" ht="17.25" thickTop="1" thickBot="1" x14ac:dyDescent="0.3">
      <c r="A16" s="15"/>
      <c r="B16" s="18"/>
      <c r="C16" s="19"/>
      <c r="D16" s="18"/>
      <c r="E16" s="20">
        <f t="shared" si="1"/>
        <v>0</v>
      </c>
      <c r="F16" s="23"/>
      <c r="G16" s="41" t="s">
        <v>8</v>
      </c>
      <c r="H16" s="41"/>
      <c r="I16" s="41"/>
      <c r="J16" s="41"/>
      <c r="K16" s="15"/>
      <c r="L16" s="49">
        <f>SUM(N5:N10)+(N14*SUM(N5:N10))</f>
        <v>13.765750000000001</v>
      </c>
      <c r="M16" s="50"/>
      <c r="N16" s="50"/>
      <c r="O16" s="15"/>
    </row>
    <row r="17" spans="1:15" ht="17.25" thickTop="1" thickBot="1" x14ac:dyDescent="0.3">
      <c r="A17" s="15"/>
      <c r="B17" s="18"/>
      <c r="C17" s="19"/>
      <c r="D17" s="18"/>
      <c r="E17" s="20">
        <f t="shared" si="1"/>
        <v>0</v>
      </c>
      <c r="F17" s="23"/>
      <c r="G17" s="42">
        <v>0.08</v>
      </c>
      <c r="H17" s="43"/>
      <c r="I17" s="43"/>
      <c r="J17" s="44"/>
      <c r="K17" s="15"/>
      <c r="L17" s="50"/>
      <c r="M17" s="50"/>
      <c r="N17" s="50"/>
      <c r="O17" s="15"/>
    </row>
    <row r="18" spans="1:15" ht="17.25" thickTop="1" thickBot="1" x14ac:dyDescent="0.3">
      <c r="A18" s="15"/>
      <c r="B18" s="18"/>
      <c r="C18" s="19"/>
      <c r="D18" s="18"/>
      <c r="E18" s="20">
        <f t="shared" si="1"/>
        <v>0</v>
      </c>
      <c r="F18" s="23"/>
      <c r="G18" s="30"/>
      <c r="H18" s="30"/>
      <c r="I18" s="30"/>
      <c r="J18" s="30"/>
      <c r="K18" s="15"/>
      <c r="L18" s="15"/>
      <c r="M18" s="15"/>
      <c r="N18" s="15"/>
      <c r="O18" s="15"/>
    </row>
    <row r="19" spans="1:15" ht="17.25" thickTop="1" thickBot="1" x14ac:dyDescent="0.3">
      <c r="A19" s="15"/>
      <c r="B19" s="18"/>
      <c r="C19" s="19"/>
      <c r="D19" s="18"/>
      <c r="E19" s="20">
        <f t="shared" si="1"/>
        <v>0</v>
      </c>
      <c r="F19" s="23"/>
      <c r="G19" s="41" t="s">
        <v>9</v>
      </c>
      <c r="H19" s="41"/>
      <c r="I19" s="41"/>
      <c r="J19" s="41"/>
      <c r="K19" s="15"/>
      <c r="L19" s="3"/>
      <c r="M19" s="3"/>
      <c r="N19" s="15"/>
      <c r="O19" s="15"/>
    </row>
    <row r="20" spans="1:15" ht="17.25" thickTop="1" thickBot="1" x14ac:dyDescent="0.3">
      <c r="A20" s="15"/>
      <c r="B20" s="18"/>
      <c r="C20" s="19"/>
      <c r="D20" s="18"/>
      <c r="E20" s="20">
        <f>C20*D20</f>
        <v>0</v>
      </c>
      <c r="F20" s="23"/>
      <c r="G20" s="42">
        <v>0</v>
      </c>
      <c r="H20" s="43"/>
      <c r="I20" s="43"/>
      <c r="J20" s="44"/>
      <c r="K20" s="15"/>
      <c r="L20" s="3"/>
      <c r="M20" s="3"/>
      <c r="N20" s="15"/>
      <c r="O20" s="15"/>
    </row>
    <row r="21" spans="1:15" ht="17.25" thickTop="1" thickBot="1" x14ac:dyDescent="0.3">
      <c r="A21" s="15"/>
      <c r="B21" s="18"/>
      <c r="C21" s="19"/>
      <c r="D21" s="18"/>
      <c r="E21" s="20">
        <f t="shared" ref="E21:E22" si="2">C21*D21</f>
        <v>0</v>
      </c>
      <c r="F21" s="23"/>
      <c r="G21" s="31"/>
      <c r="H21" s="31"/>
      <c r="I21" s="31"/>
      <c r="J21" s="31"/>
      <c r="K21" s="15"/>
      <c r="L21" s="3"/>
      <c r="M21" s="3"/>
      <c r="N21" s="15"/>
      <c r="O21" s="15"/>
    </row>
    <row r="22" spans="1:15" ht="17.25" thickTop="1" thickBot="1" x14ac:dyDescent="0.3">
      <c r="A22" s="15"/>
      <c r="B22" s="18"/>
      <c r="C22" s="19"/>
      <c r="D22" s="18"/>
      <c r="E22" s="20">
        <f t="shared" si="2"/>
        <v>0</v>
      </c>
      <c r="F22" s="23"/>
      <c r="G22" s="41" t="s">
        <v>10</v>
      </c>
      <c r="H22" s="41"/>
      <c r="I22" s="41"/>
      <c r="J22" s="41"/>
      <c r="K22" s="15"/>
      <c r="L22" s="3"/>
      <c r="M22" s="3"/>
      <c r="N22" s="15"/>
      <c r="O22" s="15"/>
    </row>
    <row r="23" spans="1:15" ht="17.25" thickTop="1" thickBot="1" x14ac:dyDescent="0.3">
      <c r="A23" s="15"/>
      <c r="B23" s="38" t="s">
        <v>46</v>
      </c>
      <c r="C23" s="39"/>
      <c r="D23" s="40"/>
      <c r="E23" s="26">
        <f>SUM(E6:E22)</f>
        <v>191.5</v>
      </c>
      <c r="F23" s="23"/>
      <c r="G23" s="42">
        <v>0.15</v>
      </c>
      <c r="H23" s="43"/>
      <c r="I23" s="43"/>
      <c r="J23" s="44"/>
      <c r="K23" s="15"/>
      <c r="L23" s="3"/>
      <c r="M23" s="3"/>
      <c r="N23" s="15"/>
      <c r="O23" s="15"/>
    </row>
    <row r="24" spans="1:15" s="14" customFormat="1" ht="16.5" thickTop="1" x14ac:dyDescent="0.25">
      <c r="A24" s="15"/>
      <c r="B24" s="23"/>
      <c r="C24" s="23"/>
      <c r="D24" s="23"/>
      <c r="E24" s="23"/>
      <c r="F24" s="23"/>
      <c r="G24" s="23"/>
      <c r="H24" s="23"/>
      <c r="I24" s="23"/>
      <c r="J24" s="23"/>
      <c r="K24" s="15"/>
      <c r="L24" s="15"/>
      <c r="M24" s="15"/>
      <c r="N24" s="15"/>
      <c r="O24" s="15"/>
    </row>
    <row r="25" spans="1:15" s="14" customFormat="1" ht="15.75" x14ac:dyDescent="0.25">
      <c r="A25" s="15"/>
      <c r="B25" s="23"/>
      <c r="C25" s="23"/>
      <c r="D25" s="23"/>
      <c r="E25" s="23"/>
      <c r="F25" s="23"/>
      <c r="G25" s="23"/>
      <c r="H25" s="23"/>
      <c r="I25" s="23"/>
      <c r="J25" s="23"/>
      <c r="K25" s="15"/>
      <c r="L25" s="15"/>
      <c r="M25" s="15"/>
      <c r="N25" s="15"/>
      <c r="O25" s="15"/>
    </row>
    <row r="26" spans="1:15" s="14" customFormat="1" ht="15.75" x14ac:dyDescent="0.25">
      <c r="A26" s="15"/>
      <c r="B26" s="23"/>
      <c r="C26" s="23"/>
      <c r="D26" s="23"/>
      <c r="E26" s="23"/>
      <c r="F26" s="23"/>
      <c r="G26" s="23"/>
      <c r="H26" s="23"/>
      <c r="I26" s="23"/>
      <c r="J26" s="23"/>
      <c r="K26" s="15"/>
      <c r="L26" s="15"/>
      <c r="M26" s="15"/>
      <c r="N26" s="15"/>
      <c r="O26" s="15"/>
    </row>
    <row r="27" spans="1:15" s="14" customFormat="1" ht="15.75" x14ac:dyDescent="0.25">
      <c r="B27" s="27"/>
      <c r="C27" s="27"/>
      <c r="D27" s="27"/>
      <c r="E27" s="27"/>
      <c r="F27" s="27"/>
      <c r="G27" s="27"/>
      <c r="H27" s="27"/>
      <c r="I27" s="27"/>
      <c r="J27" s="27"/>
    </row>
    <row r="28" spans="1:15" s="14" customFormat="1" x14ac:dyDescent="0.25"/>
    <row r="29" spans="1:15" s="14" customFormat="1" x14ac:dyDescent="0.25"/>
    <row r="30" spans="1:15" s="14" customFormat="1" hidden="1" x14ac:dyDescent="0.25"/>
    <row r="31" spans="1:15" hidden="1" x14ac:dyDescent="0.25">
      <c r="B31" s="1"/>
      <c r="C31" s="1"/>
      <c r="D31" s="1"/>
      <c r="E31" s="1"/>
      <c r="F31" s="1"/>
      <c r="G31" s="1"/>
      <c r="H31" s="1"/>
      <c r="I31" s="1"/>
      <c r="J31" s="1"/>
      <c r="L31" s="1"/>
      <c r="M31" s="1"/>
      <c r="N31" s="1"/>
    </row>
    <row r="32" spans="1:15" hidden="1" x14ac:dyDescent="0.25">
      <c r="B32" s="1"/>
      <c r="C32" s="1"/>
      <c r="D32" s="1"/>
      <c r="E32" s="1"/>
      <c r="F32" s="1"/>
      <c r="G32" s="1"/>
      <c r="H32" s="1"/>
      <c r="I32" s="1"/>
      <c r="J32" s="1"/>
      <c r="L32" s="1"/>
      <c r="M32" s="1"/>
      <c r="N32" s="1"/>
    </row>
  </sheetData>
  <sheetProtection algorithmName="SHA-512" hashValue="UBraNkdJXbSa+9vgTH51Sn2cKwziLukgYMoJyjF8KSJD6w5OwpMkasiV4N+wnfiLkqdA1PrbkQV1+Pxmy9ol/A==" saltValue="yLEHe8fbytafxg/4et3d5g==" spinCount="100000" sheet="1" objects="1" scenarios="1"/>
  <mergeCells count="30">
    <mergeCell ref="L9:M9"/>
    <mergeCell ref="L16:N17"/>
    <mergeCell ref="L15:N15"/>
    <mergeCell ref="B2:N2"/>
    <mergeCell ref="L10:M10"/>
    <mergeCell ref="L11:M11"/>
    <mergeCell ref="L12:M12"/>
    <mergeCell ref="L13:M13"/>
    <mergeCell ref="L4:N4"/>
    <mergeCell ref="L5:M5"/>
    <mergeCell ref="L6:M6"/>
    <mergeCell ref="L7:M7"/>
    <mergeCell ref="L8:M8"/>
    <mergeCell ref="I8:J8"/>
    <mergeCell ref="H14:J14"/>
    <mergeCell ref="G10:I10"/>
    <mergeCell ref="B23:D23"/>
    <mergeCell ref="B4:E4"/>
    <mergeCell ref="G4:J4"/>
    <mergeCell ref="G16:J16"/>
    <mergeCell ref="G17:J17"/>
    <mergeCell ref="G19:J19"/>
    <mergeCell ref="I5:J5"/>
    <mergeCell ref="I6:J6"/>
    <mergeCell ref="G22:J22"/>
    <mergeCell ref="G23:J23"/>
    <mergeCell ref="G20:J20"/>
    <mergeCell ref="I7:J7"/>
    <mergeCell ref="G11:I11"/>
    <mergeCell ref="G12:I12"/>
  </mergeCells>
  <dataValidations count="1">
    <dataValidation type="list" allowBlank="1" showInputMessage="1" showErrorMessage="1" sqref="H14:J14" xr:uid="{2BF269D5-0D9A-4FCF-86A5-0332A2857E05}">
      <formula1>"Escolha, Produção por hora, Produção por peça"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'Matérias-Prima'!$B$4:$B$201</xm:f>
          </x14:formula1>
          <xm:sqref>B6:B22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V202"/>
  <sheetViews>
    <sheetView showGridLines="0" workbookViewId="0">
      <selection activeCell="B12" sqref="B12:I12"/>
    </sheetView>
  </sheetViews>
  <sheetFormatPr defaultColWidth="0" defaultRowHeight="15" zeroHeight="1" x14ac:dyDescent="0.25"/>
  <cols>
    <col min="1" max="1" width="9" style="15" customWidth="1"/>
    <col min="2" max="3" width="9" style="3" customWidth="1"/>
    <col min="4" max="4" width="8.5703125" style="3" customWidth="1"/>
    <col min="5" max="9" width="9" style="3" customWidth="1"/>
    <col min="10" max="19" width="9.140625" style="15" customWidth="1"/>
    <col min="20" max="22" width="0" style="15" hidden="1" customWidth="1"/>
    <col min="23" max="16384" width="9" style="3" hidden="1"/>
  </cols>
  <sheetData>
    <row r="1" spans="2:10" s="15" customFormat="1" ht="15.75" thickBot="1" x14ac:dyDescent="0.3"/>
    <row r="2" spans="2:10" ht="23.25" customHeight="1" thickTop="1" x14ac:dyDescent="0.25">
      <c r="B2" s="66" t="s">
        <v>30</v>
      </c>
      <c r="C2" s="67"/>
      <c r="D2" s="67"/>
      <c r="E2" s="67"/>
      <c r="F2" s="67"/>
      <c r="G2" s="67"/>
      <c r="H2" s="67"/>
      <c r="I2" s="67"/>
      <c r="J2" s="16"/>
    </row>
    <row r="3" spans="2:10" ht="15" customHeight="1" thickBot="1" x14ac:dyDescent="0.3">
      <c r="B3" s="68"/>
      <c r="C3" s="69"/>
      <c r="D3" s="69"/>
      <c r="E3" s="69"/>
      <c r="F3" s="69"/>
      <c r="G3" s="69"/>
      <c r="H3" s="69"/>
      <c r="I3" s="69"/>
      <c r="J3" s="16"/>
    </row>
    <row r="4" spans="2:10" ht="15" customHeight="1" thickTop="1" thickBot="1" x14ac:dyDescent="0.3">
      <c r="B4" s="63" t="s">
        <v>21</v>
      </c>
      <c r="C4" s="64"/>
      <c r="D4" s="64"/>
      <c r="E4" s="64"/>
      <c r="F4" s="64"/>
      <c r="G4" s="64"/>
      <c r="H4" s="64"/>
      <c r="I4" s="65"/>
    </row>
    <row r="5" spans="2:10" ht="15" customHeight="1" thickTop="1" thickBot="1" x14ac:dyDescent="0.3">
      <c r="B5" s="63" t="s">
        <v>18</v>
      </c>
      <c r="C5" s="64"/>
      <c r="D5" s="64"/>
      <c r="E5" s="64"/>
      <c r="F5" s="64"/>
      <c r="G5" s="64"/>
      <c r="H5" s="64"/>
      <c r="I5" s="65"/>
    </row>
    <row r="6" spans="2:10" ht="14.25" customHeight="1" thickTop="1" thickBot="1" x14ac:dyDescent="0.3">
      <c r="B6" s="63" t="s">
        <v>19</v>
      </c>
      <c r="C6" s="64"/>
      <c r="D6" s="64"/>
      <c r="E6" s="64"/>
      <c r="F6" s="64"/>
      <c r="G6" s="64"/>
      <c r="H6" s="64"/>
      <c r="I6" s="65"/>
    </row>
    <row r="7" spans="2:10" ht="14.25" customHeight="1" thickTop="1" thickBot="1" x14ac:dyDescent="0.3">
      <c r="B7" s="63" t="s">
        <v>22</v>
      </c>
      <c r="C7" s="64"/>
      <c r="D7" s="64"/>
      <c r="E7" s="64"/>
      <c r="F7" s="64"/>
      <c r="G7" s="64"/>
      <c r="H7" s="64"/>
      <c r="I7" s="65"/>
    </row>
    <row r="8" spans="2:10" ht="14.25" customHeight="1" thickTop="1" thickBot="1" x14ac:dyDescent="0.3">
      <c r="B8" s="63" t="s">
        <v>23</v>
      </c>
      <c r="C8" s="64"/>
      <c r="D8" s="64"/>
      <c r="E8" s="64"/>
      <c r="F8" s="64"/>
      <c r="G8" s="64"/>
      <c r="H8" s="64"/>
      <c r="I8" s="65"/>
    </row>
    <row r="9" spans="2:10" ht="14.25" customHeight="1" thickTop="1" thickBot="1" x14ac:dyDescent="0.3">
      <c r="B9" s="63" t="s">
        <v>24</v>
      </c>
      <c r="C9" s="64"/>
      <c r="D9" s="64"/>
      <c r="E9" s="64"/>
      <c r="F9" s="64"/>
      <c r="G9" s="64"/>
      <c r="H9" s="64"/>
      <c r="I9" s="65"/>
    </row>
    <row r="10" spans="2:10" ht="14.25" customHeight="1" thickTop="1" thickBot="1" x14ac:dyDescent="0.3">
      <c r="B10" s="63" t="s">
        <v>25</v>
      </c>
      <c r="C10" s="64"/>
      <c r="D10" s="64"/>
      <c r="E10" s="64"/>
      <c r="F10" s="64"/>
      <c r="G10" s="64"/>
      <c r="H10" s="64"/>
      <c r="I10" s="65"/>
    </row>
    <row r="11" spans="2:10" ht="14.25" customHeight="1" thickTop="1" thickBot="1" x14ac:dyDescent="0.3">
      <c r="B11" s="63" t="s">
        <v>26</v>
      </c>
      <c r="C11" s="64"/>
      <c r="D11" s="64"/>
      <c r="E11" s="64"/>
      <c r="F11" s="64"/>
      <c r="G11" s="64"/>
      <c r="H11" s="64"/>
      <c r="I11" s="65"/>
    </row>
    <row r="12" spans="2:10" ht="14.25" customHeight="1" thickTop="1" thickBot="1" x14ac:dyDescent="0.3">
      <c r="B12" s="63" t="s">
        <v>27</v>
      </c>
      <c r="C12" s="64"/>
      <c r="D12" s="64"/>
      <c r="E12" s="64"/>
      <c r="F12" s="64"/>
      <c r="G12" s="64"/>
      <c r="H12" s="64"/>
      <c r="I12" s="65"/>
    </row>
    <row r="13" spans="2:10" ht="14.25" customHeight="1" thickTop="1" thickBot="1" x14ac:dyDescent="0.3">
      <c r="B13" s="63"/>
      <c r="C13" s="64"/>
      <c r="D13" s="64"/>
      <c r="E13" s="64"/>
      <c r="F13" s="64"/>
      <c r="G13" s="64"/>
      <c r="H13" s="64"/>
      <c r="I13" s="65"/>
    </row>
    <row r="14" spans="2:10" ht="14.25" customHeight="1" thickTop="1" thickBot="1" x14ac:dyDescent="0.3">
      <c r="B14" s="63"/>
      <c r="C14" s="64"/>
      <c r="D14" s="64"/>
      <c r="E14" s="64"/>
      <c r="F14" s="64"/>
      <c r="G14" s="64"/>
      <c r="H14" s="64"/>
      <c r="I14" s="65"/>
    </row>
    <row r="15" spans="2:10" ht="14.25" customHeight="1" thickTop="1" thickBot="1" x14ac:dyDescent="0.3">
      <c r="B15" s="63"/>
      <c r="C15" s="64"/>
      <c r="D15" s="64"/>
      <c r="E15" s="64"/>
      <c r="F15" s="64"/>
      <c r="G15" s="64"/>
      <c r="H15" s="64"/>
      <c r="I15" s="65"/>
    </row>
    <row r="16" spans="2:10" ht="14.25" customHeight="1" thickTop="1" thickBot="1" x14ac:dyDescent="0.3">
      <c r="B16" s="63"/>
      <c r="C16" s="64"/>
      <c r="D16" s="64"/>
      <c r="E16" s="64"/>
      <c r="F16" s="64"/>
      <c r="G16" s="64"/>
      <c r="H16" s="64"/>
      <c r="I16" s="65"/>
    </row>
    <row r="17" spans="2:9" ht="14.25" customHeight="1" thickTop="1" thickBot="1" x14ac:dyDescent="0.3">
      <c r="B17" s="63"/>
      <c r="C17" s="64"/>
      <c r="D17" s="64"/>
      <c r="E17" s="64"/>
      <c r="F17" s="64"/>
      <c r="G17" s="64"/>
      <c r="H17" s="64"/>
      <c r="I17" s="65"/>
    </row>
    <row r="18" spans="2:9" ht="14.25" customHeight="1" thickTop="1" thickBot="1" x14ac:dyDescent="0.3">
      <c r="B18" s="63"/>
      <c r="C18" s="64"/>
      <c r="D18" s="64"/>
      <c r="E18" s="64"/>
      <c r="F18" s="64"/>
      <c r="G18" s="64"/>
      <c r="H18" s="64"/>
      <c r="I18" s="65"/>
    </row>
    <row r="19" spans="2:9" ht="14.25" customHeight="1" thickTop="1" thickBot="1" x14ac:dyDescent="0.3">
      <c r="B19" s="63"/>
      <c r="C19" s="64"/>
      <c r="D19" s="64"/>
      <c r="E19" s="64"/>
      <c r="F19" s="64"/>
      <c r="G19" s="64"/>
      <c r="H19" s="64"/>
      <c r="I19" s="65"/>
    </row>
    <row r="20" spans="2:9" ht="14.25" customHeight="1" thickTop="1" thickBot="1" x14ac:dyDescent="0.3">
      <c r="B20" s="63"/>
      <c r="C20" s="64"/>
      <c r="D20" s="64"/>
      <c r="E20" s="64"/>
      <c r="F20" s="64"/>
      <c r="G20" s="64"/>
      <c r="H20" s="64"/>
      <c r="I20" s="65"/>
    </row>
    <row r="21" spans="2:9" ht="14.25" customHeight="1" thickTop="1" thickBot="1" x14ac:dyDescent="0.3">
      <c r="B21" s="63"/>
      <c r="C21" s="64"/>
      <c r="D21" s="64"/>
      <c r="E21" s="64"/>
      <c r="F21" s="64"/>
      <c r="G21" s="64"/>
      <c r="H21" s="64"/>
      <c r="I21" s="65"/>
    </row>
    <row r="22" spans="2:9" ht="14.25" customHeight="1" thickTop="1" thickBot="1" x14ac:dyDescent="0.3">
      <c r="B22" s="63"/>
      <c r="C22" s="64"/>
      <c r="D22" s="64"/>
      <c r="E22" s="64"/>
      <c r="F22" s="64"/>
      <c r="G22" s="64"/>
      <c r="H22" s="64"/>
      <c r="I22" s="65"/>
    </row>
    <row r="23" spans="2:9" ht="14.25" customHeight="1" thickTop="1" thickBot="1" x14ac:dyDescent="0.3">
      <c r="B23" s="63"/>
      <c r="C23" s="64"/>
      <c r="D23" s="64"/>
      <c r="E23" s="64"/>
      <c r="F23" s="64"/>
      <c r="G23" s="64"/>
      <c r="H23" s="64"/>
      <c r="I23" s="65"/>
    </row>
    <row r="24" spans="2:9" ht="14.25" customHeight="1" thickTop="1" thickBot="1" x14ac:dyDescent="0.3">
      <c r="B24" s="63"/>
      <c r="C24" s="64"/>
      <c r="D24" s="64"/>
      <c r="E24" s="64"/>
      <c r="F24" s="64"/>
      <c r="G24" s="64"/>
      <c r="H24" s="64"/>
      <c r="I24" s="65"/>
    </row>
    <row r="25" spans="2:9" ht="14.25" customHeight="1" thickTop="1" thickBot="1" x14ac:dyDescent="0.3">
      <c r="B25" s="63"/>
      <c r="C25" s="64"/>
      <c r="D25" s="64"/>
      <c r="E25" s="64"/>
      <c r="F25" s="64"/>
      <c r="G25" s="64"/>
      <c r="H25" s="64"/>
      <c r="I25" s="65"/>
    </row>
    <row r="26" spans="2:9" ht="14.25" customHeight="1" thickTop="1" thickBot="1" x14ac:dyDescent="0.3">
      <c r="B26" s="63"/>
      <c r="C26" s="64"/>
      <c r="D26" s="64"/>
      <c r="E26" s="64"/>
      <c r="F26" s="64"/>
      <c r="G26" s="64"/>
      <c r="H26" s="64"/>
      <c r="I26" s="65"/>
    </row>
    <row r="27" spans="2:9" ht="14.25" customHeight="1" thickTop="1" thickBot="1" x14ac:dyDescent="0.3">
      <c r="B27" s="63"/>
      <c r="C27" s="64"/>
      <c r="D27" s="64"/>
      <c r="E27" s="64"/>
      <c r="F27" s="64"/>
      <c r="G27" s="64"/>
      <c r="H27" s="64"/>
      <c r="I27" s="65"/>
    </row>
    <row r="28" spans="2:9" ht="14.25" customHeight="1" thickTop="1" thickBot="1" x14ac:dyDescent="0.3">
      <c r="B28" s="63"/>
      <c r="C28" s="64"/>
      <c r="D28" s="64"/>
      <c r="E28" s="64"/>
      <c r="F28" s="64"/>
      <c r="G28" s="64"/>
      <c r="H28" s="64"/>
      <c r="I28" s="65"/>
    </row>
    <row r="29" spans="2:9" ht="14.25" customHeight="1" thickTop="1" thickBot="1" x14ac:dyDescent="0.3">
      <c r="B29" s="63"/>
      <c r="C29" s="64"/>
      <c r="D29" s="64"/>
      <c r="E29" s="64"/>
      <c r="F29" s="64"/>
      <c r="G29" s="64"/>
      <c r="H29" s="64"/>
      <c r="I29" s="65"/>
    </row>
    <row r="30" spans="2:9" ht="14.25" customHeight="1" thickTop="1" thickBot="1" x14ac:dyDescent="0.3">
      <c r="B30" s="63"/>
      <c r="C30" s="64"/>
      <c r="D30" s="64"/>
      <c r="E30" s="64"/>
      <c r="F30" s="64"/>
      <c r="G30" s="64"/>
      <c r="H30" s="64"/>
      <c r="I30" s="65"/>
    </row>
    <row r="31" spans="2:9" ht="14.25" customHeight="1" thickTop="1" thickBot="1" x14ac:dyDescent="0.3">
      <c r="B31" s="63"/>
      <c r="C31" s="64"/>
      <c r="D31" s="64"/>
      <c r="E31" s="64"/>
      <c r="F31" s="64"/>
      <c r="G31" s="64"/>
      <c r="H31" s="64"/>
      <c r="I31" s="65"/>
    </row>
    <row r="32" spans="2:9" ht="14.25" customHeight="1" thickTop="1" thickBot="1" x14ac:dyDescent="0.3">
      <c r="B32" s="63"/>
      <c r="C32" s="64"/>
      <c r="D32" s="64"/>
      <c r="E32" s="64"/>
      <c r="F32" s="64"/>
      <c r="G32" s="64"/>
      <c r="H32" s="64"/>
      <c r="I32" s="65"/>
    </row>
    <row r="33" spans="2:9" ht="14.25" customHeight="1" thickTop="1" thickBot="1" x14ac:dyDescent="0.3">
      <c r="B33" s="63"/>
      <c r="C33" s="64"/>
      <c r="D33" s="64"/>
      <c r="E33" s="64"/>
      <c r="F33" s="64"/>
      <c r="G33" s="64"/>
      <c r="H33" s="64"/>
      <c r="I33" s="65"/>
    </row>
    <row r="34" spans="2:9" ht="14.25" customHeight="1" thickTop="1" thickBot="1" x14ac:dyDescent="0.3">
      <c r="B34" s="63"/>
      <c r="C34" s="64"/>
      <c r="D34" s="64"/>
      <c r="E34" s="64"/>
      <c r="F34" s="64"/>
      <c r="G34" s="64"/>
      <c r="H34" s="64"/>
      <c r="I34" s="65"/>
    </row>
    <row r="35" spans="2:9" ht="14.25" customHeight="1" thickTop="1" thickBot="1" x14ac:dyDescent="0.3">
      <c r="B35" s="63"/>
      <c r="C35" s="64"/>
      <c r="D35" s="64"/>
      <c r="E35" s="64"/>
      <c r="F35" s="64"/>
      <c r="G35" s="64"/>
      <c r="H35" s="64"/>
      <c r="I35" s="65"/>
    </row>
    <row r="36" spans="2:9" ht="14.25" customHeight="1" thickTop="1" thickBot="1" x14ac:dyDescent="0.3">
      <c r="B36" s="63"/>
      <c r="C36" s="64"/>
      <c r="D36" s="64"/>
      <c r="E36" s="64"/>
      <c r="F36" s="64"/>
      <c r="G36" s="64"/>
      <c r="H36" s="64"/>
      <c r="I36" s="65"/>
    </row>
    <row r="37" spans="2:9" ht="14.25" customHeight="1" thickTop="1" thickBot="1" x14ac:dyDescent="0.3">
      <c r="B37" s="63"/>
      <c r="C37" s="64"/>
      <c r="D37" s="64"/>
      <c r="E37" s="64"/>
      <c r="F37" s="64"/>
      <c r="G37" s="64"/>
      <c r="H37" s="64"/>
      <c r="I37" s="65"/>
    </row>
    <row r="38" spans="2:9" ht="14.25" customHeight="1" thickTop="1" thickBot="1" x14ac:dyDescent="0.3">
      <c r="B38" s="63"/>
      <c r="C38" s="64"/>
      <c r="D38" s="64"/>
      <c r="E38" s="64"/>
      <c r="F38" s="64"/>
      <c r="G38" s="64"/>
      <c r="H38" s="64"/>
      <c r="I38" s="65"/>
    </row>
    <row r="39" spans="2:9" ht="14.25" customHeight="1" thickTop="1" thickBot="1" x14ac:dyDescent="0.3">
      <c r="B39" s="63"/>
      <c r="C39" s="64"/>
      <c r="D39" s="64"/>
      <c r="E39" s="64"/>
      <c r="F39" s="64"/>
      <c r="G39" s="64"/>
      <c r="H39" s="64"/>
      <c r="I39" s="65"/>
    </row>
    <row r="40" spans="2:9" ht="14.25" customHeight="1" thickTop="1" thickBot="1" x14ac:dyDescent="0.3">
      <c r="B40" s="63"/>
      <c r="C40" s="64"/>
      <c r="D40" s="64"/>
      <c r="E40" s="64"/>
      <c r="F40" s="64"/>
      <c r="G40" s="64"/>
      <c r="H40" s="64"/>
      <c r="I40" s="65"/>
    </row>
    <row r="41" spans="2:9" ht="14.25" customHeight="1" thickTop="1" thickBot="1" x14ac:dyDescent="0.3">
      <c r="B41" s="63"/>
      <c r="C41" s="64"/>
      <c r="D41" s="64"/>
      <c r="E41" s="64"/>
      <c r="F41" s="64"/>
      <c r="G41" s="64"/>
      <c r="H41" s="64"/>
      <c r="I41" s="65"/>
    </row>
    <row r="42" spans="2:9" ht="14.25" customHeight="1" thickTop="1" thickBot="1" x14ac:dyDescent="0.3">
      <c r="B42" s="63"/>
      <c r="C42" s="64"/>
      <c r="D42" s="64"/>
      <c r="E42" s="64"/>
      <c r="F42" s="64"/>
      <c r="G42" s="64"/>
      <c r="H42" s="64"/>
      <c r="I42" s="65"/>
    </row>
    <row r="43" spans="2:9" ht="14.25" customHeight="1" thickTop="1" thickBot="1" x14ac:dyDescent="0.3">
      <c r="B43" s="63"/>
      <c r="C43" s="64"/>
      <c r="D43" s="64"/>
      <c r="E43" s="64"/>
      <c r="F43" s="64"/>
      <c r="G43" s="64"/>
      <c r="H43" s="64"/>
      <c r="I43" s="65"/>
    </row>
    <row r="44" spans="2:9" ht="14.25" customHeight="1" thickTop="1" thickBot="1" x14ac:dyDescent="0.3">
      <c r="B44" s="63"/>
      <c r="C44" s="64"/>
      <c r="D44" s="64"/>
      <c r="E44" s="64"/>
      <c r="F44" s="64"/>
      <c r="G44" s="64"/>
      <c r="H44" s="64"/>
      <c r="I44" s="65"/>
    </row>
    <row r="45" spans="2:9" ht="14.25" customHeight="1" thickTop="1" thickBot="1" x14ac:dyDescent="0.3">
      <c r="B45" s="63"/>
      <c r="C45" s="64"/>
      <c r="D45" s="64"/>
      <c r="E45" s="64"/>
      <c r="F45" s="64"/>
      <c r="G45" s="64"/>
      <c r="H45" s="64"/>
      <c r="I45" s="65"/>
    </row>
    <row r="46" spans="2:9" ht="14.25" customHeight="1" thickTop="1" thickBot="1" x14ac:dyDescent="0.3">
      <c r="B46" s="63"/>
      <c r="C46" s="64"/>
      <c r="D46" s="64"/>
      <c r="E46" s="64"/>
      <c r="F46" s="64"/>
      <c r="G46" s="64"/>
      <c r="H46" s="64"/>
      <c r="I46" s="65"/>
    </row>
    <row r="47" spans="2:9" ht="14.25" customHeight="1" thickTop="1" thickBot="1" x14ac:dyDescent="0.3">
      <c r="B47" s="63"/>
      <c r="C47" s="64"/>
      <c r="D47" s="64"/>
      <c r="E47" s="64"/>
      <c r="F47" s="64"/>
      <c r="G47" s="64"/>
      <c r="H47" s="64"/>
      <c r="I47" s="65"/>
    </row>
    <row r="48" spans="2:9" ht="14.25" customHeight="1" thickTop="1" thickBot="1" x14ac:dyDescent="0.3">
      <c r="B48" s="63"/>
      <c r="C48" s="64"/>
      <c r="D48" s="64"/>
      <c r="E48" s="64"/>
      <c r="F48" s="64"/>
      <c r="G48" s="64"/>
      <c r="H48" s="64"/>
      <c r="I48" s="65"/>
    </row>
    <row r="49" spans="2:9" ht="14.25" customHeight="1" thickTop="1" thickBot="1" x14ac:dyDescent="0.3">
      <c r="B49" s="63"/>
      <c r="C49" s="64"/>
      <c r="D49" s="64"/>
      <c r="E49" s="64"/>
      <c r="F49" s="64"/>
      <c r="G49" s="64"/>
      <c r="H49" s="64"/>
      <c r="I49" s="65"/>
    </row>
    <row r="50" spans="2:9" ht="14.25" customHeight="1" thickTop="1" thickBot="1" x14ac:dyDescent="0.3">
      <c r="B50" s="63"/>
      <c r="C50" s="64"/>
      <c r="D50" s="64"/>
      <c r="E50" s="64"/>
      <c r="F50" s="64"/>
      <c r="G50" s="64"/>
      <c r="H50" s="64"/>
      <c r="I50" s="65"/>
    </row>
    <row r="51" spans="2:9" ht="14.25" customHeight="1" thickTop="1" thickBot="1" x14ac:dyDescent="0.3">
      <c r="B51" s="63"/>
      <c r="C51" s="64"/>
      <c r="D51" s="64"/>
      <c r="E51" s="64"/>
      <c r="F51" s="64"/>
      <c r="G51" s="64"/>
      <c r="H51" s="64"/>
      <c r="I51" s="65"/>
    </row>
    <row r="52" spans="2:9" ht="14.25" customHeight="1" thickTop="1" thickBot="1" x14ac:dyDescent="0.3">
      <c r="B52" s="63"/>
      <c r="C52" s="64"/>
      <c r="D52" s="64"/>
      <c r="E52" s="64"/>
      <c r="F52" s="64"/>
      <c r="G52" s="64"/>
      <c r="H52" s="64"/>
      <c r="I52" s="65"/>
    </row>
    <row r="53" spans="2:9" ht="14.25" customHeight="1" thickTop="1" thickBot="1" x14ac:dyDescent="0.3">
      <c r="B53" s="63"/>
      <c r="C53" s="64"/>
      <c r="D53" s="64"/>
      <c r="E53" s="64"/>
      <c r="F53" s="64"/>
      <c r="G53" s="64"/>
      <c r="H53" s="64"/>
      <c r="I53" s="65"/>
    </row>
    <row r="54" spans="2:9" ht="14.25" customHeight="1" thickTop="1" thickBot="1" x14ac:dyDescent="0.3">
      <c r="B54" s="63"/>
      <c r="C54" s="64"/>
      <c r="D54" s="64"/>
      <c r="E54" s="64"/>
      <c r="F54" s="64"/>
      <c r="G54" s="64"/>
      <c r="H54" s="64"/>
      <c r="I54" s="65"/>
    </row>
    <row r="55" spans="2:9" ht="14.25" customHeight="1" thickTop="1" thickBot="1" x14ac:dyDescent="0.3">
      <c r="B55" s="63"/>
      <c r="C55" s="64"/>
      <c r="D55" s="64"/>
      <c r="E55" s="64"/>
      <c r="F55" s="64"/>
      <c r="G55" s="64"/>
      <c r="H55" s="64"/>
      <c r="I55" s="65"/>
    </row>
    <row r="56" spans="2:9" ht="14.25" customHeight="1" thickTop="1" thickBot="1" x14ac:dyDescent="0.3">
      <c r="B56" s="63"/>
      <c r="C56" s="64"/>
      <c r="D56" s="64"/>
      <c r="E56" s="64"/>
      <c r="F56" s="64"/>
      <c r="G56" s="64"/>
      <c r="H56" s="64"/>
      <c r="I56" s="65"/>
    </row>
    <row r="57" spans="2:9" ht="14.25" customHeight="1" thickTop="1" thickBot="1" x14ac:dyDescent="0.3">
      <c r="B57" s="63"/>
      <c r="C57" s="64"/>
      <c r="D57" s="64"/>
      <c r="E57" s="64"/>
      <c r="F57" s="64"/>
      <c r="G57" s="64"/>
      <c r="H57" s="64"/>
      <c r="I57" s="65"/>
    </row>
    <row r="58" spans="2:9" ht="14.25" customHeight="1" thickTop="1" thickBot="1" x14ac:dyDescent="0.3">
      <c r="B58" s="63"/>
      <c r="C58" s="64"/>
      <c r="D58" s="64"/>
      <c r="E58" s="64"/>
      <c r="F58" s="64"/>
      <c r="G58" s="64"/>
      <c r="H58" s="64"/>
      <c r="I58" s="65"/>
    </row>
    <row r="59" spans="2:9" ht="14.25" customHeight="1" thickTop="1" thickBot="1" x14ac:dyDescent="0.3">
      <c r="B59" s="63"/>
      <c r="C59" s="64"/>
      <c r="D59" s="64"/>
      <c r="E59" s="64"/>
      <c r="F59" s="64"/>
      <c r="G59" s="64"/>
      <c r="H59" s="64"/>
      <c r="I59" s="65"/>
    </row>
    <row r="60" spans="2:9" ht="14.25" customHeight="1" thickTop="1" thickBot="1" x14ac:dyDescent="0.3">
      <c r="B60" s="63"/>
      <c r="C60" s="64"/>
      <c r="D60" s="64"/>
      <c r="E60" s="64"/>
      <c r="F60" s="64"/>
      <c r="G60" s="64"/>
      <c r="H60" s="64"/>
      <c r="I60" s="65"/>
    </row>
    <row r="61" spans="2:9" ht="14.25" customHeight="1" thickTop="1" thickBot="1" x14ac:dyDescent="0.3">
      <c r="B61" s="63"/>
      <c r="C61" s="64"/>
      <c r="D61" s="64"/>
      <c r="E61" s="64"/>
      <c r="F61" s="64"/>
      <c r="G61" s="64"/>
      <c r="H61" s="64"/>
      <c r="I61" s="65"/>
    </row>
    <row r="62" spans="2:9" ht="14.25" customHeight="1" thickTop="1" thickBot="1" x14ac:dyDescent="0.3">
      <c r="B62" s="63"/>
      <c r="C62" s="64"/>
      <c r="D62" s="64"/>
      <c r="E62" s="64"/>
      <c r="F62" s="64"/>
      <c r="G62" s="64"/>
      <c r="H62" s="64"/>
      <c r="I62" s="65"/>
    </row>
    <row r="63" spans="2:9" ht="14.25" customHeight="1" thickTop="1" thickBot="1" x14ac:dyDescent="0.3">
      <c r="B63" s="63"/>
      <c r="C63" s="64"/>
      <c r="D63" s="64"/>
      <c r="E63" s="64"/>
      <c r="F63" s="64"/>
      <c r="G63" s="64"/>
      <c r="H63" s="64"/>
      <c r="I63" s="65"/>
    </row>
    <row r="64" spans="2:9" ht="14.25" customHeight="1" thickTop="1" thickBot="1" x14ac:dyDescent="0.3">
      <c r="B64" s="63"/>
      <c r="C64" s="64"/>
      <c r="D64" s="64"/>
      <c r="E64" s="64"/>
      <c r="F64" s="64"/>
      <c r="G64" s="64"/>
      <c r="H64" s="64"/>
      <c r="I64" s="65"/>
    </row>
    <row r="65" spans="2:9" ht="14.25" customHeight="1" thickTop="1" thickBot="1" x14ac:dyDescent="0.3">
      <c r="B65" s="63"/>
      <c r="C65" s="64"/>
      <c r="D65" s="64"/>
      <c r="E65" s="64"/>
      <c r="F65" s="64"/>
      <c r="G65" s="64"/>
      <c r="H65" s="64"/>
      <c r="I65" s="65"/>
    </row>
    <row r="66" spans="2:9" ht="14.25" customHeight="1" thickTop="1" thickBot="1" x14ac:dyDescent="0.3">
      <c r="B66" s="63"/>
      <c r="C66" s="64"/>
      <c r="D66" s="64"/>
      <c r="E66" s="64"/>
      <c r="F66" s="64"/>
      <c r="G66" s="64"/>
      <c r="H66" s="64"/>
      <c r="I66" s="65"/>
    </row>
    <row r="67" spans="2:9" ht="14.25" customHeight="1" thickTop="1" thickBot="1" x14ac:dyDescent="0.3">
      <c r="B67" s="63"/>
      <c r="C67" s="64"/>
      <c r="D67" s="64"/>
      <c r="E67" s="64"/>
      <c r="F67" s="64"/>
      <c r="G67" s="64"/>
      <c r="H67" s="64"/>
      <c r="I67" s="65"/>
    </row>
    <row r="68" spans="2:9" ht="14.25" customHeight="1" thickTop="1" thickBot="1" x14ac:dyDescent="0.3">
      <c r="B68" s="63"/>
      <c r="C68" s="64"/>
      <c r="D68" s="64"/>
      <c r="E68" s="64"/>
      <c r="F68" s="64"/>
      <c r="G68" s="64"/>
      <c r="H68" s="64"/>
      <c r="I68" s="65"/>
    </row>
    <row r="69" spans="2:9" ht="14.25" customHeight="1" thickTop="1" thickBot="1" x14ac:dyDescent="0.3">
      <c r="B69" s="63"/>
      <c r="C69" s="64"/>
      <c r="D69" s="64"/>
      <c r="E69" s="64"/>
      <c r="F69" s="64"/>
      <c r="G69" s="64"/>
      <c r="H69" s="64"/>
      <c r="I69" s="65"/>
    </row>
    <row r="70" spans="2:9" ht="14.25" customHeight="1" thickTop="1" thickBot="1" x14ac:dyDescent="0.3">
      <c r="B70" s="63"/>
      <c r="C70" s="64"/>
      <c r="D70" s="64"/>
      <c r="E70" s="64"/>
      <c r="F70" s="64"/>
      <c r="G70" s="64"/>
      <c r="H70" s="64"/>
      <c r="I70" s="65"/>
    </row>
    <row r="71" spans="2:9" ht="14.25" customHeight="1" thickTop="1" thickBot="1" x14ac:dyDescent="0.3">
      <c r="B71" s="63"/>
      <c r="C71" s="64"/>
      <c r="D71" s="64"/>
      <c r="E71" s="64"/>
      <c r="F71" s="64"/>
      <c r="G71" s="64"/>
      <c r="H71" s="64"/>
      <c r="I71" s="65"/>
    </row>
    <row r="72" spans="2:9" ht="14.25" customHeight="1" thickTop="1" thickBot="1" x14ac:dyDescent="0.3">
      <c r="B72" s="63"/>
      <c r="C72" s="64"/>
      <c r="D72" s="64"/>
      <c r="E72" s="64"/>
      <c r="F72" s="64"/>
      <c r="G72" s="64"/>
      <c r="H72" s="64"/>
      <c r="I72" s="65"/>
    </row>
    <row r="73" spans="2:9" ht="14.25" customHeight="1" thickTop="1" thickBot="1" x14ac:dyDescent="0.3">
      <c r="B73" s="63"/>
      <c r="C73" s="64"/>
      <c r="D73" s="64"/>
      <c r="E73" s="64"/>
      <c r="F73" s="64"/>
      <c r="G73" s="64"/>
      <c r="H73" s="64"/>
      <c r="I73" s="65"/>
    </row>
    <row r="74" spans="2:9" ht="14.25" customHeight="1" thickTop="1" thickBot="1" x14ac:dyDescent="0.3">
      <c r="B74" s="63"/>
      <c r="C74" s="64"/>
      <c r="D74" s="64"/>
      <c r="E74" s="64"/>
      <c r="F74" s="64"/>
      <c r="G74" s="64"/>
      <c r="H74" s="64"/>
      <c r="I74" s="65"/>
    </row>
    <row r="75" spans="2:9" ht="14.25" customHeight="1" thickTop="1" thickBot="1" x14ac:dyDescent="0.3">
      <c r="B75" s="63"/>
      <c r="C75" s="64"/>
      <c r="D75" s="64"/>
      <c r="E75" s="64"/>
      <c r="F75" s="64"/>
      <c r="G75" s="64"/>
      <c r="H75" s="64"/>
      <c r="I75" s="65"/>
    </row>
    <row r="76" spans="2:9" ht="14.25" customHeight="1" thickTop="1" thickBot="1" x14ac:dyDescent="0.3">
      <c r="B76" s="63"/>
      <c r="C76" s="64"/>
      <c r="D76" s="64"/>
      <c r="E76" s="64"/>
      <c r="F76" s="64"/>
      <c r="G76" s="64"/>
      <c r="H76" s="64"/>
      <c r="I76" s="65"/>
    </row>
    <row r="77" spans="2:9" ht="14.25" customHeight="1" thickTop="1" thickBot="1" x14ac:dyDescent="0.3">
      <c r="B77" s="63"/>
      <c r="C77" s="64"/>
      <c r="D77" s="64"/>
      <c r="E77" s="64"/>
      <c r="F77" s="64"/>
      <c r="G77" s="64"/>
      <c r="H77" s="64"/>
      <c r="I77" s="65"/>
    </row>
    <row r="78" spans="2:9" ht="14.25" customHeight="1" thickTop="1" thickBot="1" x14ac:dyDescent="0.3">
      <c r="B78" s="63"/>
      <c r="C78" s="64"/>
      <c r="D78" s="64"/>
      <c r="E78" s="64"/>
      <c r="F78" s="64"/>
      <c r="G78" s="64"/>
      <c r="H78" s="64"/>
      <c r="I78" s="65"/>
    </row>
    <row r="79" spans="2:9" ht="14.25" customHeight="1" thickTop="1" thickBot="1" x14ac:dyDescent="0.3">
      <c r="B79" s="63"/>
      <c r="C79" s="64"/>
      <c r="D79" s="64"/>
      <c r="E79" s="64"/>
      <c r="F79" s="64"/>
      <c r="G79" s="64"/>
      <c r="H79" s="64"/>
      <c r="I79" s="65"/>
    </row>
    <row r="80" spans="2:9" ht="14.25" customHeight="1" thickTop="1" thickBot="1" x14ac:dyDescent="0.3">
      <c r="B80" s="63"/>
      <c r="C80" s="64"/>
      <c r="D80" s="64"/>
      <c r="E80" s="64"/>
      <c r="F80" s="64"/>
      <c r="G80" s="64"/>
      <c r="H80" s="64"/>
      <c r="I80" s="65"/>
    </row>
    <row r="81" spans="2:9" ht="14.25" customHeight="1" thickTop="1" thickBot="1" x14ac:dyDescent="0.3">
      <c r="B81" s="63"/>
      <c r="C81" s="64"/>
      <c r="D81" s="64"/>
      <c r="E81" s="64"/>
      <c r="F81" s="64"/>
      <c r="G81" s="64"/>
      <c r="H81" s="64"/>
      <c r="I81" s="65"/>
    </row>
    <row r="82" spans="2:9" ht="14.25" customHeight="1" thickTop="1" thickBot="1" x14ac:dyDescent="0.3">
      <c r="B82" s="63"/>
      <c r="C82" s="64"/>
      <c r="D82" s="64"/>
      <c r="E82" s="64"/>
      <c r="F82" s="64"/>
      <c r="G82" s="64"/>
      <c r="H82" s="64"/>
      <c r="I82" s="65"/>
    </row>
    <row r="83" spans="2:9" ht="14.25" customHeight="1" thickTop="1" thickBot="1" x14ac:dyDescent="0.3">
      <c r="B83" s="63"/>
      <c r="C83" s="64"/>
      <c r="D83" s="64"/>
      <c r="E83" s="64"/>
      <c r="F83" s="64"/>
      <c r="G83" s="64"/>
      <c r="H83" s="64"/>
      <c r="I83" s="65"/>
    </row>
    <row r="84" spans="2:9" ht="14.25" customHeight="1" thickTop="1" thickBot="1" x14ac:dyDescent="0.3">
      <c r="B84" s="63"/>
      <c r="C84" s="64"/>
      <c r="D84" s="64"/>
      <c r="E84" s="64"/>
      <c r="F84" s="64"/>
      <c r="G84" s="64"/>
      <c r="H84" s="64"/>
      <c r="I84" s="65"/>
    </row>
    <row r="85" spans="2:9" ht="14.25" customHeight="1" thickTop="1" thickBot="1" x14ac:dyDescent="0.3">
      <c r="B85" s="63"/>
      <c r="C85" s="64"/>
      <c r="D85" s="64"/>
      <c r="E85" s="64"/>
      <c r="F85" s="64"/>
      <c r="G85" s="64"/>
      <c r="H85" s="64"/>
      <c r="I85" s="65"/>
    </row>
    <row r="86" spans="2:9" ht="14.25" customHeight="1" thickTop="1" thickBot="1" x14ac:dyDescent="0.3">
      <c r="B86" s="63"/>
      <c r="C86" s="64"/>
      <c r="D86" s="64"/>
      <c r="E86" s="64"/>
      <c r="F86" s="64"/>
      <c r="G86" s="64"/>
      <c r="H86" s="64"/>
      <c r="I86" s="65"/>
    </row>
    <row r="87" spans="2:9" ht="14.25" customHeight="1" thickTop="1" thickBot="1" x14ac:dyDescent="0.3">
      <c r="B87" s="63"/>
      <c r="C87" s="64"/>
      <c r="D87" s="64"/>
      <c r="E87" s="64"/>
      <c r="F87" s="64"/>
      <c r="G87" s="64"/>
      <c r="H87" s="64"/>
      <c r="I87" s="65"/>
    </row>
    <row r="88" spans="2:9" ht="14.25" customHeight="1" thickTop="1" thickBot="1" x14ac:dyDescent="0.3">
      <c r="B88" s="63"/>
      <c r="C88" s="64"/>
      <c r="D88" s="64"/>
      <c r="E88" s="64"/>
      <c r="F88" s="64"/>
      <c r="G88" s="64"/>
      <c r="H88" s="64"/>
      <c r="I88" s="65"/>
    </row>
    <row r="89" spans="2:9" ht="14.25" customHeight="1" thickTop="1" thickBot="1" x14ac:dyDescent="0.3">
      <c r="B89" s="63"/>
      <c r="C89" s="64"/>
      <c r="D89" s="64"/>
      <c r="E89" s="64"/>
      <c r="F89" s="64"/>
      <c r="G89" s="64"/>
      <c r="H89" s="64"/>
      <c r="I89" s="65"/>
    </row>
    <row r="90" spans="2:9" ht="14.25" customHeight="1" thickTop="1" thickBot="1" x14ac:dyDescent="0.3">
      <c r="B90" s="63"/>
      <c r="C90" s="64"/>
      <c r="D90" s="64"/>
      <c r="E90" s="64"/>
      <c r="F90" s="64"/>
      <c r="G90" s="64"/>
      <c r="H90" s="64"/>
      <c r="I90" s="65"/>
    </row>
    <row r="91" spans="2:9" ht="14.25" customHeight="1" thickTop="1" thickBot="1" x14ac:dyDescent="0.3">
      <c r="B91" s="63"/>
      <c r="C91" s="64"/>
      <c r="D91" s="64"/>
      <c r="E91" s="64"/>
      <c r="F91" s="64"/>
      <c r="G91" s="64"/>
      <c r="H91" s="64"/>
      <c r="I91" s="65"/>
    </row>
    <row r="92" spans="2:9" ht="14.25" customHeight="1" thickTop="1" thickBot="1" x14ac:dyDescent="0.3">
      <c r="B92" s="63"/>
      <c r="C92" s="64"/>
      <c r="D92" s="64"/>
      <c r="E92" s="64"/>
      <c r="F92" s="64"/>
      <c r="G92" s="64"/>
      <c r="H92" s="64"/>
      <c r="I92" s="65"/>
    </row>
    <row r="93" spans="2:9" ht="14.25" customHeight="1" thickTop="1" thickBot="1" x14ac:dyDescent="0.3">
      <c r="B93" s="63"/>
      <c r="C93" s="64"/>
      <c r="D93" s="64"/>
      <c r="E93" s="64"/>
      <c r="F93" s="64"/>
      <c r="G93" s="64"/>
      <c r="H93" s="64"/>
      <c r="I93" s="65"/>
    </row>
    <row r="94" spans="2:9" ht="14.25" customHeight="1" thickTop="1" thickBot="1" x14ac:dyDescent="0.3">
      <c r="B94" s="63"/>
      <c r="C94" s="64"/>
      <c r="D94" s="64"/>
      <c r="E94" s="64"/>
      <c r="F94" s="64"/>
      <c r="G94" s="64"/>
      <c r="H94" s="64"/>
      <c r="I94" s="65"/>
    </row>
    <row r="95" spans="2:9" ht="14.25" customHeight="1" thickTop="1" thickBot="1" x14ac:dyDescent="0.3">
      <c r="B95" s="63"/>
      <c r="C95" s="64"/>
      <c r="D95" s="64"/>
      <c r="E95" s="64"/>
      <c r="F95" s="64"/>
      <c r="G95" s="64"/>
      <c r="H95" s="64"/>
      <c r="I95" s="65"/>
    </row>
    <row r="96" spans="2:9" ht="14.25" customHeight="1" thickTop="1" thickBot="1" x14ac:dyDescent="0.3">
      <c r="B96" s="63"/>
      <c r="C96" s="64"/>
      <c r="D96" s="64"/>
      <c r="E96" s="64"/>
      <c r="F96" s="64"/>
      <c r="G96" s="64"/>
      <c r="H96" s="64"/>
      <c r="I96" s="65"/>
    </row>
    <row r="97" spans="2:9" ht="14.25" customHeight="1" thickTop="1" thickBot="1" x14ac:dyDescent="0.3">
      <c r="B97" s="63"/>
      <c r="C97" s="64"/>
      <c r="D97" s="64"/>
      <c r="E97" s="64"/>
      <c r="F97" s="64"/>
      <c r="G97" s="64"/>
      <c r="H97" s="64"/>
      <c r="I97" s="65"/>
    </row>
    <row r="98" spans="2:9" ht="14.25" customHeight="1" thickTop="1" thickBot="1" x14ac:dyDescent="0.3">
      <c r="B98" s="63"/>
      <c r="C98" s="64"/>
      <c r="D98" s="64"/>
      <c r="E98" s="64"/>
      <c r="F98" s="64"/>
      <c r="G98" s="64"/>
      <c r="H98" s="64"/>
      <c r="I98" s="65"/>
    </row>
    <row r="99" spans="2:9" ht="14.25" customHeight="1" thickTop="1" thickBot="1" x14ac:dyDescent="0.3">
      <c r="B99" s="63"/>
      <c r="C99" s="64"/>
      <c r="D99" s="64"/>
      <c r="E99" s="64"/>
      <c r="F99" s="64"/>
      <c r="G99" s="64"/>
      <c r="H99" s="64"/>
      <c r="I99" s="65"/>
    </row>
    <row r="100" spans="2:9" ht="14.25" customHeight="1" thickTop="1" thickBot="1" x14ac:dyDescent="0.3">
      <c r="B100" s="63"/>
      <c r="C100" s="64"/>
      <c r="D100" s="64"/>
      <c r="E100" s="64"/>
      <c r="F100" s="64"/>
      <c r="G100" s="64"/>
      <c r="H100" s="64"/>
      <c r="I100" s="65"/>
    </row>
    <row r="101" spans="2:9" ht="14.25" customHeight="1" thickTop="1" thickBot="1" x14ac:dyDescent="0.3">
      <c r="B101" s="63"/>
      <c r="C101" s="64"/>
      <c r="D101" s="64"/>
      <c r="E101" s="64"/>
      <c r="F101" s="64"/>
      <c r="G101" s="64"/>
      <c r="H101" s="64"/>
      <c r="I101" s="65"/>
    </row>
    <row r="102" spans="2:9" ht="14.25" customHeight="1" thickTop="1" thickBot="1" x14ac:dyDescent="0.3">
      <c r="B102" s="63"/>
      <c r="C102" s="64"/>
      <c r="D102" s="64"/>
      <c r="E102" s="64"/>
      <c r="F102" s="64"/>
      <c r="G102" s="64"/>
      <c r="H102" s="64"/>
      <c r="I102" s="65"/>
    </row>
    <row r="103" spans="2:9" ht="14.25" customHeight="1" thickTop="1" thickBot="1" x14ac:dyDescent="0.3">
      <c r="B103" s="63"/>
      <c r="C103" s="64"/>
      <c r="D103" s="64"/>
      <c r="E103" s="64"/>
      <c r="F103" s="64"/>
      <c r="G103" s="64"/>
      <c r="H103" s="64"/>
      <c r="I103" s="65"/>
    </row>
    <row r="104" spans="2:9" ht="14.25" customHeight="1" thickTop="1" thickBot="1" x14ac:dyDescent="0.3">
      <c r="B104" s="63"/>
      <c r="C104" s="64"/>
      <c r="D104" s="64"/>
      <c r="E104" s="64"/>
      <c r="F104" s="64"/>
      <c r="G104" s="64"/>
      <c r="H104" s="64"/>
      <c r="I104" s="65"/>
    </row>
    <row r="105" spans="2:9" ht="14.25" customHeight="1" thickTop="1" thickBot="1" x14ac:dyDescent="0.3">
      <c r="B105" s="63"/>
      <c r="C105" s="64"/>
      <c r="D105" s="64"/>
      <c r="E105" s="64"/>
      <c r="F105" s="64"/>
      <c r="G105" s="64"/>
      <c r="H105" s="64"/>
      <c r="I105" s="65"/>
    </row>
    <row r="106" spans="2:9" ht="14.25" customHeight="1" thickTop="1" thickBot="1" x14ac:dyDescent="0.3">
      <c r="B106" s="63"/>
      <c r="C106" s="64"/>
      <c r="D106" s="64"/>
      <c r="E106" s="64"/>
      <c r="F106" s="64"/>
      <c r="G106" s="64"/>
      <c r="H106" s="64"/>
      <c r="I106" s="65"/>
    </row>
    <row r="107" spans="2:9" ht="14.25" customHeight="1" thickTop="1" thickBot="1" x14ac:dyDescent="0.3">
      <c r="B107" s="63"/>
      <c r="C107" s="64"/>
      <c r="D107" s="64"/>
      <c r="E107" s="64"/>
      <c r="F107" s="64"/>
      <c r="G107" s="64"/>
      <c r="H107" s="64"/>
      <c r="I107" s="65"/>
    </row>
    <row r="108" spans="2:9" ht="14.25" customHeight="1" thickTop="1" thickBot="1" x14ac:dyDescent="0.3">
      <c r="B108" s="63"/>
      <c r="C108" s="64"/>
      <c r="D108" s="64"/>
      <c r="E108" s="64"/>
      <c r="F108" s="64"/>
      <c r="G108" s="64"/>
      <c r="H108" s="64"/>
      <c r="I108" s="65"/>
    </row>
    <row r="109" spans="2:9" ht="14.25" customHeight="1" thickTop="1" thickBot="1" x14ac:dyDescent="0.3">
      <c r="B109" s="63"/>
      <c r="C109" s="64"/>
      <c r="D109" s="64"/>
      <c r="E109" s="64"/>
      <c r="F109" s="64"/>
      <c r="G109" s="64"/>
      <c r="H109" s="64"/>
      <c r="I109" s="65"/>
    </row>
    <row r="110" spans="2:9" ht="14.25" customHeight="1" thickTop="1" thickBot="1" x14ac:dyDescent="0.3">
      <c r="B110" s="63"/>
      <c r="C110" s="64"/>
      <c r="D110" s="64"/>
      <c r="E110" s="64"/>
      <c r="F110" s="64"/>
      <c r="G110" s="64"/>
      <c r="H110" s="64"/>
      <c r="I110" s="65"/>
    </row>
    <row r="111" spans="2:9" ht="14.25" customHeight="1" thickTop="1" thickBot="1" x14ac:dyDescent="0.3">
      <c r="B111" s="63"/>
      <c r="C111" s="64"/>
      <c r="D111" s="64"/>
      <c r="E111" s="64"/>
      <c r="F111" s="64"/>
      <c r="G111" s="64"/>
      <c r="H111" s="64"/>
      <c r="I111" s="65"/>
    </row>
    <row r="112" spans="2:9" ht="14.25" customHeight="1" thickTop="1" thickBot="1" x14ac:dyDescent="0.3">
      <c r="B112" s="63"/>
      <c r="C112" s="64"/>
      <c r="D112" s="64"/>
      <c r="E112" s="64"/>
      <c r="F112" s="64"/>
      <c r="G112" s="64"/>
      <c r="H112" s="64"/>
      <c r="I112" s="65"/>
    </row>
    <row r="113" spans="2:9" ht="14.25" customHeight="1" thickTop="1" thickBot="1" x14ac:dyDescent="0.3">
      <c r="B113" s="63"/>
      <c r="C113" s="64"/>
      <c r="D113" s="64"/>
      <c r="E113" s="64"/>
      <c r="F113" s="64"/>
      <c r="G113" s="64"/>
      <c r="H113" s="64"/>
      <c r="I113" s="65"/>
    </row>
    <row r="114" spans="2:9" ht="14.25" customHeight="1" thickTop="1" thickBot="1" x14ac:dyDescent="0.3">
      <c r="B114" s="63"/>
      <c r="C114" s="64"/>
      <c r="D114" s="64"/>
      <c r="E114" s="64"/>
      <c r="F114" s="64"/>
      <c r="G114" s="64"/>
      <c r="H114" s="64"/>
      <c r="I114" s="65"/>
    </row>
    <row r="115" spans="2:9" ht="14.25" customHeight="1" thickTop="1" thickBot="1" x14ac:dyDescent="0.3">
      <c r="B115" s="63"/>
      <c r="C115" s="64"/>
      <c r="D115" s="64"/>
      <c r="E115" s="64"/>
      <c r="F115" s="64"/>
      <c r="G115" s="64"/>
      <c r="H115" s="64"/>
      <c r="I115" s="65"/>
    </row>
    <row r="116" spans="2:9" ht="14.25" customHeight="1" thickTop="1" thickBot="1" x14ac:dyDescent="0.3">
      <c r="B116" s="63"/>
      <c r="C116" s="64"/>
      <c r="D116" s="64"/>
      <c r="E116" s="64"/>
      <c r="F116" s="64"/>
      <c r="G116" s="64"/>
      <c r="H116" s="64"/>
      <c r="I116" s="65"/>
    </row>
    <row r="117" spans="2:9" ht="14.25" customHeight="1" thickTop="1" thickBot="1" x14ac:dyDescent="0.3">
      <c r="B117" s="63"/>
      <c r="C117" s="64"/>
      <c r="D117" s="64"/>
      <c r="E117" s="64"/>
      <c r="F117" s="64"/>
      <c r="G117" s="64"/>
      <c r="H117" s="64"/>
      <c r="I117" s="65"/>
    </row>
    <row r="118" spans="2:9" ht="14.25" customHeight="1" thickTop="1" thickBot="1" x14ac:dyDescent="0.3">
      <c r="B118" s="63"/>
      <c r="C118" s="64"/>
      <c r="D118" s="64"/>
      <c r="E118" s="64"/>
      <c r="F118" s="64"/>
      <c r="G118" s="64"/>
      <c r="H118" s="64"/>
      <c r="I118" s="65"/>
    </row>
    <row r="119" spans="2:9" ht="14.25" customHeight="1" thickTop="1" thickBot="1" x14ac:dyDescent="0.3">
      <c r="B119" s="63"/>
      <c r="C119" s="64"/>
      <c r="D119" s="64"/>
      <c r="E119" s="64"/>
      <c r="F119" s="64"/>
      <c r="G119" s="64"/>
      <c r="H119" s="64"/>
      <c r="I119" s="65"/>
    </row>
    <row r="120" spans="2:9" ht="14.25" customHeight="1" thickTop="1" thickBot="1" x14ac:dyDescent="0.3">
      <c r="B120" s="63"/>
      <c r="C120" s="64"/>
      <c r="D120" s="64"/>
      <c r="E120" s="64"/>
      <c r="F120" s="64"/>
      <c r="G120" s="64"/>
      <c r="H120" s="64"/>
      <c r="I120" s="65"/>
    </row>
    <row r="121" spans="2:9" ht="14.25" customHeight="1" thickTop="1" thickBot="1" x14ac:dyDescent="0.3">
      <c r="B121" s="63"/>
      <c r="C121" s="64"/>
      <c r="D121" s="64"/>
      <c r="E121" s="64"/>
      <c r="F121" s="64"/>
      <c r="G121" s="64"/>
      <c r="H121" s="64"/>
      <c r="I121" s="65"/>
    </row>
    <row r="122" spans="2:9" ht="14.25" customHeight="1" thickTop="1" thickBot="1" x14ac:dyDescent="0.3">
      <c r="B122" s="63"/>
      <c r="C122" s="64"/>
      <c r="D122" s="64"/>
      <c r="E122" s="64"/>
      <c r="F122" s="64"/>
      <c r="G122" s="64"/>
      <c r="H122" s="64"/>
      <c r="I122" s="65"/>
    </row>
    <row r="123" spans="2:9" ht="14.25" customHeight="1" thickTop="1" thickBot="1" x14ac:dyDescent="0.3">
      <c r="B123" s="63"/>
      <c r="C123" s="64"/>
      <c r="D123" s="64"/>
      <c r="E123" s="64"/>
      <c r="F123" s="64"/>
      <c r="G123" s="64"/>
      <c r="H123" s="64"/>
      <c r="I123" s="65"/>
    </row>
    <row r="124" spans="2:9" ht="14.25" customHeight="1" thickTop="1" thickBot="1" x14ac:dyDescent="0.3">
      <c r="B124" s="63"/>
      <c r="C124" s="64"/>
      <c r="D124" s="64"/>
      <c r="E124" s="64"/>
      <c r="F124" s="64"/>
      <c r="G124" s="64"/>
      <c r="H124" s="64"/>
      <c r="I124" s="65"/>
    </row>
    <row r="125" spans="2:9" ht="14.25" customHeight="1" thickTop="1" thickBot="1" x14ac:dyDescent="0.3">
      <c r="B125" s="63"/>
      <c r="C125" s="64"/>
      <c r="D125" s="64"/>
      <c r="E125" s="64"/>
      <c r="F125" s="64"/>
      <c r="G125" s="64"/>
      <c r="H125" s="64"/>
      <c r="I125" s="65"/>
    </row>
    <row r="126" spans="2:9" ht="14.25" customHeight="1" thickTop="1" thickBot="1" x14ac:dyDescent="0.3">
      <c r="B126" s="63"/>
      <c r="C126" s="64"/>
      <c r="D126" s="64"/>
      <c r="E126" s="64"/>
      <c r="F126" s="64"/>
      <c r="G126" s="64"/>
      <c r="H126" s="64"/>
      <c r="I126" s="65"/>
    </row>
    <row r="127" spans="2:9" ht="14.25" customHeight="1" thickTop="1" thickBot="1" x14ac:dyDescent="0.3">
      <c r="B127" s="63"/>
      <c r="C127" s="64"/>
      <c r="D127" s="64"/>
      <c r="E127" s="64"/>
      <c r="F127" s="64"/>
      <c r="G127" s="64"/>
      <c r="H127" s="64"/>
      <c r="I127" s="65"/>
    </row>
    <row r="128" spans="2:9" ht="14.25" customHeight="1" thickTop="1" thickBot="1" x14ac:dyDescent="0.3">
      <c r="B128" s="63"/>
      <c r="C128" s="64"/>
      <c r="D128" s="64"/>
      <c r="E128" s="64"/>
      <c r="F128" s="64"/>
      <c r="G128" s="64"/>
      <c r="H128" s="64"/>
      <c r="I128" s="65"/>
    </row>
    <row r="129" spans="2:9" ht="14.25" customHeight="1" thickTop="1" thickBot="1" x14ac:dyDescent="0.3">
      <c r="B129" s="63"/>
      <c r="C129" s="64"/>
      <c r="D129" s="64"/>
      <c r="E129" s="64"/>
      <c r="F129" s="64"/>
      <c r="G129" s="64"/>
      <c r="H129" s="64"/>
      <c r="I129" s="65"/>
    </row>
    <row r="130" spans="2:9" ht="14.25" customHeight="1" thickTop="1" thickBot="1" x14ac:dyDescent="0.3">
      <c r="B130" s="63"/>
      <c r="C130" s="64"/>
      <c r="D130" s="64"/>
      <c r="E130" s="64"/>
      <c r="F130" s="64"/>
      <c r="G130" s="64"/>
      <c r="H130" s="64"/>
      <c r="I130" s="65"/>
    </row>
    <row r="131" spans="2:9" ht="14.25" customHeight="1" thickTop="1" thickBot="1" x14ac:dyDescent="0.3">
      <c r="B131" s="63"/>
      <c r="C131" s="64"/>
      <c r="D131" s="64"/>
      <c r="E131" s="64"/>
      <c r="F131" s="64"/>
      <c r="G131" s="64"/>
      <c r="H131" s="64"/>
      <c r="I131" s="65"/>
    </row>
    <row r="132" spans="2:9" ht="14.25" customHeight="1" thickTop="1" thickBot="1" x14ac:dyDescent="0.3">
      <c r="B132" s="63"/>
      <c r="C132" s="64"/>
      <c r="D132" s="64"/>
      <c r="E132" s="64"/>
      <c r="F132" s="64"/>
      <c r="G132" s="64"/>
      <c r="H132" s="64"/>
      <c r="I132" s="65"/>
    </row>
    <row r="133" spans="2:9" ht="14.25" customHeight="1" thickTop="1" thickBot="1" x14ac:dyDescent="0.3">
      <c r="B133" s="63"/>
      <c r="C133" s="64"/>
      <c r="D133" s="64"/>
      <c r="E133" s="64"/>
      <c r="F133" s="64"/>
      <c r="G133" s="64"/>
      <c r="H133" s="64"/>
      <c r="I133" s="65"/>
    </row>
    <row r="134" spans="2:9" ht="14.25" customHeight="1" thickTop="1" thickBot="1" x14ac:dyDescent="0.3">
      <c r="B134" s="63"/>
      <c r="C134" s="64"/>
      <c r="D134" s="64"/>
      <c r="E134" s="64"/>
      <c r="F134" s="64"/>
      <c r="G134" s="64"/>
      <c r="H134" s="64"/>
      <c r="I134" s="65"/>
    </row>
    <row r="135" spans="2:9" ht="14.25" customHeight="1" thickTop="1" thickBot="1" x14ac:dyDescent="0.3">
      <c r="B135" s="63"/>
      <c r="C135" s="64"/>
      <c r="D135" s="64"/>
      <c r="E135" s="64"/>
      <c r="F135" s="64"/>
      <c r="G135" s="64"/>
      <c r="H135" s="64"/>
      <c r="I135" s="65"/>
    </row>
    <row r="136" spans="2:9" ht="14.25" customHeight="1" thickTop="1" thickBot="1" x14ac:dyDescent="0.3">
      <c r="B136" s="63"/>
      <c r="C136" s="64"/>
      <c r="D136" s="64"/>
      <c r="E136" s="64"/>
      <c r="F136" s="64"/>
      <c r="G136" s="64"/>
      <c r="H136" s="64"/>
      <c r="I136" s="65"/>
    </row>
    <row r="137" spans="2:9" ht="14.25" customHeight="1" thickTop="1" thickBot="1" x14ac:dyDescent="0.3">
      <c r="B137" s="63"/>
      <c r="C137" s="64"/>
      <c r="D137" s="64"/>
      <c r="E137" s="64"/>
      <c r="F137" s="64"/>
      <c r="G137" s="64"/>
      <c r="H137" s="64"/>
      <c r="I137" s="65"/>
    </row>
    <row r="138" spans="2:9" ht="14.25" customHeight="1" thickTop="1" thickBot="1" x14ac:dyDescent="0.3">
      <c r="B138" s="63"/>
      <c r="C138" s="64"/>
      <c r="D138" s="64"/>
      <c r="E138" s="64"/>
      <c r="F138" s="64"/>
      <c r="G138" s="64"/>
      <c r="H138" s="64"/>
      <c r="I138" s="65"/>
    </row>
    <row r="139" spans="2:9" ht="14.25" customHeight="1" thickTop="1" thickBot="1" x14ac:dyDescent="0.3">
      <c r="B139" s="63"/>
      <c r="C139" s="64"/>
      <c r="D139" s="64"/>
      <c r="E139" s="64"/>
      <c r="F139" s="64"/>
      <c r="G139" s="64"/>
      <c r="H139" s="64"/>
      <c r="I139" s="65"/>
    </row>
    <row r="140" spans="2:9" ht="14.25" customHeight="1" thickTop="1" thickBot="1" x14ac:dyDescent="0.3">
      <c r="B140" s="63"/>
      <c r="C140" s="64"/>
      <c r="D140" s="64"/>
      <c r="E140" s="64"/>
      <c r="F140" s="64"/>
      <c r="G140" s="64"/>
      <c r="H140" s="64"/>
      <c r="I140" s="65"/>
    </row>
    <row r="141" spans="2:9" ht="14.25" customHeight="1" thickTop="1" thickBot="1" x14ac:dyDescent="0.3">
      <c r="B141" s="63"/>
      <c r="C141" s="64"/>
      <c r="D141" s="64"/>
      <c r="E141" s="64"/>
      <c r="F141" s="64"/>
      <c r="G141" s="64"/>
      <c r="H141" s="64"/>
      <c r="I141" s="65"/>
    </row>
    <row r="142" spans="2:9" ht="14.25" customHeight="1" thickTop="1" thickBot="1" x14ac:dyDescent="0.3">
      <c r="B142" s="63"/>
      <c r="C142" s="64"/>
      <c r="D142" s="64"/>
      <c r="E142" s="64"/>
      <c r="F142" s="64"/>
      <c r="G142" s="64"/>
      <c r="H142" s="64"/>
      <c r="I142" s="65"/>
    </row>
    <row r="143" spans="2:9" ht="14.25" customHeight="1" thickTop="1" thickBot="1" x14ac:dyDescent="0.3">
      <c r="B143" s="63"/>
      <c r="C143" s="64"/>
      <c r="D143" s="64"/>
      <c r="E143" s="64"/>
      <c r="F143" s="64"/>
      <c r="G143" s="64"/>
      <c r="H143" s="64"/>
      <c r="I143" s="65"/>
    </row>
    <row r="144" spans="2:9" ht="14.25" customHeight="1" thickTop="1" thickBot="1" x14ac:dyDescent="0.3">
      <c r="B144" s="63"/>
      <c r="C144" s="64"/>
      <c r="D144" s="64"/>
      <c r="E144" s="64"/>
      <c r="F144" s="64"/>
      <c r="G144" s="64"/>
      <c r="H144" s="64"/>
      <c r="I144" s="65"/>
    </row>
    <row r="145" spans="2:9" ht="14.25" customHeight="1" thickTop="1" thickBot="1" x14ac:dyDescent="0.3">
      <c r="B145" s="63"/>
      <c r="C145" s="64"/>
      <c r="D145" s="64"/>
      <c r="E145" s="64"/>
      <c r="F145" s="64"/>
      <c r="G145" s="64"/>
      <c r="H145" s="64"/>
      <c r="I145" s="65"/>
    </row>
    <row r="146" spans="2:9" ht="14.25" customHeight="1" thickTop="1" thickBot="1" x14ac:dyDescent="0.3">
      <c r="B146" s="63"/>
      <c r="C146" s="64"/>
      <c r="D146" s="64"/>
      <c r="E146" s="64"/>
      <c r="F146" s="64"/>
      <c r="G146" s="64"/>
      <c r="H146" s="64"/>
      <c r="I146" s="65"/>
    </row>
    <row r="147" spans="2:9" ht="14.25" customHeight="1" thickTop="1" thickBot="1" x14ac:dyDescent="0.3">
      <c r="B147" s="63"/>
      <c r="C147" s="64"/>
      <c r="D147" s="64"/>
      <c r="E147" s="64"/>
      <c r="F147" s="64"/>
      <c r="G147" s="64"/>
      <c r="H147" s="64"/>
      <c r="I147" s="65"/>
    </row>
    <row r="148" spans="2:9" ht="14.25" customHeight="1" thickTop="1" thickBot="1" x14ac:dyDescent="0.3">
      <c r="B148" s="63"/>
      <c r="C148" s="64"/>
      <c r="D148" s="64"/>
      <c r="E148" s="64"/>
      <c r="F148" s="64"/>
      <c r="G148" s="64"/>
      <c r="H148" s="64"/>
      <c r="I148" s="65"/>
    </row>
    <row r="149" spans="2:9" ht="14.25" customHeight="1" thickTop="1" thickBot="1" x14ac:dyDescent="0.3">
      <c r="B149" s="63"/>
      <c r="C149" s="64"/>
      <c r="D149" s="64"/>
      <c r="E149" s="64"/>
      <c r="F149" s="64"/>
      <c r="G149" s="64"/>
      <c r="H149" s="64"/>
      <c r="I149" s="65"/>
    </row>
    <row r="150" spans="2:9" ht="14.25" customHeight="1" thickTop="1" thickBot="1" x14ac:dyDescent="0.3">
      <c r="B150" s="63"/>
      <c r="C150" s="64"/>
      <c r="D150" s="64"/>
      <c r="E150" s="64"/>
      <c r="F150" s="64"/>
      <c r="G150" s="64"/>
      <c r="H150" s="64"/>
      <c r="I150" s="65"/>
    </row>
    <row r="151" spans="2:9" ht="14.25" customHeight="1" thickTop="1" thickBot="1" x14ac:dyDescent="0.3">
      <c r="B151" s="63"/>
      <c r="C151" s="64"/>
      <c r="D151" s="64"/>
      <c r="E151" s="64"/>
      <c r="F151" s="64"/>
      <c r="G151" s="64"/>
      <c r="H151" s="64"/>
      <c r="I151" s="65"/>
    </row>
    <row r="152" spans="2:9" ht="14.25" customHeight="1" thickTop="1" thickBot="1" x14ac:dyDescent="0.3">
      <c r="B152" s="63"/>
      <c r="C152" s="64"/>
      <c r="D152" s="64"/>
      <c r="E152" s="64"/>
      <c r="F152" s="64"/>
      <c r="G152" s="64"/>
      <c r="H152" s="64"/>
      <c r="I152" s="65"/>
    </row>
    <row r="153" spans="2:9" ht="14.25" customHeight="1" thickTop="1" thickBot="1" x14ac:dyDescent="0.3">
      <c r="B153" s="63"/>
      <c r="C153" s="64"/>
      <c r="D153" s="64"/>
      <c r="E153" s="64"/>
      <c r="F153" s="64"/>
      <c r="G153" s="64"/>
      <c r="H153" s="64"/>
      <c r="I153" s="65"/>
    </row>
    <row r="154" spans="2:9" ht="14.25" customHeight="1" thickTop="1" thickBot="1" x14ac:dyDescent="0.3">
      <c r="B154" s="63"/>
      <c r="C154" s="64"/>
      <c r="D154" s="64"/>
      <c r="E154" s="64"/>
      <c r="F154" s="64"/>
      <c r="G154" s="64"/>
      <c r="H154" s="64"/>
      <c r="I154" s="65"/>
    </row>
    <row r="155" spans="2:9" ht="14.25" customHeight="1" thickTop="1" thickBot="1" x14ac:dyDescent="0.3">
      <c r="B155" s="63"/>
      <c r="C155" s="64"/>
      <c r="D155" s="64"/>
      <c r="E155" s="64"/>
      <c r="F155" s="64"/>
      <c r="G155" s="64"/>
      <c r="H155" s="64"/>
      <c r="I155" s="65"/>
    </row>
    <row r="156" spans="2:9" ht="14.25" customHeight="1" thickTop="1" thickBot="1" x14ac:dyDescent="0.3">
      <c r="B156" s="63"/>
      <c r="C156" s="64"/>
      <c r="D156" s="64"/>
      <c r="E156" s="64"/>
      <c r="F156" s="64"/>
      <c r="G156" s="64"/>
      <c r="H156" s="64"/>
      <c r="I156" s="65"/>
    </row>
    <row r="157" spans="2:9" ht="14.25" customHeight="1" thickTop="1" thickBot="1" x14ac:dyDescent="0.3">
      <c r="B157" s="63"/>
      <c r="C157" s="64"/>
      <c r="D157" s="64"/>
      <c r="E157" s="64"/>
      <c r="F157" s="64"/>
      <c r="G157" s="64"/>
      <c r="H157" s="64"/>
      <c r="I157" s="65"/>
    </row>
    <row r="158" spans="2:9" ht="14.25" customHeight="1" thickTop="1" thickBot="1" x14ac:dyDescent="0.3">
      <c r="B158" s="63"/>
      <c r="C158" s="64"/>
      <c r="D158" s="64"/>
      <c r="E158" s="64"/>
      <c r="F158" s="64"/>
      <c r="G158" s="64"/>
      <c r="H158" s="64"/>
      <c r="I158" s="65"/>
    </row>
    <row r="159" spans="2:9" ht="14.25" customHeight="1" thickTop="1" thickBot="1" x14ac:dyDescent="0.3">
      <c r="B159" s="63"/>
      <c r="C159" s="64"/>
      <c r="D159" s="64"/>
      <c r="E159" s="64"/>
      <c r="F159" s="64"/>
      <c r="G159" s="64"/>
      <c r="H159" s="64"/>
      <c r="I159" s="65"/>
    </row>
    <row r="160" spans="2:9" ht="14.25" customHeight="1" thickTop="1" thickBot="1" x14ac:dyDescent="0.3">
      <c r="B160" s="63"/>
      <c r="C160" s="64"/>
      <c r="D160" s="64"/>
      <c r="E160" s="64"/>
      <c r="F160" s="64"/>
      <c r="G160" s="64"/>
      <c r="H160" s="64"/>
      <c r="I160" s="65"/>
    </row>
    <row r="161" spans="2:9" ht="14.25" customHeight="1" thickTop="1" thickBot="1" x14ac:dyDescent="0.3">
      <c r="B161" s="63"/>
      <c r="C161" s="64"/>
      <c r="D161" s="64"/>
      <c r="E161" s="64"/>
      <c r="F161" s="64"/>
      <c r="G161" s="64"/>
      <c r="H161" s="64"/>
      <c r="I161" s="65"/>
    </row>
    <row r="162" spans="2:9" ht="14.25" customHeight="1" thickTop="1" thickBot="1" x14ac:dyDescent="0.3">
      <c r="B162" s="63"/>
      <c r="C162" s="64"/>
      <c r="D162" s="64"/>
      <c r="E162" s="64"/>
      <c r="F162" s="64"/>
      <c r="G162" s="64"/>
      <c r="H162" s="64"/>
      <c r="I162" s="65"/>
    </row>
    <row r="163" spans="2:9" ht="14.25" customHeight="1" thickTop="1" thickBot="1" x14ac:dyDescent="0.3">
      <c r="B163" s="63"/>
      <c r="C163" s="64"/>
      <c r="D163" s="64"/>
      <c r="E163" s="64"/>
      <c r="F163" s="64"/>
      <c r="G163" s="64"/>
      <c r="H163" s="64"/>
      <c r="I163" s="65"/>
    </row>
    <row r="164" spans="2:9" ht="14.25" customHeight="1" thickTop="1" thickBot="1" x14ac:dyDescent="0.3">
      <c r="B164" s="63"/>
      <c r="C164" s="64"/>
      <c r="D164" s="64"/>
      <c r="E164" s="64"/>
      <c r="F164" s="64"/>
      <c r="G164" s="64"/>
      <c r="H164" s="64"/>
      <c r="I164" s="65"/>
    </row>
    <row r="165" spans="2:9" ht="14.25" customHeight="1" thickTop="1" thickBot="1" x14ac:dyDescent="0.3">
      <c r="B165" s="63"/>
      <c r="C165" s="64"/>
      <c r="D165" s="64"/>
      <c r="E165" s="64"/>
      <c r="F165" s="64"/>
      <c r="G165" s="64"/>
      <c r="H165" s="64"/>
      <c r="I165" s="65"/>
    </row>
    <row r="166" spans="2:9" ht="14.25" customHeight="1" thickTop="1" thickBot="1" x14ac:dyDescent="0.3">
      <c r="B166" s="63"/>
      <c r="C166" s="64"/>
      <c r="D166" s="64"/>
      <c r="E166" s="64"/>
      <c r="F166" s="64"/>
      <c r="G166" s="64"/>
      <c r="H166" s="64"/>
      <c r="I166" s="65"/>
    </row>
    <row r="167" spans="2:9" ht="14.25" customHeight="1" thickTop="1" thickBot="1" x14ac:dyDescent="0.3">
      <c r="B167" s="63"/>
      <c r="C167" s="64"/>
      <c r="D167" s="64"/>
      <c r="E167" s="64"/>
      <c r="F167" s="64"/>
      <c r="G167" s="64"/>
      <c r="H167" s="64"/>
      <c r="I167" s="65"/>
    </row>
    <row r="168" spans="2:9" ht="14.25" customHeight="1" thickTop="1" thickBot="1" x14ac:dyDescent="0.3">
      <c r="B168" s="63"/>
      <c r="C168" s="64"/>
      <c r="D168" s="64"/>
      <c r="E168" s="64"/>
      <c r="F168" s="64"/>
      <c r="G168" s="64"/>
      <c r="H168" s="64"/>
      <c r="I168" s="65"/>
    </row>
    <row r="169" spans="2:9" ht="14.25" customHeight="1" thickTop="1" thickBot="1" x14ac:dyDescent="0.3">
      <c r="B169" s="63"/>
      <c r="C169" s="64"/>
      <c r="D169" s="64"/>
      <c r="E169" s="64"/>
      <c r="F169" s="64"/>
      <c r="G169" s="64"/>
      <c r="H169" s="64"/>
      <c r="I169" s="65"/>
    </row>
    <row r="170" spans="2:9" ht="14.25" customHeight="1" thickTop="1" thickBot="1" x14ac:dyDescent="0.3">
      <c r="B170" s="63"/>
      <c r="C170" s="64"/>
      <c r="D170" s="64"/>
      <c r="E170" s="64"/>
      <c r="F170" s="64"/>
      <c r="G170" s="64"/>
      <c r="H170" s="64"/>
      <c r="I170" s="65"/>
    </row>
    <row r="171" spans="2:9" ht="14.25" customHeight="1" thickTop="1" thickBot="1" x14ac:dyDescent="0.3">
      <c r="B171" s="63"/>
      <c r="C171" s="64"/>
      <c r="D171" s="64"/>
      <c r="E171" s="64"/>
      <c r="F171" s="64"/>
      <c r="G171" s="64"/>
      <c r="H171" s="64"/>
      <c r="I171" s="65"/>
    </row>
    <row r="172" spans="2:9" ht="14.25" customHeight="1" thickTop="1" thickBot="1" x14ac:dyDescent="0.3">
      <c r="B172" s="63"/>
      <c r="C172" s="64"/>
      <c r="D172" s="64"/>
      <c r="E172" s="64"/>
      <c r="F172" s="64"/>
      <c r="G172" s="64"/>
      <c r="H172" s="64"/>
      <c r="I172" s="65"/>
    </row>
    <row r="173" spans="2:9" ht="14.25" customHeight="1" thickTop="1" thickBot="1" x14ac:dyDescent="0.3">
      <c r="B173" s="63"/>
      <c r="C173" s="64"/>
      <c r="D173" s="64"/>
      <c r="E173" s="64"/>
      <c r="F173" s="64"/>
      <c r="G173" s="64"/>
      <c r="H173" s="64"/>
      <c r="I173" s="65"/>
    </row>
    <row r="174" spans="2:9" ht="14.25" customHeight="1" thickTop="1" thickBot="1" x14ac:dyDescent="0.3">
      <c r="B174" s="63"/>
      <c r="C174" s="64"/>
      <c r="D174" s="64"/>
      <c r="E174" s="64"/>
      <c r="F174" s="64"/>
      <c r="G174" s="64"/>
      <c r="H174" s="64"/>
      <c r="I174" s="65"/>
    </row>
    <row r="175" spans="2:9" ht="14.25" customHeight="1" thickTop="1" thickBot="1" x14ac:dyDescent="0.3">
      <c r="B175" s="63"/>
      <c r="C175" s="64"/>
      <c r="D175" s="64"/>
      <c r="E175" s="64"/>
      <c r="F175" s="64"/>
      <c r="G175" s="64"/>
      <c r="H175" s="64"/>
      <c r="I175" s="65"/>
    </row>
    <row r="176" spans="2:9" ht="14.25" customHeight="1" thickTop="1" thickBot="1" x14ac:dyDescent="0.3">
      <c r="B176" s="63"/>
      <c r="C176" s="64"/>
      <c r="D176" s="64"/>
      <c r="E176" s="64"/>
      <c r="F176" s="64"/>
      <c r="G176" s="64"/>
      <c r="H176" s="64"/>
      <c r="I176" s="65"/>
    </row>
    <row r="177" spans="2:9" ht="14.25" customHeight="1" thickTop="1" thickBot="1" x14ac:dyDescent="0.3">
      <c r="B177" s="63"/>
      <c r="C177" s="64"/>
      <c r="D177" s="64"/>
      <c r="E177" s="64"/>
      <c r="F177" s="64"/>
      <c r="G177" s="64"/>
      <c r="H177" s="64"/>
      <c r="I177" s="65"/>
    </row>
    <row r="178" spans="2:9" ht="14.25" customHeight="1" thickTop="1" thickBot="1" x14ac:dyDescent="0.3">
      <c r="B178" s="63"/>
      <c r="C178" s="64"/>
      <c r="D178" s="64"/>
      <c r="E178" s="64"/>
      <c r="F178" s="64"/>
      <c r="G178" s="64"/>
      <c r="H178" s="64"/>
      <c r="I178" s="65"/>
    </row>
    <row r="179" spans="2:9" ht="14.25" customHeight="1" thickTop="1" thickBot="1" x14ac:dyDescent="0.3">
      <c r="B179" s="63"/>
      <c r="C179" s="64"/>
      <c r="D179" s="64"/>
      <c r="E179" s="64"/>
      <c r="F179" s="64"/>
      <c r="G179" s="64"/>
      <c r="H179" s="64"/>
      <c r="I179" s="65"/>
    </row>
    <row r="180" spans="2:9" ht="14.25" customHeight="1" thickTop="1" thickBot="1" x14ac:dyDescent="0.3">
      <c r="B180" s="63"/>
      <c r="C180" s="64"/>
      <c r="D180" s="64"/>
      <c r="E180" s="64"/>
      <c r="F180" s="64"/>
      <c r="G180" s="64"/>
      <c r="H180" s="64"/>
      <c r="I180" s="65"/>
    </row>
    <row r="181" spans="2:9" ht="14.25" customHeight="1" thickTop="1" thickBot="1" x14ac:dyDescent="0.3">
      <c r="B181" s="63"/>
      <c r="C181" s="64"/>
      <c r="D181" s="64"/>
      <c r="E181" s="64"/>
      <c r="F181" s="64"/>
      <c r="G181" s="64"/>
      <c r="H181" s="64"/>
      <c r="I181" s="65"/>
    </row>
    <row r="182" spans="2:9" ht="14.25" customHeight="1" thickTop="1" thickBot="1" x14ac:dyDescent="0.3">
      <c r="B182" s="63"/>
      <c r="C182" s="64"/>
      <c r="D182" s="64"/>
      <c r="E182" s="64"/>
      <c r="F182" s="64"/>
      <c r="G182" s="64"/>
      <c r="H182" s="64"/>
      <c r="I182" s="65"/>
    </row>
    <row r="183" spans="2:9" ht="14.25" customHeight="1" thickTop="1" thickBot="1" x14ac:dyDescent="0.3">
      <c r="B183" s="63"/>
      <c r="C183" s="64"/>
      <c r="D183" s="64"/>
      <c r="E183" s="64"/>
      <c r="F183" s="64"/>
      <c r="G183" s="64"/>
      <c r="H183" s="64"/>
      <c r="I183" s="65"/>
    </row>
    <row r="184" spans="2:9" ht="14.25" customHeight="1" thickTop="1" thickBot="1" x14ac:dyDescent="0.3">
      <c r="B184" s="63"/>
      <c r="C184" s="64"/>
      <c r="D184" s="64"/>
      <c r="E184" s="64"/>
      <c r="F184" s="64"/>
      <c r="G184" s="64"/>
      <c r="H184" s="64"/>
      <c r="I184" s="65"/>
    </row>
    <row r="185" spans="2:9" ht="14.25" customHeight="1" thickTop="1" thickBot="1" x14ac:dyDescent="0.3">
      <c r="B185" s="63"/>
      <c r="C185" s="64"/>
      <c r="D185" s="64"/>
      <c r="E185" s="64"/>
      <c r="F185" s="64"/>
      <c r="G185" s="64"/>
      <c r="H185" s="64"/>
      <c r="I185" s="65"/>
    </row>
    <row r="186" spans="2:9" ht="14.25" customHeight="1" thickTop="1" thickBot="1" x14ac:dyDescent="0.3">
      <c r="B186" s="63"/>
      <c r="C186" s="64"/>
      <c r="D186" s="64"/>
      <c r="E186" s="64"/>
      <c r="F186" s="64"/>
      <c r="G186" s="64"/>
      <c r="H186" s="64"/>
      <c r="I186" s="65"/>
    </row>
    <row r="187" spans="2:9" ht="14.25" customHeight="1" thickTop="1" thickBot="1" x14ac:dyDescent="0.3">
      <c r="B187" s="63"/>
      <c r="C187" s="64"/>
      <c r="D187" s="64"/>
      <c r="E187" s="64"/>
      <c r="F187" s="64"/>
      <c r="G187" s="64"/>
      <c r="H187" s="64"/>
      <c r="I187" s="65"/>
    </row>
    <row r="188" spans="2:9" ht="14.25" customHeight="1" thickTop="1" thickBot="1" x14ac:dyDescent="0.3">
      <c r="B188" s="63"/>
      <c r="C188" s="64"/>
      <c r="D188" s="64"/>
      <c r="E188" s="64"/>
      <c r="F188" s="64"/>
      <c r="G188" s="64"/>
      <c r="H188" s="64"/>
      <c r="I188" s="65"/>
    </row>
    <row r="189" spans="2:9" ht="14.25" customHeight="1" thickTop="1" thickBot="1" x14ac:dyDescent="0.3">
      <c r="B189" s="63"/>
      <c r="C189" s="64"/>
      <c r="D189" s="64"/>
      <c r="E189" s="64"/>
      <c r="F189" s="64"/>
      <c r="G189" s="64"/>
      <c r="H189" s="64"/>
      <c r="I189" s="65"/>
    </row>
    <row r="190" spans="2:9" ht="14.25" customHeight="1" thickTop="1" thickBot="1" x14ac:dyDescent="0.3">
      <c r="B190" s="63"/>
      <c r="C190" s="64"/>
      <c r="D190" s="64"/>
      <c r="E190" s="64"/>
      <c r="F190" s="64"/>
      <c r="G190" s="64"/>
      <c r="H190" s="64"/>
      <c r="I190" s="65"/>
    </row>
    <row r="191" spans="2:9" ht="14.25" customHeight="1" thickTop="1" thickBot="1" x14ac:dyDescent="0.3">
      <c r="B191" s="63"/>
      <c r="C191" s="64"/>
      <c r="D191" s="64"/>
      <c r="E191" s="64"/>
      <c r="F191" s="64"/>
      <c r="G191" s="64"/>
      <c r="H191" s="64"/>
      <c r="I191" s="65"/>
    </row>
    <row r="192" spans="2:9" ht="14.25" customHeight="1" thickTop="1" thickBot="1" x14ac:dyDescent="0.3">
      <c r="B192" s="63"/>
      <c r="C192" s="64"/>
      <c r="D192" s="64"/>
      <c r="E192" s="64"/>
      <c r="F192" s="64"/>
      <c r="G192" s="64"/>
      <c r="H192" s="64"/>
      <c r="I192" s="65"/>
    </row>
    <row r="193" spans="2:9" ht="14.25" customHeight="1" thickTop="1" thickBot="1" x14ac:dyDescent="0.3">
      <c r="B193" s="63"/>
      <c r="C193" s="64"/>
      <c r="D193" s="64"/>
      <c r="E193" s="64"/>
      <c r="F193" s="64"/>
      <c r="G193" s="64"/>
      <c r="H193" s="64"/>
      <c r="I193" s="65"/>
    </row>
    <row r="194" spans="2:9" ht="14.25" customHeight="1" thickTop="1" thickBot="1" x14ac:dyDescent="0.3">
      <c r="B194" s="63"/>
      <c r="C194" s="64"/>
      <c r="D194" s="64"/>
      <c r="E194" s="64"/>
      <c r="F194" s="64"/>
      <c r="G194" s="64"/>
      <c r="H194" s="64"/>
      <c r="I194" s="65"/>
    </row>
    <row r="195" spans="2:9" ht="14.25" customHeight="1" thickTop="1" thickBot="1" x14ac:dyDescent="0.3">
      <c r="B195" s="63"/>
      <c r="C195" s="64"/>
      <c r="D195" s="64"/>
      <c r="E195" s="64"/>
      <c r="F195" s="64"/>
      <c r="G195" s="64"/>
      <c r="H195" s="64"/>
      <c r="I195" s="65"/>
    </row>
    <row r="196" spans="2:9" ht="14.25" customHeight="1" thickTop="1" thickBot="1" x14ac:dyDescent="0.3">
      <c r="B196" s="63"/>
      <c r="C196" s="64"/>
      <c r="D196" s="64"/>
      <c r="E196" s="64"/>
      <c r="F196" s="64"/>
      <c r="G196" s="64"/>
      <c r="H196" s="64"/>
      <c r="I196" s="65"/>
    </row>
    <row r="197" spans="2:9" ht="14.25" customHeight="1" thickTop="1" thickBot="1" x14ac:dyDescent="0.3">
      <c r="B197" s="63"/>
      <c r="C197" s="64"/>
      <c r="D197" s="64"/>
      <c r="E197" s="64"/>
      <c r="F197" s="64"/>
      <c r="G197" s="64"/>
      <c r="H197" s="64"/>
      <c r="I197" s="65"/>
    </row>
    <row r="198" spans="2:9" ht="14.25" customHeight="1" thickTop="1" thickBot="1" x14ac:dyDescent="0.3">
      <c r="B198" s="63"/>
      <c r="C198" s="64"/>
      <c r="D198" s="64"/>
      <c r="E198" s="64"/>
      <c r="F198" s="64"/>
      <c r="G198" s="64"/>
      <c r="H198" s="64"/>
      <c r="I198" s="65"/>
    </row>
    <row r="199" spans="2:9" ht="14.25" customHeight="1" thickTop="1" thickBot="1" x14ac:dyDescent="0.3">
      <c r="B199" s="63"/>
      <c r="C199" s="64"/>
      <c r="D199" s="64"/>
      <c r="E199" s="64"/>
      <c r="F199" s="64"/>
      <c r="G199" s="64"/>
      <c r="H199" s="64"/>
      <c r="I199" s="65"/>
    </row>
    <row r="200" spans="2:9" ht="14.25" customHeight="1" thickTop="1" thickBot="1" x14ac:dyDescent="0.3">
      <c r="B200" s="63"/>
      <c r="C200" s="64"/>
      <c r="D200" s="64"/>
      <c r="E200" s="64"/>
      <c r="F200" s="64"/>
      <c r="G200" s="64"/>
      <c r="H200" s="64"/>
      <c r="I200" s="65"/>
    </row>
    <row r="201" spans="2:9" ht="14.25" customHeight="1" thickTop="1" thickBot="1" x14ac:dyDescent="0.3">
      <c r="B201" s="63"/>
      <c r="C201" s="64"/>
      <c r="D201" s="64"/>
      <c r="E201" s="64"/>
      <c r="F201" s="64"/>
      <c r="G201" s="64"/>
      <c r="H201" s="64"/>
      <c r="I201" s="65"/>
    </row>
    <row r="202" spans="2:9" s="15" customFormat="1" ht="16.5" customHeight="1" thickTop="1" x14ac:dyDescent="0.25"/>
  </sheetData>
  <sheetProtection algorithmName="SHA-512" hashValue="fF7ipGINQ0tyECgSWOKoRA3Paq8cEMeGSHiQJ7OTd8D/25iB450FHDIxQD9Lmta6cexW30SFrXCpq7dJkf7dng==" saltValue="pVYjQMB7gwH0eswihYaZdA==" spinCount="100000" sheet="1" objects="1" scenarios="1"/>
  <mergeCells count="199">
    <mergeCell ref="B5:I5"/>
    <mergeCell ref="B6:I6"/>
    <mergeCell ref="B7:I7"/>
    <mergeCell ref="B8:I8"/>
    <mergeCell ref="B9:I9"/>
    <mergeCell ref="B10:I10"/>
    <mergeCell ref="B2:I3"/>
    <mergeCell ref="B4:I4"/>
    <mergeCell ref="B17:I17"/>
    <mergeCell ref="B18:I18"/>
    <mergeCell ref="B19:I19"/>
    <mergeCell ref="B20:I20"/>
    <mergeCell ref="B21:I21"/>
    <mergeCell ref="B22:I22"/>
    <mergeCell ref="B11:I11"/>
    <mergeCell ref="B12:I12"/>
    <mergeCell ref="B13:I13"/>
    <mergeCell ref="B14:I14"/>
    <mergeCell ref="B15:I15"/>
    <mergeCell ref="B16:I16"/>
    <mergeCell ref="B29:I29"/>
    <mergeCell ref="B30:I30"/>
    <mergeCell ref="B31:I31"/>
    <mergeCell ref="B32:I32"/>
    <mergeCell ref="B33:I33"/>
    <mergeCell ref="B34:I34"/>
    <mergeCell ref="B23:I23"/>
    <mergeCell ref="B24:I24"/>
    <mergeCell ref="B25:I25"/>
    <mergeCell ref="B26:I26"/>
    <mergeCell ref="B27:I27"/>
    <mergeCell ref="B28:I28"/>
    <mergeCell ref="B41:I41"/>
    <mergeCell ref="B42:I42"/>
    <mergeCell ref="B43:I43"/>
    <mergeCell ref="B44:I44"/>
    <mergeCell ref="B45:I45"/>
    <mergeCell ref="B46:I46"/>
    <mergeCell ref="B35:I35"/>
    <mergeCell ref="B36:I36"/>
    <mergeCell ref="B37:I37"/>
    <mergeCell ref="B38:I38"/>
    <mergeCell ref="B39:I39"/>
    <mergeCell ref="B40:I40"/>
    <mergeCell ref="B53:I53"/>
    <mergeCell ref="B54:I54"/>
    <mergeCell ref="B55:I55"/>
    <mergeCell ref="B56:I56"/>
    <mergeCell ref="B57:I57"/>
    <mergeCell ref="B58:I58"/>
    <mergeCell ref="B47:I47"/>
    <mergeCell ref="B48:I48"/>
    <mergeCell ref="B49:I49"/>
    <mergeCell ref="B50:I50"/>
    <mergeCell ref="B51:I51"/>
    <mergeCell ref="B52:I52"/>
    <mergeCell ref="B65:I65"/>
    <mergeCell ref="B66:I66"/>
    <mergeCell ref="B67:I67"/>
    <mergeCell ref="B68:I68"/>
    <mergeCell ref="B69:I69"/>
    <mergeCell ref="B70:I70"/>
    <mergeCell ref="B59:I59"/>
    <mergeCell ref="B60:I60"/>
    <mergeCell ref="B61:I61"/>
    <mergeCell ref="B62:I62"/>
    <mergeCell ref="B63:I63"/>
    <mergeCell ref="B64:I64"/>
    <mergeCell ref="B77:I77"/>
    <mergeCell ref="B78:I78"/>
    <mergeCell ref="B79:I79"/>
    <mergeCell ref="B80:I80"/>
    <mergeCell ref="B81:I81"/>
    <mergeCell ref="B82:I82"/>
    <mergeCell ref="B71:I71"/>
    <mergeCell ref="B72:I72"/>
    <mergeCell ref="B73:I73"/>
    <mergeCell ref="B74:I74"/>
    <mergeCell ref="B75:I75"/>
    <mergeCell ref="B76:I76"/>
    <mergeCell ref="B89:I89"/>
    <mergeCell ref="B90:I90"/>
    <mergeCell ref="B91:I91"/>
    <mergeCell ref="B92:I92"/>
    <mergeCell ref="B93:I93"/>
    <mergeCell ref="B94:I94"/>
    <mergeCell ref="B83:I83"/>
    <mergeCell ref="B84:I84"/>
    <mergeCell ref="B85:I85"/>
    <mergeCell ref="B86:I86"/>
    <mergeCell ref="B87:I87"/>
    <mergeCell ref="B88:I88"/>
    <mergeCell ref="B101:I101"/>
    <mergeCell ref="B102:I102"/>
    <mergeCell ref="B103:I103"/>
    <mergeCell ref="B104:I104"/>
    <mergeCell ref="B105:I105"/>
    <mergeCell ref="B106:I106"/>
    <mergeCell ref="B95:I95"/>
    <mergeCell ref="B96:I96"/>
    <mergeCell ref="B97:I97"/>
    <mergeCell ref="B98:I98"/>
    <mergeCell ref="B99:I99"/>
    <mergeCell ref="B100:I100"/>
    <mergeCell ref="B113:I113"/>
    <mergeCell ref="B114:I114"/>
    <mergeCell ref="B115:I115"/>
    <mergeCell ref="B116:I116"/>
    <mergeCell ref="B117:I117"/>
    <mergeCell ref="B118:I118"/>
    <mergeCell ref="B107:I107"/>
    <mergeCell ref="B108:I108"/>
    <mergeCell ref="B109:I109"/>
    <mergeCell ref="B110:I110"/>
    <mergeCell ref="B111:I111"/>
    <mergeCell ref="B112:I112"/>
    <mergeCell ref="B125:I125"/>
    <mergeCell ref="B126:I126"/>
    <mergeCell ref="B127:I127"/>
    <mergeCell ref="B128:I128"/>
    <mergeCell ref="B129:I129"/>
    <mergeCell ref="B130:I130"/>
    <mergeCell ref="B119:I119"/>
    <mergeCell ref="B120:I120"/>
    <mergeCell ref="B121:I121"/>
    <mergeCell ref="B122:I122"/>
    <mergeCell ref="B123:I123"/>
    <mergeCell ref="B124:I124"/>
    <mergeCell ref="B137:I137"/>
    <mergeCell ref="B138:I138"/>
    <mergeCell ref="B139:I139"/>
    <mergeCell ref="B140:I140"/>
    <mergeCell ref="B141:I141"/>
    <mergeCell ref="B142:I142"/>
    <mergeCell ref="B131:I131"/>
    <mergeCell ref="B132:I132"/>
    <mergeCell ref="B133:I133"/>
    <mergeCell ref="B134:I134"/>
    <mergeCell ref="B135:I135"/>
    <mergeCell ref="B136:I136"/>
    <mergeCell ref="B149:I149"/>
    <mergeCell ref="B150:I150"/>
    <mergeCell ref="B151:I151"/>
    <mergeCell ref="B152:I152"/>
    <mergeCell ref="B153:I153"/>
    <mergeCell ref="B154:I154"/>
    <mergeCell ref="B143:I143"/>
    <mergeCell ref="B144:I144"/>
    <mergeCell ref="B145:I145"/>
    <mergeCell ref="B146:I146"/>
    <mergeCell ref="B147:I147"/>
    <mergeCell ref="B148:I148"/>
    <mergeCell ref="B161:I161"/>
    <mergeCell ref="B162:I162"/>
    <mergeCell ref="B163:I163"/>
    <mergeCell ref="B164:I164"/>
    <mergeCell ref="B165:I165"/>
    <mergeCell ref="B166:I166"/>
    <mergeCell ref="B155:I155"/>
    <mergeCell ref="B156:I156"/>
    <mergeCell ref="B157:I157"/>
    <mergeCell ref="B158:I158"/>
    <mergeCell ref="B159:I159"/>
    <mergeCell ref="B160:I160"/>
    <mergeCell ref="B173:I173"/>
    <mergeCell ref="B174:I174"/>
    <mergeCell ref="B175:I175"/>
    <mergeCell ref="B176:I176"/>
    <mergeCell ref="B177:I177"/>
    <mergeCell ref="B178:I178"/>
    <mergeCell ref="B167:I167"/>
    <mergeCell ref="B168:I168"/>
    <mergeCell ref="B169:I169"/>
    <mergeCell ref="B170:I170"/>
    <mergeCell ref="B171:I171"/>
    <mergeCell ref="B172:I172"/>
    <mergeCell ref="B185:I185"/>
    <mergeCell ref="B186:I186"/>
    <mergeCell ref="B187:I187"/>
    <mergeCell ref="B188:I188"/>
    <mergeCell ref="B189:I189"/>
    <mergeCell ref="B190:I190"/>
    <mergeCell ref="B179:I179"/>
    <mergeCell ref="B180:I180"/>
    <mergeCell ref="B181:I181"/>
    <mergeCell ref="B182:I182"/>
    <mergeCell ref="B183:I183"/>
    <mergeCell ref="B184:I184"/>
    <mergeCell ref="B197:I197"/>
    <mergeCell ref="B198:I198"/>
    <mergeCell ref="B199:I199"/>
    <mergeCell ref="B200:I200"/>
    <mergeCell ref="B201:I201"/>
    <mergeCell ref="B191:I191"/>
    <mergeCell ref="B192:I192"/>
    <mergeCell ref="B193:I193"/>
    <mergeCell ref="B194:I194"/>
    <mergeCell ref="B195:I195"/>
    <mergeCell ref="B196:I19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Preços</vt:lpstr>
      <vt:lpstr>Matérias-Prima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Meyer</dc:creator>
  <cp:lastModifiedBy>Max</cp:lastModifiedBy>
  <dcterms:created xsi:type="dcterms:W3CDTF">2015-04-23T18:20:35Z</dcterms:created>
  <dcterms:modified xsi:type="dcterms:W3CDTF">2018-02-26T19:24:47Z</dcterms:modified>
</cp:coreProperties>
</file>